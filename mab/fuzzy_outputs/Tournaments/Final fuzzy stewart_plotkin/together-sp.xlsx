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gnjen\axl_mab\Axelrod\mab\fuzzy_outputs\Final fuzzy stewart_plotkin\"/>
    </mc:Choice>
  </mc:AlternateContent>
  <xr:revisionPtr revIDLastSave="0" documentId="13_ncr:1_{3D8E23B3-E245-47C3-931D-00CA89B16368}" xr6:coauthVersionLast="47" xr6:coauthVersionMax="47" xr10:uidLastSave="{00000000-0000-0000-0000-000000000000}"/>
  <bookViews>
    <workbookView xWindow="-23148" yWindow="10980" windowWidth="23256" windowHeight="12456" xr2:uid="{00000000-000D-0000-FFFF-FFFF00000000}"/>
  </bookViews>
  <sheets>
    <sheet name="FINAL FINAL" sheetId="5" r:id="rId1"/>
    <sheet name="Kompilirano" sheetId="2" r:id="rId2"/>
    <sheet name="Svi" sheetId="1" r:id="rId3"/>
    <sheet name="Adrese" sheetId="3" r:id="rId4"/>
    <sheet name="Final" sheetId="4" r:id="rId5"/>
  </sheets>
  <definedNames>
    <definedName name="_xlnm._FilterDatabase" localSheetId="4" hidden="1">Final!$B$2:$H$17</definedName>
    <definedName name="_xlnm._FilterDatabase" localSheetId="0" hidden="1">'FINAL FINAL'!$B$3:$H$18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2" l="1"/>
  <c r="AE4" i="2"/>
  <c r="BU13" i="2"/>
  <c r="N17" i="2"/>
  <c r="N11" i="2"/>
  <c r="BT12" i="2"/>
  <c r="AR8" i="2"/>
  <c r="C6" i="2"/>
  <c r="D14" i="2"/>
  <c r="E15" i="2"/>
  <c r="AF13" i="2"/>
  <c r="BT6" i="2"/>
  <c r="Y3" i="2"/>
  <c r="L8" i="2"/>
  <c r="AG7" i="2"/>
  <c r="AH5" i="2"/>
  <c r="AQ7" i="2"/>
  <c r="AP4" i="2"/>
  <c r="BB17" i="2"/>
  <c r="N15" i="2"/>
  <c r="BH7" i="2"/>
  <c r="O3" i="2"/>
  <c r="D6" i="2"/>
  <c r="AQ13" i="2"/>
  <c r="W4" i="2"/>
  <c r="AG8" i="2"/>
  <c r="BR17" i="2"/>
  <c r="AQ12" i="2"/>
  <c r="BA7" i="2"/>
  <c r="V14" i="2"/>
  <c r="C15" i="2"/>
  <c r="AG13" i="2"/>
  <c r="L11" i="2"/>
  <c r="BI3" i="2"/>
  <c r="C4" i="2"/>
  <c r="AP14" i="2"/>
  <c r="M10" i="2"/>
  <c r="BV11" i="2"/>
  <c r="BU7" i="2"/>
  <c r="AI14" i="2"/>
  <c r="BK5" i="2"/>
  <c r="X6" i="2"/>
  <c r="BS9" i="2"/>
  <c r="U13" i="2"/>
  <c r="BB7" i="2"/>
  <c r="AX13" i="2"/>
  <c r="AX5" i="2"/>
  <c r="BV12" i="2"/>
  <c r="AG16" i="2"/>
  <c r="E3" i="2"/>
  <c r="O7" i="2"/>
  <c r="E8" i="2"/>
  <c r="E13" i="2"/>
  <c r="BL3" i="2"/>
  <c r="F14" i="2"/>
  <c r="L7" i="2"/>
  <c r="W16" i="2"/>
  <c r="AF11" i="2"/>
  <c r="AX15" i="2"/>
  <c r="BR3" i="2"/>
  <c r="BK3" i="2"/>
  <c r="BT10" i="2"/>
  <c r="BJ13" i="2"/>
  <c r="BU15" i="2"/>
  <c r="M7" i="2"/>
  <c r="BB12" i="2"/>
  <c r="AO12" i="2"/>
  <c r="L15" i="2"/>
  <c r="AP17" i="2"/>
  <c r="BS10" i="2"/>
  <c r="AH16" i="2"/>
  <c r="X12" i="2"/>
  <c r="AO5" i="2"/>
  <c r="BT8" i="2"/>
  <c r="BI8" i="2"/>
  <c r="AX17" i="2"/>
  <c r="AG9" i="2"/>
  <c r="AI15" i="2"/>
  <c r="L12" i="2"/>
  <c r="O11" i="2"/>
  <c r="AE16" i="2"/>
  <c r="K17" i="2"/>
  <c r="BU10" i="2"/>
  <c r="BR7" i="2"/>
  <c r="BT9" i="2"/>
  <c r="Y8" i="2"/>
  <c r="BK15" i="2"/>
  <c r="BL7" i="2"/>
  <c r="N14" i="2"/>
  <c r="BH9" i="2"/>
  <c r="C7" i="2"/>
  <c r="AZ10" i="2"/>
  <c r="AG6" i="2"/>
  <c r="L10" i="2"/>
  <c r="AN6" i="2"/>
  <c r="AY15" i="2"/>
  <c r="O6" i="2"/>
  <c r="AE17" i="2"/>
  <c r="AI3" i="2"/>
  <c r="F16" i="2"/>
  <c r="BB13" i="2"/>
  <c r="BB9" i="2"/>
  <c r="BV6" i="2"/>
  <c r="U9" i="2"/>
  <c r="C9" i="2"/>
  <c r="AX4" i="2"/>
  <c r="AP12" i="2"/>
  <c r="AE7" i="2"/>
  <c r="AX3" i="2"/>
  <c r="BL15" i="2"/>
  <c r="Y6" i="2"/>
  <c r="AE9" i="2"/>
  <c r="AI11" i="2"/>
  <c r="B13" i="2"/>
  <c r="W15" i="2"/>
  <c r="L13" i="2"/>
  <c r="M9" i="2"/>
  <c r="F11" i="2"/>
  <c r="M8" i="2"/>
  <c r="BU9" i="2"/>
  <c r="BL10" i="2"/>
  <c r="AO4" i="2"/>
  <c r="AF15" i="2"/>
  <c r="BS11" i="2"/>
  <c r="BS3" i="2"/>
  <c r="BV16" i="2"/>
  <c r="BH10" i="2"/>
  <c r="AF12" i="2"/>
  <c r="AI16" i="2"/>
  <c r="D8" i="2"/>
  <c r="AY5" i="2"/>
  <c r="O15" i="2"/>
  <c r="C17" i="2"/>
  <c r="BL16" i="2"/>
  <c r="C3" i="2"/>
  <c r="BB11" i="2"/>
  <c r="AH3" i="2"/>
  <c r="BB10" i="2"/>
  <c r="K8" i="2"/>
  <c r="N8" i="2"/>
  <c r="W10" i="2"/>
  <c r="E9" i="2"/>
  <c r="AR14" i="2"/>
  <c r="BR12" i="2"/>
  <c r="C8" i="2"/>
  <c r="AE3" i="2"/>
  <c r="BV13" i="2"/>
  <c r="AQ5" i="2"/>
  <c r="O4" i="2"/>
  <c r="AH8" i="2"/>
  <c r="BR9" i="2"/>
  <c r="BS15" i="2"/>
  <c r="BS14" i="2"/>
  <c r="BH6" i="2"/>
  <c r="AI17" i="2"/>
  <c r="AZ7" i="2"/>
  <c r="N12" i="2"/>
  <c r="M13" i="2"/>
  <c r="AY14" i="2"/>
  <c r="X16" i="2"/>
  <c r="M16" i="2"/>
  <c r="AN15" i="2"/>
  <c r="D12" i="2"/>
  <c r="Y17" i="2"/>
  <c r="D5" i="2"/>
  <c r="E17" i="2"/>
  <c r="BH15" i="2"/>
  <c r="AO13" i="2"/>
  <c r="B4" i="2"/>
  <c r="U6" i="2"/>
  <c r="BJ3" i="2"/>
  <c r="B14" i="2"/>
  <c r="AH6" i="2"/>
  <c r="BV4" i="2"/>
  <c r="E6" i="2"/>
  <c r="AR12" i="2"/>
  <c r="AY8" i="2"/>
  <c r="C14" i="2"/>
  <c r="AP16" i="2"/>
  <c r="AZ4" i="2"/>
  <c r="BL5" i="2"/>
  <c r="C16" i="2"/>
  <c r="AZ3" i="2"/>
  <c r="AZ13" i="2"/>
  <c r="D15" i="2"/>
  <c r="BS16" i="2"/>
  <c r="X15" i="2"/>
  <c r="F7" i="2"/>
  <c r="AQ3" i="2"/>
  <c r="AZ8" i="2"/>
  <c r="AQ10" i="2"/>
  <c r="V16" i="2"/>
  <c r="AP11" i="2"/>
  <c r="BA8" i="2"/>
  <c r="BR15" i="2"/>
  <c r="BK16" i="2"/>
  <c r="BU17" i="2"/>
  <c r="AH7" i="2"/>
  <c r="AO10" i="2"/>
  <c r="AY13" i="2"/>
  <c r="AP9" i="2"/>
  <c r="BL17" i="2"/>
  <c r="W17" i="2"/>
  <c r="AN13" i="2"/>
  <c r="AR5" i="2"/>
  <c r="E14" i="2"/>
  <c r="U12" i="2"/>
  <c r="AF7" i="2"/>
  <c r="BI11" i="2"/>
  <c r="O17" i="2"/>
  <c r="X10" i="2"/>
  <c r="AH10" i="2"/>
  <c r="AH13" i="2"/>
  <c r="AN17" i="2"/>
  <c r="BL9" i="2"/>
  <c r="BV15" i="2"/>
  <c r="AO3" i="2"/>
  <c r="W12" i="2"/>
  <c r="W6" i="2"/>
  <c r="C12" i="2"/>
  <c r="BH8" i="2"/>
  <c r="BS12" i="2"/>
  <c r="AE15" i="2"/>
  <c r="Y12" i="2"/>
  <c r="BB3" i="2"/>
  <c r="BK12" i="2"/>
  <c r="F17" i="2"/>
  <c r="AH14" i="2"/>
  <c r="D9" i="2"/>
  <c r="BI9" i="2"/>
  <c r="V17" i="2"/>
  <c r="BJ10" i="2"/>
  <c r="AR13" i="2"/>
  <c r="BK17" i="2"/>
  <c r="V9" i="2"/>
  <c r="BJ17" i="2"/>
  <c r="BV8" i="2"/>
  <c r="AY17" i="2"/>
  <c r="D3" i="2"/>
  <c r="BT11" i="2"/>
  <c r="O10" i="2"/>
  <c r="BJ11" i="2"/>
  <c r="F12" i="2"/>
  <c r="W3" i="2"/>
  <c r="BA3" i="2"/>
  <c r="BH3" i="2"/>
  <c r="BT17" i="2"/>
  <c r="BR6" i="2"/>
  <c r="AR3" i="2"/>
  <c r="BU4" i="2"/>
  <c r="AY4" i="2"/>
  <c r="F3" i="2"/>
  <c r="BK6" i="2"/>
  <c r="BR13" i="2"/>
  <c r="AN3" i="2"/>
  <c r="BU5" i="2"/>
  <c r="BV10" i="2"/>
  <c r="L14" i="2"/>
  <c r="M12" i="2"/>
  <c r="B10" i="2"/>
  <c r="AI8" i="2"/>
  <c r="BB14" i="2"/>
  <c r="AI10" i="2"/>
  <c r="M4" i="2"/>
  <c r="X9" i="2"/>
  <c r="BH11" i="2"/>
  <c r="AZ6" i="2"/>
  <c r="Y14" i="2"/>
  <c r="D17" i="2"/>
  <c r="U14" i="2"/>
  <c r="BL11" i="2"/>
  <c r="O8" i="2"/>
  <c r="BV17" i="2"/>
  <c r="AY10" i="2"/>
  <c r="BT13" i="2"/>
  <c r="X4" i="2"/>
  <c r="BS7" i="2"/>
  <c r="K13" i="2"/>
  <c r="F15" i="2"/>
  <c r="M5" i="2"/>
  <c r="L16" i="2"/>
  <c r="L6" i="2"/>
  <c r="AE11" i="2"/>
  <c r="BV9" i="2"/>
  <c r="Y13" i="2"/>
  <c r="AX12" i="2"/>
  <c r="AO11" i="2"/>
  <c r="E12" i="2"/>
  <c r="U7" i="2"/>
  <c r="AH12" i="2"/>
  <c r="D11" i="2"/>
  <c r="BH16" i="2"/>
  <c r="N16" i="2"/>
  <c r="BH17" i="2"/>
  <c r="BA16" i="2"/>
  <c r="AN11" i="2"/>
  <c r="AI7" i="2"/>
  <c r="BT3" i="2"/>
  <c r="K9" i="2"/>
  <c r="BA17" i="2"/>
  <c r="BK10" i="2"/>
  <c r="D10" i="2"/>
  <c r="E16" i="2"/>
  <c r="AY16" i="2"/>
  <c r="BB16" i="2"/>
  <c r="AH4" i="2"/>
  <c r="AF3" i="2"/>
  <c r="D13" i="2"/>
  <c r="AQ17" i="2"/>
  <c r="B17" i="2"/>
  <c r="AG11" i="2"/>
  <c r="Y4" i="2"/>
  <c r="O13" i="2"/>
  <c r="BU3" i="2"/>
  <c r="M3" i="2"/>
  <c r="AX16" i="2"/>
  <c r="BR14" i="2"/>
  <c r="U16" i="2"/>
  <c r="BA13" i="2"/>
  <c r="F4" i="2"/>
  <c r="AI13" i="2"/>
  <c r="AG3" i="2"/>
  <c r="BA4" i="2"/>
  <c r="V11" i="2"/>
  <c r="V12" i="2"/>
  <c r="BJ5" i="2"/>
  <c r="AH15" i="2"/>
  <c r="AX9" i="2"/>
  <c r="M15" i="2"/>
  <c r="BL4" i="2"/>
  <c r="BI16" i="2"/>
  <c r="Y16" i="2"/>
  <c r="BH13" i="2"/>
  <c r="AZ16" i="2"/>
  <c r="B12" i="2"/>
  <c r="N7" i="2"/>
  <c r="O14" i="2"/>
  <c r="BR10" i="2"/>
  <c r="N5" i="2"/>
  <c r="E4" i="2"/>
  <c r="BS8" i="2"/>
  <c r="AN9" i="2"/>
  <c r="BJ12" i="2"/>
  <c r="Y7" i="2"/>
  <c r="AY12" i="2"/>
  <c r="AQ8" i="2"/>
  <c r="N4" i="2"/>
  <c r="K11" i="2"/>
  <c r="K14" i="2"/>
  <c r="BH14" i="2"/>
  <c r="AF6" i="2"/>
  <c r="BU6" i="2"/>
  <c r="N10" i="2"/>
  <c r="U10" i="2"/>
  <c r="L4" i="2"/>
  <c r="BK9" i="2"/>
  <c r="BS5" i="2"/>
  <c r="AE6" i="2"/>
  <c r="BU8" i="2"/>
  <c r="AO14" i="2"/>
  <c r="BJ15" i="2"/>
  <c r="AE5" i="2"/>
  <c r="V13" i="2"/>
  <c r="BK11" i="2"/>
  <c r="BI10" i="2"/>
  <c r="BA12" i="2"/>
  <c r="AY3" i="2"/>
  <c r="C10" i="2"/>
  <c r="AP8" i="2"/>
  <c r="AZ9" i="2"/>
  <c r="BI4" i="2"/>
  <c r="BK7" i="2"/>
  <c r="L3" i="2"/>
  <c r="AX8" i="2"/>
  <c r="V5" i="2"/>
  <c r="M17" i="2"/>
  <c r="AZ15" i="2"/>
  <c r="W7" i="2"/>
  <c r="BB6" i="2"/>
  <c r="BT14" i="2"/>
  <c r="BJ14" i="2"/>
  <c r="BB8" i="2"/>
  <c r="X13" i="2"/>
  <c r="B15" i="2"/>
  <c r="BA9" i="2"/>
  <c r="BT15" i="2"/>
  <c r="BJ7" i="2"/>
  <c r="AH17" i="2"/>
  <c r="BB4" i="2"/>
  <c r="AO16" i="2"/>
  <c r="V10" i="2"/>
  <c r="BR8" i="2"/>
  <c r="B11" i="2"/>
  <c r="AY11" i="2"/>
  <c r="AN8" i="2"/>
  <c r="AE8" i="2"/>
  <c r="BU16" i="2"/>
  <c r="BS4" i="2"/>
  <c r="BV14" i="2"/>
  <c r="BL13" i="2"/>
  <c r="C13" i="2"/>
  <c r="AR15" i="2"/>
  <c r="AQ4" i="2"/>
  <c r="BI13" i="2"/>
  <c r="AF9" i="2"/>
  <c r="BI12" i="2"/>
  <c r="V8" i="2"/>
  <c r="F13" i="2"/>
  <c r="AR6" i="2"/>
  <c r="AE14" i="2"/>
  <c r="M11" i="2"/>
  <c r="BJ8" i="2"/>
  <c r="B7" i="2"/>
  <c r="AN4" i="2"/>
  <c r="BA6" i="2"/>
  <c r="K15" i="2"/>
  <c r="K5" i="2"/>
  <c r="BS6" i="2"/>
  <c r="AO8" i="2"/>
  <c r="AG4" i="2"/>
  <c r="AO7" i="2"/>
  <c r="BA11" i="2"/>
  <c r="M6" i="2"/>
  <c r="BI7" i="2"/>
  <c r="AQ15" i="2"/>
  <c r="AF16" i="2"/>
  <c r="AP5" i="2"/>
  <c r="D16" i="2"/>
  <c r="BT4" i="2"/>
  <c r="Y5" i="2"/>
  <c r="D4" i="2"/>
  <c r="BJ9" i="2"/>
  <c r="AN12" i="2"/>
  <c r="O9" i="2"/>
  <c r="BI15" i="2"/>
  <c r="W5" i="2"/>
  <c r="BT7" i="2"/>
  <c r="BV3" i="2"/>
  <c r="AN7" i="2"/>
  <c r="AR7" i="2"/>
  <c r="AP13" i="2"/>
  <c r="BA5" i="2"/>
  <c r="AX11" i="2"/>
  <c r="BA14" i="2"/>
  <c r="K10" i="2"/>
  <c r="AR17" i="2"/>
  <c r="AQ6" i="2"/>
  <c r="V3" i="2"/>
  <c r="C5" i="2"/>
  <c r="M14" i="2"/>
  <c r="B9" i="2"/>
  <c r="BK13" i="2"/>
  <c r="AN10" i="2"/>
  <c r="V6" i="2"/>
  <c r="BT16" i="2"/>
  <c r="BB15" i="2"/>
  <c r="BR5" i="2"/>
  <c r="BB5" i="2"/>
  <c r="W8" i="2"/>
  <c r="AP7" i="2"/>
  <c r="AF10" i="2"/>
  <c r="K3" i="2"/>
  <c r="BT5" i="2"/>
  <c r="X14" i="2"/>
  <c r="O5" i="2"/>
  <c r="N3" i="2"/>
  <c r="AZ11" i="2"/>
  <c r="AE13" i="2"/>
  <c r="BI17" i="2"/>
  <c r="AZ5" i="2"/>
  <c r="BI14" i="2"/>
  <c r="X17" i="2"/>
  <c r="BU14" i="2"/>
  <c r="E5" i="2"/>
  <c r="E11" i="2"/>
  <c r="AF17" i="2"/>
  <c r="L5" i="2"/>
  <c r="BR4" i="2"/>
  <c r="BH5" i="2"/>
  <c r="AI12" i="2"/>
  <c r="B16" i="2"/>
  <c r="W14" i="2"/>
  <c r="N9" i="2"/>
  <c r="X11" i="2"/>
  <c r="AN16" i="2"/>
  <c r="BU12" i="2"/>
  <c r="AG10" i="2"/>
  <c r="BJ6" i="2"/>
  <c r="BI5" i="2"/>
  <c r="F10" i="2"/>
  <c r="AG17" i="2"/>
  <c r="U3" i="2"/>
  <c r="AI9" i="2"/>
  <c r="AH11" i="2"/>
  <c r="K12" i="2"/>
  <c r="BJ16" i="2"/>
  <c r="BK14" i="2"/>
  <c r="AP6" i="2"/>
  <c r="B3" i="2"/>
  <c r="BL8" i="2"/>
  <c r="U15" i="2"/>
  <c r="AX10" i="2"/>
  <c r="AH9" i="2"/>
  <c r="AQ9" i="2"/>
  <c r="F5" i="2"/>
  <c r="F8" i="2"/>
  <c r="BU11" i="2"/>
  <c r="AG14" i="2"/>
  <c r="AN5" i="2"/>
  <c r="BS17" i="2"/>
  <c r="AR10" i="2"/>
  <c r="K4" i="2"/>
  <c r="E7" i="2"/>
  <c r="AY9" i="2"/>
  <c r="K7" i="2"/>
  <c r="Y11" i="2"/>
  <c r="BV7" i="2"/>
  <c r="AI4" i="2"/>
  <c r="BL14" i="2"/>
  <c r="AP10" i="2"/>
  <c r="B6" i="2"/>
  <c r="U5" i="2"/>
  <c r="BA10" i="2"/>
  <c r="AI6" i="2"/>
  <c r="O16" i="2"/>
  <c r="AX7" i="2"/>
  <c r="AO9" i="2"/>
  <c r="W9" i="2"/>
  <c r="AQ16" i="2"/>
  <c r="AY7" i="2"/>
  <c r="U11" i="2"/>
  <c r="AG15" i="2"/>
  <c r="AP15" i="2"/>
  <c r="K16" i="2"/>
  <c r="W11" i="2"/>
  <c r="BJ4" i="2"/>
  <c r="AY6" i="2"/>
  <c r="V7" i="2"/>
  <c r="AO15" i="2"/>
  <c r="AE10" i="2"/>
  <c r="AF14" i="2"/>
  <c r="BA15" i="2"/>
  <c r="BR16" i="2"/>
  <c r="Y15" i="2"/>
  <c r="B8" i="2"/>
  <c r="O12" i="2"/>
  <c r="F9" i="2"/>
  <c r="E10" i="2"/>
  <c r="BK4" i="2"/>
  <c r="AR16" i="2"/>
  <c r="X8" i="2"/>
  <c r="BV5" i="2"/>
  <c r="W13" i="2"/>
  <c r="AZ12" i="2"/>
  <c r="U17" i="2"/>
  <c r="U4" i="2"/>
  <c r="BR11" i="2"/>
  <c r="Y10" i="2"/>
  <c r="X7" i="2"/>
  <c r="AQ11" i="2"/>
  <c r="Y9" i="2"/>
  <c r="K6" i="2"/>
  <c r="AG12" i="2"/>
  <c r="L17" i="2"/>
  <c r="N6" i="2"/>
  <c r="V4" i="2"/>
  <c r="AE12" i="2"/>
  <c r="AX14" i="2"/>
  <c r="AG5" i="2"/>
  <c r="F6" i="2"/>
  <c r="V15" i="2"/>
  <c r="L9" i="2"/>
  <c r="U8" i="2"/>
  <c r="BK8" i="2"/>
  <c r="AQ14" i="2"/>
  <c r="BS13" i="2"/>
  <c r="BI6" i="2"/>
  <c r="AF8" i="2"/>
  <c r="BH12" i="2"/>
  <c r="AZ14" i="2"/>
  <c r="AN14" i="2"/>
  <c r="AI5" i="2"/>
  <c r="AF5" i="2"/>
  <c r="AO6" i="2"/>
  <c r="AR11" i="2"/>
  <c r="AX6" i="2"/>
  <c r="BL12" i="2"/>
  <c r="D7" i="2"/>
  <c r="AZ17" i="2"/>
  <c r="C11" i="2"/>
  <c r="AR9" i="2"/>
  <c r="AP3" i="2"/>
  <c r="N13" i="2"/>
  <c r="AR4" i="2"/>
  <c r="X3" i="2"/>
  <c r="BL6" i="2"/>
  <c r="AO17" i="2"/>
  <c r="X5" i="2"/>
  <c r="B5" i="2"/>
  <c r="BH4" i="2"/>
  <c r="BN4" i="2" l="1"/>
  <c r="BO4" i="2"/>
  <c r="H5" i="2"/>
  <c r="BE6" i="2"/>
  <c r="BD6" i="2"/>
  <c r="AU14" i="2"/>
  <c r="AT14" i="2"/>
  <c r="BO12" i="2"/>
  <c r="BN12" i="2"/>
  <c r="AA8" i="2"/>
  <c r="C8" i="4"/>
  <c r="AB8" i="2"/>
  <c r="Z8" i="2"/>
  <c r="BE14" i="2"/>
  <c r="BD14" i="2"/>
  <c r="E12" i="4"/>
  <c r="AK12" i="2"/>
  <c r="AJ12" i="2"/>
  <c r="D6" i="4"/>
  <c r="R6" i="2"/>
  <c r="Q6" i="2"/>
  <c r="P6" i="2"/>
  <c r="BY11" i="2"/>
  <c r="BX11" i="2"/>
  <c r="AA4" i="2"/>
  <c r="C4" i="4"/>
  <c r="Z4" i="2"/>
  <c r="AB4" i="2"/>
  <c r="Z17" i="2"/>
  <c r="AB17" i="2"/>
  <c r="C17" i="4"/>
  <c r="AA17" i="2"/>
  <c r="H8" i="2"/>
  <c r="BX16" i="2"/>
  <c r="BY16" i="2"/>
  <c r="AK10" i="2"/>
  <c r="E10" i="4"/>
  <c r="AJ10" i="2"/>
  <c r="Q16" i="2"/>
  <c r="R16" i="2"/>
  <c r="D16" i="4"/>
  <c r="P16" i="2"/>
  <c r="AA11" i="2"/>
  <c r="C11" i="4"/>
  <c r="AB11" i="2"/>
  <c r="Z11" i="2"/>
  <c r="BD7" i="2"/>
  <c r="BE7" i="2"/>
  <c r="Z5" i="2"/>
  <c r="C5" i="4"/>
  <c r="AB5" i="2"/>
  <c r="AA5" i="2"/>
  <c r="H6" i="2"/>
  <c r="Q7" i="2"/>
  <c r="R7" i="2"/>
  <c r="P7" i="2"/>
  <c r="D7" i="4"/>
  <c r="Q4" i="2"/>
  <c r="P4" i="2"/>
  <c r="D4" i="4"/>
  <c r="R4" i="2"/>
  <c r="AT5" i="2"/>
  <c r="AU5" i="2"/>
  <c r="BE10" i="2"/>
  <c r="BD10" i="2"/>
  <c r="C15" i="4"/>
  <c r="AA15" i="2"/>
  <c r="Z15" i="2"/>
  <c r="AB15" i="2"/>
  <c r="H3" i="2"/>
  <c r="D12" i="4"/>
  <c r="R12" i="2"/>
  <c r="Q12" i="2"/>
  <c r="P12" i="2"/>
  <c r="AB3" i="2"/>
  <c r="AA3" i="2"/>
  <c r="C3" i="4"/>
  <c r="Z3" i="2"/>
  <c r="AT16" i="2"/>
  <c r="AU16" i="2"/>
  <c r="H16" i="2"/>
  <c r="BO5" i="2"/>
  <c r="BN5" i="2"/>
  <c r="BY4" i="2"/>
  <c r="BX4" i="2"/>
  <c r="AK13" i="2"/>
  <c r="E13" i="4"/>
  <c r="AJ13" i="2"/>
  <c r="D3" i="4"/>
  <c r="Q3" i="2"/>
  <c r="R3" i="2"/>
  <c r="P3" i="2"/>
  <c r="BY5" i="2"/>
  <c r="BX5" i="2"/>
  <c r="AT10" i="2"/>
  <c r="AU10" i="2"/>
  <c r="H9" i="2"/>
  <c r="D10" i="4"/>
  <c r="R10" i="2"/>
  <c r="P10" i="2"/>
  <c r="Q10" i="2"/>
  <c r="BE11" i="2"/>
  <c r="BD11" i="2"/>
  <c r="AT7" i="2"/>
  <c r="AU7" i="2"/>
  <c r="AT12" i="2"/>
  <c r="AU12" i="2"/>
  <c r="P5" i="2"/>
  <c r="R5" i="2"/>
  <c r="D5" i="4"/>
  <c r="Q5" i="2"/>
  <c r="Q15" i="2"/>
  <c r="P15" i="2"/>
  <c r="D15" i="4"/>
  <c r="R15" i="2"/>
  <c r="AU4" i="2"/>
  <c r="AT4" i="2"/>
  <c r="H7" i="2"/>
  <c r="AK14" i="2"/>
  <c r="E14" i="4"/>
  <c r="AJ14" i="2"/>
  <c r="E8" i="4"/>
  <c r="AK8" i="2"/>
  <c r="AJ8" i="2"/>
  <c r="AU8" i="2"/>
  <c r="AT8" i="2"/>
  <c r="H11" i="2"/>
  <c r="BY8" i="2"/>
  <c r="BX8" i="2"/>
  <c r="H15" i="2"/>
  <c r="BE8" i="2"/>
  <c r="BD8" i="2"/>
  <c r="AJ5" i="2"/>
  <c r="AK5" i="2"/>
  <c r="E5" i="4"/>
  <c r="AK6" i="2"/>
  <c r="E6" i="4"/>
  <c r="AJ6" i="2"/>
  <c r="C10" i="4"/>
  <c r="AB10" i="2"/>
  <c r="Z10" i="2"/>
  <c r="AA10" i="2"/>
  <c r="BO14" i="2"/>
  <c r="BN14" i="2"/>
  <c r="P14" i="2"/>
  <c r="R14" i="2"/>
  <c r="D14" i="4"/>
  <c r="Q14" i="2"/>
  <c r="R11" i="2"/>
  <c r="P11" i="2"/>
  <c r="D11" i="4"/>
  <c r="Q11" i="2"/>
  <c r="AU9" i="2"/>
  <c r="AT9" i="2"/>
  <c r="BY10" i="2"/>
  <c r="BX10" i="2"/>
  <c r="H12" i="2"/>
  <c r="BN13" i="2"/>
  <c r="BO13" i="2"/>
  <c r="BE9" i="2"/>
  <c r="BD9" i="2"/>
  <c r="Z16" i="2"/>
  <c r="AB16" i="2"/>
  <c r="C16" i="4"/>
  <c r="AA16" i="2"/>
  <c r="BY14" i="2"/>
  <c r="BX14" i="2"/>
  <c r="BD16" i="2"/>
  <c r="BE16" i="2"/>
  <c r="H17" i="2"/>
  <c r="P9" i="2"/>
  <c r="R9" i="2"/>
  <c r="D9" i="4"/>
  <c r="Q9" i="2"/>
  <c r="AT11" i="2"/>
  <c r="AU11" i="2"/>
  <c r="BN17" i="2"/>
  <c r="BO17" i="2"/>
  <c r="BO16" i="2"/>
  <c r="BN16" i="2"/>
  <c r="C7" i="4"/>
  <c r="AA7" i="2"/>
  <c r="Z7" i="2"/>
  <c r="AB7" i="2"/>
  <c r="BE12" i="2"/>
  <c r="BD12" i="2"/>
  <c r="AJ11" i="2"/>
  <c r="E11" i="4"/>
  <c r="AK11" i="2"/>
  <c r="D13" i="4"/>
  <c r="Q13" i="2"/>
  <c r="R13" i="2"/>
  <c r="P13" i="2"/>
  <c r="Z14" i="2"/>
  <c r="AB14" i="2"/>
  <c r="AA14" i="2"/>
  <c r="C14" i="4"/>
  <c r="BO11" i="2"/>
  <c r="BN11" i="2"/>
  <c r="H10" i="2"/>
  <c r="AU3" i="2"/>
  <c r="AT3" i="2"/>
  <c r="BX13" i="2"/>
  <c r="BY13" i="2"/>
  <c r="BX6" i="2"/>
  <c r="BY6" i="2"/>
  <c r="BO3" i="2"/>
  <c r="BN3" i="2"/>
  <c r="AK15" i="2"/>
  <c r="E15" i="4"/>
  <c r="AJ15" i="2"/>
  <c r="BN8" i="2"/>
  <c r="BO8" i="2"/>
  <c r="AT17" i="2"/>
  <c r="AU17" i="2"/>
  <c r="AA12" i="2"/>
  <c r="C12" i="4"/>
  <c r="AB12" i="2"/>
  <c r="Z12" i="2"/>
  <c r="AU13" i="2"/>
  <c r="AT13" i="2"/>
  <c r="BY15" i="2"/>
  <c r="BX15" i="2"/>
  <c r="H14" i="2"/>
  <c r="AB6" i="2"/>
  <c r="Z6" i="2"/>
  <c r="AA6" i="2"/>
  <c r="C6" i="4"/>
  <c r="H4" i="2"/>
  <c r="BO15" i="2"/>
  <c r="BN15" i="2"/>
  <c r="AU15" i="2"/>
  <c r="AT15" i="2"/>
  <c r="BO6" i="2"/>
  <c r="BN6" i="2"/>
  <c r="BY9" i="2"/>
  <c r="BX9" i="2"/>
  <c r="E3" i="4"/>
  <c r="AK3" i="2"/>
  <c r="AJ3" i="2"/>
  <c r="BX12" i="2"/>
  <c r="BY12" i="2"/>
  <c r="D8" i="4"/>
  <c r="P8" i="2"/>
  <c r="Q8" i="2"/>
  <c r="R8" i="2"/>
  <c r="BO10" i="2"/>
  <c r="BN10" i="2"/>
  <c r="H13" i="2"/>
  <c r="AJ9" i="2"/>
  <c r="E9" i="4"/>
  <c r="AK9" i="2"/>
  <c r="BE3" i="2"/>
  <c r="BD3" i="2"/>
  <c r="AJ7" i="2"/>
  <c r="E7" i="4"/>
  <c r="AK7" i="2"/>
  <c r="BE4" i="2"/>
  <c r="BD4" i="2"/>
  <c r="Z9" i="2"/>
  <c r="C9" i="4"/>
  <c r="AB9" i="2"/>
  <c r="AA9" i="2"/>
  <c r="E17" i="4"/>
  <c r="AJ17" i="2"/>
  <c r="AK17" i="2"/>
  <c r="AT6" i="2"/>
  <c r="AU6" i="2"/>
  <c r="BO9" i="2"/>
  <c r="BN9" i="2"/>
  <c r="BY7" i="2"/>
  <c r="BX7" i="2"/>
  <c r="D17" i="4"/>
  <c r="Q17" i="2"/>
  <c r="P17" i="2"/>
  <c r="R17" i="2"/>
  <c r="AK16" i="2"/>
  <c r="AJ16" i="2"/>
  <c r="E16" i="4"/>
  <c r="BE17" i="2"/>
  <c r="BD17" i="2"/>
  <c r="BY3" i="2"/>
  <c r="BX3" i="2"/>
  <c r="BD15" i="2"/>
  <c r="BE15" i="2"/>
  <c r="BD5" i="2"/>
  <c r="BE5" i="2"/>
  <c r="BE13" i="2"/>
  <c r="BD13" i="2"/>
  <c r="AB13" i="2"/>
  <c r="C13" i="4"/>
  <c r="AA13" i="2"/>
  <c r="Z13" i="2"/>
  <c r="BY17" i="2"/>
  <c r="BX17" i="2"/>
  <c r="BO7" i="2"/>
  <c r="BN7" i="2"/>
  <c r="E4" i="4"/>
  <c r="AK4" i="2"/>
  <c r="AJ4" i="2"/>
  <c r="AS3" i="2" l="1"/>
  <c r="AS9" i="2"/>
  <c r="AS12" i="2"/>
  <c r="AS7" i="2"/>
  <c r="C6" i="5"/>
  <c r="C15" i="5"/>
  <c r="C17" i="5"/>
  <c r="D13" i="5"/>
  <c r="D17" i="5"/>
  <c r="D14" i="5"/>
  <c r="D15" i="5"/>
  <c r="D16" i="5"/>
  <c r="C8" i="5"/>
  <c r="D7" i="5"/>
  <c r="C7" i="5"/>
  <c r="D12" i="5"/>
  <c r="AS8" i="2"/>
  <c r="C4" i="5"/>
  <c r="C12" i="5"/>
  <c r="D6" i="5"/>
  <c r="C14" i="5"/>
  <c r="C11" i="5"/>
  <c r="C18" i="5"/>
  <c r="C9" i="5"/>
  <c r="C10" i="5"/>
  <c r="D9" i="5"/>
  <c r="D8" i="5"/>
  <c r="D11" i="5"/>
  <c r="D4" i="5"/>
  <c r="C16" i="5"/>
  <c r="D18" i="5"/>
  <c r="C13" i="5"/>
  <c r="D10" i="5"/>
  <c r="D5" i="5"/>
  <c r="C5" i="5"/>
  <c r="AS17" i="2"/>
  <c r="AS5" i="2"/>
  <c r="BW7" i="2"/>
  <c r="H6" i="4"/>
  <c r="G3" i="4"/>
  <c r="BM3" i="2"/>
  <c r="H17" i="4"/>
  <c r="BW17" i="2"/>
  <c r="BM15" i="2"/>
  <c r="G15" i="4"/>
  <c r="H15" i="4"/>
  <c r="BW15" i="2"/>
  <c r="BM11" i="2"/>
  <c r="G11" i="4"/>
  <c r="AS11" i="2"/>
  <c r="H14" i="4"/>
  <c r="BW14" i="2"/>
  <c r="BC11" i="2"/>
  <c r="F11" i="4"/>
  <c r="AS10" i="2"/>
  <c r="AS16" i="2"/>
  <c r="F6" i="4"/>
  <c r="BC7" i="2"/>
  <c r="F14" i="4"/>
  <c r="BC14" i="2"/>
  <c r="AS14" i="2"/>
  <c r="H11" i="4"/>
  <c r="BW11" i="2"/>
  <c r="G13" i="4"/>
  <c r="BM13" i="2"/>
  <c r="H7" i="4"/>
  <c r="BW5" i="2"/>
  <c r="H9" i="4"/>
  <c r="BW9" i="2"/>
  <c r="AS13" i="2"/>
  <c r="H5" i="4"/>
  <c r="BW6" i="2"/>
  <c r="AS4" i="2"/>
  <c r="BW4" i="2"/>
  <c r="H4" i="4"/>
  <c r="F5" i="4"/>
  <c r="BC6" i="2"/>
  <c r="F16" i="4"/>
  <c r="BC16" i="2"/>
  <c r="BC3" i="2"/>
  <c r="F3" i="4"/>
  <c r="F15" i="4"/>
  <c r="BC15" i="2"/>
  <c r="G8" i="4"/>
  <c r="BM8" i="2"/>
  <c r="BM16" i="2"/>
  <c r="G16" i="4"/>
  <c r="H10" i="4"/>
  <c r="BW10" i="2"/>
  <c r="F8" i="4"/>
  <c r="BC8" i="2"/>
  <c r="G10" i="4"/>
  <c r="BM10" i="2"/>
  <c r="BM14" i="2"/>
  <c r="G14" i="4"/>
  <c r="F7" i="4"/>
  <c r="BC5" i="2"/>
  <c r="BM9" i="2"/>
  <c r="G9" i="4"/>
  <c r="BW3" i="2"/>
  <c r="H3" i="4"/>
  <c r="AS6" i="2"/>
  <c r="F4" i="4"/>
  <c r="BC4" i="2"/>
  <c r="G5" i="4"/>
  <c r="BM6" i="2"/>
  <c r="H13" i="4"/>
  <c r="BW13" i="2"/>
  <c r="BM5" i="2"/>
  <c r="G7" i="4"/>
  <c r="H16" i="4"/>
  <c r="BW16" i="2"/>
  <c r="F12" i="4"/>
  <c r="BC12" i="2"/>
  <c r="G6" i="4"/>
  <c r="BM7" i="2"/>
  <c r="BC13" i="2"/>
  <c r="F13" i="4"/>
  <c r="F17" i="4"/>
  <c r="BC17" i="2"/>
  <c r="BW12" i="2"/>
  <c r="H12" i="4"/>
  <c r="AS15" i="2"/>
  <c r="BM17" i="2"/>
  <c r="G17" i="4"/>
  <c r="F9" i="4"/>
  <c r="BC9" i="2"/>
  <c r="H8" i="4"/>
  <c r="BW8" i="2"/>
  <c r="BC10" i="2"/>
  <c r="F10" i="4"/>
  <c r="G12" i="4"/>
  <c r="BM12" i="2"/>
  <c r="G4" i="4"/>
  <c r="BM4" i="2"/>
  <c r="E13" i="5" l="1"/>
  <c r="E10" i="5"/>
  <c r="E7" i="5"/>
  <c r="E4" i="5"/>
  <c r="H13" i="5"/>
  <c r="E5" i="5"/>
  <c r="F10" i="5"/>
  <c r="H12" i="5"/>
  <c r="H16" i="5"/>
  <c r="E6" i="5"/>
  <c r="G15" i="5"/>
  <c r="G17" i="5"/>
  <c r="E14" i="5"/>
  <c r="H7" i="5"/>
  <c r="G8" i="5"/>
  <c r="H10" i="5"/>
  <c r="G9" i="5"/>
  <c r="F12" i="5"/>
  <c r="G18" i="5"/>
  <c r="G7" i="5"/>
  <c r="H14" i="5"/>
  <c r="H4" i="5"/>
  <c r="F15" i="5"/>
  <c r="H15" i="5"/>
  <c r="G16" i="5"/>
  <c r="E18" i="5"/>
  <c r="F14" i="5"/>
  <c r="F6" i="5"/>
  <c r="E8" i="5"/>
  <c r="F9" i="5"/>
  <c r="H8" i="5"/>
  <c r="G11" i="5"/>
  <c r="E15" i="5"/>
  <c r="E16" i="5"/>
  <c r="F16" i="5"/>
  <c r="H18" i="5"/>
  <c r="F11" i="5"/>
  <c r="F13" i="5"/>
  <c r="G6" i="5"/>
  <c r="G10" i="5"/>
  <c r="H5" i="5"/>
  <c r="F7" i="5"/>
  <c r="E12" i="5"/>
  <c r="G13" i="5"/>
  <c r="G14" i="5"/>
  <c r="F8" i="5"/>
  <c r="G4" i="5"/>
  <c r="F18" i="5"/>
  <c r="H17" i="5"/>
  <c r="F5" i="5"/>
  <c r="F4" i="5"/>
  <c r="H6" i="5"/>
  <c r="E17" i="5"/>
  <c r="G12" i="5"/>
  <c r="H9" i="5"/>
  <c r="H11" i="5"/>
  <c r="G5" i="5"/>
  <c r="F17" i="5"/>
  <c r="E11" i="5"/>
  <c r="E9" i="5"/>
</calcChain>
</file>

<file path=xl/sharedStrings.xml><?xml version="1.0" encoding="utf-8"?>
<sst xmlns="http://schemas.openxmlformats.org/spreadsheetml/2006/main" count="348" uniqueCount="82">
  <si>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</si>
  <si>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</si>
  <si>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</si>
  <si>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</si>
  <si>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</si>
  <si>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</si>
  <si>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</si>
  <si>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</si>
  <si>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Fuzzy</t>
  </si>
  <si>
    <t>Tit For Tat</t>
  </si>
  <si>
    <t>Grudger</t>
  </si>
  <si>
    <t>Random</t>
  </si>
  <si>
    <t>Rank 1</t>
  </si>
  <si>
    <t>Rank 2</t>
  </si>
  <si>
    <t>Rank 3</t>
  </si>
  <si>
    <t>Rank 4</t>
  </si>
  <si>
    <t>Rank 5</t>
  </si>
  <si>
    <t>Wins 1</t>
  </si>
  <si>
    <t>Wins 2</t>
  </si>
  <si>
    <t>Wins 3</t>
  </si>
  <si>
    <t>Wins 4</t>
  </si>
  <si>
    <t>Wins 5</t>
  </si>
  <si>
    <t>Total Score 1</t>
  </si>
  <si>
    <t>Total Score 2</t>
  </si>
  <si>
    <t>Total Score 3</t>
  </si>
  <si>
    <t>Total Score 4</t>
  </si>
  <si>
    <t>Total Score 5</t>
  </si>
  <si>
    <t>#Cooperations 1</t>
  </si>
  <si>
    <t>#Cooperations 2</t>
  </si>
  <si>
    <t>#Cooperations 3</t>
  </si>
  <si>
    <t>#Cooperations 4</t>
  </si>
  <si>
    <t>#Cooperations 5</t>
  </si>
  <si>
    <t>CoopRating 1</t>
  </si>
  <si>
    <t>CoopRating 2</t>
  </si>
  <si>
    <t>CoopRating 3</t>
  </si>
  <si>
    <t>CoopRating 4</t>
  </si>
  <si>
    <t>CoopRating 5</t>
  </si>
  <si>
    <t>GP Rating 1</t>
  </si>
  <si>
    <t>GP Rating 2</t>
  </si>
  <si>
    <t>GP Rating 3</t>
  </si>
  <si>
    <t>GP Rating 4</t>
  </si>
  <si>
    <t>GP Rating 5</t>
  </si>
  <si>
    <t>EJ Rating 1</t>
  </si>
  <si>
    <t>EJ Rating 2</t>
  </si>
  <si>
    <t>EJ Rating 3</t>
  </si>
  <si>
    <t>EJ Rating 4</t>
  </si>
  <si>
    <t>EJ Rating 5</t>
  </si>
  <si>
    <t>EM Rating 1</t>
  </si>
  <si>
    <t>EM Rating 2</t>
  </si>
  <si>
    <t>EM Rating 3</t>
  </si>
  <si>
    <t>EM Rating 4</t>
  </si>
  <si>
    <t>EM Rating 5</t>
  </si>
  <si>
    <t>Avg</t>
  </si>
  <si>
    <t>Avg. Score</t>
  </si>
  <si>
    <t>GTFT</t>
  </si>
  <si>
    <t>Hard Tit For 2 Tats</t>
  </si>
  <si>
    <t>ZD-GTFT-2</t>
  </si>
  <si>
    <t>Cooperator</t>
  </si>
  <si>
    <t>Tit For 2 Tats</t>
  </si>
  <si>
    <t>Hard Tit For Tat</t>
  </si>
  <si>
    <t>Win-Stay Lose-Shift</t>
  </si>
  <si>
    <t>Hard Go By Majority</t>
  </si>
  <si>
    <t>ZD-Extort-2</t>
  </si>
  <si>
    <t>Defector</t>
  </si>
  <si>
    <t>Svi!$A$2:$I$16</t>
  </si>
  <si>
    <t>Svi!$A$18:$I$33</t>
  </si>
  <si>
    <t>Svi!$A$35:$I$50</t>
  </si>
  <si>
    <t>Svi!$A$53:$I$67</t>
  </si>
  <si>
    <t>Svi!$A$70:$I$84</t>
  </si>
  <si>
    <t>SD</t>
  </si>
  <si>
    <t>Wins (%)</t>
  </si>
  <si>
    <t>Cooperation (%)</t>
  </si>
  <si>
    <t>Avg.
Eigenjesus Rating</t>
  </si>
  <si>
    <t>Avg.
Eigenmoses Rating</t>
  </si>
  <si>
    <t>Avg.
Good Partner Rating (SD)</t>
  </si>
  <si>
    <t>Cooperation Rating</t>
  </si>
  <si>
    <t>Good Partner Rating</t>
  </si>
  <si>
    <t>Eigenjesus Rating</t>
  </si>
  <si>
    <t>Eigenmoses Rating</t>
  </si>
  <si>
    <t>Results</t>
  </si>
  <si>
    <t>Morality metrics</t>
  </si>
  <si>
    <t>Joss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</si>
</sst>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R_S_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2" xfId="0" applyBorder="1" applyAlignment="1">
      <alignment wrapText="1"/>
    </xf>
    <xf numFmtId="2" fontId="0" fillId="0" borderId="0" xfId="0" applyNumberFormat="1"/>
    <xf numFmtId="164" fontId="0" fillId="0" borderId="0" xfId="0" applyNumberFormat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/>
    <xf numFmtId="0" fontId="0" fillId="0" borderId="2" xfId="0" applyBorder="1"/>
    <xf numFmtId="0" fontId="0" fillId="0" borderId="1" xfId="0" applyBorder="1"/>
    <xf numFmtId="0" fontId="1" fillId="0" borderId="3" xfId="0" applyFont="1" applyBorder="1" applyAlignment="1">
      <alignment horizontal="center" vertical="top"/>
    </xf>
    <xf numFmtId="0" fontId="1" fillId="0" borderId="0" xfId="0" applyFont="1"/>
    <xf numFmtId="10" fontId="0" fillId="0" borderId="0" xfId="1" applyNumberFormat="1" applyFont="1"/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/>
    <xf numFmtId="2" fontId="4" fillId="0" borderId="0" xfId="0" applyNumberFormat="1" applyFont="1" applyAlignment="1">
      <alignment horizontal="center" vertical="center"/>
    </xf>
    <xf numFmtId="10" fontId="4" fillId="0" borderId="0" xfId="1" applyNumberFormat="1" applyFont="1" applyBorder="1" applyAlignment="1">
      <alignment horizontal="center" vertical="center"/>
    </xf>
    <xf numFmtId="2" fontId="4" fillId="0" borderId="5" xfId="1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10" fontId="4" fillId="0" borderId="6" xfId="1" applyNumberFormat="1" applyFont="1" applyBorder="1" applyAlignment="1">
      <alignment horizontal="center" vertical="center"/>
    </xf>
    <xf numFmtId="2" fontId="4" fillId="0" borderId="7" xfId="1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75CE-417B-4D20-92B1-D662F274C7DC}">
  <dimension ref="B2:H18"/>
  <sheetViews>
    <sheetView tabSelected="1" workbookViewId="0">
      <selection activeCell="M14" sqref="M14"/>
    </sheetView>
  </sheetViews>
  <sheetFormatPr defaultRowHeight="15" x14ac:dyDescent="0.25"/>
  <cols>
    <col min="2" max="2" width="28.42578125" bestFit="1" customWidth="1"/>
    <col min="3" max="3" width="9" customWidth="1"/>
    <col min="4" max="4" width="15.28515625" customWidth="1"/>
    <col min="5" max="5" width="11.7109375" customWidth="1"/>
    <col min="6" max="6" width="12.85546875" bestFit="1" customWidth="1"/>
    <col min="7" max="7" width="11" customWidth="1"/>
    <col min="8" max="8" width="12.140625" customWidth="1"/>
  </cols>
  <sheetData>
    <row r="2" spans="2:8" x14ac:dyDescent="0.25">
      <c r="B2" s="8"/>
      <c r="C2" s="24" t="s">
        <v>79</v>
      </c>
      <c r="D2" s="24"/>
      <c r="E2" s="25" t="s">
        <v>80</v>
      </c>
      <c r="F2" s="24"/>
      <c r="G2" s="24"/>
      <c r="H2" s="24"/>
    </row>
    <row r="3" spans="2:8" ht="30" x14ac:dyDescent="0.25">
      <c r="B3" s="13" t="s">
        <v>0</v>
      </c>
      <c r="C3" s="6" t="s">
        <v>53</v>
      </c>
      <c r="D3" s="6" t="s">
        <v>70</v>
      </c>
      <c r="E3" s="14" t="s">
        <v>75</v>
      </c>
      <c r="F3" s="6" t="s">
        <v>76</v>
      </c>
      <c r="G3" s="6" t="s">
        <v>77</v>
      </c>
      <c r="H3" s="6" t="s">
        <v>78</v>
      </c>
    </row>
    <row r="4" spans="2:8" x14ac:dyDescent="0.25">
      <c r="B4" s="11" t="s">
        <v>8</v>
      </c>
      <c r="C4" s="16">
        <f ca="1">VLOOKUP(B4,Kompilirano!T2:Z17,7,FALSE)/14/5</f>
        <v>550.78571428571433</v>
      </c>
      <c r="D4" s="17">
        <f ca="1">VLOOKUP(B4,Kompilirano!J2:P17,7,FALSE)/14/5</f>
        <v>7.1428571428571425E-2</v>
      </c>
      <c r="E4" s="18" t="str">
        <f ca="1">VLOOKUP(B4,Kompilirano!AM2:AS17,7,FALSE)</f>
        <v>0.84 (0.03)</v>
      </c>
      <c r="F4" s="19" t="str">
        <f ca="1">VLOOKUP(B4,Kompilirano!AW2:BC17,7,FALSE)</f>
        <v>0.93 (0.00)</v>
      </c>
      <c r="G4" s="19" t="str">
        <f ca="1">VLOOKUP(B4,Kompilirano!BG2:BM17,7,FALSE)</f>
        <v>0.31 (0.00)</v>
      </c>
      <c r="H4" s="19" t="str">
        <f ca="1">VLOOKUP(B4,Kompilirano!BQ2:BW17,7,FALSE)</f>
        <v>0.31 (0.01)</v>
      </c>
    </row>
    <row r="5" spans="2:8" x14ac:dyDescent="0.25">
      <c r="B5" s="11" t="s">
        <v>54</v>
      </c>
      <c r="C5" s="16">
        <f ca="1">VLOOKUP(B5,Kompilirano!T3:Z18,7,FALSE)/14/5</f>
        <v>530.11428571428564</v>
      </c>
      <c r="D5" s="17">
        <f ca="1">VLOOKUP(B5,Kompilirano!J3:P18,7,FALSE)/14/5</f>
        <v>0</v>
      </c>
      <c r="E5" s="18" t="str">
        <f ca="1">VLOOKUP(B5,Kompilirano!AM3:AS18,7,FALSE)</f>
        <v>0.89 (0.00)</v>
      </c>
      <c r="F5" s="19" t="str">
        <f ca="1">VLOOKUP(B5,Kompilirano!AW3:BC18,7,FALSE)</f>
        <v>1.00 (0.00)</v>
      </c>
      <c r="G5" s="19" t="str">
        <f ca="1">VLOOKUP(B5,Kompilirano!BG3:BM18,7,FALSE)</f>
        <v>0.31 (0.00)</v>
      </c>
      <c r="H5" s="19" t="str">
        <f ca="1">VLOOKUP(B5,Kompilirano!BQ3:BW18,7,FALSE)</f>
        <v>0.30 (0.00)</v>
      </c>
    </row>
    <row r="6" spans="2:8" x14ac:dyDescent="0.25">
      <c r="B6" s="11" t="s">
        <v>56</v>
      </c>
      <c r="C6" s="16">
        <f ca="1">VLOOKUP(B6,Kompilirano!T6:Z21,7,FALSE)/14/5</f>
        <v>527.0428571428572</v>
      </c>
      <c r="D6" s="17">
        <f ca="1">VLOOKUP(B6,Kompilirano!J6:P21,7,FALSE)/14/5</f>
        <v>0</v>
      </c>
      <c r="E6" s="18" t="str">
        <f ca="1">VLOOKUP(B6,Kompilirano!AM6:AS21,7,FALSE)</f>
        <v>0.85 (0.01)</v>
      </c>
      <c r="F6" s="19" t="str">
        <f ca="1">VLOOKUP(B6,Kompilirano!AW6:BC21,7,FALSE)</f>
        <v>1.00 (0.00)</v>
      </c>
      <c r="G6" s="19" t="str">
        <f ca="1">VLOOKUP(B6,Kompilirano!BG6:BM21,7,FALSE)</f>
        <v>0.31 (0.00)</v>
      </c>
      <c r="H6" s="19" t="str">
        <f ca="1">VLOOKUP(B6,Kompilirano!BQ6:BW21,7,FALSE)</f>
        <v>0.30 (0.00)</v>
      </c>
    </row>
    <row r="7" spans="2:8" x14ac:dyDescent="0.25">
      <c r="B7" s="11" t="s">
        <v>57</v>
      </c>
      <c r="C7" s="16">
        <f ca="1">VLOOKUP(B7,Kompilirano!T4:Z19,7,FALSE)/14/5</f>
        <v>520.97142857142853</v>
      </c>
      <c r="D7" s="17">
        <f ca="1">VLOOKUP(B7,Kompilirano!J4:P19,7,FALSE)/14/5</f>
        <v>0</v>
      </c>
      <c r="E7" s="18" t="str">
        <f ca="1">VLOOKUP(B7,Kompilirano!AM4:AS19,7,FALSE)</f>
        <v>1.00 (0.00)</v>
      </c>
      <c r="F7" s="19" t="str">
        <f ca="1">VLOOKUP(B7,Kompilirano!AW4:BC19,7,FALSE)</f>
        <v>1.00 (0.00)</v>
      </c>
      <c r="G7" s="19" t="str">
        <f ca="1">VLOOKUP(B7,Kompilirano!BG4:BM19,7,FALSE)</f>
        <v>0.32 (0.00)</v>
      </c>
      <c r="H7" s="19" t="str">
        <f ca="1">VLOOKUP(B7,Kompilirano!BQ4:BW19,7,FALSE)</f>
        <v>0.26 (0.00)</v>
      </c>
    </row>
    <row r="8" spans="2:8" x14ac:dyDescent="0.25">
      <c r="B8" s="11" t="s">
        <v>55</v>
      </c>
      <c r="C8" s="16">
        <f ca="1">VLOOKUP(B8,Kompilirano!T5:Z20,7,FALSE)/14/5</f>
        <v>520.41428571428571</v>
      </c>
      <c r="D8" s="17">
        <f ca="1">VLOOKUP(B8,Kompilirano!J5:P20,7,FALSE)/14/5</f>
        <v>0</v>
      </c>
      <c r="E8" s="18" t="str">
        <f ca="1">VLOOKUP(B8,Kompilirano!AM5:AS20,7,FALSE)</f>
        <v>0.81 (0.03)</v>
      </c>
      <c r="F8" s="19" t="str">
        <f ca="1">VLOOKUP(B8,Kompilirano!AW5:BC20,7,FALSE)</f>
        <v>1.00 (0.00)</v>
      </c>
      <c r="G8" s="19" t="str">
        <f ca="1">VLOOKUP(B8,Kompilirano!BG5:BM20,7,FALSE)</f>
        <v>0.31 (0.01)</v>
      </c>
      <c r="H8" s="19" t="str">
        <f ca="1">VLOOKUP(B8,Kompilirano!BQ5:BW20,7,FALSE)</f>
        <v>0.32 (0.00)</v>
      </c>
    </row>
    <row r="9" spans="2:8" x14ac:dyDescent="0.25">
      <c r="B9" s="11" t="s">
        <v>58</v>
      </c>
      <c r="C9" s="16">
        <f ca="1">VLOOKUP(B9,Kompilirano!T7:Z22,7,FALSE)/14/5</f>
        <v>519.67142857142858</v>
      </c>
      <c r="D9" s="17">
        <f ca="1">VLOOKUP(B9,Kompilirano!J7:P22,7,FALSE)/14/5</f>
        <v>0</v>
      </c>
      <c r="E9" s="18" t="str">
        <f ca="1">VLOOKUP(B9,Kompilirano!AM7:AS22,7,FALSE)</f>
        <v>0.83 (0.02)</v>
      </c>
      <c r="F9" s="19" t="str">
        <f ca="1">VLOOKUP(B9,Kompilirano!AW7:BC22,7,FALSE)</f>
        <v>1.00 (0.00)</v>
      </c>
      <c r="G9" s="19" t="str">
        <f ca="1">VLOOKUP(B9,Kompilirano!BG7:BM22,7,FALSE)</f>
        <v>0.31 (0.00)</v>
      </c>
      <c r="H9" s="19" t="str">
        <f ca="1">VLOOKUP(B9,Kompilirano!BQ7:BW22,7,FALSE)</f>
        <v>0.32 (0.00)</v>
      </c>
    </row>
    <row r="10" spans="2:8" x14ac:dyDescent="0.25">
      <c r="B10" s="11" t="s">
        <v>9</v>
      </c>
      <c r="C10" s="16">
        <f ca="1">VLOOKUP(B10,Kompilirano!T8:Z23,7,FALSE)/14/5</f>
        <v>501.44285714285718</v>
      </c>
      <c r="D10" s="17">
        <f ca="1">VLOOKUP(B10,Kompilirano!J8:P23,7,FALSE)/14/5</f>
        <v>0</v>
      </c>
      <c r="E10" s="18" t="str">
        <f ca="1">VLOOKUP(B10,Kompilirano!AM8:AS23,7,FALSE)</f>
        <v>0.73 (0.00)</v>
      </c>
      <c r="F10" s="19" t="str">
        <f ca="1">VLOOKUP(B10,Kompilirano!AW8:BC23,7,FALSE)</f>
        <v>1.00 (0.00)</v>
      </c>
      <c r="G10" s="19" t="str">
        <f ca="1">VLOOKUP(B10,Kompilirano!BG8:BM23,7,FALSE)</f>
        <v>0.29 (0.00)</v>
      </c>
      <c r="H10" s="19" t="str">
        <f ca="1">VLOOKUP(B10,Kompilirano!BQ8:BW23,7,FALSE)</f>
        <v>0.31 (0.00)</v>
      </c>
    </row>
    <row r="11" spans="2:8" x14ac:dyDescent="0.25">
      <c r="B11" s="11" t="s">
        <v>10</v>
      </c>
      <c r="C11" s="16">
        <f ca="1">VLOOKUP(B11,Kompilirano!T9:Z24,7,FALSE)/14/5</f>
        <v>489.3</v>
      </c>
      <c r="D11" s="17">
        <f ca="1">VLOOKUP(B11,Kompilirano!J9:P24,7,FALSE)/14/5</f>
        <v>7.1428571428571425E-2</v>
      </c>
      <c r="E11" s="18" t="str">
        <f ca="1">VLOOKUP(B11,Kompilirano!AM9:AS24,7,FALSE)</f>
        <v>0.65 (0.01)</v>
      </c>
      <c r="F11" s="19" t="str">
        <f ca="1">VLOOKUP(B11,Kompilirano!AW9:BC24,7,FALSE)</f>
        <v>0.93 (0.00)</v>
      </c>
      <c r="G11" s="19" t="str">
        <f ca="1">VLOOKUP(B11,Kompilirano!BG9:BM24,7,FALSE)</f>
        <v>0.27 (0.00)</v>
      </c>
      <c r="H11" s="19" t="str">
        <f ca="1">VLOOKUP(B11,Kompilirano!BQ9:BW24,7,FALSE)</f>
        <v>0.30 (0.00)</v>
      </c>
    </row>
    <row r="12" spans="2:8" x14ac:dyDescent="0.25">
      <c r="B12" s="11" t="s">
        <v>59</v>
      </c>
      <c r="C12" s="16">
        <f ca="1">VLOOKUP(B12,Kompilirano!T10:Z25,7,FALSE)/14/5</f>
        <v>487.92857142857144</v>
      </c>
      <c r="D12" s="17">
        <f ca="1">VLOOKUP(B12,Kompilirano!J10:P25,7,FALSE)/14/5</f>
        <v>8.5714285714285715E-2</v>
      </c>
      <c r="E12" s="18" t="str">
        <f ca="1">VLOOKUP(B12,Kompilirano!AM10:AS25,7,FALSE)</f>
        <v>0.66 (0.00)</v>
      </c>
      <c r="F12" s="19" t="str">
        <f ca="1">VLOOKUP(B12,Kompilirano!AW10:BC25,7,FALSE)</f>
        <v>0.91 (0.03)</v>
      </c>
      <c r="G12" s="19" t="str">
        <f ca="1">VLOOKUP(B12,Kompilirano!BG10:BM25,7,FALSE)</f>
        <v>0.27 (0.00)</v>
      </c>
      <c r="H12" s="19" t="str">
        <f ca="1">VLOOKUP(B12,Kompilirano!BQ10:BW25,7,FALSE)</f>
        <v>0.30 (0.00)</v>
      </c>
    </row>
    <row r="13" spans="2:8" x14ac:dyDescent="0.25">
      <c r="B13" s="11" t="s">
        <v>60</v>
      </c>
      <c r="C13" s="16">
        <f ca="1">VLOOKUP(B13,Kompilirano!T11:Z26,7,FALSE)/14/5</f>
        <v>483.68571428571431</v>
      </c>
      <c r="D13" s="17">
        <f ca="1">VLOOKUP(B13,Kompilirano!J11:P26,7,FALSE)/14/5</f>
        <v>1.4285714285714285E-2</v>
      </c>
      <c r="E13" s="18" t="str">
        <f ca="1">VLOOKUP(B13,Kompilirano!AM11:AS26,7,FALSE)</f>
        <v>0.80 (0.00)</v>
      </c>
      <c r="F13" s="19" t="str">
        <f ca="1">VLOOKUP(B13,Kompilirano!AW11:BC26,7,FALSE)</f>
        <v>0.99 (0.03)</v>
      </c>
      <c r="G13" s="19" t="str">
        <f ca="1">VLOOKUP(B13,Kompilirano!BG11:BM26,7,FALSE)</f>
        <v>0.29 (0.00)</v>
      </c>
      <c r="H13" s="19" t="str">
        <f ca="1">VLOOKUP(B13,Kompilirano!BQ11:BW26,7,FALSE)</f>
        <v>0.28 (0.00)</v>
      </c>
    </row>
    <row r="14" spans="2:8" x14ac:dyDescent="0.25">
      <c r="B14" s="11" t="s">
        <v>61</v>
      </c>
      <c r="C14" s="16">
        <f ca="1">VLOOKUP(B14,Kompilirano!T12:Z27,7,FALSE)/14/5</f>
        <v>451.82857142857148</v>
      </c>
      <c r="D14" s="17">
        <f ca="1">VLOOKUP(B14,Kompilirano!J12:P27,7,FALSE)/14/5</f>
        <v>0.51428571428571435</v>
      </c>
      <c r="E14" s="18" t="str">
        <f ca="1">VLOOKUP(B14,Kompilirano!AM12:AS27,7,FALSE)</f>
        <v>0.56 (0.06)</v>
      </c>
      <c r="F14" s="19" t="str">
        <f ca="1">VLOOKUP(B14,Kompilirano!AW12:BC27,7,FALSE)</f>
        <v>0.49 (0.03)</v>
      </c>
      <c r="G14" s="19" t="str">
        <f ca="1">VLOOKUP(B14,Kompilirano!BG12:BM27,7,FALSE)</f>
        <v>0.20 (0.01)</v>
      </c>
      <c r="H14" s="19" t="str">
        <f ca="1">VLOOKUP(B14,Kompilirano!BQ12:BW27,7,FALSE)</f>
        <v>0.09 (0.01)</v>
      </c>
    </row>
    <row r="15" spans="2:8" x14ac:dyDescent="0.25">
      <c r="B15" s="11" t="s">
        <v>11</v>
      </c>
      <c r="C15" s="16">
        <f ca="1">VLOOKUP(B15,Kompilirano!T13:Z28,7,FALSE)/14/5</f>
        <v>414.47142857142853</v>
      </c>
      <c r="D15" s="17">
        <f ca="1">VLOOKUP(B15,Kompilirano!J13:P28,7,FALSE)/14/5</f>
        <v>0.51428571428571435</v>
      </c>
      <c r="E15" s="18" t="str">
        <f ca="1">VLOOKUP(B15,Kompilirano!AM13:AS28,7,FALSE)</f>
        <v>0.50 (0.01)</v>
      </c>
      <c r="F15" s="19" t="str">
        <f ca="1">VLOOKUP(B15,Kompilirano!AW13:BC28,7,FALSE)</f>
        <v>0.49 (0.09)</v>
      </c>
      <c r="G15" s="19" t="str">
        <f ca="1">VLOOKUP(B15,Kompilirano!BG13:BM28,7,FALSE)</f>
        <v>0.16 (0.00)</v>
      </c>
      <c r="H15" s="19" t="str">
        <f ca="1">VLOOKUP(B15,Kompilirano!BQ13:BW28,7,FALSE)</f>
        <v>0.00 (0.00)</v>
      </c>
    </row>
    <row r="16" spans="2:8" x14ac:dyDescent="0.25">
      <c r="B16" s="11" t="s">
        <v>81</v>
      </c>
      <c r="C16" s="16">
        <f ca="1">VLOOKUP(B16,Kompilirano!T14:Z29,7,FALSE)/14/5</f>
        <v>407.95714285714286</v>
      </c>
      <c r="D16" s="17">
        <f ca="1">VLOOKUP(B16,Kompilirano!J14:P29,7,FALSE)/14/5</f>
        <v>0.67142857142857149</v>
      </c>
      <c r="E16" s="18" t="str">
        <f ca="1">VLOOKUP(B16,Kompilirano!AM14:AS29,7,FALSE)</f>
        <v>0.40 (0.02)</v>
      </c>
      <c r="F16" s="19" t="str">
        <f ca="1">VLOOKUP(B16,Kompilirano!AW14:BC29,7,FALSE)</f>
        <v>0.33 (0.04)</v>
      </c>
      <c r="G16" s="19" t="str">
        <f ca="1">VLOOKUP(B16,Kompilirano!BG14:BM29,7,FALSE)</f>
        <v>0.15 (0.01)</v>
      </c>
      <c r="H16" s="19" t="str">
        <f ca="1">VLOOKUP(B16,Kompilirano!BQ14:BW29,7,FALSE)</f>
        <v>0.02 (0.02)</v>
      </c>
    </row>
    <row r="17" spans="2:8" x14ac:dyDescent="0.25">
      <c r="B17" s="11" t="s">
        <v>62</v>
      </c>
      <c r="C17" s="16">
        <f ca="1">VLOOKUP(B17,Kompilirano!T15:Z30,7,FALSE)/14/5</f>
        <v>384.8</v>
      </c>
      <c r="D17" s="17">
        <f ca="1">VLOOKUP(B17,Kompilirano!J15:P30,7,FALSE)/14/5</f>
        <v>0.82857142857142863</v>
      </c>
      <c r="E17" s="18" t="str">
        <f ca="1">VLOOKUP(B17,Kompilirano!AM15:AS30,7,FALSE)</f>
        <v>0.28 (0.04)</v>
      </c>
      <c r="F17" s="19" t="str">
        <f ca="1">VLOOKUP(B17,Kompilirano!AW15:BC30,7,FALSE)</f>
        <v>0.17 (0.08)</v>
      </c>
      <c r="G17" s="19" t="str">
        <f ca="1">VLOOKUP(B17,Kompilirano!BG15:BM30,7,FALSE)</f>
        <v>0.10 (0.01)</v>
      </c>
      <c r="H17" s="19" t="str">
        <f ca="1">VLOOKUP(B17,Kompilirano!BQ15:BW30,7,FALSE)</f>
        <v>-0.09 (0.02)</v>
      </c>
    </row>
    <row r="18" spans="2:8" x14ac:dyDescent="0.25">
      <c r="B18" s="15" t="s">
        <v>63</v>
      </c>
      <c r="C18" s="20">
        <f ca="1">VLOOKUP(B18,Kompilirano!T16:Z31,7,FALSE)/14/5</f>
        <v>350.68571428571425</v>
      </c>
      <c r="D18" s="21">
        <f ca="1">VLOOKUP(B18,Kompilirano!J16:P31,7,FALSE)/14/5</f>
        <v>0.9285714285714286</v>
      </c>
      <c r="E18" s="22" t="str">
        <f ca="1">VLOOKUP(B18,Kompilirano!AM16:AS31,7,FALSE)</f>
        <v>0.00 (0.00)</v>
      </c>
      <c r="F18" s="23" t="str">
        <f ca="1">VLOOKUP(B18,Kompilirano!AW16:BC31,7,FALSE)</f>
        <v>0.07 (0.00)</v>
      </c>
      <c r="G18" s="23" t="str">
        <f ca="1">VLOOKUP(B18,Kompilirano!BG16:BM31,7,FALSE)</f>
        <v>0.00 (0.00)</v>
      </c>
      <c r="H18" s="23" t="str">
        <f ca="1">VLOOKUP(B18,Kompilirano!BQ16:BW31,7,FALSE)</f>
        <v>-0.26 (0.00)</v>
      </c>
    </row>
  </sheetData>
  <sortState xmlns:xlrd2="http://schemas.microsoft.com/office/spreadsheetml/2017/richdata2" ref="B4:H18">
    <sortCondition descending="1" ref="C4:C18"/>
  </sortState>
  <mergeCells count="2">
    <mergeCell ref="C2:D2"/>
    <mergeCell ref="E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34167-E0BC-4DC8-8A96-EAC9AB9F3F3B}">
  <dimension ref="A2:BY36"/>
  <sheetViews>
    <sheetView topLeftCell="AY1" zoomScale="85" zoomScaleNormal="85" workbookViewId="0">
      <selection activeCell="BW3" sqref="BW3"/>
    </sheetView>
  </sheetViews>
  <sheetFormatPr defaultRowHeight="15" x14ac:dyDescent="0.25"/>
  <cols>
    <col min="1" max="1" width="28.42578125" bestFit="1" customWidth="1"/>
    <col min="2" max="2" width="10.5703125" bestFit="1" customWidth="1"/>
    <col min="10" max="10" width="28.42578125" bestFit="1" customWidth="1"/>
    <col min="11" max="11" width="11.5703125" bestFit="1" customWidth="1"/>
    <col min="20" max="20" width="28.42578125" bestFit="1" customWidth="1"/>
    <col min="21" max="25" width="12.140625" bestFit="1" customWidth="1"/>
    <col min="26" max="26" width="12.140625" customWidth="1"/>
  </cols>
  <sheetData>
    <row r="2" spans="1:77" x14ac:dyDescent="0.25">
      <c r="A2" s="7" t="s">
        <v>0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/>
      <c r="H2" s="7" t="s">
        <v>52</v>
      </c>
      <c r="J2" s="7" t="s">
        <v>0</v>
      </c>
      <c r="K2" s="7" t="s">
        <v>17</v>
      </c>
      <c r="L2" s="7" t="s">
        <v>18</v>
      </c>
      <c r="M2" s="7" t="s">
        <v>19</v>
      </c>
      <c r="N2" s="7" t="s">
        <v>20</v>
      </c>
      <c r="O2" s="7" t="s">
        <v>21</v>
      </c>
      <c r="P2" s="7"/>
      <c r="Q2" s="8" t="s">
        <v>52</v>
      </c>
      <c r="R2" s="11" t="s">
        <v>69</v>
      </c>
      <c r="T2" s="7" t="s">
        <v>0</v>
      </c>
      <c r="U2" s="7" t="s">
        <v>22</v>
      </c>
      <c r="V2" s="7" t="s">
        <v>23</v>
      </c>
      <c r="W2" s="7" t="s">
        <v>24</v>
      </c>
      <c r="X2" s="7" t="s">
        <v>25</v>
      </c>
      <c r="Y2" s="7" t="s">
        <v>26</v>
      </c>
      <c r="Z2" s="7"/>
      <c r="AA2" s="7" t="s">
        <v>52</v>
      </c>
      <c r="AB2" s="11" t="s">
        <v>69</v>
      </c>
      <c r="AD2" s="7" t="s">
        <v>0</v>
      </c>
      <c r="AE2" s="7" t="s">
        <v>27</v>
      </c>
      <c r="AF2" s="7" t="s">
        <v>28</v>
      </c>
      <c r="AG2" s="7" t="s">
        <v>29</v>
      </c>
      <c r="AH2" s="7" t="s">
        <v>30</v>
      </c>
      <c r="AI2" s="7" t="s">
        <v>31</v>
      </c>
      <c r="AJ2" s="7" t="s">
        <v>52</v>
      </c>
      <c r="AK2" s="11" t="s">
        <v>69</v>
      </c>
      <c r="AM2" s="7" t="s">
        <v>0</v>
      </c>
      <c r="AN2" s="7" t="s">
        <v>32</v>
      </c>
      <c r="AO2" s="7" t="s">
        <v>33</v>
      </c>
      <c r="AP2" s="7" t="s">
        <v>34</v>
      </c>
      <c r="AQ2" s="7" t="s">
        <v>35</v>
      </c>
      <c r="AR2" s="7" t="s">
        <v>36</v>
      </c>
      <c r="AS2" s="7"/>
      <c r="AT2" s="7" t="s">
        <v>52</v>
      </c>
      <c r="AU2" s="11" t="s">
        <v>69</v>
      </c>
      <c r="AW2" s="7" t="s">
        <v>0</v>
      </c>
      <c r="AX2" s="7" t="s">
        <v>37</v>
      </c>
      <c r="AY2" s="7" t="s">
        <v>38</v>
      </c>
      <c r="AZ2" s="7" t="s">
        <v>39</v>
      </c>
      <c r="BA2" s="7" t="s">
        <v>40</v>
      </c>
      <c r="BB2" s="7" t="s">
        <v>41</v>
      </c>
      <c r="BC2" s="7"/>
      <c r="BD2" s="7" t="s">
        <v>52</v>
      </c>
      <c r="BE2" s="11" t="s">
        <v>69</v>
      </c>
      <c r="BG2" s="7" t="s">
        <v>0</v>
      </c>
      <c r="BH2" s="7" t="s">
        <v>42</v>
      </c>
      <c r="BI2" s="7" t="s">
        <v>43</v>
      </c>
      <c r="BJ2" s="7" t="s">
        <v>44</v>
      </c>
      <c r="BK2" s="7" t="s">
        <v>45</v>
      </c>
      <c r="BL2" s="7" t="s">
        <v>46</v>
      </c>
      <c r="BM2" s="7"/>
      <c r="BN2" s="7" t="s">
        <v>52</v>
      </c>
      <c r="BO2" s="11" t="s">
        <v>69</v>
      </c>
      <c r="BQ2" s="7" t="s">
        <v>0</v>
      </c>
      <c r="BR2" s="7" t="s">
        <v>47</v>
      </c>
      <c r="BS2" s="7" t="s">
        <v>48</v>
      </c>
      <c r="BT2" s="7" t="s">
        <v>49</v>
      </c>
      <c r="BU2" s="7" t="s">
        <v>50</v>
      </c>
      <c r="BV2" s="7" t="s">
        <v>51</v>
      </c>
      <c r="BW2" s="7"/>
      <c r="BX2" s="7" t="s">
        <v>52</v>
      </c>
      <c r="BY2" s="11" t="s">
        <v>69</v>
      </c>
    </row>
    <row r="3" spans="1:77" x14ac:dyDescent="0.25">
      <c r="A3" t="s">
        <v>8</v>
      </c>
      <c r="B3" s="9">
        <f ca="1">+VLOOKUP($A3,INDIRECT(Adrese!B$2),2,FALSE)</f>
        <v>1</v>
      </c>
      <c r="C3" s="9">
        <f ca="1">+VLOOKUP($A3,INDIRECT(Adrese!C$2),2,FALSE)</f>
        <v>1</v>
      </c>
      <c r="D3" s="9">
        <f ca="1">+VLOOKUP($A3,INDIRECT(Adrese!D$2),2,FALSE)</f>
        <v>1</v>
      </c>
      <c r="E3" s="9">
        <f ca="1">+VLOOKUP($A3,INDIRECT(Adrese!E$2),2,FALSE)</f>
        <v>1</v>
      </c>
      <c r="F3" s="9">
        <f ca="1">+VLOOKUP($A3,INDIRECT(Adrese!F$2),2,FALSE)</f>
        <v>1</v>
      </c>
      <c r="G3" s="26"/>
      <c r="H3" s="4">
        <f t="shared" ref="H3:H17" ca="1" si="0">AVERAGE(B3:F3)</f>
        <v>1</v>
      </c>
      <c r="J3" t="s">
        <v>8</v>
      </c>
      <c r="K3">
        <f ca="1">+VLOOKUP($A3,INDIRECT(Adrese!B$2),3,FALSE)</f>
        <v>1</v>
      </c>
      <c r="L3">
        <f ca="1">+VLOOKUP($A3,INDIRECT(Adrese!C$2),3,FALSE)</f>
        <v>1</v>
      </c>
      <c r="M3">
        <f ca="1">+VLOOKUP($A3,INDIRECT(Adrese!D$2),3,FALSE)</f>
        <v>1</v>
      </c>
      <c r="N3">
        <f ca="1">+VLOOKUP($A3,INDIRECT(Adrese!E$2),3,FALSE)</f>
        <v>1</v>
      </c>
      <c r="O3">
        <f ca="1">+VLOOKUP($A3,INDIRECT(Adrese!F$2),3,FALSE)</f>
        <v>1</v>
      </c>
      <c r="P3">
        <f ca="1">SUM(K3:O3)</f>
        <v>5</v>
      </c>
      <c r="Q3" s="4">
        <f ca="1">AVERAGE(K3:O3)</f>
        <v>1</v>
      </c>
      <c r="R3" s="4">
        <f ca="1">+_xlfn.STDEV.S(K3:O3)</f>
        <v>0</v>
      </c>
      <c r="T3" t="s">
        <v>8</v>
      </c>
      <c r="U3">
        <f ca="1">+VLOOKUP($T3,INDIRECT(Adrese!B$2),4,FALSE)</f>
        <v>7772</v>
      </c>
      <c r="V3">
        <f ca="1">+VLOOKUP($T3,INDIRECT(Adrese!C$2),4,FALSE)</f>
        <v>7735</v>
      </c>
      <c r="W3">
        <f ca="1">+VLOOKUP($T3,INDIRECT(Adrese!D$2),4,FALSE)</f>
        <v>7543</v>
      </c>
      <c r="X3">
        <f ca="1">+VLOOKUP($T3,INDIRECT(Adrese!E$2),4,FALSE)</f>
        <v>7754</v>
      </c>
      <c r="Y3">
        <f ca="1">+VLOOKUP($T3,INDIRECT(Adrese!F$2),4,FALSE)</f>
        <v>7751</v>
      </c>
      <c r="Z3">
        <f ca="1">SUM(U3:Y3)</f>
        <v>38555</v>
      </c>
      <c r="AA3" s="4">
        <f ca="1">AVERAGE(U3:Y3)</f>
        <v>7711</v>
      </c>
      <c r="AB3" s="4">
        <f ca="1">+_xlfn.STDEV.S(U3:Y3)</f>
        <v>94.82879309576812</v>
      </c>
      <c r="AD3" t="s">
        <v>8</v>
      </c>
      <c r="AE3">
        <f ca="1">+VLOOKUP($A3,INDIRECT(Adrese!B$2),5,FALSE)</f>
        <v>2595</v>
      </c>
      <c r="AF3">
        <f ca="1">+VLOOKUP($A3,INDIRECT(Adrese!C$2),5,FALSE)</f>
        <v>2591</v>
      </c>
      <c r="AG3">
        <f ca="1">+VLOOKUP($A3,INDIRECT(Adrese!D$2),5,FALSE)</f>
        <v>2414</v>
      </c>
      <c r="AH3">
        <f ca="1">+VLOOKUP($A3,INDIRECT(Adrese!E$2),5,FALSE)</f>
        <v>2590</v>
      </c>
      <c r="AI3">
        <f ca="1">+VLOOKUP($A3,INDIRECT(Adrese!F$2),5,FALSE)</f>
        <v>2592</v>
      </c>
      <c r="AJ3" s="4">
        <f t="shared" ref="AJ3:AJ17" ca="1" si="1">AVERAGE(AE3:AI3)</f>
        <v>2556.4</v>
      </c>
      <c r="AK3" s="4">
        <f t="shared" ref="AK3:AK17" ca="1" si="2">+_xlfn.STDEV.S(AE3:AI3)</f>
        <v>79.626000778640147</v>
      </c>
      <c r="AM3" t="s">
        <v>8</v>
      </c>
      <c r="AN3" s="4">
        <f ca="1">+VLOOKUP($A3,INDIRECT(Adrese!B$2),6,FALSE)</f>
        <v>0.85535714285714282</v>
      </c>
      <c r="AO3" s="4">
        <f ca="1">+VLOOKUP($A3,INDIRECT(Adrese!C$2),6,FALSE)</f>
        <v>0.85392857142857148</v>
      </c>
      <c r="AP3" s="4">
        <f ca="1">+VLOOKUP($A3,INDIRECT(Adrese!D$2),6,FALSE)</f>
        <v>0.7907142857142857</v>
      </c>
      <c r="AQ3" s="4">
        <f ca="1">+VLOOKUP($A3,INDIRECT(Adrese!E$2),6,FALSE)</f>
        <v>0.85357142857142854</v>
      </c>
      <c r="AR3" s="4">
        <f ca="1">+VLOOKUP($A3,INDIRECT(Adrese!F$2),6,FALSE)</f>
        <v>0.85428571428571431</v>
      </c>
      <c r="AS3" s="4" t="str">
        <f ca="1">TEXT(AT3,"0.00")&amp;" ("&amp;TEXT(AU3,"0.00")&amp;")"</f>
        <v>0.84 (0.03)</v>
      </c>
      <c r="AT3" s="4">
        <f ca="1">AVERAGE(AN3:AR3)</f>
        <v>0.84157142857142853</v>
      </c>
      <c r="AU3" s="4">
        <f ca="1">+_xlfn.STDEV.S(AN3:AR3)</f>
        <v>2.8437857420942913E-2</v>
      </c>
      <c r="AW3" t="s">
        <v>8</v>
      </c>
      <c r="AX3" s="4">
        <f ca="1">+VLOOKUP($A3,INDIRECT(Adrese!B$2),7,FALSE)</f>
        <v>0.9285714285714286</v>
      </c>
      <c r="AY3" s="4">
        <f ca="1">+VLOOKUP($A3,INDIRECT(Adrese!C$2),7,FALSE)</f>
        <v>0.9285714285714286</v>
      </c>
      <c r="AZ3" s="4">
        <f ca="1">+VLOOKUP($A3,INDIRECT(Adrese!D$2),7,FALSE)</f>
        <v>0.9285714285714286</v>
      </c>
      <c r="BA3" s="4">
        <f ca="1">+VLOOKUP($A3,INDIRECT(Adrese!E$2),7,FALSE)</f>
        <v>0.9285714285714286</v>
      </c>
      <c r="BB3" s="4">
        <f ca="1">+VLOOKUP($A3,INDIRECT(Adrese!F$2),7,FALSE)</f>
        <v>0.9285714285714286</v>
      </c>
      <c r="BC3" s="4" t="str">
        <f ca="1">TEXT(BD3,"0.00")&amp;" ("&amp;TEXT(BE3,"0.00")&amp;")"</f>
        <v>0.93 (0.00)</v>
      </c>
      <c r="BD3">
        <f ca="1">AVERAGE(AX3:BB3)</f>
        <v>0.9285714285714286</v>
      </c>
      <c r="BE3" s="4">
        <f ca="1">+_xlfn.STDEV.S(AX3:BB3)</f>
        <v>0</v>
      </c>
      <c r="BG3" t="s">
        <v>8</v>
      </c>
      <c r="BH3" s="4">
        <f ca="1">+VLOOKUP($BG3,INDIRECT(Adrese!B$2),8,FALSE)</f>
        <v>0.310237714364343</v>
      </c>
      <c r="BI3" s="4">
        <f ca="1">+VLOOKUP($BG3,INDIRECT(Adrese!C$2),8,FALSE)</f>
        <v>0.30968259819411748</v>
      </c>
      <c r="BJ3" s="4">
        <f ca="1">+VLOOKUP($BG3,INDIRECT(Adrese!D$2),8,FALSE)</f>
        <v>0.3020471760475662</v>
      </c>
      <c r="BK3" s="4">
        <f ca="1">+VLOOKUP($BG3,INDIRECT(Adrese!E$2),8,FALSE)</f>
        <v>0.30840147087740899</v>
      </c>
      <c r="BL3" s="4">
        <f ca="1">+VLOOKUP($BG3,INDIRECT(Adrese!F$2),8,FALSE)</f>
        <v>0.30922884746586699</v>
      </c>
      <c r="BM3" s="4" t="str">
        <f ca="1">TEXT(BN3,"0.00")&amp;" ("&amp;TEXT(BO3,"0.00")&amp;")"</f>
        <v>0.31 (0.00)</v>
      </c>
      <c r="BN3" s="4">
        <f ca="1">AVERAGE(BH3:BL3)</f>
        <v>0.30791956138986054</v>
      </c>
      <c r="BO3" s="4">
        <f ca="1">+_xlfn.STDEV.S(BH3:BL3)</f>
        <v>3.3508770634594065E-3</v>
      </c>
      <c r="BQ3" t="s">
        <v>8</v>
      </c>
      <c r="BR3" s="4">
        <f ca="1">+VLOOKUP($BG3,INDIRECT(Adrese!B$2),9,FALSE)</f>
        <v>0.3052196377012974</v>
      </c>
      <c r="BS3" s="4">
        <f ca="1">+VLOOKUP($BG3,INDIRECT(Adrese!C$2),9,FALSE)</f>
        <v>0.31218276724775651</v>
      </c>
      <c r="BT3" s="4">
        <f ca="1">+VLOOKUP($BG3,INDIRECT(Adrese!D$2),9,FALSE)</f>
        <v>0.32391756278948403</v>
      </c>
      <c r="BU3" s="4">
        <f ca="1">+VLOOKUP($BG3,INDIRECT(Adrese!E$2),9,FALSE)</f>
        <v>0.31103561268056928</v>
      </c>
      <c r="BV3" s="4">
        <f ca="1">+VLOOKUP($BG3,INDIRECT(Adrese!F$2),9,FALSE)</f>
        <v>0.30517257777602591</v>
      </c>
      <c r="BW3" s="4" t="str">
        <f ca="1">TEXT(BX3,"0.00")&amp;" ("&amp;TEXT(BY3,"0.00")&amp;")"</f>
        <v>0.31 (0.01)</v>
      </c>
      <c r="BX3" s="4">
        <f ca="1">AVERAGE(BR3:BV3)</f>
        <v>0.31150563163902661</v>
      </c>
      <c r="BY3" s="4">
        <f ca="1">+_xlfn.STDEV.S(BR3:BV3)</f>
        <v>7.6543575229154762E-3</v>
      </c>
    </row>
    <row r="4" spans="1:77" x14ac:dyDescent="0.25">
      <c r="A4" t="s">
        <v>54</v>
      </c>
      <c r="B4">
        <f ca="1">+VLOOKUP($A4,INDIRECT(Adrese!B$2),2,FALSE)</f>
        <v>2</v>
      </c>
      <c r="C4">
        <f ca="1">+VLOOKUP($A4,INDIRECT(Adrese!C$2),2,FALSE)</f>
        <v>3</v>
      </c>
      <c r="D4">
        <f ca="1">+VLOOKUP($A4,INDIRECT(Adrese!D$2),2,FALSE)</f>
        <v>2</v>
      </c>
      <c r="E4">
        <f ca="1">+VLOOKUP($A4,INDIRECT(Adrese!E$2),2,FALSE)</f>
        <v>3</v>
      </c>
      <c r="F4">
        <f ca="1">+VLOOKUP($A4,INDIRECT(Adrese!F$2),2,FALSE)</f>
        <v>2</v>
      </c>
      <c r="H4" s="4">
        <f t="shared" ca="1" si="0"/>
        <v>2.4</v>
      </c>
      <c r="J4" t="s">
        <v>54</v>
      </c>
      <c r="K4">
        <f ca="1">+VLOOKUP($A4,INDIRECT(Adrese!B$2),3,FALSE)</f>
        <v>0</v>
      </c>
      <c r="L4">
        <f ca="1">+VLOOKUP($A4,INDIRECT(Adrese!C$2),3,FALSE)</f>
        <v>0</v>
      </c>
      <c r="M4">
        <f ca="1">+VLOOKUP($A4,INDIRECT(Adrese!D$2),3,FALSE)</f>
        <v>0</v>
      </c>
      <c r="N4">
        <f ca="1">+VLOOKUP($A4,INDIRECT(Adrese!E$2),3,FALSE)</f>
        <v>0</v>
      </c>
      <c r="O4">
        <f ca="1">+VLOOKUP($A4,INDIRECT(Adrese!F$2),3,FALSE)</f>
        <v>0</v>
      </c>
      <c r="P4">
        <f t="shared" ref="P4:P17" ca="1" si="3">SUM(K4:O4)</f>
        <v>0</v>
      </c>
      <c r="Q4" s="4">
        <f t="shared" ref="Q4:Q17" ca="1" si="4">AVERAGE(K4:O4)</f>
        <v>0</v>
      </c>
      <c r="R4" s="4">
        <f t="shared" ref="R4:R17" ca="1" si="5">+_xlfn.STDEV.S(K4:O4)</f>
        <v>0</v>
      </c>
      <c r="T4" t="s">
        <v>54</v>
      </c>
      <c r="U4">
        <f ca="1">+VLOOKUP($T4,INDIRECT(Adrese!B$2),4,FALSE)</f>
        <v>7415</v>
      </c>
      <c r="V4">
        <f ca="1">+VLOOKUP($T4,INDIRECT(Adrese!C$2),4,FALSE)</f>
        <v>7450</v>
      </c>
      <c r="W4">
        <f ca="1">+VLOOKUP($T4,INDIRECT(Adrese!D$2),4,FALSE)</f>
        <v>7448</v>
      </c>
      <c r="X4">
        <f ca="1">+VLOOKUP($T4,INDIRECT(Adrese!E$2),4,FALSE)</f>
        <v>7375</v>
      </c>
      <c r="Y4">
        <f ca="1">+VLOOKUP($T4,INDIRECT(Adrese!F$2),4,FALSE)</f>
        <v>7420</v>
      </c>
      <c r="Z4">
        <f t="shared" ref="Z4:Z17" ca="1" si="6">SUM(U4:Y4)</f>
        <v>37108</v>
      </c>
      <c r="AA4" s="4">
        <f t="shared" ref="AA4:AA17" ca="1" si="7">AVERAGE(U4:Y4)</f>
        <v>7421.6</v>
      </c>
      <c r="AB4" s="4">
        <f t="shared" ref="AB4:AB17" ca="1" si="8">+_xlfn.STDEV.S(U4:Y4)</f>
        <v>30.500819661117308</v>
      </c>
      <c r="AD4" t="s">
        <v>54</v>
      </c>
      <c r="AE4">
        <f ca="1">+VLOOKUP($A4,INDIRECT(Adrese!B$2),5,FALSE)</f>
        <v>2701</v>
      </c>
      <c r="AF4">
        <f ca="1">+VLOOKUP($A4,INDIRECT(Adrese!C$2),5,FALSE)</f>
        <v>2696</v>
      </c>
      <c r="AG4">
        <f ca="1">+VLOOKUP($A4,INDIRECT(Adrese!D$2),5,FALSE)</f>
        <v>2695</v>
      </c>
      <c r="AH4">
        <f ca="1">+VLOOKUP($A4,INDIRECT(Adrese!E$2),5,FALSE)</f>
        <v>2684</v>
      </c>
      <c r="AI4">
        <f ca="1">+VLOOKUP($A4,INDIRECT(Adrese!F$2),5,FALSE)</f>
        <v>2675</v>
      </c>
      <c r="AJ4" s="4">
        <f t="shared" ca="1" si="1"/>
        <v>2690.2</v>
      </c>
      <c r="AK4" s="4">
        <f t="shared" ca="1" si="2"/>
        <v>10.52140675005011</v>
      </c>
      <c r="AM4" t="s">
        <v>54</v>
      </c>
      <c r="AN4" s="4">
        <f ca="1">+VLOOKUP($A4,INDIRECT(Adrese!B$2),6,FALSE)</f>
        <v>0.89321428571428574</v>
      </c>
      <c r="AO4" s="4">
        <f ca="1">+VLOOKUP($A4,INDIRECT(Adrese!C$2),6,FALSE)</f>
        <v>0.89142857142857146</v>
      </c>
      <c r="AP4" s="4">
        <f ca="1">+VLOOKUP($A4,INDIRECT(Adrese!D$2),6,FALSE)</f>
        <v>0.89107142857142863</v>
      </c>
      <c r="AQ4" s="4">
        <f ca="1">+VLOOKUP($A4,INDIRECT(Adrese!E$2),6,FALSE)</f>
        <v>0.88714285714285712</v>
      </c>
      <c r="AR4" s="4">
        <f ca="1">+VLOOKUP($A4,INDIRECT(Adrese!F$2),6,FALSE)</f>
        <v>0.8839285714285714</v>
      </c>
      <c r="AS4" s="4" t="str">
        <f t="shared" ref="AS4:AS17" ca="1" si="9">TEXT(AT4,"0.00")&amp;" ("&amp;TEXT(AU4,"0.00")&amp;")"</f>
        <v>0.89 (0.00)</v>
      </c>
      <c r="AT4" s="4">
        <f t="shared" ref="AT4:AT17" ca="1" si="10">AVERAGE(AN4:AR4)</f>
        <v>0.88935714285714285</v>
      </c>
      <c r="AU4" s="4">
        <f t="shared" ref="AU4:AU17" ca="1" si="11">+_xlfn.STDEV.S(AN4:AR4)</f>
        <v>3.7576452678750702E-3</v>
      </c>
      <c r="AW4" t="s">
        <v>54</v>
      </c>
      <c r="AX4" s="4">
        <f ca="1">+VLOOKUP($A4,INDIRECT(Adrese!B$2),7,FALSE)</f>
        <v>1</v>
      </c>
      <c r="AY4" s="4">
        <f ca="1">+VLOOKUP($A4,INDIRECT(Adrese!C$2),7,FALSE)</f>
        <v>1</v>
      </c>
      <c r="AZ4" s="4">
        <f ca="1">+VLOOKUP($A4,INDIRECT(Adrese!D$2),7,FALSE)</f>
        <v>1</v>
      </c>
      <c r="BA4" s="4">
        <f ca="1">+VLOOKUP($A4,INDIRECT(Adrese!E$2),7,FALSE)</f>
        <v>1</v>
      </c>
      <c r="BB4" s="4">
        <f ca="1">+VLOOKUP($A4,INDIRECT(Adrese!F$2),7,FALSE)</f>
        <v>1</v>
      </c>
      <c r="BC4" s="4" t="str">
        <f t="shared" ref="BC4:BC17" ca="1" si="12">TEXT(BD4,"0.00")&amp;" ("&amp;TEXT(BE4,"0.00")&amp;")"</f>
        <v>1.00 (0.00)</v>
      </c>
      <c r="BD4">
        <f t="shared" ref="BD4:BD17" ca="1" si="13">AVERAGE(AX4:BB4)</f>
        <v>1</v>
      </c>
      <c r="BE4" s="4">
        <f t="shared" ref="BE4:BE17" ca="1" si="14">+_xlfn.STDEV.S(AX4:BB4)</f>
        <v>0</v>
      </c>
      <c r="BG4" t="s">
        <v>54</v>
      </c>
      <c r="BH4" s="4">
        <f ca="1">+VLOOKUP($BG4,INDIRECT(Adrese!B$2),8,FALSE)</f>
        <v>0.31570078829538423</v>
      </c>
      <c r="BI4" s="4">
        <f ca="1">+VLOOKUP($BG4,INDIRECT(Adrese!C$2),8,FALSE)</f>
        <v>0.31443837159604299</v>
      </c>
      <c r="BJ4" s="4">
        <f ca="1">+VLOOKUP($BG4,INDIRECT(Adrese!D$2),8,FALSE)</f>
        <v>0.31367553539055848</v>
      </c>
      <c r="BK4" s="4">
        <f ca="1">+VLOOKUP($BG4,INDIRECT(Adrese!E$2),8,FALSE)</f>
        <v>0.31230402120404432</v>
      </c>
      <c r="BL4" s="4">
        <f ca="1">+VLOOKUP($BG4,INDIRECT(Adrese!F$2),8,FALSE)</f>
        <v>0.31399068022358789</v>
      </c>
      <c r="BM4" s="4" t="str">
        <f t="shared" ref="BM4:BM17" ca="1" si="15">TEXT(BN4,"0.00")&amp;" ("&amp;TEXT(BO4,"0.00")&amp;")"</f>
        <v>0.31 (0.00)</v>
      </c>
      <c r="BN4" s="4">
        <f t="shared" ref="BN4:BN17" ca="1" si="16">AVERAGE(BH4:BL4)</f>
        <v>0.31402187934192355</v>
      </c>
      <c r="BO4" s="4">
        <f t="shared" ref="BO4:BO17" ca="1" si="17">+_xlfn.STDEV.S(BH4:BL4)</f>
        <v>1.2312762861419334E-3</v>
      </c>
      <c r="BQ4" t="s">
        <v>54</v>
      </c>
      <c r="BR4" s="4">
        <f ca="1">+VLOOKUP($BG4,INDIRECT(Adrese!B$2),9,FALSE)</f>
        <v>0.29607898506138969</v>
      </c>
      <c r="BS4" s="4">
        <f ca="1">+VLOOKUP($BG4,INDIRECT(Adrese!C$2),9,FALSE)</f>
        <v>0.30093917180741903</v>
      </c>
      <c r="BT4" s="4">
        <f ca="1">+VLOOKUP($BG4,INDIRECT(Adrese!D$2),9,FALSE)</f>
        <v>0.29352763085199302</v>
      </c>
      <c r="BU4" s="4">
        <f ca="1">+VLOOKUP($BG4,INDIRECT(Adrese!E$2),9,FALSE)</f>
        <v>0.29858916207278408</v>
      </c>
      <c r="BV4" s="4">
        <f ca="1">+VLOOKUP($BG4,INDIRECT(Adrese!F$2),9,FALSE)</f>
        <v>0.29950858391565388</v>
      </c>
      <c r="BW4" s="4" t="str">
        <f t="shared" ref="BW4:BW17" ca="1" si="18">TEXT(BX4,"0.00")&amp;" ("&amp;TEXT(BY4,"0.00")&amp;")"</f>
        <v>0.30 (0.00)</v>
      </c>
      <c r="BX4" s="4">
        <f t="shared" ref="BX4:BX17" ca="1" si="19">AVERAGE(BR4:BV4)</f>
        <v>0.29772870674184793</v>
      </c>
      <c r="BY4" s="4">
        <f t="shared" ref="BY4:BY17" ca="1" si="20">+_xlfn.STDEV.S(BR4:BV4)</f>
        <v>2.9404953801578462E-3</v>
      </c>
    </row>
    <row r="5" spans="1:77" x14ac:dyDescent="0.25">
      <c r="A5" t="s">
        <v>55</v>
      </c>
      <c r="B5">
        <f ca="1">+VLOOKUP($A5,INDIRECT(Adrese!B$2),2,FALSE)</f>
        <v>6</v>
      </c>
      <c r="C5">
        <f ca="1">+VLOOKUP($A5,INDIRECT(Adrese!C$2),2,FALSE)</f>
        <v>6</v>
      </c>
      <c r="D5">
        <f ca="1">+VLOOKUP($A5,INDIRECT(Adrese!D$2),2,FALSE)</f>
        <v>3</v>
      </c>
      <c r="E5">
        <f ca="1">+VLOOKUP($A5,INDIRECT(Adrese!E$2),2,FALSE)</f>
        <v>4</v>
      </c>
      <c r="F5">
        <f ca="1">+VLOOKUP($A5,INDIRECT(Adrese!F$2),2,FALSE)</f>
        <v>3</v>
      </c>
      <c r="H5" s="4">
        <f t="shared" ca="1" si="0"/>
        <v>4.4000000000000004</v>
      </c>
      <c r="J5" t="s">
        <v>55</v>
      </c>
      <c r="K5">
        <f ca="1">+VLOOKUP($A5,INDIRECT(Adrese!B$2),3,FALSE)</f>
        <v>0</v>
      </c>
      <c r="L5">
        <f ca="1">+VLOOKUP($A5,INDIRECT(Adrese!C$2),3,FALSE)</f>
        <v>0</v>
      </c>
      <c r="M5">
        <f ca="1">+VLOOKUP($A5,INDIRECT(Adrese!D$2),3,FALSE)</f>
        <v>0</v>
      </c>
      <c r="N5">
        <f ca="1">+VLOOKUP($A5,INDIRECT(Adrese!E$2),3,FALSE)</f>
        <v>0</v>
      </c>
      <c r="O5">
        <f ca="1">+VLOOKUP($A5,INDIRECT(Adrese!F$2),3,FALSE)</f>
        <v>0</v>
      </c>
      <c r="P5">
        <f t="shared" ca="1" si="3"/>
        <v>0</v>
      </c>
      <c r="Q5" s="4">
        <f t="shared" ca="1" si="4"/>
        <v>0</v>
      </c>
      <c r="R5" s="4">
        <f t="shared" ca="1" si="5"/>
        <v>0</v>
      </c>
      <c r="T5" t="s">
        <v>55</v>
      </c>
      <c r="U5">
        <f ca="1">+VLOOKUP($T5,INDIRECT(Adrese!B$2),4,FALSE)</f>
        <v>7064</v>
      </c>
      <c r="V5">
        <f ca="1">+VLOOKUP($T5,INDIRECT(Adrese!C$2),4,FALSE)</f>
        <v>7189</v>
      </c>
      <c r="W5">
        <f ca="1">+VLOOKUP($T5,INDIRECT(Adrese!D$2),4,FALSE)</f>
        <v>7433</v>
      </c>
      <c r="X5">
        <f ca="1">+VLOOKUP($T5,INDIRECT(Adrese!E$2),4,FALSE)</f>
        <v>7367</v>
      </c>
      <c r="Y5">
        <f ca="1">+VLOOKUP($T5,INDIRECT(Adrese!F$2),4,FALSE)</f>
        <v>7376</v>
      </c>
      <c r="Z5">
        <f t="shared" ca="1" si="6"/>
        <v>36429</v>
      </c>
      <c r="AA5" s="4">
        <f t="shared" ca="1" si="7"/>
        <v>7285.8</v>
      </c>
      <c r="AB5" s="4">
        <f t="shared" ca="1" si="8"/>
        <v>154.0801739355197</v>
      </c>
      <c r="AD5" t="s">
        <v>55</v>
      </c>
      <c r="AE5">
        <f ca="1">+VLOOKUP($A5,INDIRECT(Adrese!B$2),5,FALSE)</f>
        <v>2359</v>
      </c>
      <c r="AF5">
        <f ca="1">+VLOOKUP($A5,INDIRECT(Adrese!C$2),5,FALSE)</f>
        <v>2419</v>
      </c>
      <c r="AG5">
        <f ca="1">+VLOOKUP($A5,INDIRECT(Adrese!D$2),5,FALSE)</f>
        <v>2567</v>
      </c>
      <c r="AH5">
        <f ca="1">+VLOOKUP($A5,INDIRECT(Adrese!E$2),5,FALSE)</f>
        <v>2532</v>
      </c>
      <c r="AI5">
        <f ca="1">+VLOOKUP($A5,INDIRECT(Adrese!F$2),5,FALSE)</f>
        <v>2530</v>
      </c>
      <c r="AJ5" s="4">
        <f t="shared" ca="1" si="1"/>
        <v>2481.4</v>
      </c>
      <c r="AK5" s="4">
        <f t="shared" ca="1" si="2"/>
        <v>88.211677231532107</v>
      </c>
      <c r="AM5" t="s">
        <v>55</v>
      </c>
      <c r="AN5" s="4">
        <f ca="1">+VLOOKUP($A5,INDIRECT(Adrese!B$2),6,FALSE)</f>
        <v>0.77107142857142852</v>
      </c>
      <c r="AO5" s="4">
        <f ca="1">+VLOOKUP($A5,INDIRECT(Adrese!C$2),6,FALSE)</f>
        <v>0.79249999999999998</v>
      </c>
      <c r="AP5" s="4">
        <f ca="1">+VLOOKUP($A5,INDIRECT(Adrese!D$2),6,FALSE)</f>
        <v>0.84535714285714281</v>
      </c>
      <c r="AQ5" s="4">
        <f ca="1">+VLOOKUP($A5,INDIRECT(Adrese!E$2),6,FALSE)</f>
        <v>0.83285714285714285</v>
      </c>
      <c r="AR5" s="4">
        <f ca="1">+VLOOKUP($A5,INDIRECT(Adrese!F$2),6,FALSE)</f>
        <v>0.83214285714285718</v>
      </c>
      <c r="AS5" s="4" t="str">
        <f t="shared" ca="1" si="9"/>
        <v>0.81 (0.03)</v>
      </c>
      <c r="AT5" s="4">
        <f t="shared" ca="1" si="10"/>
        <v>0.81478571428571434</v>
      </c>
      <c r="AU5" s="4">
        <f t="shared" ca="1" si="11"/>
        <v>3.1504170439832904E-2</v>
      </c>
      <c r="AW5" t="s">
        <v>55</v>
      </c>
      <c r="AX5" s="4">
        <f ca="1">+VLOOKUP($A5,INDIRECT(Adrese!B$2),7,FALSE)</f>
        <v>1</v>
      </c>
      <c r="AY5" s="4">
        <f ca="1">+VLOOKUP($A5,INDIRECT(Adrese!C$2),7,FALSE)</f>
        <v>1</v>
      </c>
      <c r="AZ5" s="4">
        <f ca="1">+VLOOKUP($A5,INDIRECT(Adrese!D$2),7,FALSE)</f>
        <v>1</v>
      </c>
      <c r="BA5" s="4">
        <f ca="1">+VLOOKUP($A5,INDIRECT(Adrese!E$2),7,FALSE)</f>
        <v>1</v>
      </c>
      <c r="BB5" s="4">
        <f ca="1">+VLOOKUP($A5,INDIRECT(Adrese!F$2),7,FALSE)</f>
        <v>1</v>
      </c>
      <c r="BC5" s="4" t="str">
        <f t="shared" ca="1" si="12"/>
        <v>1.00 (0.00)</v>
      </c>
      <c r="BD5">
        <f t="shared" ca="1" si="13"/>
        <v>1</v>
      </c>
      <c r="BE5" s="4">
        <f t="shared" ca="1" si="14"/>
        <v>0</v>
      </c>
      <c r="BG5" t="s">
        <v>55</v>
      </c>
      <c r="BH5" s="4">
        <f ca="1">+VLOOKUP($BG5,INDIRECT(Adrese!B$2),8,FALSE)</f>
        <v>0.30022112895927339</v>
      </c>
      <c r="BI5" s="4">
        <f ca="1">+VLOOKUP($BG5,INDIRECT(Adrese!C$2),8,FALSE)</f>
        <v>0.30154467890797187</v>
      </c>
      <c r="BJ5" s="4">
        <f ca="1">+VLOOKUP($BG5,INDIRECT(Adrese!D$2),8,FALSE)</f>
        <v>0.3126709650452944</v>
      </c>
      <c r="BK5" s="4">
        <f ca="1">+VLOOKUP($BG5,INDIRECT(Adrese!E$2),8,FALSE)</f>
        <v>0.30860859435027083</v>
      </c>
      <c r="BL5" s="4">
        <f ca="1">+VLOOKUP($BG5,INDIRECT(Adrese!F$2),8,FALSE)</f>
        <v>0.31047725958376732</v>
      </c>
      <c r="BM5" s="4" t="str">
        <f t="shared" ca="1" si="15"/>
        <v>0.31 (0.01)</v>
      </c>
      <c r="BN5" s="4">
        <f t="shared" ca="1" si="16"/>
        <v>0.30670452536931553</v>
      </c>
      <c r="BO5" s="4">
        <f t="shared" ca="1" si="17"/>
        <v>5.525302006646653E-3</v>
      </c>
      <c r="BQ5" t="s">
        <v>55</v>
      </c>
      <c r="BR5" s="4">
        <f ca="1">+VLOOKUP($BG5,INDIRECT(Adrese!B$2),9,FALSE)</f>
        <v>0.32162476743132479</v>
      </c>
      <c r="BS5" s="4">
        <f ca="1">+VLOOKUP($BG5,INDIRECT(Adrese!C$2),9,FALSE)</f>
        <v>0.31932263651698689</v>
      </c>
      <c r="BT5" s="4">
        <f ca="1">+VLOOKUP($BG5,INDIRECT(Adrese!D$2),9,FALSE)</f>
        <v>0.32224228478860573</v>
      </c>
      <c r="BU5" s="4">
        <f ca="1">+VLOOKUP($BG5,INDIRECT(Adrese!E$2),9,FALSE)</f>
        <v>0.32499815428554579</v>
      </c>
      <c r="BV5" s="4">
        <f ca="1">+VLOOKUP($BG5,INDIRECT(Adrese!F$2),9,FALSE)</f>
        <v>0.32368890241951892</v>
      </c>
      <c r="BW5" s="4" t="str">
        <f t="shared" ca="1" si="18"/>
        <v>0.32 (0.00)</v>
      </c>
      <c r="BX5" s="4">
        <f t="shared" ca="1" si="19"/>
        <v>0.32237534908839638</v>
      </c>
      <c r="BY5" s="4">
        <f t="shared" ca="1" si="20"/>
        <v>2.1508522980059406E-3</v>
      </c>
    </row>
    <row r="6" spans="1:77" x14ac:dyDescent="0.25">
      <c r="A6" t="s">
        <v>56</v>
      </c>
      <c r="B6">
        <f ca="1">+VLOOKUP($A6,INDIRECT(Adrese!B$2),2,FALSE)</f>
        <v>3</v>
      </c>
      <c r="C6">
        <f ca="1">+VLOOKUP($A6,INDIRECT(Adrese!C$2),2,FALSE)</f>
        <v>2</v>
      </c>
      <c r="D6">
        <f ca="1">+VLOOKUP($A6,INDIRECT(Adrese!D$2),2,FALSE)</f>
        <v>5</v>
      </c>
      <c r="E6">
        <f ca="1">+VLOOKUP($A6,INDIRECT(Adrese!E$2),2,FALSE)</f>
        <v>2</v>
      </c>
      <c r="F6">
        <f ca="1">+VLOOKUP($A6,INDIRECT(Adrese!F$2),2,FALSE)</f>
        <v>4</v>
      </c>
      <c r="H6" s="4">
        <f t="shared" ca="1" si="0"/>
        <v>3.2</v>
      </c>
      <c r="J6" t="s">
        <v>56</v>
      </c>
      <c r="K6">
        <f ca="1">+VLOOKUP($A6,INDIRECT(Adrese!B$2),3,FALSE)</f>
        <v>0</v>
      </c>
      <c r="L6">
        <f ca="1">+VLOOKUP($A6,INDIRECT(Adrese!C$2),3,FALSE)</f>
        <v>0</v>
      </c>
      <c r="M6">
        <f ca="1">+VLOOKUP($A6,INDIRECT(Adrese!D$2),3,FALSE)</f>
        <v>0</v>
      </c>
      <c r="N6">
        <f ca="1">+VLOOKUP($A6,INDIRECT(Adrese!E$2),3,FALSE)</f>
        <v>0</v>
      </c>
      <c r="O6">
        <f ca="1">+VLOOKUP($A6,INDIRECT(Adrese!F$2),3,FALSE)</f>
        <v>0</v>
      </c>
      <c r="P6">
        <f t="shared" ca="1" si="3"/>
        <v>0</v>
      </c>
      <c r="Q6" s="4">
        <f t="shared" ca="1" si="4"/>
        <v>0</v>
      </c>
      <c r="R6" s="4">
        <f t="shared" ca="1" si="5"/>
        <v>0</v>
      </c>
      <c r="T6" t="s">
        <v>56</v>
      </c>
      <c r="U6">
        <f ca="1">+VLOOKUP($T6,INDIRECT(Adrese!B$2),4,FALSE)</f>
        <v>7367</v>
      </c>
      <c r="V6">
        <f ca="1">+VLOOKUP($T6,INDIRECT(Adrese!C$2),4,FALSE)</f>
        <v>7454</v>
      </c>
      <c r="W6">
        <f ca="1">+VLOOKUP($T6,INDIRECT(Adrese!D$2),4,FALSE)</f>
        <v>7318</v>
      </c>
      <c r="X6">
        <f ca="1">+VLOOKUP($T6,INDIRECT(Adrese!E$2),4,FALSE)</f>
        <v>7385</v>
      </c>
      <c r="Y6">
        <f ca="1">+VLOOKUP($T6,INDIRECT(Adrese!F$2),4,FALSE)</f>
        <v>7369</v>
      </c>
      <c r="Z6">
        <f t="shared" ca="1" si="6"/>
        <v>36893</v>
      </c>
      <c r="AA6" s="4">
        <f t="shared" ca="1" si="7"/>
        <v>7378.6</v>
      </c>
      <c r="AB6" s="4">
        <f t="shared" ca="1" si="8"/>
        <v>49.05405182041541</v>
      </c>
      <c r="AD6" t="s">
        <v>56</v>
      </c>
      <c r="AE6">
        <f ca="1">+VLOOKUP($A6,INDIRECT(Adrese!B$2),5,FALSE)</f>
        <v>2604</v>
      </c>
      <c r="AF6">
        <f ca="1">+VLOOKUP($A6,INDIRECT(Adrese!C$2),5,FALSE)</f>
        <v>2632</v>
      </c>
      <c r="AG6">
        <f ca="1">+VLOOKUP($A6,INDIRECT(Adrese!D$2),5,FALSE)</f>
        <v>2575</v>
      </c>
      <c r="AH6">
        <f ca="1">+VLOOKUP($A6,INDIRECT(Adrese!E$2),5,FALSE)</f>
        <v>2590</v>
      </c>
      <c r="AI6">
        <f ca="1">+VLOOKUP($A6,INDIRECT(Adrese!F$2),5,FALSE)</f>
        <v>2563</v>
      </c>
      <c r="AJ6" s="4">
        <f t="shared" ca="1" si="1"/>
        <v>2592.8000000000002</v>
      </c>
      <c r="AK6" s="4">
        <f t="shared" ca="1" si="2"/>
        <v>26.808580715882741</v>
      </c>
      <c r="AM6" t="s">
        <v>56</v>
      </c>
      <c r="AN6" s="4">
        <f ca="1">+VLOOKUP($A6,INDIRECT(Adrese!B$2),6,FALSE)</f>
        <v>0.85857142857142854</v>
      </c>
      <c r="AO6" s="4">
        <f ca="1">+VLOOKUP($A6,INDIRECT(Adrese!C$2),6,FALSE)</f>
        <v>0.86857142857142855</v>
      </c>
      <c r="AP6" s="4">
        <f ca="1">+VLOOKUP($A6,INDIRECT(Adrese!D$2),6,FALSE)</f>
        <v>0.8482142857142857</v>
      </c>
      <c r="AQ6" s="4">
        <f ca="1">+VLOOKUP($A6,INDIRECT(Adrese!E$2),6,FALSE)</f>
        <v>0.85357142857142854</v>
      </c>
      <c r="AR6" s="4">
        <f ca="1">+VLOOKUP($A6,INDIRECT(Adrese!F$2),6,FALSE)</f>
        <v>0.84392857142857147</v>
      </c>
      <c r="AS6" s="4" t="str">
        <f t="shared" ca="1" si="9"/>
        <v>0.85 (0.01)</v>
      </c>
      <c r="AT6" s="4">
        <f t="shared" ca="1" si="10"/>
        <v>0.85457142857142865</v>
      </c>
      <c r="AU6" s="4">
        <f t="shared" ca="1" si="11"/>
        <v>9.5744931128152449E-3</v>
      </c>
      <c r="AW6" t="s">
        <v>56</v>
      </c>
      <c r="AX6" s="4">
        <f ca="1">+VLOOKUP($A6,INDIRECT(Adrese!B$2),7,FALSE)</f>
        <v>1</v>
      </c>
      <c r="AY6" s="4">
        <f ca="1">+VLOOKUP($A6,INDIRECT(Adrese!C$2),7,FALSE)</f>
        <v>1</v>
      </c>
      <c r="AZ6" s="4">
        <f ca="1">+VLOOKUP($A6,INDIRECT(Adrese!D$2),7,FALSE)</f>
        <v>1</v>
      </c>
      <c r="BA6" s="4">
        <f ca="1">+VLOOKUP($A6,INDIRECT(Adrese!E$2),7,FALSE)</f>
        <v>1</v>
      </c>
      <c r="BB6" s="4">
        <f ca="1">+VLOOKUP($A6,INDIRECT(Adrese!F$2),7,FALSE)</f>
        <v>1</v>
      </c>
      <c r="BC6" s="4" t="str">
        <f t="shared" ca="1" si="12"/>
        <v>1.00 (0.00)</v>
      </c>
      <c r="BD6">
        <f t="shared" ca="1" si="13"/>
        <v>1</v>
      </c>
      <c r="BE6" s="4">
        <f t="shared" ca="1" si="14"/>
        <v>0</v>
      </c>
      <c r="BG6" t="s">
        <v>56</v>
      </c>
      <c r="BH6" s="4">
        <f ca="1">+VLOOKUP($BG6,INDIRECT(Adrese!B$2),8,FALSE)</f>
        <v>0.31178633115379301</v>
      </c>
      <c r="BI6" s="4">
        <f ca="1">+VLOOKUP($BG6,INDIRECT(Adrese!C$2),8,FALSE)</f>
        <v>0.31009941880671599</v>
      </c>
      <c r="BJ6" s="4">
        <f ca="1">+VLOOKUP($BG6,INDIRECT(Adrese!D$2),8,FALSE)</f>
        <v>0.30779575941400888</v>
      </c>
      <c r="BK6" s="4">
        <f ca="1">+VLOOKUP($BG6,INDIRECT(Adrese!E$2),8,FALSE)</f>
        <v>0.30687622282392801</v>
      </c>
      <c r="BL6" s="4">
        <f ca="1">+VLOOKUP($BG6,INDIRECT(Adrese!F$2),8,FALSE)</f>
        <v>0.30813892350156658</v>
      </c>
      <c r="BM6" s="4" t="str">
        <f t="shared" ca="1" si="15"/>
        <v>0.31 (0.00)</v>
      </c>
      <c r="BN6" s="4">
        <f t="shared" ca="1" si="16"/>
        <v>0.30893933114000249</v>
      </c>
      <c r="BO6" s="4">
        <f t="shared" ca="1" si="17"/>
        <v>1.9783855208855387E-3</v>
      </c>
      <c r="BQ6" t="s">
        <v>56</v>
      </c>
      <c r="BR6" s="4">
        <f ca="1">+VLOOKUP($BG6,INDIRECT(Adrese!B$2),9,FALSE)</f>
        <v>0.30549745383478372</v>
      </c>
      <c r="BS6" s="4">
        <f ca="1">+VLOOKUP($BG6,INDIRECT(Adrese!C$2),9,FALSE)</f>
        <v>0.30024947541579039</v>
      </c>
      <c r="BT6" s="4">
        <f ca="1">+VLOOKUP($BG6,INDIRECT(Adrese!D$2),9,FALSE)</f>
        <v>0.30071843442230589</v>
      </c>
      <c r="BU6" s="4">
        <f ca="1">+VLOOKUP($BG6,INDIRECT(Adrese!E$2),9,FALSE)</f>
        <v>0.30168722795510727</v>
      </c>
      <c r="BV6" s="4">
        <f ca="1">+VLOOKUP($BG6,INDIRECT(Adrese!F$2),9,FALSE)</f>
        <v>0.30509594534095419</v>
      </c>
      <c r="BW6" s="4" t="str">
        <f t="shared" ca="1" si="18"/>
        <v>0.30 (0.00)</v>
      </c>
      <c r="BX6" s="4">
        <f t="shared" ca="1" si="19"/>
        <v>0.30264970739378833</v>
      </c>
      <c r="BY6" s="4">
        <f t="shared" ca="1" si="20"/>
        <v>2.4754310430116226E-3</v>
      </c>
    </row>
    <row r="7" spans="1:77" x14ac:dyDescent="0.25">
      <c r="A7" t="s">
        <v>57</v>
      </c>
      <c r="B7">
        <f ca="1">+VLOOKUP($A7,INDIRECT(Adrese!B$2),2,FALSE)</f>
        <v>5</v>
      </c>
      <c r="C7">
        <f ca="1">+VLOOKUP($A7,INDIRECT(Adrese!C$2),2,FALSE)</f>
        <v>4</v>
      </c>
      <c r="D7">
        <f ca="1">+VLOOKUP($A7,INDIRECT(Adrese!D$2),2,FALSE)</f>
        <v>6</v>
      </c>
      <c r="E7">
        <f ca="1">+VLOOKUP($A7,INDIRECT(Adrese!E$2),2,FALSE)</f>
        <v>6</v>
      </c>
      <c r="F7">
        <f ca="1">+VLOOKUP($A7,INDIRECT(Adrese!F$2),2,FALSE)</f>
        <v>5</v>
      </c>
      <c r="H7" s="4">
        <f t="shared" ca="1" si="0"/>
        <v>5.2</v>
      </c>
      <c r="J7" t="s">
        <v>57</v>
      </c>
      <c r="K7">
        <f ca="1">+VLOOKUP($A7,INDIRECT(Adrese!B$2),3,FALSE)</f>
        <v>0</v>
      </c>
      <c r="L7">
        <f ca="1">+VLOOKUP($A7,INDIRECT(Adrese!C$2),3,FALSE)</f>
        <v>0</v>
      </c>
      <c r="M7">
        <f ca="1">+VLOOKUP($A7,INDIRECT(Adrese!D$2),3,FALSE)</f>
        <v>0</v>
      </c>
      <c r="N7">
        <f ca="1">+VLOOKUP($A7,INDIRECT(Adrese!E$2),3,FALSE)</f>
        <v>0</v>
      </c>
      <c r="O7">
        <f ca="1">+VLOOKUP($A7,INDIRECT(Adrese!F$2),3,FALSE)</f>
        <v>0</v>
      </c>
      <c r="P7">
        <f t="shared" ca="1" si="3"/>
        <v>0</v>
      </c>
      <c r="Q7" s="4">
        <f t="shared" ca="1" si="4"/>
        <v>0</v>
      </c>
      <c r="R7" s="4">
        <f t="shared" ca="1" si="5"/>
        <v>0</v>
      </c>
      <c r="T7" t="s">
        <v>57</v>
      </c>
      <c r="U7">
        <f ca="1">+VLOOKUP($T7,INDIRECT(Adrese!B$2),4,FALSE)</f>
        <v>7278</v>
      </c>
      <c r="V7">
        <f ca="1">+VLOOKUP($T7,INDIRECT(Adrese!C$2),4,FALSE)</f>
        <v>7329</v>
      </c>
      <c r="W7">
        <f ca="1">+VLOOKUP($T7,INDIRECT(Adrese!D$2),4,FALSE)</f>
        <v>7299</v>
      </c>
      <c r="X7">
        <f ca="1">+VLOOKUP($T7,INDIRECT(Adrese!E$2),4,FALSE)</f>
        <v>7272</v>
      </c>
      <c r="Y7">
        <f ca="1">+VLOOKUP($T7,INDIRECT(Adrese!F$2),4,FALSE)</f>
        <v>7290</v>
      </c>
      <c r="Z7">
        <f t="shared" ca="1" si="6"/>
        <v>36468</v>
      </c>
      <c r="AA7" s="4">
        <f t="shared" ca="1" si="7"/>
        <v>7293.6</v>
      </c>
      <c r="AB7" s="4">
        <f t="shared" ca="1" si="8"/>
        <v>22.389729788454346</v>
      </c>
      <c r="AD7" t="s">
        <v>57</v>
      </c>
      <c r="AE7">
        <f ca="1">+VLOOKUP($A7,INDIRECT(Adrese!B$2),5,FALSE)</f>
        <v>3000</v>
      </c>
      <c r="AF7">
        <f ca="1">+VLOOKUP($A7,INDIRECT(Adrese!C$2),5,FALSE)</f>
        <v>3000</v>
      </c>
      <c r="AG7">
        <f ca="1">+VLOOKUP($A7,INDIRECT(Adrese!D$2),5,FALSE)</f>
        <v>3000</v>
      </c>
      <c r="AH7">
        <f ca="1">+VLOOKUP($A7,INDIRECT(Adrese!E$2),5,FALSE)</f>
        <v>3000</v>
      </c>
      <c r="AI7">
        <f ca="1">+VLOOKUP($A7,INDIRECT(Adrese!F$2),5,FALSE)</f>
        <v>3000</v>
      </c>
      <c r="AJ7" s="4">
        <f t="shared" ca="1" si="1"/>
        <v>3000</v>
      </c>
      <c r="AK7" s="4">
        <f t="shared" ca="1" si="2"/>
        <v>0</v>
      </c>
      <c r="AM7" t="s">
        <v>57</v>
      </c>
      <c r="AN7" s="4">
        <f ca="1">+VLOOKUP($A7,INDIRECT(Adrese!B$2),6,FALSE)</f>
        <v>1</v>
      </c>
      <c r="AO7" s="4">
        <f ca="1">+VLOOKUP($A7,INDIRECT(Adrese!C$2),6,FALSE)</f>
        <v>1</v>
      </c>
      <c r="AP7" s="4">
        <f ca="1">+VLOOKUP($A7,INDIRECT(Adrese!D$2),6,FALSE)</f>
        <v>1</v>
      </c>
      <c r="AQ7" s="4">
        <f ca="1">+VLOOKUP($A7,INDIRECT(Adrese!E$2),6,FALSE)</f>
        <v>1</v>
      </c>
      <c r="AR7" s="4">
        <f ca="1">+VLOOKUP($A7,INDIRECT(Adrese!F$2),6,FALSE)</f>
        <v>1</v>
      </c>
      <c r="AS7" s="4" t="str">
        <f t="shared" ca="1" si="9"/>
        <v>1.00 (0.00)</v>
      </c>
      <c r="AT7" s="4">
        <f t="shared" ca="1" si="10"/>
        <v>1</v>
      </c>
      <c r="AU7" s="4">
        <f t="shared" ca="1" si="11"/>
        <v>0</v>
      </c>
      <c r="AW7" t="s">
        <v>57</v>
      </c>
      <c r="AX7" s="4">
        <f ca="1">+VLOOKUP($A7,INDIRECT(Adrese!B$2),7,FALSE)</f>
        <v>1</v>
      </c>
      <c r="AY7" s="4">
        <f ca="1">+VLOOKUP($A7,INDIRECT(Adrese!C$2),7,FALSE)</f>
        <v>1</v>
      </c>
      <c r="AZ7" s="4">
        <f ca="1">+VLOOKUP($A7,INDIRECT(Adrese!D$2),7,FALSE)</f>
        <v>1</v>
      </c>
      <c r="BA7" s="4">
        <f ca="1">+VLOOKUP($A7,INDIRECT(Adrese!E$2),7,FALSE)</f>
        <v>1</v>
      </c>
      <c r="BB7" s="4">
        <f ca="1">+VLOOKUP($A7,INDIRECT(Adrese!F$2),7,FALSE)</f>
        <v>1</v>
      </c>
      <c r="BC7" s="4" t="str">
        <f t="shared" ca="1" si="12"/>
        <v>1.00 (0.00)</v>
      </c>
      <c r="BD7">
        <f t="shared" ca="1" si="13"/>
        <v>1</v>
      </c>
      <c r="BE7" s="4">
        <f t="shared" ca="1" si="14"/>
        <v>0</v>
      </c>
      <c r="BG7" t="s">
        <v>57</v>
      </c>
      <c r="BH7" s="4">
        <f ca="1">+VLOOKUP($BG7,INDIRECT(Adrese!B$2),8,FALSE)</f>
        <v>0.32552496414811238</v>
      </c>
      <c r="BI7" s="4">
        <f ca="1">+VLOOKUP($BG7,INDIRECT(Adrese!C$2),8,FALSE)</f>
        <v>0.32497494760280482</v>
      </c>
      <c r="BJ7" s="4">
        <f ca="1">+VLOOKUP($BG7,INDIRECT(Adrese!D$2),8,FALSE)</f>
        <v>0.32362758802229552</v>
      </c>
      <c r="BK7" s="4">
        <f ca="1">+VLOOKUP($BG7,INDIRECT(Adrese!E$2),8,FALSE)</f>
        <v>0.32372652333303759</v>
      </c>
      <c r="BL7" s="4">
        <f ca="1">+VLOOKUP($BG7,INDIRECT(Adrese!F$2),8,FALSE)</f>
        <v>0.32459664555421452</v>
      </c>
      <c r="BM7" s="4" t="str">
        <f t="shared" ca="1" si="15"/>
        <v>0.32 (0.00)</v>
      </c>
      <c r="BN7" s="4">
        <f t="shared" ca="1" si="16"/>
        <v>0.32449013373209301</v>
      </c>
      <c r="BO7" s="4">
        <f t="shared" ca="1" si="17"/>
        <v>8.1307275050278901E-4</v>
      </c>
      <c r="BQ7" t="s">
        <v>57</v>
      </c>
      <c r="BR7" s="4">
        <f ca="1">+VLOOKUP($BG7,INDIRECT(Adrese!B$2),9,FALSE)</f>
        <v>0.2582426448148713</v>
      </c>
      <c r="BS7" s="4">
        <f ca="1">+VLOOKUP($BG7,INDIRECT(Adrese!C$2),9,FALSE)</f>
        <v>0.26266230523200418</v>
      </c>
      <c r="BT7" s="4">
        <f ca="1">+VLOOKUP($BG7,INDIRECT(Adrese!D$2),9,FALSE)</f>
        <v>0.25560458715720541</v>
      </c>
      <c r="BU7" s="4">
        <f ca="1">+VLOOKUP($BG7,INDIRECT(Adrese!E$2),9,FALSE)</f>
        <v>0.26257920953765368</v>
      </c>
      <c r="BV7" s="4">
        <f ca="1">+VLOOKUP($BG7,INDIRECT(Adrese!F$2),9,FALSE)</f>
        <v>0.25757331645231279</v>
      </c>
      <c r="BW7" s="4" t="str">
        <f t="shared" ca="1" si="18"/>
        <v>0.26 (0.00)</v>
      </c>
      <c r="BX7" s="4">
        <f t="shared" ca="1" si="19"/>
        <v>0.25933241263880952</v>
      </c>
      <c r="BY7" s="4">
        <f t="shared" ca="1" si="20"/>
        <v>3.1547016859479744E-3</v>
      </c>
    </row>
    <row r="8" spans="1:77" x14ac:dyDescent="0.25">
      <c r="A8" t="s">
        <v>58</v>
      </c>
      <c r="B8">
        <f ca="1">+VLOOKUP($A8,INDIRECT(Adrese!B$2),2,FALSE)</f>
        <v>4</v>
      </c>
      <c r="C8">
        <f ca="1">+VLOOKUP($A8,INDIRECT(Adrese!C$2),2,FALSE)</f>
        <v>5</v>
      </c>
      <c r="D8">
        <f ca="1">+VLOOKUP($A8,INDIRECT(Adrese!D$2),2,FALSE)</f>
        <v>4</v>
      </c>
      <c r="E8">
        <f ca="1">+VLOOKUP($A8,INDIRECT(Adrese!E$2),2,FALSE)</f>
        <v>5</v>
      </c>
      <c r="F8">
        <f ca="1">+VLOOKUP($A8,INDIRECT(Adrese!F$2),2,FALSE)</f>
        <v>6</v>
      </c>
      <c r="H8" s="4">
        <f t="shared" ca="1" si="0"/>
        <v>4.8</v>
      </c>
      <c r="J8" t="s">
        <v>58</v>
      </c>
      <c r="K8">
        <f ca="1">+VLOOKUP($A8,INDIRECT(Adrese!B$2),3,FALSE)</f>
        <v>0</v>
      </c>
      <c r="L8">
        <f ca="1">+VLOOKUP($A8,INDIRECT(Adrese!C$2),3,FALSE)</f>
        <v>0</v>
      </c>
      <c r="M8">
        <f ca="1">+VLOOKUP($A8,INDIRECT(Adrese!D$2),3,FALSE)</f>
        <v>0</v>
      </c>
      <c r="N8">
        <f ca="1">+VLOOKUP($A8,INDIRECT(Adrese!E$2),3,FALSE)</f>
        <v>0</v>
      </c>
      <c r="O8">
        <f ca="1">+VLOOKUP($A8,INDIRECT(Adrese!F$2),3,FALSE)</f>
        <v>0</v>
      </c>
      <c r="P8">
        <f t="shared" ca="1" si="3"/>
        <v>0</v>
      </c>
      <c r="Q8" s="4">
        <f t="shared" ca="1" si="4"/>
        <v>0</v>
      </c>
      <c r="R8" s="4">
        <f t="shared" ca="1" si="5"/>
        <v>0</v>
      </c>
      <c r="T8" t="s">
        <v>58</v>
      </c>
      <c r="U8">
        <f ca="1">+VLOOKUP($T8,INDIRECT(Adrese!B$2),4,FALSE)</f>
        <v>7336</v>
      </c>
      <c r="V8">
        <f ca="1">+VLOOKUP($T8,INDIRECT(Adrese!C$2),4,FALSE)</f>
        <v>7312</v>
      </c>
      <c r="W8">
        <f ca="1">+VLOOKUP($T8,INDIRECT(Adrese!D$2),4,FALSE)</f>
        <v>7337</v>
      </c>
      <c r="X8">
        <f ca="1">+VLOOKUP($T8,INDIRECT(Adrese!E$2),4,FALSE)</f>
        <v>7314</v>
      </c>
      <c r="Y8">
        <f ca="1">+VLOOKUP($T8,INDIRECT(Adrese!F$2),4,FALSE)</f>
        <v>7078</v>
      </c>
      <c r="Z8">
        <f t="shared" ca="1" si="6"/>
        <v>36377</v>
      </c>
      <c r="AA8" s="4">
        <f t="shared" ca="1" si="7"/>
        <v>7275.4</v>
      </c>
      <c r="AB8" s="4">
        <f t="shared" ca="1" si="8"/>
        <v>110.97657410462804</v>
      </c>
      <c r="AD8" t="s">
        <v>58</v>
      </c>
      <c r="AE8">
        <f ca="1">+VLOOKUP($A8,INDIRECT(Adrese!B$2),5,FALSE)</f>
        <v>2575</v>
      </c>
      <c r="AF8">
        <f ca="1">+VLOOKUP($A8,INDIRECT(Adrese!C$2),5,FALSE)</f>
        <v>2553</v>
      </c>
      <c r="AG8">
        <f ca="1">+VLOOKUP($A8,INDIRECT(Adrese!D$2),5,FALSE)</f>
        <v>2565</v>
      </c>
      <c r="AH8">
        <f ca="1">+VLOOKUP($A8,INDIRECT(Adrese!E$2),5,FALSE)</f>
        <v>2558</v>
      </c>
      <c r="AI8">
        <f ca="1">+VLOOKUP($A8,INDIRECT(Adrese!F$2),5,FALSE)</f>
        <v>2416</v>
      </c>
      <c r="AJ8" s="4">
        <f t="shared" ca="1" si="1"/>
        <v>2533.4</v>
      </c>
      <c r="AK8" s="4">
        <f t="shared" ca="1" si="2"/>
        <v>66.146050524577802</v>
      </c>
      <c r="AM8" t="s">
        <v>58</v>
      </c>
      <c r="AN8" s="4">
        <f ca="1">+VLOOKUP($A8,INDIRECT(Adrese!B$2),6,FALSE)</f>
        <v>0.8482142857142857</v>
      </c>
      <c r="AO8" s="4">
        <f ca="1">+VLOOKUP($A8,INDIRECT(Adrese!C$2),6,FALSE)</f>
        <v>0.8403571428571428</v>
      </c>
      <c r="AP8" s="4">
        <f ca="1">+VLOOKUP($A8,INDIRECT(Adrese!D$2),6,FALSE)</f>
        <v>0.84464285714285714</v>
      </c>
      <c r="AQ8" s="4">
        <f ca="1">+VLOOKUP($A8,INDIRECT(Adrese!E$2),6,FALSE)</f>
        <v>0.84214285714285719</v>
      </c>
      <c r="AR8" s="4">
        <f ca="1">+VLOOKUP($A8,INDIRECT(Adrese!F$2),6,FALSE)</f>
        <v>0.79142857142857148</v>
      </c>
      <c r="AS8" s="4" t="str">
        <f t="shared" ca="1" si="9"/>
        <v>0.83 (0.02)</v>
      </c>
      <c r="AT8" s="4">
        <f t="shared" ca="1" si="10"/>
        <v>0.8333571428571428</v>
      </c>
      <c r="AU8" s="4">
        <f t="shared" ca="1" si="11"/>
        <v>2.3623589473063474E-2</v>
      </c>
      <c r="AW8" t="s">
        <v>58</v>
      </c>
      <c r="AX8" s="4">
        <f ca="1">+VLOOKUP($A8,INDIRECT(Adrese!B$2),7,FALSE)</f>
        <v>1</v>
      </c>
      <c r="AY8" s="4">
        <f ca="1">+VLOOKUP($A8,INDIRECT(Adrese!C$2),7,FALSE)</f>
        <v>1</v>
      </c>
      <c r="AZ8" s="4">
        <f ca="1">+VLOOKUP($A8,INDIRECT(Adrese!D$2),7,FALSE)</f>
        <v>1</v>
      </c>
      <c r="BA8" s="4">
        <f ca="1">+VLOOKUP($A8,INDIRECT(Adrese!E$2),7,FALSE)</f>
        <v>1</v>
      </c>
      <c r="BB8" s="4">
        <f ca="1">+VLOOKUP($A8,INDIRECT(Adrese!F$2),7,FALSE)</f>
        <v>1</v>
      </c>
      <c r="BC8" s="4" t="str">
        <f t="shared" ca="1" si="12"/>
        <v>1.00 (0.00)</v>
      </c>
      <c r="BD8">
        <f t="shared" ca="1" si="13"/>
        <v>1</v>
      </c>
      <c r="BE8" s="4">
        <f t="shared" ca="1" si="14"/>
        <v>0</v>
      </c>
      <c r="BG8" t="s">
        <v>58</v>
      </c>
      <c r="BH8" s="4">
        <f ca="1">+VLOOKUP($BG8,INDIRECT(Adrese!B$2),8,FALSE)</f>
        <v>0.314969073442807</v>
      </c>
      <c r="BI8" s="4">
        <f ca="1">+VLOOKUP($BG8,INDIRECT(Adrese!C$2),8,FALSE)</f>
        <v>0.31079159248045352</v>
      </c>
      <c r="BJ8" s="4">
        <f ca="1">+VLOOKUP($BG8,INDIRECT(Adrese!D$2),8,FALSE)</f>
        <v>0.31266331067751768</v>
      </c>
      <c r="BK8" s="4">
        <f ca="1">+VLOOKUP($BG8,INDIRECT(Adrese!E$2),8,FALSE)</f>
        <v>0.31003267143193702</v>
      </c>
      <c r="BL8" s="4">
        <f ca="1">+VLOOKUP($BG8,INDIRECT(Adrese!F$2),8,FALSE)</f>
        <v>0.3032629012139369</v>
      </c>
      <c r="BM8" s="4" t="str">
        <f t="shared" ca="1" si="15"/>
        <v>0.31 (0.00)</v>
      </c>
      <c r="BN8" s="4">
        <f t="shared" ca="1" si="16"/>
        <v>0.31034390984933047</v>
      </c>
      <c r="BO8" s="4">
        <f t="shared" ca="1" si="17"/>
        <v>4.3934533926458536E-3</v>
      </c>
      <c r="BQ8" t="s">
        <v>58</v>
      </c>
      <c r="BR8" s="4">
        <f ca="1">+VLOOKUP($BG8,INDIRECT(Adrese!B$2),9,FALSE)</f>
        <v>0.32326403170691181</v>
      </c>
      <c r="BS8" s="4">
        <f ca="1">+VLOOKUP($BG8,INDIRECT(Adrese!C$2),9,FALSE)</f>
        <v>0.32307920506452381</v>
      </c>
      <c r="BT8" s="4">
        <f ca="1">+VLOOKUP($BG8,INDIRECT(Adrese!D$2),9,FALSE)</f>
        <v>0.32262424448742921</v>
      </c>
      <c r="BU8" s="4">
        <f ca="1">+VLOOKUP($BG8,INDIRECT(Adrese!E$2),9,FALSE)</f>
        <v>0.32179762327679851</v>
      </c>
      <c r="BV8" s="4">
        <f ca="1">+VLOOKUP($BG8,INDIRECT(Adrese!F$2),9,FALSE)</f>
        <v>0.32190542675625838</v>
      </c>
      <c r="BW8" s="4" t="str">
        <f t="shared" ca="1" si="18"/>
        <v>0.32 (0.00)</v>
      </c>
      <c r="BX8" s="4">
        <f t="shared" ca="1" si="19"/>
        <v>0.32253410625838436</v>
      </c>
      <c r="BY8" s="4">
        <f t="shared" ca="1" si="20"/>
        <v>6.6627581896631927E-4</v>
      </c>
    </row>
    <row r="9" spans="1:77" x14ac:dyDescent="0.25">
      <c r="A9" t="s">
        <v>9</v>
      </c>
      <c r="B9">
        <f ca="1">+VLOOKUP($A9,INDIRECT(Adrese!B$2),2,FALSE)</f>
        <v>7</v>
      </c>
      <c r="C9">
        <f ca="1">+VLOOKUP($A9,INDIRECT(Adrese!C$2),2,FALSE)</f>
        <v>7</v>
      </c>
      <c r="D9">
        <f ca="1">+VLOOKUP($A9,INDIRECT(Adrese!D$2),2,FALSE)</f>
        <v>7</v>
      </c>
      <c r="E9">
        <f ca="1">+VLOOKUP($A9,INDIRECT(Adrese!E$2),2,FALSE)</f>
        <v>7</v>
      </c>
      <c r="F9">
        <f ca="1">+VLOOKUP($A9,INDIRECT(Adrese!F$2),2,FALSE)</f>
        <v>7</v>
      </c>
      <c r="H9" s="4">
        <f t="shared" ca="1" si="0"/>
        <v>7</v>
      </c>
      <c r="J9" t="s">
        <v>9</v>
      </c>
      <c r="K9">
        <f ca="1">+VLOOKUP($A9,INDIRECT(Adrese!B$2),3,FALSE)</f>
        <v>0</v>
      </c>
      <c r="L9">
        <f ca="1">+VLOOKUP($A9,INDIRECT(Adrese!C$2),3,FALSE)</f>
        <v>0</v>
      </c>
      <c r="M9">
        <f ca="1">+VLOOKUP($A9,INDIRECT(Adrese!D$2),3,FALSE)</f>
        <v>0</v>
      </c>
      <c r="N9">
        <f ca="1">+VLOOKUP($A9,INDIRECT(Adrese!E$2),3,FALSE)</f>
        <v>0</v>
      </c>
      <c r="O9">
        <f ca="1">+VLOOKUP($A9,INDIRECT(Adrese!F$2),3,FALSE)</f>
        <v>0</v>
      </c>
      <c r="P9">
        <f t="shared" ca="1" si="3"/>
        <v>0</v>
      </c>
      <c r="Q9" s="4">
        <f t="shared" ca="1" si="4"/>
        <v>0</v>
      </c>
      <c r="R9" s="4">
        <f t="shared" ca="1" si="5"/>
        <v>0</v>
      </c>
      <c r="T9" t="s">
        <v>9</v>
      </c>
      <c r="U9">
        <f ca="1">+VLOOKUP($T9,INDIRECT(Adrese!B$2),4,FALSE)</f>
        <v>6993</v>
      </c>
      <c r="V9">
        <f ca="1">+VLOOKUP($T9,INDIRECT(Adrese!C$2),4,FALSE)</f>
        <v>7045</v>
      </c>
      <c r="W9">
        <f ca="1">+VLOOKUP($T9,INDIRECT(Adrese!D$2),4,FALSE)</f>
        <v>7031</v>
      </c>
      <c r="X9">
        <f ca="1">+VLOOKUP($T9,INDIRECT(Adrese!E$2),4,FALSE)</f>
        <v>7028</v>
      </c>
      <c r="Y9">
        <f ca="1">+VLOOKUP($T9,INDIRECT(Adrese!F$2),4,FALSE)</f>
        <v>7004</v>
      </c>
      <c r="Z9">
        <f t="shared" ca="1" si="6"/>
        <v>35101</v>
      </c>
      <c r="AA9" s="4">
        <f t="shared" ca="1" si="7"/>
        <v>7020.2</v>
      </c>
      <c r="AB9" s="4">
        <f t="shared" ca="1" si="8"/>
        <v>21.182539979898539</v>
      </c>
      <c r="AD9" t="s">
        <v>9</v>
      </c>
      <c r="AE9">
        <f ca="1">+VLOOKUP($A9,INDIRECT(Adrese!B$2),5,FALSE)</f>
        <v>2222</v>
      </c>
      <c r="AF9">
        <f ca="1">+VLOOKUP($A9,INDIRECT(Adrese!C$2),5,FALSE)</f>
        <v>2249</v>
      </c>
      <c r="AG9">
        <f ca="1">+VLOOKUP($A9,INDIRECT(Adrese!D$2),5,FALSE)</f>
        <v>2239</v>
      </c>
      <c r="AH9">
        <f ca="1">+VLOOKUP($A9,INDIRECT(Adrese!E$2),5,FALSE)</f>
        <v>2239</v>
      </c>
      <c r="AI9">
        <f ca="1">+VLOOKUP($A9,INDIRECT(Adrese!F$2),5,FALSE)</f>
        <v>2231</v>
      </c>
      <c r="AJ9" s="4">
        <f t="shared" ca="1" si="1"/>
        <v>2236</v>
      </c>
      <c r="AK9" s="4">
        <f t="shared" ca="1" si="2"/>
        <v>10.099504938362077</v>
      </c>
      <c r="AM9" t="s">
        <v>9</v>
      </c>
      <c r="AN9" s="4">
        <f ca="1">+VLOOKUP($A9,INDIRECT(Adrese!B$2),6,FALSE)</f>
        <v>0.7221428571428572</v>
      </c>
      <c r="AO9" s="4">
        <f ca="1">+VLOOKUP($A9,INDIRECT(Adrese!C$2),6,FALSE)</f>
        <v>0.73178571428571426</v>
      </c>
      <c r="AP9" s="4">
        <f ca="1">+VLOOKUP($A9,INDIRECT(Adrese!D$2),6,FALSE)</f>
        <v>0.7282142857142857</v>
      </c>
      <c r="AQ9" s="4">
        <f ca="1">+VLOOKUP($A9,INDIRECT(Adrese!E$2),6,FALSE)</f>
        <v>0.7282142857142857</v>
      </c>
      <c r="AR9" s="4">
        <f ca="1">+VLOOKUP($A9,INDIRECT(Adrese!F$2),6,FALSE)</f>
        <v>0.72535714285714281</v>
      </c>
      <c r="AS9" s="4" t="str">
        <f t="shared" ca="1" si="9"/>
        <v>0.73 (0.00)</v>
      </c>
      <c r="AT9" s="4">
        <f t="shared" ca="1" si="10"/>
        <v>0.72714285714285709</v>
      </c>
      <c r="AU9" s="4">
        <f t="shared" ca="1" si="11"/>
        <v>3.6069660494150052E-3</v>
      </c>
      <c r="AW9" t="s">
        <v>9</v>
      </c>
      <c r="AX9" s="4">
        <f ca="1">+VLOOKUP($A9,INDIRECT(Adrese!B$2),7,FALSE)</f>
        <v>1</v>
      </c>
      <c r="AY9" s="4">
        <f ca="1">+VLOOKUP($A9,INDIRECT(Adrese!C$2),7,FALSE)</f>
        <v>1</v>
      </c>
      <c r="AZ9" s="4">
        <f ca="1">+VLOOKUP($A9,INDIRECT(Adrese!D$2),7,FALSE)</f>
        <v>1</v>
      </c>
      <c r="BA9" s="4">
        <f ca="1">+VLOOKUP($A9,INDIRECT(Adrese!E$2),7,FALSE)</f>
        <v>1</v>
      </c>
      <c r="BB9" s="4">
        <f ca="1">+VLOOKUP($A9,INDIRECT(Adrese!F$2),7,FALSE)</f>
        <v>1</v>
      </c>
      <c r="BC9" s="4" t="str">
        <f t="shared" ca="1" si="12"/>
        <v>1.00 (0.00)</v>
      </c>
      <c r="BD9">
        <f t="shared" ca="1" si="13"/>
        <v>1</v>
      </c>
      <c r="BE9" s="4">
        <f t="shared" ca="1" si="14"/>
        <v>0</v>
      </c>
      <c r="BG9" t="s">
        <v>9</v>
      </c>
      <c r="BH9" s="4">
        <f ca="1">+VLOOKUP($BG9,INDIRECT(Adrese!B$2),8,FALSE)</f>
        <v>0.28992592335421841</v>
      </c>
      <c r="BI9" s="4">
        <f ca="1">+VLOOKUP($BG9,INDIRECT(Adrese!C$2),8,FALSE)</f>
        <v>0.28804652922054219</v>
      </c>
      <c r="BJ9" s="4">
        <f ca="1">+VLOOKUP($BG9,INDIRECT(Adrese!D$2),8,FALSE)</f>
        <v>0.28816842793761199</v>
      </c>
      <c r="BK9" s="4">
        <f ca="1">+VLOOKUP($BG9,INDIRECT(Adrese!E$2),8,FALSE)</f>
        <v>0.28640832202190258</v>
      </c>
      <c r="BL9" s="4">
        <f ca="1">+VLOOKUP($BG9,INDIRECT(Adrese!F$2),8,FALSE)</f>
        <v>0.28835277359789219</v>
      </c>
      <c r="BM9" s="4" t="str">
        <f t="shared" ca="1" si="15"/>
        <v>0.29 (0.00)</v>
      </c>
      <c r="BN9" s="4">
        <f t="shared" ca="1" si="16"/>
        <v>0.28818039522643346</v>
      </c>
      <c r="BO9" s="4">
        <f t="shared" ca="1" si="17"/>
        <v>1.2484880369457419E-3</v>
      </c>
      <c r="BQ9" t="s">
        <v>9</v>
      </c>
      <c r="BR9" s="4">
        <f ca="1">+VLOOKUP($BG9,INDIRECT(Adrese!B$2),9,FALSE)</f>
        <v>0.31366567520078981</v>
      </c>
      <c r="BS9" s="4">
        <f ca="1">+VLOOKUP($BG9,INDIRECT(Adrese!C$2),9,FALSE)</f>
        <v>0.31149053347939298</v>
      </c>
      <c r="BT9" s="4">
        <f ca="1">+VLOOKUP($BG9,INDIRECT(Adrese!D$2),9,FALSE)</f>
        <v>0.3094726225922424</v>
      </c>
      <c r="BU9" s="4">
        <f ca="1">+VLOOKUP($BG9,INDIRECT(Adrese!E$2),9,FALSE)</f>
        <v>0.31104471244145848</v>
      </c>
      <c r="BV9" s="4">
        <f ca="1">+VLOOKUP($BG9,INDIRECT(Adrese!F$2),9,FALSE)</f>
        <v>0.31359760974020823</v>
      </c>
      <c r="BW9" s="4" t="str">
        <f t="shared" ca="1" si="18"/>
        <v>0.31 (0.00)</v>
      </c>
      <c r="BX9" s="4">
        <f t="shared" ca="1" si="19"/>
        <v>0.31185423069081841</v>
      </c>
      <c r="BY9" s="4">
        <f t="shared" ca="1" si="20"/>
        <v>1.7874810709071231E-3</v>
      </c>
    </row>
    <row r="10" spans="1:77" x14ac:dyDescent="0.25">
      <c r="A10" t="s">
        <v>10</v>
      </c>
      <c r="B10">
        <f ca="1">+VLOOKUP($A10,INDIRECT(Adrese!B$2),2,FALSE)</f>
        <v>8</v>
      </c>
      <c r="C10">
        <f ca="1">+VLOOKUP($A10,INDIRECT(Adrese!C$2),2,FALSE)</f>
        <v>8</v>
      </c>
      <c r="D10">
        <f ca="1">+VLOOKUP($A10,INDIRECT(Adrese!D$2),2,FALSE)</f>
        <v>9</v>
      </c>
      <c r="E10">
        <f ca="1">+VLOOKUP($A10,INDIRECT(Adrese!E$2),2,FALSE)</f>
        <v>8</v>
      </c>
      <c r="F10">
        <f ca="1">+VLOOKUP($A10,INDIRECT(Adrese!F$2),2,FALSE)</f>
        <v>8</v>
      </c>
      <c r="H10" s="4">
        <f t="shared" ca="1" si="0"/>
        <v>8.1999999999999993</v>
      </c>
      <c r="J10" t="s">
        <v>10</v>
      </c>
      <c r="K10">
        <f ca="1">+VLOOKUP($A10,INDIRECT(Adrese!B$2),3,FALSE)</f>
        <v>1</v>
      </c>
      <c r="L10">
        <f ca="1">+VLOOKUP($A10,INDIRECT(Adrese!C$2),3,FALSE)</f>
        <v>1</v>
      </c>
      <c r="M10">
        <f ca="1">+VLOOKUP($A10,INDIRECT(Adrese!D$2),3,FALSE)</f>
        <v>1</v>
      </c>
      <c r="N10">
        <f ca="1">+VLOOKUP($A10,INDIRECT(Adrese!E$2),3,FALSE)</f>
        <v>1</v>
      </c>
      <c r="O10">
        <f ca="1">+VLOOKUP($A10,INDIRECT(Adrese!F$2),3,FALSE)</f>
        <v>1</v>
      </c>
      <c r="P10">
        <f t="shared" ca="1" si="3"/>
        <v>5</v>
      </c>
      <c r="Q10" s="4">
        <f t="shared" ca="1" si="4"/>
        <v>1</v>
      </c>
      <c r="R10" s="4">
        <f t="shared" ca="1" si="5"/>
        <v>0</v>
      </c>
      <c r="T10" t="s">
        <v>10</v>
      </c>
      <c r="U10">
        <f ca="1">+VLOOKUP($T10,INDIRECT(Adrese!B$2),4,FALSE)</f>
        <v>6865</v>
      </c>
      <c r="V10">
        <f ca="1">+VLOOKUP($T10,INDIRECT(Adrese!C$2),4,FALSE)</f>
        <v>6835</v>
      </c>
      <c r="W10">
        <f ca="1">+VLOOKUP($T10,INDIRECT(Adrese!D$2),4,FALSE)</f>
        <v>6797</v>
      </c>
      <c r="X10">
        <f ca="1">+VLOOKUP($T10,INDIRECT(Adrese!E$2),4,FALSE)</f>
        <v>6903</v>
      </c>
      <c r="Y10">
        <f ca="1">+VLOOKUP($T10,INDIRECT(Adrese!F$2),4,FALSE)</f>
        <v>6851</v>
      </c>
      <c r="Z10">
        <f t="shared" ca="1" si="6"/>
        <v>34251</v>
      </c>
      <c r="AA10" s="4">
        <f t="shared" ca="1" si="7"/>
        <v>6850.2</v>
      </c>
      <c r="AB10" s="4">
        <f t="shared" ca="1" si="8"/>
        <v>38.951251584512661</v>
      </c>
      <c r="AD10" t="s">
        <v>10</v>
      </c>
      <c r="AE10">
        <f ca="1">+VLOOKUP($A10,INDIRECT(Adrese!B$2),5,FALSE)</f>
        <v>2016</v>
      </c>
      <c r="AF10">
        <f ca="1">+VLOOKUP($A10,INDIRECT(Adrese!C$2),5,FALSE)</f>
        <v>2019</v>
      </c>
      <c r="AG10">
        <f ca="1">+VLOOKUP($A10,INDIRECT(Adrese!D$2),5,FALSE)</f>
        <v>2016</v>
      </c>
      <c r="AH10">
        <f ca="1">+VLOOKUP($A10,INDIRECT(Adrese!E$2),5,FALSE)</f>
        <v>2057</v>
      </c>
      <c r="AI10">
        <f ca="1">+VLOOKUP($A10,INDIRECT(Adrese!F$2),5,FALSE)</f>
        <v>2027</v>
      </c>
      <c r="AJ10" s="4">
        <f t="shared" ca="1" si="1"/>
        <v>2027</v>
      </c>
      <c r="AK10" s="4">
        <f t="shared" ca="1" si="2"/>
        <v>17.363755354185336</v>
      </c>
      <c r="AM10" t="s">
        <v>10</v>
      </c>
      <c r="AN10" s="4">
        <f ca="1">+VLOOKUP($A10,INDIRECT(Adrese!B$2),6,FALSE)</f>
        <v>0.64857142857142858</v>
      </c>
      <c r="AO10" s="4">
        <f ca="1">+VLOOKUP($A10,INDIRECT(Adrese!C$2),6,FALSE)</f>
        <v>0.64964285714285719</v>
      </c>
      <c r="AP10" s="4">
        <f ca="1">+VLOOKUP($A10,INDIRECT(Adrese!D$2),6,FALSE)</f>
        <v>0.64857142857142858</v>
      </c>
      <c r="AQ10" s="4">
        <f ca="1">+VLOOKUP($A10,INDIRECT(Adrese!E$2),6,FALSE)</f>
        <v>0.66321428571428576</v>
      </c>
      <c r="AR10" s="4">
        <f ca="1">+VLOOKUP($A10,INDIRECT(Adrese!F$2),6,FALSE)</f>
        <v>0.65249999999999997</v>
      </c>
      <c r="AS10" s="4" t="str">
        <f t="shared" ca="1" si="9"/>
        <v>0.65 (0.01)</v>
      </c>
      <c r="AT10" s="4">
        <f t="shared" ca="1" si="10"/>
        <v>0.65250000000000008</v>
      </c>
      <c r="AU10" s="4">
        <f t="shared" ca="1" si="11"/>
        <v>6.201341197923347E-3</v>
      </c>
      <c r="AW10" t="s">
        <v>10</v>
      </c>
      <c r="AX10" s="4">
        <f ca="1">+VLOOKUP($A10,INDIRECT(Adrese!B$2),7,FALSE)</f>
        <v>0.9285714285714286</v>
      </c>
      <c r="AY10" s="4">
        <f ca="1">+VLOOKUP($A10,INDIRECT(Adrese!C$2),7,FALSE)</f>
        <v>0.9285714285714286</v>
      </c>
      <c r="AZ10" s="4">
        <f ca="1">+VLOOKUP($A10,INDIRECT(Adrese!D$2),7,FALSE)</f>
        <v>0.9285714285714286</v>
      </c>
      <c r="BA10" s="4">
        <f ca="1">+VLOOKUP($A10,INDIRECT(Adrese!E$2),7,FALSE)</f>
        <v>0.9285714285714286</v>
      </c>
      <c r="BB10" s="4">
        <f ca="1">+VLOOKUP($A10,INDIRECT(Adrese!F$2),7,FALSE)</f>
        <v>0.9285714285714286</v>
      </c>
      <c r="BC10" s="4" t="str">
        <f t="shared" ca="1" si="12"/>
        <v>0.93 (0.00)</v>
      </c>
      <c r="BD10">
        <f t="shared" ca="1" si="13"/>
        <v>0.9285714285714286</v>
      </c>
      <c r="BE10" s="4">
        <f t="shared" ca="1" si="14"/>
        <v>0</v>
      </c>
      <c r="BG10" t="s">
        <v>10</v>
      </c>
      <c r="BH10" s="4">
        <f ca="1">+VLOOKUP($BG10,INDIRECT(Adrese!B$2),8,FALSE)</f>
        <v>0.2740347499136972</v>
      </c>
      <c r="BI10" s="4">
        <f ca="1">+VLOOKUP($BG10,INDIRECT(Adrese!C$2),8,FALSE)</f>
        <v>0.27063417981202759</v>
      </c>
      <c r="BJ10" s="4">
        <f ca="1">+VLOOKUP($BG10,INDIRECT(Adrese!D$2),8,FALSE)</f>
        <v>0.27032693105585248</v>
      </c>
      <c r="BK10" s="4">
        <f ca="1">+VLOOKUP($BG10,INDIRECT(Adrese!E$2),8,FALSE)</f>
        <v>0.27161106979194438</v>
      </c>
      <c r="BL10" s="4">
        <f ca="1">+VLOOKUP($BG10,INDIRECT(Adrese!F$2),8,FALSE)</f>
        <v>0.27140379912862522</v>
      </c>
      <c r="BM10" s="4" t="str">
        <f t="shared" ca="1" si="15"/>
        <v>0.27 (0.00)</v>
      </c>
      <c r="BN10" s="4">
        <f t="shared" ca="1" si="16"/>
        <v>0.27160214594042936</v>
      </c>
      <c r="BO10" s="4">
        <f t="shared" ca="1" si="17"/>
        <v>1.4594617681885954E-3</v>
      </c>
      <c r="BQ10" t="s">
        <v>10</v>
      </c>
      <c r="BR10" s="4">
        <f ca="1">+VLOOKUP($BG10,INDIRECT(Adrese!B$2),9,FALSE)</f>
        <v>0.30427044811828963</v>
      </c>
      <c r="BS10" s="4">
        <f ca="1">+VLOOKUP($BG10,INDIRECT(Adrese!C$2),9,FALSE)</f>
        <v>0.30647528067822</v>
      </c>
      <c r="BT10" s="4">
        <f ca="1">+VLOOKUP($BG10,INDIRECT(Adrese!D$2),9,FALSE)</f>
        <v>0.3015582260136408</v>
      </c>
      <c r="BU10" s="4">
        <f ca="1">+VLOOKUP($BG10,INDIRECT(Adrese!E$2),9,FALSE)</f>
        <v>0.30379732452164221</v>
      </c>
      <c r="BV10" s="4">
        <f ca="1">+VLOOKUP($BG10,INDIRECT(Adrese!F$2),9,FALSE)</f>
        <v>0.30472152857610491</v>
      </c>
      <c r="BW10" s="4" t="str">
        <f t="shared" ca="1" si="18"/>
        <v>0.30 (0.00)</v>
      </c>
      <c r="BX10" s="4">
        <f t="shared" ca="1" si="19"/>
        <v>0.30416456158157951</v>
      </c>
      <c r="BY10" s="4">
        <f t="shared" ca="1" si="20"/>
        <v>1.7740275565869851E-3</v>
      </c>
    </row>
    <row r="11" spans="1:77" x14ac:dyDescent="0.25">
      <c r="A11" t="s">
        <v>59</v>
      </c>
      <c r="B11">
        <f ca="1">+VLOOKUP($A11,INDIRECT(Adrese!B$2),2,FALSE)</f>
        <v>9</v>
      </c>
      <c r="C11">
        <f ca="1">+VLOOKUP($A11,INDIRECT(Adrese!C$2),2,FALSE)</f>
        <v>10</v>
      </c>
      <c r="D11">
        <f ca="1">+VLOOKUP($A11,INDIRECT(Adrese!D$2),2,FALSE)</f>
        <v>8</v>
      </c>
      <c r="E11">
        <f ca="1">+VLOOKUP($A11,INDIRECT(Adrese!E$2),2,FALSE)</f>
        <v>9</v>
      </c>
      <c r="F11">
        <f ca="1">+VLOOKUP($A11,INDIRECT(Adrese!F$2),2,FALSE)</f>
        <v>9</v>
      </c>
      <c r="H11" s="4">
        <f t="shared" ca="1" si="0"/>
        <v>9</v>
      </c>
      <c r="J11" t="s">
        <v>59</v>
      </c>
      <c r="K11">
        <f ca="1">+VLOOKUP($A11,INDIRECT(Adrese!B$2),3,FALSE)</f>
        <v>1</v>
      </c>
      <c r="L11">
        <f ca="1">+VLOOKUP($A11,INDIRECT(Adrese!C$2),3,FALSE)</f>
        <v>2</v>
      </c>
      <c r="M11">
        <f ca="1">+VLOOKUP($A11,INDIRECT(Adrese!D$2),3,FALSE)</f>
        <v>1</v>
      </c>
      <c r="N11">
        <f ca="1">+VLOOKUP($A11,INDIRECT(Adrese!E$2),3,FALSE)</f>
        <v>1</v>
      </c>
      <c r="O11">
        <f ca="1">+VLOOKUP($A11,INDIRECT(Adrese!F$2),3,FALSE)</f>
        <v>1</v>
      </c>
      <c r="P11">
        <f t="shared" ca="1" si="3"/>
        <v>6</v>
      </c>
      <c r="Q11" s="4">
        <f t="shared" ca="1" si="4"/>
        <v>1.2</v>
      </c>
      <c r="R11" s="4">
        <f t="shared" ca="1" si="5"/>
        <v>0.44721359549995787</v>
      </c>
      <c r="T11" t="s">
        <v>59</v>
      </c>
      <c r="U11">
        <f ca="1">+VLOOKUP($T11,INDIRECT(Adrese!B$2),4,FALSE)</f>
        <v>6850</v>
      </c>
      <c r="V11">
        <f ca="1">+VLOOKUP($T11,INDIRECT(Adrese!C$2),4,FALSE)</f>
        <v>6787</v>
      </c>
      <c r="W11">
        <f ca="1">+VLOOKUP($T11,INDIRECT(Adrese!D$2),4,FALSE)</f>
        <v>6858</v>
      </c>
      <c r="X11">
        <f ca="1">+VLOOKUP($T11,INDIRECT(Adrese!E$2),4,FALSE)</f>
        <v>6839</v>
      </c>
      <c r="Y11">
        <f ca="1">+VLOOKUP($T11,INDIRECT(Adrese!F$2),4,FALSE)</f>
        <v>6821</v>
      </c>
      <c r="Z11">
        <f t="shared" ca="1" si="6"/>
        <v>34155</v>
      </c>
      <c r="AA11" s="4">
        <f t="shared" ca="1" si="7"/>
        <v>6831</v>
      </c>
      <c r="AB11" s="4">
        <f t="shared" ca="1" si="8"/>
        <v>28.240042492885877</v>
      </c>
      <c r="AD11" t="s">
        <v>59</v>
      </c>
      <c r="AE11">
        <f ca="1">+VLOOKUP($A11,INDIRECT(Adrese!B$2),5,FALSE)</f>
        <v>2054</v>
      </c>
      <c r="AF11">
        <f ca="1">+VLOOKUP($A11,INDIRECT(Adrese!C$2),5,FALSE)</f>
        <v>2052</v>
      </c>
      <c r="AG11">
        <f ca="1">+VLOOKUP($A11,INDIRECT(Adrese!D$2),5,FALSE)</f>
        <v>2069</v>
      </c>
      <c r="AH11">
        <f ca="1">+VLOOKUP($A11,INDIRECT(Adrese!E$2),5,FALSE)</f>
        <v>2057</v>
      </c>
      <c r="AI11">
        <f ca="1">+VLOOKUP($A11,INDIRECT(Adrese!F$2),5,FALSE)</f>
        <v>2055</v>
      </c>
      <c r="AJ11" s="4">
        <f t="shared" ca="1" si="1"/>
        <v>2057.4</v>
      </c>
      <c r="AK11" s="4">
        <f t="shared" ca="1" si="2"/>
        <v>6.730527468185536</v>
      </c>
      <c r="AM11" t="s">
        <v>59</v>
      </c>
      <c r="AN11" s="4">
        <f ca="1">+VLOOKUP($A11,INDIRECT(Adrese!B$2),6,FALSE)</f>
        <v>0.66214285714285714</v>
      </c>
      <c r="AO11" s="4">
        <f ca="1">+VLOOKUP($A11,INDIRECT(Adrese!C$2),6,FALSE)</f>
        <v>0.66142857142857148</v>
      </c>
      <c r="AP11" s="4">
        <f ca="1">+VLOOKUP($A11,INDIRECT(Adrese!D$2),6,FALSE)</f>
        <v>0.66749999999999998</v>
      </c>
      <c r="AQ11" s="4">
        <f ca="1">+VLOOKUP($A11,INDIRECT(Adrese!E$2),6,FALSE)</f>
        <v>0.66321428571428576</v>
      </c>
      <c r="AR11" s="4">
        <f ca="1">+VLOOKUP($A11,INDIRECT(Adrese!F$2),6,FALSE)</f>
        <v>0.66249999999999998</v>
      </c>
      <c r="AS11" s="4" t="str">
        <f t="shared" ca="1" si="9"/>
        <v>0.66 (0.00)</v>
      </c>
      <c r="AT11" s="4">
        <f t="shared" ca="1" si="10"/>
        <v>0.66335714285714287</v>
      </c>
      <c r="AU11" s="4">
        <f t="shared" ca="1" si="11"/>
        <v>2.4037598100662468E-3</v>
      </c>
      <c r="AW11" t="s">
        <v>59</v>
      </c>
      <c r="AX11" s="4">
        <f ca="1">+VLOOKUP($A11,INDIRECT(Adrese!B$2),7,FALSE)</f>
        <v>0.9285714285714286</v>
      </c>
      <c r="AY11" s="4">
        <f ca="1">+VLOOKUP($A11,INDIRECT(Adrese!C$2),7,FALSE)</f>
        <v>0.8571428571428571</v>
      </c>
      <c r="AZ11" s="4">
        <f ca="1">+VLOOKUP($A11,INDIRECT(Adrese!D$2),7,FALSE)</f>
        <v>0.9285714285714286</v>
      </c>
      <c r="BA11" s="4">
        <f ca="1">+VLOOKUP($A11,INDIRECT(Adrese!E$2),7,FALSE)</f>
        <v>0.9285714285714286</v>
      </c>
      <c r="BB11" s="4">
        <f ca="1">+VLOOKUP($A11,INDIRECT(Adrese!F$2),7,FALSE)</f>
        <v>0.9285714285714286</v>
      </c>
      <c r="BC11" s="4" t="str">
        <f t="shared" ca="1" si="12"/>
        <v>0.91 (0.03)</v>
      </c>
      <c r="BD11">
        <f t="shared" ca="1" si="13"/>
        <v>0.91428571428571437</v>
      </c>
      <c r="BE11" s="4">
        <f t="shared" ca="1" si="14"/>
        <v>3.1943828249997031E-2</v>
      </c>
      <c r="BG11" t="s">
        <v>59</v>
      </c>
      <c r="BH11" s="4">
        <f ca="1">+VLOOKUP($BG11,INDIRECT(Adrese!B$2),8,FALSE)</f>
        <v>0.27655892538475529</v>
      </c>
      <c r="BI11" s="4">
        <f ca="1">+VLOOKUP($BG11,INDIRECT(Adrese!C$2),8,FALSE)</f>
        <v>0.27293383308349062</v>
      </c>
      <c r="BJ11" s="4">
        <f ca="1">+VLOOKUP($BG11,INDIRECT(Adrese!D$2),8,FALSE)</f>
        <v>0.27365088014572669</v>
      </c>
      <c r="BK11" s="4">
        <f ca="1">+VLOOKUP($BG11,INDIRECT(Adrese!E$2),8,FALSE)</f>
        <v>0.27161270473670079</v>
      </c>
      <c r="BL11" s="4">
        <f ca="1">+VLOOKUP($BG11,INDIRECT(Adrese!F$2),8,FALSE)</f>
        <v>0.27358403684379851</v>
      </c>
      <c r="BM11" s="4" t="str">
        <f t="shared" ca="1" si="15"/>
        <v>0.27 (0.00)</v>
      </c>
      <c r="BN11" s="4">
        <f t="shared" ca="1" si="16"/>
        <v>0.27366807603889437</v>
      </c>
      <c r="BO11" s="4">
        <f t="shared" ca="1" si="17"/>
        <v>1.8116313182432898E-3</v>
      </c>
      <c r="BQ11" t="s">
        <v>59</v>
      </c>
      <c r="BR11" s="4">
        <f ca="1">+VLOOKUP($BG11,INDIRECT(Adrese!B$2),9,FALSE)</f>
        <v>0.30369701545876571</v>
      </c>
      <c r="BS11" s="4">
        <f ca="1">+VLOOKUP($BG11,INDIRECT(Adrese!C$2),9,FALSE)</f>
        <v>0.30589950083002282</v>
      </c>
      <c r="BT11" s="4">
        <f ca="1">+VLOOKUP($BG11,INDIRECT(Adrese!D$2),9,FALSE)</f>
        <v>0.30080111702052981</v>
      </c>
      <c r="BU11" s="4">
        <f ca="1">+VLOOKUP($BG11,INDIRECT(Adrese!E$2),9,FALSE)</f>
        <v>0.30225574601519861</v>
      </c>
      <c r="BV11" s="4">
        <f ca="1">+VLOOKUP($BG11,INDIRECT(Adrese!F$2),9,FALSE)</f>
        <v>0.30533779865180177</v>
      </c>
      <c r="BW11" s="4" t="str">
        <f t="shared" ca="1" si="18"/>
        <v>0.30 (0.00)</v>
      </c>
      <c r="BX11" s="4">
        <f t="shared" ca="1" si="19"/>
        <v>0.30359823559526372</v>
      </c>
      <c r="BY11" s="4">
        <f t="shared" ca="1" si="20"/>
        <v>2.1188327779417377E-3</v>
      </c>
    </row>
    <row r="12" spans="1:77" x14ac:dyDescent="0.25">
      <c r="A12" t="s">
        <v>60</v>
      </c>
      <c r="B12">
        <f ca="1">+VLOOKUP($A12,INDIRECT(Adrese!B$2),2,FALSE)</f>
        <v>10</v>
      </c>
      <c r="C12">
        <f ca="1">+VLOOKUP($A12,INDIRECT(Adrese!C$2),2,FALSE)</f>
        <v>9</v>
      </c>
      <c r="D12">
        <f ca="1">+VLOOKUP($A12,INDIRECT(Adrese!D$2),2,FALSE)</f>
        <v>10</v>
      </c>
      <c r="E12">
        <f ca="1">+VLOOKUP($A12,INDIRECT(Adrese!E$2),2,FALSE)</f>
        <v>10</v>
      </c>
      <c r="F12">
        <f ca="1">+VLOOKUP($A12,INDIRECT(Adrese!F$2),2,FALSE)</f>
        <v>10</v>
      </c>
      <c r="H12" s="4">
        <f t="shared" ca="1" si="0"/>
        <v>9.8000000000000007</v>
      </c>
      <c r="J12" t="s">
        <v>60</v>
      </c>
      <c r="K12">
        <f ca="1">+VLOOKUP($A12,INDIRECT(Adrese!B$2),3,FALSE)</f>
        <v>1</v>
      </c>
      <c r="L12">
        <f ca="1">+VLOOKUP($A12,INDIRECT(Adrese!C$2),3,FALSE)</f>
        <v>0</v>
      </c>
      <c r="M12">
        <f ca="1">+VLOOKUP($A12,INDIRECT(Adrese!D$2),3,FALSE)</f>
        <v>0</v>
      </c>
      <c r="N12">
        <f ca="1">+VLOOKUP($A12,INDIRECT(Adrese!E$2),3,FALSE)</f>
        <v>0</v>
      </c>
      <c r="O12">
        <f ca="1">+VLOOKUP($A12,INDIRECT(Adrese!F$2),3,FALSE)</f>
        <v>0</v>
      </c>
      <c r="P12">
        <f t="shared" ca="1" si="3"/>
        <v>1</v>
      </c>
      <c r="Q12" s="4">
        <f t="shared" ca="1" si="4"/>
        <v>0.2</v>
      </c>
      <c r="R12" s="4">
        <f t="shared" ca="1" si="5"/>
        <v>0.44721359549995793</v>
      </c>
      <c r="T12" t="s">
        <v>60</v>
      </c>
      <c r="U12">
        <f ca="1">+VLOOKUP($T12,INDIRECT(Adrese!B$2),4,FALSE)</f>
        <v>6818</v>
      </c>
      <c r="V12">
        <f ca="1">+VLOOKUP($T12,INDIRECT(Adrese!C$2),4,FALSE)</f>
        <v>6794</v>
      </c>
      <c r="W12">
        <f ca="1">+VLOOKUP($T12,INDIRECT(Adrese!D$2),4,FALSE)</f>
        <v>6739</v>
      </c>
      <c r="X12">
        <f ca="1">+VLOOKUP($T12,INDIRECT(Adrese!E$2),4,FALSE)</f>
        <v>6784</v>
      </c>
      <c r="Y12">
        <f ca="1">+VLOOKUP($T12,INDIRECT(Adrese!F$2),4,FALSE)</f>
        <v>6723</v>
      </c>
      <c r="Z12">
        <f t="shared" ca="1" si="6"/>
        <v>33858</v>
      </c>
      <c r="AA12" s="4">
        <f t="shared" ca="1" si="7"/>
        <v>6771.6</v>
      </c>
      <c r="AB12" s="4">
        <f t="shared" ca="1" si="8"/>
        <v>39.47530873850134</v>
      </c>
      <c r="AD12" t="s">
        <v>60</v>
      </c>
      <c r="AE12">
        <f ca="1">+VLOOKUP($A12,INDIRECT(Adrese!B$2),5,FALSE)</f>
        <v>2444</v>
      </c>
      <c r="AF12">
        <f ca="1">+VLOOKUP($A12,INDIRECT(Adrese!C$2),5,FALSE)</f>
        <v>2451</v>
      </c>
      <c r="AG12">
        <f ca="1">+VLOOKUP($A12,INDIRECT(Adrese!D$2),5,FALSE)</f>
        <v>2447</v>
      </c>
      <c r="AH12">
        <f ca="1">+VLOOKUP($A12,INDIRECT(Adrese!E$2),5,FALSE)</f>
        <v>2461</v>
      </c>
      <c r="AI12">
        <f ca="1">+VLOOKUP($A12,INDIRECT(Adrese!F$2),5,FALSE)</f>
        <v>2464</v>
      </c>
      <c r="AJ12" s="4">
        <f t="shared" ca="1" si="1"/>
        <v>2453.4</v>
      </c>
      <c r="AK12" s="4">
        <f t="shared" ca="1" si="2"/>
        <v>8.7349871207689826</v>
      </c>
      <c r="AM12" t="s">
        <v>60</v>
      </c>
      <c r="AN12" s="4">
        <f ca="1">+VLOOKUP($A12,INDIRECT(Adrese!B$2),6,FALSE)</f>
        <v>0.80142857142857138</v>
      </c>
      <c r="AO12" s="4">
        <f ca="1">+VLOOKUP($A12,INDIRECT(Adrese!C$2),6,FALSE)</f>
        <v>0.80392857142857144</v>
      </c>
      <c r="AP12" s="4">
        <f ca="1">+VLOOKUP($A12,INDIRECT(Adrese!D$2),6,FALSE)</f>
        <v>0.80249999999999999</v>
      </c>
      <c r="AQ12" s="4">
        <f ca="1">+VLOOKUP($A12,INDIRECT(Adrese!E$2),6,FALSE)</f>
        <v>0.8075</v>
      </c>
      <c r="AR12" s="4">
        <f ca="1">+VLOOKUP($A12,INDIRECT(Adrese!F$2),6,FALSE)</f>
        <v>0.80857142857142861</v>
      </c>
      <c r="AS12" s="4" t="str">
        <f t="shared" ca="1" si="9"/>
        <v>0.80 (0.00)</v>
      </c>
      <c r="AT12" s="4">
        <f t="shared" ca="1" si="10"/>
        <v>0.80478571428571433</v>
      </c>
      <c r="AU12" s="4">
        <f t="shared" ca="1" si="11"/>
        <v>3.1196382574175184E-3</v>
      </c>
      <c r="AW12" t="s">
        <v>60</v>
      </c>
      <c r="AX12" s="4">
        <f ca="1">+VLOOKUP($A12,INDIRECT(Adrese!B$2),7,FALSE)</f>
        <v>0.9285714285714286</v>
      </c>
      <c r="AY12" s="4">
        <f ca="1">+VLOOKUP($A12,INDIRECT(Adrese!C$2),7,FALSE)</f>
        <v>1</v>
      </c>
      <c r="AZ12" s="4">
        <f ca="1">+VLOOKUP($A12,INDIRECT(Adrese!D$2),7,FALSE)</f>
        <v>1</v>
      </c>
      <c r="BA12" s="4">
        <f ca="1">+VLOOKUP($A12,INDIRECT(Adrese!E$2),7,FALSE)</f>
        <v>1</v>
      </c>
      <c r="BB12" s="4">
        <f ca="1">+VLOOKUP($A12,INDIRECT(Adrese!F$2),7,FALSE)</f>
        <v>1</v>
      </c>
      <c r="BC12" s="4" t="str">
        <f t="shared" ca="1" si="12"/>
        <v>0.99 (0.03)</v>
      </c>
      <c r="BD12">
        <f t="shared" ca="1" si="13"/>
        <v>0.98571428571428577</v>
      </c>
      <c r="BE12" s="4">
        <f t="shared" ca="1" si="14"/>
        <v>3.1943828249996982E-2</v>
      </c>
      <c r="BG12" t="s">
        <v>60</v>
      </c>
      <c r="BH12" s="4">
        <f ca="1">+VLOOKUP($BG12,INDIRECT(Adrese!B$2),8,FALSE)</f>
        <v>0.29623305667063121</v>
      </c>
      <c r="BI12" s="4">
        <f ca="1">+VLOOKUP($BG12,INDIRECT(Adrese!C$2),8,FALSE)</f>
        <v>0.29446796369697248</v>
      </c>
      <c r="BJ12" s="4">
        <f ca="1">+VLOOKUP($BG12,INDIRECT(Adrese!D$2),8,FALSE)</f>
        <v>0.29336624142478018</v>
      </c>
      <c r="BK12" s="4">
        <f ca="1">+VLOOKUP($BG12,INDIRECT(Adrese!E$2),8,FALSE)</f>
        <v>0.29361132946667118</v>
      </c>
      <c r="BL12" s="4">
        <f ca="1">+VLOOKUP($BG12,INDIRECT(Adrese!F$2),8,FALSE)</f>
        <v>0.29529473942336792</v>
      </c>
      <c r="BM12" s="4" t="str">
        <f t="shared" ca="1" si="15"/>
        <v>0.29 (0.00)</v>
      </c>
      <c r="BN12" s="4">
        <f t="shared" ca="1" si="16"/>
        <v>0.29459466613648455</v>
      </c>
      <c r="BO12" s="4">
        <f t="shared" ca="1" si="17"/>
        <v>1.1902161501270467E-3</v>
      </c>
      <c r="BQ12" t="s">
        <v>60</v>
      </c>
      <c r="BR12" s="4">
        <f ca="1">+VLOOKUP($BG12,INDIRECT(Adrese!B$2),9,FALSE)</f>
        <v>0.28373464611788818</v>
      </c>
      <c r="BS12" s="4">
        <f ca="1">+VLOOKUP($BG12,INDIRECT(Adrese!C$2),9,FALSE)</f>
        <v>0.28602040369234599</v>
      </c>
      <c r="BT12" s="4">
        <f ca="1">+VLOOKUP($BG12,INDIRECT(Adrese!D$2),9,FALSE)</f>
        <v>0.27942474614783003</v>
      </c>
      <c r="BU12" s="4">
        <f ca="1">+VLOOKUP($BG12,INDIRECT(Adrese!E$2),9,FALSE)</f>
        <v>0.28370098015202189</v>
      </c>
      <c r="BV12" s="4">
        <f ca="1">+VLOOKUP($BG12,INDIRECT(Adrese!F$2),9,FALSE)</f>
        <v>0.28267781987113638</v>
      </c>
      <c r="BW12" s="4" t="str">
        <f t="shared" ca="1" si="18"/>
        <v>0.28 (0.00)</v>
      </c>
      <c r="BX12" s="4">
        <f t="shared" ca="1" si="19"/>
        <v>0.2831117191962445</v>
      </c>
      <c r="BY12" s="4">
        <f t="shared" ca="1" si="20"/>
        <v>2.3967556615995156E-3</v>
      </c>
    </row>
    <row r="13" spans="1:77" x14ac:dyDescent="0.25">
      <c r="A13" t="s">
        <v>61</v>
      </c>
      <c r="B13">
        <f ca="1">+VLOOKUP($A13,INDIRECT(Adrese!B$2),2,FALSE)</f>
        <v>11</v>
      </c>
      <c r="C13">
        <f ca="1">+VLOOKUP($A13,INDIRECT(Adrese!C$2),2,FALSE)</f>
        <v>11</v>
      </c>
      <c r="D13">
        <f ca="1">+VLOOKUP($A13,INDIRECT(Adrese!D$2),2,FALSE)</f>
        <v>11</v>
      </c>
      <c r="E13">
        <f ca="1">+VLOOKUP($A13,INDIRECT(Adrese!E$2),2,FALSE)</f>
        <v>11</v>
      </c>
      <c r="F13">
        <f ca="1">+VLOOKUP($A13,INDIRECT(Adrese!F$2),2,FALSE)</f>
        <v>11</v>
      </c>
      <c r="H13" s="4">
        <f t="shared" ca="1" si="0"/>
        <v>11</v>
      </c>
      <c r="J13" t="s">
        <v>61</v>
      </c>
      <c r="K13">
        <f ca="1">+VLOOKUP($A13,INDIRECT(Adrese!B$2),3,FALSE)</f>
        <v>8</v>
      </c>
      <c r="L13">
        <f ca="1">+VLOOKUP($A13,INDIRECT(Adrese!C$2),3,FALSE)</f>
        <v>7</v>
      </c>
      <c r="M13">
        <f ca="1">+VLOOKUP($A13,INDIRECT(Adrese!D$2),3,FALSE)</f>
        <v>7</v>
      </c>
      <c r="N13">
        <f ca="1">+VLOOKUP($A13,INDIRECT(Adrese!E$2),3,FALSE)</f>
        <v>7</v>
      </c>
      <c r="O13">
        <f ca="1">+VLOOKUP($A13,INDIRECT(Adrese!F$2),3,FALSE)</f>
        <v>7</v>
      </c>
      <c r="P13">
        <f t="shared" ca="1" si="3"/>
        <v>36</v>
      </c>
      <c r="Q13" s="4">
        <f t="shared" ca="1" si="4"/>
        <v>7.2</v>
      </c>
      <c r="R13" s="4">
        <f t="shared" ca="1" si="5"/>
        <v>0.44721359549995787</v>
      </c>
      <c r="T13" t="s">
        <v>61</v>
      </c>
      <c r="U13">
        <f ca="1">+VLOOKUP($T13,INDIRECT(Adrese!B$2),4,FALSE)</f>
        <v>6299</v>
      </c>
      <c r="V13">
        <f ca="1">+VLOOKUP($T13,INDIRECT(Adrese!C$2),4,FALSE)</f>
        <v>6382</v>
      </c>
      <c r="W13">
        <f ca="1">+VLOOKUP($T13,INDIRECT(Adrese!D$2),4,FALSE)</f>
        <v>6247</v>
      </c>
      <c r="X13">
        <f ca="1">+VLOOKUP($T13,INDIRECT(Adrese!E$2),4,FALSE)</f>
        <v>6388</v>
      </c>
      <c r="Y13">
        <f ca="1">+VLOOKUP($T13,INDIRECT(Adrese!F$2),4,FALSE)</f>
        <v>6312</v>
      </c>
      <c r="Z13">
        <f t="shared" ca="1" si="6"/>
        <v>31628</v>
      </c>
      <c r="AA13" s="4">
        <f t="shared" ca="1" si="7"/>
        <v>6325.6</v>
      </c>
      <c r="AB13" s="4">
        <f t="shared" ca="1" si="8"/>
        <v>59.466797458750037</v>
      </c>
      <c r="AD13" t="s">
        <v>61</v>
      </c>
      <c r="AE13">
        <f ca="1">+VLOOKUP($A13,INDIRECT(Adrese!B$2),5,FALSE)</f>
        <v>1298</v>
      </c>
      <c r="AF13">
        <f ca="1">+VLOOKUP($A13,INDIRECT(Adrese!C$2),5,FALSE)</f>
        <v>1585</v>
      </c>
      <c r="AG13">
        <f ca="1">+VLOOKUP($A13,INDIRECT(Adrese!D$2),5,FALSE)</f>
        <v>1687</v>
      </c>
      <c r="AH13">
        <f ca="1">+VLOOKUP($A13,INDIRECT(Adrese!E$2),5,FALSE)</f>
        <v>1625</v>
      </c>
      <c r="AI13">
        <f ca="1">+VLOOKUP($A13,INDIRECT(Adrese!F$2),5,FALSE)</f>
        <v>1687</v>
      </c>
      <c r="AJ13" s="4">
        <f t="shared" ca="1" si="1"/>
        <v>1576.4</v>
      </c>
      <c r="AK13" s="4">
        <f t="shared" ca="1" si="2"/>
        <v>161.56051497813445</v>
      </c>
      <c r="AM13" t="s">
        <v>61</v>
      </c>
      <c r="AN13" s="4">
        <f ca="1">+VLOOKUP($A13,INDIRECT(Adrese!B$2),6,FALSE)</f>
        <v>0.46357142857142858</v>
      </c>
      <c r="AO13" s="4">
        <f ca="1">+VLOOKUP($A13,INDIRECT(Adrese!C$2),6,FALSE)</f>
        <v>0.56607142857142856</v>
      </c>
      <c r="AP13" s="4">
        <f ca="1">+VLOOKUP($A13,INDIRECT(Adrese!D$2),6,FALSE)</f>
        <v>0.60250000000000004</v>
      </c>
      <c r="AQ13" s="4">
        <f ca="1">+VLOOKUP($A13,INDIRECT(Adrese!E$2),6,FALSE)</f>
        <v>0.5803571428571429</v>
      </c>
      <c r="AR13" s="4">
        <f ca="1">+VLOOKUP($A13,INDIRECT(Adrese!F$2),6,FALSE)</f>
        <v>0.60250000000000004</v>
      </c>
      <c r="AS13" s="4" t="str">
        <f t="shared" ca="1" si="9"/>
        <v>0.56 (0.06)</v>
      </c>
      <c r="AT13" s="4">
        <f t="shared" ca="1" si="10"/>
        <v>0.56299999999999994</v>
      </c>
      <c r="AU13" s="4">
        <f t="shared" ca="1" si="11"/>
        <v>5.7700183920762309E-2</v>
      </c>
      <c r="AW13" t="s">
        <v>61</v>
      </c>
      <c r="AX13" s="4">
        <f ca="1">+VLOOKUP($A13,INDIRECT(Adrese!B$2),7,FALSE)</f>
        <v>0.42857142857142849</v>
      </c>
      <c r="AY13" s="4">
        <f ca="1">+VLOOKUP($A13,INDIRECT(Adrese!C$2),7,FALSE)</f>
        <v>0.5</v>
      </c>
      <c r="AZ13" s="4">
        <f ca="1">+VLOOKUP($A13,INDIRECT(Adrese!D$2),7,FALSE)</f>
        <v>0.5</v>
      </c>
      <c r="BA13" s="4">
        <f ca="1">+VLOOKUP($A13,INDIRECT(Adrese!E$2),7,FALSE)</f>
        <v>0.5</v>
      </c>
      <c r="BB13" s="4">
        <f ca="1">+VLOOKUP($A13,INDIRECT(Adrese!F$2),7,FALSE)</f>
        <v>0.5</v>
      </c>
      <c r="BC13" s="4" t="str">
        <f t="shared" ca="1" si="12"/>
        <v>0.49 (0.03)</v>
      </c>
      <c r="BD13">
        <f t="shared" ca="1" si="13"/>
        <v>0.48571428571428565</v>
      </c>
      <c r="BE13" s="4">
        <f t="shared" ca="1" si="14"/>
        <v>3.1943828249997031E-2</v>
      </c>
      <c r="BG13" t="s">
        <v>61</v>
      </c>
      <c r="BH13" s="4">
        <f ca="1">+VLOOKUP($BG13,INDIRECT(Adrese!B$2),8,FALSE)</f>
        <v>0.18204178059378481</v>
      </c>
      <c r="BI13" s="4">
        <f ca="1">+VLOOKUP($BG13,INDIRECT(Adrese!C$2),8,FALSE)</f>
        <v>0.19490170675100341</v>
      </c>
      <c r="BJ13" s="4">
        <f ca="1">+VLOOKUP($BG13,INDIRECT(Adrese!D$2),8,FALSE)</f>
        <v>0.20079667084014649</v>
      </c>
      <c r="BK13" s="4">
        <f ca="1">+VLOOKUP($BG13,INDIRECT(Adrese!E$2),8,FALSE)</f>
        <v>0.1972780809303406</v>
      </c>
      <c r="BL13" s="4">
        <f ca="1">+VLOOKUP($BG13,INDIRECT(Adrese!F$2),8,FALSE)</f>
        <v>0.20213630717686751</v>
      </c>
      <c r="BM13" s="4" t="str">
        <f t="shared" ca="1" si="15"/>
        <v>0.20 (0.01)</v>
      </c>
      <c r="BN13" s="4">
        <f t="shared" ca="1" si="16"/>
        <v>0.19543090925842857</v>
      </c>
      <c r="BO13" s="4">
        <f t="shared" ca="1" si="17"/>
        <v>8.0111582101811234E-3</v>
      </c>
      <c r="BQ13" t="s">
        <v>61</v>
      </c>
      <c r="BR13" s="4">
        <f ca="1">+VLOOKUP($BG13,INDIRECT(Adrese!B$2),9,FALSE)</f>
        <v>0.1047629211968949</v>
      </c>
      <c r="BS13" s="4">
        <f ca="1">+VLOOKUP($BG13,INDIRECT(Adrese!C$2),9,FALSE)</f>
        <v>8.4120656443151615E-2</v>
      </c>
      <c r="BT13" s="4">
        <f ca="1">+VLOOKUP($BG13,INDIRECT(Adrese!D$2),9,FALSE)</f>
        <v>8.0951476001928993E-2</v>
      </c>
      <c r="BU13" s="4">
        <f ca="1">+VLOOKUP($BG13,INDIRECT(Adrese!E$2),9,FALSE)</f>
        <v>8.569099646551831E-2</v>
      </c>
      <c r="BV13" s="4">
        <f ca="1">+VLOOKUP($BG13,INDIRECT(Adrese!F$2),9,FALSE)</f>
        <v>8.46744530974297E-2</v>
      </c>
      <c r="BW13" s="4" t="str">
        <f t="shared" ca="1" si="18"/>
        <v>0.09 (0.01)</v>
      </c>
      <c r="BX13" s="4">
        <f t="shared" ca="1" si="19"/>
        <v>8.8040100640984706E-2</v>
      </c>
      <c r="BY13" s="4">
        <f t="shared" ca="1" si="20"/>
        <v>9.5145841114202042E-3</v>
      </c>
    </row>
    <row r="14" spans="1:77" x14ac:dyDescent="0.25">
      <c r="A14" t="s">
        <v>11</v>
      </c>
      <c r="B14">
        <f ca="1">+VLOOKUP($A14,INDIRECT(Adrese!B$2),2,FALSE)</f>
        <v>13</v>
      </c>
      <c r="C14">
        <f ca="1">+VLOOKUP($A14,INDIRECT(Adrese!C$2),2,FALSE)</f>
        <v>12</v>
      </c>
      <c r="D14">
        <f ca="1">+VLOOKUP($A14,INDIRECT(Adrese!D$2),2,FALSE)</f>
        <v>12</v>
      </c>
      <c r="E14">
        <f ca="1">+VLOOKUP($A14,INDIRECT(Adrese!E$2),2,FALSE)</f>
        <v>12</v>
      </c>
      <c r="F14">
        <f ca="1">+VLOOKUP($A14,INDIRECT(Adrese!F$2),2,FALSE)</f>
        <v>12</v>
      </c>
      <c r="H14" s="4">
        <f t="shared" ca="1" si="0"/>
        <v>12.2</v>
      </c>
      <c r="J14" t="s">
        <v>11</v>
      </c>
      <c r="K14">
        <f ca="1">+VLOOKUP($A14,INDIRECT(Adrese!B$2),3,FALSE)</f>
        <v>5</v>
      </c>
      <c r="L14">
        <f ca="1">+VLOOKUP($A14,INDIRECT(Adrese!C$2),3,FALSE)</f>
        <v>8</v>
      </c>
      <c r="M14">
        <f ca="1">+VLOOKUP($A14,INDIRECT(Adrese!D$2),3,FALSE)</f>
        <v>7</v>
      </c>
      <c r="N14">
        <f ca="1">+VLOOKUP($A14,INDIRECT(Adrese!E$2),3,FALSE)</f>
        <v>8</v>
      </c>
      <c r="O14">
        <f ca="1">+VLOOKUP($A14,INDIRECT(Adrese!F$2),3,FALSE)</f>
        <v>8</v>
      </c>
      <c r="P14">
        <f t="shared" ca="1" si="3"/>
        <v>36</v>
      </c>
      <c r="Q14" s="4">
        <f t="shared" ca="1" si="4"/>
        <v>7.2</v>
      </c>
      <c r="R14" s="4">
        <f t="shared" ca="1" si="5"/>
        <v>1.3038404810405309</v>
      </c>
      <c r="T14" t="s">
        <v>11</v>
      </c>
      <c r="U14">
        <f ca="1">+VLOOKUP($T14,INDIRECT(Adrese!B$2),4,FALSE)</f>
        <v>5361</v>
      </c>
      <c r="V14">
        <f ca="1">+VLOOKUP($T14,INDIRECT(Adrese!C$2),4,FALSE)</f>
        <v>5822</v>
      </c>
      <c r="W14">
        <f ca="1">+VLOOKUP($T14,INDIRECT(Adrese!D$2),4,FALSE)</f>
        <v>5940</v>
      </c>
      <c r="X14">
        <f ca="1">+VLOOKUP($T14,INDIRECT(Adrese!E$2),4,FALSE)</f>
        <v>5896</v>
      </c>
      <c r="Y14">
        <f ca="1">+VLOOKUP($T14,INDIRECT(Adrese!F$2),4,FALSE)</f>
        <v>5994</v>
      </c>
      <c r="Z14">
        <f t="shared" ca="1" si="6"/>
        <v>29013</v>
      </c>
      <c r="AA14" s="4">
        <f t="shared" ca="1" si="7"/>
        <v>5802.6</v>
      </c>
      <c r="AB14" s="4">
        <f t="shared" ca="1" si="8"/>
        <v>254.7661672985642</v>
      </c>
      <c r="AD14" t="s">
        <v>11</v>
      </c>
      <c r="AE14">
        <f ca="1">+VLOOKUP($A14,INDIRECT(Adrese!B$2),5,FALSE)</f>
        <v>1522</v>
      </c>
      <c r="AF14">
        <f ca="1">+VLOOKUP($A14,INDIRECT(Adrese!C$2),5,FALSE)</f>
        <v>1509</v>
      </c>
      <c r="AG14">
        <f ca="1">+VLOOKUP($A14,INDIRECT(Adrese!D$2),5,FALSE)</f>
        <v>1483</v>
      </c>
      <c r="AH14">
        <f ca="1">+VLOOKUP($A14,INDIRECT(Adrese!E$2),5,FALSE)</f>
        <v>1506</v>
      </c>
      <c r="AI14">
        <f ca="1">+VLOOKUP($A14,INDIRECT(Adrese!F$2),5,FALSE)</f>
        <v>1525</v>
      </c>
      <c r="AJ14" s="4">
        <f t="shared" ca="1" si="1"/>
        <v>1509</v>
      </c>
      <c r="AK14" s="4">
        <f t="shared" ca="1" si="2"/>
        <v>16.658331248957683</v>
      </c>
      <c r="AM14" t="s">
        <v>11</v>
      </c>
      <c r="AN14" s="4">
        <f ca="1">+VLOOKUP($A14,INDIRECT(Adrese!B$2),6,FALSE)</f>
        <v>0.50821428571428573</v>
      </c>
      <c r="AO14" s="4">
        <f ca="1">+VLOOKUP($A14,INDIRECT(Adrese!C$2),6,FALSE)</f>
        <v>0.50321428571428573</v>
      </c>
      <c r="AP14" s="4">
        <f ca="1">+VLOOKUP($A14,INDIRECT(Adrese!D$2),6,FALSE)</f>
        <v>0.49357142857142849</v>
      </c>
      <c r="AQ14" s="4">
        <f ca="1">+VLOOKUP($A14,INDIRECT(Adrese!E$2),6,FALSE)</f>
        <v>0.50285714285714289</v>
      </c>
      <c r="AR14" s="4">
        <f ca="1">+VLOOKUP($A14,INDIRECT(Adrese!F$2),6,FALSE)</f>
        <v>0.5089285714285714</v>
      </c>
      <c r="AS14" s="4" t="str">
        <f t="shared" ca="1" si="9"/>
        <v>0.50 (0.01)</v>
      </c>
      <c r="AT14" s="4">
        <f t="shared" ca="1" si="10"/>
        <v>0.50335714285714295</v>
      </c>
      <c r="AU14" s="4">
        <f t="shared" ca="1" si="11"/>
        <v>6.1372482699114375E-3</v>
      </c>
      <c r="AW14" t="s">
        <v>11</v>
      </c>
      <c r="AX14" s="4">
        <f ca="1">+VLOOKUP($A14,INDIRECT(Adrese!B$2),7,FALSE)</f>
        <v>0.6428571428571429</v>
      </c>
      <c r="AY14" s="4">
        <f ca="1">+VLOOKUP($A14,INDIRECT(Adrese!C$2),7,FALSE)</f>
        <v>0.42857142857142849</v>
      </c>
      <c r="AZ14" s="4">
        <f ca="1">+VLOOKUP($A14,INDIRECT(Adrese!D$2),7,FALSE)</f>
        <v>0.5</v>
      </c>
      <c r="BA14" s="4">
        <f ca="1">+VLOOKUP($A14,INDIRECT(Adrese!E$2),7,FALSE)</f>
        <v>0.42857142857142849</v>
      </c>
      <c r="BB14" s="4">
        <f ca="1">+VLOOKUP($A14,INDIRECT(Adrese!F$2),7,FALSE)</f>
        <v>0.42857142857142849</v>
      </c>
      <c r="BC14" s="4" t="str">
        <f t="shared" ca="1" si="12"/>
        <v>0.49 (0.09)</v>
      </c>
      <c r="BD14">
        <f t="shared" ca="1" si="13"/>
        <v>0.48571428571428565</v>
      </c>
      <c r="BE14" s="4">
        <f t="shared" ca="1" si="14"/>
        <v>9.3131462931466374E-2</v>
      </c>
      <c r="BG14" t="s">
        <v>11</v>
      </c>
      <c r="BH14" s="4">
        <f ca="1">+VLOOKUP($BG14,INDIRECT(Adrese!B$2),8,FALSE)</f>
        <v>0.16480223457168369</v>
      </c>
      <c r="BI14" s="4">
        <f ca="1">+VLOOKUP($BG14,INDIRECT(Adrese!C$2),8,FALSE)</f>
        <v>0.16199766286667949</v>
      </c>
      <c r="BJ14" s="4">
        <f ca="1">+VLOOKUP($BG14,INDIRECT(Adrese!D$2),8,FALSE)</f>
        <v>0.15885059946887509</v>
      </c>
      <c r="BK14" s="4">
        <f ca="1">+VLOOKUP($BG14,INDIRECT(Adrese!E$2),8,FALSE)</f>
        <v>0.16216640742605051</v>
      </c>
      <c r="BL14" s="4">
        <f ca="1">+VLOOKUP($BG14,INDIRECT(Adrese!F$2),8,FALSE)</f>
        <v>0.16420568598071991</v>
      </c>
      <c r="BM14" s="4" t="str">
        <f t="shared" ca="1" si="15"/>
        <v>0.16 (0.00)</v>
      </c>
      <c r="BN14" s="4">
        <f t="shared" ca="1" si="16"/>
        <v>0.16240451806280173</v>
      </c>
      <c r="BO14" s="4">
        <f t="shared" ca="1" si="17"/>
        <v>2.3369753702010901E-3</v>
      </c>
      <c r="BQ14" t="s">
        <v>11</v>
      </c>
      <c r="BR14" s="4">
        <f ca="1">+VLOOKUP($BG14,INDIRECT(Adrese!B$2),9,FALSE)</f>
        <v>3.5935766181574009E-3</v>
      </c>
      <c r="BS14" s="4">
        <f ca="1">+VLOOKUP($BG14,INDIRECT(Adrese!C$2),9,FALSE)</f>
        <v>-3.705413238054879E-3</v>
      </c>
      <c r="BT14" s="4">
        <f ca="1">+VLOOKUP($BG14,INDIRECT(Adrese!D$2),9,FALSE)</f>
        <v>-7.3868819979242316E-3</v>
      </c>
      <c r="BU14" s="4">
        <f ca="1">+VLOOKUP($BG14,INDIRECT(Adrese!E$2),9,FALSE)</f>
        <v>2.3713965723011799E-4</v>
      </c>
      <c r="BV14" s="4">
        <f ca="1">+VLOOKUP($BG14,INDIRECT(Adrese!F$2),9,FALSE)</f>
        <v>6.8649546098239328E-4</v>
      </c>
      <c r="BW14" s="4" t="str">
        <f t="shared" ca="1" si="18"/>
        <v>0.00 (0.00)</v>
      </c>
      <c r="BX14" s="4">
        <f t="shared" ca="1" si="19"/>
        <v>-1.3150166999218397E-3</v>
      </c>
      <c r="BY14" s="4">
        <f t="shared" ca="1" si="20"/>
        <v>4.27466584823279E-3</v>
      </c>
    </row>
    <row r="15" spans="1:77" x14ac:dyDescent="0.25">
      <c r="A15" t="s">
        <v>81</v>
      </c>
      <c r="B15">
        <f ca="1">+VLOOKUP($A15,INDIRECT(Adrese!B$2),2,FALSE)</f>
        <v>12</v>
      </c>
      <c r="C15">
        <f ca="1">+VLOOKUP($A15,INDIRECT(Adrese!C$2),2,FALSE)</f>
        <v>14</v>
      </c>
      <c r="D15">
        <f ca="1">+VLOOKUP($A15,INDIRECT(Adrese!D$2),2,FALSE)</f>
        <v>13</v>
      </c>
      <c r="E15">
        <f ca="1">+VLOOKUP($A15,INDIRECT(Adrese!E$2),2,FALSE)</f>
        <v>13</v>
      </c>
      <c r="F15">
        <f ca="1">+VLOOKUP($A15,INDIRECT(Adrese!F$2),2,FALSE)</f>
        <v>13</v>
      </c>
      <c r="H15" s="4">
        <f t="shared" ca="1" si="0"/>
        <v>13</v>
      </c>
      <c r="J15" t="s">
        <v>81</v>
      </c>
      <c r="K15">
        <f ca="1">+VLOOKUP($A15,INDIRECT(Adrese!B$2),3,FALSE)</f>
        <v>9</v>
      </c>
      <c r="L15">
        <f ca="1">+VLOOKUP($A15,INDIRECT(Adrese!C$2),3,FALSE)</f>
        <v>9</v>
      </c>
      <c r="M15">
        <f ca="1">+VLOOKUP($A15,INDIRECT(Adrese!D$2),3,FALSE)</f>
        <v>10</v>
      </c>
      <c r="N15">
        <f ca="1">+VLOOKUP($A15,INDIRECT(Adrese!E$2),3,FALSE)</f>
        <v>9</v>
      </c>
      <c r="O15">
        <f ca="1">+VLOOKUP($A15,INDIRECT(Adrese!F$2),3,FALSE)</f>
        <v>10</v>
      </c>
      <c r="P15">
        <f t="shared" ca="1" si="3"/>
        <v>47</v>
      </c>
      <c r="Q15" s="4">
        <f t="shared" ca="1" si="4"/>
        <v>9.4</v>
      </c>
      <c r="R15" s="4">
        <f t="shared" ca="1" si="5"/>
        <v>0.54772255750516607</v>
      </c>
      <c r="T15" t="s">
        <v>81</v>
      </c>
      <c r="U15">
        <f ca="1">+VLOOKUP($T15,INDIRECT(Adrese!B$2),4,FALSE)</f>
        <v>5573</v>
      </c>
      <c r="V15">
        <f ca="1">+VLOOKUP($T15,INDIRECT(Adrese!C$2),4,FALSE)</f>
        <v>5570</v>
      </c>
      <c r="W15">
        <f ca="1">+VLOOKUP($T15,INDIRECT(Adrese!D$2),4,FALSE)</f>
        <v>5912</v>
      </c>
      <c r="X15">
        <f ca="1">+VLOOKUP($T15,INDIRECT(Adrese!E$2),4,FALSE)</f>
        <v>5864</v>
      </c>
      <c r="Y15">
        <f ca="1">+VLOOKUP($T15,INDIRECT(Adrese!F$2),4,FALSE)</f>
        <v>5638</v>
      </c>
      <c r="Z15">
        <f t="shared" ca="1" si="6"/>
        <v>28557</v>
      </c>
      <c r="AA15" s="4">
        <f t="shared" ca="1" si="7"/>
        <v>5711.4</v>
      </c>
      <c r="AB15" s="4">
        <f t="shared" ca="1" si="8"/>
        <v>164.36483808892947</v>
      </c>
      <c r="AD15" t="s">
        <v>81</v>
      </c>
      <c r="AE15">
        <f ca="1">+VLOOKUP($A15,INDIRECT(Adrese!B$2),5,FALSE)</f>
        <v>1053</v>
      </c>
      <c r="AF15">
        <f ca="1">+VLOOKUP($A15,INDIRECT(Adrese!C$2),5,FALSE)</f>
        <v>1080</v>
      </c>
      <c r="AG15">
        <f ca="1">+VLOOKUP($A15,INDIRECT(Adrese!D$2),5,FALSE)</f>
        <v>1204</v>
      </c>
      <c r="AH15">
        <f ca="1">+VLOOKUP($A15,INDIRECT(Adrese!E$2),5,FALSE)</f>
        <v>1188</v>
      </c>
      <c r="AI15">
        <f ca="1">+VLOOKUP($A15,INDIRECT(Adrese!F$2),5,FALSE)</f>
        <v>1108</v>
      </c>
      <c r="AJ15" s="4">
        <f t="shared" ca="1" si="1"/>
        <v>1126.5999999999999</v>
      </c>
      <c r="AK15" s="4">
        <f t="shared" ca="1" si="2"/>
        <v>66.511653114322755</v>
      </c>
      <c r="AM15" t="s">
        <v>81</v>
      </c>
      <c r="AN15" s="4">
        <f ca="1">+VLOOKUP($A15,INDIRECT(Adrese!B$2),6,FALSE)</f>
        <v>0.37428571428571428</v>
      </c>
      <c r="AO15" s="4">
        <f ca="1">+VLOOKUP($A15,INDIRECT(Adrese!C$2),6,FALSE)</f>
        <v>0.38250000000000001</v>
      </c>
      <c r="AP15" s="4">
        <f ca="1">+VLOOKUP($A15,INDIRECT(Adrese!D$2),6,FALSE)</f>
        <v>0.42928571428571433</v>
      </c>
      <c r="AQ15" s="4">
        <f ca="1">+VLOOKUP($A15,INDIRECT(Adrese!E$2),6,FALSE)</f>
        <v>0.41892857142857137</v>
      </c>
      <c r="AR15" s="4">
        <f ca="1">+VLOOKUP($A15,INDIRECT(Adrese!F$2),6,FALSE)</f>
        <v>0.39250000000000002</v>
      </c>
      <c r="AS15" s="4" t="str">
        <f t="shared" ca="1" si="9"/>
        <v>0.40 (0.02)</v>
      </c>
      <c r="AT15" s="4">
        <f t="shared" ca="1" si="10"/>
        <v>0.39950000000000002</v>
      </c>
      <c r="AU15" s="4">
        <f t="shared" ca="1" si="11"/>
        <v>2.3655963134836314E-2</v>
      </c>
      <c r="AW15" t="s">
        <v>81</v>
      </c>
      <c r="AX15" s="4">
        <f ca="1">+VLOOKUP($A15,INDIRECT(Adrese!B$2),7,FALSE)</f>
        <v>0.35714285714285721</v>
      </c>
      <c r="AY15" s="4">
        <f ca="1">+VLOOKUP($A15,INDIRECT(Adrese!C$2),7,FALSE)</f>
        <v>0.35714285714285721</v>
      </c>
      <c r="AZ15" s="4">
        <f ca="1">+VLOOKUP($A15,INDIRECT(Adrese!D$2),7,FALSE)</f>
        <v>0.2857142857142857</v>
      </c>
      <c r="BA15" s="4">
        <f ca="1">+VLOOKUP($A15,INDIRECT(Adrese!E$2),7,FALSE)</f>
        <v>0.35714285714285721</v>
      </c>
      <c r="BB15" s="4">
        <f ca="1">+VLOOKUP($A15,INDIRECT(Adrese!F$2),7,FALSE)</f>
        <v>0.2857142857142857</v>
      </c>
      <c r="BC15" s="4" t="str">
        <f t="shared" ca="1" si="12"/>
        <v>0.33 (0.04)</v>
      </c>
      <c r="BD15">
        <f t="shared" ca="1" si="13"/>
        <v>0.32857142857142857</v>
      </c>
      <c r="BE15" s="4">
        <f t="shared" ca="1" si="14"/>
        <v>3.912303982179817E-2</v>
      </c>
      <c r="BG15" t="s">
        <v>81</v>
      </c>
      <c r="BH15" s="4">
        <f ca="1">+VLOOKUP($BG15,INDIRECT(Adrese!B$2),8,FALSE)</f>
        <v>0.1402999544146307</v>
      </c>
      <c r="BI15" s="4">
        <f ca="1">+VLOOKUP($BG15,INDIRECT(Adrese!C$2),8,FALSE)</f>
        <v>0.1439603926871274</v>
      </c>
      <c r="BJ15" s="4">
        <f ca="1">+VLOOKUP($BG15,INDIRECT(Adrese!D$2),8,FALSE)</f>
        <v>0.1607912097945452</v>
      </c>
      <c r="BK15" s="4">
        <f ca="1">+VLOOKUP($BG15,INDIRECT(Adrese!E$2),8,FALSE)</f>
        <v>0.1556438807793967</v>
      </c>
      <c r="BL15" s="4">
        <f ca="1">+VLOOKUP($BG15,INDIRECT(Adrese!F$2),8,FALSE)</f>
        <v>0.14686084435130009</v>
      </c>
      <c r="BM15" s="4" t="str">
        <f t="shared" ca="1" si="15"/>
        <v>0.15 (0.01)</v>
      </c>
      <c r="BN15" s="4">
        <f t="shared" ca="1" si="16"/>
        <v>0.14951125640540003</v>
      </c>
      <c r="BO15" s="4">
        <f t="shared" ca="1" si="17"/>
        <v>8.4783737623191982E-3</v>
      </c>
      <c r="BQ15" t="s">
        <v>81</v>
      </c>
      <c r="BR15" s="4">
        <f ca="1">+VLOOKUP($BG15,INDIRECT(Adrese!B$2),9,FALSE)</f>
        <v>-1.591452780617976E-3</v>
      </c>
      <c r="BS15" s="4">
        <f ca="1">+VLOOKUP($BG15,INDIRECT(Adrese!C$2),9,FALSE)</f>
        <v>1.180400156066648E-2</v>
      </c>
      <c r="BT15" s="4">
        <f ca="1">+VLOOKUP($BG15,INDIRECT(Adrese!D$2),9,FALSE)</f>
        <v>5.4616950198622741E-2</v>
      </c>
      <c r="BU15" s="4">
        <f ca="1">+VLOOKUP($BG15,INDIRECT(Adrese!E$2),9,FALSE)</f>
        <v>3.9097377304544531E-2</v>
      </c>
      <c r="BV15" s="4">
        <f ca="1">+VLOOKUP($BG15,INDIRECT(Adrese!F$2),9,FALSE)</f>
        <v>1.9019363197142151E-2</v>
      </c>
      <c r="BW15" s="4" t="str">
        <f t="shared" ca="1" si="18"/>
        <v>0.02 (0.02)</v>
      </c>
      <c r="BX15" s="4">
        <f t="shared" ca="1" si="19"/>
        <v>2.4589247896071583E-2</v>
      </c>
      <c r="BY15" s="4">
        <f t="shared" ca="1" si="20"/>
        <v>2.2316271820369125E-2</v>
      </c>
    </row>
    <row r="16" spans="1:77" x14ac:dyDescent="0.25">
      <c r="A16" t="s">
        <v>62</v>
      </c>
      <c r="B16">
        <f ca="1">+VLOOKUP($A16,INDIRECT(Adrese!B$2),2,FALSE)</f>
        <v>14</v>
      </c>
      <c r="C16">
        <f ca="1">+VLOOKUP($A16,INDIRECT(Adrese!C$2),2,FALSE)</f>
        <v>13</v>
      </c>
      <c r="D16">
        <f ca="1">+VLOOKUP($A16,INDIRECT(Adrese!D$2),2,FALSE)</f>
        <v>14</v>
      </c>
      <c r="E16">
        <f ca="1">+VLOOKUP($A16,INDIRECT(Adrese!E$2),2,FALSE)</f>
        <v>14</v>
      </c>
      <c r="F16">
        <f ca="1">+VLOOKUP($A16,INDIRECT(Adrese!F$2),2,FALSE)</f>
        <v>14</v>
      </c>
      <c r="H16" s="4">
        <f t="shared" ca="1" si="0"/>
        <v>13.8</v>
      </c>
      <c r="J16" t="s">
        <v>62</v>
      </c>
      <c r="K16">
        <f ca="1">+VLOOKUP($A16,INDIRECT(Adrese!B$2),3,FALSE)</f>
        <v>11</v>
      </c>
      <c r="L16">
        <f ca="1">+VLOOKUP($A16,INDIRECT(Adrese!C$2),3,FALSE)</f>
        <v>12</v>
      </c>
      <c r="M16">
        <f ca="1">+VLOOKUP($A16,INDIRECT(Adrese!D$2),3,FALSE)</f>
        <v>10</v>
      </c>
      <c r="N16">
        <f ca="1">+VLOOKUP($A16,INDIRECT(Adrese!E$2),3,FALSE)</f>
        <v>13</v>
      </c>
      <c r="O16">
        <f ca="1">+VLOOKUP($A16,INDIRECT(Adrese!F$2),3,FALSE)</f>
        <v>12</v>
      </c>
      <c r="P16">
        <f t="shared" ca="1" si="3"/>
        <v>58</v>
      </c>
      <c r="Q16" s="4">
        <f t="shared" ca="1" si="4"/>
        <v>11.6</v>
      </c>
      <c r="R16" s="4">
        <f t="shared" ca="1" si="5"/>
        <v>1.1401754250991381</v>
      </c>
      <c r="T16" t="s">
        <v>62</v>
      </c>
      <c r="U16">
        <f ca="1">+VLOOKUP($T16,INDIRECT(Adrese!B$2),4,FALSE)</f>
        <v>5121</v>
      </c>
      <c r="V16">
        <f ca="1">+VLOOKUP($T16,INDIRECT(Adrese!C$2),4,FALSE)</f>
        <v>5601</v>
      </c>
      <c r="W16">
        <f ca="1">+VLOOKUP($T16,INDIRECT(Adrese!D$2),4,FALSE)</f>
        <v>5135</v>
      </c>
      <c r="X16">
        <f ca="1">+VLOOKUP($T16,INDIRECT(Adrese!E$2),4,FALSE)</f>
        <v>5569</v>
      </c>
      <c r="Y16">
        <f ca="1">+VLOOKUP($T16,INDIRECT(Adrese!F$2),4,FALSE)</f>
        <v>5510</v>
      </c>
      <c r="Z16">
        <f t="shared" ca="1" si="6"/>
        <v>26936</v>
      </c>
      <c r="AA16" s="4">
        <f t="shared" ca="1" si="7"/>
        <v>5387.2</v>
      </c>
      <c r="AB16" s="4">
        <f t="shared" ca="1" si="8"/>
        <v>238.90835062843661</v>
      </c>
      <c r="AD16" t="s">
        <v>62</v>
      </c>
      <c r="AE16">
        <f ca="1">+VLOOKUP($A16,INDIRECT(Adrese!B$2),5,FALSE)</f>
        <v>690</v>
      </c>
      <c r="AF16">
        <f ca="1">+VLOOKUP($A16,INDIRECT(Adrese!C$2),5,FALSE)</f>
        <v>948</v>
      </c>
      <c r="AG16">
        <f ca="1">+VLOOKUP($A16,INDIRECT(Adrese!D$2),5,FALSE)</f>
        <v>679</v>
      </c>
      <c r="AH16">
        <f ca="1">+VLOOKUP($A16,INDIRECT(Adrese!E$2),5,FALSE)</f>
        <v>903</v>
      </c>
      <c r="AI16">
        <f ca="1">+VLOOKUP($A16,INDIRECT(Adrese!F$2),5,FALSE)</f>
        <v>775</v>
      </c>
      <c r="AJ16" s="4">
        <f t="shared" ca="1" si="1"/>
        <v>799</v>
      </c>
      <c r="AK16" s="4">
        <f t="shared" ca="1" si="2"/>
        <v>122.34582134261881</v>
      </c>
      <c r="AM16" t="s">
        <v>62</v>
      </c>
      <c r="AN16" s="4">
        <f ca="1">+VLOOKUP($A16,INDIRECT(Adrese!B$2),6,FALSE)</f>
        <v>0.24535714285714291</v>
      </c>
      <c r="AO16" s="4">
        <f ca="1">+VLOOKUP($A16,INDIRECT(Adrese!C$2),6,FALSE)</f>
        <v>0.33357142857142857</v>
      </c>
      <c r="AP16" s="4">
        <f ca="1">+VLOOKUP($A16,INDIRECT(Adrese!D$2),6,FALSE)</f>
        <v>0.24035714285714291</v>
      </c>
      <c r="AQ16" s="4">
        <f ca="1">+VLOOKUP($A16,INDIRECT(Adrese!E$2),6,FALSE)</f>
        <v>0.315</v>
      </c>
      <c r="AR16" s="4">
        <f ca="1">+VLOOKUP($A16,INDIRECT(Adrese!F$2),6,FALSE)</f>
        <v>0.27607142857142858</v>
      </c>
      <c r="AS16" s="4" t="str">
        <f t="shared" ca="1" si="9"/>
        <v>0.28 (0.04)</v>
      </c>
      <c r="AT16" s="4">
        <f t="shared" ca="1" si="10"/>
        <v>0.28207142857142858</v>
      </c>
      <c r="AU16" s="4">
        <f t="shared" ca="1" si="11"/>
        <v>4.1414252451570953E-2</v>
      </c>
      <c r="AW16" t="s">
        <v>62</v>
      </c>
      <c r="AX16" s="4">
        <f ca="1">+VLOOKUP($A16,INDIRECT(Adrese!B$2),7,FALSE)</f>
        <v>0.2142857142857143</v>
      </c>
      <c r="AY16" s="4">
        <f ca="1">+VLOOKUP($A16,INDIRECT(Adrese!C$2),7,FALSE)</f>
        <v>0.14285714285714279</v>
      </c>
      <c r="AZ16" s="4">
        <f ca="1">+VLOOKUP($A16,INDIRECT(Adrese!D$2),7,FALSE)</f>
        <v>0.2857142857142857</v>
      </c>
      <c r="BA16" s="4">
        <f ca="1">+VLOOKUP($A16,INDIRECT(Adrese!E$2),7,FALSE)</f>
        <v>7.1428571428571425E-2</v>
      </c>
      <c r="BB16" s="4">
        <f ca="1">+VLOOKUP($A16,INDIRECT(Adrese!F$2),7,FALSE)</f>
        <v>0.14285714285714279</v>
      </c>
      <c r="BC16" s="4" t="str">
        <f t="shared" ca="1" si="12"/>
        <v>0.17 (0.08)</v>
      </c>
      <c r="BD16">
        <f t="shared" ca="1" si="13"/>
        <v>0.1714285714285714</v>
      </c>
      <c r="BE16" s="4">
        <f t="shared" ca="1" si="14"/>
        <v>8.1441101792795637E-2</v>
      </c>
      <c r="BG16" t="s">
        <v>62</v>
      </c>
      <c r="BH16" s="4">
        <f ca="1">+VLOOKUP($BG16,INDIRECT(Adrese!B$2),8,FALSE)</f>
        <v>9.0532308602563116E-2</v>
      </c>
      <c r="BI16" s="4">
        <f ca="1">+VLOOKUP($BG16,INDIRECT(Adrese!C$2),8,FALSE)</f>
        <v>0.1164551050853611</v>
      </c>
      <c r="BJ16" s="4">
        <f ca="1">+VLOOKUP($BG16,INDIRECT(Adrese!D$2),8,FALSE)</f>
        <v>8.3112941380606348E-2</v>
      </c>
      <c r="BK16" s="4">
        <f ca="1">+VLOOKUP($BG16,INDIRECT(Adrese!E$2),8,FALSE)</f>
        <v>0.1086202298597493</v>
      </c>
      <c r="BL16" s="4">
        <f ca="1">+VLOOKUP($BG16,INDIRECT(Adrese!F$2),8,FALSE)</f>
        <v>9.4154256481470675E-2</v>
      </c>
      <c r="BM16" s="4" t="str">
        <f t="shared" ca="1" si="15"/>
        <v>0.10 (0.01)</v>
      </c>
      <c r="BN16" s="4">
        <f t="shared" ca="1" si="16"/>
        <v>9.8574968281950115E-2</v>
      </c>
      <c r="BO16" s="4">
        <f t="shared" ca="1" si="17"/>
        <v>1.3637337677441894E-2</v>
      </c>
      <c r="BQ16" t="s">
        <v>62</v>
      </c>
      <c r="BR16" s="4">
        <f ca="1">+VLOOKUP($BG16,INDIRECT(Adrese!B$2),9,FALSE)</f>
        <v>-9.9167819721431488E-2</v>
      </c>
      <c r="BS16" s="4">
        <f ca="1">+VLOOKUP($BG16,INDIRECT(Adrese!C$2),9,FALSE)</f>
        <v>-6.2711399841487894E-2</v>
      </c>
      <c r="BT16" s="4">
        <f ca="1">+VLOOKUP($BG16,INDIRECT(Adrese!D$2),9,FALSE)</f>
        <v>-0.1226074024695268</v>
      </c>
      <c r="BU16" s="4">
        <f ca="1">+VLOOKUP($BG16,INDIRECT(Adrese!E$2),9,FALSE)</f>
        <v>-7.9088340114891992E-2</v>
      </c>
      <c r="BV16" s="4">
        <f ca="1">+VLOOKUP($BG16,INDIRECT(Adrese!F$2),9,FALSE)</f>
        <v>-0.10548256559625439</v>
      </c>
      <c r="BW16" s="4" t="str">
        <f t="shared" ca="1" si="18"/>
        <v>-0.09 (0.02)</v>
      </c>
      <c r="BX16" s="4">
        <f t="shared" ca="1" si="19"/>
        <v>-9.3811505548718518E-2</v>
      </c>
      <c r="BY16" s="4">
        <f t="shared" ca="1" si="20"/>
        <v>2.333503588499785E-2</v>
      </c>
    </row>
    <row r="17" spans="1:77" x14ac:dyDescent="0.25">
      <c r="A17" t="s">
        <v>63</v>
      </c>
      <c r="B17">
        <f ca="1">+VLOOKUP($A17,INDIRECT(Adrese!B$2),2,FALSE)</f>
        <v>15</v>
      </c>
      <c r="C17">
        <f ca="1">+VLOOKUP($A17,INDIRECT(Adrese!C$2),2,FALSE)</f>
        <v>15</v>
      </c>
      <c r="D17">
        <f ca="1">+VLOOKUP($A17,INDIRECT(Adrese!D$2),2,FALSE)</f>
        <v>15</v>
      </c>
      <c r="E17">
        <f ca="1">+VLOOKUP($A17,INDIRECT(Adrese!E$2),2,FALSE)</f>
        <v>15</v>
      </c>
      <c r="F17">
        <f ca="1">+VLOOKUP($A17,INDIRECT(Adrese!F$2),2,FALSE)</f>
        <v>15</v>
      </c>
      <c r="H17" s="4">
        <f t="shared" ca="1" si="0"/>
        <v>15</v>
      </c>
      <c r="J17" t="s">
        <v>63</v>
      </c>
      <c r="K17">
        <f ca="1">+VLOOKUP($A17,INDIRECT(Adrese!B$2),3,FALSE)</f>
        <v>13</v>
      </c>
      <c r="L17">
        <f ca="1">+VLOOKUP($A17,INDIRECT(Adrese!C$2),3,FALSE)</f>
        <v>13</v>
      </c>
      <c r="M17">
        <f ca="1">+VLOOKUP($A17,INDIRECT(Adrese!D$2),3,FALSE)</f>
        <v>13</v>
      </c>
      <c r="N17">
        <f ca="1">+VLOOKUP($A17,INDIRECT(Adrese!E$2),3,FALSE)</f>
        <v>13</v>
      </c>
      <c r="O17">
        <f ca="1">+VLOOKUP($A17,INDIRECT(Adrese!F$2),3,FALSE)</f>
        <v>13</v>
      </c>
      <c r="P17">
        <f t="shared" ca="1" si="3"/>
        <v>65</v>
      </c>
      <c r="Q17" s="4">
        <f t="shared" ca="1" si="4"/>
        <v>13</v>
      </c>
      <c r="R17" s="4">
        <f t="shared" ca="1" si="5"/>
        <v>0</v>
      </c>
      <c r="T17" t="s">
        <v>63</v>
      </c>
      <c r="U17">
        <f ca="1">+VLOOKUP($T17,INDIRECT(Adrese!B$2),4,FALSE)</f>
        <v>4868</v>
      </c>
      <c r="V17">
        <f ca="1">+VLOOKUP($T17,INDIRECT(Adrese!C$2),4,FALSE)</f>
        <v>4956</v>
      </c>
      <c r="W17">
        <f ca="1">+VLOOKUP($T17,INDIRECT(Adrese!D$2),4,FALSE)</f>
        <v>4952</v>
      </c>
      <c r="X17">
        <f ca="1">+VLOOKUP($T17,INDIRECT(Adrese!E$2),4,FALSE)</f>
        <v>4948</v>
      </c>
      <c r="Y17">
        <f ca="1">+VLOOKUP($T17,INDIRECT(Adrese!F$2),4,FALSE)</f>
        <v>4824</v>
      </c>
      <c r="Z17">
        <f t="shared" ca="1" si="6"/>
        <v>24548</v>
      </c>
      <c r="AA17" s="4">
        <f t="shared" ca="1" si="7"/>
        <v>4909.6000000000004</v>
      </c>
      <c r="AB17" s="4">
        <f t="shared" ca="1" si="8"/>
        <v>60.173083683653772</v>
      </c>
      <c r="AD17" t="s">
        <v>63</v>
      </c>
      <c r="AE17">
        <f ca="1">+VLOOKUP($A17,INDIRECT(Adrese!B$2),5,FALSE)</f>
        <v>0</v>
      </c>
      <c r="AF17">
        <f ca="1">+VLOOKUP($A17,INDIRECT(Adrese!C$2),5,FALSE)</f>
        <v>0</v>
      </c>
      <c r="AG17">
        <f ca="1">+VLOOKUP($A17,INDIRECT(Adrese!D$2),5,FALSE)</f>
        <v>0</v>
      </c>
      <c r="AH17">
        <f ca="1">+VLOOKUP($A17,INDIRECT(Adrese!E$2),5,FALSE)</f>
        <v>0</v>
      </c>
      <c r="AI17">
        <f ca="1">+VLOOKUP($A17,INDIRECT(Adrese!F$2),5,FALSE)</f>
        <v>0</v>
      </c>
      <c r="AJ17" s="4">
        <f t="shared" ca="1" si="1"/>
        <v>0</v>
      </c>
      <c r="AK17" s="4">
        <f t="shared" ca="1" si="2"/>
        <v>0</v>
      </c>
      <c r="AM17" t="s">
        <v>63</v>
      </c>
      <c r="AN17" s="4">
        <f ca="1">+VLOOKUP($A17,INDIRECT(Adrese!B$2),6,FALSE)</f>
        <v>0</v>
      </c>
      <c r="AO17" s="4">
        <f ca="1">+VLOOKUP($A17,INDIRECT(Adrese!C$2),6,FALSE)</f>
        <v>0</v>
      </c>
      <c r="AP17" s="4">
        <f ca="1">+VLOOKUP($A17,INDIRECT(Adrese!D$2),6,FALSE)</f>
        <v>0</v>
      </c>
      <c r="AQ17" s="4">
        <f ca="1">+VLOOKUP($A17,INDIRECT(Adrese!E$2),6,FALSE)</f>
        <v>0</v>
      </c>
      <c r="AR17" s="4">
        <f ca="1">+VLOOKUP($A17,INDIRECT(Adrese!F$2),6,FALSE)</f>
        <v>0</v>
      </c>
      <c r="AS17" s="4" t="str">
        <f t="shared" ca="1" si="9"/>
        <v>0.00 (0.00)</v>
      </c>
      <c r="AT17" s="4">
        <f t="shared" ca="1" si="10"/>
        <v>0</v>
      </c>
      <c r="AU17" s="4">
        <f t="shared" ca="1" si="11"/>
        <v>0</v>
      </c>
      <c r="AW17" t="s">
        <v>63</v>
      </c>
      <c r="AX17" s="4">
        <f ca="1">+VLOOKUP($A17,INDIRECT(Adrese!B$2),7,FALSE)</f>
        <v>7.1428571428571425E-2</v>
      </c>
      <c r="AY17" s="4">
        <f ca="1">+VLOOKUP($A17,INDIRECT(Adrese!C$2),7,FALSE)</f>
        <v>7.1428571428571425E-2</v>
      </c>
      <c r="AZ17" s="4">
        <f ca="1">+VLOOKUP($A17,INDIRECT(Adrese!D$2),7,FALSE)</f>
        <v>7.1428571428571425E-2</v>
      </c>
      <c r="BA17" s="4">
        <f ca="1">+VLOOKUP($A17,INDIRECT(Adrese!E$2),7,FALSE)</f>
        <v>7.1428571428571425E-2</v>
      </c>
      <c r="BB17" s="4">
        <f ca="1">+VLOOKUP($A17,INDIRECT(Adrese!F$2),7,FALSE)</f>
        <v>7.1428571428571425E-2</v>
      </c>
      <c r="BC17" s="4" t="str">
        <f t="shared" ca="1" si="12"/>
        <v>0.07 (0.00)</v>
      </c>
      <c r="BD17">
        <f t="shared" ca="1" si="13"/>
        <v>7.1428571428571425E-2</v>
      </c>
      <c r="BE17" s="4">
        <f t="shared" ca="1" si="14"/>
        <v>0</v>
      </c>
      <c r="BG17" t="s">
        <v>63</v>
      </c>
      <c r="BH17" s="4">
        <f ca="1">+VLOOKUP($BG17,INDIRECT(Adrese!B$2),8,FALSE)</f>
        <v>0</v>
      </c>
      <c r="BI17" s="4">
        <f ca="1">+VLOOKUP($BG17,INDIRECT(Adrese!C$2),8,FALSE)</f>
        <v>0</v>
      </c>
      <c r="BJ17" s="4">
        <f ca="1">+VLOOKUP($BG17,INDIRECT(Adrese!D$2),8,FALSE)</f>
        <v>0</v>
      </c>
      <c r="BK17" s="4">
        <f ca="1">+VLOOKUP($BG17,INDIRECT(Adrese!E$2),8,FALSE)</f>
        <v>0</v>
      </c>
      <c r="BL17" s="4">
        <f ca="1">+VLOOKUP($BG17,INDIRECT(Adrese!F$2),8,FALSE)</f>
        <v>0</v>
      </c>
      <c r="BM17" s="4" t="str">
        <f t="shared" ca="1" si="15"/>
        <v>0.00 (0.00)</v>
      </c>
      <c r="BN17" s="4">
        <f t="shared" ca="1" si="16"/>
        <v>0</v>
      </c>
      <c r="BO17" s="4">
        <f t="shared" ca="1" si="17"/>
        <v>0</v>
      </c>
      <c r="BQ17" t="s">
        <v>63</v>
      </c>
      <c r="BR17" s="4">
        <f ca="1">+VLOOKUP($BG17,INDIRECT(Adrese!B$2),9,FALSE)</f>
        <v>-0.2582426448148713</v>
      </c>
      <c r="BS17" s="4">
        <f ca="1">+VLOOKUP($BG17,INDIRECT(Adrese!C$2),9,FALSE)</f>
        <v>-0.26266230523200418</v>
      </c>
      <c r="BT17" s="4">
        <f ca="1">+VLOOKUP($BG17,INDIRECT(Adrese!D$2),9,FALSE)</f>
        <v>-0.25560458715720541</v>
      </c>
      <c r="BU17" s="4">
        <f ca="1">+VLOOKUP($BG17,INDIRECT(Adrese!E$2),9,FALSE)</f>
        <v>-0.26257920953765368</v>
      </c>
      <c r="BV17" s="4">
        <f ca="1">+VLOOKUP($BG17,INDIRECT(Adrese!F$2),9,FALSE)</f>
        <v>-0.25757331645231279</v>
      </c>
      <c r="BW17" s="4" t="str">
        <f t="shared" ca="1" si="18"/>
        <v>-0.26 (0.00)</v>
      </c>
      <c r="BX17" s="4">
        <f t="shared" ca="1" si="19"/>
        <v>-0.25933241263880952</v>
      </c>
      <c r="BY17" s="4">
        <f t="shared" ca="1" si="20"/>
        <v>3.1547016859479744E-3</v>
      </c>
    </row>
    <row r="21" spans="1:77" x14ac:dyDescent="0.25">
      <c r="AE21" s="11"/>
    </row>
    <row r="22" spans="1:77" x14ac:dyDescent="0.25">
      <c r="AE22" s="4"/>
    </row>
    <row r="23" spans="1:77" x14ac:dyDescent="0.25">
      <c r="AE23" s="4"/>
    </row>
    <row r="24" spans="1:77" x14ac:dyDescent="0.25">
      <c r="AE24" s="4"/>
    </row>
    <row r="25" spans="1:77" x14ac:dyDescent="0.25">
      <c r="AE25" s="4"/>
    </row>
    <row r="26" spans="1:77" x14ac:dyDescent="0.25">
      <c r="AE26" s="4"/>
    </row>
    <row r="27" spans="1:77" x14ac:dyDescent="0.25">
      <c r="AE27" s="4"/>
    </row>
    <row r="28" spans="1:77" x14ac:dyDescent="0.25">
      <c r="AE28" s="4"/>
    </row>
    <row r="29" spans="1:77" x14ac:dyDescent="0.25">
      <c r="AE29" s="4"/>
    </row>
    <row r="30" spans="1:77" x14ac:dyDescent="0.25">
      <c r="AE30" s="4"/>
    </row>
    <row r="31" spans="1:77" x14ac:dyDescent="0.25">
      <c r="AE31" s="4"/>
    </row>
    <row r="32" spans="1:77" x14ac:dyDescent="0.25">
      <c r="AE32" s="4"/>
    </row>
    <row r="33" spans="31:31" x14ac:dyDescent="0.25">
      <c r="AE33" s="4"/>
    </row>
    <row r="34" spans="31:31" x14ac:dyDescent="0.25">
      <c r="AE34" s="4"/>
    </row>
    <row r="35" spans="31:31" x14ac:dyDescent="0.25">
      <c r="AE35" s="4"/>
    </row>
    <row r="36" spans="31:31" x14ac:dyDescent="0.25">
      <c r="AE36" s="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"/>
  <sheetViews>
    <sheetView topLeftCell="A8" zoomScale="85" zoomScaleNormal="85" workbookViewId="0">
      <selection activeCell="D31" sqref="D31"/>
    </sheetView>
  </sheetViews>
  <sheetFormatPr defaultRowHeight="15" x14ac:dyDescent="0.25"/>
  <sheetData>
    <row r="1" spans="1:9" x14ac:dyDescent="0.25">
      <c r="A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</row>
    <row r="2" spans="1:9" x14ac:dyDescent="0.25">
      <c r="A2" t="s">
        <v>8</v>
      </c>
      <c r="B2" s="10">
        <v>1</v>
      </c>
      <c r="C2">
        <v>1</v>
      </c>
      <c r="D2">
        <v>7772</v>
      </c>
      <c r="E2">
        <v>2595</v>
      </c>
      <c r="F2">
        <v>0.85535714285714282</v>
      </c>
      <c r="G2">
        <v>0.9285714285714286</v>
      </c>
      <c r="H2">
        <v>0.310237714364343</v>
      </c>
      <c r="I2">
        <v>0.3052196377012974</v>
      </c>
    </row>
    <row r="3" spans="1:9" x14ac:dyDescent="0.25">
      <c r="A3" t="s">
        <v>54</v>
      </c>
      <c r="B3" s="10">
        <v>2</v>
      </c>
      <c r="C3">
        <v>0</v>
      </c>
      <c r="D3">
        <v>7415</v>
      </c>
      <c r="E3">
        <v>2701</v>
      </c>
      <c r="F3">
        <v>0.89321428571428574</v>
      </c>
      <c r="G3">
        <v>1</v>
      </c>
      <c r="H3">
        <v>0.31570078829538423</v>
      </c>
      <c r="I3">
        <v>0.29607898506138969</v>
      </c>
    </row>
    <row r="4" spans="1:9" x14ac:dyDescent="0.25">
      <c r="A4" t="s">
        <v>56</v>
      </c>
      <c r="B4" s="10">
        <v>3</v>
      </c>
      <c r="C4">
        <v>0</v>
      </c>
      <c r="D4">
        <v>7367</v>
      </c>
      <c r="E4">
        <v>2604</v>
      </c>
      <c r="F4">
        <v>0.85857142857142854</v>
      </c>
      <c r="G4">
        <v>1</v>
      </c>
      <c r="H4">
        <v>0.31178633115379301</v>
      </c>
      <c r="I4">
        <v>0.30549745383478372</v>
      </c>
    </row>
    <row r="5" spans="1:9" x14ac:dyDescent="0.25">
      <c r="A5" t="s">
        <v>58</v>
      </c>
      <c r="B5" s="10">
        <v>4</v>
      </c>
      <c r="C5">
        <v>0</v>
      </c>
      <c r="D5">
        <v>7336</v>
      </c>
      <c r="E5">
        <v>2575</v>
      </c>
      <c r="F5">
        <v>0.8482142857142857</v>
      </c>
      <c r="G5">
        <v>1</v>
      </c>
      <c r="H5">
        <v>0.314969073442807</v>
      </c>
      <c r="I5">
        <v>0.32326403170691181</v>
      </c>
    </row>
    <row r="6" spans="1:9" x14ac:dyDescent="0.25">
      <c r="A6" t="s">
        <v>57</v>
      </c>
      <c r="B6" s="10">
        <v>5</v>
      </c>
      <c r="C6">
        <v>0</v>
      </c>
      <c r="D6">
        <v>7278</v>
      </c>
      <c r="E6">
        <v>3000</v>
      </c>
      <c r="F6">
        <v>1</v>
      </c>
      <c r="G6">
        <v>1</v>
      </c>
      <c r="H6">
        <v>0.32552496414811238</v>
      </c>
      <c r="I6">
        <v>0.2582426448148713</v>
      </c>
    </row>
    <row r="7" spans="1:9" x14ac:dyDescent="0.25">
      <c r="A7" t="s">
        <v>55</v>
      </c>
      <c r="B7" s="10">
        <v>6</v>
      </c>
      <c r="C7">
        <v>0</v>
      </c>
      <c r="D7">
        <v>7064</v>
      </c>
      <c r="E7">
        <v>2359</v>
      </c>
      <c r="F7">
        <v>0.77107142857142852</v>
      </c>
      <c r="G7">
        <v>1</v>
      </c>
      <c r="H7">
        <v>0.30022112895927339</v>
      </c>
      <c r="I7">
        <v>0.32162476743132479</v>
      </c>
    </row>
    <row r="8" spans="1:9" x14ac:dyDescent="0.25">
      <c r="A8" t="s">
        <v>9</v>
      </c>
      <c r="B8" s="10">
        <v>7</v>
      </c>
      <c r="C8">
        <v>0</v>
      </c>
      <c r="D8">
        <v>6993</v>
      </c>
      <c r="E8">
        <v>2222</v>
      </c>
      <c r="F8">
        <v>0.7221428571428572</v>
      </c>
      <c r="G8">
        <v>1</v>
      </c>
      <c r="H8">
        <v>0.28992592335421841</v>
      </c>
      <c r="I8">
        <v>0.31366567520078981</v>
      </c>
    </row>
    <row r="9" spans="1:9" x14ac:dyDescent="0.25">
      <c r="A9" t="s">
        <v>10</v>
      </c>
      <c r="B9" s="10">
        <v>8</v>
      </c>
      <c r="C9">
        <v>1</v>
      </c>
      <c r="D9">
        <v>6865</v>
      </c>
      <c r="E9">
        <v>2016</v>
      </c>
      <c r="F9">
        <v>0.64857142857142858</v>
      </c>
      <c r="G9">
        <v>0.9285714285714286</v>
      </c>
      <c r="H9">
        <v>0.2740347499136972</v>
      </c>
      <c r="I9">
        <v>0.30427044811828963</v>
      </c>
    </row>
    <row r="10" spans="1:9" x14ac:dyDescent="0.25">
      <c r="A10" t="s">
        <v>59</v>
      </c>
      <c r="B10" s="10">
        <v>9</v>
      </c>
      <c r="C10">
        <v>1</v>
      </c>
      <c r="D10">
        <v>6850</v>
      </c>
      <c r="E10">
        <v>2054</v>
      </c>
      <c r="F10">
        <v>0.66214285714285714</v>
      </c>
      <c r="G10">
        <v>0.9285714285714286</v>
      </c>
      <c r="H10">
        <v>0.27655892538475529</v>
      </c>
      <c r="I10">
        <v>0.30369701545876571</v>
      </c>
    </row>
    <row r="11" spans="1:9" x14ac:dyDescent="0.25">
      <c r="A11" t="s">
        <v>60</v>
      </c>
      <c r="B11" s="10">
        <v>10</v>
      </c>
      <c r="C11">
        <v>1</v>
      </c>
      <c r="D11">
        <v>6818</v>
      </c>
      <c r="E11">
        <v>2444</v>
      </c>
      <c r="F11">
        <v>0.80142857142857138</v>
      </c>
      <c r="G11">
        <v>0.9285714285714286</v>
      </c>
      <c r="H11">
        <v>0.29623305667063121</v>
      </c>
      <c r="I11">
        <v>0.28373464611788818</v>
      </c>
    </row>
    <row r="12" spans="1:9" x14ac:dyDescent="0.25">
      <c r="A12" t="s">
        <v>61</v>
      </c>
      <c r="B12" s="10">
        <v>11</v>
      </c>
      <c r="C12">
        <v>8</v>
      </c>
      <c r="D12">
        <v>6299</v>
      </c>
      <c r="E12">
        <v>1298</v>
      </c>
      <c r="F12">
        <v>0.46357142857142858</v>
      </c>
      <c r="G12">
        <v>0.42857142857142849</v>
      </c>
      <c r="H12">
        <v>0.18204178059378481</v>
      </c>
      <c r="I12">
        <v>0.1047629211968949</v>
      </c>
    </row>
    <row r="13" spans="1:9" x14ac:dyDescent="0.25">
      <c r="A13" t="s">
        <v>81</v>
      </c>
      <c r="B13" s="10">
        <v>12</v>
      </c>
      <c r="C13">
        <v>9</v>
      </c>
      <c r="D13">
        <v>5573</v>
      </c>
      <c r="E13">
        <v>1053</v>
      </c>
      <c r="F13">
        <v>0.37428571428571428</v>
      </c>
      <c r="G13">
        <v>0.35714285714285721</v>
      </c>
      <c r="H13">
        <v>0.1402999544146307</v>
      </c>
      <c r="I13">
        <v>-1.591452780617976E-3</v>
      </c>
    </row>
    <row r="14" spans="1:9" x14ac:dyDescent="0.25">
      <c r="A14" t="s">
        <v>11</v>
      </c>
      <c r="B14" s="10">
        <v>13</v>
      </c>
      <c r="C14">
        <v>5</v>
      </c>
      <c r="D14">
        <v>5361</v>
      </c>
      <c r="E14">
        <v>1522</v>
      </c>
      <c r="F14">
        <v>0.50821428571428573</v>
      </c>
      <c r="G14">
        <v>0.6428571428571429</v>
      </c>
      <c r="H14">
        <v>0.16480223457168369</v>
      </c>
      <c r="I14">
        <v>3.5935766181574009E-3</v>
      </c>
    </row>
    <row r="15" spans="1:9" x14ac:dyDescent="0.25">
      <c r="A15" t="s">
        <v>62</v>
      </c>
      <c r="B15" s="10">
        <v>14</v>
      </c>
      <c r="C15">
        <v>11</v>
      </c>
      <c r="D15">
        <v>5121</v>
      </c>
      <c r="E15">
        <v>690</v>
      </c>
      <c r="F15">
        <v>0.24535714285714291</v>
      </c>
      <c r="G15">
        <v>0.2142857142857143</v>
      </c>
      <c r="H15">
        <v>9.0532308602563116E-2</v>
      </c>
      <c r="I15">
        <v>-9.9167819721431488E-2</v>
      </c>
    </row>
    <row r="16" spans="1:9" x14ac:dyDescent="0.25">
      <c r="A16" t="s">
        <v>63</v>
      </c>
      <c r="B16" s="10">
        <v>15</v>
      </c>
      <c r="C16">
        <v>13</v>
      </c>
      <c r="D16">
        <v>4868</v>
      </c>
      <c r="E16">
        <v>0</v>
      </c>
      <c r="F16">
        <v>0</v>
      </c>
      <c r="G16">
        <v>7.1428571428571425E-2</v>
      </c>
      <c r="H16">
        <v>0</v>
      </c>
      <c r="I16">
        <v>-0.2582426448148713</v>
      </c>
    </row>
    <row r="18" spans="1:9" x14ac:dyDescent="0.25">
      <c r="A18" s="10" t="s">
        <v>0</v>
      </c>
      <c r="C18" s="10" t="s">
        <v>1</v>
      </c>
      <c r="D18" s="10" t="s">
        <v>2</v>
      </c>
      <c r="E18" s="10" t="s">
        <v>3</v>
      </c>
      <c r="F18" s="10" t="s">
        <v>4</v>
      </c>
      <c r="G18" s="10" t="s">
        <v>5</v>
      </c>
      <c r="H18" s="10" t="s">
        <v>6</v>
      </c>
      <c r="I18" s="10" t="s">
        <v>7</v>
      </c>
    </row>
    <row r="19" spans="1:9" x14ac:dyDescent="0.25">
      <c r="A19" t="s">
        <v>8</v>
      </c>
      <c r="B19" s="10">
        <v>1</v>
      </c>
      <c r="C19">
        <v>1</v>
      </c>
      <c r="D19">
        <v>7735</v>
      </c>
      <c r="E19">
        <v>2591</v>
      </c>
      <c r="F19">
        <v>0.85392857142857148</v>
      </c>
      <c r="G19">
        <v>0.9285714285714286</v>
      </c>
      <c r="H19">
        <v>0.30968259819411748</v>
      </c>
      <c r="I19">
        <v>0.31218276724775651</v>
      </c>
    </row>
    <row r="20" spans="1:9" x14ac:dyDescent="0.25">
      <c r="A20" t="s">
        <v>56</v>
      </c>
      <c r="B20" s="10">
        <v>2</v>
      </c>
      <c r="C20">
        <v>0</v>
      </c>
      <c r="D20">
        <v>7454</v>
      </c>
      <c r="E20">
        <v>2632</v>
      </c>
      <c r="F20">
        <v>0.86857142857142855</v>
      </c>
      <c r="G20">
        <v>1</v>
      </c>
      <c r="H20">
        <v>0.31009941880671599</v>
      </c>
      <c r="I20">
        <v>0.30024947541579039</v>
      </c>
    </row>
    <row r="21" spans="1:9" x14ac:dyDescent="0.25">
      <c r="A21" t="s">
        <v>54</v>
      </c>
      <c r="B21" s="10">
        <v>3</v>
      </c>
      <c r="C21">
        <v>0</v>
      </c>
      <c r="D21">
        <v>7450</v>
      </c>
      <c r="E21">
        <v>2696</v>
      </c>
      <c r="F21">
        <v>0.89142857142857146</v>
      </c>
      <c r="G21">
        <v>1</v>
      </c>
      <c r="H21">
        <v>0.31443837159604299</v>
      </c>
      <c r="I21">
        <v>0.30093917180741903</v>
      </c>
    </row>
    <row r="22" spans="1:9" x14ac:dyDescent="0.25">
      <c r="A22" t="s">
        <v>57</v>
      </c>
      <c r="B22" s="10">
        <v>4</v>
      </c>
      <c r="C22">
        <v>0</v>
      </c>
      <c r="D22">
        <v>7329</v>
      </c>
      <c r="E22">
        <v>3000</v>
      </c>
      <c r="F22">
        <v>1</v>
      </c>
      <c r="G22">
        <v>1</v>
      </c>
      <c r="H22">
        <v>0.32497494760280482</v>
      </c>
      <c r="I22">
        <v>0.26266230523200418</v>
      </c>
    </row>
    <row r="23" spans="1:9" x14ac:dyDescent="0.25">
      <c r="A23" t="s">
        <v>58</v>
      </c>
      <c r="B23" s="10">
        <v>5</v>
      </c>
      <c r="C23">
        <v>0</v>
      </c>
      <c r="D23">
        <v>7312</v>
      </c>
      <c r="E23">
        <v>2553</v>
      </c>
      <c r="F23">
        <v>0.8403571428571428</v>
      </c>
      <c r="G23">
        <v>1</v>
      </c>
      <c r="H23">
        <v>0.31079159248045352</v>
      </c>
      <c r="I23">
        <v>0.32307920506452381</v>
      </c>
    </row>
    <row r="24" spans="1:9" x14ac:dyDescent="0.25">
      <c r="A24" t="s">
        <v>55</v>
      </c>
      <c r="B24" s="10">
        <v>6</v>
      </c>
      <c r="C24">
        <v>0</v>
      </c>
      <c r="D24">
        <v>7189</v>
      </c>
      <c r="E24">
        <v>2419</v>
      </c>
      <c r="F24">
        <v>0.79249999999999998</v>
      </c>
      <c r="G24">
        <v>1</v>
      </c>
      <c r="H24">
        <v>0.30154467890797187</v>
      </c>
      <c r="I24">
        <v>0.31932263651698689</v>
      </c>
    </row>
    <row r="25" spans="1:9" x14ac:dyDescent="0.25">
      <c r="A25" t="s">
        <v>9</v>
      </c>
      <c r="B25" s="10">
        <v>7</v>
      </c>
      <c r="C25">
        <v>0</v>
      </c>
      <c r="D25">
        <v>7045</v>
      </c>
      <c r="E25">
        <v>2249</v>
      </c>
      <c r="F25">
        <v>0.73178571428571426</v>
      </c>
      <c r="G25">
        <v>1</v>
      </c>
      <c r="H25">
        <v>0.28804652922054219</v>
      </c>
      <c r="I25">
        <v>0.31149053347939298</v>
      </c>
    </row>
    <row r="26" spans="1:9" x14ac:dyDescent="0.25">
      <c r="A26" t="s">
        <v>10</v>
      </c>
      <c r="B26" s="10">
        <v>8</v>
      </c>
      <c r="C26">
        <v>1</v>
      </c>
      <c r="D26">
        <v>6835</v>
      </c>
      <c r="E26">
        <v>2019</v>
      </c>
      <c r="F26">
        <v>0.64964285714285719</v>
      </c>
      <c r="G26">
        <v>0.9285714285714286</v>
      </c>
      <c r="H26">
        <v>0.27063417981202759</v>
      </c>
      <c r="I26">
        <v>0.30647528067822</v>
      </c>
    </row>
    <row r="27" spans="1:9" x14ac:dyDescent="0.25">
      <c r="A27" t="s">
        <v>60</v>
      </c>
      <c r="B27" s="10">
        <v>9</v>
      </c>
      <c r="C27">
        <v>0</v>
      </c>
      <c r="D27">
        <v>6794</v>
      </c>
      <c r="E27">
        <v>2451</v>
      </c>
      <c r="F27">
        <v>0.80392857142857144</v>
      </c>
      <c r="G27">
        <v>1</v>
      </c>
      <c r="H27">
        <v>0.29446796369697248</v>
      </c>
      <c r="I27">
        <v>0.28602040369234599</v>
      </c>
    </row>
    <row r="28" spans="1:9" x14ac:dyDescent="0.25">
      <c r="A28" t="s">
        <v>59</v>
      </c>
      <c r="B28" s="10">
        <v>10</v>
      </c>
      <c r="C28">
        <v>2</v>
      </c>
      <c r="D28">
        <v>6787</v>
      </c>
      <c r="E28">
        <v>2052</v>
      </c>
      <c r="F28">
        <v>0.66142857142857148</v>
      </c>
      <c r="G28">
        <v>0.8571428571428571</v>
      </c>
      <c r="H28">
        <v>0.27293383308349062</v>
      </c>
      <c r="I28">
        <v>0.30589950083002282</v>
      </c>
    </row>
    <row r="29" spans="1:9" x14ac:dyDescent="0.25">
      <c r="A29" t="s">
        <v>61</v>
      </c>
      <c r="B29" s="10">
        <v>11</v>
      </c>
      <c r="C29">
        <v>7</v>
      </c>
      <c r="D29">
        <v>6382</v>
      </c>
      <c r="E29">
        <v>1585</v>
      </c>
      <c r="F29">
        <v>0.56607142857142856</v>
      </c>
      <c r="G29">
        <v>0.5</v>
      </c>
      <c r="H29">
        <v>0.19490170675100341</v>
      </c>
      <c r="I29">
        <v>8.4120656443151615E-2</v>
      </c>
    </row>
    <row r="30" spans="1:9" x14ac:dyDescent="0.25">
      <c r="A30" t="s">
        <v>11</v>
      </c>
      <c r="B30" s="10">
        <v>12</v>
      </c>
      <c r="C30">
        <v>8</v>
      </c>
      <c r="D30">
        <v>5822</v>
      </c>
      <c r="E30">
        <v>1509</v>
      </c>
      <c r="F30">
        <v>0.50321428571428573</v>
      </c>
      <c r="G30">
        <v>0.42857142857142849</v>
      </c>
      <c r="H30">
        <v>0.16199766286667949</v>
      </c>
      <c r="I30">
        <v>-3.705413238054879E-3</v>
      </c>
    </row>
    <row r="31" spans="1:9" x14ac:dyDescent="0.25">
      <c r="A31" t="s">
        <v>62</v>
      </c>
      <c r="B31" s="10">
        <v>13</v>
      </c>
      <c r="C31">
        <v>12</v>
      </c>
      <c r="D31">
        <v>5601</v>
      </c>
      <c r="E31">
        <v>948</v>
      </c>
      <c r="F31">
        <v>0.33357142857142857</v>
      </c>
      <c r="G31">
        <v>0.14285714285714279</v>
      </c>
      <c r="H31">
        <v>0.1164551050853611</v>
      </c>
      <c r="I31">
        <v>-6.2711399841487894E-2</v>
      </c>
    </row>
    <row r="32" spans="1:9" x14ac:dyDescent="0.25">
      <c r="A32" t="s">
        <v>81</v>
      </c>
      <c r="B32" s="10">
        <v>14</v>
      </c>
      <c r="C32">
        <v>9</v>
      </c>
      <c r="D32">
        <v>5570</v>
      </c>
      <c r="E32">
        <v>1080</v>
      </c>
      <c r="F32">
        <v>0.38250000000000001</v>
      </c>
      <c r="G32">
        <v>0.35714285714285721</v>
      </c>
      <c r="H32">
        <v>0.1439603926871274</v>
      </c>
      <c r="I32">
        <v>1.180400156066648E-2</v>
      </c>
    </row>
    <row r="33" spans="1:9" x14ac:dyDescent="0.25">
      <c r="A33" t="s">
        <v>63</v>
      </c>
      <c r="B33" s="10">
        <v>15</v>
      </c>
      <c r="C33">
        <v>13</v>
      </c>
      <c r="D33">
        <v>4956</v>
      </c>
      <c r="E33">
        <v>0</v>
      </c>
      <c r="F33">
        <v>0</v>
      </c>
      <c r="G33">
        <v>7.1428571428571425E-2</v>
      </c>
      <c r="H33">
        <v>0</v>
      </c>
      <c r="I33">
        <v>-0.26266230523200418</v>
      </c>
    </row>
    <row r="35" spans="1:9" x14ac:dyDescent="0.25">
      <c r="A35" s="10" t="s">
        <v>0</v>
      </c>
      <c r="C35" s="10" t="s">
        <v>1</v>
      </c>
      <c r="D35" s="10" t="s">
        <v>2</v>
      </c>
      <c r="E35" s="10" t="s">
        <v>3</v>
      </c>
      <c r="F35" s="10" t="s">
        <v>4</v>
      </c>
      <c r="G35" s="10" t="s">
        <v>5</v>
      </c>
      <c r="H35" s="10" t="s">
        <v>6</v>
      </c>
      <c r="I35" s="10" t="s">
        <v>7</v>
      </c>
    </row>
    <row r="36" spans="1:9" x14ac:dyDescent="0.25">
      <c r="A36" t="s">
        <v>8</v>
      </c>
      <c r="B36" s="10">
        <v>1</v>
      </c>
      <c r="C36">
        <v>1</v>
      </c>
      <c r="D36">
        <v>7543</v>
      </c>
      <c r="E36">
        <v>2414</v>
      </c>
      <c r="F36">
        <v>0.7907142857142857</v>
      </c>
      <c r="G36">
        <v>0.9285714285714286</v>
      </c>
      <c r="H36">
        <v>0.3020471760475662</v>
      </c>
      <c r="I36">
        <v>0.32391756278948403</v>
      </c>
    </row>
    <row r="37" spans="1:9" x14ac:dyDescent="0.25">
      <c r="A37" t="s">
        <v>54</v>
      </c>
      <c r="B37" s="10">
        <v>2</v>
      </c>
      <c r="C37">
        <v>0</v>
      </c>
      <c r="D37">
        <v>7448</v>
      </c>
      <c r="E37">
        <v>2695</v>
      </c>
      <c r="F37">
        <v>0.89107142857142863</v>
      </c>
      <c r="G37">
        <v>1</v>
      </c>
      <c r="H37">
        <v>0.31367553539055848</v>
      </c>
      <c r="I37">
        <v>0.29352763085199302</v>
      </c>
    </row>
    <row r="38" spans="1:9" x14ac:dyDescent="0.25">
      <c r="A38" t="s">
        <v>55</v>
      </c>
      <c r="B38" s="10">
        <v>3</v>
      </c>
      <c r="C38">
        <v>0</v>
      </c>
      <c r="D38">
        <v>7433</v>
      </c>
      <c r="E38">
        <v>2567</v>
      </c>
      <c r="F38">
        <v>0.84535714285714281</v>
      </c>
      <c r="G38">
        <v>1</v>
      </c>
      <c r="H38">
        <v>0.3126709650452944</v>
      </c>
      <c r="I38">
        <v>0.32224228478860573</v>
      </c>
    </row>
    <row r="39" spans="1:9" x14ac:dyDescent="0.25">
      <c r="A39" t="s">
        <v>58</v>
      </c>
      <c r="B39" s="10">
        <v>4</v>
      </c>
      <c r="C39">
        <v>0</v>
      </c>
      <c r="D39">
        <v>7337</v>
      </c>
      <c r="E39">
        <v>2565</v>
      </c>
      <c r="F39">
        <v>0.84464285714285714</v>
      </c>
      <c r="G39">
        <v>1</v>
      </c>
      <c r="H39">
        <v>0.31266331067751768</v>
      </c>
      <c r="I39">
        <v>0.32262424448742921</v>
      </c>
    </row>
    <row r="40" spans="1:9" x14ac:dyDescent="0.25">
      <c r="A40" t="s">
        <v>56</v>
      </c>
      <c r="B40" s="10">
        <v>5</v>
      </c>
      <c r="C40">
        <v>0</v>
      </c>
      <c r="D40">
        <v>7318</v>
      </c>
      <c r="E40">
        <v>2575</v>
      </c>
      <c r="F40">
        <v>0.8482142857142857</v>
      </c>
      <c r="G40">
        <v>1</v>
      </c>
      <c r="H40">
        <v>0.30779575941400888</v>
      </c>
      <c r="I40">
        <v>0.30071843442230589</v>
      </c>
    </row>
    <row r="41" spans="1:9" x14ac:dyDescent="0.25">
      <c r="A41" t="s">
        <v>57</v>
      </c>
      <c r="B41" s="10">
        <v>6</v>
      </c>
      <c r="C41">
        <v>0</v>
      </c>
      <c r="D41">
        <v>7299</v>
      </c>
      <c r="E41">
        <v>3000</v>
      </c>
      <c r="F41">
        <v>1</v>
      </c>
      <c r="G41">
        <v>1</v>
      </c>
      <c r="H41">
        <v>0.32362758802229552</v>
      </c>
      <c r="I41">
        <v>0.25560458715720541</v>
      </c>
    </row>
    <row r="42" spans="1:9" x14ac:dyDescent="0.25">
      <c r="A42" t="s">
        <v>9</v>
      </c>
      <c r="B42" s="10">
        <v>7</v>
      </c>
      <c r="C42">
        <v>0</v>
      </c>
      <c r="D42">
        <v>7031</v>
      </c>
      <c r="E42">
        <v>2239</v>
      </c>
      <c r="F42">
        <v>0.7282142857142857</v>
      </c>
      <c r="G42">
        <v>1</v>
      </c>
      <c r="H42">
        <v>0.28816842793761199</v>
      </c>
      <c r="I42">
        <v>0.3094726225922424</v>
      </c>
    </row>
    <row r="43" spans="1:9" x14ac:dyDescent="0.25">
      <c r="A43" t="s">
        <v>59</v>
      </c>
      <c r="B43" s="10">
        <v>8</v>
      </c>
      <c r="C43">
        <v>1</v>
      </c>
      <c r="D43">
        <v>6858</v>
      </c>
      <c r="E43">
        <v>2069</v>
      </c>
      <c r="F43">
        <v>0.66749999999999998</v>
      </c>
      <c r="G43">
        <v>0.9285714285714286</v>
      </c>
      <c r="H43">
        <v>0.27365088014572669</v>
      </c>
      <c r="I43">
        <v>0.30080111702052981</v>
      </c>
    </row>
    <row r="44" spans="1:9" x14ac:dyDescent="0.25">
      <c r="A44" t="s">
        <v>10</v>
      </c>
      <c r="B44" s="10">
        <v>9</v>
      </c>
      <c r="C44">
        <v>1</v>
      </c>
      <c r="D44">
        <v>6797</v>
      </c>
      <c r="E44">
        <v>2016</v>
      </c>
      <c r="F44">
        <v>0.64857142857142858</v>
      </c>
      <c r="G44">
        <v>0.9285714285714286</v>
      </c>
      <c r="H44">
        <v>0.27032693105585248</v>
      </c>
      <c r="I44">
        <v>0.3015582260136408</v>
      </c>
    </row>
    <row r="45" spans="1:9" x14ac:dyDescent="0.25">
      <c r="A45" t="s">
        <v>60</v>
      </c>
      <c r="B45" s="10">
        <v>10</v>
      </c>
      <c r="C45">
        <v>0</v>
      </c>
      <c r="D45">
        <v>6739</v>
      </c>
      <c r="E45">
        <v>2447</v>
      </c>
      <c r="F45">
        <v>0.80249999999999999</v>
      </c>
      <c r="G45">
        <v>1</v>
      </c>
      <c r="H45">
        <v>0.29336624142478018</v>
      </c>
      <c r="I45">
        <v>0.27942474614783003</v>
      </c>
    </row>
    <row r="46" spans="1:9" x14ac:dyDescent="0.25">
      <c r="A46" t="s">
        <v>61</v>
      </c>
      <c r="B46" s="10">
        <v>11</v>
      </c>
      <c r="C46">
        <v>7</v>
      </c>
      <c r="D46">
        <v>6247</v>
      </c>
      <c r="E46">
        <v>1687</v>
      </c>
      <c r="F46">
        <v>0.60250000000000004</v>
      </c>
      <c r="G46">
        <v>0.5</v>
      </c>
      <c r="H46">
        <v>0.20079667084014649</v>
      </c>
      <c r="I46">
        <v>8.0951476001928993E-2</v>
      </c>
    </row>
    <row r="47" spans="1:9" x14ac:dyDescent="0.25">
      <c r="A47" t="s">
        <v>11</v>
      </c>
      <c r="B47" s="10">
        <v>12</v>
      </c>
      <c r="C47">
        <v>7</v>
      </c>
      <c r="D47">
        <v>5940</v>
      </c>
      <c r="E47">
        <v>1483</v>
      </c>
      <c r="F47">
        <v>0.49357142857142849</v>
      </c>
      <c r="G47">
        <v>0.5</v>
      </c>
      <c r="H47">
        <v>0.15885059946887509</v>
      </c>
      <c r="I47">
        <v>-7.3868819979242316E-3</v>
      </c>
    </row>
    <row r="48" spans="1:9" x14ac:dyDescent="0.25">
      <c r="A48" t="s">
        <v>81</v>
      </c>
      <c r="B48" s="10">
        <v>13</v>
      </c>
      <c r="C48">
        <v>10</v>
      </c>
      <c r="D48">
        <v>5912</v>
      </c>
      <c r="E48">
        <v>1204</v>
      </c>
      <c r="F48">
        <v>0.42928571428571433</v>
      </c>
      <c r="G48">
        <v>0.2857142857142857</v>
      </c>
      <c r="H48">
        <v>0.1607912097945452</v>
      </c>
      <c r="I48">
        <v>5.4616950198622741E-2</v>
      </c>
    </row>
    <row r="49" spans="1:9" x14ac:dyDescent="0.25">
      <c r="A49" t="s">
        <v>62</v>
      </c>
      <c r="B49" s="10">
        <v>14</v>
      </c>
      <c r="C49">
        <v>10</v>
      </c>
      <c r="D49">
        <v>5135</v>
      </c>
      <c r="E49">
        <v>679</v>
      </c>
      <c r="F49">
        <v>0.24035714285714291</v>
      </c>
      <c r="G49">
        <v>0.2857142857142857</v>
      </c>
      <c r="H49">
        <v>8.3112941380606348E-2</v>
      </c>
      <c r="I49">
        <v>-0.1226074024695268</v>
      </c>
    </row>
    <row r="50" spans="1:9" x14ac:dyDescent="0.25">
      <c r="A50" t="s">
        <v>63</v>
      </c>
      <c r="B50" s="10">
        <v>15</v>
      </c>
      <c r="C50">
        <v>13</v>
      </c>
      <c r="D50">
        <v>4952</v>
      </c>
      <c r="E50">
        <v>0</v>
      </c>
      <c r="F50">
        <v>0</v>
      </c>
      <c r="G50">
        <v>7.1428571428571425E-2</v>
      </c>
      <c r="H50">
        <v>0</v>
      </c>
      <c r="I50">
        <v>-0.25560458715720541</v>
      </c>
    </row>
    <row r="52" spans="1:9" x14ac:dyDescent="0.25">
      <c r="A52" s="10" t="s">
        <v>0</v>
      </c>
      <c r="C52" s="10" t="s">
        <v>1</v>
      </c>
      <c r="D52" s="10" t="s">
        <v>2</v>
      </c>
      <c r="E52" s="10" t="s">
        <v>3</v>
      </c>
      <c r="F52" s="10" t="s">
        <v>4</v>
      </c>
      <c r="G52" s="10" t="s">
        <v>5</v>
      </c>
      <c r="H52" s="10" t="s">
        <v>6</v>
      </c>
      <c r="I52" s="10" t="s">
        <v>7</v>
      </c>
    </row>
    <row r="53" spans="1:9" x14ac:dyDescent="0.25">
      <c r="A53" t="s">
        <v>8</v>
      </c>
      <c r="B53" s="10">
        <v>1</v>
      </c>
      <c r="C53">
        <v>1</v>
      </c>
      <c r="D53">
        <v>7754</v>
      </c>
      <c r="E53">
        <v>2590</v>
      </c>
      <c r="F53">
        <v>0.85357142857142854</v>
      </c>
      <c r="G53">
        <v>0.9285714285714286</v>
      </c>
      <c r="H53">
        <v>0.30840147087740899</v>
      </c>
      <c r="I53">
        <v>0.31103561268056928</v>
      </c>
    </row>
    <row r="54" spans="1:9" x14ac:dyDescent="0.25">
      <c r="A54" t="s">
        <v>56</v>
      </c>
      <c r="B54" s="10">
        <v>2</v>
      </c>
      <c r="C54">
        <v>0</v>
      </c>
      <c r="D54">
        <v>7385</v>
      </c>
      <c r="E54">
        <v>2590</v>
      </c>
      <c r="F54">
        <v>0.85357142857142854</v>
      </c>
      <c r="G54">
        <v>1</v>
      </c>
      <c r="H54">
        <v>0.30687622282392801</v>
      </c>
      <c r="I54">
        <v>0.30168722795510727</v>
      </c>
    </row>
    <row r="55" spans="1:9" x14ac:dyDescent="0.25">
      <c r="A55" t="s">
        <v>54</v>
      </c>
      <c r="B55" s="10">
        <v>3</v>
      </c>
      <c r="C55">
        <v>0</v>
      </c>
      <c r="D55">
        <v>7375</v>
      </c>
      <c r="E55">
        <v>2684</v>
      </c>
      <c r="F55">
        <v>0.88714285714285712</v>
      </c>
      <c r="G55">
        <v>1</v>
      </c>
      <c r="H55">
        <v>0.31230402120404432</v>
      </c>
      <c r="I55">
        <v>0.29858916207278408</v>
      </c>
    </row>
    <row r="56" spans="1:9" x14ac:dyDescent="0.25">
      <c r="A56" t="s">
        <v>55</v>
      </c>
      <c r="B56" s="10">
        <v>4</v>
      </c>
      <c r="C56">
        <v>0</v>
      </c>
      <c r="D56">
        <v>7367</v>
      </c>
      <c r="E56">
        <v>2532</v>
      </c>
      <c r="F56">
        <v>0.83285714285714285</v>
      </c>
      <c r="G56">
        <v>1</v>
      </c>
      <c r="H56">
        <v>0.30860859435027083</v>
      </c>
      <c r="I56">
        <v>0.32499815428554579</v>
      </c>
    </row>
    <row r="57" spans="1:9" x14ac:dyDescent="0.25">
      <c r="A57" t="s">
        <v>58</v>
      </c>
      <c r="B57" s="10">
        <v>5</v>
      </c>
      <c r="C57">
        <v>0</v>
      </c>
      <c r="D57">
        <v>7314</v>
      </c>
      <c r="E57">
        <v>2558</v>
      </c>
      <c r="F57">
        <v>0.84214285714285719</v>
      </c>
      <c r="G57">
        <v>1</v>
      </c>
      <c r="H57">
        <v>0.31003267143193702</v>
      </c>
      <c r="I57">
        <v>0.32179762327679851</v>
      </c>
    </row>
    <row r="58" spans="1:9" x14ac:dyDescent="0.25">
      <c r="A58" t="s">
        <v>57</v>
      </c>
      <c r="B58" s="10">
        <v>6</v>
      </c>
      <c r="C58">
        <v>0</v>
      </c>
      <c r="D58">
        <v>7272</v>
      </c>
      <c r="E58">
        <v>3000</v>
      </c>
      <c r="F58">
        <v>1</v>
      </c>
      <c r="G58">
        <v>1</v>
      </c>
      <c r="H58">
        <v>0.32372652333303759</v>
      </c>
      <c r="I58">
        <v>0.26257920953765368</v>
      </c>
    </row>
    <row r="59" spans="1:9" x14ac:dyDescent="0.25">
      <c r="A59" t="s">
        <v>9</v>
      </c>
      <c r="B59" s="10">
        <v>7</v>
      </c>
      <c r="C59">
        <v>0</v>
      </c>
      <c r="D59">
        <v>7028</v>
      </c>
      <c r="E59">
        <v>2239</v>
      </c>
      <c r="F59">
        <v>0.7282142857142857</v>
      </c>
      <c r="G59">
        <v>1</v>
      </c>
      <c r="H59">
        <v>0.28640832202190258</v>
      </c>
      <c r="I59">
        <v>0.31104471244145848</v>
      </c>
    </row>
    <row r="60" spans="1:9" x14ac:dyDescent="0.25">
      <c r="A60" t="s">
        <v>10</v>
      </c>
      <c r="B60" s="10">
        <v>8</v>
      </c>
      <c r="C60">
        <v>1</v>
      </c>
      <c r="D60">
        <v>6903</v>
      </c>
      <c r="E60">
        <v>2057</v>
      </c>
      <c r="F60">
        <v>0.66321428571428576</v>
      </c>
      <c r="G60">
        <v>0.9285714285714286</v>
      </c>
      <c r="H60">
        <v>0.27161106979194438</v>
      </c>
      <c r="I60">
        <v>0.30379732452164221</v>
      </c>
    </row>
    <row r="61" spans="1:9" x14ac:dyDescent="0.25">
      <c r="A61" t="s">
        <v>59</v>
      </c>
      <c r="B61" s="10">
        <v>9</v>
      </c>
      <c r="C61">
        <v>1</v>
      </c>
      <c r="D61">
        <v>6839</v>
      </c>
      <c r="E61">
        <v>2057</v>
      </c>
      <c r="F61">
        <v>0.66321428571428576</v>
      </c>
      <c r="G61">
        <v>0.9285714285714286</v>
      </c>
      <c r="H61">
        <v>0.27161270473670079</v>
      </c>
      <c r="I61">
        <v>0.30225574601519861</v>
      </c>
    </row>
    <row r="62" spans="1:9" x14ac:dyDescent="0.25">
      <c r="A62" t="s">
        <v>60</v>
      </c>
      <c r="B62" s="10">
        <v>10</v>
      </c>
      <c r="C62">
        <v>0</v>
      </c>
      <c r="D62">
        <v>6784</v>
      </c>
      <c r="E62">
        <v>2461</v>
      </c>
      <c r="F62">
        <v>0.8075</v>
      </c>
      <c r="G62">
        <v>1</v>
      </c>
      <c r="H62">
        <v>0.29361132946667118</v>
      </c>
      <c r="I62">
        <v>0.28370098015202189</v>
      </c>
    </row>
    <row r="63" spans="1:9" x14ac:dyDescent="0.25">
      <c r="A63" t="s">
        <v>61</v>
      </c>
      <c r="B63" s="10">
        <v>11</v>
      </c>
      <c r="C63">
        <v>7</v>
      </c>
      <c r="D63">
        <v>6388</v>
      </c>
      <c r="E63">
        <v>1625</v>
      </c>
      <c r="F63">
        <v>0.5803571428571429</v>
      </c>
      <c r="G63">
        <v>0.5</v>
      </c>
      <c r="H63">
        <v>0.1972780809303406</v>
      </c>
      <c r="I63">
        <v>8.569099646551831E-2</v>
      </c>
    </row>
    <row r="64" spans="1:9" x14ac:dyDescent="0.25">
      <c r="A64" t="s">
        <v>11</v>
      </c>
      <c r="B64" s="10">
        <v>12</v>
      </c>
      <c r="C64">
        <v>8</v>
      </c>
      <c r="D64">
        <v>5896</v>
      </c>
      <c r="E64">
        <v>1506</v>
      </c>
      <c r="F64">
        <v>0.50285714285714289</v>
      </c>
      <c r="G64">
        <v>0.42857142857142849</v>
      </c>
      <c r="H64">
        <v>0.16216640742605051</v>
      </c>
      <c r="I64">
        <v>2.3713965723011799E-4</v>
      </c>
    </row>
    <row r="65" spans="1:9" x14ac:dyDescent="0.25">
      <c r="A65" t="s">
        <v>81</v>
      </c>
      <c r="B65" s="10">
        <v>13</v>
      </c>
      <c r="C65">
        <v>9</v>
      </c>
      <c r="D65">
        <v>5864</v>
      </c>
      <c r="E65">
        <v>1188</v>
      </c>
      <c r="F65">
        <v>0.41892857142857137</v>
      </c>
      <c r="G65">
        <v>0.35714285714285721</v>
      </c>
      <c r="H65">
        <v>0.1556438807793967</v>
      </c>
      <c r="I65">
        <v>3.9097377304544531E-2</v>
      </c>
    </row>
    <row r="66" spans="1:9" x14ac:dyDescent="0.25">
      <c r="A66" t="s">
        <v>62</v>
      </c>
      <c r="B66" s="10">
        <v>14</v>
      </c>
      <c r="C66">
        <v>13</v>
      </c>
      <c r="D66">
        <v>5569</v>
      </c>
      <c r="E66">
        <v>903</v>
      </c>
      <c r="F66">
        <v>0.315</v>
      </c>
      <c r="G66">
        <v>7.1428571428571425E-2</v>
      </c>
      <c r="H66">
        <v>0.1086202298597493</v>
      </c>
      <c r="I66">
        <v>-7.9088340114891992E-2</v>
      </c>
    </row>
    <row r="67" spans="1:9" x14ac:dyDescent="0.25">
      <c r="A67" t="s">
        <v>63</v>
      </c>
      <c r="B67" s="10">
        <v>15</v>
      </c>
      <c r="C67">
        <v>13</v>
      </c>
      <c r="D67">
        <v>4948</v>
      </c>
      <c r="E67">
        <v>0</v>
      </c>
      <c r="F67">
        <v>0</v>
      </c>
      <c r="G67">
        <v>7.1428571428571425E-2</v>
      </c>
      <c r="H67">
        <v>0</v>
      </c>
      <c r="I67">
        <v>-0.26257920953765368</v>
      </c>
    </row>
    <row r="69" spans="1:9" x14ac:dyDescent="0.25">
      <c r="A69" s="10" t="s">
        <v>0</v>
      </c>
      <c r="C69" s="10" t="s">
        <v>1</v>
      </c>
      <c r="D69" s="10" t="s">
        <v>2</v>
      </c>
      <c r="E69" s="10" t="s">
        <v>3</v>
      </c>
      <c r="F69" s="10" t="s">
        <v>4</v>
      </c>
      <c r="G69" s="10" t="s">
        <v>5</v>
      </c>
      <c r="H69" s="10" t="s">
        <v>6</v>
      </c>
      <c r="I69" s="10" t="s">
        <v>7</v>
      </c>
    </row>
    <row r="70" spans="1:9" x14ac:dyDescent="0.25">
      <c r="A70" t="s">
        <v>8</v>
      </c>
      <c r="B70" s="10">
        <v>1</v>
      </c>
      <c r="C70">
        <v>1</v>
      </c>
      <c r="D70">
        <v>7751</v>
      </c>
      <c r="E70">
        <v>2592</v>
      </c>
      <c r="F70">
        <v>0.85428571428571431</v>
      </c>
      <c r="G70">
        <v>0.9285714285714286</v>
      </c>
      <c r="H70">
        <v>0.30922884746586699</v>
      </c>
      <c r="I70">
        <v>0.30517257777602591</v>
      </c>
    </row>
    <row r="71" spans="1:9" x14ac:dyDescent="0.25">
      <c r="A71" t="s">
        <v>54</v>
      </c>
      <c r="B71" s="10">
        <v>2</v>
      </c>
      <c r="C71">
        <v>0</v>
      </c>
      <c r="D71">
        <v>7420</v>
      </c>
      <c r="E71">
        <v>2675</v>
      </c>
      <c r="F71">
        <v>0.8839285714285714</v>
      </c>
      <c r="G71">
        <v>1</v>
      </c>
      <c r="H71">
        <v>0.31399068022358789</v>
      </c>
      <c r="I71">
        <v>0.29950858391565388</v>
      </c>
    </row>
    <row r="72" spans="1:9" x14ac:dyDescent="0.25">
      <c r="A72" t="s">
        <v>55</v>
      </c>
      <c r="B72" s="10">
        <v>3</v>
      </c>
      <c r="C72">
        <v>0</v>
      </c>
      <c r="D72">
        <v>7376</v>
      </c>
      <c r="E72">
        <v>2530</v>
      </c>
      <c r="F72">
        <v>0.83214285714285718</v>
      </c>
      <c r="G72">
        <v>1</v>
      </c>
      <c r="H72">
        <v>0.31047725958376732</v>
      </c>
      <c r="I72">
        <v>0.32368890241951892</v>
      </c>
    </row>
    <row r="73" spans="1:9" x14ac:dyDescent="0.25">
      <c r="A73" t="s">
        <v>56</v>
      </c>
      <c r="B73" s="10">
        <v>4</v>
      </c>
      <c r="C73">
        <v>0</v>
      </c>
      <c r="D73">
        <v>7369</v>
      </c>
      <c r="E73">
        <v>2563</v>
      </c>
      <c r="F73">
        <v>0.84392857142857147</v>
      </c>
      <c r="G73">
        <v>1</v>
      </c>
      <c r="H73">
        <v>0.30813892350156658</v>
      </c>
      <c r="I73">
        <v>0.30509594534095419</v>
      </c>
    </row>
    <row r="74" spans="1:9" x14ac:dyDescent="0.25">
      <c r="A74" t="s">
        <v>57</v>
      </c>
      <c r="B74" s="10">
        <v>5</v>
      </c>
      <c r="C74">
        <v>0</v>
      </c>
      <c r="D74">
        <v>7290</v>
      </c>
      <c r="E74">
        <v>3000</v>
      </c>
      <c r="F74">
        <v>1</v>
      </c>
      <c r="G74">
        <v>1</v>
      </c>
      <c r="H74">
        <v>0.32459664555421452</v>
      </c>
      <c r="I74">
        <v>0.25757331645231279</v>
      </c>
    </row>
    <row r="75" spans="1:9" x14ac:dyDescent="0.25">
      <c r="A75" t="s">
        <v>58</v>
      </c>
      <c r="B75" s="10">
        <v>6</v>
      </c>
      <c r="C75">
        <v>0</v>
      </c>
      <c r="D75">
        <v>7078</v>
      </c>
      <c r="E75">
        <v>2416</v>
      </c>
      <c r="F75">
        <v>0.79142857142857148</v>
      </c>
      <c r="G75">
        <v>1</v>
      </c>
      <c r="H75">
        <v>0.3032629012139369</v>
      </c>
      <c r="I75">
        <v>0.32190542675625838</v>
      </c>
    </row>
    <row r="76" spans="1:9" x14ac:dyDescent="0.25">
      <c r="A76" t="s">
        <v>9</v>
      </c>
      <c r="B76" s="10">
        <v>7</v>
      </c>
      <c r="C76">
        <v>0</v>
      </c>
      <c r="D76">
        <v>7004</v>
      </c>
      <c r="E76">
        <v>2231</v>
      </c>
      <c r="F76">
        <v>0.72535714285714281</v>
      </c>
      <c r="G76">
        <v>1</v>
      </c>
      <c r="H76">
        <v>0.28835277359789219</v>
      </c>
      <c r="I76">
        <v>0.31359760974020823</v>
      </c>
    </row>
    <row r="77" spans="1:9" x14ac:dyDescent="0.25">
      <c r="A77" t="s">
        <v>10</v>
      </c>
      <c r="B77" s="10">
        <v>8</v>
      </c>
      <c r="C77">
        <v>1</v>
      </c>
      <c r="D77">
        <v>6851</v>
      </c>
      <c r="E77">
        <v>2027</v>
      </c>
      <c r="F77">
        <v>0.65249999999999997</v>
      </c>
      <c r="G77">
        <v>0.9285714285714286</v>
      </c>
      <c r="H77">
        <v>0.27140379912862522</v>
      </c>
      <c r="I77">
        <v>0.30472152857610491</v>
      </c>
    </row>
    <row r="78" spans="1:9" x14ac:dyDescent="0.25">
      <c r="A78" t="s">
        <v>59</v>
      </c>
      <c r="B78" s="10">
        <v>9</v>
      </c>
      <c r="C78">
        <v>1</v>
      </c>
      <c r="D78">
        <v>6821</v>
      </c>
      <c r="E78">
        <v>2055</v>
      </c>
      <c r="F78">
        <v>0.66249999999999998</v>
      </c>
      <c r="G78">
        <v>0.9285714285714286</v>
      </c>
      <c r="H78">
        <v>0.27358403684379851</v>
      </c>
      <c r="I78">
        <v>0.30533779865180177</v>
      </c>
    </row>
    <row r="79" spans="1:9" x14ac:dyDescent="0.25">
      <c r="A79" t="s">
        <v>60</v>
      </c>
      <c r="B79" s="10">
        <v>10</v>
      </c>
      <c r="C79">
        <v>0</v>
      </c>
      <c r="D79">
        <v>6723</v>
      </c>
      <c r="E79">
        <v>2464</v>
      </c>
      <c r="F79">
        <v>0.80857142857142861</v>
      </c>
      <c r="G79">
        <v>1</v>
      </c>
      <c r="H79">
        <v>0.29529473942336792</v>
      </c>
      <c r="I79">
        <v>0.28267781987113638</v>
      </c>
    </row>
    <row r="80" spans="1:9" x14ac:dyDescent="0.25">
      <c r="A80" t="s">
        <v>61</v>
      </c>
      <c r="B80" s="10">
        <v>11</v>
      </c>
      <c r="C80">
        <v>7</v>
      </c>
      <c r="D80">
        <v>6312</v>
      </c>
      <c r="E80">
        <v>1687</v>
      </c>
      <c r="F80">
        <v>0.60250000000000004</v>
      </c>
      <c r="G80">
        <v>0.5</v>
      </c>
      <c r="H80">
        <v>0.20213630717686751</v>
      </c>
      <c r="I80">
        <v>8.46744530974297E-2</v>
      </c>
    </row>
    <row r="81" spans="1:9" x14ac:dyDescent="0.25">
      <c r="A81" t="s">
        <v>11</v>
      </c>
      <c r="B81" s="10">
        <v>12</v>
      </c>
      <c r="C81">
        <v>8</v>
      </c>
      <c r="D81">
        <v>5994</v>
      </c>
      <c r="E81">
        <v>1525</v>
      </c>
      <c r="F81">
        <v>0.5089285714285714</v>
      </c>
      <c r="G81">
        <v>0.42857142857142849</v>
      </c>
      <c r="H81">
        <v>0.16420568598071991</v>
      </c>
      <c r="I81">
        <v>6.8649546098239328E-4</v>
      </c>
    </row>
    <row r="82" spans="1:9" x14ac:dyDescent="0.25">
      <c r="A82" t="s">
        <v>81</v>
      </c>
      <c r="B82" s="10">
        <v>13</v>
      </c>
      <c r="C82">
        <v>10</v>
      </c>
      <c r="D82">
        <v>5638</v>
      </c>
      <c r="E82">
        <v>1108</v>
      </c>
      <c r="F82">
        <v>0.39250000000000002</v>
      </c>
      <c r="G82">
        <v>0.2857142857142857</v>
      </c>
      <c r="H82">
        <v>0.14686084435130009</v>
      </c>
      <c r="I82">
        <v>1.9019363197142151E-2</v>
      </c>
    </row>
    <row r="83" spans="1:9" x14ac:dyDescent="0.25">
      <c r="A83" t="s">
        <v>62</v>
      </c>
      <c r="B83" s="10">
        <v>14</v>
      </c>
      <c r="C83">
        <v>12</v>
      </c>
      <c r="D83">
        <v>5510</v>
      </c>
      <c r="E83">
        <v>775</v>
      </c>
      <c r="F83">
        <v>0.27607142857142858</v>
      </c>
      <c r="G83">
        <v>0.14285714285714279</v>
      </c>
      <c r="H83">
        <v>9.4154256481470675E-2</v>
      </c>
      <c r="I83">
        <v>-0.10548256559625439</v>
      </c>
    </row>
    <row r="84" spans="1:9" x14ac:dyDescent="0.25">
      <c r="A84" t="s">
        <v>63</v>
      </c>
      <c r="B84" s="10">
        <v>15</v>
      </c>
      <c r="C84">
        <v>13</v>
      </c>
      <c r="D84">
        <v>4824</v>
      </c>
      <c r="E84">
        <v>0</v>
      </c>
      <c r="F84">
        <v>0</v>
      </c>
      <c r="G84">
        <v>7.1428571428571425E-2</v>
      </c>
      <c r="H84">
        <v>0</v>
      </c>
      <c r="I84">
        <v>-0.25757331645231279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895E3-7F81-4AB3-A609-89EEC32BB666}">
  <dimension ref="B1:F2"/>
  <sheetViews>
    <sheetView workbookViewId="0">
      <selection activeCell="F3" sqref="F3"/>
    </sheetView>
  </sheetViews>
  <sheetFormatPr defaultRowHeight="15" x14ac:dyDescent="0.25"/>
  <cols>
    <col min="2" max="2" width="17.7109375" customWidth="1"/>
  </cols>
  <sheetData>
    <row r="1" spans="2:6" x14ac:dyDescent="0.25">
      <c r="B1">
        <v>1</v>
      </c>
      <c r="C1">
        <v>2</v>
      </c>
      <c r="D1">
        <v>3</v>
      </c>
      <c r="E1">
        <v>4</v>
      </c>
      <c r="F1">
        <v>5</v>
      </c>
    </row>
    <row r="2" spans="2:6" ht="30" x14ac:dyDescent="0.25">
      <c r="B2" s="2" t="s">
        <v>64</v>
      </c>
      <c r="C2" s="1" t="s">
        <v>65</v>
      </c>
      <c r="D2" s="1" t="s">
        <v>66</v>
      </c>
      <c r="E2" s="1" t="s">
        <v>67</v>
      </c>
      <c r="F2" s="1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F2D05-194C-496E-9C36-3B2D022BE306}">
  <dimension ref="B2:H17"/>
  <sheetViews>
    <sheetView workbookViewId="0">
      <selection activeCell="C32" sqref="C32"/>
    </sheetView>
  </sheetViews>
  <sheetFormatPr defaultRowHeight="15" x14ac:dyDescent="0.25"/>
  <cols>
    <col min="2" max="2" width="28.42578125" bestFit="1" customWidth="1"/>
    <col min="3" max="3" width="9" customWidth="1"/>
    <col min="4" max="4" width="10.28515625" customWidth="1"/>
    <col min="5" max="5" width="11.7109375" customWidth="1"/>
    <col min="6" max="6" width="12.85546875" bestFit="1" customWidth="1"/>
    <col min="7" max="7" width="11" customWidth="1"/>
    <col min="8" max="8" width="12.140625" customWidth="1"/>
  </cols>
  <sheetData>
    <row r="2" spans="2:8" ht="45" x14ac:dyDescent="0.25">
      <c r="B2" s="3"/>
      <c r="C2" s="6" t="s">
        <v>53</v>
      </c>
      <c r="D2" s="6" t="s">
        <v>70</v>
      </c>
      <c r="E2" s="6" t="s">
        <v>71</v>
      </c>
      <c r="F2" s="6" t="s">
        <v>74</v>
      </c>
      <c r="G2" s="6" t="s">
        <v>72</v>
      </c>
      <c r="H2" s="6" t="s">
        <v>73</v>
      </c>
    </row>
    <row r="3" spans="2:8" x14ac:dyDescent="0.25">
      <c r="B3" t="s">
        <v>8</v>
      </c>
      <c r="C3" s="4">
        <f ca="1">+SUM(Kompilirano!U3:Y3)/(5*14)</f>
        <v>550.78571428571433</v>
      </c>
      <c r="D3" s="12">
        <f ca="1">+SUM(Kompilirano!K3:O3)/(14*5)</f>
        <v>7.1428571428571425E-2</v>
      </c>
      <c r="E3" s="12">
        <f ca="1">SUM(Kompilirano!AE3:AI3)/(200*15*5)</f>
        <v>0.8521333333333333</v>
      </c>
      <c r="F3" s="5">
        <f ca="1">Kompilirano!BD3</f>
        <v>0.9285714285714286</v>
      </c>
      <c r="G3" s="5">
        <f ca="1">Kompilirano!BN3</f>
        <v>0.30791956138986054</v>
      </c>
      <c r="H3" s="5">
        <f ca="1">Kompilirano!BX3</f>
        <v>0.31150563163902661</v>
      </c>
    </row>
    <row r="4" spans="2:8" x14ac:dyDescent="0.25">
      <c r="B4" t="s">
        <v>54</v>
      </c>
      <c r="C4" s="4">
        <f ca="1">+SUM(Kompilirano!U4:Y4)/(5*14)</f>
        <v>530.11428571428576</v>
      </c>
      <c r="D4" s="12">
        <f ca="1">+SUM(Kompilirano!K4:O4)/(14*5)</f>
        <v>0</v>
      </c>
      <c r="E4" s="12">
        <f ca="1">SUM(Kompilirano!AE4:AI4)/(200*15*5)</f>
        <v>0.89673333333333338</v>
      </c>
      <c r="F4" s="5">
        <f ca="1">Kompilirano!BD4</f>
        <v>1</v>
      </c>
      <c r="G4" s="5">
        <f ca="1">Kompilirano!BN4</f>
        <v>0.31402187934192355</v>
      </c>
      <c r="H4" s="5">
        <f ca="1">Kompilirano!BX4</f>
        <v>0.29772870674184793</v>
      </c>
    </row>
    <row r="5" spans="2:8" x14ac:dyDescent="0.25">
      <c r="B5" t="s">
        <v>56</v>
      </c>
      <c r="C5" s="4">
        <f ca="1">+SUM(Kompilirano!U5:Y5)/(5*14)</f>
        <v>520.41428571428571</v>
      </c>
      <c r="D5" s="12">
        <f ca="1">+SUM(Kompilirano!K5:O5)/(14*5)</f>
        <v>0</v>
      </c>
      <c r="E5" s="12">
        <f ca="1">SUM(Kompilirano!AE5:AI5)/(200*15*5)</f>
        <v>0.82713333333333339</v>
      </c>
      <c r="F5" s="5">
        <f ca="1">Kompilirano!BD6</f>
        <v>1</v>
      </c>
      <c r="G5" s="5">
        <f ca="1">Kompilirano!BN6</f>
        <v>0.30893933114000249</v>
      </c>
      <c r="H5" s="5">
        <f ca="1">Kompilirano!BX6</f>
        <v>0.30264970739378833</v>
      </c>
    </row>
    <row r="6" spans="2:8" x14ac:dyDescent="0.25">
      <c r="B6" t="s">
        <v>57</v>
      </c>
      <c r="C6" s="4">
        <f ca="1">+SUM(Kompilirano!U6:Y6)/(5*14)</f>
        <v>527.04285714285709</v>
      </c>
      <c r="D6" s="12">
        <f ca="1">+SUM(Kompilirano!K6:O6)/(14*5)</f>
        <v>0</v>
      </c>
      <c r="E6" s="12">
        <f ca="1">SUM(Kompilirano!AE6:AI6)/(200*15*5)</f>
        <v>0.86426666666666663</v>
      </c>
      <c r="F6" s="5">
        <f ca="1">Kompilirano!BD7</f>
        <v>1</v>
      </c>
      <c r="G6" s="5">
        <f ca="1">Kompilirano!BN7</f>
        <v>0.32449013373209301</v>
      </c>
      <c r="H6" s="5">
        <f ca="1">Kompilirano!BX7</f>
        <v>0.25933241263880952</v>
      </c>
    </row>
    <row r="7" spans="2:8" x14ac:dyDescent="0.25">
      <c r="B7" t="s">
        <v>55</v>
      </c>
      <c r="C7" s="4">
        <f ca="1">+SUM(Kompilirano!U7:Y7)/(5*14)</f>
        <v>520.97142857142853</v>
      </c>
      <c r="D7" s="12">
        <f ca="1">+SUM(Kompilirano!K7:O7)/(14*5)</f>
        <v>0</v>
      </c>
      <c r="E7" s="12">
        <f ca="1">SUM(Kompilirano!AE7:AI7)/(200*15*5)</f>
        <v>1</v>
      </c>
      <c r="F7" s="5">
        <f ca="1">Kompilirano!BD5</f>
        <v>1</v>
      </c>
      <c r="G7" s="5">
        <f ca="1">Kompilirano!BN5</f>
        <v>0.30670452536931553</v>
      </c>
      <c r="H7" s="5">
        <f ca="1">Kompilirano!BX5</f>
        <v>0.32237534908839638</v>
      </c>
    </row>
    <row r="8" spans="2:8" x14ac:dyDescent="0.25">
      <c r="B8" t="s">
        <v>58</v>
      </c>
      <c r="C8" s="4">
        <f ca="1">+SUM(Kompilirano!U8:Y8)/(5*14)</f>
        <v>519.67142857142858</v>
      </c>
      <c r="D8" s="12">
        <f ca="1">+SUM(Kompilirano!K8:O8)/(14*5)</f>
        <v>0</v>
      </c>
      <c r="E8" s="12">
        <f ca="1">SUM(Kompilirano!AE8:AI8)/(200*15*5)</f>
        <v>0.8444666666666667</v>
      </c>
      <c r="F8" s="5">
        <f ca="1">Kompilirano!BD8</f>
        <v>1</v>
      </c>
      <c r="G8" s="5">
        <f ca="1">Kompilirano!BN8</f>
        <v>0.31034390984933047</v>
      </c>
      <c r="H8" s="5">
        <f ca="1">Kompilirano!BX8</f>
        <v>0.32253410625838436</v>
      </c>
    </row>
    <row r="9" spans="2:8" x14ac:dyDescent="0.25">
      <c r="B9" t="s">
        <v>9</v>
      </c>
      <c r="C9" s="4">
        <f ca="1">+SUM(Kompilirano!U9:Y9)/(5*14)</f>
        <v>501.44285714285712</v>
      </c>
      <c r="D9" s="12">
        <f ca="1">+SUM(Kompilirano!K9:O9)/(14*5)</f>
        <v>0</v>
      </c>
      <c r="E9" s="12">
        <f ca="1">SUM(Kompilirano!AE9:AI9)/(200*15*5)</f>
        <v>0.74533333333333329</v>
      </c>
      <c r="F9" s="5">
        <f ca="1">Kompilirano!BD9</f>
        <v>1</v>
      </c>
      <c r="G9" s="5">
        <f ca="1">Kompilirano!BN9</f>
        <v>0.28818039522643346</v>
      </c>
      <c r="H9" s="5">
        <f ca="1">Kompilirano!BX9</f>
        <v>0.31185423069081841</v>
      </c>
    </row>
    <row r="10" spans="2:8" x14ac:dyDescent="0.25">
      <c r="B10" t="s">
        <v>10</v>
      </c>
      <c r="C10" s="4">
        <f ca="1">+SUM(Kompilirano!U10:Y10)/(5*14)</f>
        <v>489.3</v>
      </c>
      <c r="D10" s="12">
        <f ca="1">+SUM(Kompilirano!K10:O10)/(14*5)</f>
        <v>7.1428571428571425E-2</v>
      </c>
      <c r="E10" s="12">
        <f ca="1">SUM(Kompilirano!AE10:AI10)/(200*15*5)</f>
        <v>0.67566666666666664</v>
      </c>
      <c r="F10" s="5">
        <f ca="1">Kompilirano!BD10</f>
        <v>0.9285714285714286</v>
      </c>
      <c r="G10" s="5">
        <f ca="1">Kompilirano!BN10</f>
        <v>0.27160214594042936</v>
      </c>
      <c r="H10" s="5">
        <f ca="1">Kompilirano!BX10</f>
        <v>0.30416456158157951</v>
      </c>
    </row>
    <row r="11" spans="2:8" x14ac:dyDescent="0.25">
      <c r="B11" t="s">
        <v>59</v>
      </c>
      <c r="C11" s="4">
        <f ca="1">+SUM(Kompilirano!U11:Y11)/(5*14)</f>
        <v>487.92857142857144</v>
      </c>
      <c r="D11" s="12">
        <f ca="1">+SUM(Kompilirano!K11:O11)/(14*5)</f>
        <v>8.5714285714285715E-2</v>
      </c>
      <c r="E11" s="12">
        <f ca="1">SUM(Kompilirano!AE11:AI11)/(200*15*5)</f>
        <v>0.68579999999999997</v>
      </c>
      <c r="F11" s="5">
        <f ca="1">Kompilirano!BD11</f>
        <v>0.91428571428571437</v>
      </c>
      <c r="G11" s="5">
        <f ca="1">Kompilirano!BN11</f>
        <v>0.27366807603889437</v>
      </c>
      <c r="H11" s="5">
        <f ca="1">Kompilirano!BX11</f>
        <v>0.30359823559526372</v>
      </c>
    </row>
    <row r="12" spans="2:8" x14ac:dyDescent="0.25">
      <c r="B12" t="s">
        <v>60</v>
      </c>
      <c r="C12" s="4">
        <f ca="1">+SUM(Kompilirano!U12:Y12)/(5*14)</f>
        <v>483.68571428571431</v>
      </c>
      <c r="D12" s="12">
        <f ca="1">+SUM(Kompilirano!K12:O12)/(14*5)</f>
        <v>1.4285714285714285E-2</v>
      </c>
      <c r="E12" s="12">
        <f ca="1">SUM(Kompilirano!AE12:AI12)/(200*15*5)</f>
        <v>0.81779999999999997</v>
      </c>
      <c r="F12" s="5">
        <f ca="1">Kompilirano!BD12</f>
        <v>0.98571428571428577</v>
      </c>
      <c r="G12" s="5">
        <f ca="1">Kompilirano!BN12</f>
        <v>0.29459466613648455</v>
      </c>
      <c r="H12" s="5">
        <f ca="1">Kompilirano!BX12</f>
        <v>0.2831117191962445</v>
      </c>
    </row>
    <row r="13" spans="2:8" x14ac:dyDescent="0.25">
      <c r="B13" t="s">
        <v>61</v>
      </c>
      <c r="C13" s="4">
        <f ca="1">+SUM(Kompilirano!U13:Y13)/(5*14)</f>
        <v>451.82857142857142</v>
      </c>
      <c r="D13" s="12">
        <f ca="1">+SUM(Kompilirano!K13:O13)/(14*5)</f>
        <v>0.51428571428571423</v>
      </c>
      <c r="E13" s="12">
        <f ca="1">SUM(Kompilirano!AE13:AI13)/(200*15*5)</f>
        <v>0.52546666666666664</v>
      </c>
      <c r="F13" s="5">
        <f ca="1">Kompilirano!BD13</f>
        <v>0.48571428571428565</v>
      </c>
      <c r="G13" s="5">
        <f ca="1">Kompilirano!BN13</f>
        <v>0.19543090925842857</v>
      </c>
      <c r="H13" s="5">
        <f ca="1">Kompilirano!BX13</f>
        <v>8.8040100640984706E-2</v>
      </c>
    </row>
    <row r="14" spans="2:8" x14ac:dyDescent="0.25">
      <c r="B14" t="s">
        <v>11</v>
      </c>
      <c r="C14" s="4">
        <f ca="1">+SUM(Kompilirano!U14:Y14)/(5*14)</f>
        <v>414.47142857142859</v>
      </c>
      <c r="D14" s="12">
        <f ca="1">+SUM(Kompilirano!K14:O14)/(14*5)</f>
        <v>0.51428571428571423</v>
      </c>
      <c r="E14" s="12">
        <f ca="1">SUM(Kompilirano!AE14:AI14)/(200*15*5)</f>
        <v>0.503</v>
      </c>
      <c r="F14" s="5">
        <f ca="1">Kompilirano!BD14</f>
        <v>0.48571428571428565</v>
      </c>
      <c r="G14" s="5">
        <f ca="1">Kompilirano!BN14</f>
        <v>0.16240451806280173</v>
      </c>
      <c r="H14" s="5">
        <f ca="1">Kompilirano!BX14</f>
        <v>-1.3150166999218397E-3</v>
      </c>
    </row>
    <row r="15" spans="2:8" x14ac:dyDescent="0.25">
      <c r="B15" t="s">
        <v>81</v>
      </c>
      <c r="C15" s="4">
        <f ca="1">+SUM(Kompilirano!U15:Y15)/(5*14)</f>
        <v>407.95714285714286</v>
      </c>
      <c r="D15" s="12">
        <f ca="1">+SUM(Kompilirano!K15:O15)/(14*5)</f>
        <v>0.67142857142857137</v>
      </c>
      <c r="E15" s="12">
        <f ca="1">SUM(Kompilirano!AE15:AI15)/(200*15*5)</f>
        <v>0.37553333333333333</v>
      </c>
      <c r="F15" s="5">
        <f ca="1">Kompilirano!BD15</f>
        <v>0.32857142857142857</v>
      </c>
      <c r="G15" s="5">
        <f ca="1">Kompilirano!BN15</f>
        <v>0.14951125640540003</v>
      </c>
      <c r="H15" s="5">
        <f ca="1">Kompilirano!BX15</f>
        <v>2.4589247896071583E-2</v>
      </c>
    </row>
    <row r="16" spans="2:8" x14ac:dyDescent="0.25">
      <c r="B16" t="s">
        <v>62</v>
      </c>
      <c r="C16" s="4">
        <f ca="1">+SUM(Kompilirano!U16:Y16)/(5*14)</f>
        <v>384.8</v>
      </c>
      <c r="D16" s="12">
        <f ca="1">+SUM(Kompilirano!K16:O16)/(14*5)</f>
        <v>0.82857142857142863</v>
      </c>
      <c r="E16" s="12">
        <f ca="1">SUM(Kompilirano!AE16:AI16)/(200*15*5)</f>
        <v>0.26633333333333331</v>
      </c>
      <c r="F16" s="5">
        <f ca="1">Kompilirano!BD16</f>
        <v>0.1714285714285714</v>
      </c>
      <c r="G16" s="5">
        <f ca="1">Kompilirano!BN16</f>
        <v>9.8574968281950115E-2</v>
      </c>
      <c r="H16" s="5">
        <f ca="1">Kompilirano!BX16</f>
        <v>-9.3811505548718518E-2</v>
      </c>
    </row>
    <row r="17" spans="2:8" x14ac:dyDescent="0.25">
      <c r="B17" t="s">
        <v>63</v>
      </c>
      <c r="C17" s="4">
        <f ca="1">+SUM(Kompilirano!U17:Y17)/(5*14)</f>
        <v>350.68571428571431</v>
      </c>
      <c r="D17" s="12">
        <f ca="1">+SUM(Kompilirano!K17:O17)/(14*5)</f>
        <v>0.9285714285714286</v>
      </c>
      <c r="E17" s="12">
        <f ca="1">SUM(Kompilirano!AE17:AI17)/(200*15*5)</f>
        <v>0</v>
      </c>
      <c r="F17" s="5">
        <f ca="1">Kompilirano!BD17</f>
        <v>7.1428571428571425E-2</v>
      </c>
      <c r="G17" s="5">
        <f ca="1">Kompilirano!BN17</f>
        <v>0</v>
      </c>
      <c r="H17" s="5">
        <f ca="1">Kompilirano!BX17</f>
        <v>-0.25933241263880952</v>
      </c>
    </row>
  </sheetData>
  <sortState xmlns:xlrd2="http://schemas.microsoft.com/office/spreadsheetml/2017/richdata2" ref="B3:H17">
    <sortCondition descending="1" ref="C3:C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 FINAL</vt:lpstr>
      <vt:lpstr>Kompilirano</vt:lpstr>
      <vt:lpstr>Svi</vt:lpstr>
      <vt:lpstr>Adrese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Ognjen Nikolić</dc:creator>
  <cp:lastModifiedBy>Ognjen S. Nikolić</cp:lastModifiedBy>
  <dcterms:created xsi:type="dcterms:W3CDTF">2015-06-05T18:17:20Z</dcterms:created>
  <dcterms:modified xsi:type="dcterms:W3CDTF">2026-02-10T15:41:55Z</dcterms:modified>
</cp:coreProperties>
</file>