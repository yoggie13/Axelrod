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fuzzy in the 1st\"/>
    </mc:Choice>
  </mc:AlternateContent>
  <xr:revisionPtr revIDLastSave="0" documentId="13_ncr:1_{D0C363D2-A7B7-4076-82AB-6A875C60898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BI9" i="2"/>
  <c r="AG10" i="2"/>
  <c r="AQ11" i="2"/>
  <c r="X10" i="2"/>
  <c r="BJ11" i="2"/>
  <c r="F16" i="2"/>
  <c r="AO18" i="2"/>
  <c r="BK10" i="2"/>
  <c r="N10" i="2"/>
  <c r="AI10" i="2"/>
  <c r="BK14" i="2"/>
  <c r="AQ9" i="2"/>
  <c r="BL17" i="2"/>
  <c r="D11" i="2"/>
  <c r="X12" i="2"/>
  <c r="AR12" i="2"/>
  <c r="AR5" i="2"/>
  <c r="BV14" i="2"/>
  <c r="U9" i="2"/>
  <c r="BJ7" i="2"/>
  <c r="BV4" i="2"/>
  <c r="BL18" i="2"/>
  <c r="AP6" i="2"/>
  <c r="BS14" i="2"/>
  <c r="O11" i="2"/>
  <c r="O9" i="2"/>
  <c r="AN9" i="2"/>
  <c r="M5" i="2"/>
  <c r="C7" i="2"/>
  <c r="AY6" i="2"/>
  <c r="AN18" i="2"/>
  <c r="AG8" i="2"/>
  <c r="V7" i="2"/>
  <c r="BU10" i="2"/>
  <c r="L3" i="2"/>
  <c r="M15" i="2"/>
  <c r="BL16" i="2"/>
  <c r="AG13" i="2"/>
  <c r="K10" i="2"/>
  <c r="F18" i="2"/>
  <c r="AN13" i="2"/>
  <c r="BS18" i="2"/>
  <c r="O4" i="2"/>
  <c r="L14" i="2"/>
  <c r="BS13" i="2"/>
  <c r="X14" i="2"/>
  <c r="BI3" i="2"/>
  <c r="BA14" i="2"/>
  <c r="E5" i="2"/>
  <c r="BV6" i="2"/>
  <c r="AI6" i="2"/>
  <c r="V4" i="2"/>
  <c r="AZ4" i="2"/>
  <c r="AZ7" i="2"/>
  <c r="M12" i="2"/>
  <c r="AI14" i="2"/>
  <c r="AE9" i="2"/>
  <c r="C4" i="2"/>
  <c r="BS4" i="2"/>
  <c r="BK13" i="2"/>
  <c r="AH10" i="2"/>
  <c r="C6" i="2"/>
  <c r="AG11" i="2"/>
  <c r="W14" i="2"/>
  <c r="X16" i="2"/>
  <c r="D14" i="2"/>
  <c r="Y6" i="2"/>
  <c r="L9" i="2"/>
  <c r="BR16" i="2"/>
  <c r="AP4" i="2"/>
  <c r="L7" i="2"/>
  <c r="AE4" i="2"/>
  <c r="D7" i="2"/>
  <c r="AN14" i="2"/>
  <c r="BI13" i="2"/>
  <c r="L10" i="2"/>
  <c r="BA8" i="2"/>
  <c r="F9" i="2"/>
  <c r="L15" i="2"/>
  <c r="M16" i="2"/>
  <c r="AP18" i="2"/>
  <c r="AN11" i="2"/>
  <c r="W8" i="2"/>
  <c r="F5" i="2"/>
  <c r="F3" i="2"/>
  <c r="BT17" i="2"/>
  <c r="BA5" i="2"/>
  <c r="X11" i="2"/>
  <c r="Y18" i="2"/>
  <c r="BL12" i="2"/>
  <c r="BK8" i="2"/>
  <c r="N8" i="2"/>
  <c r="Y11" i="2"/>
  <c r="K11" i="2"/>
  <c r="W6" i="2"/>
  <c r="K9" i="2"/>
  <c r="W13" i="2"/>
  <c r="O12" i="2"/>
  <c r="F6" i="2"/>
  <c r="BL4" i="2"/>
  <c r="E6" i="2"/>
  <c r="BV9" i="2"/>
  <c r="N17" i="2"/>
  <c r="BT6" i="2"/>
  <c r="BJ10" i="2"/>
  <c r="F13" i="2"/>
  <c r="W15" i="2"/>
  <c r="BJ9" i="2"/>
  <c r="AR9" i="2"/>
  <c r="BK7" i="2"/>
  <c r="X18" i="2"/>
  <c r="X6" i="2"/>
  <c r="BS17" i="2"/>
  <c r="BI12" i="2"/>
  <c r="O6" i="2"/>
  <c r="U4" i="2"/>
  <c r="BS10" i="2"/>
  <c r="M10" i="2"/>
  <c r="BH15" i="2"/>
  <c r="AE8" i="2"/>
  <c r="B15" i="2"/>
  <c r="U13" i="2"/>
  <c r="AN7" i="2"/>
  <c r="K7" i="2"/>
  <c r="BR8" i="2"/>
  <c r="BA3" i="2"/>
  <c r="N14" i="2"/>
  <c r="AP15" i="2"/>
  <c r="AR8" i="2"/>
  <c r="BJ16" i="2"/>
  <c r="E12" i="2"/>
  <c r="AG3" i="2"/>
  <c r="BR18" i="2"/>
  <c r="AE17" i="2"/>
  <c r="AR15" i="2"/>
  <c r="BR6" i="2"/>
  <c r="N11" i="2"/>
  <c r="V3" i="2"/>
  <c r="AI4" i="2"/>
  <c r="V8" i="2"/>
  <c r="BS3" i="2"/>
  <c r="L8" i="2"/>
  <c r="BR9" i="2"/>
  <c r="AY7" i="2"/>
  <c r="AQ10" i="2"/>
  <c r="BJ15" i="2"/>
  <c r="AX18" i="2"/>
  <c r="O13" i="2"/>
  <c r="BB14" i="2"/>
  <c r="V14" i="2"/>
  <c r="X4" i="2"/>
  <c r="AH16" i="2"/>
  <c r="AG15" i="2"/>
  <c r="O3" i="2"/>
  <c r="O16" i="2"/>
  <c r="BH18" i="2"/>
  <c r="B14" i="2"/>
  <c r="BT16" i="2"/>
  <c r="N16" i="2"/>
  <c r="AO8" i="2"/>
  <c r="BR5" i="2"/>
  <c r="BA15" i="2"/>
  <c r="N3" i="2"/>
  <c r="B8" i="2"/>
  <c r="BB12" i="2"/>
  <c r="BJ12" i="2"/>
  <c r="BB17" i="2"/>
  <c r="D9" i="2"/>
  <c r="AZ6" i="2"/>
  <c r="B3" i="2"/>
  <c r="L4" i="2"/>
  <c r="AH12" i="2"/>
  <c r="BB8" i="2"/>
  <c r="BT18" i="2"/>
  <c r="AH4" i="2"/>
  <c r="V10" i="2"/>
  <c r="BV16" i="2"/>
  <c r="BI10" i="2"/>
  <c r="X13" i="2"/>
  <c r="AH8" i="2"/>
  <c r="BH16" i="2"/>
  <c r="AZ11" i="2"/>
  <c r="BH4" i="2"/>
  <c r="AO9" i="2"/>
  <c r="AE3" i="2"/>
  <c r="BR13" i="2"/>
  <c r="BJ13" i="2"/>
  <c r="F17" i="2"/>
  <c r="M18" i="2"/>
  <c r="Y14" i="2"/>
  <c r="BK3" i="2"/>
  <c r="BJ3" i="2"/>
  <c r="AN6" i="2"/>
  <c r="Y8" i="2"/>
  <c r="AX9" i="2"/>
  <c r="BH5" i="2"/>
  <c r="BA9" i="2"/>
  <c r="BB15" i="2"/>
  <c r="BB3" i="2"/>
  <c r="BJ5" i="2"/>
  <c r="BT8" i="2"/>
  <c r="AZ18" i="2"/>
  <c r="B16" i="2"/>
  <c r="K18" i="2"/>
  <c r="AE10" i="2"/>
  <c r="N15" i="2"/>
  <c r="AI15" i="2"/>
  <c r="AO14" i="2"/>
  <c r="AN10" i="2"/>
  <c r="O8" i="2"/>
  <c r="W5" i="2"/>
  <c r="Y17" i="2"/>
  <c r="V12" i="2"/>
  <c r="D5" i="2"/>
  <c r="BU9" i="2"/>
  <c r="C5" i="2"/>
  <c r="BR10" i="2"/>
  <c r="BU18" i="2"/>
  <c r="B12" i="2"/>
  <c r="C14" i="2"/>
  <c r="BU3" i="2"/>
  <c r="AF18" i="2"/>
  <c r="AQ18" i="2"/>
  <c r="AX17" i="2"/>
  <c r="AP12" i="2"/>
  <c r="N9" i="2"/>
  <c r="AF10" i="2"/>
  <c r="W11" i="2"/>
  <c r="AH6" i="2"/>
  <c r="AF17" i="2"/>
  <c r="F10" i="2"/>
  <c r="AG5" i="2"/>
  <c r="B6" i="2"/>
  <c r="N4" i="2"/>
  <c r="U11" i="2"/>
  <c r="X7" i="2"/>
  <c r="F4" i="2"/>
  <c r="D12" i="2"/>
  <c r="AP5" i="2"/>
  <c r="U17" i="2"/>
  <c r="L6" i="2"/>
  <c r="AY10" i="2"/>
  <c r="AZ3" i="2"/>
  <c r="V13" i="2"/>
  <c r="V5" i="2"/>
  <c r="B13" i="2"/>
  <c r="AP3" i="2"/>
  <c r="AY14" i="2"/>
  <c r="L11" i="2"/>
  <c r="K5" i="2"/>
  <c r="M13" i="2"/>
  <c r="W16" i="2"/>
  <c r="L5" i="2"/>
  <c r="BV7" i="2"/>
  <c r="AQ15" i="2"/>
  <c r="Y12" i="2"/>
  <c r="N13" i="2"/>
  <c r="BA7" i="2"/>
  <c r="AY15" i="2"/>
  <c r="AQ17" i="2"/>
  <c r="BL9" i="2"/>
  <c r="AQ3" i="2"/>
  <c r="E15" i="2"/>
  <c r="BH10" i="2"/>
  <c r="M14" i="2"/>
  <c r="AE5" i="2"/>
  <c r="AF7" i="2"/>
  <c r="AF8" i="2"/>
  <c r="AF15" i="2"/>
  <c r="B10" i="2"/>
  <c r="W18" i="2"/>
  <c r="E16" i="2"/>
  <c r="BL13" i="2"/>
  <c r="AR16" i="2"/>
  <c r="BB11" i="2"/>
  <c r="AG7" i="2"/>
  <c r="AI11" i="2"/>
  <c r="F11" i="2"/>
  <c r="AE7" i="2"/>
  <c r="BK4" i="2"/>
  <c r="BU4" i="2"/>
  <c r="AQ14" i="2"/>
  <c r="X5" i="2"/>
  <c r="V18" i="2"/>
  <c r="BH3" i="2"/>
  <c r="X3" i="2"/>
  <c r="AZ5" i="2"/>
  <c r="AQ13" i="2"/>
  <c r="AI7" i="2"/>
  <c r="AF12" i="2"/>
  <c r="BB6" i="2"/>
  <c r="D4" i="2"/>
  <c r="K8" i="2"/>
  <c r="V6" i="2"/>
  <c r="M17" i="2"/>
  <c r="BV10" i="2"/>
  <c r="N7" i="2"/>
  <c r="D18" i="2"/>
  <c r="AG12" i="2"/>
  <c r="AX7" i="2"/>
  <c r="AP16" i="2"/>
  <c r="BV11" i="2"/>
  <c r="U6" i="2"/>
  <c r="AH17" i="2"/>
  <c r="AN3" i="2"/>
  <c r="BT9" i="2"/>
  <c r="BU13" i="2"/>
  <c r="AY9" i="2"/>
  <c r="U10" i="2"/>
  <c r="W7" i="2"/>
  <c r="AE11" i="2"/>
  <c r="D8" i="2"/>
  <c r="AQ6" i="2"/>
  <c r="D13" i="2"/>
  <c r="AI3" i="2"/>
  <c r="BL15" i="2"/>
  <c r="BA12" i="2"/>
  <c r="AR13" i="2"/>
  <c r="AO4" i="2"/>
  <c r="AO6" i="2"/>
  <c r="BI15" i="2"/>
  <c r="BS8" i="2"/>
  <c r="F7" i="2"/>
  <c r="BU15" i="2"/>
  <c r="AF6" i="2"/>
  <c r="BJ8" i="2"/>
  <c r="E13" i="2"/>
  <c r="AX6" i="2"/>
  <c r="BI5" i="2"/>
  <c r="C11" i="2"/>
  <c r="L12" i="2"/>
  <c r="BI6" i="2"/>
  <c r="V15" i="2"/>
  <c r="C18" i="2"/>
  <c r="BH9" i="2"/>
  <c r="V11" i="2"/>
  <c r="BA4" i="2"/>
  <c r="AY18" i="2"/>
  <c r="O14" i="2"/>
  <c r="BI14" i="2"/>
  <c r="AX13" i="2"/>
  <c r="AZ8" i="2"/>
  <c r="Y9" i="2"/>
  <c r="V17" i="2"/>
  <c r="AP13" i="2"/>
  <c r="M6" i="2"/>
  <c r="BR3" i="2"/>
  <c r="AG9" i="2"/>
  <c r="AE18" i="2"/>
  <c r="BR15" i="2"/>
  <c r="AG6" i="2"/>
  <c r="AY4" i="2"/>
  <c r="Y16" i="2"/>
  <c r="D3" i="2"/>
  <c r="B18" i="2"/>
  <c r="AN5" i="2"/>
  <c r="AO17" i="2"/>
  <c r="AE12" i="2"/>
  <c r="AZ12" i="2"/>
  <c r="AR14" i="2"/>
  <c r="BS5" i="2"/>
  <c r="B5" i="2"/>
  <c r="AQ7" i="2"/>
  <c r="U18" i="2"/>
  <c r="X15" i="2"/>
  <c r="AE14" i="2"/>
  <c r="BT7" i="2"/>
  <c r="K17" i="2"/>
  <c r="X8" i="2"/>
  <c r="U3" i="2"/>
  <c r="AG18" i="2"/>
  <c r="V9" i="2"/>
  <c r="AP11" i="2"/>
  <c r="BV13" i="2"/>
  <c r="AG16" i="2"/>
  <c r="BH12" i="2"/>
  <c r="M8" i="2"/>
  <c r="BU8" i="2"/>
  <c r="Y4" i="2"/>
  <c r="AR7" i="2"/>
  <c r="BU5" i="2"/>
  <c r="AI12" i="2"/>
  <c r="AQ8" i="2"/>
  <c r="BA6" i="2"/>
  <c r="AH9" i="2"/>
  <c r="AR6" i="2"/>
  <c r="B9" i="2"/>
  <c r="AH5" i="2"/>
  <c r="C12" i="2"/>
  <c r="AP14" i="2"/>
  <c r="BK9" i="2"/>
  <c r="AY16" i="2"/>
  <c r="BR4" i="2"/>
  <c r="BV18" i="2"/>
  <c r="AO5" i="2"/>
  <c r="N6" i="2"/>
  <c r="AN12" i="2"/>
  <c r="AH14" i="2"/>
  <c r="L13" i="2"/>
  <c r="AZ16" i="2"/>
  <c r="AY5" i="2"/>
  <c r="Y15" i="2"/>
  <c r="B4" i="2"/>
  <c r="K6" i="2"/>
  <c r="BI7" i="2"/>
  <c r="AE13" i="2"/>
  <c r="O7" i="2"/>
  <c r="BV17" i="2"/>
  <c r="K12" i="2"/>
  <c r="BS16" i="2"/>
  <c r="U5" i="2"/>
  <c r="BS9" i="2"/>
  <c r="F15" i="2"/>
  <c r="AZ10" i="2"/>
  <c r="C15" i="2"/>
  <c r="E3" i="2"/>
  <c r="BA10" i="2"/>
  <c r="AX5" i="2"/>
  <c r="BB9" i="2"/>
  <c r="M7" i="2"/>
  <c r="AH15" i="2"/>
  <c r="AI17" i="2"/>
  <c r="BH7" i="2"/>
  <c r="BH13" i="2"/>
  <c r="AR11" i="2"/>
  <c r="X9" i="2"/>
  <c r="BH17" i="2"/>
  <c r="E8" i="2"/>
  <c r="BU14" i="2"/>
  <c r="AY17" i="2"/>
  <c r="BB10" i="2"/>
  <c r="K16" i="2"/>
  <c r="BR12" i="2"/>
  <c r="AQ4" i="2"/>
  <c r="BI17" i="2"/>
  <c r="BU12" i="2"/>
  <c r="AX15" i="2"/>
  <c r="U12" i="2"/>
  <c r="BV3" i="2"/>
  <c r="D6" i="2"/>
  <c r="O15" i="2"/>
  <c r="BS6" i="2"/>
  <c r="AE15" i="2"/>
  <c r="BS7" i="2"/>
  <c r="BI18" i="2"/>
  <c r="AO10" i="2"/>
  <c r="AO16" i="2"/>
  <c r="F12" i="2"/>
  <c r="BS15" i="2"/>
  <c r="K15" i="2"/>
  <c r="BJ14" i="2"/>
  <c r="AO7" i="2"/>
  <c r="BK12" i="2"/>
  <c r="AF13" i="2"/>
  <c r="AN4" i="2"/>
  <c r="AR4" i="2"/>
  <c r="AY13" i="2"/>
  <c r="AH3" i="2"/>
  <c r="U15" i="2"/>
  <c r="AN17" i="2"/>
  <c r="AZ17" i="2"/>
  <c r="O17" i="2"/>
  <c r="AP10" i="2"/>
  <c r="AZ14" i="2"/>
  <c r="K4" i="2"/>
  <c r="AZ9" i="2"/>
  <c r="BJ4" i="2"/>
  <c r="BK6" i="2"/>
  <c r="BL14" i="2"/>
  <c r="BI8" i="2"/>
  <c r="AZ13" i="2"/>
  <c r="K3" i="2"/>
  <c r="Y3" i="2"/>
  <c r="AY11" i="2"/>
  <c r="AQ5" i="2"/>
  <c r="BI16" i="2"/>
  <c r="BA13" i="2"/>
  <c r="W12" i="2"/>
  <c r="AY12" i="2"/>
  <c r="BT4" i="2"/>
  <c r="AI16" i="2"/>
  <c r="C13" i="2"/>
  <c r="C8" i="2"/>
  <c r="BL3" i="2"/>
  <c r="AF5" i="2"/>
  <c r="BI11" i="2"/>
  <c r="BT10" i="2"/>
  <c r="K13" i="2"/>
  <c r="AH18" i="2"/>
  <c r="W17" i="2"/>
  <c r="Y5" i="2"/>
  <c r="M4" i="2"/>
  <c r="BV12" i="2"/>
  <c r="Y7" i="2"/>
  <c r="N5" i="2"/>
  <c r="BR17" i="2"/>
  <c r="AG4" i="2"/>
  <c r="BR11" i="2"/>
  <c r="BI4" i="2"/>
  <c r="BB4" i="2"/>
  <c r="BT14" i="2"/>
  <c r="U7" i="2"/>
  <c r="AX8" i="2"/>
  <c r="L16" i="2"/>
  <c r="AI13" i="2"/>
  <c r="BL10" i="2"/>
  <c r="BL6" i="2"/>
  <c r="AE16" i="2"/>
  <c r="BA11" i="2"/>
  <c r="W4" i="2"/>
  <c r="AR17" i="2"/>
  <c r="AF11" i="2"/>
  <c r="AX14" i="2"/>
  <c r="AO13" i="2"/>
  <c r="AI8" i="2"/>
  <c r="D10" i="2"/>
  <c r="E10" i="2"/>
  <c r="AY3" i="2"/>
  <c r="BU17" i="2"/>
  <c r="K14" i="2"/>
  <c r="C10" i="2"/>
  <c r="M11" i="2"/>
  <c r="AP8" i="2"/>
  <c r="V16" i="2"/>
  <c r="BA18" i="2"/>
  <c r="E11" i="2"/>
  <c r="U8" i="2"/>
  <c r="AF16" i="2"/>
  <c r="C3" i="2"/>
  <c r="M3" i="2"/>
  <c r="L17" i="2"/>
  <c r="AR3" i="2"/>
  <c r="AI9" i="2"/>
  <c r="AN8" i="2"/>
  <c r="BB16" i="2"/>
  <c r="AH11" i="2"/>
  <c r="C9" i="2"/>
  <c r="D16" i="2"/>
  <c r="AP17" i="2"/>
  <c r="BT3" i="2"/>
  <c r="C17" i="2"/>
  <c r="C16" i="2"/>
  <c r="BU16" i="2"/>
  <c r="AQ12" i="2"/>
  <c r="BH8" i="2"/>
  <c r="U14" i="2"/>
  <c r="E4" i="2"/>
  <c r="AR10" i="2"/>
  <c r="AQ16" i="2"/>
  <c r="AX12" i="2"/>
  <c r="AY8" i="2"/>
  <c r="BT5" i="2"/>
  <c r="BK16" i="2"/>
  <c r="BK18" i="2"/>
  <c r="BK11" i="2"/>
  <c r="BU11" i="2"/>
  <c r="BJ18" i="2"/>
  <c r="BL5" i="2"/>
  <c r="BT15" i="2"/>
  <c r="BT12" i="2"/>
  <c r="BK5" i="2"/>
  <c r="AO15" i="2"/>
  <c r="BB18" i="2"/>
  <c r="AH7" i="2"/>
  <c r="W10" i="2"/>
  <c r="BS12" i="2"/>
  <c r="O5" i="2"/>
  <c r="BR7" i="2"/>
  <c r="BH11" i="2"/>
  <c r="B17" i="2"/>
  <c r="BB13" i="2"/>
  <c r="BV8" i="2"/>
  <c r="B11" i="2"/>
  <c r="AF9" i="2"/>
  <c r="E18" i="2"/>
  <c r="BV15" i="2"/>
  <c r="X17" i="2"/>
  <c r="AP9" i="2"/>
  <c r="BT13" i="2"/>
  <c r="AX10" i="2"/>
  <c r="AN16" i="2"/>
  <c r="BK17" i="2"/>
  <c r="W3" i="2"/>
  <c r="AO12" i="2"/>
  <c r="B7" i="2"/>
  <c r="BL7" i="2"/>
  <c r="AI5" i="2"/>
  <c r="BB5" i="2"/>
  <c r="AX16" i="2"/>
  <c r="BV5" i="2"/>
  <c r="AN15" i="2"/>
  <c r="AX4" i="2"/>
  <c r="AR18" i="2"/>
  <c r="AG17" i="2"/>
  <c r="Y10" i="2"/>
  <c r="M9" i="2"/>
  <c r="D15" i="2"/>
  <c r="BT11" i="2"/>
  <c r="AO11" i="2"/>
  <c r="AO3" i="2"/>
  <c r="BU6" i="2"/>
  <c r="N12" i="2"/>
  <c r="AE6" i="2"/>
  <c r="BH14" i="2"/>
  <c r="AH13" i="2"/>
  <c r="L18" i="2"/>
  <c r="O18" i="2"/>
  <c r="F14" i="2"/>
  <c r="U16" i="2"/>
  <c r="AF3" i="2"/>
  <c r="O10" i="2"/>
  <c r="AG14" i="2"/>
  <c r="BH6" i="2"/>
  <c r="BJ6" i="2"/>
  <c r="E7" i="2"/>
  <c r="BJ17" i="2"/>
  <c r="AZ15" i="2"/>
  <c r="Y13" i="2"/>
  <c r="D17" i="2"/>
  <c r="BB7" i="2"/>
  <c r="BR14" i="2"/>
  <c r="W9" i="2"/>
  <c r="E14" i="2"/>
  <c r="BA16" i="2"/>
  <c r="BS11" i="2"/>
  <c r="AP7" i="2"/>
  <c r="E9" i="2"/>
  <c r="N18" i="2"/>
  <c r="BL11" i="2"/>
  <c r="BU7" i="2"/>
  <c r="AX3" i="2"/>
  <c r="AI18" i="2"/>
  <c r="F8" i="2"/>
  <c r="AX11" i="2"/>
  <c r="E17" i="2"/>
  <c r="BA17" i="2"/>
  <c r="BK15" i="2"/>
  <c r="AF14" i="2"/>
  <c r="BL8" i="2"/>
  <c r="BE11" i="2" l="1"/>
  <c r="BD11" i="2"/>
  <c r="BD3" i="2"/>
  <c r="BE3" i="2"/>
  <c r="BY14" i="2"/>
  <c r="BX14" i="2"/>
  <c r="BO6" i="2"/>
  <c r="BN6" i="2"/>
  <c r="AA16" i="2"/>
  <c r="E18" i="4" s="1"/>
  <c r="D18" i="4" s="1"/>
  <c r="AB16" i="2"/>
  <c r="Z16" i="2"/>
  <c r="C18" i="5" s="1"/>
  <c r="BO14" i="2"/>
  <c r="BN14" i="2"/>
  <c r="AJ6" i="2"/>
  <c r="G7" i="4" s="1"/>
  <c r="AK6" i="2"/>
  <c r="BD4" i="2"/>
  <c r="BE4" i="2"/>
  <c r="AU15" i="2"/>
  <c r="AT15" i="2"/>
  <c r="BD16" i="2"/>
  <c r="BE16" i="2"/>
  <c r="H7" i="2"/>
  <c r="G7" i="2"/>
  <c r="C10" i="4" s="1"/>
  <c r="AT16" i="2"/>
  <c r="AU16" i="2"/>
  <c r="BD10" i="2"/>
  <c r="BE10" i="2"/>
  <c r="H11" i="2"/>
  <c r="G11" i="2"/>
  <c r="C12" i="4" s="1"/>
  <c r="H17" i="2"/>
  <c r="G17" i="2"/>
  <c r="C17" i="4" s="1"/>
  <c r="BO11" i="2"/>
  <c r="BN11" i="2"/>
  <c r="BX7" i="2"/>
  <c r="BY7" i="2"/>
  <c r="BE12" i="2"/>
  <c r="BD12" i="2"/>
  <c r="AB14" i="2"/>
  <c r="Z14" i="2"/>
  <c r="C15" i="5" s="1"/>
  <c r="AA14" i="2"/>
  <c r="E15" i="4" s="1"/>
  <c r="D15" i="4" s="1"/>
  <c r="BO8" i="2"/>
  <c r="BN8" i="2"/>
  <c r="AU8" i="2"/>
  <c r="AT8" i="2"/>
  <c r="Z8" i="2"/>
  <c r="C9" i="5" s="1"/>
  <c r="AB8" i="2"/>
  <c r="AA8" i="2"/>
  <c r="E9" i="4" s="1"/>
  <c r="D9" i="4" s="1"/>
  <c r="P14" i="2"/>
  <c r="D15" i="5" s="1"/>
  <c r="Q14" i="2"/>
  <c r="F15" i="4" s="1"/>
  <c r="R14" i="2"/>
  <c r="BE14" i="2"/>
  <c r="BD14" i="2"/>
  <c r="AK16" i="2"/>
  <c r="AJ16" i="2"/>
  <c r="G18" i="4" s="1"/>
  <c r="BE8" i="2"/>
  <c r="BD8" i="2"/>
  <c r="AB7" i="2"/>
  <c r="AA7" i="2"/>
  <c r="E10" i="4" s="1"/>
  <c r="D10" i="4" s="1"/>
  <c r="Z7" i="2"/>
  <c r="C10" i="5" s="1"/>
  <c r="BX11" i="2"/>
  <c r="BY11" i="2"/>
  <c r="BY17" i="2"/>
  <c r="BX17" i="2"/>
  <c r="P13" i="2"/>
  <c r="D14" i="5" s="1"/>
  <c r="Q13" i="2"/>
  <c r="F14" i="4" s="1"/>
  <c r="R13" i="2"/>
  <c r="Q3" i="2"/>
  <c r="F4" i="4" s="1"/>
  <c r="R3" i="2"/>
  <c r="P3" i="2"/>
  <c r="D4" i="5" s="1"/>
  <c r="R4" i="2"/>
  <c r="P4" i="2"/>
  <c r="D5" i="5" s="1"/>
  <c r="Q4" i="2"/>
  <c r="F5" i="4" s="1"/>
  <c r="AU17" i="2"/>
  <c r="AT17" i="2"/>
  <c r="Z15" i="2"/>
  <c r="C16" i="5" s="1"/>
  <c r="AB15" i="2"/>
  <c r="AA15" i="2"/>
  <c r="E16" i="4" s="1"/>
  <c r="D16" i="4" s="1"/>
  <c r="AU4" i="2"/>
  <c r="AT4" i="2"/>
  <c r="P15" i="2"/>
  <c r="D16" i="5" s="1"/>
  <c r="Q15" i="2"/>
  <c r="F16" i="4" s="1"/>
  <c r="R15" i="2"/>
  <c r="AJ15" i="2"/>
  <c r="G16" i="4" s="1"/>
  <c r="AK15" i="2"/>
  <c r="AA12" i="2"/>
  <c r="E13" i="4" s="1"/>
  <c r="D13" i="4" s="1"/>
  <c r="AB12" i="2"/>
  <c r="Z12" i="2"/>
  <c r="C13" i="5" s="1"/>
  <c r="BE15" i="2"/>
  <c r="BD15" i="2"/>
  <c r="BX12" i="2"/>
  <c r="BY12" i="2"/>
  <c r="R16" i="2"/>
  <c r="P16" i="2"/>
  <c r="D18" i="5" s="1"/>
  <c r="Q16" i="2"/>
  <c r="F18" i="4" s="1"/>
  <c r="BN17" i="2"/>
  <c r="BO17" i="2"/>
  <c r="BN13" i="2"/>
  <c r="BO13" i="2"/>
  <c r="BN7" i="2"/>
  <c r="BO7" i="2"/>
  <c r="BE5" i="2"/>
  <c r="BD5" i="2"/>
  <c r="AB5" i="2"/>
  <c r="AA5" i="2"/>
  <c r="E6" i="4" s="1"/>
  <c r="D6" i="4" s="1"/>
  <c r="Z5" i="2"/>
  <c r="C6" i="5" s="1"/>
  <c r="P12" i="2"/>
  <c r="D13" i="5" s="1"/>
  <c r="R12" i="2"/>
  <c r="Q12" i="2"/>
  <c r="F13" i="4" s="1"/>
  <c r="AJ13" i="2"/>
  <c r="G14" i="4" s="1"/>
  <c r="AK13" i="2"/>
  <c r="Q6" i="2"/>
  <c r="F7" i="4" s="1"/>
  <c r="R6" i="2"/>
  <c r="P6" i="2"/>
  <c r="D7" i="5" s="1"/>
  <c r="H4" i="2"/>
  <c r="G4" i="2"/>
  <c r="C5" i="4" s="1"/>
  <c r="AT12" i="2"/>
  <c r="AU12" i="2"/>
  <c r="BY4" i="2"/>
  <c r="BX4" i="2"/>
  <c r="G9" i="2"/>
  <c r="C8" i="4" s="1"/>
  <c r="H9" i="2"/>
  <c r="BN12" i="2"/>
  <c r="BO12" i="2"/>
  <c r="AB3" i="2"/>
  <c r="Z3" i="2"/>
  <c r="C4" i="5" s="1"/>
  <c r="AA3" i="2"/>
  <c r="E4" i="4" s="1"/>
  <c r="D4" i="4" s="1"/>
  <c r="R17" i="2"/>
  <c r="P17" i="2"/>
  <c r="D17" i="5" s="1"/>
  <c r="Q17" i="2"/>
  <c r="F17" i="4" s="1"/>
  <c r="AK14" i="2"/>
  <c r="AJ14" i="2"/>
  <c r="G15" i="4" s="1"/>
  <c r="Z18" i="2"/>
  <c r="C19" i="5" s="1"/>
  <c r="AA18" i="2"/>
  <c r="E19" i="4" s="1"/>
  <c r="D19" i="4" s="1"/>
  <c r="AB18" i="2"/>
  <c r="G5" i="2"/>
  <c r="C6" i="4" s="1"/>
  <c r="H5" i="2"/>
  <c r="AK12" i="2"/>
  <c r="AJ12" i="2"/>
  <c r="G13" i="4" s="1"/>
  <c r="AT5" i="2"/>
  <c r="AU5" i="2"/>
  <c r="H18" i="2"/>
  <c r="G18" i="2"/>
  <c r="C19" i="4" s="1"/>
  <c r="BY15" i="2"/>
  <c r="BX15" i="2"/>
  <c r="AJ18" i="2"/>
  <c r="G19" i="4" s="1"/>
  <c r="AK18" i="2"/>
  <c r="BY3" i="2"/>
  <c r="BX3" i="2"/>
  <c r="BE13" i="2"/>
  <c r="BD13" i="2"/>
  <c r="BO9" i="2"/>
  <c r="BN9" i="2"/>
  <c r="BE6" i="2"/>
  <c r="BD6" i="2"/>
  <c r="AK11" i="2"/>
  <c r="AJ11" i="2"/>
  <c r="G12" i="4" s="1"/>
  <c r="AA10" i="2"/>
  <c r="E11" i="4" s="1"/>
  <c r="D11" i="4" s="1"/>
  <c r="Z10" i="2"/>
  <c r="C11" i="5" s="1"/>
  <c r="AB10" i="2"/>
  <c r="AU3" i="2"/>
  <c r="AT3" i="2"/>
  <c r="AB6" i="2"/>
  <c r="AA6" i="2"/>
  <c r="E7" i="4" s="1"/>
  <c r="D7" i="4" s="1"/>
  <c r="Z6" i="2"/>
  <c r="C7" i="5" s="1"/>
  <c r="BE7" i="2"/>
  <c r="BD7" i="2"/>
  <c r="R8" i="2"/>
  <c r="Q8" i="2"/>
  <c r="F9" i="4" s="1"/>
  <c r="P8" i="2"/>
  <c r="D9" i="5" s="1"/>
  <c r="BO3" i="2"/>
  <c r="BN3" i="2"/>
  <c r="AK7" i="2"/>
  <c r="AJ7" i="2"/>
  <c r="G10" i="4" s="1"/>
  <c r="G10" i="2"/>
  <c r="C11" i="4" s="1"/>
  <c r="H10" i="2"/>
  <c r="AJ5" i="2"/>
  <c r="G6" i="4" s="1"/>
  <c r="AK5" i="2"/>
  <c r="BN10" i="2"/>
  <c r="BO10" i="2"/>
  <c r="R5" i="2"/>
  <c r="Q5" i="2"/>
  <c r="F6" i="4" s="1"/>
  <c r="P5" i="2"/>
  <c r="D6" i="5" s="1"/>
  <c r="H13" i="2"/>
  <c r="G13" i="2"/>
  <c r="C14" i="4" s="1"/>
  <c r="AA17" i="2"/>
  <c r="E17" i="4" s="1"/>
  <c r="D17" i="4" s="1"/>
  <c r="AB17" i="2"/>
  <c r="Z17" i="2"/>
  <c r="C17" i="5" s="1"/>
  <c r="AA11" i="2"/>
  <c r="E12" i="4" s="1"/>
  <c r="D12" i="4" s="1"/>
  <c r="Z11" i="2"/>
  <c r="C12" i="5" s="1"/>
  <c r="AB11" i="2"/>
  <c r="H6" i="2"/>
  <c r="G6" i="2"/>
  <c r="C7" i="4" s="1"/>
  <c r="BE17" i="2"/>
  <c r="BD17" i="2"/>
  <c r="G12" i="2"/>
  <c r="C13" i="4" s="1"/>
  <c r="H12" i="2"/>
  <c r="BX10" i="2"/>
  <c r="BY10" i="2"/>
  <c r="AU10" i="2"/>
  <c r="AT10" i="2"/>
  <c r="AK10" i="2"/>
  <c r="AJ10" i="2"/>
  <c r="G11" i="4" s="1"/>
  <c r="P18" i="2"/>
  <c r="D19" i="5" s="1"/>
  <c r="R18" i="2"/>
  <c r="Q18" i="2"/>
  <c r="F19" i="4" s="1"/>
  <c r="G16" i="2"/>
  <c r="C18" i="4" s="1"/>
  <c r="H16" i="2"/>
  <c r="BO5" i="2"/>
  <c r="BN5" i="2"/>
  <c r="BD9" i="2"/>
  <c r="BE9" i="2"/>
  <c r="AU6" i="2"/>
  <c r="AT6" i="2"/>
  <c r="BX13" i="2"/>
  <c r="BY13" i="2"/>
  <c r="AK3" i="2"/>
  <c r="AJ3" i="2"/>
  <c r="G4" i="4" s="1"/>
  <c r="BN4" i="2"/>
  <c r="BO4" i="2"/>
  <c r="BO16" i="2"/>
  <c r="BN16" i="2"/>
  <c r="G3" i="2"/>
  <c r="C4" i="4" s="1"/>
  <c r="H3" i="2"/>
  <c r="G8" i="2"/>
  <c r="C9" i="4" s="1"/>
  <c r="H8" i="2"/>
  <c r="BY5" i="2"/>
  <c r="BX5" i="2"/>
  <c r="H14" i="2"/>
  <c r="G14" i="2"/>
  <c r="C15" i="4" s="1"/>
  <c r="BO18" i="2"/>
  <c r="BN18" i="2"/>
  <c r="BD18" i="2"/>
  <c r="BE18" i="2"/>
  <c r="BY9" i="2"/>
  <c r="BX9" i="2"/>
  <c r="BX6" i="2"/>
  <c r="BY6" i="2"/>
  <c r="AK17" i="2"/>
  <c r="AJ17" i="2"/>
  <c r="G17" i="4" s="1"/>
  <c r="BY18" i="2"/>
  <c r="BX18" i="2"/>
  <c r="BY8" i="2"/>
  <c r="BX8" i="2"/>
  <c r="P7" i="2"/>
  <c r="D10" i="5" s="1"/>
  <c r="Q7" i="2"/>
  <c r="F10" i="4" s="1"/>
  <c r="R7" i="2"/>
  <c r="AU7" i="2"/>
  <c r="AT7" i="2"/>
  <c r="Z13" i="2"/>
  <c r="C14" i="5" s="1"/>
  <c r="AA13" i="2"/>
  <c r="E14" i="4" s="1"/>
  <c r="D14" i="4" s="1"/>
  <c r="AB13" i="2"/>
  <c r="H15" i="2"/>
  <c r="G15" i="2"/>
  <c r="C16" i="4" s="1"/>
  <c r="AK8" i="2"/>
  <c r="AJ8" i="2"/>
  <c r="G9" i="4" s="1"/>
  <c r="BN15" i="2"/>
  <c r="BO15" i="2"/>
  <c r="AB4" i="2"/>
  <c r="Z4" i="2"/>
  <c r="C5" i="5" s="1"/>
  <c r="AA4" i="2"/>
  <c r="E5" i="4" s="1"/>
  <c r="D5" i="4" s="1"/>
  <c r="Q9" i="2"/>
  <c r="F8" i="4" s="1"/>
  <c r="P9" i="2"/>
  <c r="D8" i="5" s="1"/>
  <c r="R9" i="2"/>
  <c r="P11" i="2"/>
  <c r="D12" i="5" s="1"/>
  <c r="R11" i="2"/>
  <c r="Q11" i="2"/>
  <c r="F12" i="4" s="1"/>
  <c r="AT11" i="2"/>
  <c r="AU11" i="2"/>
  <c r="AU14" i="2"/>
  <c r="AT14" i="2"/>
  <c r="AJ4" i="2"/>
  <c r="G5" i="4" s="1"/>
  <c r="AK4" i="2"/>
  <c r="BY16" i="2"/>
  <c r="BX16" i="2"/>
  <c r="AJ9" i="2"/>
  <c r="G8" i="4" s="1"/>
  <c r="AK9" i="2"/>
  <c r="AT13" i="2"/>
  <c r="AU13" i="2"/>
  <c r="P10" i="2"/>
  <c r="D11" i="5" s="1"/>
  <c r="Q10" i="2"/>
  <c r="F11" i="4" s="1"/>
  <c r="R10" i="2"/>
  <c r="AU18" i="2"/>
  <c r="AT18" i="2"/>
  <c r="AU9" i="2"/>
  <c r="AT9" i="2"/>
  <c r="AB9" i="2"/>
  <c r="Z9" i="2"/>
  <c r="C8" i="5" s="1"/>
  <c r="AA9" i="2"/>
  <c r="E8" i="4" s="1"/>
  <c r="D8" i="4" s="1"/>
  <c r="K5" i="4" l="1"/>
  <c r="BW4" i="2"/>
  <c r="H5" i="5" s="1"/>
  <c r="J17" i="4"/>
  <c r="BM17" i="2"/>
  <c r="G17" i="5" s="1"/>
  <c r="H5" i="4"/>
  <c r="AS4" i="2"/>
  <c r="E5" i="5" s="1"/>
  <c r="BW17" i="2"/>
  <c r="H17" i="5" s="1"/>
  <c r="K17" i="4"/>
  <c r="AS16" i="2"/>
  <c r="E18" i="5" s="1"/>
  <c r="H18" i="4"/>
  <c r="I5" i="4"/>
  <c r="BC4" i="2"/>
  <c r="F5" i="5" s="1"/>
  <c r="J7" i="4"/>
  <c r="BM6" i="2"/>
  <c r="G7" i="5" s="1"/>
  <c r="BM18" i="2"/>
  <c r="G19" i="5" s="1"/>
  <c r="J19" i="4"/>
  <c r="H15" i="4"/>
  <c r="AS14" i="2"/>
  <c r="E15" i="5" s="1"/>
  <c r="K14" i="4"/>
  <c r="BW13" i="2"/>
  <c r="H14" i="5" s="1"/>
  <c r="I10" i="4"/>
  <c r="BC7" i="2"/>
  <c r="F10" i="5" s="1"/>
  <c r="I14" i="4"/>
  <c r="BC13" i="2"/>
  <c r="F14" i="5" s="1"/>
  <c r="BC5" i="2"/>
  <c r="F6" i="5" s="1"/>
  <c r="I6" i="4"/>
  <c r="BW14" i="2"/>
  <c r="H15" i="5" s="1"/>
  <c r="K15" i="4"/>
  <c r="H7" i="4"/>
  <c r="AS6" i="2"/>
  <c r="E7" i="5" s="1"/>
  <c r="I13" i="4"/>
  <c r="BC12" i="2"/>
  <c r="F13" i="5" s="1"/>
  <c r="J15" i="4"/>
  <c r="BM14" i="2"/>
  <c r="G15" i="5" s="1"/>
  <c r="H14" i="4"/>
  <c r="AS13" i="2"/>
  <c r="E14" i="5" s="1"/>
  <c r="BM16" i="2"/>
  <c r="G18" i="5" s="1"/>
  <c r="J18" i="4"/>
  <c r="K11" i="4"/>
  <c r="BW10" i="2"/>
  <c r="H11" i="5" s="1"/>
  <c r="BW6" i="2"/>
  <c r="H7" i="5" s="1"/>
  <c r="K7" i="4"/>
  <c r="K4" i="4"/>
  <c r="BW3" i="2"/>
  <c r="H4" i="5" s="1"/>
  <c r="AS12" i="2"/>
  <c r="E13" i="5" s="1"/>
  <c r="H13" i="4"/>
  <c r="K12" i="4"/>
  <c r="BW11" i="2"/>
  <c r="H12" i="5" s="1"/>
  <c r="BC14" i="2"/>
  <c r="F15" i="5" s="1"/>
  <c r="I15" i="4"/>
  <c r="H9" i="4"/>
  <c r="AS8" i="2"/>
  <c r="E9" i="5" s="1"/>
  <c r="BC16" i="2"/>
  <c r="F18" i="5" s="1"/>
  <c r="I18" i="4"/>
  <c r="BC8" i="2"/>
  <c r="F9" i="5" s="1"/>
  <c r="I9" i="4"/>
  <c r="AS9" i="2"/>
  <c r="E8" i="5" s="1"/>
  <c r="H8" i="4"/>
  <c r="AS18" i="2"/>
  <c r="E19" i="5" s="1"/>
  <c r="H19" i="4"/>
  <c r="BW8" i="2"/>
  <c r="H9" i="5" s="1"/>
  <c r="K9" i="4"/>
  <c r="K8" i="4"/>
  <c r="BW9" i="2"/>
  <c r="H8" i="5" s="1"/>
  <c r="K6" i="4"/>
  <c r="BW5" i="2"/>
  <c r="H6" i="5" s="1"/>
  <c r="BM3" i="2"/>
  <c r="G4" i="5" s="1"/>
  <c r="J4" i="4"/>
  <c r="AS15" i="2"/>
  <c r="E16" i="5" s="1"/>
  <c r="H16" i="4"/>
  <c r="BC3" i="2"/>
  <c r="F4" i="5" s="1"/>
  <c r="I4" i="4"/>
  <c r="H10" i="4"/>
  <c r="AS7" i="2"/>
  <c r="E10" i="5" s="1"/>
  <c r="BC18" i="2"/>
  <c r="F19" i="5" s="1"/>
  <c r="I19" i="4"/>
  <c r="AS10" i="2"/>
  <c r="E11" i="5" s="1"/>
  <c r="H11" i="4"/>
  <c r="BM9" i="2"/>
  <c r="G8" i="5" s="1"/>
  <c r="J8" i="4"/>
  <c r="K16" i="4"/>
  <c r="BW15" i="2"/>
  <c r="H16" i="5" s="1"/>
  <c r="H12" i="4"/>
  <c r="AS11" i="2"/>
  <c r="E12" i="5" s="1"/>
  <c r="H6" i="4"/>
  <c r="AS5" i="2"/>
  <c r="E6" i="5" s="1"/>
  <c r="J10" i="4"/>
  <c r="BM7" i="2"/>
  <c r="G10" i="5" s="1"/>
  <c r="BW16" i="2"/>
  <c r="H18" i="5" s="1"/>
  <c r="K18" i="4"/>
  <c r="J5" i="4"/>
  <c r="BM4" i="2"/>
  <c r="G5" i="5" s="1"/>
  <c r="I8" i="4"/>
  <c r="BC9" i="2"/>
  <c r="F8" i="5" s="1"/>
  <c r="I17" i="4"/>
  <c r="BC17" i="2"/>
  <c r="F17" i="5" s="1"/>
  <c r="BM10" i="2"/>
  <c r="G11" i="5" s="1"/>
  <c r="J11" i="4"/>
  <c r="I7" i="4"/>
  <c r="BC6" i="2"/>
  <c r="F7" i="5" s="1"/>
  <c r="J13" i="4"/>
  <c r="BM12" i="2"/>
  <c r="G13" i="5" s="1"/>
  <c r="K13" i="4"/>
  <c r="BW12" i="2"/>
  <c r="H13" i="5" s="1"/>
  <c r="AS17" i="2"/>
  <c r="E17" i="5" s="1"/>
  <c r="H17" i="4"/>
  <c r="J9" i="4"/>
  <c r="BM8" i="2"/>
  <c r="G9" i="5" s="1"/>
  <c r="K10" i="4"/>
  <c r="BW7" i="2"/>
  <c r="H10" i="5" s="1"/>
  <c r="BC10" i="2"/>
  <c r="F11" i="5" s="1"/>
  <c r="I11" i="4"/>
  <c r="I12" i="4"/>
  <c r="BC11" i="2"/>
  <c r="F12" i="5" s="1"/>
  <c r="J16" i="4"/>
  <c r="BM15" i="2"/>
  <c r="G16" i="5" s="1"/>
  <c r="K19" i="4"/>
  <c r="BW18" i="2"/>
  <c r="H19" i="5" s="1"/>
  <c r="J6" i="4"/>
  <c r="BM5" i="2"/>
  <c r="G6" i="5" s="1"/>
  <c r="H4" i="4"/>
  <c r="AS3" i="2"/>
  <c r="E4" i="5" s="1"/>
  <c r="BM13" i="2"/>
  <c r="G14" i="5" s="1"/>
  <c r="J14" i="4"/>
  <c r="BC15" i="2"/>
  <c r="F16" i="5" s="1"/>
  <c r="I16" i="4"/>
  <c r="J12" i="4"/>
  <c r="BM11" i="2"/>
  <c r="G12" i="5" s="1"/>
</calcChain>
</file>

<file path=xl/sharedStrings.xml><?xml version="1.0" encoding="utf-8"?>
<sst xmlns="http://schemas.openxmlformats.org/spreadsheetml/2006/main" count="367" uniqueCount="96">
  <si>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</si>
  <si>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</si>
  <si>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</si>
  <si>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</si>
  <si>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</si>
  <si>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</si>
  <si>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</si>
  <si>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</si>
  <si>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</si>
  <si>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</si>
  <si>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</si>
  <si>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Tit For Tat</t>
  </si>
  <si>
    <t>First by Nydegger</t>
  </si>
  <si>
    <t>First by Tideman and Chieruzzi</t>
  </si>
  <si>
    <t>First by Shubik</t>
  </si>
  <si>
    <t>Grudger</t>
  </si>
  <si>
    <t>First by Davis</t>
  </si>
  <si>
    <t>First by Graaskamp</t>
  </si>
  <si>
    <t>First by Downing</t>
  </si>
  <si>
    <t>First by Feld</t>
  </si>
  <si>
    <t>First by Joss</t>
  </si>
  <si>
    <t>First by Anonymous</t>
  </si>
  <si>
    <t>First by Tullock</t>
  </si>
  <si>
    <t>Random</t>
  </si>
  <si>
    <t>Rank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</si>
  <si>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</si>
  <si>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</si>
  <si>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</si>
  <si>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</si>
  <si>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</si>
  <si>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</si>
  <si>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</si>
  <si>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</si>
  <si>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</si>
  <si>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</si>
  <si>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</si>
  <si>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</si>
  <si>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</si>
  <si>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</si>
  <si>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</si>
  <si>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Svi!$A$2:$I$17</t>
  </si>
  <si>
    <t>Svi!$A$20:$I$35</t>
  </si>
  <si>
    <t>Svi!$A$38:$I$53</t>
  </si>
  <si>
    <t>Svi!$A$56:$I$71</t>
  </si>
  <si>
    <t>Svi!$A$74:$I$89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</si>
  <si>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</si>
  <si>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</si>
  <si>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</si>
  <si>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</si>
  <si>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</si>
  <si>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</si>
  <si>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</si>
  <si>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</si>
  <si>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</si>
  <si>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</si>
  <si>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</si>
  <si>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</si>
  <si>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</si>
  <si>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</si>
  <si>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</si>
  <si>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</si>
  <si>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</si>
  <si>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</si>
  <si>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</si>
  <si>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</si>
  <si>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</si>
  <si>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</si>
  <si>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</si>
  <si>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</si>
  <si>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</si>
  <si>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</si>
  <si>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Cooperation Rating</t>
  </si>
  <si>
    <t>Good Partner Rating</t>
  </si>
  <si>
    <t>Avg. Score</t>
  </si>
  <si>
    <t>Eigenjesus Rating</t>
  </si>
  <si>
    <t>Eigenmoses Rating</t>
  </si>
  <si>
    <t>SD</t>
  </si>
  <si>
    <t>Wins (%)</t>
  </si>
  <si>
    <t>Achievement</t>
  </si>
  <si>
    <t>Stein and Rapoport</t>
  </si>
  <si>
    <t>Grofman</t>
  </si>
  <si>
    <t>Nydegger</t>
  </si>
  <si>
    <t>Tideman and Chieruzzi</t>
  </si>
  <si>
    <t>Shubik</t>
  </si>
  <si>
    <t>Davis</t>
  </si>
  <si>
    <t>Graaskamp</t>
  </si>
  <si>
    <t>Downing</t>
  </si>
  <si>
    <t>Feld</t>
  </si>
  <si>
    <t>Joss</t>
  </si>
  <si>
    <t>Anonymous</t>
  </si>
  <si>
    <t>Tullock</t>
  </si>
  <si>
    <t>Avg. Morality metrics</t>
  </si>
  <si>
    <t>Cooperation Rating (SD)</t>
  </si>
  <si>
    <t>Good Partner Rating (SD)</t>
  </si>
  <si>
    <t>Eigenjesus Rating (SD)</t>
  </si>
  <si>
    <t>Eigenmoses Rating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</si>
</sst>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R_S_D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0" fontId="1" fillId="0" borderId="3" xfId="0" applyFont="1" applyBorder="1"/>
    <xf numFmtId="0" fontId="0" fillId="0" borderId="4" xfId="0" applyBorder="1" applyAlignment="1">
      <alignment wrapText="1"/>
    </xf>
    <xf numFmtId="2" fontId="0" fillId="0" borderId="0" xfId="0" applyNumberFormat="1"/>
    <xf numFmtId="2" fontId="0" fillId="0" borderId="3" xfId="0" applyNumberFormat="1" applyBorder="1"/>
    <xf numFmtId="164" fontId="0" fillId="0" borderId="0" xfId="0" applyNumberFormat="1"/>
    <xf numFmtId="164" fontId="0" fillId="0" borderId="3" xfId="0" applyNumberFormat="1" applyBorder="1"/>
    <xf numFmtId="165" fontId="0" fillId="0" borderId="0" xfId="0" applyNumberFormat="1"/>
    <xf numFmtId="165" fontId="0" fillId="0" borderId="3" xfId="0" applyNumberFormat="1" applyBorder="1"/>
    <xf numFmtId="166" fontId="0" fillId="0" borderId="0" xfId="0" applyNumberFormat="1"/>
    <xf numFmtId="166" fontId="0" fillId="0" borderId="3" xfId="0" applyNumberFormat="1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0" fillId="0" borderId="4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11D-764E-43B7-90DE-79879BB5DCE0}">
  <dimension ref="B2:H20"/>
  <sheetViews>
    <sheetView zoomScale="105" workbookViewId="0">
      <selection activeCell="C4" sqref="C4:H19"/>
    </sheetView>
  </sheetViews>
  <sheetFormatPr defaultRowHeight="15" x14ac:dyDescent="0.25"/>
  <cols>
    <col min="2" max="2" width="20.28515625" bestFit="1" customWidth="1"/>
    <col min="3" max="3" width="9" bestFit="1" customWidth="1"/>
    <col min="4" max="4" width="8.7109375" bestFit="1" customWidth="1"/>
    <col min="5" max="5" width="16.42578125" customWidth="1"/>
    <col min="6" max="6" width="12.85546875" bestFit="1" customWidth="1"/>
    <col min="7" max="7" width="11" bestFit="1" customWidth="1"/>
    <col min="8" max="8" width="12.140625" bestFit="1" customWidth="1"/>
  </cols>
  <sheetData>
    <row r="2" spans="2:8" x14ac:dyDescent="0.25">
      <c r="B2" s="17"/>
      <c r="C2" s="30" t="s">
        <v>78</v>
      </c>
      <c r="D2" s="31"/>
      <c r="E2" s="29" t="s">
        <v>91</v>
      </c>
      <c r="F2" s="30"/>
      <c r="G2" s="30"/>
      <c r="H2" s="30"/>
    </row>
    <row r="3" spans="2:8" ht="30" x14ac:dyDescent="0.25">
      <c r="B3" s="24" t="s">
        <v>0</v>
      </c>
      <c r="C3" s="15" t="s">
        <v>73</v>
      </c>
      <c r="D3" s="15" t="s">
        <v>77</v>
      </c>
      <c r="E3" s="21" t="s">
        <v>92</v>
      </c>
      <c r="F3" s="15" t="s">
        <v>93</v>
      </c>
      <c r="G3" s="15" t="s">
        <v>94</v>
      </c>
      <c r="H3" s="15" t="s">
        <v>95</v>
      </c>
    </row>
    <row r="4" spans="2:8" x14ac:dyDescent="0.25">
      <c r="B4" s="22" t="s">
        <v>8</v>
      </c>
      <c r="C4" s="25">
        <f ca="1">VLOOKUP(B4,Kompilirano!T:Z,7,FALSE)/15/5</f>
        <v>531.28</v>
      </c>
      <c r="D4" s="26">
        <f ca="1">VLOOKUP(B4,Kompilirano!J:P,7,FALSE)/15/5</f>
        <v>0.18666666666666668</v>
      </c>
      <c r="E4" s="27" t="str">
        <f ca="1">VLOOKUP(B4,Kompilirano!AM:AS,7,FALSE)</f>
        <v>0.81 (0.06)</v>
      </c>
      <c r="F4" s="28" t="str">
        <f ca="1">VLOOKUP(B4,Kompilirano!AW:BD,7,FALSE)</f>
        <v>0.81 (0.07)</v>
      </c>
      <c r="G4" s="28" t="str">
        <f ca="1">VLOOKUP(B4,Kompilirano!BG:BM,7,FALSE)</f>
        <v>0.32 (0.01)</v>
      </c>
      <c r="H4" s="28" t="str">
        <f ca="1">VLOOKUP(B4,Kompilirano!BQ:BW,7,FALSE)</f>
        <v>0.31 (0.01)</v>
      </c>
    </row>
    <row r="5" spans="2:8" x14ac:dyDescent="0.25">
      <c r="B5" s="22" t="s">
        <v>79</v>
      </c>
      <c r="C5" s="25">
        <f ca="1">VLOOKUP(B5,Kompilirano!T:Z,7,FALSE)/15/5</f>
        <v>524.10666666666668</v>
      </c>
      <c r="D5" s="26">
        <f ca="1">VLOOKUP(B5,Kompilirano!J:P,7,FALSE)/15/5</f>
        <v>0.73333333333333328</v>
      </c>
      <c r="E5" s="27" t="str">
        <f ca="1">VLOOKUP(B5,Kompilirano!AM:AS,7,FALSE)</f>
        <v>0.63 (0.00)</v>
      </c>
      <c r="F5" s="28" t="str">
        <f ca="1">VLOOKUP(B5,Kompilirano!AW:BD,7,FALSE)</f>
        <v>0.27 (0.00)</v>
      </c>
      <c r="G5" s="28" t="str">
        <f ca="1">VLOOKUP(B5,Kompilirano!BG:BM,7,FALSE)</f>
        <v>0.28 (0.00)</v>
      </c>
      <c r="H5" s="28" t="str">
        <f ca="1">VLOOKUP(B5,Kompilirano!BQ:BW,7,FALSE)</f>
        <v>0.33 (0.00)</v>
      </c>
    </row>
    <row r="6" spans="2:8" x14ac:dyDescent="0.25">
      <c r="B6" s="22" t="s">
        <v>80</v>
      </c>
      <c r="C6" s="25">
        <f ca="1">VLOOKUP(B6,Kompilirano!T:Z,7,FALSE)/15/5</f>
        <v>511.26666666666671</v>
      </c>
      <c r="D6" s="26">
        <f ca="1">VLOOKUP(B6,Kompilirano!J:P,7,FALSE)/15/5</f>
        <v>6.6666666666666666E-2</v>
      </c>
      <c r="E6" s="27" t="str">
        <f ca="1">VLOOKUP(B6,Kompilirano!AM:AS,7,FALSE)</f>
        <v>0.85 (0.01)</v>
      </c>
      <c r="F6" s="28" t="str">
        <f ca="1">VLOOKUP(B6,Kompilirano!AW:BD,7,FALSE)</f>
        <v>0.93 (0.00)</v>
      </c>
      <c r="G6" s="28" t="str">
        <f ca="1">VLOOKUP(B6,Kompilirano!BG:BM,7,FALSE)</f>
        <v>0.33 (0.00)</v>
      </c>
      <c r="H6" s="28" t="str">
        <f ca="1">VLOOKUP(B6,Kompilirano!BQ:BW,7,FALSE)</f>
        <v>0.30 (0.00)</v>
      </c>
    </row>
    <row r="7" spans="2:8" x14ac:dyDescent="0.25">
      <c r="B7" s="22" t="s">
        <v>11</v>
      </c>
      <c r="C7" s="25">
        <f ca="1">VLOOKUP(B7,Kompilirano!T:Z,7,FALSE)/15/5</f>
        <v>507.4666666666667</v>
      </c>
      <c r="D7" s="26">
        <f ca="1">VLOOKUP(B7,Kompilirano!J:P,7,FALSE)/15/5</f>
        <v>0</v>
      </c>
      <c r="E7" s="27" t="str">
        <f ca="1">VLOOKUP(B7,Kompilirano!AM:AS,7,FALSE)</f>
        <v>0.74 (0.01)</v>
      </c>
      <c r="F7" s="28" t="str">
        <f ca="1">VLOOKUP(B7,Kompilirano!AW:BD,7,FALSE)</f>
        <v>1.00 (0.00)</v>
      </c>
      <c r="G7" s="28" t="str">
        <f ca="1">VLOOKUP(B7,Kompilirano!BG:BM,7,FALSE)</f>
        <v>0.31 (0.00)</v>
      </c>
      <c r="H7" s="28" t="str">
        <f ca="1">VLOOKUP(B7,Kompilirano!BQ:BW,7,FALSE)</f>
        <v>0.31 (0.00)</v>
      </c>
    </row>
    <row r="8" spans="2:8" x14ac:dyDescent="0.25">
      <c r="B8" s="22" t="s">
        <v>83</v>
      </c>
      <c r="C8" s="25">
        <f ca="1">VLOOKUP(B8,Kompilirano!T:Z,7,FALSE)/15/5</f>
        <v>504.33333333333331</v>
      </c>
      <c r="D8" s="26">
        <f ca="1">VLOOKUP(B8,Kompilirano!J:P,7,FALSE)/15/5</f>
        <v>0.2</v>
      </c>
      <c r="E8" s="27" t="str">
        <f ca="1">VLOOKUP(B8,Kompilirano!AM:AS,7,FALSE)</f>
        <v>0.63 (0.01)</v>
      </c>
      <c r="F8" s="28" t="str">
        <f ca="1">VLOOKUP(B8,Kompilirano!AW:BD,7,FALSE)</f>
        <v>0.80 (0.00)</v>
      </c>
      <c r="G8" s="28" t="str">
        <f ca="1">VLOOKUP(B8,Kompilirano!BG:BM,7,FALSE)</f>
        <v>0.28 (0.00)</v>
      </c>
      <c r="H8" s="28" t="str">
        <f ca="1">VLOOKUP(B8,Kompilirano!BQ:BW,7,FALSE)</f>
        <v>0.34 (0.00)</v>
      </c>
    </row>
    <row r="9" spans="2:8" x14ac:dyDescent="0.25">
      <c r="B9" s="22" t="s">
        <v>82</v>
      </c>
      <c r="C9" s="25">
        <f ca="1">VLOOKUP(B9,Kompilirano!T:Z,7,FALSE)/15/5</f>
        <v>500.77333333333337</v>
      </c>
      <c r="D9" s="26">
        <f ca="1">VLOOKUP(B9,Kompilirano!J:P,7,FALSE)/15/5</f>
        <v>0.76</v>
      </c>
      <c r="E9" s="27" t="str">
        <f ca="1">VLOOKUP(B9,Kompilirano!AM:AS,7,FALSE)</f>
        <v>0.63 (0.01)</v>
      </c>
      <c r="F9" s="28" t="str">
        <f ca="1">VLOOKUP(B9,Kompilirano!AW:BD,7,FALSE)</f>
        <v>0.24 (0.04)</v>
      </c>
      <c r="G9" s="28" t="str">
        <f ca="1">VLOOKUP(B9,Kompilirano!BG:BM,7,FALSE)</f>
        <v>0.28 (0.00)</v>
      </c>
      <c r="H9" s="28" t="str">
        <f ca="1">VLOOKUP(B9,Kompilirano!BQ:BW,7,FALSE)</f>
        <v>0.35 (0.00)</v>
      </c>
    </row>
    <row r="10" spans="2:8" x14ac:dyDescent="0.25">
      <c r="B10" s="22" t="s">
        <v>81</v>
      </c>
      <c r="C10" s="25">
        <f ca="1">VLOOKUP(B10,Kompilirano!T:Z,7,FALSE)/15/5</f>
        <v>500.66666666666669</v>
      </c>
      <c r="D10" s="26">
        <f ca="1">VLOOKUP(B10,Kompilirano!J:P,7,FALSE)/15/5</f>
        <v>0</v>
      </c>
      <c r="E10" s="27" t="str">
        <f ca="1">VLOOKUP(B10,Kompilirano!AM:AS,7,FALSE)</f>
        <v>0.99 (0.00)</v>
      </c>
      <c r="F10" s="28" t="str">
        <f ca="1">VLOOKUP(B10,Kompilirano!AW:BD,7,FALSE)</f>
        <v>1.00 (0.00)</v>
      </c>
      <c r="G10" s="28" t="str">
        <f ca="1">VLOOKUP(B10,Kompilirano!BG:BM,7,FALSE)</f>
        <v>0.36 (0.00)</v>
      </c>
      <c r="H10" s="28" t="str">
        <f ca="1">VLOOKUP(B10,Kompilirano!BQ:BW,7,FALSE)</f>
        <v>0.27 (0.01)</v>
      </c>
    </row>
    <row r="11" spans="2:8" x14ac:dyDescent="0.25">
      <c r="B11" s="22" t="s">
        <v>15</v>
      </c>
      <c r="C11" s="25">
        <f ca="1">VLOOKUP(B11,Kompilirano!T:Z,7,FALSE)/15/5</f>
        <v>488.49333333333334</v>
      </c>
      <c r="D11" s="26">
        <f ca="1">VLOOKUP(B11,Kompilirano!J:P,7,FALSE)/15/5</f>
        <v>0.33333333333333337</v>
      </c>
      <c r="E11" s="27" t="str">
        <f ca="1">VLOOKUP(B11,Kompilirano!AM:AS,7,FALSE)</f>
        <v>0.57 (0.01)</v>
      </c>
      <c r="F11" s="28" t="str">
        <f ca="1">VLOOKUP(B11,Kompilirano!AW:BD,7,FALSE)</f>
        <v>0.67 (0.00)</v>
      </c>
      <c r="G11" s="28" t="str">
        <f ca="1">VLOOKUP(B11,Kompilirano!BG:BM,7,FALSE)</f>
        <v>0.27 (0.00)</v>
      </c>
      <c r="H11" s="28" t="str">
        <f ca="1">VLOOKUP(B11,Kompilirano!BQ:BW,7,FALSE)</f>
        <v>0.34 (0.00)</v>
      </c>
    </row>
    <row r="12" spans="2:8" x14ac:dyDescent="0.25">
      <c r="B12" s="22" t="s">
        <v>84</v>
      </c>
      <c r="C12" s="25">
        <f ca="1">VLOOKUP(B12,Kompilirano!T:Z,7,FALSE)/15/5</f>
        <v>485.90666666666664</v>
      </c>
      <c r="D12" s="26">
        <f ca="1">VLOOKUP(B12,Kompilirano!J:P,7,FALSE)/15/5</f>
        <v>0.26666666666666666</v>
      </c>
      <c r="E12" s="27" t="str">
        <f ca="1">VLOOKUP(B12,Kompilirano!AM:AS,7,FALSE)</f>
        <v>0.58 (0.01)</v>
      </c>
      <c r="F12" s="28" t="str">
        <f ca="1">VLOOKUP(B12,Kompilirano!AW:BD,7,FALSE)</f>
        <v>0.73 (0.00)</v>
      </c>
      <c r="G12" s="28" t="str">
        <f ca="1">VLOOKUP(B12,Kompilirano!BG:BM,7,FALSE)</f>
        <v>0.27 (0.00)</v>
      </c>
      <c r="H12" s="28" t="str">
        <f ca="1">VLOOKUP(B12,Kompilirano!BQ:BW,7,FALSE)</f>
        <v>0.34 (0.00)</v>
      </c>
    </row>
    <row r="13" spans="2:8" x14ac:dyDescent="0.25">
      <c r="B13" s="22" t="s">
        <v>85</v>
      </c>
      <c r="C13" s="25">
        <f ca="1">VLOOKUP(B13,Kompilirano!T:Z,7,FALSE)/15/5</f>
        <v>469.74666666666661</v>
      </c>
      <c r="D13" s="26">
        <f ca="1">VLOOKUP(B13,Kompilirano!J:P,7,FALSE)/15/5</f>
        <v>0.33333333333333337</v>
      </c>
      <c r="E13" s="27" t="str">
        <f ca="1">VLOOKUP(B13,Kompilirano!AM:AS,7,FALSE)</f>
        <v>0.59 (0.04)</v>
      </c>
      <c r="F13" s="28" t="str">
        <f ca="1">VLOOKUP(B13,Kompilirano!AW:BD,7,FALSE)</f>
        <v>0.67 (0.00)</v>
      </c>
      <c r="G13" s="28" t="str">
        <f ca="1">VLOOKUP(B13,Kompilirano!BG:BM,7,FALSE)</f>
        <v>0.22 (0.01)</v>
      </c>
      <c r="H13" s="28" t="str">
        <f ca="1">VLOOKUP(B13,Kompilirano!BQ:BW,7,FALSE)</f>
        <v>0.11 (0.00)</v>
      </c>
    </row>
    <row r="14" spans="2:8" x14ac:dyDescent="0.25">
      <c r="B14" s="22" t="s">
        <v>86</v>
      </c>
      <c r="C14" s="25">
        <f ca="1">VLOOKUP(B14,Kompilirano!T:Z,7,FALSE)/15/5</f>
        <v>428.71999999999997</v>
      </c>
      <c r="D14" s="26">
        <f ca="1">VLOOKUP(B14,Kompilirano!J:P,7,FALSE)/15/5</f>
        <v>0.44000000000000006</v>
      </c>
      <c r="E14" s="27" t="str">
        <f ca="1">VLOOKUP(B14,Kompilirano!AM:AS,7,FALSE)</f>
        <v>0.34 (0.04)</v>
      </c>
      <c r="F14" s="28" t="str">
        <f ca="1">VLOOKUP(B14,Kompilirano!AW:BD,7,FALSE)</f>
        <v>0.56 (0.04)</v>
      </c>
      <c r="G14" s="28" t="str">
        <f ca="1">VLOOKUP(B14,Kompilirano!BG:BM,7,FALSE)</f>
        <v>0.10 (0.01)</v>
      </c>
      <c r="H14" s="28" t="str">
        <f ca="1">VLOOKUP(B14,Kompilirano!BQ:BW,7,FALSE)</f>
        <v>-0.18 (0.00)</v>
      </c>
    </row>
    <row r="15" spans="2:8" x14ac:dyDescent="0.25">
      <c r="B15" s="22" t="s">
        <v>87</v>
      </c>
      <c r="C15" s="25">
        <f ca="1">VLOOKUP(B15,Kompilirano!T:Z,7,FALSE)/15/5</f>
        <v>413.28000000000003</v>
      </c>
      <c r="D15" s="26">
        <f ca="1">VLOOKUP(B15,Kompilirano!J:P,7,FALSE)/15/5</f>
        <v>0.70666666666666667</v>
      </c>
      <c r="E15" s="27" t="str">
        <f ca="1">VLOOKUP(B15,Kompilirano!AM:AS,7,FALSE)</f>
        <v>0.33 (0.02)</v>
      </c>
      <c r="F15" s="28" t="str">
        <f ca="1">VLOOKUP(B15,Kompilirano!AW:BD,7,FALSE)</f>
        <v>0.29 (0.04)</v>
      </c>
      <c r="G15" s="28" t="str">
        <f ca="1">VLOOKUP(B15,Kompilirano!BG:BM,7,FALSE)</f>
        <v>0.12 (0.01)</v>
      </c>
      <c r="H15" s="28" t="str">
        <f ca="1">VLOOKUP(B15,Kompilirano!BQ:BW,7,FALSE)</f>
        <v>-0.11 (0.01)</v>
      </c>
    </row>
    <row r="16" spans="2:8" x14ac:dyDescent="0.25">
      <c r="B16" s="22" t="s">
        <v>88</v>
      </c>
      <c r="C16" s="25">
        <f ca="1">VLOOKUP(B16,Kompilirano!T:Z,7,FALSE)/15/5</f>
        <v>378.64</v>
      </c>
      <c r="D16" s="26">
        <f ca="1">VLOOKUP(B16,Kompilirano!J:P,7,FALSE)/15/5</f>
        <v>0.7466666666666667</v>
      </c>
      <c r="E16" s="27" t="str">
        <f ca="1">VLOOKUP(B16,Kompilirano!AM:AS,7,FALSE)</f>
        <v>0.35 (0.01)</v>
      </c>
      <c r="F16" s="28" t="str">
        <f ca="1">VLOOKUP(B16,Kompilirano!AW:BD,7,FALSE)</f>
        <v>0.25 (0.11)</v>
      </c>
      <c r="G16" s="28" t="str">
        <f ca="1">VLOOKUP(B16,Kompilirano!BG:BM,7,FALSE)</f>
        <v>0.13 (0.00)</v>
      </c>
      <c r="H16" s="28" t="str">
        <f ca="1">VLOOKUP(B16,Kompilirano!BQ:BW,7,FALSE)</f>
        <v>-0.11 (0.00)</v>
      </c>
    </row>
    <row r="17" spans="2:8" x14ac:dyDescent="0.25">
      <c r="B17" s="22" t="s">
        <v>90</v>
      </c>
      <c r="C17" s="25">
        <f ca="1">VLOOKUP(B17,Kompilirano!T:Z,7,FALSE)/15/5</f>
        <v>364.81333333333333</v>
      </c>
      <c r="D17" s="26">
        <f ca="1">VLOOKUP(B17,Kompilirano!J:P,7,FALSE)/15/5</f>
        <v>0.57333333333333336</v>
      </c>
      <c r="E17" s="27" t="str">
        <f ca="1">VLOOKUP(B17,Kompilirano!AM:AS,7,FALSE)</f>
        <v>0.32 (0.03)</v>
      </c>
      <c r="F17" s="28" t="str">
        <f ca="1">VLOOKUP(B17,Kompilirano!AW:BD,7,FALSE)</f>
        <v>0.43 (0.06)</v>
      </c>
      <c r="G17" s="28" t="str">
        <f ca="1">VLOOKUP(B17,Kompilirano!BG:BM,7,FALSE)</f>
        <v>0.13 (0.01)</v>
      </c>
      <c r="H17" s="28" t="str">
        <f ca="1">VLOOKUP(B17,Kompilirano!BQ:BW,7,FALSE)</f>
        <v>-0.07 (0.02)</v>
      </c>
    </row>
    <row r="18" spans="2:8" x14ac:dyDescent="0.25">
      <c r="B18" s="22" t="s">
        <v>89</v>
      </c>
      <c r="C18" s="25">
        <f ca="1">VLOOKUP(B18,Kompilirano!T:Z,7,FALSE)/15/5</f>
        <v>338.94666666666666</v>
      </c>
      <c r="D18" s="26">
        <f ca="1">VLOOKUP(B18,Kompilirano!J:P,7,FALSE)/15/5</f>
        <v>0.27999999999999997</v>
      </c>
      <c r="E18" s="27" t="str">
        <f ca="1">VLOOKUP(B18,Kompilirano!AM:AS,7,FALSE)</f>
        <v>0.50 (0.01)</v>
      </c>
      <c r="F18" s="28" t="str">
        <f ca="1">VLOOKUP(B18,Kompilirano!AW:BD,7,FALSE)</f>
        <v>0.72 (0.03)</v>
      </c>
      <c r="G18" s="28" t="str">
        <f ca="1">VLOOKUP(B18,Kompilirano!BG:BM,7,FALSE)</f>
        <v>0.18 (0.00)</v>
      </c>
      <c r="H18" s="28" t="str">
        <f ca="1">VLOOKUP(B18,Kompilirano!BQ:BW,7,FALSE)</f>
        <v>0.00 (0.01)</v>
      </c>
    </row>
    <row r="19" spans="2:8" x14ac:dyDescent="0.25">
      <c r="B19" s="23" t="s">
        <v>23</v>
      </c>
      <c r="C19" s="25">
        <f ca="1">VLOOKUP(B19,Kompilirano!T:Z,7,FALSE)/15/5</f>
        <v>325.56</v>
      </c>
      <c r="D19" s="26">
        <f ca="1">VLOOKUP(B19,Kompilirano!J:P,7,FALSE)/15/5</f>
        <v>0.22666666666666666</v>
      </c>
      <c r="E19" s="27" t="str">
        <f ca="1">VLOOKUP(B19,Kompilirano!AM:AS,7,FALSE)</f>
        <v>0.50 (0.01)</v>
      </c>
      <c r="F19" s="28" t="str">
        <f ca="1">VLOOKUP(B19,Kompilirano!AW:BD,7,FALSE)</f>
        <v>0.77 (0.04)</v>
      </c>
      <c r="G19" s="28" t="str">
        <f ca="1">VLOOKUP(B19,Kompilirano!BG:BM,7,FALSE)</f>
        <v>0.18 (0.00)</v>
      </c>
      <c r="H19" s="28" t="str">
        <f ca="1">VLOOKUP(B19,Kompilirano!BQ:BW,7,FALSE)</f>
        <v>0.00 (0.01)</v>
      </c>
    </row>
    <row r="20" spans="2:8" x14ac:dyDescent="0.25">
      <c r="E20" s="7"/>
    </row>
  </sheetData>
  <sortState xmlns:xlrd2="http://schemas.microsoft.com/office/spreadsheetml/2017/richdata2" ref="B4:H19">
    <sortCondition descending="1" ref="C4:C19"/>
  </sortState>
  <mergeCells count="2">
    <mergeCell ref="E2:H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1:CF20"/>
  <sheetViews>
    <sheetView topLeftCell="I1" zoomScale="91" zoomScaleNormal="160" workbookViewId="0">
      <selection activeCell="T2" sqref="T2:Y18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19" max="19" width="11" bestFit="1" customWidth="1"/>
    <col min="20" max="20" width="28.42578125" bestFit="1" customWidth="1"/>
    <col min="21" max="25" width="12.140625" bestFit="1" customWidth="1"/>
    <col min="26" max="26" width="12.140625" customWidth="1"/>
    <col min="45" max="45" width="10.28515625" bestFit="1" customWidth="1"/>
  </cols>
  <sheetData>
    <row r="1" spans="1:84" x14ac:dyDescent="0.25">
      <c r="CB1" s="32"/>
      <c r="CC1" s="32"/>
      <c r="CD1" s="32"/>
      <c r="CE1" s="32"/>
      <c r="CF1" s="32"/>
    </row>
    <row r="2" spans="1:84" x14ac:dyDescent="0.25">
      <c r="A2" s="16" t="s">
        <v>0</v>
      </c>
      <c r="B2" s="16" t="s">
        <v>25</v>
      </c>
      <c r="C2" s="16" t="s">
        <v>26</v>
      </c>
      <c r="D2" s="16" t="s">
        <v>27</v>
      </c>
      <c r="E2" s="16" t="s">
        <v>28</v>
      </c>
      <c r="F2" s="16" t="s">
        <v>29</v>
      </c>
      <c r="G2" s="16" t="s">
        <v>70</v>
      </c>
      <c r="H2" s="4" t="s">
        <v>76</v>
      </c>
      <c r="J2" s="16" t="s">
        <v>0</v>
      </c>
      <c r="K2" s="16" t="s">
        <v>30</v>
      </c>
      <c r="L2" s="16" t="s">
        <v>31</v>
      </c>
      <c r="M2" s="16" t="s">
        <v>32</v>
      </c>
      <c r="N2" s="16" t="s">
        <v>33</v>
      </c>
      <c r="O2" s="16" t="s">
        <v>34</v>
      </c>
      <c r="P2" s="16"/>
      <c r="Q2" s="17" t="s">
        <v>70</v>
      </c>
      <c r="R2" s="4" t="s">
        <v>76</v>
      </c>
      <c r="T2" s="16" t="s">
        <v>0</v>
      </c>
      <c r="U2" s="16" t="s">
        <v>35</v>
      </c>
      <c r="V2" s="16" t="s">
        <v>36</v>
      </c>
      <c r="W2" s="16" t="s">
        <v>37</v>
      </c>
      <c r="X2" s="16" t="s">
        <v>38</v>
      </c>
      <c r="Y2" s="16" t="s">
        <v>39</v>
      </c>
      <c r="Z2" s="16"/>
      <c r="AA2" s="16" t="s">
        <v>70</v>
      </c>
      <c r="AB2" s="4" t="s">
        <v>76</v>
      </c>
      <c r="AD2" s="16" t="s">
        <v>0</v>
      </c>
      <c r="AE2" s="16" t="s">
        <v>45</v>
      </c>
      <c r="AF2" s="16" t="s">
        <v>46</v>
      </c>
      <c r="AG2" s="16" t="s">
        <v>47</v>
      </c>
      <c r="AH2" s="16" t="s">
        <v>48</v>
      </c>
      <c r="AI2" s="16" t="s">
        <v>49</v>
      </c>
      <c r="AJ2" s="16" t="s">
        <v>70</v>
      </c>
      <c r="AK2" s="4" t="s">
        <v>76</v>
      </c>
      <c r="AM2" s="16" t="s">
        <v>0</v>
      </c>
      <c r="AN2" s="16" t="s">
        <v>50</v>
      </c>
      <c r="AO2" s="16" t="s">
        <v>51</v>
      </c>
      <c r="AP2" s="16" t="s">
        <v>52</v>
      </c>
      <c r="AQ2" s="16" t="s">
        <v>53</v>
      </c>
      <c r="AR2" s="16" t="s">
        <v>54</v>
      </c>
      <c r="AS2" s="16"/>
      <c r="AT2" s="16" t="s">
        <v>70</v>
      </c>
      <c r="AU2" s="4" t="s">
        <v>76</v>
      </c>
      <c r="AW2" s="16" t="s">
        <v>0</v>
      </c>
      <c r="AX2" s="16" t="s">
        <v>55</v>
      </c>
      <c r="AY2" s="16" t="s">
        <v>56</v>
      </c>
      <c r="AZ2" s="16" t="s">
        <v>57</v>
      </c>
      <c r="BA2" s="16" t="s">
        <v>58</v>
      </c>
      <c r="BB2" s="16" t="s">
        <v>59</v>
      </c>
      <c r="BC2" s="16"/>
      <c r="BD2" s="16" t="s">
        <v>70</v>
      </c>
      <c r="BE2" s="4" t="s">
        <v>76</v>
      </c>
      <c r="BG2" s="16" t="s">
        <v>0</v>
      </c>
      <c r="BH2" s="16" t="s">
        <v>60</v>
      </c>
      <c r="BI2" s="16" t="s">
        <v>61</v>
      </c>
      <c r="BJ2" s="16" t="s">
        <v>62</v>
      </c>
      <c r="BK2" s="16" t="s">
        <v>63</v>
      </c>
      <c r="BL2" s="16" t="s">
        <v>64</v>
      </c>
      <c r="BM2" s="16"/>
      <c r="BN2" s="16" t="s">
        <v>70</v>
      </c>
      <c r="BO2" s="4" t="s">
        <v>76</v>
      </c>
      <c r="BQ2" s="16" t="s">
        <v>0</v>
      </c>
      <c r="BR2" s="16" t="s">
        <v>65</v>
      </c>
      <c r="BS2" s="16" t="s">
        <v>66</v>
      </c>
      <c r="BT2" s="16" t="s">
        <v>67</v>
      </c>
      <c r="BU2" s="16" t="s">
        <v>68</v>
      </c>
      <c r="BV2" s="16" t="s">
        <v>69</v>
      </c>
      <c r="BW2" s="16"/>
      <c r="BX2" s="16" t="s">
        <v>70</v>
      </c>
      <c r="BY2" s="4" t="s">
        <v>76</v>
      </c>
    </row>
    <row r="3" spans="1:84" x14ac:dyDescent="0.25">
      <c r="A3" s="18" t="s">
        <v>8</v>
      </c>
      <c r="B3" s="19">
        <f ca="1">+VLOOKUP($A3,INDIRECT(Adrese!B$2),2,FALSE)</f>
        <v>1</v>
      </c>
      <c r="C3" s="19">
        <f ca="1">+VLOOKUP($A3,INDIRECT(Adrese!C$2),2,FALSE)</f>
        <v>1</v>
      </c>
      <c r="D3" s="19">
        <f ca="1">+VLOOKUP($A3,INDIRECT(Adrese!D$2),2,FALSE)</f>
        <v>1</v>
      </c>
      <c r="E3" s="19">
        <f ca="1">+VLOOKUP($A3,INDIRECT(Adrese!E$2),2,FALSE)</f>
        <v>1</v>
      </c>
      <c r="F3" s="19">
        <f ca="1">+VLOOKUP($A3,INDIRECT(Adrese!F$2),2,FALSE)</f>
        <v>1</v>
      </c>
      <c r="G3" s="7">
        <f ca="1">AVERAGE(B3:F3)</f>
        <v>1</v>
      </c>
      <c r="H3" s="7">
        <f ca="1">+_xlfn.STDEV.S(B3:F3)</f>
        <v>0</v>
      </c>
      <c r="J3" s="4" t="s">
        <v>8</v>
      </c>
      <c r="K3">
        <f ca="1">+VLOOKUP($A3,INDIRECT(Adrese!B$2),3,FALSE)</f>
        <v>4</v>
      </c>
      <c r="L3">
        <f ca="1">+VLOOKUP($A3,INDIRECT(Adrese!C$2),3,FALSE)</f>
        <v>2</v>
      </c>
      <c r="M3">
        <f ca="1">+VLOOKUP($A3,INDIRECT(Adrese!D$2),3,FALSE)</f>
        <v>2</v>
      </c>
      <c r="N3">
        <f ca="1">+VLOOKUP($A3,INDIRECT(Adrese!E$2),3,FALSE)</f>
        <v>4</v>
      </c>
      <c r="O3">
        <f ca="1">+VLOOKUP($A3,INDIRECT(Adrese!F$2),3,FALSE)</f>
        <v>2</v>
      </c>
      <c r="P3">
        <f ca="1">SUM(K3:O3)</f>
        <v>14</v>
      </c>
      <c r="Q3" s="7">
        <f ca="1">AVERAGE(K3:O3)</f>
        <v>2.8</v>
      </c>
      <c r="R3" s="7">
        <f ca="1">+_xlfn.STDEV.S(K3:O3)</f>
        <v>1.0954451150103319</v>
      </c>
      <c r="T3" s="4" t="s">
        <v>8</v>
      </c>
      <c r="U3">
        <f ca="1">+VLOOKUP($T3,INDIRECT(Adrese!B$2),4,FALSE)</f>
        <v>8034</v>
      </c>
      <c r="V3">
        <f ca="1">+VLOOKUP($T3,INDIRECT(Adrese!C$2),4,FALSE)</f>
        <v>7964</v>
      </c>
      <c r="W3">
        <f ca="1">+VLOOKUP($T3,INDIRECT(Adrese!D$2),4,FALSE)</f>
        <v>7941</v>
      </c>
      <c r="X3">
        <f ca="1">+VLOOKUP($T3,INDIRECT(Adrese!E$2),4,FALSE)</f>
        <v>7943</v>
      </c>
      <c r="Y3">
        <f ca="1">+VLOOKUP($T3,INDIRECT(Adrese!F$2),4,FALSE)</f>
        <v>7964</v>
      </c>
      <c r="Z3">
        <f ca="1">SUM(U3:Y3)</f>
        <v>39846</v>
      </c>
      <c r="AA3" s="7">
        <f ca="1">AVERAGE(U3:Y3)</f>
        <v>7969.2</v>
      </c>
      <c r="AB3" s="7">
        <f ca="1">+_xlfn.STDEV.S(U3:Y3)</f>
        <v>37.864231142332734</v>
      </c>
      <c r="AD3" s="4" t="s">
        <v>8</v>
      </c>
      <c r="AE3">
        <f ca="1">+VLOOKUP($A3,INDIRECT(Adrese!B$2),5,FALSE)</f>
        <v>2420</v>
      </c>
      <c r="AF3">
        <f ca="1">+VLOOKUP($A3,INDIRECT(Adrese!C$2),5,FALSE)</f>
        <v>2780</v>
      </c>
      <c r="AG3">
        <f ca="1">+VLOOKUP($A3,INDIRECT(Adrese!D$2),5,FALSE)</f>
        <v>2768</v>
      </c>
      <c r="AH3">
        <f ca="1">+VLOOKUP($A3,INDIRECT(Adrese!E$2),5,FALSE)</f>
        <v>2414</v>
      </c>
      <c r="AI3">
        <f ca="1">+VLOOKUP($A3,INDIRECT(Adrese!F$2),5,FALSE)</f>
        <v>2769</v>
      </c>
      <c r="AJ3" s="7">
        <f ca="1">AVERAGE(AE3:AI3)</f>
        <v>2630.2</v>
      </c>
      <c r="AK3" s="7">
        <f ca="1">+_xlfn.STDEV.S(AE3:AI3)</f>
        <v>194.69257818417219</v>
      </c>
      <c r="AM3" s="4" t="s">
        <v>8</v>
      </c>
      <c r="AN3" s="7">
        <f ca="1">+VLOOKUP($A3,INDIRECT(Adrese!B$2),6,FALSE)</f>
        <v>0.74</v>
      </c>
      <c r="AO3" s="7">
        <f ca="1">+VLOOKUP($A3,INDIRECT(Adrese!C$2),6,FALSE)</f>
        <v>0.86</v>
      </c>
      <c r="AP3" s="7">
        <f ca="1">+VLOOKUP($A3,INDIRECT(Adrese!D$2),6,FALSE)</f>
        <v>0.85599999999999998</v>
      </c>
      <c r="AQ3" s="7">
        <f ca="1">+VLOOKUP($A3,INDIRECT(Adrese!E$2),6,FALSE)</f>
        <v>0.73799999999999999</v>
      </c>
      <c r="AR3" s="7">
        <f ca="1">+VLOOKUP($A3,INDIRECT(Adrese!F$2),6,FALSE)</f>
        <v>0.85633333333333328</v>
      </c>
      <c r="AS3" s="7" t="str">
        <f ca="1">TEXT(AT3,"0.00")&amp;" ("&amp;TEXT(AU3,"0.00")&amp;")"</f>
        <v>0.81 (0.06)</v>
      </c>
      <c r="AT3" s="7">
        <f ca="1">AVERAGE(AN3:AR3)</f>
        <v>0.81006666666666671</v>
      </c>
      <c r="AU3" s="7">
        <f ca="1">+_xlfn.STDEV.S(AN3:AR3)</f>
        <v>6.4897526061390723E-2</v>
      </c>
      <c r="AW3" s="4" t="s">
        <v>8</v>
      </c>
      <c r="AX3" s="7">
        <f ca="1">+VLOOKUP($A3,INDIRECT(Adrese!B$2),7,FALSE)</f>
        <v>0.73333333333333328</v>
      </c>
      <c r="AY3" s="7">
        <f ca="1">+VLOOKUP($A3,INDIRECT(Adrese!C$2),7,FALSE)</f>
        <v>0.8666666666666667</v>
      </c>
      <c r="AZ3" s="7">
        <f ca="1">+VLOOKUP($A3,INDIRECT(Adrese!D$2),7,FALSE)</f>
        <v>0.8666666666666667</v>
      </c>
      <c r="BA3" s="7">
        <f ca="1">+VLOOKUP($A3,INDIRECT(Adrese!E$2),7,FALSE)</f>
        <v>0.73333333333333328</v>
      </c>
      <c r="BB3" s="7">
        <f ca="1">+VLOOKUP($A3,INDIRECT(Adrese!F$2),7,FALSE)</f>
        <v>0.8666666666666667</v>
      </c>
      <c r="BC3" s="7" t="str">
        <f ca="1">TEXT(BD3,"0.00")&amp;" ("&amp;TEXT(BE3,"0.00")&amp;")"</f>
        <v>0.81 (0.07)</v>
      </c>
      <c r="BD3" s="7">
        <f ca="1">AVERAGE(AX3:BB3)</f>
        <v>0.81333333333333324</v>
      </c>
      <c r="BE3" s="7">
        <f ca="1">+_xlfn.STDEV.S(AX3:BB3)</f>
        <v>7.3029674334022202E-2</v>
      </c>
      <c r="BG3" s="4" t="s">
        <v>8</v>
      </c>
      <c r="BH3" s="7">
        <f ca="1">+VLOOKUP($BG3,INDIRECT(Adrese!B$2),8,FALSE)</f>
        <v>0.30720581982070277</v>
      </c>
      <c r="BI3" s="7">
        <f ca="1">+VLOOKUP($BG3,INDIRECT(Adrese!C$2),8,FALSE)</f>
        <v>0.33029654722840801</v>
      </c>
      <c r="BJ3" s="7">
        <f ca="1">+VLOOKUP($BG3,INDIRECT(Adrese!D$2),8,FALSE)</f>
        <v>0.33387591496377772</v>
      </c>
      <c r="BK3" s="7">
        <f ca="1">+VLOOKUP($BG3,INDIRECT(Adrese!E$2),8,FALSE)</f>
        <v>0.30806282559773651</v>
      </c>
      <c r="BL3" s="7">
        <f ca="1">+VLOOKUP($BG3,INDIRECT(Adrese!F$2),8,FALSE)</f>
        <v>0.33358110490764542</v>
      </c>
      <c r="BM3" s="7" t="str">
        <f ca="1">TEXT(BN3,"0.00")&amp;" ("&amp;TEXT(BO3,"0.00")&amp;")"</f>
        <v>0.32 (0.01)</v>
      </c>
      <c r="BN3" s="7">
        <f ca="1">AVERAGE(BH3:BL3)</f>
        <v>0.32260444250365405</v>
      </c>
      <c r="BO3" s="7">
        <f ca="1">+_xlfn.STDEV.S(BH3:BL3)</f>
        <v>1.3741159765622719E-2</v>
      </c>
      <c r="BQ3" s="4" t="s">
        <v>8</v>
      </c>
      <c r="BR3" s="7">
        <f ca="1">+VLOOKUP($BG3,INDIRECT(Adrese!B$2),9,FALSE)</f>
        <v>0.31438968053060568</v>
      </c>
      <c r="BS3" s="7">
        <f ca="1">+VLOOKUP($BG3,INDIRECT(Adrese!C$2),9,FALSE)</f>
        <v>0.31534083257221318</v>
      </c>
      <c r="BT3" s="7">
        <f ca="1">+VLOOKUP($BG3,INDIRECT(Adrese!D$2),9,FALSE)</f>
        <v>0.30150583177795698</v>
      </c>
      <c r="BU3" s="7">
        <f ca="1">+VLOOKUP($BG3,INDIRECT(Adrese!E$2),9,FALSE)</f>
        <v>0.31537250043236992</v>
      </c>
      <c r="BV3" s="7">
        <f ca="1">+VLOOKUP($BG3,INDIRECT(Adrese!F$2),9,FALSE)</f>
        <v>0.30196077255042142</v>
      </c>
      <c r="BW3" s="7" t="str">
        <f ca="1">TEXT(BX3,"0.00")&amp;" ("&amp;TEXT(BY3,"0.00")&amp;")"</f>
        <v>0.31 (0.01)</v>
      </c>
      <c r="BX3" s="7">
        <f ca="1">AVERAGE(BR3:BV3)</f>
        <v>0.30971392357271343</v>
      </c>
      <c r="BY3" s="7">
        <f ca="1">+_xlfn.STDEV.S(BR3:BV3)</f>
        <v>7.2977466004956748E-3</v>
      </c>
    </row>
    <row r="4" spans="1:84" x14ac:dyDescent="0.25">
      <c r="A4" s="4" t="s">
        <v>79</v>
      </c>
      <c r="B4">
        <f ca="1">+VLOOKUP($A4,INDIRECT(Adrese!B$2),2,FALSE)</f>
        <v>2</v>
      </c>
      <c r="C4">
        <f ca="1">+VLOOKUP($A4,INDIRECT(Adrese!C$2),2,FALSE)</f>
        <v>2</v>
      </c>
      <c r="D4">
        <f ca="1">+VLOOKUP($A4,INDIRECT(Adrese!D$2),2,FALSE)</f>
        <v>2</v>
      </c>
      <c r="E4">
        <f ca="1">+VLOOKUP($A4,INDIRECT(Adrese!E$2),2,FALSE)</f>
        <v>2</v>
      </c>
      <c r="F4">
        <f ca="1">+VLOOKUP($A4,INDIRECT(Adrese!F$2),2,FALSE)</f>
        <v>2</v>
      </c>
      <c r="G4" s="7">
        <f t="shared" ref="G4:G18" ca="1" si="0">AVERAGE(B4:F4)</f>
        <v>2</v>
      </c>
      <c r="H4" s="7">
        <f t="shared" ref="H4:H18" ca="1" si="1">+_xlfn.STDEV.S(B4:F4)</f>
        <v>0</v>
      </c>
      <c r="J4" s="4" t="s">
        <v>79</v>
      </c>
      <c r="K4">
        <f ca="1">+VLOOKUP($A4,INDIRECT(Adrese!B$2),3,FALSE)</f>
        <v>11</v>
      </c>
      <c r="L4">
        <f ca="1">+VLOOKUP($A4,INDIRECT(Adrese!C$2),3,FALSE)</f>
        <v>11</v>
      </c>
      <c r="M4">
        <f ca="1">+VLOOKUP($A4,INDIRECT(Adrese!D$2),3,FALSE)</f>
        <v>11</v>
      </c>
      <c r="N4">
        <f ca="1">+VLOOKUP($A4,INDIRECT(Adrese!E$2),3,FALSE)</f>
        <v>11</v>
      </c>
      <c r="O4">
        <f ca="1">+VLOOKUP($A4,INDIRECT(Adrese!F$2),3,FALSE)</f>
        <v>11</v>
      </c>
      <c r="P4">
        <f t="shared" ref="P4:P18" ca="1" si="2">SUM(K4:O4)</f>
        <v>55</v>
      </c>
      <c r="Q4" s="7">
        <f t="shared" ref="Q4:Q18" ca="1" si="3">AVERAGE(K4:O4)</f>
        <v>11</v>
      </c>
      <c r="R4" s="7">
        <f t="shared" ref="R4:R18" ca="1" si="4">+_xlfn.STDEV.S(K4:O4)</f>
        <v>0</v>
      </c>
      <c r="T4" s="4" t="s">
        <v>79</v>
      </c>
      <c r="U4">
        <f ca="1">+VLOOKUP($T4,INDIRECT(Adrese!B$2),4,FALSE)</f>
        <v>7917</v>
      </c>
      <c r="V4">
        <f ca="1">+VLOOKUP($T4,INDIRECT(Adrese!C$2),4,FALSE)</f>
        <v>7845</v>
      </c>
      <c r="W4">
        <f ca="1">+VLOOKUP($T4,INDIRECT(Adrese!D$2),4,FALSE)</f>
        <v>7843</v>
      </c>
      <c r="X4">
        <f ca="1">+VLOOKUP($T4,INDIRECT(Adrese!E$2),4,FALSE)</f>
        <v>7891</v>
      </c>
      <c r="Y4">
        <f ca="1">+VLOOKUP($T4,INDIRECT(Adrese!F$2),4,FALSE)</f>
        <v>7812</v>
      </c>
      <c r="Z4">
        <f t="shared" ref="Z4:Z18" ca="1" si="5">SUM(U4:Y4)</f>
        <v>39308</v>
      </c>
      <c r="AA4" s="7">
        <f t="shared" ref="AA4:AA18" ca="1" si="6">AVERAGE(U4:Y4)</f>
        <v>7861.6</v>
      </c>
      <c r="AB4" s="7">
        <f t="shared" ref="AB4:AB18" ca="1" si="7">+_xlfn.STDEV.S(U4:Y4)</f>
        <v>41.878395384732691</v>
      </c>
      <c r="AD4" s="4" t="s">
        <v>79</v>
      </c>
      <c r="AE4">
        <f ca="1">+VLOOKUP($A4,INDIRECT(Adrese!B$2),5,FALSE)</f>
        <v>2106</v>
      </c>
      <c r="AF4">
        <f ca="1">+VLOOKUP($A4,INDIRECT(Adrese!C$2),5,FALSE)</f>
        <v>2101</v>
      </c>
      <c r="AG4">
        <f ca="1">+VLOOKUP($A4,INDIRECT(Adrese!D$2),5,FALSE)</f>
        <v>2077</v>
      </c>
      <c r="AH4">
        <f ca="1">+VLOOKUP($A4,INDIRECT(Adrese!E$2),5,FALSE)</f>
        <v>2080</v>
      </c>
      <c r="AI4">
        <f ca="1">+VLOOKUP($A4,INDIRECT(Adrese!F$2),5,FALSE)</f>
        <v>2089</v>
      </c>
      <c r="AJ4" s="7">
        <f t="shared" ref="AJ4:AJ18" ca="1" si="8">AVERAGE(AE4:AI4)</f>
        <v>2090.6</v>
      </c>
      <c r="AK4" s="7">
        <f t="shared" ref="AK4:AK18" ca="1" si="9">+_xlfn.STDEV.S(AE4:AI4)</f>
        <v>12.700393694685216</v>
      </c>
      <c r="AM4" s="4" t="s">
        <v>79</v>
      </c>
      <c r="AN4" s="7">
        <f ca="1">+VLOOKUP($A4,INDIRECT(Adrese!B$2),6,FALSE)</f>
        <v>0.63600000000000001</v>
      </c>
      <c r="AO4" s="7">
        <f ca="1">+VLOOKUP($A4,INDIRECT(Adrese!C$2),6,FALSE)</f>
        <v>0.6343333333333333</v>
      </c>
      <c r="AP4" s="7">
        <f ca="1">+VLOOKUP($A4,INDIRECT(Adrese!D$2),6,FALSE)</f>
        <v>0.6263333333333333</v>
      </c>
      <c r="AQ4" s="7">
        <f ca="1">+VLOOKUP($A4,INDIRECT(Adrese!E$2),6,FALSE)</f>
        <v>0.6273333333333333</v>
      </c>
      <c r="AR4" s="7">
        <f ca="1">+VLOOKUP($A4,INDIRECT(Adrese!F$2),6,FALSE)</f>
        <v>0.6303333333333333</v>
      </c>
      <c r="AS4" s="7" t="str">
        <f t="shared" ref="AS4:AS18" ca="1" si="10">TEXT(AT4,"0.00")&amp;" ("&amp;TEXT(AU4,"0.00")&amp;")"</f>
        <v>0.63 (0.00)</v>
      </c>
      <c r="AT4" s="7">
        <f t="shared" ref="AT4:AT18" ca="1" si="11">AVERAGE(AN4:AR4)</f>
        <v>0.63086666666666669</v>
      </c>
      <c r="AU4" s="7">
        <f t="shared" ref="AU4:AU18" ca="1" si="12">+_xlfn.STDEV.S(AN4:AR4)</f>
        <v>4.2334645648950875E-3</v>
      </c>
      <c r="AW4" s="4" t="s">
        <v>79</v>
      </c>
      <c r="AX4" s="7">
        <f ca="1">+VLOOKUP($A4,INDIRECT(Adrese!B$2),7,FALSE)</f>
        <v>0.26666666666666672</v>
      </c>
      <c r="AY4" s="7">
        <f ca="1">+VLOOKUP($A4,INDIRECT(Adrese!C$2),7,FALSE)</f>
        <v>0.26666666666666672</v>
      </c>
      <c r="AZ4" s="7">
        <f ca="1">+VLOOKUP($A4,INDIRECT(Adrese!D$2),7,FALSE)</f>
        <v>0.26666666666666672</v>
      </c>
      <c r="BA4" s="7">
        <f ca="1">+VLOOKUP($A4,INDIRECT(Adrese!E$2),7,FALSE)</f>
        <v>0.26666666666666672</v>
      </c>
      <c r="BB4" s="7">
        <f ca="1">+VLOOKUP($A4,INDIRECT(Adrese!F$2),7,FALSE)</f>
        <v>0.26666666666666672</v>
      </c>
      <c r="BC4" s="7" t="str">
        <f t="shared" ref="BC4:BC18" ca="1" si="13">TEXT(BD4,"0.00")&amp;" ("&amp;TEXT(BE4,"0.00")&amp;")"</f>
        <v>0.27 (0.00)</v>
      </c>
      <c r="BD4">
        <f t="shared" ref="BD4:BD18" ca="1" si="14">AVERAGE(AX4:BB4)</f>
        <v>0.26666666666666672</v>
      </c>
      <c r="BE4" s="7">
        <f t="shared" ref="BE4:BE18" ca="1" si="15">+_xlfn.STDEV.S(AX4:BB4)</f>
        <v>0</v>
      </c>
      <c r="BG4" s="4" t="s">
        <v>79</v>
      </c>
      <c r="BH4" s="7">
        <f ca="1">+VLOOKUP($BG4,INDIRECT(Adrese!B$2),8,FALSE)</f>
        <v>0.28402317206568428</v>
      </c>
      <c r="BI4" s="7">
        <f ca="1">+VLOOKUP($BG4,INDIRECT(Adrese!C$2),8,FALSE)</f>
        <v>0.27816267228739339</v>
      </c>
      <c r="BJ4" s="7">
        <f ca="1">+VLOOKUP($BG4,INDIRECT(Adrese!D$2),8,FALSE)</f>
        <v>0.28352165849994881</v>
      </c>
      <c r="BK4" s="7">
        <f ca="1">+VLOOKUP($BG4,INDIRECT(Adrese!E$2),8,FALSE)</f>
        <v>0.28285075278785632</v>
      </c>
      <c r="BL4" s="7">
        <f ca="1">+VLOOKUP($BG4,INDIRECT(Adrese!F$2),8,FALSE)</f>
        <v>0.28358366781997668</v>
      </c>
      <c r="BM4" s="7" t="str">
        <f t="shared" ref="BM4:BM18" ca="1" si="16">TEXT(BN4,"0.00")&amp;" ("&amp;TEXT(BO4,"0.00")&amp;")"</f>
        <v>0.28 (0.00)</v>
      </c>
      <c r="BN4" s="7">
        <f t="shared" ref="BN4:BN18" ca="1" si="17">AVERAGE(BH4:BL4)</f>
        <v>0.28242838469217191</v>
      </c>
      <c r="BO4" s="7">
        <f t="shared" ref="BO4:BO18" ca="1" si="18">+_xlfn.STDEV.S(BH4:BL4)</f>
        <v>2.4211552314654119E-3</v>
      </c>
      <c r="BQ4" s="4" t="s">
        <v>79</v>
      </c>
      <c r="BR4" s="7">
        <f ca="1">+VLOOKUP($BG4,INDIRECT(Adrese!B$2),9,FALSE)</f>
        <v>0.32768960893937538</v>
      </c>
      <c r="BS4" s="7">
        <f ca="1">+VLOOKUP($BG4,INDIRECT(Adrese!C$2),9,FALSE)</f>
        <v>0.33351734522068249</v>
      </c>
      <c r="BT4" s="7">
        <f ca="1">+VLOOKUP($BG4,INDIRECT(Adrese!D$2),9,FALSE)</f>
        <v>0.3314270834182893</v>
      </c>
      <c r="BU4" s="7">
        <f ca="1">+VLOOKUP($BG4,INDIRECT(Adrese!E$2),9,FALSE)</f>
        <v>0.33052637152699821</v>
      </c>
      <c r="BV4" s="7">
        <f ca="1">+VLOOKUP($BG4,INDIRECT(Adrese!F$2),9,FALSE)</f>
        <v>0.33469424072725062</v>
      </c>
      <c r="BW4" s="7" t="str">
        <f t="shared" ref="BW4:BW18" ca="1" si="19">TEXT(BX4,"0.00")&amp;" ("&amp;TEXT(BY4,"0.00")&amp;")"</f>
        <v>0.33 (0.00)</v>
      </c>
      <c r="BX4" s="7">
        <f t="shared" ref="BX4:BX18" ca="1" si="20">AVERAGE(BR4:BV4)</f>
        <v>0.33157092996651916</v>
      </c>
      <c r="BY4" s="7">
        <f t="shared" ref="BY4:BY18" ca="1" si="21">+_xlfn.STDEV.S(BR4:BV4)</f>
        <v>2.7258049053674603E-3</v>
      </c>
    </row>
    <row r="5" spans="1:84" x14ac:dyDescent="0.25">
      <c r="A5" s="4" t="s">
        <v>80</v>
      </c>
      <c r="B5">
        <f ca="1">+VLOOKUP($A5,INDIRECT(Adrese!B$2),2,FALSE)</f>
        <v>3</v>
      </c>
      <c r="C5">
        <f ca="1">+VLOOKUP($A5,INDIRECT(Adrese!C$2),2,FALSE)</f>
        <v>3</v>
      </c>
      <c r="D5">
        <f ca="1">+VLOOKUP($A5,INDIRECT(Adrese!D$2),2,FALSE)</f>
        <v>4</v>
      </c>
      <c r="E5">
        <f ca="1">+VLOOKUP($A5,INDIRECT(Adrese!E$2),2,FALSE)</f>
        <v>4</v>
      </c>
      <c r="F5">
        <f ca="1">+VLOOKUP($A5,INDIRECT(Adrese!F$2),2,FALSE)</f>
        <v>3</v>
      </c>
      <c r="G5" s="7">
        <f t="shared" ca="1" si="0"/>
        <v>3.4</v>
      </c>
      <c r="H5" s="7">
        <f t="shared" ca="1" si="1"/>
        <v>0.54772255750516674</v>
      </c>
      <c r="J5" s="4" t="s">
        <v>80</v>
      </c>
      <c r="K5">
        <f ca="1">+VLOOKUP($A5,INDIRECT(Adrese!B$2),3,FALSE)</f>
        <v>1</v>
      </c>
      <c r="L5">
        <f ca="1">+VLOOKUP($A5,INDIRECT(Adrese!C$2),3,FALSE)</f>
        <v>1</v>
      </c>
      <c r="M5">
        <f ca="1">+VLOOKUP($A5,INDIRECT(Adrese!D$2),3,FALSE)</f>
        <v>1</v>
      </c>
      <c r="N5">
        <f ca="1">+VLOOKUP($A5,INDIRECT(Adrese!E$2),3,FALSE)</f>
        <v>1</v>
      </c>
      <c r="O5">
        <f ca="1">+VLOOKUP($A5,INDIRECT(Adrese!F$2),3,FALSE)</f>
        <v>1</v>
      </c>
      <c r="P5">
        <f t="shared" ca="1" si="2"/>
        <v>5</v>
      </c>
      <c r="Q5" s="7">
        <f t="shared" ca="1" si="3"/>
        <v>1</v>
      </c>
      <c r="R5" s="7">
        <f t="shared" ca="1" si="4"/>
        <v>0</v>
      </c>
      <c r="T5" s="4" t="s">
        <v>80</v>
      </c>
      <c r="U5">
        <f ca="1">+VLOOKUP($T5,INDIRECT(Adrese!B$2),4,FALSE)</f>
        <v>7687</v>
      </c>
      <c r="V5">
        <f ca="1">+VLOOKUP($T5,INDIRECT(Adrese!C$2),4,FALSE)</f>
        <v>7745</v>
      </c>
      <c r="W5">
        <f ca="1">+VLOOKUP($T5,INDIRECT(Adrese!D$2),4,FALSE)</f>
        <v>7542</v>
      </c>
      <c r="X5">
        <f ca="1">+VLOOKUP($T5,INDIRECT(Adrese!E$2),4,FALSE)</f>
        <v>7671</v>
      </c>
      <c r="Y5">
        <f ca="1">+VLOOKUP($T5,INDIRECT(Adrese!F$2),4,FALSE)</f>
        <v>7700</v>
      </c>
      <c r="Z5">
        <f t="shared" ca="1" si="5"/>
        <v>38345</v>
      </c>
      <c r="AA5" s="7">
        <f t="shared" ca="1" si="6"/>
        <v>7669</v>
      </c>
      <c r="AB5" s="7">
        <f t="shared" ca="1" si="7"/>
        <v>76.147882439369255</v>
      </c>
      <c r="AD5" s="4" t="s">
        <v>80</v>
      </c>
      <c r="AE5">
        <f ca="1">+VLOOKUP($A5,INDIRECT(Adrese!B$2),5,FALSE)</f>
        <v>2766</v>
      </c>
      <c r="AF5">
        <f ca="1">+VLOOKUP($A5,INDIRECT(Adrese!C$2),5,FALSE)</f>
        <v>2775</v>
      </c>
      <c r="AG5">
        <f ca="1">+VLOOKUP($A5,INDIRECT(Adrese!D$2),5,FALSE)</f>
        <v>2715</v>
      </c>
      <c r="AH5">
        <f ca="1">+VLOOKUP($A5,INDIRECT(Adrese!E$2),5,FALSE)</f>
        <v>2762</v>
      </c>
      <c r="AI5">
        <f ca="1">+VLOOKUP($A5,INDIRECT(Adrese!F$2),5,FALSE)</f>
        <v>2766</v>
      </c>
      <c r="AJ5" s="7">
        <f t="shared" ca="1" si="8"/>
        <v>2756.8</v>
      </c>
      <c r="AK5" s="7">
        <f t="shared" ca="1" si="9"/>
        <v>23.847431727546681</v>
      </c>
      <c r="AM5" s="4" t="s">
        <v>80</v>
      </c>
      <c r="AN5" s="7">
        <f ca="1">+VLOOKUP($A5,INDIRECT(Adrese!B$2),6,FALSE)</f>
        <v>0.85533333333333328</v>
      </c>
      <c r="AO5" s="7">
        <f ca="1">+VLOOKUP($A5,INDIRECT(Adrese!C$2),6,FALSE)</f>
        <v>0.85833333333333328</v>
      </c>
      <c r="AP5" s="7">
        <f ca="1">+VLOOKUP($A5,INDIRECT(Adrese!D$2),6,FALSE)</f>
        <v>0.83833333333333337</v>
      </c>
      <c r="AQ5" s="7">
        <f ca="1">+VLOOKUP($A5,INDIRECT(Adrese!E$2),6,FALSE)</f>
        <v>0.85399999999999998</v>
      </c>
      <c r="AR5" s="7">
        <f ca="1">+VLOOKUP($A5,INDIRECT(Adrese!F$2),6,FALSE)</f>
        <v>0.85533333333333328</v>
      </c>
      <c r="AS5" s="7" t="str">
        <f t="shared" ca="1" si="10"/>
        <v>0.85 (0.01)</v>
      </c>
      <c r="AT5" s="7">
        <f t="shared" ca="1" si="11"/>
        <v>0.85226666666666662</v>
      </c>
      <c r="AU5" s="7">
        <f t="shared" ca="1" si="12"/>
        <v>7.9491439091821867E-3</v>
      </c>
      <c r="AW5" s="4" t="s">
        <v>80</v>
      </c>
      <c r="AX5" s="7">
        <f ca="1">+VLOOKUP($A5,INDIRECT(Adrese!B$2),7,FALSE)</f>
        <v>0.93333333333333335</v>
      </c>
      <c r="AY5" s="7">
        <f ca="1">+VLOOKUP($A5,INDIRECT(Adrese!C$2),7,FALSE)</f>
        <v>0.93333333333333335</v>
      </c>
      <c r="AZ5" s="7">
        <f ca="1">+VLOOKUP($A5,INDIRECT(Adrese!D$2),7,FALSE)</f>
        <v>0.93333333333333335</v>
      </c>
      <c r="BA5" s="7">
        <f ca="1">+VLOOKUP($A5,INDIRECT(Adrese!E$2),7,FALSE)</f>
        <v>0.93333333333333335</v>
      </c>
      <c r="BB5" s="7">
        <f ca="1">+VLOOKUP($A5,INDIRECT(Adrese!F$2),7,FALSE)</f>
        <v>0.93333333333333335</v>
      </c>
      <c r="BC5" s="7" t="str">
        <f t="shared" ca="1" si="13"/>
        <v>0.93 (0.00)</v>
      </c>
      <c r="BD5">
        <f t="shared" ca="1" si="14"/>
        <v>0.93333333333333335</v>
      </c>
      <c r="BE5" s="7">
        <f t="shared" ca="1" si="15"/>
        <v>0</v>
      </c>
      <c r="BG5" s="4" t="s">
        <v>80</v>
      </c>
      <c r="BH5" s="7">
        <f ca="1">+VLOOKUP($BG5,INDIRECT(Adrese!B$2),8,FALSE)</f>
        <v>0.33318080691278412</v>
      </c>
      <c r="BI5" s="7">
        <f ca="1">+VLOOKUP($BG5,INDIRECT(Adrese!C$2),8,FALSE)</f>
        <v>0.32847690392554968</v>
      </c>
      <c r="BJ5" s="7">
        <f ca="1">+VLOOKUP($BG5,INDIRECT(Adrese!D$2),8,FALSE)</f>
        <v>0.32922219873177438</v>
      </c>
      <c r="BK5" s="7">
        <f ca="1">+VLOOKUP($BG5,INDIRECT(Adrese!E$2),8,FALSE)</f>
        <v>0.33323560715170902</v>
      </c>
      <c r="BL5" s="7">
        <f ca="1">+VLOOKUP($BG5,INDIRECT(Adrese!F$2),8,FALSE)</f>
        <v>0.33126185853638751</v>
      </c>
      <c r="BM5" s="7" t="str">
        <f t="shared" ca="1" si="16"/>
        <v>0.33 (0.00)</v>
      </c>
      <c r="BN5" s="7">
        <f t="shared" ca="1" si="17"/>
        <v>0.33107547505164098</v>
      </c>
      <c r="BO5" s="7">
        <f t="shared" ca="1" si="18"/>
        <v>2.1977566263015088E-3</v>
      </c>
      <c r="BQ5" s="4" t="s">
        <v>80</v>
      </c>
      <c r="BR5" s="7">
        <f ca="1">+VLOOKUP($BG5,INDIRECT(Adrese!B$2),9,FALSE)</f>
        <v>0.2941585298527567</v>
      </c>
      <c r="BS5" s="7">
        <f ca="1">+VLOOKUP($BG5,INDIRECT(Adrese!C$2),9,FALSE)</f>
        <v>0.30198847792947131</v>
      </c>
      <c r="BT5" s="7">
        <f ca="1">+VLOOKUP($BG5,INDIRECT(Adrese!D$2),9,FALSE)</f>
        <v>0.29677423888031301</v>
      </c>
      <c r="BU5" s="7">
        <f ca="1">+VLOOKUP($BG5,INDIRECT(Adrese!E$2),9,FALSE)</f>
        <v>0.29417165726855121</v>
      </c>
      <c r="BV5" s="7">
        <f ca="1">+VLOOKUP($BG5,INDIRECT(Adrese!F$2),9,FALSE)</f>
        <v>0.29026881573693342</v>
      </c>
      <c r="BW5" s="7" t="str">
        <f t="shared" ca="1" si="19"/>
        <v>0.30 (0.00)</v>
      </c>
      <c r="BX5" s="7">
        <f t="shared" ca="1" si="20"/>
        <v>0.29547234393360505</v>
      </c>
      <c r="BY5" s="7">
        <f t="shared" ca="1" si="21"/>
        <v>4.3199980219205177E-3</v>
      </c>
    </row>
    <row r="6" spans="1:84" x14ac:dyDescent="0.25">
      <c r="A6" s="4" t="s">
        <v>11</v>
      </c>
      <c r="B6">
        <f ca="1">+VLOOKUP($A6,INDIRECT(Adrese!B$2),2,FALSE)</f>
        <v>4</v>
      </c>
      <c r="C6">
        <f ca="1">+VLOOKUP($A6,INDIRECT(Adrese!C$2),2,FALSE)</f>
        <v>5</v>
      </c>
      <c r="D6">
        <f ca="1">+VLOOKUP($A6,INDIRECT(Adrese!D$2),2,FALSE)</f>
        <v>3</v>
      </c>
      <c r="E6">
        <f ca="1">+VLOOKUP($A6,INDIRECT(Adrese!E$2),2,FALSE)</f>
        <v>3</v>
      </c>
      <c r="F6">
        <f ca="1">+VLOOKUP($A6,INDIRECT(Adrese!F$2),2,FALSE)</f>
        <v>5</v>
      </c>
      <c r="G6" s="7">
        <f t="shared" ca="1" si="0"/>
        <v>4</v>
      </c>
      <c r="H6" s="7">
        <f t="shared" ca="1" si="1"/>
        <v>1</v>
      </c>
      <c r="J6" s="4" t="s">
        <v>11</v>
      </c>
      <c r="K6">
        <f ca="1">+VLOOKUP($A6,INDIRECT(Adrese!B$2),3,FALSE)</f>
        <v>0</v>
      </c>
      <c r="L6">
        <f ca="1">+VLOOKUP($A6,INDIRECT(Adrese!C$2),3,FALSE)</f>
        <v>0</v>
      </c>
      <c r="M6">
        <f ca="1">+VLOOKUP($A6,INDIRECT(Adrese!D$2),3,FALSE)</f>
        <v>0</v>
      </c>
      <c r="N6">
        <f ca="1">+VLOOKUP($A6,INDIRECT(Adrese!E$2),3,FALSE)</f>
        <v>0</v>
      </c>
      <c r="O6">
        <f ca="1">+VLOOKUP($A6,INDIRECT(Adrese!F$2),3,FALSE)</f>
        <v>0</v>
      </c>
      <c r="P6">
        <f t="shared" ca="1" si="2"/>
        <v>0</v>
      </c>
      <c r="Q6" s="7">
        <f t="shared" ca="1" si="3"/>
        <v>0</v>
      </c>
      <c r="R6" s="7">
        <f t="shared" ca="1" si="4"/>
        <v>0</v>
      </c>
      <c r="T6" s="4" t="s">
        <v>11</v>
      </c>
      <c r="U6">
        <f ca="1">+VLOOKUP($T6,INDIRECT(Adrese!B$2),4,FALSE)</f>
        <v>7612</v>
      </c>
      <c r="V6">
        <f ca="1">+VLOOKUP($T6,INDIRECT(Adrese!C$2),4,FALSE)</f>
        <v>7562</v>
      </c>
      <c r="W6">
        <f ca="1">+VLOOKUP($T6,INDIRECT(Adrese!D$2),4,FALSE)</f>
        <v>7665</v>
      </c>
      <c r="X6">
        <f ca="1">+VLOOKUP($T6,INDIRECT(Adrese!E$2),4,FALSE)</f>
        <v>7705</v>
      </c>
      <c r="Y6">
        <f ca="1">+VLOOKUP($T6,INDIRECT(Adrese!F$2),4,FALSE)</f>
        <v>7516</v>
      </c>
      <c r="Z6">
        <f t="shared" ca="1" si="5"/>
        <v>38060</v>
      </c>
      <c r="AA6" s="7">
        <f t="shared" ca="1" si="6"/>
        <v>7612</v>
      </c>
      <c r="AB6" s="7">
        <f t="shared" ca="1" si="7"/>
        <v>76.115044505012278</v>
      </c>
      <c r="AD6" s="4" t="s">
        <v>11</v>
      </c>
      <c r="AE6">
        <f ca="1">+VLOOKUP($A6,INDIRECT(Adrese!B$2),5,FALSE)</f>
        <v>2421</v>
      </c>
      <c r="AF6">
        <f ca="1">+VLOOKUP($A6,INDIRECT(Adrese!C$2),5,FALSE)</f>
        <v>2387</v>
      </c>
      <c r="AG6">
        <f ca="1">+VLOOKUP($A6,INDIRECT(Adrese!D$2),5,FALSE)</f>
        <v>2434</v>
      </c>
      <c r="AH6">
        <f ca="1">+VLOOKUP($A6,INDIRECT(Adrese!E$2),5,FALSE)</f>
        <v>2455</v>
      </c>
      <c r="AI6">
        <f ca="1">+VLOOKUP($A6,INDIRECT(Adrese!F$2),5,FALSE)</f>
        <v>2373</v>
      </c>
      <c r="AJ6" s="7">
        <f t="shared" ca="1" si="8"/>
        <v>2414</v>
      </c>
      <c r="AK6" s="7">
        <f t="shared" ca="1" si="9"/>
        <v>33.689761055846034</v>
      </c>
      <c r="AM6" s="4" t="s">
        <v>11</v>
      </c>
      <c r="AN6" s="7">
        <f ca="1">+VLOOKUP($A6,INDIRECT(Adrese!B$2),6,FALSE)</f>
        <v>0.74033333333333329</v>
      </c>
      <c r="AO6" s="7">
        <f ca="1">+VLOOKUP($A6,INDIRECT(Adrese!C$2),6,FALSE)</f>
        <v>0.72899999999999998</v>
      </c>
      <c r="AP6" s="7">
        <f ca="1">+VLOOKUP($A6,INDIRECT(Adrese!D$2),6,FALSE)</f>
        <v>0.7446666666666667</v>
      </c>
      <c r="AQ6" s="7">
        <f ca="1">+VLOOKUP($A6,INDIRECT(Adrese!E$2),6,FALSE)</f>
        <v>0.75166666666666671</v>
      </c>
      <c r="AR6" s="7">
        <f ca="1">+VLOOKUP($A6,INDIRECT(Adrese!F$2),6,FALSE)</f>
        <v>0.72433333333333338</v>
      </c>
      <c r="AS6" s="7" t="str">
        <f t="shared" ca="1" si="10"/>
        <v>0.74 (0.01)</v>
      </c>
      <c r="AT6" s="7">
        <f t="shared" ca="1" si="11"/>
        <v>0.73799999999999999</v>
      </c>
      <c r="AU6" s="7">
        <f t="shared" ca="1" si="12"/>
        <v>1.1229920351948679E-2</v>
      </c>
      <c r="AW6" s="4" t="s">
        <v>11</v>
      </c>
      <c r="AX6" s="7">
        <f ca="1">+VLOOKUP($A6,INDIRECT(Adrese!B$2),7,FALSE)</f>
        <v>1</v>
      </c>
      <c r="AY6" s="7">
        <f ca="1">+VLOOKUP($A6,INDIRECT(Adrese!C$2),7,FALSE)</f>
        <v>1</v>
      </c>
      <c r="AZ6" s="7">
        <f ca="1">+VLOOKUP($A6,INDIRECT(Adrese!D$2),7,FALSE)</f>
        <v>1</v>
      </c>
      <c r="BA6" s="7">
        <f ca="1">+VLOOKUP($A6,INDIRECT(Adrese!E$2),7,FALSE)</f>
        <v>1</v>
      </c>
      <c r="BB6" s="7">
        <f ca="1">+VLOOKUP($A6,INDIRECT(Adrese!F$2),7,FALSE)</f>
        <v>1</v>
      </c>
      <c r="BC6" s="7" t="str">
        <f t="shared" ca="1" si="13"/>
        <v>1.00 (0.00)</v>
      </c>
      <c r="BD6">
        <f t="shared" ca="1" si="14"/>
        <v>1</v>
      </c>
      <c r="BE6" s="7">
        <f t="shared" ca="1" si="15"/>
        <v>0</v>
      </c>
      <c r="BG6" s="4" t="s">
        <v>11</v>
      </c>
      <c r="BH6" s="7">
        <f ca="1">+VLOOKUP($BG6,INDIRECT(Adrese!B$2),8,FALSE)</f>
        <v>0.30921498116418539</v>
      </c>
      <c r="BI6" s="7">
        <f ca="1">+VLOOKUP($BG6,INDIRECT(Adrese!C$2),8,FALSE)</f>
        <v>0.29894113681716389</v>
      </c>
      <c r="BJ6" s="7">
        <f ca="1">+VLOOKUP($BG6,INDIRECT(Adrese!D$2),8,FALSE)</f>
        <v>0.30887422298175349</v>
      </c>
      <c r="BK6" s="7">
        <f ca="1">+VLOOKUP($BG6,INDIRECT(Adrese!E$2),8,FALSE)</f>
        <v>0.310167493446248</v>
      </c>
      <c r="BL6" s="7">
        <f ca="1">+VLOOKUP($BG6,INDIRECT(Adrese!F$2),8,FALSE)</f>
        <v>0.30327734125256522</v>
      </c>
      <c r="BM6" s="7" t="str">
        <f t="shared" ca="1" si="16"/>
        <v>0.31 (0.00)</v>
      </c>
      <c r="BN6" s="7">
        <f t="shared" ca="1" si="17"/>
        <v>0.30609503513238323</v>
      </c>
      <c r="BO6" s="7">
        <f t="shared" ca="1" si="18"/>
        <v>4.8259850022164793E-3</v>
      </c>
      <c r="BQ6" s="4" t="s">
        <v>11</v>
      </c>
      <c r="BR6" s="7">
        <f ca="1">+VLOOKUP($BG6,INDIRECT(Adrese!B$2),9,FALSE)</f>
        <v>0.3108643745552026</v>
      </c>
      <c r="BS6" s="7">
        <f ca="1">+VLOOKUP($BG6,INDIRECT(Adrese!C$2),9,FALSE)</f>
        <v>0.31091869792914062</v>
      </c>
      <c r="BT6" s="7">
        <f ca="1">+VLOOKUP($BG6,INDIRECT(Adrese!D$2),9,FALSE)</f>
        <v>0.30774435822006019</v>
      </c>
      <c r="BU6" s="7">
        <f ca="1">+VLOOKUP($BG6,INDIRECT(Adrese!E$2),9,FALSE)</f>
        <v>0.30665779859067649</v>
      </c>
      <c r="BV6" s="7">
        <f ca="1">+VLOOKUP($BG6,INDIRECT(Adrese!F$2),9,FALSE)</f>
        <v>0.31264658988607158</v>
      </c>
      <c r="BW6" s="7" t="str">
        <f t="shared" ca="1" si="19"/>
        <v>0.31 (0.00)</v>
      </c>
      <c r="BX6" s="7">
        <f t="shared" ca="1" si="20"/>
        <v>0.3097663638362303</v>
      </c>
      <c r="BY6" s="7">
        <f t="shared" ca="1" si="21"/>
        <v>2.4789558334374542E-3</v>
      </c>
    </row>
    <row r="7" spans="1:84" x14ac:dyDescent="0.25">
      <c r="A7" s="4" t="s">
        <v>81</v>
      </c>
      <c r="B7">
        <f ca="1">+VLOOKUP($A7,INDIRECT(Adrese!B$2),2,FALSE)</f>
        <v>5</v>
      </c>
      <c r="C7">
        <f ca="1">+VLOOKUP($A7,INDIRECT(Adrese!C$2),2,FALSE)</f>
        <v>7</v>
      </c>
      <c r="D7">
        <f ca="1">+VLOOKUP($A7,INDIRECT(Adrese!D$2),2,FALSE)</f>
        <v>6</v>
      </c>
      <c r="E7">
        <f ca="1">+VLOOKUP($A7,INDIRECT(Adrese!E$2),2,FALSE)</f>
        <v>7</v>
      </c>
      <c r="F7">
        <f ca="1">+VLOOKUP($A7,INDIRECT(Adrese!F$2),2,FALSE)</f>
        <v>6</v>
      </c>
      <c r="G7" s="7">
        <f t="shared" ca="1" si="0"/>
        <v>6.2</v>
      </c>
      <c r="H7" s="7">
        <f t="shared" ca="1" si="1"/>
        <v>0.83666002653407723</v>
      </c>
      <c r="J7" s="4" t="s">
        <v>81</v>
      </c>
      <c r="K7">
        <f ca="1">+VLOOKUP($A7,INDIRECT(Adrese!B$2),3,FALSE)</f>
        <v>0</v>
      </c>
      <c r="L7">
        <f ca="1">+VLOOKUP($A7,INDIRECT(Adrese!C$2),3,FALSE)</f>
        <v>0</v>
      </c>
      <c r="M7">
        <f ca="1">+VLOOKUP($A7,INDIRECT(Adrese!D$2),3,FALSE)</f>
        <v>0</v>
      </c>
      <c r="N7">
        <f ca="1">+VLOOKUP($A7,INDIRECT(Adrese!E$2),3,FALSE)</f>
        <v>0</v>
      </c>
      <c r="O7">
        <f ca="1">+VLOOKUP($A7,INDIRECT(Adrese!F$2),3,FALSE)</f>
        <v>0</v>
      </c>
      <c r="P7">
        <f t="shared" ca="1" si="2"/>
        <v>0</v>
      </c>
      <c r="Q7" s="7">
        <f t="shared" ca="1" si="3"/>
        <v>0</v>
      </c>
      <c r="R7" s="7">
        <f t="shared" ca="1" si="4"/>
        <v>0</v>
      </c>
      <c r="T7" s="4" t="s">
        <v>81</v>
      </c>
      <c r="U7">
        <f ca="1">+VLOOKUP($T7,INDIRECT(Adrese!B$2),4,FALSE)</f>
        <v>7548</v>
      </c>
      <c r="V7">
        <f ca="1">+VLOOKUP($T7,INDIRECT(Adrese!C$2),4,FALSE)</f>
        <v>7530</v>
      </c>
      <c r="W7">
        <f ca="1">+VLOOKUP($T7,INDIRECT(Adrese!D$2),4,FALSE)</f>
        <v>7489</v>
      </c>
      <c r="X7">
        <f ca="1">+VLOOKUP($T7,INDIRECT(Adrese!E$2),4,FALSE)</f>
        <v>7476</v>
      </c>
      <c r="Y7">
        <f ca="1">+VLOOKUP($T7,INDIRECT(Adrese!F$2),4,FALSE)</f>
        <v>7507</v>
      </c>
      <c r="Z7">
        <f t="shared" ca="1" si="5"/>
        <v>37550</v>
      </c>
      <c r="AA7" s="7">
        <f t="shared" ca="1" si="6"/>
        <v>7510</v>
      </c>
      <c r="AB7" s="7">
        <f t="shared" ca="1" si="7"/>
        <v>29.368350311176826</v>
      </c>
      <c r="AD7" s="4" t="s">
        <v>81</v>
      </c>
      <c r="AE7">
        <f ca="1">+VLOOKUP($A7,INDIRECT(Adrese!B$2),5,FALSE)</f>
        <v>3185</v>
      </c>
      <c r="AF7">
        <f ca="1">+VLOOKUP($A7,INDIRECT(Adrese!C$2),5,FALSE)</f>
        <v>3183</v>
      </c>
      <c r="AG7">
        <f ca="1">+VLOOKUP($A7,INDIRECT(Adrese!D$2),5,FALSE)</f>
        <v>3171</v>
      </c>
      <c r="AH7">
        <f ca="1">+VLOOKUP($A7,INDIRECT(Adrese!E$2),5,FALSE)</f>
        <v>3192</v>
      </c>
      <c r="AI7">
        <f ca="1">+VLOOKUP($A7,INDIRECT(Adrese!F$2),5,FALSE)</f>
        <v>3193</v>
      </c>
      <c r="AJ7" s="7">
        <f t="shared" ca="1" si="8"/>
        <v>3184.8</v>
      </c>
      <c r="AK7" s="7">
        <f t="shared" ca="1" si="9"/>
        <v>8.8430763877736585</v>
      </c>
      <c r="AM7" s="4" t="s">
        <v>81</v>
      </c>
      <c r="AN7" s="7">
        <f ca="1">+VLOOKUP($A7,INDIRECT(Adrese!B$2),6,FALSE)</f>
        <v>0.995</v>
      </c>
      <c r="AO7" s="7">
        <f ca="1">+VLOOKUP($A7,INDIRECT(Adrese!C$2),6,FALSE)</f>
        <v>0.99433333333333329</v>
      </c>
      <c r="AP7" s="7">
        <f ca="1">+VLOOKUP($A7,INDIRECT(Adrese!D$2),6,FALSE)</f>
        <v>0.99033333333333329</v>
      </c>
      <c r="AQ7" s="7">
        <f ca="1">+VLOOKUP($A7,INDIRECT(Adrese!E$2),6,FALSE)</f>
        <v>0.99733333333333329</v>
      </c>
      <c r="AR7" s="7">
        <f ca="1">+VLOOKUP($A7,INDIRECT(Adrese!F$2),6,FALSE)</f>
        <v>0.9976666666666667</v>
      </c>
      <c r="AS7" s="7" t="str">
        <f t="shared" ca="1" si="10"/>
        <v>0.99 (0.00)</v>
      </c>
      <c r="AT7" s="7">
        <f t="shared" ca="1" si="11"/>
        <v>0.99493333333333334</v>
      </c>
      <c r="AU7" s="7">
        <f t="shared" ca="1" si="12"/>
        <v>2.947692129257906E-3</v>
      </c>
      <c r="AW7" s="4" t="s">
        <v>81</v>
      </c>
      <c r="AX7" s="7">
        <f ca="1">+VLOOKUP($A7,INDIRECT(Adrese!B$2),7,FALSE)</f>
        <v>1</v>
      </c>
      <c r="AY7" s="7">
        <f ca="1">+VLOOKUP($A7,INDIRECT(Adrese!C$2),7,FALSE)</f>
        <v>1</v>
      </c>
      <c r="AZ7" s="7">
        <f ca="1">+VLOOKUP($A7,INDIRECT(Adrese!D$2),7,FALSE)</f>
        <v>1</v>
      </c>
      <c r="BA7" s="7">
        <f ca="1">+VLOOKUP($A7,INDIRECT(Adrese!E$2),7,FALSE)</f>
        <v>1</v>
      </c>
      <c r="BB7" s="7">
        <f ca="1">+VLOOKUP($A7,INDIRECT(Adrese!F$2),7,FALSE)</f>
        <v>1</v>
      </c>
      <c r="BC7" s="7" t="str">
        <f t="shared" ca="1" si="13"/>
        <v>1.00 (0.00)</v>
      </c>
      <c r="BD7">
        <f t="shared" ca="1" si="14"/>
        <v>1</v>
      </c>
      <c r="BE7" s="7">
        <f t="shared" ca="1" si="15"/>
        <v>0</v>
      </c>
      <c r="BG7" s="4" t="s">
        <v>81</v>
      </c>
      <c r="BH7" s="7">
        <f ca="1">+VLOOKUP($BG7,INDIRECT(Adrese!B$2),8,FALSE)</f>
        <v>0.36303460195207699</v>
      </c>
      <c r="BI7" s="7">
        <f ca="1">+VLOOKUP($BG7,INDIRECT(Adrese!C$2),8,FALSE)</f>
        <v>0.35811078473929842</v>
      </c>
      <c r="BJ7" s="7">
        <f ca="1">+VLOOKUP($BG7,INDIRECT(Adrese!D$2),8,FALSE)</f>
        <v>0.36058179167525001</v>
      </c>
      <c r="BK7" s="7">
        <f ca="1">+VLOOKUP($BG7,INDIRECT(Adrese!E$2),8,FALSE)</f>
        <v>0.36354842886380401</v>
      </c>
      <c r="BL7" s="7">
        <f ca="1">+VLOOKUP($BG7,INDIRECT(Adrese!F$2),8,FALSE)</f>
        <v>0.36137336268682452</v>
      </c>
      <c r="BM7" s="7" t="str">
        <f t="shared" ca="1" si="16"/>
        <v>0.36 (0.00)</v>
      </c>
      <c r="BN7" s="7">
        <f t="shared" ca="1" si="17"/>
        <v>0.36132979398345078</v>
      </c>
      <c r="BO7" s="7">
        <f t="shared" ca="1" si="18"/>
        <v>2.1651868938464131E-3</v>
      </c>
      <c r="BQ7" s="4" t="s">
        <v>81</v>
      </c>
      <c r="BR7" s="7">
        <f ca="1">+VLOOKUP($BG7,INDIRECT(Adrese!B$2),9,FALSE)</f>
        <v>0.26656198431595057</v>
      </c>
      <c r="BS7" s="7">
        <f ca="1">+VLOOKUP($BG7,INDIRECT(Adrese!C$2),9,FALSE)</f>
        <v>0.2778621893851585</v>
      </c>
      <c r="BT7" s="7">
        <f ca="1">+VLOOKUP($BG7,INDIRECT(Adrese!D$2),9,FALSE)</f>
        <v>0.26631817359831073</v>
      </c>
      <c r="BU7" s="7">
        <f ca="1">+VLOOKUP($BG7,INDIRECT(Adrese!E$2),9,FALSE)</f>
        <v>0.2646727040167382</v>
      </c>
      <c r="BV7" s="7">
        <f ca="1">+VLOOKUP($BG7,INDIRECT(Adrese!F$2),9,FALSE)</f>
        <v>0.26287064484482281</v>
      </c>
      <c r="BW7" s="7" t="str">
        <f t="shared" ca="1" si="19"/>
        <v>0.27 (0.01)</v>
      </c>
      <c r="BX7" s="7">
        <f t="shared" ca="1" si="20"/>
        <v>0.26765713923219614</v>
      </c>
      <c r="BY7" s="7">
        <f t="shared" ca="1" si="21"/>
        <v>5.8939083798317119E-3</v>
      </c>
    </row>
    <row r="8" spans="1:84" x14ac:dyDescent="0.25">
      <c r="A8" s="4" t="s">
        <v>82</v>
      </c>
      <c r="B8">
        <f ca="1">+VLOOKUP($A8,INDIRECT(Adrese!B$2),2,FALSE)</f>
        <v>6</v>
      </c>
      <c r="C8">
        <f ca="1">+VLOOKUP($A8,INDIRECT(Adrese!C$2),2,FALSE)</f>
        <v>6</v>
      </c>
      <c r="D8">
        <f ca="1">+VLOOKUP($A8,INDIRECT(Adrese!D$2),2,FALSE)</f>
        <v>5</v>
      </c>
      <c r="E8">
        <f ca="1">+VLOOKUP($A8,INDIRECT(Adrese!E$2),2,FALSE)</f>
        <v>6</v>
      </c>
      <c r="F8">
        <f ca="1">+VLOOKUP($A8,INDIRECT(Adrese!F$2),2,FALSE)</f>
        <v>7</v>
      </c>
      <c r="G8" s="7">
        <f t="shared" ca="1" si="0"/>
        <v>6</v>
      </c>
      <c r="H8" s="7">
        <f t="shared" ca="1" si="1"/>
        <v>0.70710678118654757</v>
      </c>
      <c r="J8" s="4" t="s">
        <v>82</v>
      </c>
      <c r="K8">
        <f ca="1">+VLOOKUP($A8,INDIRECT(Adrese!B$2),3,FALSE)</f>
        <v>11</v>
      </c>
      <c r="L8">
        <f ca="1">+VLOOKUP($A8,INDIRECT(Adrese!C$2),3,FALSE)</f>
        <v>11</v>
      </c>
      <c r="M8">
        <f ca="1">+VLOOKUP($A8,INDIRECT(Adrese!D$2),3,FALSE)</f>
        <v>12</v>
      </c>
      <c r="N8">
        <f ca="1">+VLOOKUP($A8,INDIRECT(Adrese!E$2),3,FALSE)</f>
        <v>12</v>
      </c>
      <c r="O8">
        <f ca="1">+VLOOKUP($A8,INDIRECT(Adrese!F$2),3,FALSE)</f>
        <v>11</v>
      </c>
      <c r="P8">
        <f t="shared" ca="1" si="2"/>
        <v>57</v>
      </c>
      <c r="Q8" s="7">
        <f t="shared" ca="1" si="3"/>
        <v>11.4</v>
      </c>
      <c r="R8" s="7">
        <f t="shared" ca="1" si="4"/>
        <v>0.54772255750516619</v>
      </c>
      <c r="T8" s="4" t="s">
        <v>82</v>
      </c>
      <c r="U8">
        <f ca="1">+VLOOKUP($T8,INDIRECT(Adrese!B$2),4,FALSE)</f>
        <v>7502</v>
      </c>
      <c r="V8">
        <f ca="1">+VLOOKUP($T8,INDIRECT(Adrese!C$2),4,FALSE)</f>
        <v>7552</v>
      </c>
      <c r="W8">
        <f ca="1">+VLOOKUP($T8,INDIRECT(Adrese!D$2),4,FALSE)</f>
        <v>7520</v>
      </c>
      <c r="X8">
        <f ca="1">+VLOOKUP($T8,INDIRECT(Adrese!E$2),4,FALSE)</f>
        <v>7510</v>
      </c>
      <c r="Y8">
        <f ca="1">+VLOOKUP($T8,INDIRECT(Adrese!F$2),4,FALSE)</f>
        <v>7474</v>
      </c>
      <c r="Z8">
        <f t="shared" ca="1" si="5"/>
        <v>37558</v>
      </c>
      <c r="AA8" s="7">
        <f t="shared" ca="1" si="6"/>
        <v>7511.6</v>
      </c>
      <c r="AB8" s="7">
        <f t="shared" ca="1" si="7"/>
        <v>28.333725487482226</v>
      </c>
      <c r="AD8" s="4" t="s">
        <v>82</v>
      </c>
      <c r="AE8">
        <f ca="1">+VLOOKUP($A8,INDIRECT(Adrese!B$2),5,FALSE)</f>
        <v>2127</v>
      </c>
      <c r="AF8">
        <f ca="1">+VLOOKUP($A8,INDIRECT(Adrese!C$2),5,FALSE)</f>
        <v>2067</v>
      </c>
      <c r="AG8">
        <f ca="1">+VLOOKUP($A8,INDIRECT(Adrese!D$2),5,FALSE)</f>
        <v>2069</v>
      </c>
      <c r="AH8">
        <f ca="1">+VLOOKUP($A8,INDIRECT(Adrese!E$2),5,FALSE)</f>
        <v>2069</v>
      </c>
      <c r="AI8">
        <f ca="1">+VLOOKUP($A8,INDIRECT(Adrese!F$2),5,FALSE)</f>
        <v>2053</v>
      </c>
      <c r="AJ8" s="7">
        <f t="shared" ca="1" si="8"/>
        <v>2077</v>
      </c>
      <c r="AK8" s="7">
        <f t="shared" ca="1" si="9"/>
        <v>28.740215726399828</v>
      </c>
      <c r="AM8" s="4" t="s">
        <v>82</v>
      </c>
      <c r="AN8" s="7">
        <f ca="1">+VLOOKUP($A8,INDIRECT(Adrese!B$2),6,FALSE)</f>
        <v>0.64300000000000002</v>
      </c>
      <c r="AO8" s="7">
        <f ca="1">+VLOOKUP($A8,INDIRECT(Adrese!C$2),6,FALSE)</f>
        <v>0.623</v>
      </c>
      <c r="AP8" s="7">
        <f ca="1">+VLOOKUP($A8,INDIRECT(Adrese!D$2),6,FALSE)</f>
        <v>0.6236666666666667</v>
      </c>
      <c r="AQ8" s="7">
        <f ca="1">+VLOOKUP($A8,INDIRECT(Adrese!E$2),6,FALSE)</f>
        <v>0.6236666666666667</v>
      </c>
      <c r="AR8" s="7">
        <f ca="1">+VLOOKUP($A8,INDIRECT(Adrese!F$2),6,FALSE)</f>
        <v>0.61833333333333329</v>
      </c>
      <c r="AS8" s="7" t="str">
        <f t="shared" ca="1" si="10"/>
        <v>0.63 (0.01)</v>
      </c>
      <c r="AT8" s="7">
        <f t="shared" ca="1" si="11"/>
        <v>0.62633333333333341</v>
      </c>
      <c r="AU8" s="7">
        <f t="shared" ca="1" si="12"/>
        <v>9.5800719087999545E-3</v>
      </c>
      <c r="AW8" s="4" t="s">
        <v>82</v>
      </c>
      <c r="AX8" s="7">
        <f ca="1">+VLOOKUP($A8,INDIRECT(Adrese!B$2),7,FALSE)</f>
        <v>0.26666666666666672</v>
      </c>
      <c r="AY8" s="7">
        <f ca="1">+VLOOKUP($A8,INDIRECT(Adrese!C$2),7,FALSE)</f>
        <v>0.26666666666666672</v>
      </c>
      <c r="AZ8" s="7">
        <f ca="1">+VLOOKUP($A8,INDIRECT(Adrese!D$2),7,FALSE)</f>
        <v>0.2</v>
      </c>
      <c r="BA8" s="7">
        <f ca="1">+VLOOKUP($A8,INDIRECT(Adrese!E$2),7,FALSE)</f>
        <v>0.2</v>
      </c>
      <c r="BB8" s="7">
        <f ca="1">+VLOOKUP($A8,INDIRECT(Adrese!F$2),7,FALSE)</f>
        <v>0.26666666666666672</v>
      </c>
      <c r="BC8" s="7" t="str">
        <f t="shared" ca="1" si="13"/>
        <v>0.24 (0.04)</v>
      </c>
      <c r="BD8">
        <f t="shared" ca="1" si="14"/>
        <v>0.24000000000000005</v>
      </c>
      <c r="BE8" s="7">
        <f t="shared" ca="1" si="15"/>
        <v>3.6514837167011156E-2</v>
      </c>
      <c r="BG8" s="4" t="s">
        <v>82</v>
      </c>
      <c r="BH8" s="7">
        <f ca="1">+VLOOKUP($BG8,INDIRECT(Adrese!B$2),8,FALSE)</f>
        <v>0.29042235220254142</v>
      </c>
      <c r="BI8" s="7">
        <f ca="1">+VLOOKUP($BG8,INDIRECT(Adrese!C$2),8,FALSE)</f>
        <v>0.27844684671344322</v>
      </c>
      <c r="BJ8" s="7">
        <f ca="1">+VLOOKUP($BG8,INDIRECT(Adrese!D$2),8,FALSE)</f>
        <v>0.286434097499489</v>
      </c>
      <c r="BK8" s="7">
        <f ca="1">+VLOOKUP($BG8,INDIRECT(Adrese!E$2),8,FALSE)</f>
        <v>0.28576315766753241</v>
      </c>
      <c r="BL8" s="7">
        <f ca="1">+VLOOKUP($BG8,INDIRECT(Adrese!F$2),8,FALSE)</f>
        <v>0.283718341889311</v>
      </c>
      <c r="BM8" s="7" t="str">
        <f t="shared" ca="1" si="16"/>
        <v>0.28 (0.00)</v>
      </c>
      <c r="BN8" s="7">
        <f t="shared" ca="1" si="17"/>
        <v>0.2849569591944634</v>
      </c>
      <c r="BO8" s="7">
        <f t="shared" ca="1" si="18"/>
        <v>4.3765897576497443E-3</v>
      </c>
      <c r="BQ8" s="4" t="s">
        <v>82</v>
      </c>
      <c r="BR8" s="7">
        <f ca="1">+VLOOKUP($BG8,INDIRECT(Adrese!B$2),9,FALSE)</f>
        <v>0.34804962562467012</v>
      </c>
      <c r="BS8" s="7">
        <f ca="1">+VLOOKUP($BG8,INDIRECT(Adrese!C$2),9,FALSE)</f>
        <v>0.34912123666462341</v>
      </c>
      <c r="BT8" s="7">
        <f ca="1">+VLOOKUP($BG8,INDIRECT(Adrese!D$2),9,FALSE)</f>
        <v>0.3503644245106553</v>
      </c>
      <c r="BU8" s="7">
        <f ca="1">+VLOOKUP($BG8,INDIRECT(Adrese!E$2),9,FALSE)</f>
        <v>0.34707644387439862</v>
      </c>
      <c r="BV8" s="7">
        <f ca="1">+VLOOKUP($BG8,INDIRECT(Adrese!F$2),9,FALSE)</f>
        <v>0.3491097679040488</v>
      </c>
      <c r="BW8" s="7" t="str">
        <f t="shared" ca="1" si="19"/>
        <v>0.35 (0.00)</v>
      </c>
      <c r="BX8" s="7">
        <f t="shared" ca="1" si="20"/>
        <v>0.34874429971567922</v>
      </c>
      <c r="BY8" s="7">
        <f t="shared" ca="1" si="21"/>
        <v>1.2414475433439509E-3</v>
      </c>
    </row>
    <row r="9" spans="1:84" x14ac:dyDescent="0.25">
      <c r="A9" s="4" t="s">
        <v>83</v>
      </c>
      <c r="B9">
        <f ca="1">+VLOOKUP($A9,INDIRECT(Adrese!B$2),2,FALSE)</f>
        <v>7</v>
      </c>
      <c r="C9">
        <f ca="1">+VLOOKUP($A9,INDIRECT(Adrese!C$2),2,FALSE)</f>
        <v>4</v>
      </c>
      <c r="D9">
        <f ca="1">+VLOOKUP($A9,INDIRECT(Adrese!D$2),2,FALSE)</f>
        <v>7</v>
      </c>
      <c r="E9">
        <f ca="1">+VLOOKUP($A9,INDIRECT(Adrese!E$2),2,FALSE)</f>
        <v>5</v>
      </c>
      <c r="F9">
        <f ca="1">+VLOOKUP($A9,INDIRECT(Adrese!F$2),2,FALSE)</f>
        <v>4</v>
      </c>
      <c r="G9" s="7">
        <f t="shared" ca="1" si="0"/>
        <v>5.4</v>
      </c>
      <c r="H9" s="7">
        <f t="shared" ca="1" si="1"/>
        <v>1.5165750888103091</v>
      </c>
      <c r="J9" s="4" t="s">
        <v>83</v>
      </c>
      <c r="K9">
        <f ca="1">+VLOOKUP($A9,INDIRECT(Adrese!B$2),3,FALSE)</f>
        <v>3</v>
      </c>
      <c r="L9">
        <f ca="1">+VLOOKUP($A9,INDIRECT(Adrese!C$2),3,FALSE)</f>
        <v>3</v>
      </c>
      <c r="M9">
        <f ca="1">+VLOOKUP($A9,INDIRECT(Adrese!D$2),3,FALSE)</f>
        <v>3</v>
      </c>
      <c r="N9">
        <f ca="1">+VLOOKUP($A9,INDIRECT(Adrese!E$2),3,FALSE)</f>
        <v>3</v>
      </c>
      <c r="O9">
        <f ca="1">+VLOOKUP($A9,INDIRECT(Adrese!F$2),3,FALSE)</f>
        <v>3</v>
      </c>
      <c r="P9">
        <f t="shared" ca="1" si="2"/>
        <v>15</v>
      </c>
      <c r="Q9" s="7">
        <f t="shared" ca="1" si="3"/>
        <v>3</v>
      </c>
      <c r="R9" s="7">
        <f t="shared" ca="1" si="4"/>
        <v>0</v>
      </c>
      <c r="T9" s="4" t="s">
        <v>83</v>
      </c>
      <c r="U9">
        <f ca="1">+VLOOKUP($T9,INDIRECT(Adrese!B$2),4,FALSE)</f>
        <v>7432</v>
      </c>
      <c r="V9">
        <f ca="1">+VLOOKUP($T9,INDIRECT(Adrese!C$2),4,FALSE)</f>
        <v>7710</v>
      </c>
      <c r="W9">
        <f ca="1">+VLOOKUP($T9,INDIRECT(Adrese!D$2),4,FALSE)</f>
        <v>7457</v>
      </c>
      <c r="X9">
        <f ca="1">+VLOOKUP($T9,INDIRECT(Adrese!E$2),4,FALSE)</f>
        <v>7586</v>
      </c>
      <c r="Y9">
        <f ca="1">+VLOOKUP($T9,INDIRECT(Adrese!F$2),4,FALSE)</f>
        <v>7640</v>
      </c>
      <c r="Z9">
        <f t="shared" ca="1" si="5"/>
        <v>37825</v>
      </c>
      <c r="AA9" s="7">
        <f t="shared" ca="1" si="6"/>
        <v>7565</v>
      </c>
      <c r="AB9" s="7">
        <f t="shared" ca="1" si="7"/>
        <v>118.78973019583806</v>
      </c>
      <c r="AD9" s="4" t="s">
        <v>83</v>
      </c>
      <c r="AE9">
        <f ca="1">+VLOOKUP($A9,INDIRECT(Adrese!B$2),5,FALSE)</f>
        <v>2086</v>
      </c>
      <c r="AF9">
        <f ca="1">+VLOOKUP($A9,INDIRECT(Adrese!C$2),5,FALSE)</f>
        <v>2148</v>
      </c>
      <c r="AG9">
        <f ca="1">+VLOOKUP($A9,INDIRECT(Adrese!D$2),5,FALSE)</f>
        <v>2086</v>
      </c>
      <c r="AH9">
        <f ca="1">+VLOOKUP($A9,INDIRECT(Adrese!E$2),5,FALSE)</f>
        <v>2094</v>
      </c>
      <c r="AI9">
        <f ca="1">+VLOOKUP($A9,INDIRECT(Adrese!F$2),5,FALSE)</f>
        <v>2110</v>
      </c>
      <c r="AJ9" s="7">
        <f t="shared" ca="1" si="8"/>
        <v>2104.8000000000002</v>
      </c>
      <c r="AK9" s="7">
        <f t="shared" ca="1" si="9"/>
        <v>26.061465806819079</v>
      </c>
      <c r="AM9" s="4" t="s">
        <v>83</v>
      </c>
      <c r="AN9" s="7">
        <f ca="1">+VLOOKUP($A9,INDIRECT(Adrese!B$2),6,FALSE)</f>
        <v>0.62866666666666671</v>
      </c>
      <c r="AO9" s="7">
        <f ca="1">+VLOOKUP($A9,INDIRECT(Adrese!C$2),6,FALSE)</f>
        <v>0.64933333333333332</v>
      </c>
      <c r="AP9" s="7">
        <f ca="1">+VLOOKUP($A9,INDIRECT(Adrese!D$2),6,FALSE)</f>
        <v>0.62866666666666671</v>
      </c>
      <c r="AQ9" s="7">
        <f ca="1">+VLOOKUP($A9,INDIRECT(Adrese!E$2),6,FALSE)</f>
        <v>0.6313333333333333</v>
      </c>
      <c r="AR9" s="7">
        <f ca="1">+VLOOKUP($A9,INDIRECT(Adrese!F$2),6,FALSE)</f>
        <v>0.63666666666666671</v>
      </c>
      <c r="AS9" s="7" t="str">
        <f t="shared" ca="1" si="10"/>
        <v>0.63 (0.01)</v>
      </c>
      <c r="AT9" s="7">
        <f t="shared" ca="1" si="11"/>
        <v>0.63493333333333335</v>
      </c>
      <c r="AU9" s="7">
        <f t="shared" ca="1" si="12"/>
        <v>8.687155268939678E-3</v>
      </c>
      <c r="AW9" s="4" t="s">
        <v>83</v>
      </c>
      <c r="AX9" s="7">
        <f ca="1">+VLOOKUP($A9,INDIRECT(Adrese!B$2),7,FALSE)</f>
        <v>0.8</v>
      </c>
      <c r="AY9" s="7">
        <f ca="1">+VLOOKUP($A9,INDIRECT(Adrese!C$2),7,FALSE)</f>
        <v>0.8</v>
      </c>
      <c r="AZ9" s="7">
        <f ca="1">+VLOOKUP($A9,INDIRECT(Adrese!D$2),7,FALSE)</f>
        <v>0.8</v>
      </c>
      <c r="BA9" s="7">
        <f ca="1">+VLOOKUP($A9,INDIRECT(Adrese!E$2),7,FALSE)</f>
        <v>0.8</v>
      </c>
      <c r="BB9" s="7">
        <f ca="1">+VLOOKUP($A9,INDIRECT(Adrese!F$2),7,FALSE)</f>
        <v>0.8</v>
      </c>
      <c r="BC9" s="7" t="str">
        <f t="shared" ca="1" si="13"/>
        <v>0.80 (0.00)</v>
      </c>
      <c r="BD9">
        <f t="shared" ca="1" si="14"/>
        <v>0.8</v>
      </c>
      <c r="BE9" s="7">
        <f t="shared" ca="1" si="15"/>
        <v>0</v>
      </c>
      <c r="BG9" s="4" t="s">
        <v>83</v>
      </c>
      <c r="BH9" s="7">
        <f ca="1">+VLOOKUP($BG9,INDIRECT(Adrese!B$2),8,FALSE)</f>
        <v>0.28469909480095729</v>
      </c>
      <c r="BI9" s="7">
        <f ca="1">+VLOOKUP($BG9,INDIRECT(Adrese!C$2),8,FALSE)</f>
        <v>0.28227673509254048</v>
      </c>
      <c r="BJ9" s="7">
        <f ca="1">+VLOOKUP($BG9,INDIRECT(Adrese!D$2),8,FALSE)</f>
        <v>0.28549511903349561</v>
      </c>
      <c r="BK9" s="7">
        <f ca="1">+VLOOKUP($BG9,INDIRECT(Adrese!E$2),8,FALSE)</f>
        <v>0.28565708180784688</v>
      </c>
      <c r="BL9" s="7">
        <f ca="1">+VLOOKUP($BG9,INDIRECT(Adrese!F$2),8,FALSE)</f>
        <v>0.28599894808130272</v>
      </c>
      <c r="BM9" s="7" t="str">
        <f t="shared" ca="1" si="16"/>
        <v>0.28 (0.00)</v>
      </c>
      <c r="BN9" s="7">
        <f t="shared" ca="1" si="17"/>
        <v>0.28482539576322857</v>
      </c>
      <c r="BO9" s="7">
        <f t="shared" ca="1" si="18"/>
        <v>1.5024213062744898E-3</v>
      </c>
      <c r="BQ9" s="4" t="s">
        <v>83</v>
      </c>
      <c r="BR9" s="7">
        <f ca="1">+VLOOKUP($BG9,INDIRECT(Adrese!B$2),9,FALSE)</f>
        <v>0.33737460742629632</v>
      </c>
      <c r="BS9" s="7">
        <f ca="1">+VLOOKUP($BG9,INDIRECT(Adrese!C$2),9,FALSE)</f>
        <v>0.33679999867937549</v>
      </c>
      <c r="BT9" s="7">
        <f ca="1">+VLOOKUP($BG9,INDIRECT(Adrese!D$2),9,FALSE)</f>
        <v>0.33646117018192051</v>
      </c>
      <c r="BU9" s="7">
        <f ca="1">+VLOOKUP($BG9,INDIRECT(Adrese!E$2),9,FALSE)</f>
        <v>0.33744810207980719</v>
      </c>
      <c r="BV9" s="7">
        <f ca="1">+VLOOKUP($BG9,INDIRECT(Adrese!F$2),9,FALSE)</f>
        <v>0.33713448375988769</v>
      </c>
      <c r="BW9" s="7" t="str">
        <f t="shared" ca="1" si="19"/>
        <v>0.34 (0.00)</v>
      </c>
      <c r="BX9" s="7">
        <f t="shared" ca="1" si="20"/>
        <v>0.33704367242545746</v>
      </c>
      <c r="BY9" s="7">
        <f t="shared" ca="1" si="21"/>
        <v>4.1231473925081198E-4</v>
      </c>
    </row>
    <row r="10" spans="1:84" x14ac:dyDescent="0.25">
      <c r="A10" s="4" t="s">
        <v>15</v>
      </c>
      <c r="B10">
        <f ca="1">+VLOOKUP($A10,INDIRECT(Adrese!B$2),2,FALSE)</f>
        <v>8</v>
      </c>
      <c r="C10">
        <f ca="1">+VLOOKUP($A10,INDIRECT(Adrese!C$2),2,FALSE)</f>
        <v>8</v>
      </c>
      <c r="D10">
        <f ca="1">+VLOOKUP($A10,INDIRECT(Adrese!D$2),2,FALSE)</f>
        <v>9</v>
      </c>
      <c r="E10">
        <f ca="1">+VLOOKUP($A10,INDIRECT(Adrese!E$2),2,FALSE)</f>
        <v>8</v>
      </c>
      <c r="F10">
        <f ca="1">+VLOOKUP($A10,INDIRECT(Adrese!F$2),2,FALSE)</f>
        <v>9</v>
      </c>
      <c r="G10" s="7">
        <f t="shared" ca="1" si="0"/>
        <v>8.4</v>
      </c>
      <c r="H10" s="7">
        <f t="shared" ca="1" si="1"/>
        <v>0.54772255750516607</v>
      </c>
      <c r="J10" s="4" t="s">
        <v>15</v>
      </c>
      <c r="K10">
        <f ca="1">+VLOOKUP($A10,INDIRECT(Adrese!B$2),3,FALSE)</f>
        <v>5</v>
      </c>
      <c r="L10">
        <f ca="1">+VLOOKUP($A10,INDIRECT(Adrese!C$2),3,FALSE)</f>
        <v>5</v>
      </c>
      <c r="M10">
        <f ca="1">+VLOOKUP($A10,INDIRECT(Adrese!D$2),3,FALSE)</f>
        <v>5</v>
      </c>
      <c r="N10">
        <f ca="1">+VLOOKUP($A10,INDIRECT(Adrese!E$2),3,FALSE)</f>
        <v>5</v>
      </c>
      <c r="O10">
        <f ca="1">+VLOOKUP($A10,INDIRECT(Adrese!F$2),3,FALSE)</f>
        <v>5</v>
      </c>
      <c r="P10">
        <f t="shared" ca="1" si="2"/>
        <v>25</v>
      </c>
      <c r="Q10" s="7">
        <f t="shared" ca="1" si="3"/>
        <v>5</v>
      </c>
      <c r="R10" s="7">
        <f t="shared" ca="1" si="4"/>
        <v>0</v>
      </c>
      <c r="T10" s="4" t="s">
        <v>15</v>
      </c>
      <c r="U10">
        <f ca="1">+VLOOKUP($T10,INDIRECT(Adrese!B$2),4,FALSE)</f>
        <v>7339</v>
      </c>
      <c r="V10">
        <f ca="1">+VLOOKUP($T10,INDIRECT(Adrese!C$2),4,FALSE)</f>
        <v>7421</v>
      </c>
      <c r="W10">
        <f ca="1">+VLOOKUP($T10,INDIRECT(Adrese!D$2),4,FALSE)</f>
        <v>7295</v>
      </c>
      <c r="X10">
        <f ca="1">+VLOOKUP($T10,INDIRECT(Adrese!E$2),4,FALSE)</f>
        <v>7393</v>
      </c>
      <c r="Y10">
        <f ca="1">+VLOOKUP($T10,INDIRECT(Adrese!F$2),4,FALSE)</f>
        <v>7189</v>
      </c>
      <c r="Z10">
        <f t="shared" ca="1" si="5"/>
        <v>36637</v>
      </c>
      <c r="AA10" s="7">
        <f t="shared" ca="1" si="6"/>
        <v>7327.4</v>
      </c>
      <c r="AB10" s="7">
        <f t="shared" ca="1" si="7"/>
        <v>91.382711712883633</v>
      </c>
      <c r="AD10" s="4" t="s">
        <v>15</v>
      </c>
      <c r="AE10">
        <f ca="1">+VLOOKUP($A10,INDIRECT(Adrese!B$2),5,FALSE)</f>
        <v>1905</v>
      </c>
      <c r="AF10">
        <f ca="1">+VLOOKUP($A10,INDIRECT(Adrese!C$2),5,FALSE)</f>
        <v>1968</v>
      </c>
      <c r="AG10">
        <f ca="1">+VLOOKUP($A10,INDIRECT(Adrese!D$2),5,FALSE)</f>
        <v>1899</v>
      </c>
      <c r="AH10">
        <f ca="1">+VLOOKUP($A10,INDIRECT(Adrese!E$2),5,FALSE)</f>
        <v>1918</v>
      </c>
      <c r="AI10">
        <f ca="1">+VLOOKUP($A10,INDIRECT(Adrese!F$2),5,FALSE)</f>
        <v>1874</v>
      </c>
      <c r="AJ10" s="7">
        <f t="shared" ca="1" si="8"/>
        <v>1912.8</v>
      </c>
      <c r="AK10" s="7">
        <f t="shared" ca="1" si="9"/>
        <v>34.751978360950901</v>
      </c>
      <c r="AM10" s="4" t="s">
        <v>15</v>
      </c>
      <c r="AN10" s="7">
        <f ca="1">+VLOOKUP($A10,INDIRECT(Adrese!B$2),6,FALSE)</f>
        <v>0.56833333333333336</v>
      </c>
      <c r="AO10" s="7">
        <f ca="1">+VLOOKUP($A10,INDIRECT(Adrese!C$2),6,FALSE)</f>
        <v>0.58933333333333338</v>
      </c>
      <c r="AP10" s="7">
        <f ca="1">+VLOOKUP($A10,INDIRECT(Adrese!D$2),6,FALSE)</f>
        <v>0.56633333333333336</v>
      </c>
      <c r="AQ10" s="7">
        <f ca="1">+VLOOKUP($A10,INDIRECT(Adrese!E$2),6,FALSE)</f>
        <v>0.57266666666666666</v>
      </c>
      <c r="AR10" s="7">
        <f ca="1">+VLOOKUP($A10,INDIRECT(Adrese!F$2),6,FALSE)</f>
        <v>0.55800000000000005</v>
      </c>
      <c r="AS10" s="7" t="str">
        <f t="shared" ca="1" si="10"/>
        <v>0.57 (0.01)</v>
      </c>
      <c r="AT10" s="7">
        <f t="shared" ca="1" si="11"/>
        <v>0.57093333333333329</v>
      </c>
      <c r="AU10" s="7">
        <f t="shared" ca="1" si="12"/>
        <v>1.1583992786983634E-2</v>
      </c>
      <c r="AW10" s="4" t="s">
        <v>15</v>
      </c>
      <c r="AX10" s="7">
        <f ca="1">+VLOOKUP($A10,INDIRECT(Adrese!B$2),7,FALSE)</f>
        <v>0.66666666666666663</v>
      </c>
      <c r="AY10" s="7">
        <f ca="1">+VLOOKUP($A10,INDIRECT(Adrese!C$2),7,FALSE)</f>
        <v>0.66666666666666663</v>
      </c>
      <c r="AZ10" s="7">
        <f ca="1">+VLOOKUP($A10,INDIRECT(Adrese!D$2),7,FALSE)</f>
        <v>0.66666666666666663</v>
      </c>
      <c r="BA10" s="7">
        <f ca="1">+VLOOKUP($A10,INDIRECT(Adrese!E$2),7,FALSE)</f>
        <v>0.66666666666666663</v>
      </c>
      <c r="BB10" s="7">
        <f ca="1">+VLOOKUP($A10,INDIRECT(Adrese!F$2),7,FALSE)</f>
        <v>0.66666666666666663</v>
      </c>
      <c r="BC10" s="7" t="str">
        <f t="shared" ca="1" si="13"/>
        <v>0.67 (0.00)</v>
      </c>
      <c r="BD10">
        <f t="shared" ca="1" si="14"/>
        <v>0.66666666666666663</v>
      </c>
      <c r="BE10" s="7">
        <f t="shared" ca="1" si="15"/>
        <v>0</v>
      </c>
      <c r="BG10" s="4" t="s">
        <v>15</v>
      </c>
      <c r="BH10" s="7">
        <f ca="1">+VLOOKUP($BG10,INDIRECT(Adrese!B$2),8,FALSE)</f>
        <v>0.26976603402591998</v>
      </c>
      <c r="BI10" s="7">
        <f ca="1">+VLOOKUP($BG10,INDIRECT(Adrese!C$2),8,FALSE)</f>
        <v>0.26680384291588782</v>
      </c>
      <c r="BJ10" s="7">
        <f ca="1">+VLOOKUP($BG10,INDIRECT(Adrese!D$2),8,FALSE)</f>
        <v>0.2714309506553787</v>
      </c>
      <c r="BK10" s="7">
        <f ca="1">+VLOOKUP($BG10,INDIRECT(Adrese!E$2),8,FALSE)</f>
        <v>0.2708562503406497</v>
      </c>
      <c r="BL10" s="7">
        <f ca="1">+VLOOKUP($BG10,INDIRECT(Adrese!F$2),8,FALSE)</f>
        <v>0.26797261675032041</v>
      </c>
      <c r="BM10" s="7" t="str">
        <f t="shared" ca="1" si="16"/>
        <v>0.27 (0.00)</v>
      </c>
      <c r="BN10" s="7">
        <f t="shared" ca="1" si="17"/>
        <v>0.26936593893763133</v>
      </c>
      <c r="BO10" s="7">
        <f t="shared" ca="1" si="18"/>
        <v>1.9462181464548103E-3</v>
      </c>
      <c r="BQ10" s="4" t="s">
        <v>15</v>
      </c>
      <c r="BR10" s="7">
        <f ca="1">+VLOOKUP($BG10,INDIRECT(Adrese!B$2),9,FALSE)</f>
        <v>0.34026810828455412</v>
      </c>
      <c r="BS10" s="7">
        <f ca="1">+VLOOKUP($BG10,INDIRECT(Adrese!C$2),9,FALSE)</f>
        <v>0.33444175757808592</v>
      </c>
      <c r="BT10" s="7">
        <f ca="1">+VLOOKUP($BG10,INDIRECT(Adrese!D$2),9,FALSE)</f>
        <v>0.34339321358754649</v>
      </c>
      <c r="BU10" s="7">
        <f ca="1">+VLOOKUP($BG10,INDIRECT(Adrese!E$2),9,FALSE)</f>
        <v>0.3387315785949675</v>
      </c>
      <c r="BV10" s="7">
        <f ca="1">+VLOOKUP($BG10,INDIRECT(Adrese!F$2),9,FALSE)</f>
        <v>0.34596930828185951</v>
      </c>
      <c r="BW10" s="7" t="str">
        <f t="shared" ca="1" si="19"/>
        <v>0.34 (0.00)</v>
      </c>
      <c r="BX10" s="7">
        <f t="shared" ca="1" si="20"/>
        <v>0.34056079326540273</v>
      </c>
      <c r="BY10" s="7">
        <f t="shared" ca="1" si="21"/>
        <v>4.4200941199180922E-3</v>
      </c>
    </row>
    <row r="11" spans="1:84" x14ac:dyDescent="0.25">
      <c r="A11" s="4" t="s">
        <v>84</v>
      </c>
      <c r="B11">
        <f ca="1">+VLOOKUP($A11,INDIRECT(Adrese!B$2),2,FALSE)</f>
        <v>9</v>
      </c>
      <c r="C11">
        <f ca="1">+VLOOKUP($A11,INDIRECT(Adrese!C$2),2,FALSE)</f>
        <v>9</v>
      </c>
      <c r="D11">
        <f ca="1">+VLOOKUP($A11,INDIRECT(Adrese!D$2),2,FALSE)</f>
        <v>8</v>
      </c>
      <c r="E11">
        <f ca="1">+VLOOKUP($A11,INDIRECT(Adrese!E$2),2,FALSE)</f>
        <v>9</v>
      </c>
      <c r="F11">
        <f ca="1">+VLOOKUP($A11,INDIRECT(Adrese!F$2),2,FALSE)</f>
        <v>8</v>
      </c>
      <c r="G11" s="7">
        <f t="shared" ca="1" si="0"/>
        <v>8.6</v>
      </c>
      <c r="H11" s="7">
        <f t="shared" ca="1" si="1"/>
        <v>0.54772255750516607</v>
      </c>
      <c r="J11" s="4" t="s">
        <v>84</v>
      </c>
      <c r="K11">
        <f ca="1">+VLOOKUP($A11,INDIRECT(Adrese!B$2),3,FALSE)</f>
        <v>4</v>
      </c>
      <c r="L11">
        <f ca="1">+VLOOKUP($A11,INDIRECT(Adrese!C$2),3,FALSE)</f>
        <v>4</v>
      </c>
      <c r="M11">
        <f ca="1">+VLOOKUP($A11,INDIRECT(Adrese!D$2),3,FALSE)</f>
        <v>4</v>
      </c>
      <c r="N11">
        <f ca="1">+VLOOKUP($A11,INDIRECT(Adrese!E$2),3,FALSE)</f>
        <v>4</v>
      </c>
      <c r="O11">
        <f ca="1">+VLOOKUP($A11,INDIRECT(Adrese!F$2),3,FALSE)</f>
        <v>4</v>
      </c>
      <c r="P11">
        <f t="shared" ca="1" si="2"/>
        <v>20</v>
      </c>
      <c r="Q11" s="7">
        <f t="shared" ca="1" si="3"/>
        <v>4</v>
      </c>
      <c r="R11" s="7">
        <f t="shared" ca="1" si="4"/>
        <v>0</v>
      </c>
      <c r="T11" s="4" t="s">
        <v>84</v>
      </c>
      <c r="U11">
        <f ca="1">+VLOOKUP($T11,INDIRECT(Adrese!B$2),4,FALSE)</f>
        <v>7308</v>
      </c>
      <c r="V11">
        <f ca="1">+VLOOKUP($T11,INDIRECT(Adrese!C$2),4,FALSE)</f>
        <v>7325</v>
      </c>
      <c r="W11">
        <f ca="1">+VLOOKUP($T11,INDIRECT(Adrese!D$2),4,FALSE)</f>
        <v>7311</v>
      </c>
      <c r="X11">
        <f ca="1">+VLOOKUP($T11,INDIRECT(Adrese!E$2),4,FALSE)</f>
        <v>7306</v>
      </c>
      <c r="Y11">
        <f ca="1">+VLOOKUP($T11,INDIRECT(Adrese!F$2),4,FALSE)</f>
        <v>7193</v>
      </c>
      <c r="Z11">
        <f t="shared" ca="1" si="5"/>
        <v>36443</v>
      </c>
      <c r="AA11" s="7">
        <f t="shared" ca="1" si="6"/>
        <v>7288.6</v>
      </c>
      <c r="AB11" s="7">
        <f t="shared" ca="1" si="7"/>
        <v>53.956463931580991</v>
      </c>
      <c r="AD11" s="4" t="s">
        <v>84</v>
      </c>
      <c r="AE11">
        <f ca="1">+VLOOKUP($A11,INDIRECT(Adrese!B$2),5,FALSE)</f>
        <v>1930</v>
      </c>
      <c r="AF11">
        <f ca="1">+VLOOKUP($A11,INDIRECT(Adrese!C$2),5,FALSE)</f>
        <v>1962</v>
      </c>
      <c r="AG11">
        <f ca="1">+VLOOKUP($A11,INDIRECT(Adrese!D$2),5,FALSE)</f>
        <v>1938</v>
      </c>
      <c r="AH11">
        <f ca="1">+VLOOKUP($A11,INDIRECT(Adrese!E$2),5,FALSE)</f>
        <v>1923</v>
      </c>
      <c r="AI11">
        <f ca="1">+VLOOKUP($A11,INDIRECT(Adrese!F$2),5,FALSE)</f>
        <v>1918</v>
      </c>
      <c r="AJ11" s="7">
        <f t="shared" ca="1" si="8"/>
        <v>1934.2</v>
      </c>
      <c r="AK11" s="7">
        <f t="shared" ca="1" si="9"/>
        <v>17.268468374467954</v>
      </c>
      <c r="AM11" s="4" t="s">
        <v>84</v>
      </c>
      <c r="AN11" s="7">
        <f ca="1">+VLOOKUP($A11,INDIRECT(Adrese!B$2),6,FALSE)</f>
        <v>0.57666666666666666</v>
      </c>
      <c r="AO11" s="7">
        <f ca="1">+VLOOKUP($A11,INDIRECT(Adrese!C$2),6,FALSE)</f>
        <v>0.58733333333333337</v>
      </c>
      <c r="AP11" s="7">
        <f ca="1">+VLOOKUP($A11,INDIRECT(Adrese!D$2),6,FALSE)</f>
        <v>0.57933333333333337</v>
      </c>
      <c r="AQ11" s="7">
        <f ca="1">+VLOOKUP($A11,INDIRECT(Adrese!E$2),6,FALSE)</f>
        <v>0.57433333333333336</v>
      </c>
      <c r="AR11" s="7">
        <f ca="1">+VLOOKUP($A11,INDIRECT(Adrese!F$2),6,FALSE)</f>
        <v>0.57266666666666666</v>
      </c>
      <c r="AS11" s="7" t="str">
        <f t="shared" ca="1" si="10"/>
        <v>0.58 (0.01)</v>
      </c>
      <c r="AT11" s="7">
        <f t="shared" ca="1" si="11"/>
        <v>0.57806666666666673</v>
      </c>
      <c r="AU11" s="7">
        <f t="shared" ca="1" si="12"/>
        <v>5.7561561248226688E-3</v>
      </c>
      <c r="AW11" s="4" t="s">
        <v>84</v>
      </c>
      <c r="AX11" s="7">
        <f ca="1">+VLOOKUP($A11,INDIRECT(Adrese!B$2),7,FALSE)</f>
        <v>0.73333333333333328</v>
      </c>
      <c r="AY11" s="7">
        <f ca="1">+VLOOKUP($A11,INDIRECT(Adrese!C$2),7,FALSE)</f>
        <v>0.73333333333333328</v>
      </c>
      <c r="AZ11" s="7">
        <f ca="1">+VLOOKUP($A11,INDIRECT(Adrese!D$2),7,FALSE)</f>
        <v>0.73333333333333328</v>
      </c>
      <c r="BA11" s="7">
        <f ca="1">+VLOOKUP($A11,INDIRECT(Adrese!E$2),7,FALSE)</f>
        <v>0.73333333333333328</v>
      </c>
      <c r="BB11" s="7">
        <f ca="1">+VLOOKUP($A11,INDIRECT(Adrese!F$2),7,FALSE)</f>
        <v>0.73333333333333328</v>
      </c>
      <c r="BC11" s="7" t="str">
        <f t="shared" ca="1" si="13"/>
        <v>0.73 (0.00)</v>
      </c>
      <c r="BD11">
        <f t="shared" ca="1" si="14"/>
        <v>0.73333333333333328</v>
      </c>
      <c r="BE11" s="7">
        <f t="shared" ca="1" si="15"/>
        <v>0</v>
      </c>
      <c r="BG11" s="4" t="s">
        <v>84</v>
      </c>
      <c r="BH11" s="7">
        <f ca="1">+VLOOKUP($BG11,INDIRECT(Adrese!B$2),8,FALSE)</f>
        <v>0.27177519148224311</v>
      </c>
      <c r="BI11" s="7">
        <f ca="1">+VLOOKUP($BG11,INDIRECT(Adrese!C$2),8,FALSE)</f>
        <v>0.26683279876053279</v>
      </c>
      <c r="BJ11" s="7">
        <f ca="1">+VLOOKUP($BG11,INDIRECT(Adrese!D$2),8,FALSE)</f>
        <v>0.27398544935381708</v>
      </c>
      <c r="BK11" s="7">
        <f ca="1">+VLOOKUP($BG11,INDIRECT(Adrese!E$2),8,FALSE)</f>
        <v>0.27155829422219468</v>
      </c>
      <c r="BL11" s="7">
        <f ca="1">+VLOOKUP($BG11,INDIRECT(Adrese!F$2),8,FALSE)</f>
        <v>0.27089722447098391</v>
      </c>
      <c r="BM11" s="7" t="str">
        <f t="shared" ca="1" si="16"/>
        <v>0.27 (0.00)</v>
      </c>
      <c r="BN11" s="7">
        <f t="shared" ca="1" si="17"/>
        <v>0.2710097916579543</v>
      </c>
      <c r="BO11" s="7">
        <f t="shared" ca="1" si="18"/>
        <v>2.6077371279348309E-3</v>
      </c>
      <c r="BQ11" s="4" t="s">
        <v>84</v>
      </c>
      <c r="BR11" s="7">
        <f ca="1">+VLOOKUP($BG11,INDIRECT(Adrese!B$2),9,FALSE)</f>
        <v>0.3388819267287459</v>
      </c>
      <c r="BS11" s="7">
        <f ca="1">+VLOOKUP($BG11,INDIRECT(Adrese!C$2),9,FALSE)</f>
        <v>0.33728937009119531</v>
      </c>
      <c r="BT11" s="7">
        <f ca="1">+VLOOKUP($BG11,INDIRECT(Adrese!D$2),9,FALSE)</f>
        <v>0.33972635901476239</v>
      </c>
      <c r="BU11" s="7">
        <f ca="1">+VLOOKUP($BG11,INDIRECT(Adrese!E$2),9,FALSE)</f>
        <v>0.33958938702662939</v>
      </c>
      <c r="BV11" s="7">
        <f ca="1">+VLOOKUP($BG11,INDIRECT(Adrese!F$2),9,FALSE)</f>
        <v>0.34183082087447819</v>
      </c>
      <c r="BW11" s="7" t="str">
        <f t="shared" ca="1" si="19"/>
        <v>0.34 (0.00)</v>
      </c>
      <c r="BX11" s="7">
        <f t="shared" ca="1" si="20"/>
        <v>0.33946357274716221</v>
      </c>
      <c r="BY11" s="7">
        <f t="shared" ca="1" si="21"/>
        <v>1.6396812824136884E-3</v>
      </c>
    </row>
    <row r="12" spans="1:84" x14ac:dyDescent="0.25">
      <c r="A12" s="4" t="s">
        <v>85</v>
      </c>
      <c r="B12">
        <f ca="1">+VLOOKUP($A12,INDIRECT(Adrese!B$2),2,FALSE)</f>
        <v>10</v>
      </c>
      <c r="C12">
        <f ca="1">+VLOOKUP($A12,INDIRECT(Adrese!C$2),2,FALSE)</f>
        <v>10</v>
      </c>
      <c r="D12">
        <f ca="1">+VLOOKUP($A12,INDIRECT(Adrese!D$2),2,FALSE)</f>
        <v>10</v>
      </c>
      <c r="E12">
        <f ca="1">+VLOOKUP($A12,INDIRECT(Adrese!E$2),2,FALSE)</f>
        <v>10</v>
      </c>
      <c r="F12">
        <f ca="1">+VLOOKUP($A12,INDIRECT(Adrese!F$2),2,FALSE)</f>
        <v>10</v>
      </c>
      <c r="G12" s="7">
        <f t="shared" ca="1" si="0"/>
        <v>10</v>
      </c>
      <c r="H12" s="7">
        <f t="shared" ca="1" si="1"/>
        <v>0</v>
      </c>
      <c r="J12" s="4" t="s">
        <v>85</v>
      </c>
      <c r="K12">
        <f ca="1">+VLOOKUP($A12,INDIRECT(Adrese!B$2),3,FALSE)</f>
        <v>5</v>
      </c>
      <c r="L12">
        <f ca="1">+VLOOKUP($A12,INDIRECT(Adrese!C$2),3,FALSE)</f>
        <v>5</v>
      </c>
      <c r="M12">
        <f ca="1">+VLOOKUP($A12,INDIRECT(Adrese!D$2),3,FALSE)</f>
        <v>5</v>
      </c>
      <c r="N12">
        <f ca="1">+VLOOKUP($A12,INDIRECT(Adrese!E$2),3,FALSE)</f>
        <v>5</v>
      </c>
      <c r="O12">
        <f ca="1">+VLOOKUP($A12,INDIRECT(Adrese!F$2),3,FALSE)</f>
        <v>5</v>
      </c>
      <c r="P12">
        <f t="shared" ca="1" si="2"/>
        <v>25</v>
      </c>
      <c r="Q12" s="7">
        <f t="shared" ca="1" si="3"/>
        <v>5</v>
      </c>
      <c r="R12" s="7">
        <f t="shared" ca="1" si="4"/>
        <v>0</v>
      </c>
      <c r="T12" s="4" t="s">
        <v>85</v>
      </c>
      <c r="U12">
        <f ca="1">+VLOOKUP($T12,INDIRECT(Adrese!B$2),4,FALSE)</f>
        <v>7080</v>
      </c>
      <c r="V12">
        <f ca="1">+VLOOKUP($T12,INDIRECT(Adrese!C$2),4,FALSE)</f>
        <v>7249</v>
      </c>
      <c r="W12">
        <f ca="1">+VLOOKUP($T12,INDIRECT(Adrese!D$2),4,FALSE)</f>
        <v>6798</v>
      </c>
      <c r="X12">
        <f ca="1">+VLOOKUP($T12,INDIRECT(Adrese!E$2),4,FALSE)</f>
        <v>7156</v>
      </c>
      <c r="Y12">
        <f ca="1">+VLOOKUP($T12,INDIRECT(Adrese!F$2),4,FALSE)</f>
        <v>6948</v>
      </c>
      <c r="Z12">
        <f t="shared" ca="1" si="5"/>
        <v>35231</v>
      </c>
      <c r="AA12" s="7">
        <f t="shared" ca="1" si="6"/>
        <v>7046.2</v>
      </c>
      <c r="AB12" s="7">
        <f t="shared" ca="1" si="7"/>
        <v>177.18126311774617</v>
      </c>
      <c r="AD12" s="4" t="s">
        <v>85</v>
      </c>
      <c r="AE12">
        <f ca="1">+VLOOKUP($A12,INDIRECT(Adrese!B$2),5,FALSE)</f>
        <v>1802</v>
      </c>
      <c r="AF12">
        <f ca="1">+VLOOKUP($A12,INDIRECT(Adrese!C$2),5,FALSE)</f>
        <v>1988</v>
      </c>
      <c r="AG12">
        <f ca="1">+VLOOKUP($A12,INDIRECT(Adrese!D$2),5,FALSE)</f>
        <v>1660</v>
      </c>
      <c r="AH12">
        <f ca="1">+VLOOKUP($A12,INDIRECT(Adrese!E$2),5,FALSE)</f>
        <v>1862</v>
      </c>
      <c r="AI12">
        <f ca="1">+VLOOKUP($A12,INDIRECT(Adrese!F$2),5,FALSE)</f>
        <v>1819</v>
      </c>
      <c r="AJ12" s="7">
        <f t="shared" ca="1" si="8"/>
        <v>1826.2</v>
      </c>
      <c r="AK12" s="7">
        <f t="shared" ca="1" si="9"/>
        <v>118.02626826262026</v>
      </c>
      <c r="AM12" s="4" t="s">
        <v>85</v>
      </c>
      <c r="AN12" s="7">
        <f ca="1">+VLOOKUP($A12,INDIRECT(Adrese!B$2),6,FALSE)</f>
        <v>0.58399999999999996</v>
      </c>
      <c r="AO12" s="7">
        <f ca="1">+VLOOKUP($A12,INDIRECT(Adrese!C$2),6,FALSE)</f>
        <v>0.64600000000000002</v>
      </c>
      <c r="AP12" s="7">
        <f ca="1">+VLOOKUP($A12,INDIRECT(Adrese!D$2),6,FALSE)</f>
        <v>0.53666666666666663</v>
      </c>
      <c r="AQ12" s="7">
        <f ca="1">+VLOOKUP($A12,INDIRECT(Adrese!E$2),6,FALSE)</f>
        <v>0.60399999999999998</v>
      </c>
      <c r="AR12" s="7">
        <f ca="1">+VLOOKUP($A12,INDIRECT(Adrese!F$2),6,FALSE)</f>
        <v>0.58966666666666667</v>
      </c>
      <c r="AS12" s="7" t="str">
        <f t="shared" ca="1" si="10"/>
        <v>0.59 (0.04)</v>
      </c>
      <c r="AT12" s="7">
        <f t="shared" ca="1" si="11"/>
        <v>0.59206666666666663</v>
      </c>
      <c r="AU12" s="7">
        <f t="shared" ca="1" si="12"/>
        <v>3.9342089420873437E-2</v>
      </c>
      <c r="AW12" s="4" t="s">
        <v>85</v>
      </c>
      <c r="AX12" s="7">
        <f ca="1">+VLOOKUP($A12,INDIRECT(Adrese!B$2),7,FALSE)</f>
        <v>0.66666666666666663</v>
      </c>
      <c r="AY12" s="7">
        <f ca="1">+VLOOKUP($A12,INDIRECT(Adrese!C$2),7,FALSE)</f>
        <v>0.66666666666666663</v>
      </c>
      <c r="AZ12" s="7">
        <f ca="1">+VLOOKUP($A12,INDIRECT(Adrese!D$2),7,FALSE)</f>
        <v>0.66666666666666663</v>
      </c>
      <c r="BA12" s="7">
        <f ca="1">+VLOOKUP($A12,INDIRECT(Adrese!E$2),7,FALSE)</f>
        <v>0.66666666666666663</v>
      </c>
      <c r="BB12" s="7">
        <f ca="1">+VLOOKUP($A12,INDIRECT(Adrese!F$2),7,FALSE)</f>
        <v>0.66666666666666663</v>
      </c>
      <c r="BC12" s="7" t="str">
        <f t="shared" ca="1" si="13"/>
        <v>0.67 (0.00)</v>
      </c>
      <c r="BD12">
        <f t="shared" ca="1" si="14"/>
        <v>0.66666666666666663</v>
      </c>
      <c r="BE12" s="7">
        <f t="shared" ca="1" si="15"/>
        <v>0</v>
      </c>
      <c r="BG12" s="4" t="s">
        <v>85</v>
      </c>
      <c r="BH12" s="7">
        <f ca="1">+VLOOKUP($BG12,INDIRECT(Adrese!B$2),8,FALSE)</f>
        <v>0.22279110546152051</v>
      </c>
      <c r="BI12" s="7">
        <f ca="1">+VLOOKUP($BG12,INDIRECT(Adrese!C$2),8,FALSE)</f>
        <v>0.2335670228952782</v>
      </c>
      <c r="BJ12" s="7">
        <f ca="1">+VLOOKUP($BG12,INDIRECT(Adrese!D$2),8,FALSE)</f>
        <v>0.21287935372395719</v>
      </c>
      <c r="BK12" s="7">
        <f ca="1">+VLOOKUP($BG12,INDIRECT(Adrese!E$2),8,FALSE)</f>
        <v>0.2269614365919316</v>
      </c>
      <c r="BL12" s="7">
        <f ca="1">+VLOOKUP($BG12,INDIRECT(Adrese!F$2),8,FALSE)</f>
        <v>0.22498879409922881</v>
      </c>
      <c r="BM12" s="7" t="str">
        <f t="shared" ca="1" si="16"/>
        <v>0.22 (0.01)</v>
      </c>
      <c r="BN12" s="7">
        <f t="shared" ca="1" si="17"/>
        <v>0.22423754255438327</v>
      </c>
      <c r="BO12" s="7">
        <f t="shared" ca="1" si="18"/>
        <v>7.5187069169803744E-3</v>
      </c>
      <c r="BQ12" s="4" t="s">
        <v>85</v>
      </c>
      <c r="BR12" s="7">
        <f ca="1">+VLOOKUP($BG12,INDIRECT(Adrese!B$2),9,FALSE)</f>
        <v>0.1071233833785482</v>
      </c>
      <c r="BS12" s="7">
        <f ca="1">+VLOOKUP($BG12,INDIRECT(Adrese!C$2),9,FALSE)</f>
        <v>0.108671317814445</v>
      </c>
      <c r="BT12" s="7">
        <f ca="1">+VLOOKUP($BG12,INDIRECT(Adrese!D$2),9,FALSE)</f>
        <v>0.1123553956703201</v>
      </c>
      <c r="BU12" s="7">
        <f ca="1">+VLOOKUP($BG12,INDIRECT(Adrese!E$2),9,FALSE)</f>
        <v>0.10961210929575479</v>
      </c>
      <c r="BV12" s="7">
        <f ca="1">+VLOOKUP($BG12,INDIRECT(Adrese!F$2),9,FALSE)</f>
        <v>0.11398584434711929</v>
      </c>
      <c r="BW12" s="7" t="str">
        <f t="shared" ca="1" si="19"/>
        <v>0.11 (0.00)</v>
      </c>
      <c r="BX12" s="7">
        <f t="shared" ca="1" si="20"/>
        <v>0.11034961010123749</v>
      </c>
      <c r="BY12" s="7">
        <f t="shared" ca="1" si="21"/>
        <v>2.7845325704798714E-3</v>
      </c>
    </row>
    <row r="13" spans="1:84" x14ac:dyDescent="0.25">
      <c r="A13" s="4" t="s">
        <v>86</v>
      </c>
      <c r="B13">
        <f ca="1">+VLOOKUP($A13,INDIRECT(Adrese!B$2),2,FALSE)</f>
        <v>11</v>
      </c>
      <c r="C13">
        <f ca="1">+VLOOKUP($A13,INDIRECT(Adrese!C$2),2,FALSE)</f>
        <v>12</v>
      </c>
      <c r="D13">
        <f ca="1">+VLOOKUP($A13,INDIRECT(Adrese!D$2),2,FALSE)</f>
        <v>11</v>
      </c>
      <c r="E13">
        <f ca="1">+VLOOKUP($A13,INDIRECT(Adrese!E$2),2,FALSE)</f>
        <v>11</v>
      </c>
      <c r="F13">
        <f ca="1">+VLOOKUP($A13,INDIRECT(Adrese!F$2),2,FALSE)</f>
        <v>11</v>
      </c>
      <c r="G13" s="7">
        <f t="shared" ca="1" si="0"/>
        <v>11.2</v>
      </c>
      <c r="H13" s="7">
        <f t="shared" ca="1" si="1"/>
        <v>0.44721359549995793</v>
      </c>
      <c r="J13" s="4" t="s">
        <v>86</v>
      </c>
      <c r="K13">
        <f ca="1">+VLOOKUP($A13,INDIRECT(Adrese!B$2),3,FALSE)</f>
        <v>6</v>
      </c>
      <c r="L13">
        <f ca="1">+VLOOKUP($A13,INDIRECT(Adrese!C$2),3,FALSE)</f>
        <v>6</v>
      </c>
      <c r="M13">
        <f ca="1">+VLOOKUP($A13,INDIRECT(Adrese!D$2),3,FALSE)</f>
        <v>7</v>
      </c>
      <c r="N13">
        <f ca="1">+VLOOKUP($A13,INDIRECT(Adrese!E$2),3,FALSE)</f>
        <v>7</v>
      </c>
      <c r="O13">
        <f ca="1">+VLOOKUP($A13,INDIRECT(Adrese!F$2),3,FALSE)</f>
        <v>7</v>
      </c>
      <c r="P13">
        <f t="shared" ca="1" si="2"/>
        <v>33</v>
      </c>
      <c r="Q13" s="7">
        <f t="shared" ca="1" si="3"/>
        <v>6.6</v>
      </c>
      <c r="R13" s="7">
        <f t="shared" ca="1" si="4"/>
        <v>0.54772255750516619</v>
      </c>
      <c r="T13" s="4" t="s">
        <v>86</v>
      </c>
      <c r="U13">
        <f ca="1">+VLOOKUP($T13,INDIRECT(Adrese!B$2),4,FALSE)</f>
        <v>6211</v>
      </c>
      <c r="V13">
        <f ca="1">+VLOOKUP($T13,INDIRECT(Adrese!C$2),4,FALSE)</f>
        <v>6306</v>
      </c>
      <c r="W13">
        <f ca="1">+VLOOKUP($T13,INDIRECT(Adrese!D$2),4,FALSE)</f>
        <v>6572</v>
      </c>
      <c r="X13">
        <f ca="1">+VLOOKUP($T13,INDIRECT(Adrese!E$2),4,FALSE)</f>
        <v>6542</v>
      </c>
      <c r="Y13">
        <f ca="1">+VLOOKUP($T13,INDIRECT(Adrese!F$2),4,FALSE)</f>
        <v>6523</v>
      </c>
      <c r="Z13">
        <f t="shared" ca="1" si="5"/>
        <v>32154</v>
      </c>
      <c r="AA13" s="7">
        <f t="shared" ca="1" si="6"/>
        <v>6430.8</v>
      </c>
      <c r="AB13" s="7">
        <f t="shared" ca="1" si="7"/>
        <v>161.77978860166681</v>
      </c>
      <c r="AD13" s="4" t="s">
        <v>86</v>
      </c>
      <c r="AE13">
        <f ca="1">+VLOOKUP($A13,INDIRECT(Adrese!B$2),5,FALSE)</f>
        <v>1133</v>
      </c>
      <c r="AF13">
        <f ca="1">+VLOOKUP($A13,INDIRECT(Adrese!C$2),5,FALSE)</f>
        <v>1141</v>
      </c>
      <c r="AG13">
        <f ca="1">+VLOOKUP($A13,INDIRECT(Adrese!D$2),5,FALSE)</f>
        <v>937</v>
      </c>
      <c r="AH13">
        <f ca="1">+VLOOKUP($A13,INDIRECT(Adrese!E$2),5,FALSE)</f>
        <v>937</v>
      </c>
      <c r="AI13">
        <f ca="1">+VLOOKUP($A13,INDIRECT(Adrese!F$2),5,FALSE)</f>
        <v>945</v>
      </c>
      <c r="AJ13" s="7">
        <f t="shared" ca="1" si="8"/>
        <v>1018.6</v>
      </c>
      <c r="AK13" s="7">
        <f t="shared" ca="1" si="9"/>
        <v>108.17023620201631</v>
      </c>
      <c r="AM13" s="4" t="s">
        <v>86</v>
      </c>
      <c r="AN13" s="7">
        <f ca="1">+VLOOKUP($A13,INDIRECT(Adrese!B$2),6,FALSE)</f>
        <v>0.37766666666666671</v>
      </c>
      <c r="AO13" s="7">
        <f ca="1">+VLOOKUP($A13,INDIRECT(Adrese!C$2),6,FALSE)</f>
        <v>0.38033333333333341</v>
      </c>
      <c r="AP13" s="7">
        <f ca="1">+VLOOKUP($A13,INDIRECT(Adrese!D$2),6,FALSE)</f>
        <v>0.31233333333333341</v>
      </c>
      <c r="AQ13" s="7">
        <f ca="1">+VLOOKUP($A13,INDIRECT(Adrese!E$2),6,FALSE)</f>
        <v>0.31233333333333341</v>
      </c>
      <c r="AR13" s="7">
        <f ca="1">+VLOOKUP($A13,INDIRECT(Adrese!F$2),6,FALSE)</f>
        <v>0.315</v>
      </c>
      <c r="AS13" s="7" t="str">
        <f t="shared" ca="1" si="10"/>
        <v>0.34 (0.04)</v>
      </c>
      <c r="AT13" s="7">
        <f t="shared" ca="1" si="11"/>
        <v>0.33953333333333335</v>
      </c>
      <c r="AU13" s="7">
        <f t="shared" ca="1" si="12"/>
        <v>3.6056745400672108E-2</v>
      </c>
      <c r="AW13" s="4" t="s">
        <v>86</v>
      </c>
      <c r="AX13" s="7">
        <f ca="1">+VLOOKUP($A13,INDIRECT(Adrese!B$2),7,FALSE)</f>
        <v>0.6</v>
      </c>
      <c r="AY13" s="7">
        <f ca="1">+VLOOKUP($A13,INDIRECT(Adrese!C$2),7,FALSE)</f>
        <v>0.6</v>
      </c>
      <c r="AZ13" s="7">
        <f ca="1">+VLOOKUP($A13,INDIRECT(Adrese!D$2),7,FALSE)</f>
        <v>0.53333333333333333</v>
      </c>
      <c r="BA13" s="7">
        <f ca="1">+VLOOKUP($A13,INDIRECT(Adrese!E$2),7,FALSE)</f>
        <v>0.53333333333333333</v>
      </c>
      <c r="BB13" s="7">
        <f ca="1">+VLOOKUP($A13,INDIRECT(Adrese!F$2),7,FALSE)</f>
        <v>0.53333333333333333</v>
      </c>
      <c r="BC13" s="7" t="str">
        <f t="shared" ca="1" si="13"/>
        <v>0.56 (0.04)</v>
      </c>
      <c r="BD13">
        <f t="shared" ca="1" si="14"/>
        <v>0.55999999999999994</v>
      </c>
      <c r="BE13" s="7">
        <f t="shared" ca="1" si="15"/>
        <v>3.6514837167011066E-2</v>
      </c>
      <c r="BG13" s="4" t="s">
        <v>86</v>
      </c>
      <c r="BH13" s="7">
        <f ca="1">+VLOOKUP($BG13,INDIRECT(Adrese!B$2),8,FALSE)</f>
        <v>0.1111110849777196</v>
      </c>
      <c r="BI13" s="7">
        <f ca="1">+VLOOKUP($BG13,INDIRECT(Adrese!C$2),8,FALSE)</f>
        <v>0.1112201017324268</v>
      </c>
      <c r="BJ13" s="7">
        <f ca="1">+VLOOKUP($BG13,INDIRECT(Adrese!D$2),8,FALSE)</f>
        <v>9.2082280349809517E-2</v>
      </c>
      <c r="BK13" s="7">
        <f ca="1">+VLOOKUP($BG13,INDIRECT(Adrese!E$2),8,FALSE)</f>
        <v>9.4645748066651644E-2</v>
      </c>
      <c r="BL13" s="7">
        <f ca="1">+VLOOKUP($BG13,INDIRECT(Adrese!F$2),8,FALSE)</f>
        <v>9.4341249880171674E-2</v>
      </c>
      <c r="BM13" s="7" t="str">
        <f t="shared" ca="1" si="16"/>
        <v>0.10 (0.01)</v>
      </c>
      <c r="BN13" s="7">
        <f t="shared" ca="1" si="17"/>
        <v>0.10068009300135586</v>
      </c>
      <c r="BO13" s="7">
        <f t="shared" ca="1" si="18"/>
        <v>9.6230713776720121E-3</v>
      </c>
      <c r="BQ13" s="4" t="s">
        <v>86</v>
      </c>
      <c r="BR13" s="7">
        <f ca="1">+VLOOKUP($BG13,INDIRECT(Adrese!B$2),9,FALSE)</f>
        <v>-0.17520246458343711</v>
      </c>
      <c r="BS13" s="7">
        <f ca="1">+VLOOKUP($BG13,INDIRECT(Adrese!C$2),9,FALSE)</f>
        <v>-0.17869835693804659</v>
      </c>
      <c r="BT13" s="7">
        <f ca="1">+VLOOKUP($BG13,INDIRECT(Adrese!D$2),9,FALSE)</f>
        <v>-0.17666086346519591</v>
      </c>
      <c r="BU13" s="7">
        <f ca="1">+VLOOKUP($BG13,INDIRECT(Adrese!E$2),9,FALSE)</f>
        <v>-0.17526467950562841</v>
      </c>
      <c r="BV13" s="7">
        <f ca="1">+VLOOKUP($BG13,INDIRECT(Adrese!F$2),9,FALSE)</f>
        <v>-0.17192266911230769</v>
      </c>
      <c r="BW13" s="7" t="str">
        <f t="shared" ca="1" si="19"/>
        <v>-0.18 (0.00)</v>
      </c>
      <c r="BX13" s="7">
        <f t="shared" ca="1" si="20"/>
        <v>-0.17554980672092316</v>
      </c>
      <c r="BY13" s="7">
        <f t="shared" ca="1" si="21"/>
        <v>2.4751710486322865E-3</v>
      </c>
    </row>
    <row r="14" spans="1:84" x14ac:dyDescent="0.25">
      <c r="A14" s="4" t="s">
        <v>87</v>
      </c>
      <c r="B14">
        <f ca="1">+VLOOKUP($A14,INDIRECT(Adrese!B$2),2,FALSE)</f>
        <v>12</v>
      </c>
      <c r="C14">
        <f ca="1">+VLOOKUP($A14,INDIRECT(Adrese!C$2),2,FALSE)</f>
        <v>11</v>
      </c>
      <c r="D14">
        <f ca="1">+VLOOKUP($A14,INDIRECT(Adrese!D$2),2,FALSE)</f>
        <v>12</v>
      </c>
      <c r="E14">
        <f ca="1">+VLOOKUP($A14,INDIRECT(Adrese!E$2),2,FALSE)</f>
        <v>12</v>
      </c>
      <c r="F14">
        <f ca="1">+VLOOKUP($A14,INDIRECT(Adrese!F$2),2,FALSE)</f>
        <v>12</v>
      </c>
      <c r="G14" s="7">
        <f t="shared" ca="1" si="0"/>
        <v>11.8</v>
      </c>
      <c r="H14" s="7">
        <f t="shared" ca="1" si="1"/>
        <v>0.44721359549995793</v>
      </c>
      <c r="J14" s="4" t="s">
        <v>87</v>
      </c>
      <c r="K14">
        <f ca="1">+VLOOKUP($A14,INDIRECT(Adrese!B$2),3,FALSE)</f>
        <v>11</v>
      </c>
      <c r="L14">
        <f ca="1">+VLOOKUP($A14,INDIRECT(Adrese!C$2),3,FALSE)</f>
        <v>11</v>
      </c>
      <c r="M14">
        <f ca="1">+VLOOKUP($A14,INDIRECT(Adrese!D$2),3,FALSE)</f>
        <v>11</v>
      </c>
      <c r="N14">
        <f ca="1">+VLOOKUP($A14,INDIRECT(Adrese!E$2),3,FALSE)</f>
        <v>10</v>
      </c>
      <c r="O14">
        <f ca="1">+VLOOKUP($A14,INDIRECT(Adrese!F$2),3,FALSE)</f>
        <v>10</v>
      </c>
      <c r="P14">
        <f t="shared" ca="1" si="2"/>
        <v>53</v>
      </c>
      <c r="Q14" s="7">
        <f t="shared" ca="1" si="3"/>
        <v>10.6</v>
      </c>
      <c r="R14" s="7">
        <f t="shared" ca="1" si="4"/>
        <v>0.54772255750516619</v>
      </c>
      <c r="T14" s="4" t="s">
        <v>87</v>
      </c>
      <c r="U14">
        <f ca="1">+VLOOKUP($T14,INDIRECT(Adrese!B$2),4,FALSE)</f>
        <v>6022</v>
      </c>
      <c r="V14">
        <f ca="1">+VLOOKUP($T14,INDIRECT(Adrese!C$2),4,FALSE)</f>
        <v>6543</v>
      </c>
      <c r="W14">
        <f ca="1">+VLOOKUP($T14,INDIRECT(Adrese!D$2),4,FALSE)</f>
        <v>6033</v>
      </c>
      <c r="X14">
        <f ca="1">+VLOOKUP($T14,INDIRECT(Adrese!E$2),4,FALSE)</f>
        <v>6078</v>
      </c>
      <c r="Y14">
        <f ca="1">+VLOOKUP($T14,INDIRECT(Adrese!F$2),4,FALSE)</f>
        <v>6320</v>
      </c>
      <c r="Z14">
        <f t="shared" ca="1" si="5"/>
        <v>30996</v>
      </c>
      <c r="AA14" s="7">
        <f t="shared" ca="1" si="6"/>
        <v>6199.2</v>
      </c>
      <c r="AB14" s="7">
        <f t="shared" ca="1" si="7"/>
        <v>227.21289576078203</v>
      </c>
      <c r="AD14" s="4" t="s">
        <v>87</v>
      </c>
      <c r="AE14">
        <f ca="1">+VLOOKUP($A14,INDIRECT(Adrese!B$2),5,FALSE)</f>
        <v>950</v>
      </c>
      <c r="AF14">
        <f ca="1">+VLOOKUP($A14,INDIRECT(Adrese!C$2),5,FALSE)</f>
        <v>1111</v>
      </c>
      <c r="AG14">
        <f ca="1">+VLOOKUP($A14,INDIRECT(Adrese!D$2),5,FALSE)</f>
        <v>940</v>
      </c>
      <c r="AH14">
        <f ca="1">+VLOOKUP($A14,INDIRECT(Adrese!E$2),5,FALSE)</f>
        <v>1026</v>
      </c>
      <c r="AI14">
        <f ca="1">+VLOOKUP($A14,INDIRECT(Adrese!F$2),5,FALSE)</f>
        <v>1058</v>
      </c>
      <c r="AJ14" s="7">
        <f t="shared" ca="1" si="8"/>
        <v>1017</v>
      </c>
      <c r="AK14" s="7">
        <f t="shared" ca="1" si="9"/>
        <v>72.484481097680487</v>
      </c>
      <c r="AM14" s="4" t="s">
        <v>87</v>
      </c>
      <c r="AN14" s="7">
        <f ca="1">+VLOOKUP($A14,INDIRECT(Adrese!B$2),6,FALSE)</f>
        <v>0.31366666666666659</v>
      </c>
      <c r="AO14" s="7">
        <f ca="1">+VLOOKUP($A14,INDIRECT(Adrese!C$2),6,FALSE)</f>
        <v>0.36566666666666658</v>
      </c>
      <c r="AP14" s="7">
        <f ca="1">+VLOOKUP($A14,INDIRECT(Adrese!D$2),6,FALSE)</f>
        <v>0.30633333333333329</v>
      </c>
      <c r="AQ14" s="7">
        <f ca="1">+VLOOKUP($A14,INDIRECT(Adrese!E$2),6,FALSE)</f>
        <v>0.33600000000000002</v>
      </c>
      <c r="AR14" s="7">
        <f ca="1">+VLOOKUP($A14,INDIRECT(Adrese!F$2),6,FALSE)</f>
        <v>0.34866666666666668</v>
      </c>
      <c r="AS14" s="7" t="str">
        <f t="shared" ca="1" si="10"/>
        <v>0.33 (0.02)</v>
      </c>
      <c r="AT14" s="7">
        <f t="shared" ca="1" si="11"/>
        <v>0.33406666666666662</v>
      </c>
      <c r="AU14" s="7">
        <f t="shared" ca="1" si="12"/>
        <v>2.4498752802722203E-2</v>
      </c>
      <c r="AW14" s="4" t="s">
        <v>87</v>
      </c>
      <c r="AX14" s="7">
        <f ca="1">+VLOOKUP($A14,INDIRECT(Adrese!B$2),7,FALSE)</f>
        <v>0.26666666666666672</v>
      </c>
      <c r="AY14" s="7">
        <f ca="1">+VLOOKUP($A14,INDIRECT(Adrese!C$2),7,FALSE)</f>
        <v>0.26666666666666672</v>
      </c>
      <c r="AZ14" s="7">
        <f ca="1">+VLOOKUP($A14,INDIRECT(Adrese!D$2),7,FALSE)</f>
        <v>0.26666666666666672</v>
      </c>
      <c r="BA14" s="7">
        <f ca="1">+VLOOKUP($A14,INDIRECT(Adrese!E$2),7,FALSE)</f>
        <v>0.33333333333333331</v>
      </c>
      <c r="BB14" s="7">
        <f ca="1">+VLOOKUP($A14,INDIRECT(Adrese!F$2),7,FALSE)</f>
        <v>0.33333333333333331</v>
      </c>
      <c r="BC14" s="7" t="str">
        <f t="shared" ca="1" si="13"/>
        <v>0.29 (0.04)</v>
      </c>
      <c r="BD14">
        <f t="shared" ca="1" si="14"/>
        <v>0.29333333333333333</v>
      </c>
      <c r="BE14" s="7">
        <f t="shared" ca="1" si="15"/>
        <v>3.6514837167010962E-2</v>
      </c>
      <c r="BG14" s="4" t="s">
        <v>87</v>
      </c>
      <c r="BH14" s="7">
        <f ca="1">+VLOOKUP($BG14,INDIRECT(Adrese!B$2),8,FALSE)</f>
        <v>0.1158717778976406</v>
      </c>
      <c r="BI14" s="7">
        <f ca="1">+VLOOKUP($BG14,INDIRECT(Adrese!C$2),8,FALSE)</f>
        <v>0.13187095757654549</v>
      </c>
      <c r="BJ14" s="7">
        <f ca="1">+VLOOKUP($BG14,INDIRECT(Adrese!D$2),8,FALSE)</f>
        <v>0.1122386240144342</v>
      </c>
      <c r="BK14" s="7">
        <f ca="1">+VLOOKUP($BG14,INDIRECT(Adrese!E$2),8,FALSE)</f>
        <v>0.1202385273650782</v>
      </c>
      <c r="BL14" s="7">
        <f ca="1">+VLOOKUP($BG14,INDIRECT(Adrese!F$2),8,FALSE)</f>
        <v>0.124587213387767</v>
      </c>
      <c r="BM14" s="7" t="str">
        <f t="shared" ca="1" si="16"/>
        <v>0.12 (0.01)</v>
      </c>
      <c r="BN14" s="7">
        <f t="shared" ca="1" si="17"/>
        <v>0.12096142004829309</v>
      </c>
      <c r="BO14" s="7">
        <f t="shared" ca="1" si="18"/>
        <v>7.659611415117111E-3</v>
      </c>
      <c r="BQ14" s="4" t="s">
        <v>87</v>
      </c>
      <c r="BR14" s="7">
        <f ca="1">+VLOOKUP($BG14,INDIRECT(Adrese!B$2),9,FALSE)</f>
        <v>-0.10778400444561401</v>
      </c>
      <c r="BS14" s="7">
        <f ca="1">+VLOOKUP($BG14,INDIRECT(Adrese!C$2),9,FALSE)</f>
        <v>-8.907992213734453E-2</v>
      </c>
      <c r="BT14" s="7">
        <f ca="1">+VLOOKUP($BG14,INDIRECT(Adrese!D$2),9,FALSE)</f>
        <v>-0.1226956937517957</v>
      </c>
      <c r="BU14" s="7">
        <f ca="1">+VLOOKUP($BG14,INDIRECT(Adrese!E$2),9,FALSE)</f>
        <v>-0.1132824611458282</v>
      </c>
      <c r="BV14" s="7">
        <f ca="1">+VLOOKUP($BG14,INDIRECT(Adrese!F$2),9,FALSE)</f>
        <v>-0.1152155453321142</v>
      </c>
      <c r="BW14" s="7" t="str">
        <f t="shared" ca="1" si="19"/>
        <v>-0.11 (0.01)</v>
      </c>
      <c r="BX14" s="7">
        <f t="shared" ca="1" si="20"/>
        <v>-0.10961152536253933</v>
      </c>
      <c r="BY14" s="7">
        <f t="shared" ca="1" si="21"/>
        <v>1.2658621918296217E-2</v>
      </c>
    </row>
    <row r="15" spans="1:84" x14ac:dyDescent="0.25">
      <c r="A15" s="4" t="s">
        <v>88</v>
      </c>
      <c r="B15">
        <f ca="1">+VLOOKUP($A15,INDIRECT(Adrese!B$2),2,FALSE)</f>
        <v>13</v>
      </c>
      <c r="C15">
        <f ca="1">+VLOOKUP($A15,INDIRECT(Adrese!C$2),2,FALSE)</f>
        <v>14</v>
      </c>
      <c r="D15">
        <f ca="1">+VLOOKUP($A15,INDIRECT(Adrese!D$2),2,FALSE)</f>
        <v>13</v>
      </c>
      <c r="E15">
        <f ca="1">+VLOOKUP($A15,INDIRECT(Adrese!E$2),2,FALSE)</f>
        <v>13</v>
      </c>
      <c r="F15">
        <f ca="1">+VLOOKUP($A15,INDIRECT(Adrese!F$2),2,FALSE)</f>
        <v>13</v>
      </c>
      <c r="G15" s="7">
        <f t="shared" ca="1" si="0"/>
        <v>13.2</v>
      </c>
      <c r="H15" s="7">
        <f t="shared" ca="1" si="1"/>
        <v>0.44721359549995793</v>
      </c>
      <c r="J15" s="4" t="s">
        <v>88</v>
      </c>
      <c r="K15">
        <f ca="1">+VLOOKUP($A15,INDIRECT(Adrese!B$2),3,FALSE)</f>
        <v>12</v>
      </c>
      <c r="L15">
        <f ca="1">+VLOOKUP($A15,INDIRECT(Adrese!C$2),3,FALSE)</f>
        <v>12</v>
      </c>
      <c r="M15">
        <f ca="1">+VLOOKUP($A15,INDIRECT(Adrese!D$2),3,FALSE)</f>
        <v>10</v>
      </c>
      <c r="N15">
        <f ca="1">+VLOOKUP($A15,INDIRECT(Adrese!E$2),3,FALSE)</f>
        <v>13</v>
      </c>
      <c r="O15">
        <f ca="1">+VLOOKUP($A15,INDIRECT(Adrese!F$2),3,FALSE)</f>
        <v>9</v>
      </c>
      <c r="P15">
        <f t="shared" ca="1" si="2"/>
        <v>56</v>
      </c>
      <c r="Q15" s="7">
        <f t="shared" ca="1" si="3"/>
        <v>11.2</v>
      </c>
      <c r="R15" s="7">
        <f t="shared" ca="1" si="4"/>
        <v>1.6431676725154949</v>
      </c>
      <c r="T15" s="4" t="s">
        <v>88</v>
      </c>
      <c r="U15">
        <f ca="1">+VLOOKUP($T15,INDIRECT(Adrese!B$2),4,FALSE)</f>
        <v>5611</v>
      </c>
      <c r="V15">
        <f ca="1">+VLOOKUP($T15,INDIRECT(Adrese!C$2),4,FALSE)</f>
        <v>5744</v>
      </c>
      <c r="W15">
        <f ca="1">+VLOOKUP($T15,INDIRECT(Adrese!D$2),4,FALSE)</f>
        <v>5768</v>
      </c>
      <c r="X15">
        <f ca="1">+VLOOKUP($T15,INDIRECT(Adrese!E$2),4,FALSE)</f>
        <v>5676</v>
      </c>
      <c r="Y15">
        <f ca="1">+VLOOKUP($T15,INDIRECT(Adrese!F$2),4,FALSE)</f>
        <v>5599</v>
      </c>
      <c r="Z15">
        <f t="shared" ca="1" si="5"/>
        <v>28398</v>
      </c>
      <c r="AA15" s="7">
        <f t="shared" ca="1" si="6"/>
        <v>5679.6</v>
      </c>
      <c r="AB15" s="7">
        <f t="shared" ca="1" si="7"/>
        <v>76.120299526473232</v>
      </c>
      <c r="AD15" s="4" t="s">
        <v>88</v>
      </c>
      <c r="AE15">
        <f ca="1">+VLOOKUP($A15,INDIRECT(Adrese!B$2),5,FALSE)</f>
        <v>1037</v>
      </c>
      <c r="AF15">
        <f ca="1">+VLOOKUP($A15,INDIRECT(Adrese!C$2),5,FALSE)</f>
        <v>1107</v>
      </c>
      <c r="AG15">
        <f ca="1">+VLOOKUP($A15,INDIRECT(Adrese!D$2),5,FALSE)</f>
        <v>1034</v>
      </c>
      <c r="AH15">
        <f ca="1">+VLOOKUP($A15,INDIRECT(Adrese!E$2),5,FALSE)</f>
        <v>1064</v>
      </c>
      <c r="AI15">
        <f ca="1">+VLOOKUP($A15,INDIRECT(Adrese!F$2),5,FALSE)</f>
        <v>1038</v>
      </c>
      <c r="AJ15" s="7">
        <f t="shared" ca="1" si="8"/>
        <v>1056</v>
      </c>
      <c r="AK15" s="7">
        <f t="shared" ca="1" si="9"/>
        <v>30.959651160825441</v>
      </c>
      <c r="AM15" s="4" t="s">
        <v>88</v>
      </c>
      <c r="AN15" s="7">
        <f ca="1">+VLOOKUP($A15,INDIRECT(Adrese!B$2),6,FALSE)</f>
        <v>0.34066666666666667</v>
      </c>
      <c r="AO15" s="7">
        <f ca="1">+VLOOKUP($A15,INDIRECT(Adrese!C$2),6,FALSE)</f>
        <v>0.36799999999999999</v>
      </c>
      <c r="AP15" s="7">
        <f ca="1">+VLOOKUP($A15,INDIRECT(Adrese!D$2),6,FALSE)</f>
        <v>0.34166666666666667</v>
      </c>
      <c r="AQ15" s="7">
        <f ca="1">+VLOOKUP($A15,INDIRECT(Adrese!E$2),6,FALSE)</f>
        <v>0.35399999999999998</v>
      </c>
      <c r="AR15" s="7">
        <f ca="1">+VLOOKUP($A15,INDIRECT(Adrese!F$2),6,FALSE)</f>
        <v>0.34433333333333332</v>
      </c>
      <c r="AS15" s="7" t="str">
        <f t="shared" ca="1" si="10"/>
        <v>0.35 (0.01)</v>
      </c>
      <c r="AT15" s="7">
        <f t="shared" ca="1" si="11"/>
        <v>0.34973333333333334</v>
      </c>
      <c r="AU15" s="7">
        <f t="shared" ca="1" si="12"/>
        <v>1.1492509637924071E-2</v>
      </c>
      <c r="AW15" s="4" t="s">
        <v>88</v>
      </c>
      <c r="AX15" s="7">
        <f ca="1">+VLOOKUP($A15,INDIRECT(Adrese!B$2),7,FALSE)</f>
        <v>0.2</v>
      </c>
      <c r="AY15" s="7">
        <f ca="1">+VLOOKUP($A15,INDIRECT(Adrese!C$2),7,FALSE)</f>
        <v>0.2</v>
      </c>
      <c r="AZ15" s="7">
        <f ca="1">+VLOOKUP($A15,INDIRECT(Adrese!D$2),7,FALSE)</f>
        <v>0.33333333333333331</v>
      </c>
      <c r="BA15" s="7">
        <f ca="1">+VLOOKUP($A15,INDIRECT(Adrese!E$2),7,FALSE)</f>
        <v>0.1333333333333333</v>
      </c>
      <c r="BB15" s="7">
        <f ca="1">+VLOOKUP($A15,INDIRECT(Adrese!F$2),7,FALSE)</f>
        <v>0.4</v>
      </c>
      <c r="BC15" s="7" t="str">
        <f t="shared" ca="1" si="13"/>
        <v>0.25 (0.11)</v>
      </c>
      <c r="BD15">
        <f t="shared" ca="1" si="14"/>
        <v>0.2533333333333333</v>
      </c>
      <c r="BE15" s="7">
        <f t="shared" ca="1" si="15"/>
        <v>0.10954451150103327</v>
      </c>
      <c r="BG15" s="4" t="s">
        <v>88</v>
      </c>
      <c r="BH15" s="7">
        <f ca="1">+VLOOKUP($BG15,INDIRECT(Adrese!B$2),8,FALSE)</f>
        <v>0.12647370632483029</v>
      </c>
      <c r="BI15" s="7">
        <f ca="1">+VLOOKUP($BG15,INDIRECT(Adrese!C$2),8,FALSE)</f>
        <v>0.13245074988322569</v>
      </c>
      <c r="BJ15" s="7">
        <f ca="1">+VLOOKUP($BG15,INDIRECT(Adrese!D$2),8,FALSE)</f>
        <v>0.12374278779094131</v>
      </c>
      <c r="BK15" s="7">
        <f ca="1">+VLOOKUP($BG15,INDIRECT(Adrese!E$2),8,FALSE)</f>
        <v>0.1280348653952203</v>
      </c>
      <c r="BL15" s="7">
        <f ca="1">+VLOOKUP($BG15,INDIRECT(Adrese!F$2),8,FALSE)</f>
        <v>0.12584498357630139</v>
      </c>
      <c r="BM15" s="7" t="str">
        <f t="shared" ca="1" si="16"/>
        <v>0.13 (0.00)</v>
      </c>
      <c r="BN15" s="7">
        <f t="shared" ca="1" si="17"/>
        <v>0.1273094185941038</v>
      </c>
      <c r="BO15" s="7">
        <f t="shared" ca="1" si="18"/>
        <v>3.2604984546155563E-3</v>
      </c>
      <c r="BQ15" s="4" t="s">
        <v>88</v>
      </c>
      <c r="BR15" s="7">
        <f ca="1">+VLOOKUP($BG15,INDIRECT(Adrese!B$2),9,FALSE)</f>
        <v>-0.11307584677493911</v>
      </c>
      <c r="BS15" s="7">
        <f ca="1">+VLOOKUP($BG15,INDIRECT(Adrese!C$2),9,FALSE)</f>
        <v>-0.10329146515659809</v>
      </c>
      <c r="BT15" s="7">
        <f ca="1">+VLOOKUP($BG15,INDIRECT(Adrese!D$2),9,FALSE)</f>
        <v>-0.1132762365658395</v>
      </c>
      <c r="BU15" s="7">
        <f ca="1">+VLOOKUP($BG15,INDIRECT(Adrese!E$2),9,FALSE)</f>
        <v>-0.10783218045623159</v>
      </c>
      <c r="BV15" s="7">
        <f ca="1">+VLOOKUP($BG15,INDIRECT(Adrese!F$2),9,FALSE)</f>
        <v>-0.11038172790023899</v>
      </c>
      <c r="BW15" s="7" t="str">
        <f t="shared" ca="1" si="19"/>
        <v>-0.11 (0.00)</v>
      </c>
      <c r="BX15" s="7">
        <f t="shared" ca="1" si="20"/>
        <v>-0.10957149137076946</v>
      </c>
      <c r="BY15" s="7">
        <f t="shared" ca="1" si="21"/>
        <v>4.157104121288174E-3</v>
      </c>
    </row>
    <row r="16" spans="1:84" x14ac:dyDescent="0.25">
      <c r="A16" s="4" t="s">
        <v>89</v>
      </c>
      <c r="B16">
        <f ca="1">+VLOOKUP($A16,INDIRECT(Adrese!B$2),2,FALSE)</f>
        <v>14</v>
      </c>
      <c r="C16">
        <f ca="1">+VLOOKUP($A16,INDIRECT(Adrese!C$2),2,FALSE)</f>
        <v>15</v>
      </c>
      <c r="D16">
        <f ca="1">+VLOOKUP($A16,INDIRECT(Adrese!D$2),2,FALSE)</f>
        <v>15</v>
      </c>
      <c r="E16">
        <f ca="1">+VLOOKUP($A16,INDIRECT(Adrese!E$2),2,FALSE)</f>
        <v>15</v>
      </c>
      <c r="F16">
        <f ca="1">+VLOOKUP($A16,INDIRECT(Adrese!F$2),2,FALSE)</f>
        <v>16</v>
      </c>
      <c r="G16" s="7">
        <f t="shared" ca="1" si="0"/>
        <v>15</v>
      </c>
      <c r="H16" s="7">
        <f t="shared" ca="1" si="1"/>
        <v>0.70710678118654757</v>
      </c>
      <c r="J16" s="4" t="s">
        <v>89</v>
      </c>
      <c r="K16">
        <f ca="1">+VLOOKUP($A16,INDIRECT(Adrese!B$2),3,FALSE)</f>
        <v>5</v>
      </c>
      <c r="L16">
        <f ca="1">+VLOOKUP($A16,INDIRECT(Adrese!C$2),3,FALSE)</f>
        <v>4</v>
      </c>
      <c r="M16">
        <f ca="1">+VLOOKUP($A16,INDIRECT(Adrese!D$2),3,FALSE)</f>
        <v>4</v>
      </c>
      <c r="N16">
        <f ca="1">+VLOOKUP($A16,INDIRECT(Adrese!E$2),3,FALSE)</f>
        <v>4</v>
      </c>
      <c r="O16">
        <f ca="1">+VLOOKUP($A16,INDIRECT(Adrese!F$2),3,FALSE)</f>
        <v>4</v>
      </c>
      <c r="P16">
        <f t="shared" ca="1" si="2"/>
        <v>21</v>
      </c>
      <c r="Q16" s="7">
        <f t="shared" ca="1" si="3"/>
        <v>4.2</v>
      </c>
      <c r="R16" s="7">
        <f t="shared" ca="1" si="4"/>
        <v>0.44721359549995787</v>
      </c>
      <c r="T16" s="4" t="s">
        <v>89</v>
      </c>
      <c r="U16">
        <f ca="1">+VLOOKUP($T16,INDIRECT(Adrese!B$2),4,FALSE)</f>
        <v>5523</v>
      </c>
      <c r="V16">
        <f ca="1">+VLOOKUP($T16,INDIRECT(Adrese!C$2),4,FALSE)</f>
        <v>5286</v>
      </c>
      <c r="W16">
        <f ca="1">+VLOOKUP($T16,INDIRECT(Adrese!D$2),4,FALSE)</f>
        <v>5222</v>
      </c>
      <c r="X16">
        <f ca="1">+VLOOKUP($T16,INDIRECT(Adrese!E$2),4,FALSE)</f>
        <v>4717</v>
      </c>
      <c r="Y16">
        <f ca="1">+VLOOKUP($T16,INDIRECT(Adrese!F$2),4,FALSE)</f>
        <v>4673</v>
      </c>
      <c r="Z16">
        <f t="shared" ca="1" si="5"/>
        <v>25421</v>
      </c>
      <c r="AA16" s="7">
        <f t="shared" ca="1" si="6"/>
        <v>5084.2</v>
      </c>
      <c r="AB16" s="7">
        <f t="shared" ca="1" si="7"/>
        <v>372.88698019641288</v>
      </c>
      <c r="AD16" s="4" t="s">
        <v>89</v>
      </c>
      <c r="AE16">
        <f ca="1">+VLOOKUP($A16,INDIRECT(Adrese!B$2),5,FALSE)</f>
        <v>1643</v>
      </c>
      <c r="AF16">
        <f ca="1">+VLOOKUP($A16,INDIRECT(Adrese!C$2),5,FALSE)</f>
        <v>1607</v>
      </c>
      <c r="AG16">
        <f ca="1">+VLOOKUP($A16,INDIRECT(Adrese!D$2),5,FALSE)</f>
        <v>1605</v>
      </c>
      <c r="AH16">
        <f ca="1">+VLOOKUP($A16,INDIRECT(Adrese!E$2),5,FALSE)</f>
        <v>1601</v>
      </c>
      <c r="AI16">
        <f ca="1">+VLOOKUP($A16,INDIRECT(Adrese!F$2),5,FALSE)</f>
        <v>1558</v>
      </c>
      <c r="AJ16" s="7">
        <f t="shared" ca="1" si="8"/>
        <v>1602.8</v>
      </c>
      <c r="AK16" s="7">
        <f t="shared" ca="1" si="9"/>
        <v>30.2026488904533</v>
      </c>
      <c r="AM16" s="4" t="s">
        <v>89</v>
      </c>
      <c r="AN16" s="7">
        <f ca="1">+VLOOKUP($A16,INDIRECT(Adrese!B$2),6,FALSE)</f>
        <v>0.51500000000000001</v>
      </c>
      <c r="AO16" s="7">
        <f ca="1">+VLOOKUP($A16,INDIRECT(Adrese!C$2),6,FALSE)</f>
        <v>0.5003333333333333</v>
      </c>
      <c r="AP16" s="7">
        <f ca="1">+VLOOKUP($A16,INDIRECT(Adrese!D$2),6,FALSE)</f>
        <v>0.5023333333333333</v>
      </c>
      <c r="AQ16" s="7">
        <f ca="1">+VLOOKUP($A16,INDIRECT(Adrese!E$2),6,FALSE)</f>
        <v>0.502</v>
      </c>
      <c r="AR16" s="7">
        <f ca="1">+VLOOKUP($A16,INDIRECT(Adrese!F$2),6,FALSE)</f>
        <v>0.48466666666666669</v>
      </c>
      <c r="AS16" s="7" t="str">
        <f t="shared" ca="1" si="10"/>
        <v>0.50 (0.01)</v>
      </c>
      <c r="AT16" s="7">
        <f t="shared" ca="1" si="11"/>
        <v>0.50086666666666668</v>
      </c>
      <c r="AU16" s="7">
        <f t="shared" ca="1" si="12"/>
        <v>1.0792487098800613E-2</v>
      </c>
      <c r="AW16" s="4" t="s">
        <v>89</v>
      </c>
      <c r="AX16" s="7">
        <f ca="1">+VLOOKUP($A16,INDIRECT(Adrese!B$2),7,FALSE)</f>
        <v>0.66666666666666663</v>
      </c>
      <c r="AY16" s="7">
        <f ca="1">+VLOOKUP($A16,INDIRECT(Adrese!C$2),7,FALSE)</f>
        <v>0.73333333333333328</v>
      </c>
      <c r="AZ16" s="7">
        <f ca="1">+VLOOKUP($A16,INDIRECT(Adrese!D$2),7,FALSE)</f>
        <v>0.73333333333333328</v>
      </c>
      <c r="BA16" s="7">
        <f ca="1">+VLOOKUP($A16,INDIRECT(Adrese!E$2),7,FALSE)</f>
        <v>0.73333333333333328</v>
      </c>
      <c r="BB16" s="7">
        <f ca="1">+VLOOKUP($A16,INDIRECT(Adrese!F$2),7,FALSE)</f>
        <v>0.73333333333333328</v>
      </c>
      <c r="BC16" s="7" t="str">
        <f t="shared" ca="1" si="13"/>
        <v>0.72 (0.03)</v>
      </c>
      <c r="BD16">
        <f t="shared" ca="1" si="14"/>
        <v>0.72</v>
      </c>
      <c r="BE16" s="7">
        <f t="shared" ca="1" si="15"/>
        <v>2.9814239699997188E-2</v>
      </c>
      <c r="BG16" s="4" t="s">
        <v>89</v>
      </c>
      <c r="BH16" s="7">
        <f ca="1">+VLOOKUP($BG16,INDIRECT(Adrese!B$2),8,FALSE)</f>
        <v>0.18716547698268829</v>
      </c>
      <c r="BI16" s="7">
        <f ca="1">+VLOOKUP($BG16,INDIRECT(Adrese!C$2),8,FALSE)</f>
        <v>0.18066412863971759</v>
      </c>
      <c r="BJ16" s="7">
        <f ca="1">+VLOOKUP($BG16,INDIRECT(Adrese!D$2),8,FALSE)</f>
        <v>0.1803450554314828</v>
      </c>
      <c r="BK16" s="7">
        <f ca="1">+VLOOKUP($BG16,INDIRECT(Adrese!E$2),8,FALSE)</f>
        <v>0.18238026490700149</v>
      </c>
      <c r="BL16" s="7">
        <f ca="1">+VLOOKUP($BG16,INDIRECT(Adrese!F$2),8,FALSE)</f>
        <v>0.17547742436901451</v>
      </c>
      <c r="BM16" s="7" t="str">
        <f t="shared" ca="1" si="16"/>
        <v>0.18 (0.00)</v>
      </c>
      <c r="BN16" s="7">
        <f t="shared" ca="1" si="17"/>
        <v>0.18120647006598092</v>
      </c>
      <c r="BO16" s="7">
        <f t="shared" ca="1" si="18"/>
        <v>4.2055229090825026E-3</v>
      </c>
      <c r="BQ16" s="4" t="s">
        <v>89</v>
      </c>
      <c r="BR16" s="7">
        <f ca="1">+VLOOKUP($BG16,INDIRECT(Adrese!B$2),9,FALSE)</f>
        <v>9.0507956030436345E-3</v>
      </c>
      <c r="BS16" s="7">
        <f ca="1">+VLOOKUP($BG16,INDIRECT(Adrese!C$2),9,FALSE)</f>
        <v>2.6671167280117912E-4</v>
      </c>
      <c r="BT16" s="7">
        <f ca="1">+VLOOKUP($BG16,INDIRECT(Adrese!D$2),9,FALSE)</f>
        <v>-6.9877522345661077E-3</v>
      </c>
      <c r="BU16" s="7">
        <f ca="1">+VLOOKUP($BG16,INDIRECT(Adrese!E$2),9,FALSE)</f>
        <v>5.3739366356623146E-3</v>
      </c>
      <c r="BV16" s="7">
        <f ca="1">+VLOOKUP($BG16,INDIRECT(Adrese!F$2),9,FALSE)</f>
        <v>-1.465955146936539E-2</v>
      </c>
      <c r="BW16" s="7" t="str">
        <f t="shared" ca="1" si="19"/>
        <v>0.00 (0.01)</v>
      </c>
      <c r="BX16" s="7">
        <f t="shared" ca="1" si="20"/>
        <v>-1.391171958484874E-3</v>
      </c>
      <c r="BY16" s="7">
        <f t="shared" ca="1" si="21"/>
        <v>9.5514601581758087E-3</v>
      </c>
    </row>
    <row r="17" spans="1:77" x14ac:dyDescent="0.25">
      <c r="A17" s="4" t="s">
        <v>90</v>
      </c>
      <c r="B17">
        <f ca="1">+VLOOKUP($A17,INDIRECT(Adrese!B$2),2,FALSE)</f>
        <v>15</v>
      </c>
      <c r="C17">
        <f ca="1">+VLOOKUP($A17,INDIRECT(Adrese!C$2),2,FALSE)</f>
        <v>13</v>
      </c>
      <c r="D17">
        <f ca="1">+VLOOKUP($A17,INDIRECT(Adrese!D$2),2,FALSE)</f>
        <v>14</v>
      </c>
      <c r="E17">
        <f ca="1">+VLOOKUP($A17,INDIRECT(Adrese!E$2),2,FALSE)</f>
        <v>14</v>
      </c>
      <c r="F17">
        <f ca="1">+VLOOKUP($A17,INDIRECT(Adrese!F$2),2,FALSE)</f>
        <v>15</v>
      </c>
      <c r="G17" s="7">
        <f t="shared" ca="1" si="0"/>
        <v>14.2</v>
      </c>
      <c r="H17" s="7">
        <f t="shared" ca="1" si="1"/>
        <v>0.83666002653407556</v>
      </c>
      <c r="J17" s="4" t="s">
        <v>90</v>
      </c>
      <c r="K17">
        <f ca="1">+VLOOKUP($A17,INDIRECT(Adrese!B$2),3,FALSE)</f>
        <v>8</v>
      </c>
      <c r="L17">
        <f ca="1">+VLOOKUP($A17,INDIRECT(Adrese!C$2),3,FALSE)</f>
        <v>9</v>
      </c>
      <c r="M17">
        <f ca="1">+VLOOKUP($A17,INDIRECT(Adrese!D$2),3,FALSE)</f>
        <v>8</v>
      </c>
      <c r="N17">
        <f ca="1">+VLOOKUP($A17,INDIRECT(Adrese!E$2),3,FALSE)</f>
        <v>8</v>
      </c>
      <c r="O17">
        <f ca="1">+VLOOKUP($A17,INDIRECT(Adrese!F$2),3,FALSE)</f>
        <v>10</v>
      </c>
      <c r="P17">
        <f t="shared" ca="1" si="2"/>
        <v>43</v>
      </c>
      <c r="Q17" s="7">
        <f t="shared" ca="1" si="3"/>
        <v>8.6</v>
      </c>
      <c r="R17" s="7">
        <f t="shared" ca="1" si="4"/>
        <v>0.89442719099991586</v>
      </c>
      <c r="T17" s="4" t="s">
        <v>90</v>
      </c>
      <c r="U17">
        <f ca="1">+VLOOKUP($T17,INDIRECT(Adrese!B$2),4,FALSE)</f>
        <v>5401</v>
      </c>
      <c r="V17">
        <f ca="1">+VLOOKUP($T17,INDIRECT(Adrese!C$2),4,FALSE)</f>
        <v>5874</v>
      </c>
      <c r="W17">
        <f ca="1">+VLOOKUP($T17,INDIRECT(Adrese!D$2),4,FALSE)</f>
        <v>5331</v>
      </c>
      <c r="X17">
        <f ca="1">+VLOOKUP($T17,INDIRECT(Adrese!E$2),4,FALSE)</f>
        <v>5494</v>
      </c>
      <c r="Y17">
        <f ca="1">+VLOOKUP($T17,INDIRECT(Adrese!F$2),4,FALSE)</f>
        <v>5261</v>
      </c>
      <c r="Z17">
        <f t="shared" ca="1" si="5"/>
        <v>27361</v>
      </c>
      <c r="AA17" s="7">
        <f t="shared" ca="1" si="6"/>
        <v>5472.2</v>
      </c>
      <c r="AB17" s="7">
        <f t="shared" ca="1" si="7"/>
        <v>240.58823745145978</v>
      </c>
      <c r="AD17" s="4" t="s">
        <v>90</v>
      </c>
      <c r="AE17">
        <f ca="1">+VLOOKUP($A17,INDIRECT(Adrese!B$2),5,FALSE)</f>
        <v>952</v>
      </c>
      <c r="AF17">
        <f ca="1">+VLOOKUP($A17,INDIRECT(Adrese!C$2),5,FALSE)</f>
        <v>1165</v>
      </c>
      <c r="AG17">
        <f ca="1">+VLOOKUP($A17,INDIRECT(Adrese!D$2),5,FALSE)</f>
        <v>945</v>
      </c>
      <c r="AH17">
        <f ca="1">+VLOOKUP($A17,INDIRECT(Adrese!E$2),5,FALSE)</f>
        <v>1003</v>
      </c>
      <c r="AI17">
        <f ca="1">+VLOOKUP($A17,INDIRECT(Adrese!F$2),5,FALSE)</f>
        <v>958</v>
      </c>
      <c r="AJ17" s="7">
        <f t="shared" ca="1" si="8"/>
        <v>1004.6</v>
      </c>
      <c r="AK17" s="7">
        <f t="shared" ca="1" si="9"/>
        <v>92.494864722318511</v>
      </c>
      <c r="AM17" s="4" t="s">
        <v>90</v>
      </c>
      <c r="AN17" s="7">
        <f ca="1">+VLOOKUP($A17,INDIRECT(Adrese!B$2),6,FALSE)</f>
        <v>0.307</v>
      </c>
      <c r="AO17" s="7">
        <f ca="1">+VLOOKUP($A17,INDIRECT(Adrese!C$2),6,FALSE)</f>
        <v>0.38033333333333341</v>
      </c>
      <c r="AP17" s="7">
        <f ca="1">+VLOOKUP($A17,INDIRECT(Adrese!D$2),6,FALSE)</f>
        <v>0.30333333333333329</v>
      </c>
      <c r="AQ17" s="7">
        <f ca="1">+VLOOKUP($A17,INDIRECT(Adrese!E$2),6,FALSE)</f>
        <v>0.318</v>
      </c>
      <c r="AR17" s="7">
        <f ca="1">+VLOOKUP($A17,INDIRECT(Adrese!F$2),6,FALSE)</f>
        <v>0.30566666666666659</v>
      </c>
      <c r="AS17" s="7" t="str">
        <f t="shared" ca="1" si="10"/>
        <v>0.32 (0.03)</v>
      </c>
      <c r="AT17" s="7">
        <f t="shared" ca="1" si="11"/>
        <v>0.32286666666666664</v>
      </c>
      <c r="AU17" s="7">
        <f t="shared" ca="1" si="12"/>
        <v>3.2616117351872441E-2</v>
      </c>
      <c r="AW17" s="4" t="s">
        <v>90</v>
      </c>
      <c r="AX17" s="7">
        <f ca="1">+VLOOKUP($A17,INDIRECT(Adrese!B$2),7,FALSE)</f>
        <v>0.46666666666666667</v>
      </c>
      <c r="AY17" s="7">
        <f ca="1">+VLOOKUP($A17,INDIRECT(Adrese!C$2),7,FALSE)</f>
        <v>0.4</v>
      </c>
      <c r="AZ17" s="7">
        <f ca="1">+VLOOKUP($A17,INDIRECT(Adrese!D$2),7,FALSE)</f>
        <v>0.46666666666666667</v>
      </c>
      <c r="BA17" s="7">
        <f ca="1">+VLOOKUP($A17,INDIRECT(Adrese!E$2),7,FALSE)</f>
        <v>0.46666666666666667</v>
      </c>
      <c r="BB17" s="7">
        <f ca="1">+VLOOKUP($A17,INDIRECT(Adrese!F$2),7,FALSE)</f>
        <v>0.33333333333333331</v>
      </c>
      <c r="BC17" s="7" t="str">
        <f t="shared" ca="1" si="13"/>
        <v>0.43 (0.06)</v>
      </c>
      <c r="BD17">
        <f t="shared" ca="1" si="14"/>
        <v>0.42666666666666675</v>
      </c>
      <c r="BE17" s="7">
        <f t="shared" ca="1" si="15"/>
        <v>5.9628479399993981E-2</v>
      </c>
      <c r="BG17" s="4" t="s">
        <v>90</v>
      </c>
      <c r="BH17" s="7">
        <f ca="1">+VLOOKUP($BG17,INDIRECT(Adrese!B$2),8,FALSE)</f>
        <v>0.1208522655849001</v>
      </c>
      <c r="BI17" s="7">
        <f ca="1">+VLOOKUP($BG17,INDIRECT(Adrese!C$2),8,FALSE)</f>
        <v>0.14821116663838649</v>
      </c>
      <c r="BJ17" s="7">
        <f ca="1">+VLOOKUP($BG17,INDIRECT(Adrese!D$2),8,FALSE)</f>
        <v>0.12495348675163979</v>
      </c>
      <c r="BK17" s="7">
        <f ca="1">+VLOOKUP($BG17,INDIRECT(Adrese!E$2),8,FALSE)</f>
        <v>0.1233837369267964</v>
      </c>
      <c r="BL17" s="7">
        <f ca="1">+VLOOKUP($BG17,INDIRECT(Adrese!F$2),8,FALSE)</f>
        <v>0.125905852834687</v>
      </c>
      <c r="BM17" s="7" t="str">
        <f t="shared" ca="1" si="16"/>
        <v>0.13 (0.01)</v>
      </c>
      <c r="BN17" s="7">
        <f t="shared" ca="1" si="17"/>
        <v>0.12866130174728196</v>
      </c>
      <c r="BO17" s="7">
        <f t="shared" ca="1" si="18"/>
        <v>1.1094721089690418E-2</v>
      </c>
      <c r="BQ17" s="4" t="s">
        <v>90</v>
      </c>
      <c r="BR17" s="7">
        <f ca="1">+VLOOKUP($BG17,INDIRECT(Adrese!B$2),9,FALSE)</f>
        <v>-8.5110208786240468E-2</v>
      </c>
      <c r="BS17" s="7">
        <f ca="1">+VLOOKUP($BG17,INDIRECT(Adrese!C$2),9,FALSE)</f>
        <v>-3.0902147634577701E-2</v>
      </c>
      <c r="BT17" s="7">
        <f ca="1">+VLOOKUP($BG17,INDIRECT(Adrese!D$2),9,FALSE)</f>
        <v>-6.693771463216705E-2</v>
      </c>
      <c r="BU17" s="7">
        <f ca="1">+VLOOKUP($BG17,INDIRECT(Adrese!E$2),9,FALSE)</f>
        <v>-9.4533217885892348E-2</v>
      </c>
      <c r="BV17" s="7">
        <f ca="1">+VLOOKUP($BG17,INDIRECT(Adrese!F$2),9,FALSE)</f>
        <v>-7.2495408591585556E-2</v>
      </c>
      <c r="BW17" s="7" t="str">
        <f t="shared" ca="1" si="19"/>
        <v>-0.07 (0.02)</v>
      </c>
      <c r="BX17" s="7">
        <f t="shared" ca="1" si="20"/>
        <v>-6.9995739506092627E-2</v>
      </c>
      <c r="BY17" s="7">
        <f t="shared" ca="1" si="21"/>
        <v>2.436413252068893E-2</v>
      </c>
    </row>
    <row r="18" spans="1:77" x14ac:dyDescent="0.25">
      <c r="A18" s="5" t="s">
        <v>23</v>
      </c>
      <c r="B18" s="20">
        <f ca="1">+VLOOKUP($A18,INDIRECT(Adrese!B$2),2,FALSE)</f>
        <v>16</v>
      </c>
      <c r="C18" s="20">
        <f ca="1">+VLOOKUP($A18,INDIRECT(Adrese!C$2),2,FALSE)</f>
        <v>16</v>
      </c>
      <c r="D18" s="20">
        <f ca="1">+VLOOKUP($A18,INDIRECT(Adrese!D$2),2,FALSE)</f>
        <v>16</v>
      </c>
      <c r="E18" s="20">
        <f ca="1">+VLOOKUP($A18,INDIRECT(Adrese!E$2),2,FALSE)</f>
        <v>16</v>
      </c>
      <c r="F18" s="20">
        <f ca="1">+VLOOKUP($A18,INDIRECT(Adrese!F$2),2,FALSE)</f>
        <v>14</v>
      </c>
      <c r="G18" s="8">
        <f t="shared" ca="1" si="0"/>
        <v>15.6</v>
      </c>
      <c r="H18" s="7">
        <f t="shared" ca="1" si="1"/>
        <v>0.89442719099991586</v>
      </c>
      <c r="J18" s="5" t="s">
        <v>23</v>
      </c>
      <c r="K18" s="20">
        <f ca="1">+VLOOKUP($A18,INDIRECT(Adrese!B$2),3,FALSE)</f>
        <v>3</v>
      </c>
      <c r="L18" s="20">
        <f ca="1">+VLOOKUP($A18,INDIRECT(Adrese!C$2),3,FALSE)</f>
        <v>4</v>
      </c>
      <c r="M18" s="20">
        <f ca="1">+VLOOKUP($A18,INDIRECT(Adrese!D$2),3,FALSE)</f>
        <v>4</v>
      </c>
      <c r="N18" s="20">
        <f ca="1">+VLOOKUP($A18,INDIRECT(Adrese!E$2),3,FALSE)</f>
        <v>3</v>
      </c>
      <c r="O18" s="20">
        <f ca="1">+VLOOKUP($A18,INDIRECT(Adrese!F$2),3,FALSE)</f>
        <v>3</v>
      </c>
      <c r="P18">
        <f t="shared" ca="1" si="2"/>
        <v>17</v>
      </c>
      <c r="Q18" s="8">
        <f t="shared" ca="1" si="3"/>
        <v>3.4</v>
      </c>
      <c r="R18" s="7">
        <f t="shared" ca="1" si="4"/>
        <v>0.54772255750516674</v>
      </c>
      <c r="T18" s="5" t="s">
        <v>23</v>
      </c>
      <c r="U18" s="20">
        <f ca="1">+VLOOKUP($T18,INDIRECT(Adrese!B$2),4,FALSE)</f>
        <v>4493</v>
      </c>
      <c r="V18" s="20">
        <f ca="1">+VLOOKUP($T18,INDIRECT(Adrese!C$2),4,FALSE)</f>
        <v>5263</v>
      </c>
      <c r="W18" s="20">
        <f ca="1">+VLOOKUP($T18,INDIRECT(Adrese!D$2),4,FALSE)</f>
        <v>4651</v>
      </c>
      <c r="X18" s="20">
        <f ca="1">+VLOOKUP($T18,INDIRECT(Adrese!E$2),4,FALSE)</f>
        <v>4587</v>
      </c>
      <c r="Y18" s="20">
        <f ca="1">+VLOOKUP($T18,INDIRECT(Adrese!F$2),4,FALSE)</f>
        <v>5423</v>
      </c>
      <c r="Z18">
        <f t="shared" ca="1" si="5"/>
        <v>24417</v>
      </c>
      <c r="AA18" s="7">
        <f t="shared" ca="1" si="6"/>
        <v>4883.3999999999996</v>
      </c>
      <c r="AB18" s="7">
        <f t="shared" ca="1" si="7"/>
        <v>427.06533458008505</v>
      </c>
      <c r="AD18" s="5" t="s">
        <v>23</v>
      </c>
      <c r="AE18">
        <f ca="1">+VLOOKUP($A18,INDIRECT(Adrese!B$2),5,FALSE)</f>
        <v>1585</v>
      </c>
      <c r="AF18">
        <f ca="1">+VLOOKUP($A18,INDIRECT(Adrese!C$2),5,FALSE)</f>
        <v>1596</v>
      </c>
      <c r="AG18">
        <f ca="1">+VLOOKUP($A18,INDIRECT(Adrese!D$2),5,FALSE)</f>
        <v>1576</v>
      </c>
      <c r="AH18">
        <f ca="1">+VLOOKUP($A18,INDIRECT(Adrese!E$2),5,FALSE)</f>
        <v>1648</v>
      </c>
      <c r="AI18">
        <f ca="1">+VLOOKUP($A18,INDIRECT(Adrese!F$2),5,FALSE)</f>
        <v>1570</v>
      </c>
      <c r="AJ18" s="8">
        <f t="shared" ca="1" si="8"/>
        <v>1595</v>
      </c>
      <c r="AK18" s="7">
        <f t="shared" ca="1" si="9"/>
        <v>31.208973068654469</v>
      </c>
      <c r="AM18" s="5" t="s">
        <v>23</v>
      </c>
      <c r="AN18" s="8">
        <f ca="1">+VLOOKUP($A18,INDIRECT(Adrese!B$2),6,FALSE)</f>
        <v>0.49399999999999999</v>
      </c>
      <c r="AO18" s="8">
        <f ca="1">+VLOOKUP($A18,INDIRECT(Adrese!C$2),6,FALSE)</f>
        <v>0.502</v>
      </c>
      <c r="AP18" s="8">
        <f ca="1">+VLOOKUP($A18,INDIRECT(Adrese!D$2),6,FALSE)</f>
        <v>0.49099999999999999</v>
      </c>
      <c r="AQ18" s="8">
        <f ca="1">+VLOOKUP($A18,INDIRECT(Adrese!E$2),6,FALSE)</f>
        <v>0.51633333333333331</v>
      </c>
      <c r="AR18" s="8">
        <f ca="1">+VLOOKUP($A18,INDIRECT(Adrese!F$2),6,FALSE)</f>
        <v>0.49166666666666659</v>
      </c>
      <c r="AS18" s="7" t="str">
        <f t="shared" ca="1" si="10"/>
        <v>0.50 (0.01)</v>
      </c>
      <c r="AT18" s="8">
        <f t="shared" ca="1" si="11"/>
        <v>0.499</v>
      </c>
      <c r="AU18" s="7">
        <f t="shared" ca="1" si="12"/>
        <v>1.0632758605157729E-2</v>
      </c>
      <c r="AW18" s="5" t="s">
        <v>23</v>
      </c>
      <c r="AX18" s="8">
        <f ca="1">+VLOOKUP($A18,INDIRECT(Adrese!B$2),7,FALSE)</f>
        <v>0.8</v>
      </c>
      <c r="AY18" s="8">
        <f ca="1">+VLOOKUP($A18,INDIRECT(Adrese!C$2),7,FALSE)</f>
        <v>0.73333333333333328</v>
      </c>
      <c r="AZ18" s="8">
        <f ca="1">+VLOOKUP($A18,INDIRECT(Adrese!D$2),7,FALSE)</f>
        <v>0.73333333333333328</v>
      </c>
      <c r="BA18" s="8">
        <f ca="1">+VLOOKUP($A18,INDIRECT(Adrese!E$2),7,FALSE)</f>
        <v>0.8</v>
      </c>
      <c r="BB18" s="8">
        <f ca="1">+VLOOKUP($A18,INDIRECT(Adrese!F$2),7,FALSE)</f>
        <v>0.8</v>
      </c>
      <c r="BC18" s="7" t="str">
        <f t="shared" ca="1" si="13"/>
        <v>0.77 (0.04)</v>
      </c>
      <c r="BD18" s="20">
        <f t="shared" ca="1" si="14"/>
        <v>0.77333333333333321</v>
      </c>
      <c r="BE18" s="7">
        <f t="shared" ca="1" si="15"/>
        <v>3.6514837167011129E-2</v>
      </c>
      <c r="BG18" s="5" t="s">
        <v>23</v>
      </c>
      <c r="BH18" s="8">
        <f ca="1">+VLOOKUP($BG18,INDIRECT(Adrese!B$2),8,FALSE)</f>
        <v>0.18293211035773471</v>
      </c>
      <c r="BI18" s="8">
        <f ca="1">+VLOOKUP($BG18,INDIRECT(Adrese!C$2),8,FALSE)</f>
        <v>0.17878472245209159</v>
      </c>
      <c r="BJ18" s="8">
        <f ca="1">+VLOOKUP($BG18,INDIRECT(Adrese!D$2),8,FALSE)</f>
        <v>0.17942565304212271</v>
      </c>
      <c r="BK18" s="8">
        <f ca="1">+VLOOKUP($BG18,INDIRECT(Adrese!E$2),8,FALSE)</f>
        <v>0.18842034882000619</v>
      </c>
      <c r="BL18" s="8">
        <f ca="1">+VLOOKUP($BG18,INDIRECT(Adrese!F$2),8,FALSE)</f>
        <v>0.17604482310765579</v>
      </c>
      <c r="BM18" s="7" t="str">
        <f t="shared" ca="1" si="16"/>
        <v>0.18 (0.00)</v>
      </c>
      <c r="BN18" s="8">
        <f t="shared" ca="1" si="17"/>
        <v>0.1811215315559222</v>
      </c>
      <c r="BO18" s="7">
        <f t="shared" ca="1" si="18"/>
        <v>4.7607924351434194E-3</v>
      </c>
      <c r="BQ18" s="5" t="s">
        <v>23</v>
      </c>
      <c r="BR18" s="8">
        <f ca="1">+VLOOKUP($BG18,INDIRECT(Adrese!B$2),9,FALSE)</f>
        <v>8.5684234204150191E-3</v>
      </c>
      <c r="BS18" s="8">
        <f ca="1">+VLOOKUP($BG18,INDIRECT(Adrese!C$2),9,FALSE)</f>
        <v>-3.7748235542443618E-3</v>
      </c>
      <c r="BT18" s="8">
        <f ca="1">+VLOOKUP($BG18,INDIRECT(Adrese!D$2),9,FALSE)</f>
        <v>-1.0701349059478789E-3</v>
      </c>
      <c r="BU18" s="8">
        <f ca="1">+VLOOKUP($BG18,INDIRECT(Adrese!E$2),9,FALSE)</f>
        <v>1.0628003070591171E-2</v>
      </c>
      <c r="BV18" s="8">
        <f ca="1">+VLOOKUP($BG18,INDIRECT(Adrese!F$2),9,FALSE)</f>
        <v>-1.161170553004405E-2</v>
      </c>
      <c r="BW18" s="7" t="str">
        <f t="shared" ca="1" si="19"/>
        <v>0.00 (0.01)</v>
      </c>
      <c r="BX18" s="8">
        <f t="shared" ca="1" si="20"/>
        <v>5.4795250015397953E-4</v>
      </c>
      <c r="BY18" s="7">
        <f t="shared" ca="1" si="21"/>
        <v>9.1528309331996936E-3</v>
      </c>
    </row>
    <row r="20" spans="1:77" x14ac:dyDescent="0.25">
      <c r="AK20" s="7"/>
    </row>
  </sheetData>
  <mergeCells count="1">
    <mergeCell ref="CB1:C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N22" sqref="N22"/>
    </sheetView>
  </sheetViews>
  <sheetFormatPr defaultRowHeight="15" x14ac:dyDescent="0.25"/>
  <cols>
    <col min="1" max="1" width="22.42578125" customWidth="1"/>
    <col min="3" max="3" width="6.140625" bestFit="1" customWidth="1"/>
    <col min="4" max="4" width="9.85546875" bestFit="1" customWidth="1"/>
    <col min="5" max="5" width="13.28515625" bestFit="1" customWidth="1"/>
    <col min="6" max="6" width="16.85546875" bestFit="1" customWidth="1"/>
    <col min="7" max="7" width="17.28515625" bestFit="1" customWidth="1"/>
    <col min="8" max="8" width="15.28515625" bestFit="1" customWidth="1"/>
    <col min="9" max="9" width="16.42578125" bestFit="1" customWidth="1"/>
  </cols>
  <sheetData>
    <row r="1" spans="1:9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s="1">
        <v>1</v>
      </c>
      <c r="C2">
        <v>4</v>
      </c>
      <c r="D2">
        <v>8034</v>
      </c>
      <c r="E2">
        <v>2420</v>
      </c>
      <c r="F2">
        <v>0.74</v>
      </c>
      <c r="G2">
        <v>0.73333333333333328</v>
      </c>
      <c r="H2">
        <v>0.30720581982070277</v>
      </c>
      <c r="I2">
        <v>0.31438968053060568</v>
      </c>
    </row>
    <row r="3" spans="1:9" x14ac:dyDescent="0.25">
      <c r="A3" t="s">
        <v>79</v>
      </c>
      <c r="B3" s="1">
        <v>2</v>
      </c>
      <c r="C3">
        <v>11</v>
      </c>
      <c r="D3">
        <v>7917</v>
      </c>
      <c r="E3">
        <v>2106</v>
      </c>
      <c r="F3">
        <v>0.63600000000000001</v>
      </c>
      <c r="G3">
        <v>0.26666666666666672</v>
      </c>
      <c r="H3">
        <v>0.28402317206568428</v>
      </c>
      <c r="I3">
        <v>0.32768960893937538</v>
      </c>
    </row>
    <row r="4" spans="1:9" x14ac:dyDescent="0.25">
      <c r="A4" t="s">
        <v>80</v>
      </c>
      <c r="B4" s="1">
        <v>3</v>
      </c>
      <c r="C4">
        <v>1</v>
      </c>
      <c r="D4">
        <v>7687</v>
      </c>
      <c r="E4">
        <v>2766</v>
      </c>
      <c r="F4">
        <v>0.85533333333333328</v>
      </c>
      <c r="G4">
        <v>0.93333333333333335</v>
      </c>
      <c r="H4">
        <v>0.33318080691278412</v>
      </c>
      <c r="I4">
        <v>0.2941585298527567</v>
      </c>
    </row>
    <row r="5" spans="1:9" x14ac:dyDescent="0.25">
      <c r="A5" t="s">
        <v>11</v>
      </c>
      <c r="B5" s="1">
        <v>4</v>
      </c>
      <c r="C5">
        <v>0</v>
      </c>
      <c r="D5">
        <v>7612</v>
      </c>
      <c r="E5">
        <v>2421</v>
      </c>
      <c r="F5">
        <v>0.74033333333333329</v>
      </c>
      <c r="G5">
        <v>1</v>
      </c>
      <c r="H5">
        <v>0.30921498116418539</v>
      </c>
      <c r="I5">
        <v>0.3108643745552026</v>
      </c>
    </row>
    <row r="6" spans="1:9" x14ac:dyDescent="0.25">
      <c r="A6" t="s">
        <v>81</v>
      </c>
      <c r="B6" s="1">
        <v>5</v>
      </c>
      <c r="C6">
        <v>0</v>
      </c>
      <c r="D6">
        <v>7548</v>
      </c>
      <c r="E6">
        <v>3185</v>
      </c>
      <c r="F6">
        <v>0.995</v>
      </c>
      <c r="G6">
        <v>1</v>
      </c>
      <c r="H6">
        <v>0.36303460195207699</v>
      </c>
      <c r="I6">
        <v>0.26656198431595057</v>
      </c>
    </row>
    <row r="7" spans="1:9" x14ac:dyDescent="0.25">
      <c r="A7" t="s">
        <v>82</v>
      </c>
      <c r="B7" s="1">
        <v>6</v>
      </c>
      <c r="C7">
        <v>11</v>
      </c>
      <c r="D7">
        <v>7502</v>
      </c>
      <c r="E7">
        <v>2127</v>
      </c>
      <c r="F7">
        <v>0.64300000000000002</v>
      </c>
      <c r="G7">
        <v>0.26666666666666672</v>
      </c>
      <c r="H7">
        <v>0.29042235220254142</v>
      </c>
      <c r="I7">
        <v>0.34804962562467012</v>
      </c>
    </row>
    <row r="8" spans="1:9" x14ac:dyDescent="0.25">
      <c r="A8" t="s">
        <v>83</v>
      </c>
      <c r="B8" s="1">
        <v>7</v>
      </c>
      <c r="C8">
        <v>3</v>
      </c>
      <c r="D8">
        <v>7432</v>
      </c>
      <c r="E8">
        <v>2086</v>
      </c>
      <c r="F8">
        <v>0.62866666666666671</v>
      </c>
      <c r="G8">
        <v>0.8</v>
      </c>
      <c r="H8">
        <v>0.28469909480095729</v>
      </c>
      <c r="I8">
        <v>0.33737460742629632</v>
      </c>
    </row>
    <row r="9" spans="1:9" x14ac:dyDescent="0.25">
      <c r="A9" t="s">
        <v>15</v>
      </c>
      <c r="B9" s="1">
        <v>8</v>
      </c>
      <c r="C9">
        <v>5</v>
      </c>
      <c r="D9">
        <v>7339</v>
      </c>
      <c r="E9">
        <v>1905</v>
      </c>
      <c r="F9">
        <v>0.56833333333333336</v>
      </c>
      <c r="G9">
        <v>0.66666666666666663</v>
      </c>
      <c r="H9">
        <v>0.26976603402591998</v>
      </c>
      <c r="I9">
        <v>0.34026810828455412</v>
      </c>
    </row>
    <row r="10" spans="1:9" x14ac:dyDescent="0.25">
      <c r="A10" t="s">
        <v>84</v>
      </c>
      <c r="B10" s="1">
        <v>9</v>
      </c>
      <c r="C10">
        <v>4</v>
      </c>
      <c r="D10">
        <v>7308</v>
      </c>
      <c r="E10">
        <v>1930</v>
      </c>
      <c r="F10">
        <v>0.57666666666666666</v>
      </c>
      <c r="G10">
        <v>0.73333333333333328</v>
      </c>
      <c r="H10">
        <v>0.27177519148224311</v>
      </c>
      <c r="I10">
        <v>0.3388819267287459</v>
      </c>
    </row>
    <row r="11" spans="1:9" x14ac:dyDescent="0.25">
      <c r="A11" t="s">
        <v>85</v>
      </c>
      <c r="B11" s="1">
        <v>10</v>
      </c>
      <c r="C11">
        <v>5</v>
      </c>
      <c r="D11">
        <v>7080</v>
      </c>
      <c r="E11">
        <v>1802</v>
      </c>
      <c r="F11">
        <v>0.58399999999999996</v>
      </c>
      <c r="G11">
        <v>0.66666666666666663</v>
      </c>
      <c r="H11">
        <v>0.22279110546152051</v>
      </c>
      <c r="I11">
        <v>0.1071233833785482</v>
      </c>
    </row>
    <row r="12" spans="1:9" x14ac:dyDescent="0.25">
      <c r="A12" t="s">
        <v>86</v>
      </c>
      <c r="B12" s="1">
        <v>11</v>
      </c>
      <c r="C12">
        <v>6</v>
      </c>
      <c r="D12">
        <v>6211</v>
      </c>
      <c r="E12">
        <v>1133</v>
      </c>
      <c r="F12">
        <v>0.37766666666666671</v>
      </c>
      <c r="G12">
        <v>0.6</v>
      </c>
      <c r="H12">
        <v>0.1111110849777196</v>
      </c>
      <c r="I12">
        <v>-0.17520246458343711</v>
      </c>
    </row>
    <row r="13" spans="1:9" x14ac:dyDescent="0.25">
      <c r="A13" t="s">
        <v>87</v>
      </c>
      <c r="B13" s="1">
        <v>12</v>
      </c>
      <c r="C13">
        <v>11</v>
      </c>
      <c r="D13">
        <v>6022</v>
      </c>
      <c r="E13">
        <v>950</v>
      </c>
      <c r="F13">
        <v>0.31366666666666659</v>
      </c>
      <c r="G13">
        <v>0.26666666666666672</v>
      </c>
      <c r="H13">
        <v>0.1158717778976406</v>
      </c>
      <c r="I13">
        <v>-0.10778400444561401</v>
      </c>
    </row>
    <row r="14" spans="1:9" x14ac:dyDescent="0.25">
      <c r="A14" t="s">
        <v>88</v>
      </c>
      <c r="B14" s="1">
        <v>13</v>
      </c>
      <c r="C14">
        <v>12</v>
      </c>
      <c r="D14">
        <v>5611</v>
      </c>
      <c r="E14">
        <v>1037</v>
      </c>
      <c r="F14">
        <v>0.34066666666666667</v>
      </c>
      <c r="G14">
        <v>0.2</v>
      </c>
      <c r="H14">
        <v>0.12647370632483029</v>
      </c>
      <c r="I14">
        <v>-0.11307584677493911</v>
      </c>
    </row>
    <row r="15" spans="1:9" x14ac:dyDescent="0.25">
      <c r="A15" t="s">
        <v>89</v>
      </c>
      <c r="B15" s="1">
        <v>14</v>
      </c>
      <c r="C15">
        <v>5</v>
      </c>
      <c r="D15">
        <v>5523</v>
      </c>
      <c r="E15">
        <v>1643</v>
      </c>
      <c r="F15">
        <v>0.51500000000000001</v>
      </c>
      <c r="G15">
        <v>0.66666666666666663</v>
      </c>
      <c r="H15">
        <v>0.18716547698268829</v>
      </c>
      <c r="I15">
        <v>9.0507956030436345E-3</v>
      </c>
    </row>
    <row r="16" spans="1:9" x14ac:dyDescent="0.25">
      <c r="A16" t="s">
        <v>90</v>
      </c>
      <c r="B16" s="1">
        <v>15</v>
      </c>
      <c r="C16">
        <v>8</v>
      </c>
      <c r="D16">
        <v>5401</v>
      </c>
      <c r="E16">
        <v>952</v>
      </c>
      <c r="F16">
        <v>0.307</v>
      </c>
      <c r="G16">
        <v>0.46666666666666667</v>
      </c>
      <c r="H16">
        <v>0.1208522655849001</v>
      </c>
      <c r="I16">
        <v>-8.5110208786240468E-2</v>
      </c>
    </row>
    <row r="17" spans="1:9" x14ac:dyDescent="0.25">
      <c r="A17" t="s">
        <v>23</v>
      </c>
      <c r="B17" s="1">
        <v>16</v>
      </c>
      <c r="C17">
        <v>3</v>
      </c>
      <c r="D17">
        <v>4493</v>
      </c>
      <c r="E17">
        <v>1585</v>
      </c>
      <c r="F17">
        <v>0.49399999999999999</v>
      </c>
      <c r="G17">
        <v>0.8</v>
      </c>
      <c r="H17">
        <v>0.18293211035773471</v>
      </c>
      <c r="I17">
        <v>8.5684234204150191E-3</v>
      </c>
    </row>
    <row r="19" spans="1:9" x14ac:dyDescent="0.25">
      <c r="A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</row>
    <row r="20" spans="1:9" x14ac:dyDescent="0.25">
      <c r="A20" t="s">
        <v>8</v>
      </c>
      <c r="B20" s="1">
        <v>1</v>
      </c>
      <c r="C20">
        <v>2</v>
      </c>
      <c r="D20">
        <v>7964</v>
      </c>
      <c r="E20">
        <v>2780</v>
      </c>
      <c r="F20">
        <v>0.86</v>
      </c>
      <c r="G20">
        <v>0.8666666666666667</v>
      </c>
      <c r="H20">
        <v>0.33029654722840801</v>
      </c>
      <c r="I20">
        <v>0.31534083257221318</v>
      </c>
    </row>
    <row r="21" spans="1:9" x14ac:dyDescent="0.25">
      <c r="A21" t="s">
        <v>79</v>
      </c>
      <c r="B21" s="1">
        <v>2</v>
      </c>
      <c r="C21">
        <v>11</v>
      </c>
      <c r="D21">
        <v>7845</v>
      </c>
      <c r="E21">
        <v>2101</v>
      </c>
      <c r="F21">
        <v>0.6343333333333333</v>
      </c>
      <c r="G21">
        <v>0.26666666666666672</v>
      </c>
      <c r="H21">
        <v>0.27816267228739339</v>
      </c>
      <c r="I21">
        <v>0.33351734522068249</v>
      </c>
    </row>
    <row r="22" spans="1:9" x14ac:dyDescent="0.25">
      <c r="A22" t="s">
        <v>80</v>
      </c>
      <c r="B22" s="1">
        <v>3</v>
      </c>
      <c r="C22">
        <v>1</v>
      </c>
      <c r="D22">
        <v>7745</v>
      </c>
      <c r="E22">
        <v>2775</v>
      </c>
      <c r="F22">
        <v>0.85833333333333328</v>
      </c>
      <c r="G22">
        <v>0.93333333333333335</v>
      </c>
      <c r="H22">
        <v>0.32847690392554968</v>
      </c>
      <c r="I22">
        <v>0.30198847792947131</v>
      </c>
    </row>
    <row r="23" spans="1:9" x14ac:dyDescent="0.25">
      <c r="A23" t="s">
        <v>83</v>
      </c>
      <c r="B23" s="1">
        <v>4</v>
      </c>
      <c r="C23">
        <v>3</v>
      </c>
      <c r="D23">
        <v>7710</v>
      </c>
      <c r="E23">
        <v>2148</v>
      </c>
      <c r="F23">
        <v>0.64933333333333332</v>
      </c>
      <c r="G23">
        <v>0.8</v>
      </c>
      <c r="H23">
        <v>0.28227673509254048</v>
      </c>
      <c r="I23">
        <v>0.33679999867937549</v>
      </c>
    </row>
    <row r="24" spans="1:9" x14ac:dyDescent="0.25">
      <c r="A24" t="s">
        <v>11</v>
      </c>
      <c r="B24" s="1">
        <v>5</v>
      </c>
      <c r="C24">
        <v>0</v>
      </c>
      <c r="D24">
        <v>7562</v>
      </c>
      <c r="E24">
        <v>2387</v>
      </c>
      <c r="F24">
        <v>0.72899999999999998</v>
      </c>
      <c r="G24">
        <v>1</v>
      </c>
      <c r="H24">
        <v>0.29894113681716389</v>
      </c>
      <c r="I24">
        <v>0.31091869792914062</v>
      </c>
    </row>
    <row r="25" spans="1:9" x14ac:dyDescent="0.25">
      <c r="A25" t="s">
        <v>82</v>
      </c>
      <c r="B25" s="1">
        <v>6</v>
      </c>
      <c r="C25">
        <v>11</v>
      </c>
      <c r="D25">
        <v>7552</v>
      </c>
      <c r="E25">
        <v>2067</v>
      </c>
      <c r="F25">
        <v>0.623</v>
      </c>
      <c r="G25">
        <v>0.26666666666666672</v>
      </c>
      <c r="H25">
        <v>0.27844684671344322</v>
      </c>
      <c r="I25">
        <v>0.34912123666462341</v>
      </c>
    </row>
    <row r="26" spans="1:9" x14ac:dyDescent="0.25">
      <c r="A26" t="s">
        <v>81</v>
      </c>
      <c r="B26" s="1">
        <v>7</v>
      </c>
      <c r="C26">
        <v>0</v>
      </c>
      <c r="D26">
        <v>7530</v>
      </c>
      <c r="E26">
        <v>3183</v>
      </c>
      <c r="F26">
        <v>0.99433333333333329</v>
      </c>
      <c r="G26">
        <v>1</v>
      </c>
      <c r="H26">
        <v>0.35811078473929842</v>
      </c>
      <c r="I26">
        <v>0.2778621893851585</v>
      </c>
    </row>
    <row r="27" spans="1:9" x14ac:dyDescent="0.25">
      <c r="A27" t="s">
        <v>15</v>
      </c>
      <c r="B27" s="1">
        <v>8</v>
      </c>
      <c r="C27">
        <v>5</v>
      </c>
      <c r="D27">
        <v>7421</v>
      </c>
      <c r="E27">
        <v>1968</v>
      </c>
      <c r="F27">
        <v>0.58933333333333338</v>
      </c>
      <c r="G27">
        <v>0.66666666666666663</v>
      </c>
      <c r="H27">
        <v>0.26680384291588782</v>
      </c>
      <c r="I27">
        <v>0.33444175757808592</v>
      </c>
    </row>
    <row r="28" spans="1:9" x14ac:dyDescent="0.25">
      <c r="A28" t="s">
        <v>84</v>
      </c>
      <c r="B28" s="1">
        <v>9</v>
      </c>
      <c r="C28">
        <v>4</v>
      </c>
      <c r="D28">
        <v>7325</v>
      </c>
      <c r="E28">
        <v>1962</v>
      </c>
      <c r="F28">
        <v>0.58733333333333337</v>
      </c>
      <c r="G28">
        <v>0.73333333333333328</v>
      </c>
      <c r="H28">
        <v>0.26683279876053279</v>
      </c>
      <c r="I28">
        <v>0.33728937009119531</v>
      </c>
    </row>
    <row r="29" spans="1:9" x14ac:dyDescent="0.25">
      <c r="A29" t="s">
        <v>85</v>
      </c>
      <c r="B29" s="1">
        <v>10</v>
      </c>
      <c r="C29">
        <v>5</v>
      </c>
      <c r="D29">
        <v>7249</v>
      </c>
      <c r="E29">
        <v>1988</v>
      </c>
      <c r="F29">
        <v>0.64600000000000002</v>
      </c>
      <c r="G29">
        <v>0.66666666666666663</v>
      </c>
      <c r="H29">
        <v>0.2335670228952782</v>
      </c>
      <c r="I29">
        <v>0.108671317814445</v>
      </c>
    </row>
    <row r="30" spans="1:9" x14ac:dyDescent="0.25">
      <c r="A30" t="s">
        <v>87</v>
      </c>
      <c r="B30" s="1">
        <v>11</v>
      </c>
      <c r="C30">
        <v>11</v>
      </c>
      <c r="D30">
        <v>6543</v>
      </c>
      <c r="E30">
        <v>1111</v>
      </c>
      <c r="F30">
        <v>0.36566666666666658</v>
      </c>
      <c r="G30">
        <v>0.26666666666666672</v>
      </c>
      <c r="H30">
        <v>0.13187095757654549</v>
      </c>
      <c r="I30">
        <v>-8.907992213734453E-2</v>
      </c>
    </row>
    <row r="31" spans="1:9" x14ac:dyDescent="0.25">
      <c r="A31" t="s">
        <v>86</v>
      </c>
      <c r="B31" s="1">
        <v>12</v>
      </c>
      <c r="C31">
        <v>6</v>
      </c>
      <c r="D31">
        <v>6306</v>
      </c>
      <c r="E31">
        <v>1141</v>
      </c>
      <c r="F31">
        <v>0.38033333333333341</v>
      </c>
      <c r="G31">
        <v>0.6</v>
      </c>
      <c r="H31">
        <v>0.1112201017324268</v>
      </c>
      <c r="I31">
        <v>-0.17869835693804659</v>
      </c>
    </row>
    <row r="32" spans="1:9" x14ac:dyDescent="0.25">
      <c r="A32" t="s">
        <v>90</v>
      </c>
      <c r="B32" s="1">
        <v>13</v>
      </c>
      <c r="C32">
        <v>9</v>
      </c>
      <c r="D32">
        <v>5874</v>
      </c>
      <c r="E32">
        <v>1165</v>
      </c>
      <c r="F32">
        <v>0.38033333333333341</v>
      </c>
      <c r="G32">
        <v>0.4</v>
      </c>
      <c r="H32">
        <v>0.14821116663838649</v>
      </c>
      <c r="I32">
        <v>-3.0902147634577701E-2</v>
      </c>
    </row>
    <row r="33" spans="1:9" x14ac:dyDescent="0.25">
      <c r="A33" t="s">
        <v>88</v>
      </c>
      <c r="B33" s="1">
        <v>14</v>
      </c>
      <c r="C33">
        <v>12</v>
      </c>
      <c r="D33">
        <v>5744</v>
      </c>
      <c r="E33">
        <v>1107</v>
      </c>
      <c r="F33">
        <v>0.36799999999999999</v>
      </c>
      <c r="G33">
        <v>0.2</v>
      </c>
      <c r="H33">
        <v>0.13245074988322569</v>
      </c>
      <c r="I33">
        <v>-0.10329146515659809</v>
      </c>
    </row>
    <row r="34" spans="1:9" x14ac:dyDescent="0.25">
      <c r="A34" t="s">
        <v>89</v>
      </c>
      <c r="B34" s="1">
        <v>15</v>
      </c>
      <c r="C34">
        <v>4</v>
      </c>
      <c r="D34">
        <v>5286</v>
      </c>
      <c r="E34">
        <v>1607</v>
      </c>
      <c r="F34">
        <v>0.5003333333333333</v>
      </c>
      <c r="G34">
        <v>0.73333333333333328</v>
      </c>
      <c r="H34">
        <v>0.18066412863971759</v>
      </c>
      <c r="I34">
        <v>2.6671167280117912E-4</v>
      </c>
    </row>
    <row r="35" spans="1:9" x14ac:dyDescent="0.25">
      <c r="A35" t="s">
        <v>23</v>
      </c>
      <c r="B35" s="1">
        <v>16</v>
      </c>
      <c r="C35">
        <v>4</v>
      </c>
      <c r="D35">
        <v>5263</v>
      </c>
      <c r="E35">
        <v>1596</v>
      </c>
      <c r="F35">
        <v>0.502</v>
      </c>
      <c r="G35">
        <v>0.73333333333333328</v>
      </c>
      <c r="H35">
        <v>0.17878472245209159</v>
      </c>
      <c r="I35">
        <v>-3.7748235542443618E-3</v>
      </c>
    </row>
    <row r="37" spans="1:9" x14ac:dyDescent="0.25">
      <c r="A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</row>
    <row r="38" spans="1:9" x14ac:dyDescent="0.25">
      <c r="A38" t="s">
        <v>8</v>
      </c>
      <c r="B38" s="1">
        <v>1</v>
      </c>
      <c r="C38">
        <v>2</v>
      </c>
      <c r="D38">
        <v>7941</v>
      </c>
      <c r="E38">
        <v>2768</v>
      </c>
      <c r="F38">
        <v>0.85599999999999998</v>
      </c>
      <c r="G38">
        <v>0.8666666666666667</v>
      </c>
      <c r="H38">
        <v>0.33387591496377772</v>
      </c>
      <c r="I38">
        <v>0.30150583177795698</v>
      </c>
    </row>
    <row r="39" spans="1:9" x14ac:dyDescent="0.25">
      <c r="A39" t="s">
        <v>79</v>
      </c>
      <c r="B39" s="1">
        <v>2</v>
      </c>
      <c r="C39">
        <v>11</v>
      </c>
      <c r="D39">
        <v>7843</v>
      </c>
      <c r="E39">
        <v>2077</v>
      </c>
      <c r="F39">
        <v>0.6263333333333333</v>
      </c>
      <c r="G39">
        <v>0.26666666666666672</v>
      </c>
      <c r="H39">
        <v>0.28352165849994881</v>
      </c>
      <c r="I39">
        <v>0.3314270834182893</v>
      </c>
    </row>
    <row r="40" spans="1:9" x14ac:dyDescent="0.25">
      <c r="A40" t="s">
        <v>11</v>
      </c>
      <c r="B40" s="1">
        <v>3</v>
      </c>
      <c r="C40">
        <v>0</v>
      </c>
      <c r="D40">
        <v>7665</v>
      </c>
      <c r="E40">
        <v>2434</v>
      </c>
      <c r="F40">
        <v>0.7446666666666667</v>
      </c>
      <c r="G40">
        <v>1</v>
      </c>
      <c r="H40">
        <v>0.30887422298175349</v>
      </c>
      <c r="I40">
        <v>0.30774435822006019</v>
      </c>
    </row>
    <row r="41" spans="1:9" x14ac:dyDescent="0.25">
      <c r="A41" t="s">
        <v>80</v>
      </c>
      <c r="B41" s="1">
        <v>4</v>
      </c>
      <c r="C41">
        <v>1</v>
      </c>
      <c r="D41">
        <v>7542</v>
      </c>
      <c r="E41">
        <v>2715</v>
      </c>
      <c r="F41">
        <v>0.83833333333333337</v>
      </c>
      <c r="G41">
        <v>0.93333333333333335</v>
      </c>
      <c r="H41">
        <v>0.32922219873177438</v>
      </c>
      <c r="I41">
        <v>0.29677423888031301</v>
      </c>
    </row>
    <row r="42" spans="1:9" x14ac:dyDescent="0.25">
      <c r="A42" t="s">
        <v>82</v>
      </c>
      <c r="B42" s="1">
        <v>5</v>
      </c>
      <c r="C42">
        <v>12</v>
      </c>
      <c r="D42">
        <v>7520</v>
      </c>
      <c r="E42">
        <v>2069</v>
      </c>
      <c r="F42">
        <v>0.6236666666666667</v>
      </c>
      <c r="G42">
        <v>0.2</v>
      </c>
      <c r="H42">
        <v>0.286434097499489</v>
      </c>
      <c r="I42">
        <v>0.3503644245106553</v>
      </c>
    </row>
    <row r="43" spans="1:9" x14ac:dyDescent="0.25">
      <c r="A43" t="s">
        <v>81</v>
      </c>
      <c r="B43" s="1">
        <v>6</v>
      </c>
      <c r="C43">
        <v>0</v>
      </c>
      <c r="D43">
        <v>7489</v>
      </c>
      <c r="E43">
        <v>3171</v>
      </c>
      <c r="F43">
        <v>0.99033333333333329</v>
      </c>
      <c r="G43">
        <v>1</v>
      </c>
      <c r="H43">
        <v>0.36058179167525001</v>
      </c>
      <c r="I43">
        <v>0.26631817359831073</v>
      </c>
    </row>
    <row r="44" spans="1:9" x14ac:dyDescent="0.25">
      <c r="A44" t="s">
        <v>83</v>
      </c>
      <c r="B44" s="1">
        <v>7</v>
      </c>
      <c r="C44">
        <v>3</v>
      </c>
      <c r="D44">
        <v>7457</v>
      </c>
      <c r="E44">
        <v>2086</v>
      </c>
      <c r="F44">
        <v>0.62866666666666671</v>
      </c>
      <c r="G44">
        <v>0.8</v>
      </c>
      <c r="H44">
        <v>0.28549511903349561</v>
      </c>
      <c r="I44">
        <v>0.33646117018192051</v>
      </c>
    </row>
    <row r="45" spans="1:9" x14ac:dyDescent="0.25">
      <c r="A45" t="s">
        <v>84</v>
      </c>
      <c r="B45" s="1">
        <v>8</v>
      </c>
      <c r="C45">
        <v>4</v>
      </c>
      <c r="D45">
        <v>7311</v>
      </c>
      <c r="E45">
        <v>1938</v>
      </c>
      <c r="F45">
        <v>0.57933333333333337</v>
      </c>
      <c r="G45">
        <v>0.73333333333333328</v>
      </c>
      <c r="H45">
        <v>0.27398544935381708</v>
      </c>
      <c r="I45">
        <v>0.33972635901476239</v>
      </c>
    </row>
    <row r="46" spans="1:9" x14ac:dyDescent="0.25">
      <c r="A46" t="s">
        <v>15</v>
      </c>
      <c r="B46" s="1">
        <v>9</v>
      </c>
      <c r="C46">
        <v>5</v>
      </c>
      <c r="D46">
        <v>7295</v>
      </c>
      <c r="E46">
        <v>1899</v>
      </c>
      <c r="F46">
        <v>0.56633333333333336</v>
      </c>
      <c r="G46">
        <v>0.66666666666666663</v>
      </c>
      <c r="H46">
        <v>0.2714309506553787</v>
      </c>
      <c r="I46">
        <v>0.34339321358754649</v>
      </c>
    </row>
    <row r="47" spans="1:9" x14ac:dyDescent="0.25">
      <c r="A47" t="s">
        <v>85</v>
      </c>
      <c r="B47" s="1">
        <v>10</v>
      </c>
      <c r="C47">
        <v>5</v>
      </c>
      <c r="D47">
        <v>6798</v>
      </c>
      <c r="E47">
        <v>1660</v>
      </c>
      <c r="F47">
        <v>0.53666666666666663</v>
      </c>
      <c r="G47">
        <v>0.66666666666666663</v>
      </c>
      <c r="H47">
        <v>0.21287935372395719</v>
      </c>
      <c r="I47">
        <v>0.1123553956703201</v>
      </c>
    </row>
    <row r="48" spans="1:9" x14ac:dyDescent="0.25">
      <c r="A48" t="s">
        <v>86</v>
      </c>
      <c r="B48" s="1">
        <v>11</v>
      </c>
      <c r="C48">
        <v>7</v>
      </c>
      <c r="D48">
        <v>6572</v>
      </c>
      <c r="E48">
        <v>937</v>
      </c>
      <c r="F48">
        <v>0.31233333333333341</v>
      </c>
      <c r="G48">
        <v>0.53333333333333333</v>
      </c>
      <c r="H48">
        <v>9.2082280349809517E-2</v>
      </c>
      <c r="I48">
        <v>-0.17666086346519591</v>
      </c>
    </row>
    <row r="49" spans="1:9" x14ac:dyDescent="0.25">
      <c r="A49" t="s">
        <v>87</v>
      </c>
      <c r="B49" s="1">
        <v>12</v>
      </c>
      <c r="C49">
        <v>11</v>
      </c>
      <c r="D49">
        <v>6033</v>
      </c>
      <c r="E49">
        <v>940</v>
      </c>
      <c r="F49">
        <v>0.30633333333333329</v>
      </c>
      <c r="G49">
        <v>0.26666666666666672</v>
      </c>
      <c r="H49">
        <v>0.1122386240144342</v>
      </c>
      <c r="I49">
        <v>-0.1226956937517957</v>
      </c>
    </row>
    <row r="50" spans="1:9" x14ac:dyDescent="0.25">
      <c r="A50" t="s">
        <v>88</v>
      </c>
      <c r="B50" s="1">
        <v>13</v>
      </c>
      <c r="C50">
        <v>10</v>
      </c>
      <c r="D50">
        <v>5768</v>
      </c>
      <c r="E50">
        <v>1034</v>
      </c>
      <c r="F50">
        <v>0.34166666666666667</v>
      </c>
      <c r="G50">
        <v>0.33333333333333331</v>
      </c>
      <c r="H50">
        <v>0.12374278779094131</v>
      </c>
      <c r="I50">
        <v>-0.1132762365658395</v>
      </c>
    </row>
    <row r="51" spans="1:9" x14ac:dyDescent="0.25">
      <c r="A51" t="s">
        <v>90</v>
      </c>
      <c r="B51" s="1">
        <v>14</v>
      </c>
      <c r="C51">
        <v>8</v>
      </c>
      <c r="D51">
        <v>5331</v>
      </c>
      <c r="E51">
        <v>945</v>
      </c>
      <c r="F51">
        <v>0.30333333333333329</v>
      </c>
      <c r="G51">
        <v>0.46666666666666667</v>
      </c>
      <c r="H51">
        <v>0.12495348675163979</v>
      </c>
      <c r="I51">
        <v>-6.693771463216705E-2</v>
      </c>
    </row>
    <row r="52" spans="1:9" x14ac:dyDescent="0.25">
      <c r="A52" t="s">
        <v>89</v>
      </c>
      <c r="B52" s="1">
        <v>15</v>
      </c>
      <c r="C52">
        <v>4</v>
      </c>
      <c r="D52">
        <v>5222</v>
      </c>
      <c r="E52">
        <v>1605</v>
      </c>
      <c r="F52">
        <v>0.5023333333333333</v>
      </c>
      <c r="G52">
        <v>0.73333333333333328</v>
      </c>
      <c r="H52">
        <v>0.1803450554314828</v>
      </c>
      <c r="I52">
        <v>-6.9877522345661077E-3</v>
      </c>
    </row>
    <row r="53" spans="1:9" x14ac:dyDescent="0.25">
      <c r="A53" t="s">
        <v>23</v>
      </c>
      <c r="B53" s="1">
        <v>16</v>
      </c>
      <c r="C53">
        <v>4</v>
      </c>
      <c r="D53">
        <v>4651</v>
      </c>
      <c r="E53">
        <v>1576</v>
      </c>
      <c r="F53">
        <v>0.49099999999999999</v>
      </c>
      <c r="G53">
        <v>0.73333333333333328</v>
      </c>
      <c r="H53">
        <v>0.17942565304212271</v>
      </c>
      <c r="I53">
        <v>-1.0701349059478789E-3</v>
      </c>
    </row>
    <row r="55" spans="1:9" x14ac:dyDescent="0.25">
      <c r="A55" s="1" t="s">
        <v>0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</row>
    <row r="56" spans="1:9" x14ac:dyDescent="0.25">
      <c r="A56" t="s">
        <v>8</v>
      </c>
      <c r="B56" s="1">
        <v>1</v>
      </c>
      <c r="C56">
        <v>4</v>
      </c>
      <c r="D56">
        <v>7943</v>
      </c>
      <c r="E56">
        <v>2414</v>
      </c>
      <c r="F56">
        <v>0.73799999999999999</v>
      </c>
      <c r="G56">
        <v>0.73333333333333328</v>
      </c>
      <c r="H56">
        <v>0.30806282559773651</v>
      </c>
      <c r="I56">
        <v>0.31537250043236992</v>
      </c>
    </row>
    <row r="57" spans="1:9" x14ac:dyDescent="0.25">
      <c r="A57" t="s">
        <v>79</v>
      </c>
      <c r="B57" s="1">
        <v>2</v>
      </c>
      <c r="C57">
        <v>11</v>
      </c>
      <c r="D57">
        <v>7891</v>
      </c>
      <c r="E57">
        <v>2080</v>
      </c>
      <c r="F57">
        <v>0.6273333333333333</v>
      </c>
      <c r="G57">
        <v>0.26666666666666672</v>
      </c>
      <c r="H57">
        <v>0.28285075278785632</v>
      </c>
      <c r="I57">
        <v>0.33052637152699821</v>
      </c>
    </row>
    <row r="58" spans="1:9" x14ac:dyDescent="0.25">
      <c r="A58" t="s">
        <v>11</v>
      </c>
      <c r="B58" s="1">
        <v>3</v>
      </c>
      <c r="C58">
        <v>0</v>
      </c>
      <c r="D58">
        <v>7705</v>
      </c>
      <c r="E58">
        <v>2455</v>
      </c>
      <c r="F58">
        <v>0.75166666666666671</v>
      </c>
      <c r="G58">
        <v>1</v>
      </c>
      <c r="H58">
        <v>0.310167493446248</v>
      </c>
      <c r="I58">
        <v>0.30665779859067649</v>
      </c>
    </row>
    <row r="59" spans="1:9" x14ac:dyDescent="0.25">
      <c r="A59" t="s">
        <v>80</v>
      </c>
      <c r="B59" s="1">
        <v>4</v>
      </c>
      <c r="C59">
        <v>1</v>
      </c>
      <c r="D59">
        <v>7671</v>
      </c>
      <c r="E59">
        <v>2762</v>
      </c>
      <c r="F59">
        <v>0.85399999999999998</v>
      </c>
      <c r="G59">
        <v>0.93333333333333335</v>
      </c>
      <c r="H59">
        <v>0.33323560715170902</v>
      </c>
      <c r="I59">
        <v>0.29417165726855121</v>
      </c>
    </row>
    <row r="60" spans="1:9" x14ac:dyDescent="0.25">
      <c r="A60" t="s">
        <v>83</v>
      </c>
      <c r="B60" s="1">
        <v>5</v>
      </c>
      <c r="C60">
        <v>3</v>
      </c>
      <c r="D60">
        <v>7586</v>
      </c>
      <c r="E60">
        <v>2094</v>
      </c>
      <c r="F60">
        <v>0.6313333333333333</v>
      </c>
      <c r="G60">
        <v>0.8</v>
      </c>
      <c r="H60">
        <v>0.28565708180784688</v>
      </c>
      <c r="I60">
        <v>0.33744810207980719</v>
      </c>
    </row>
    <row r="61" spans="1:9" x14ac:dyDescent="0.25">
      <c r="A61" t="s">
        <v>82</v>
      </c>
      <c r="B61" s="1">
        <v>6</v>
      </c>
      <c r="C61">
        <v>12</v>
      </c>
      <c r="D61">
        <v>7510</v>
      </c>
      <c r="E61">
        <v>2069</v>
      </c>
      <c r="F61">
        <v>0.6236666666666667</v>
      </c>
      <c r="G61">
        <v>0.2</v>
      </c>
      <c r="H61">
        <v>0.28576315766753241</v>
      </c>
      <c r="I61">
        <v>0.34707644387439862</v>
      </c>
    </row>
    <row r="62" spans="1:9" x14ac:dyDescent="0.25">
      <c r="A62" t="s">
        <v>81</v>
      </c>
      <c r="B62" s="1">
        <v>7</v>
      </c>
      <c r="C62">
        <v>0</v>
      </c>
      <c r="D62">
        <v>7476</v>
      </c>
      <c r="E62">
        <v>3192</v>
      </c>
      <c r="F62">
        <v>0.99733333333333329</v>
      </c>
      <c r="G62">
        <v>1</v>
      </c>
      <c r="H62">
        <v>0.36354842886380401</v>
      </c>
      <c r="I62">
        <v>0.2646727040167382</v>
      </c>
    </row>
    <row r="63" spans="1:9" x14ac:dyDescent="0.25">
      <c r="A63" t="s">
        <v>15</v>
      </c>
      <c r="B63" s="1">
        <v>8</v>
      </c>
      <c r="C63">
        <v>5</v>
      </c>
      <c r="D63">
        <v>7393</v>
      </c>
      <c r="E63">
        <v>1918</v>
      </c>
      <c r="F63">
        <v>0.57266666666666666</v>
      </c>
      <c r="G63">
        <v>0.66666666666666663</v>
      </c>
      <c r="H63">
        <v>0.2708562503406497</v>
      </c>
      <c r="I63">
        <v>0.3387315785949675</v>
      </c>
    </row>
    <row r="64" spans="1:9" x14ac:dyDescent="0.25">
      <c r="A64" t="s">
        <v>84</v>
      </c>
      <c r="B64" s="1">
        <v>9</v>
      </c>
      <c r="C64">
        <v>4</v>
      </c>
      <c r="D64">
        <v>7306</v>
      </c>
      <c r="E64">
        <v>1923</v>
      </c>
      <c r="F64">
        <v>0.57433333333333336</v>
      </c>
      <c r="G64">
        <v>0.73333333333333328</v>
      </c>
      <c r="H64">
        <v>0.27155829422219468</v>
      </c>
      <c r="I64">
        <v>0.33958938702662939</v>
      </c>
    </row>
    <row r="65" spans="1:9" x14ac:dyDescent="0.25">
      <c r="A65" t="s">
        <v>85</v>
      </c>
      <c r="B65" s="1">
        <v>10</v>
      </c>
      <c r="C65">
        <v>5</v>
      </c>
      <c r="D65">
        <v>7156</v>
      </c>
      <c r="E65">
        <v>1862</v>
      </c>
      <c r="F65">
        <v>0.60399999999999998</v>
      </c>
      <c r="G65">
        <v>0.66666666666666663</v>
      </c>
      <c r="H65">
        <v>0.2269614365919316</v>
      </c>
      <c r="I65">
        <v>0.10961210929575479</v>
      </c>
    </row>
    <row r="66" spans="1:9" x14ac:dyDescent="0.25">
      <c r="A66" t="s">
        <v>86</v>
      </c>
      <c r="B66" s="1">
        <v>11</v>
      </c>
      <c r="C66">
        <v>7</v>
      </c>
      <c r="D66">
        <v>6542</v>
      </c>
      <c r="E66">
        <v>937</v>
      </c>
      <c r="F66">
        <v>0.31233333333333341</v>
      </c>
      <c r="G66">
        <v>0.53333333333333333</v>
      </c>
      <c r="H66">
        <v>9.4645748066651644E-2</v>
      </c>
      <c r="I66">
        <v>-0.17526467950562841</v>
      </c>
    </row>
    <row r="67" spans="1:9" x14ac:dyDescent="0.25">
      <c r="A67" t="s">
        <v>87</v>
      </c>
      <c r="B67" s="1">
        <v>12</v>
      </c>
      <c r="C67">
        <v>10</v>
      </c>
      <c r="D67">
        <v>6078</v>
      </c>
      <c r="E67">
        <v>1026</v>
      </c>
      <c r="F67">
        <v>0.33600000000000002</v>
      </c>
      <c r="G67">
        <v>0.33333333333333331</v>
      </c>
      <c r="H67">
        <v>0.1202385273650782</v>
      </c>
      <c r="I67">
        <v>-0.1132824611458282</v>
      </c>
    </row>
    <row r="68" spans="1:9" x14ac:dyDescent="0.25">
      <c r="A68" t="s">
        <v>88</v>
      </c>
      <c r="B68" s="1">
        <v>13</v>
      </c>
      <c r="C68">
        <v>13</v>
      </c>
      <c r="D68">
        <v>5676</v>
      </c>
      <c r="E68">
        <v>1064</v>
      </c>
      <c r="F68">
        <v>0.35399999999999998</v>
      </c>
      <c r="G68">
        <v>0.1333333333333333</v>
      </c>
      <c r="H68">
        <v>0.1280348653952203</v>
      </c>
      <c r="I68">
        <v>-0.10783218045623159</v>
      </c>
    </row>
    <row r="69" spans="1:9" x14ac:dyDescent="0.25">
      <c r="A69" t="s">
        <v>90</v>
      </c>
      <c r="B69" s="1">
        <v>14</v>
      </c>
      <c r="C69">
        <v>8</v>
      </c>
      <c r="D69">
        <v>5494</v>
      </c>
      <c r="E69">
        <v>1003</v>
      </c>
      <c r="F69">
        <v>0.318</v>
      </c>
      <c r="G69">
        <v>0.46666666666666667</v>
      </c>
      <c r="H69">
        <v>0.1233837369267964</v>
      </c>
      <c r="I69">
        <v>-9.4533217885892348E-2</v>
      </c>
    </row>
    <row r="70" spans="1:9" x14ac:dyDescent="0.25">
      <c r="A70" t="s">
        <v>89</v>
      </c>
      <c r="B70" s="1">
        <v>15</v>
      </c>
      <c r="C70">
        <v>4</v>
      </c>
      <c r="D70">
        <v>4717</v>
      </c>
      <c r="E70">
        <v>1601</v>
      </c>
      <c r="F70">
        <v>0.502</v>
      </c>
      <c r="G70">
        <v>0.73333333333333328</v>
      </c>
      <c r="H70">
        <v>0.18238026490700149</v>
      </c>
      <c r="I70">
        <v>5.3739366356623146E-3</v>
      </c>
    </row>
    <row r="71" spans="1:9" x14ac:dyDescent="0.25">
      <c r="A71" t="s">
        <v>23</v>
      </c>
      <c r="B71" s="1">
        <v>16</v>
      </c>
      <c r="C71">
        <v>3</v>
      </c>
      <c r="D71">
        <v>4587</v>
      </c>
      <c r="E71">
        <v>1648</v>
      </c>
      <c r="F71">
        <v>0.51633333333333331</v>
      </c>
      <c r="G71">
        <v>0.8</v>
      </c>
      <c r="H71">
        <v>0.18842034882000619</v>
      </c>
      <c r="I71">
        <v>1.0628003070591171E-2</v>
      </c>
    </row>
    <row r="73" spans="1:9" x14ac:dyDescent="0.25">
      <c r="A73" s="1" t="s">
        <v>0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5</v>
      </c>
      <c r="H73" s="1" t="s">
        <v>6</v>
      </c>
      <c r="I73" s="1" t="s">
        <v>7</v>
      </c>
    </row>
    <row r="74" spans="1:9" x14ac:dyDescent="0.25">
      <c r="A74" t="s">
        <v>8</v>
      </c>
      <c r="B74" s="1">
        <v>1</v>
      </c>
      <c r="C74">
        <v>2</v>
      </c>
      <c r="D74">
        <v>7964</v>
      </c>
      <c r="E74">
        <v>2769</v>
      </c>
      <c r="F74">
        <v>0.85633333333333328</v>
      </c>
      <c r="G74">
        <v>0.8666666666666667</v>
      </c>
      <c r="H74">
        <v>0.33358110490764542</v>
      </c>
      <c r="I74">
        <v>0.30196077255042142</v>
      </c>
    </row>
    <row r="75" spans="1:9" x14ac:dyDescent="0.25">
      <c r="A75" t="s">
        <v>79</v>
      </c>
      <c r="B75" s="1">
        <v>2</v>
      </c>
      <c r="C75">
        <v>11</v>
      </c>
      <c r="D75">
        <v>7812</v>
      </c>
      <c r="E75">
        <v>2089</v>
      </c>
      <c r="F75">
        <v>0.6303333333333333</v>
      </c>
      <c r="G75">
        <v>0.26666666666666672</v>
      </c>
      <c r="H75">
        <v>0.28358366781997668</v>
      </c>
      <c r="I75">
        <v>0.33469424072725062</v>
      </c>
    </row>
    <row r="76" spans="1:9" x14ac:dyDescent="0.25">
      <c r="A76" t="s">
        <v>80</v>
      </c>
      <c r="B76" s="1">
        <v>3</v>
      </c>
      <c r="C76">
        <v>1</v>
      </c>
      <c r="D76">
        <v>7700</v>
      </c>
      <c r="E76">
        <v>2766</v>
      </c>
      <c r="F76">
        <v>0.85533333333333328</v>
      </c>
      <c r="G76">
        <v>0.93333333333333335</v>
      </c>
      <c r="H76">
        <v>0.33126185853638751</v>
      </c>
      <c r="I76">
        <v>0.29026881573693342</v>
      </c>
    </row>
    <row r="77" spans="1:9" x14ac:dyDescent="0.25">
      <c r="A77" t="s">
        <v>83</v>
      </c>
      <c r="B77" s="1">
        <v>4</v>
      </c>
      <c r="C77">
        <v>3</v>
      </c>
      <c r="D77">
        <v>7640</v>
      </c>
      <c r="E77">
        <v>2110</v>
      </c>
      <c r="F77">
        <v>0.63666666666666671</v>
      </c>
      <c r="G77">
        <v>0.8</v>
      </c>
      <c r="H77">
        <v>0.28599894808130272</v>
      </c>
      <c r="I77">
        <v>0.33713448375988769</v>
      </c>
    </row>
    <row r="78" spans="1:9" x14ac:dyDescent="0.25">
      <c r="A78" t="s">
        <v>11</v>
      </c>
      <c r="B78" s="1">
        <v>5</v>
      </c>
      <c r="C78">
        <v>0</v>
      </c>
      <c r="D78">
        <v>7516</v>
      </c>
      <c r="E78">
        <v>2373</v>
      </c>
      <c r="F78">
        <v>0.72433333333333338</v>
      </c>
      <c r="G78">
        <v>1</v>
      </c>
      <c r="H78">
        <v>0.30327734125256522</v>
      </c>
      <c r="I78">
        <v>0.31264658988607158</v>
      </c>
    </row>
    <row r="79" spans="1:9" x14ac:dyDescent="0.25">
      <c r="A79" t="s">
        <v>81</v>
      </c>
      <c r="B79" s="1">
        <v>6</v>
      </c>
      <c r="C79">
        <v>0</v>
      </c>
      <c r="D79">
        <v>7507</v>
      </c>
      <c r="E79">
        <v>3193</v>
      </c>
      <c r="F79">
        <v>0.9976666666666667</v>
      </c>
      <c r="G79">
        <v>1</v>
      </c>
      <c r="H79">
        <v>0.36137336268682452</v>
      </c>
      <c r="I79">
        <v>0.26287064484482281</v>
      </c>
    </row>
    <row r="80" spans="1:9" x14ac:dyDescent="0.25">
      <c r="A80" t="s">
        <v>82</v>
      </c>
      <c r="B80" s="1">
        <v>7</v>
      </c>
      <c r="C80">
        <v>11</v>
      </c>
      <c r="D80">
        <v>7474</v>
      </c>
      <c r="E80">
        <v>2053</v>
      </c>
      <c r="F80">
        <v>0.61833333333333329</v>
      </c>
      <c r="G80">
        <v>0.26666666666666672</v>
      </c>
      <c r="H80">
        <v>0.283718341889311</v>
      </c>
      <c r="I80">
        <v>0.3491097679040488</v>
      </c>
    </row>
    <row r="81" spans="1:9" x14ac:dyDescent="0.25">
      <c r="A81" t="s">
        <v>84</v>
      </c>
      <c r="B81" s="1">
        <v>8</v>
      </c>
      <c r="C81">
        <v>4</v>
      </c>
      <c r="D81">
        <v>7193</v>
      </c>
      <c r="E81">
        <v>1918</v>
      </c>
      <c r="F81">
        <v>0.57266666666666666</v>
      </c>
      <c r="G81">
        <v>0.73333333333333328</v>
      </c>
      <c r="H81">
        <v>0.27089722447098391</v>
      </c>
      <c r="I81">
        <v>0.34183082087447819</v>
      </c>
    </row>
    <row r="82" spans="1:9" x14ac:dyDescent="0.25">
      <c r="A82" t="s">
        <v>15</v>
      </c>
      <c r="B82" s="1">
        <v>9</v>
      </c>
      <c r="C82">
        <v>5</v>
      </c>
      <c r="D82">
        <v>7189</v>
      </c>
      <c r="E82">
        <v>1874</v>
      </c>
      <c r="F82">
        <v>0.55800000000000005</v>
      </c>
      <c r="G82">
        <v>0.66666666666666663</v>
      </c>
      <c r="H82">
        <v>0.26797261675032041</v>
      </c>
      <c r="I82">
        <v>0.34596930828185951</v>
      </c>
    </row>
    <row r="83" spans="1:9" x14ac:dyDescent="0.25">
      <c r="A83" t="s">
        <v>85</v>
      </c>
      <c r="B83" s="1">
        <v>10</v>
      </c>
      <c r="C83">
        <v>5</v>
      </c>
      <c r="D83">
        <v>6948</v>
      </c>
      <c r="E83">
        <v>1819</v>
      </c>
      <c r="F83">
        <v>0.58966666666666667</v>
      </c>
      <c r="G83">
        <v>0.66666666666666663</v>
      </c>
      <c r="H83">
        <v>0.22498879409922881</v>
      </c>
      <c r="I83">
        <v>0.11398584434711929</v>
      </c>
    </row>
    <row r="84" spans="1:9" x14ac:dyDescent="0.25">
      <c r="A84" t="s">
        <v>86</v>
      </c>
      <c r="B84" s="1">
        <v>11</v>
      </c>
      <c r="C84">
        <v>7</v>
      </c>
      <c r="D84">
        <v>6523</v>
      </c>
      <c r="E84">
        <v>945</v>
      </c>
      <c r="F84">
        <v>0.315</v>
      </c>
      <c r="G84">
        <v>0.53333333333333333</v>
      </c>
      <c r="H84">
        <v>9.4341249880171674E-2</v>
      </c>
      <c r="I84">
        <v>-0.17192266911230769</v>
      </c>
    </row>
    <row r="85" spans="1:9" x14ac:dyDescent="0.25">
      <c r="A85" t="s">
        <v>87</v>
      </c>
      <c r="B85" s="1">
        <v>12</v>
      </c>
      <c r="C85">
        <v>10</v>
      </c>
      <c r="D85">
        <v>6320</v>
      </c>
      <c r="E85">
        <v>1058</v>
      </c>
      <c r="F85">
        <v>0.34866666666666668</v>
      </c>
      <c r="G85">
        <v>0.33333333333333331</v>
      </c>
      <c r="H85">
        <v>0.124587213387767</v>
      </c>
      <c r="I85">
        <v>-0.1152155453321142</v>
      </c>
    </row>
    <row r="86" spans="1:9" x14ac:dyDescent="0.25">
      <c r="A86" t="s">
        <v>88</v>
      </c>
      <c r="B86" s="1">
        <v>13</v>
      </c>
      <c r="C86">
        <v>9</v>
      </c>
      <c r="D86">
        <v>5599</v>
      </c>
      <c r="E86">
        <v>1038</v>
      </c>
      <c r="F86">
        <v>0.34433333333333332</v>
      </c>
      <c r="G86">
        <v>0.4</v>
      </c>
      <c r="H86">
        <v>0.12584498357630139</v>
      </c>
      <c r="I86">
        <v>-0.11038172790023899</v>
      </c>
    </row>
    <row r="87" spans="1:9" x14ac:dyDescent="0.25">
      <c r="A87" t="s">
        <v>23</v>
      </c>
      <c r="B87" s="1">
        <v>14</v>
      </c>
      <c r="C87">
        <v>3</v>
      </c>
      <c r="D87">
        <v>5423</v>
      </c>
      <c r="E87">
        <v>1570</v>
      </c>
      <c r="F87">
        <v>0.49166666666666659</v>
      </c>
      <c r="G87">
        <v>0.8</v>
      </c>
      <c r="H87">
        <v>0.17604482310765579</v>
      </c>
      <c r="I87">
        <v>-1.161170553004405E-2</v>
      </c>
    </row>
    <row r="88" spans="1:9" x14ac:dyDescent="0.25">
      <c r="A88" t="s">
        <v>90</v>
      </c>
      <c r="B88" s="1">
        <v>15</v>
      </c>
      <c r="C88">
        <v>10</v>
      </c>
      <c r="D88">
        <v>5261</v>
      </c>
      <c r="E88">
        <v>958</v>
      </c>
      <c r="F88">
        <v>0.30566666666666659</v>
      </c>
      <c r="G88">
        <v>0.33333333333333331</v>
      </c>
      <c r="H88">
        <v>0.125905852834687</v>
      </c>
      <c r="I88">
        <v>-7.2495408591585556E-2</v>
      </c>
    </row>
    <row r="89" spans="1:9" x14ac:dyDescent="0.25">
      <c r="A89" t="s">
        <v>89</v>
      </c>
      <c r="B89" s="1">
        <v>16</v>
      </c>
      <c r="C89">
        <v>4</v>
      </c>
      <c r="D89">
        <v>4673</v>
      </c>
      <c r="E89">
        <v>1558</v>
      </c>
      <c r="F89">
        <v>0.48466666666666669</v>
      </c>
      <c r="G89">
        <v>0.73333333333333328</v>
      </c>
      <c r="H89">
        <v>0.17547742436901451</v>
      </c>
      <c r="I89">
        <v>-1.465955146936539E-2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30" x14ac:dyDescent="0.25">
      <c r="B2" s="3" t="s">
        <v>40</v>
      </c>
      <c r="C2" s="2" t="s">
        <v>41</v>
      </c>
      <c r="D2" s="2" t="s">
        <v>42</v>
      </c>
      <c r="E2" s="2" t="s">
        <v>43</v>
      </c>
      <c r="F2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3:K19"/>
  <sheetViews>
    <sheetView workbookViewId="0">
      <selection activeCell="C1" sqref="C1:C1048576"/>
    </sheetView>
  </sheetViews>
  <sheetFormatPr defaultRowHeight="15" x14ac:dyDescent="0.25"/>
  <cols>
    <col min="2" max="2" width="28.42578125" bestFit="1" customWidth="1"/>
    <col min="3" max="3" width="8.7109375" customWidth="1"/>
    <col min="4" max="4" width="9" bestFit="1" customWidth="1"/>
    <col min="5" max="5" width="10.28515625" customWidth="1"/>
    <col min="6" max="6" width="6.5703125" bestFit="1" customWidth="1"/>
    <col min="7" max="7" width="14" bestFit="1" customWidth="1"/>
    <col min="8" max="8" width="12" bestFit="1" customWidth="1"/>
    <col min="9" max="9" width="12.85546875" bestFit="1" customWidth="1"/>
    <col min="10" max="10" width="11" bestFit="1" customWidth="1"/>
    <col min="11" max="11" width="12.140625" bestFit="1" customWidth="1"/>
  </cols>
  <sheetData>
    <row r="3" spans="2:11" ht="30" x14ac:dyDescent="0.25">
      <c r="B3" s="6"/>
      <c r="C3" s="15" t="s">
        <v>24</v>
      </c>
      <c r="D3" s="15" t="s">
        <v>73</v>
      </c>
      <c r="E3" s="15" t="s">
        <v>2</v>
      </c>
      <c r="F3" s="15" t="s">
        <v>1</v>
      </c>
      <c r="G3" s="15" t="s">
        <v>3</v>
      </c>
      <c r="H3" s="15" t="s">
        <v>71</v>
      </c>
      <c r="I3" s="15" t="s">
        <v>72</v>
      </c>
      <c r="J3" s="15" t="s">
        <v>74</v>
      </c>
      <c r="K3" s="15" t="s">
        <v>75</v>
      </c>
    </row>
    <row r="4" spans="2:11" x14ac:dyDescent="0.25">
      <c r="B4" s="4" t="s">
        <v>8</v>
      </c>
      <c r="C4" s="11">
        <f ca="1">Kompilirano!G3</f>
        <v>1</v>
      </c>
      <c r="D4" s="7">
        <f t="shared" ref="D4:D19" ca="1" si="0">E4/15</f>
        <v>531.28</v>
      </c>
      <c r="E4" s="13">
        <f ca="1">Kompilirano!AA3</f>
        <v>7969.2</v>
      </c>
      <c r="F4" s="11">
        <f ca="1">Kompilirano!Q3</f>
        <v>2.8</v>
      </c>
      <c r="G4" s="13">
        <f ca="1">Kompilirano!AJ3</f>
        <v>2630.2</v>
      </c>
      <c r="H4" s="9">
        <f ca="1">Kompilirano!AT3</f>
        <v>0.81006666666666671</v>
      </c>
      <c r="I4" s="9">
        <f ca="1">Kompilirano!BD3</f>
        <v>0.81333333333333324</v>
      </c>
      <c r="J4" s="9">
        <f ca="1">Kompilirano!BN3</f>
        <v>0.32260444250365405</v>
      </c>
      <c r="K4" s="9">
        <f ca="1">Kompilirano!BX3</f>
        <v>0.30971392357271343</v>
      </c>
    </row>
    <row r="5" spans="2:11" x14ac:dyDescent="0.25">
      <c r="B5" s="4" t="s">
        <v>9</v>
      </c>
      <c r="C5" s="11">
        <f ca="1">Kompilirano!G4</f>
        <v>2</v>
      </c>
      <c r="D5" s="7">
        <f t="shared" ca="1" si="0"/>
        <v>524.10666666666668</v>
      </c>
      <c r="E5" s="13">
        <f ca="1">Kompilirano!AA4</f>
        <v>7861.6</v>
      </c>
      <c r="F5" s="11">
        <f ca="1">Kompilirano!Q4</f>
        <v>11</v>
      </c>
      <c r="G5" s="13">
        <f ca="1">Kompilirano!AJ4</f>
        <v>2090.6</v>
      </c>
      <c r="H5" s="9">
        <f ca="1">Kompilirano!AT4</f>
        <v>0.63086666666666669</v>
      </c>
      <c r="I5" s="9">
        <f ca="1">Kompilirano!BD4</f>
        <v>0.26666666666666672</v>
      </c>
      <c r="J5" s="9">
        <f ca="1">Kompilirano!BN4</f>
        <v>0.28242838469217191</v>
      </c>
      <c r="K5" s="9">
        <f ca="1">Kompilirano!BX4</f>
        <v>0.33157092996651916</v>
      </c>
    </row>
    <row r="6" spans="2:11" x14ac:dyDescent="0.25">
      <c r="B6" s="4" t="s">
        <v>10</v>
      </c>
      <c r="C6" s="11">
        <f ca="1">Kompilirano!G5</f>
        <v>3.4</v>
      </c>
      <c r="D6" s="7">
        <f t="shared" ca="1" si="0"/>
        <v>511.26666666666665</v>
      </c>
      <c r="E6" s="13">
        <f ca="1">Kompilirano!AA5</f>
        <v>7669</v>
      </c>
      <c r="F6" s="11">
        <f ca="1">Kompilirano!Q5</f>
        <v>1</v>
      </c>
      <c r="G6" s="13">
        <f ca="1">Kompilirano!AJ5</f>
        <v>2756.8</v>
      </c>
      <c r="H6" s="9">
        <f ca="1">Kompilirano!AT5</f>
        <v>0.85226666666666662</v>
      </c>
      <c r="I6" s="9">
        <f ca="1">Kompilirano!BD5</f>
        <v>0.93333333333333335</v>
      </c>
      <c r="J6" s="9">
        <f ca="1">Kompilirano!BN5</f>
        <v>0.33107547505164098</v>
      </c>
      <c r="K6" s="9">
        <f ca="1">Kompilirano!BX5</f>
        <v>0.29547234393360505</v>
      </c>
    </row>
    <row r="7" spans="2:11" x14ac:dyDescent="0.25">
      <c r="B7" s="4" t="s">
        <v>11</v>
      </c>
      <c r="C7" s="11">
        <f ca="1">Kompilirano!G6</f>
        <v>4</v>
      </c>
      <c r="D7" s="7">
        <f t="shared" ca="1" si="0"/>
        <v>507.46666666666664</v>
      </c>
      <c r="E7" s="13">
        <f ca="1">Kompilirano!AA6</f>
        <v>7612</v>
      </c>
      <c r="F7" s="11">
        <f ca="1">Kompilirano!Q6</f>
        <v>0</v>
      </c>
      <c r="G7" s="13">
        <f ca="1">Kompilirano!AJ6</f>
        <v>2414</v>
      </c>
      <c r="H7" s="9">
        <f ca="1">Kompilirano!AT6</f>
        <v>0.73799999999999999</v>
      </c>
      <c r="I7" s="9">
        <f ca="1">Kompilirano!BD6</f>
        <v>1</v>
      </c>
      <c r="J7" s="9">
        <f ca="1">Kompilirano!BN6</f>
        <v>0.30609503513238323</v>
      </c>
      <c r="K7" s="9">
        <f ca="1">Kompilirano!BX6</f>
        <v>0.3097663638362303</v>
      </c>
    </row>
    <row r="8" spans="2:11" x14ac:dyDescent="0.25">
      <c r="B8" s="4" t="s">
        <v>14</v>
      </c>
      <c r="C8" s="11">
        <f ca="1">Kompilirano!G9</f>
        <v>5.4</v>
      </c>
      <c r="D8" s="7">
        <f t="shared" ca="1" si="0"/>
        <v>504.33333333333331</v>
      </c>
      <c r="E8" s="13">
        <f ca="1">Kompilirano!AA9</f>
        <v>7565</v>
      </c>
      <c r="F8" s="11">
        <f ca="1">Kompilirano!Q9</f>
        <v>3</v>
      </c>
      <c r="G8" s="13">
        <f ca="1">Kompilirano!AJ9</f>
        <v>2104.8000000000002</v>
      </c>
      <c r="H8" s="9">
        <f ca="1">Kompilirano!AT9</f>
        <v>0.63493333333333335</v>
      </c>
      <c r="I8" s="9">
        <f ca="1">Kompilirano!BD9</f>
        <v>0.8</v>
      </c>
      <c r="J8" s="9">
        <f ca="1">Kompilirano!BN9</f>
        <v>0.28482539576322857</v>
      </c>
      <c r="K8" s="9">
        <f ca="1">Kompilirano!BX9</f>
        <v>0.33704367242545746</v>
      </c>
    </row>
    <row r="9" spans="2:11" x14ac:dyDescent="0.25">
      <c r="B9" s="4" t="s">
        <v>13</v>
      </c>
      <c r="C9" s="11">
        <f ca="1">Kompilirano!G8</f>
        <v>6</v>
      </c>
      <c r="D9" s="7">
        <f t="shared" ca="1" si="0"/>
        <v>500.77333333333337</v>
      </c>
      <c r="E9" s="13">
        <f ca="1">Kompilirano!AA8</f>
        <v>7511.6</v>
      </c>
      <c r="F9" s="11">
        <f ca="1">Kompilirano!Q8</f>
        <v>11.4</v>
      </c>
      <c r="G9" s="13">
        <f ca="1">Kompilirano!AJ8</f>
        <v>2077</v>
      </c>
      <c r="H9" s="9">
        <f ca="1">Kompilirano!AT8</f>
        <v>0.62633333333333341</v>
      </c>
      <c r="I9" s="9">
        <f ca="1">Kompilirano!BD8</f>
        <v>0.24000000000000005</v>
      </c>
      <c r="J9" s="9">
        <f ca="1">Kompilirano!BN8</f>
        <v>0.2849569591944634</v>
      </c>
      <c r="K9" s="9">
        <f ca="1">Kompilirano!BX8</f>
        <v>0.34874429971567922</v>
      </c>
    </row>
    <row r="10" spans="2:11" x14ac:dyDescent="0.25">
      <c r="B10" s="4" t="s">
        <v>12</v>
      </c>
      <c r="C10" s="11">
        <f ca="1">Kompilirano!G7</f>
        <v>6.2</v>
      </c>
      <c r="D10" s="7">
        <f t="shared" ca="1" si="0"/>
        <v>500.66666666666669</v>
      </c>
      <c r="E10" s="13">
        <f ca="1">Kompilirano!AA7</f>
        <v>7510</v>
      </c>
      <c r="F10" s="11">
        <f ca="1">Kompilirano!Q7</f>
        <v>0</v>
      </c>
      <c r="G10" s="13">
        <f ca="1">Kompilirano!AJ7</f>
        <v>3184.8</v>
      </c>
      <c r="H10" s="9">
        <f ca="1">Kompilirano!AT7</f>
        <v>0.99493333333333334</v>
      </c>
      <c r="I10" s="9">
        <f ca="1">Kompilirano!BD7</f>
        <v>1</v>
      </c>
      <c r="J10" s="9">
        <f ca="1">Kompilirano!BN7</f>
        <v>0.36132979398345078</v>
      </c>
      <c r="K10" s="9">
        <f ca="1">Kompilirano!BX7</f>
        <v>0.26765713923219614</v>
      </c>
    </row>
    <row r="11" spans="2:11" x14ac:dyDescent="0.25">
      <c r="B11" s="4" t="s">
        <v>15</v>
      </c>
      <c r="C11" s="11">
        <f ca="1">Kompilirano!G10</f>
        <v>8.4</v>
      </c>
      <c r="D11" s="7">
        <f t="shared" ca="1" si="0"/>
        <v>488.49333333333328</v>
      </c>
      <c r="E11" s="13">
        <f ca="1">Kompilirano!AA10</f>
        <v>7327.4</v>
      </c>
      <c r="F11" s="11">
        <f ca="1">Kompilirano!Q10</f>
        <v>5</v>
      </c>
      <c r="G11" s="13">
        <f ca="1">Kompilirano!AJ10</f>
        <v>1912.8</v>
      </c>
      <c r="H11" s="9">
        <f ca="1">Kompilirano!AT10</f>
        <v>0.57093333333333329</v>
      </c>
      <c r="I11" s="9">
        <f ca="1">Kompilirano!BD10</f>
        <v>0.66666666666666663</v>
      </c>
      <c r="J11" s="9">
        <f ca="1">Kompilirano!BN10</f>
        <v>0.26936593893763133</v>
      </c>
      <c r="K11" s="9">
        <f ca="1">Kompilirano!BX10</f>
        <v>0.34056079326540273</v>
      </c>
    </row>
    <row r="12" spans="2:11" x14ac:dyDescent="0.25">
      <c r="B12" s="4" t="s">
        <v>16</v>
      </c>
      <c r="C12" s="11">
        <f ca="1">Kompilirano!G11</f>
        <v>8.6</v>
      </c>
      <c r="D12" s="7">
        <f t="shared" ca="1" si="0"/>
        <v>485.90666666666669</v>
      </c>
      <c r="E12" s="13">
        <f ca="1">Kompilirano!AA11</f>
        <v>7288.6</v>
      </c>
      <c r="F12" s="11">
        <f ca="1">Kompilirano!Q11</f>
        <v>4</v>
      </c>
      <c r="G12" s="13">
        <f ca="1">Kompilirano!AJ11</f>
        <v>1934.2</v>
      </c>
      <c r="H12" s="9">
        <f ca="1">Kompilirano!AT11</f>
        <v>0.57806666666666673</v>
      </c>
      <c r="I12" s="9">
        <f ca="1">Kompilirano!BD11</f>
        <v>0.73333333333333328</v>
      </c>
      <c r="J12" s="9">
        <f ca="1">Kompilirano!BN11</f>
        <v>0.2710097916579543</v>
      </c>
      <c r="K12" s="9">
        <f ca="1">Kompilirano!BX11</f>
        <v>0.33946357274716221</v>
      </c>
    </row>
    <row r="13" spans="2:11" x14ac:dyDescent="0.25">
      <c r="B13" s="4" t="s">
        <v>17</v>
      </c>
      <c r="C13" s="11">
        <f ca="1">Kompilirano!G12</f>
        <v>10</v>
      </c>
      <c r="D13" s="7">
        <f t="shared" ca="1" si="0"/>
        <v>469.74666666666667</v>
      </c>
      <c r="E13" s="13">
        <f ca="1">Kompilirano!AA12</f>
        <v>7046.2</v>
      </c>
      <c r="F13" s="11">
        <f ca="1">Kompilirano!Q12</f>
        <v>5</v>
      </c>
      <c r="G13" s="13">
        <f ca="1">Kompilirano!AJ12</f>
        <v>1826.2</v>
      </c>
      <c r="H13" s="9">
        <f ca="1">Kompilirano!AT12</f>
        <v>0.59206666666666663</v>
      </c>
      <c r="I13" s="9">
        <f ca="1">Kompilirano!BD12</f>
        <v>0.66666666666666663</v>
      </c>
      <c r="J13" s="9">
        <f ca="1">Kompilirano!BN12</f>
        <v>0.22423754255438327</v>
      </c>
      <c r="K13" s="9">
        <f ca="1">Kompilirano!BX12</f>
        <v>0.11034961010123749</v>
      </c>
    </row>
    <row r="14" spans="2:11" x14ac:dyDescent="0.25">
      <c r="B14" s="4" t="s">
        <v>18</v>
      </c>
      <c r="C14" s="11">
        <f ca="1">Kompilirano!G13</f>
        <v>11.2</v>
      </c>
      <c r="D14" s="7">
        <f t="shared" ca="1" si="0"/>
        <v>428.72</v>
      </c>
      <c r="E14" s="13">
        <f ca="1">Kompilirano!AA13</f>
        <v>6430.8</v>
      </c>
      <c r="F14" s="11">
        <f ca="1">Kompilirano!Q13</f>
        <v>6.6</v>
      </c>
      <c r="G14" s="13">
        <f ca="1">Kompilirano!AJ13</f>
        <v>1018.6</v>
      </c>
      <c r="H14" s="9">
        <f ca="1">Kompilirano!AT13</f>
        <v>0.33953333333333335</v>
      </c>
      <c r="I14" s="9">
        <f ca="1">Kompilirano!BD13</f>
        <v>0.55999999999999994</v>
      </c>
      <c r="J14" s="9">
        <f ca="1">Kompilirano!BN13</f>
        <v>0.10068009300135586</v>
      </c>
      <c r="K14" s="9">
        <f ca="1">Kompilirano!BX13</f>
        <v>-0.17554980672092316</v>
      </c>
    </row>
    <row r="15" spans="2:11" x14ac:dyDescent="0.25">
      <c r="B15" s="4" t="s">
        <v>19</v>
      </c>
      <c r="C15" s="11">
        <f ca="1">Kompilirano!G14</f>
        <v>11.8</v>
      </c>
      <c r="D15" s="7">
        <f t="shared" ca="1" si="0"/>
        <v>413.28</v>
      </c>
      <c r="E15" s="13">
        <f ca="1">Kompilirano!AA14</f>
        <v>6199.2</v>
      </c>
      <c r="F15" s="11">
        <f ca="1">Kompilirano!Q14</f>
        <v>10.6</v>
      </c>
      <c r="G15" s="13">
        <f ca="1">Kompilirano!AJ14</f>
        <v>1017</v>
      </c>
      <c r="H15" s="9">
        <f ca="1">Kompilirano!AT14</f>
        <v>0.33406666666666662</v>
      </c>
      <c r="I15" s="9">
        <f ca="1">Kompilirano!BD14</f>
        <v>0.29333333333333333</v>
      </c>
      <c r="J15" s="9">
        <f ca="1">Kompilirano!BN14</f>
        <v>0.12096142004829309</v>
      </c>
      <c r="K15" s="9">
        <f ca="1">Kompilirano!BX14</f>
        <v>-0.10961152536253933</v>
      </c>
    </row>
    <row r="16" spans="2:11" x14ac:dyDescent="0.25">
      <c r="B16" s="4" t="s">
        <v>20</v>
      </c>
      <c r="C16" s="11">
        <f ca="1">Kompilirano!G15</f>
        <v>13.2</v>
      </c>
      <c r="D16" s="7">
        <f t="shared" ca="1" si="0"/>
        <v>378.64000000000004</v>
      </c>
      <c r="E16" s="13">
        <f ca="1">Kompilirano!AA15</f>
        <v>5679.6</v>
      </c>
      <c r="F16" s="11">
        <f ca="1">Kompilirano!Q15</f>
        <v>11.2</v>
      </c>
      <c r="G16" s="13">
        <f ca="1">Kompilirano!AJ15</f>
        <v>1056</v>
      </c>
      <c r="H16" s="9">
        <f ca="1">Kompilirano!AT15</f>
        <v>0.34973333333333334</v>
      </c>
      <c r="I16" s="9">
        <f ca="1">Kompilirano!BD15</f>
        <v>0.2533333333333333</v>
      </c>
      <c r="J16" s="9">
        <f ca="1">Kompilirano!BN15</f>
        <v>0.1273094185941038</v>
      </c>
      <c r="K16" s="9">
        <f ca="1">Kompilirano!BX15</f>
        <v>-0.10957149137076946</v>
      </c>
    </row>
    <row r="17" spans="2:11" x14ac:dyDescent="0.25">
      <c r="B17" s="4" t="s">
        <v>22</v>
      </c>
      <c r="C17" s="11">
        <f ca="1">Kompilirano!G17</f>
        <v>14.2</v>
      </c>
      <c r="D17" s="7">
        <f t="shared" ca="1" si="0"/>
        <v>364.81333333333333</v>
      </c>
      <c r="E17" s="13">
        <f ca="1">Kompilirano!AA17</f>
        <v>5472.2</v>
      </c>
      <c r="F17" s="11">
        <f ca="1">Kompilirano!Q17</f>
        <v>8.6</v>
      </c>
      <c r="G17" s="13">
        <f ca="1">Kompilirano!AJ17</f>
        <v>1004.6</v>
      </c>
      <c r="H17" s="9">
        <f ca="1">Kompilirano!AT17</f>
        <v>0.32286666666666664</v>
      </c>
      <c r="I17" s="9">
        <f ca="1">Kompilirano!BD17</f>
        <v>0.42666666666666675</v>
      </c>
      <c r="J17" s="9">
        <f ca="1">Kompilirano!BN17</f>
        <v>0.12866130174728196</v>
      </c>
      <c r="K17" s="9">
        <f ca="1">Kompilirano!BX17</f>
        <v>-6.9995739506092627E-2</v>
      </c>
    </row>
    <row r="18" spans="2:11" x14ac:dyDescent="0.25">
      <c r="B18" s="4" t="s">
        <v>21</v>
      </c>
      <c r="C18" s="11">
        <f ca="1">Kompilirano!G16</f>
        <v>15</v>
      </c>
      <c r="D18" s="7">
        <f t="shared" ca="1" si="0"/>
        <v>338.94666666666666</v>
      </c>
      <c r="E18" s="13">
        <f ca="1">Kompilirano!AA16</f>
        <v>5084.2</v>
      </c>
      <c r="F18" s="11">
        <f ca="1">Kompilirano!Q16</f>
        <v>4.2</v>
      </c>
      <c r="G18" s="13">
        <f ca="1">Kompilirano!AJ16</f>
        <v>1602.8</v>
      </c>
      <c r="H18" s="9">
        <f ca="1">Kompilirano!AT16</f>
        <v>0.50086666666666668</v>
      </c>
      <c r="I18" s="9">
        <f ca="1">Kompilirano!BD16</f>
        <v>0.72</v>
      </c>
      <c r="J18" s="9">
        <f ca="1">Kompilirano!BN16</f>
        <v>0.18120647006598092</v>
      </c>
      <c r="K18" s="9">
        <f ca="1">Kompilirano!BX16</f>
        <v>-1.391171958484874E-3</v>
      </c>
    </row>
    <row r="19" spans="2:11" x14ac:dyDescent="0.25">
      <c r="B19" s="5" t="s">
        <v>23</v>
      </c>
      <c r="C19" s="12">
        <f ca="1">Kompilirano!G18</f>
        <v>15.6</v>
      </c>
      <c r="D19" s="7">
        <f t="shared" ca="1" si="0"/>
        <v>325.56</v>
      </c>
      <c r="E19" s="14">
        <f ca="1">Kompilirano!AA18</f>
        <v>4883.3999999999996</v>
      </c>
      <c r="F19" s="12">
        <f ca="1">Kompilirano!Q18</f>
        <v>3.4</v>
      </c>
      <c r="G19" s="14">
        <f ca="1">Kompilirano!AJ18</f>
        <v>1595</v>
      </c>
      <c r="H19" s="10">
        <f ca="1">Kompilirano!AT18</f>
        <v>0.499</v>
      </c>
      <c r="I19" s="10">
        <f ca="1">Kompilirano!BD18</f>
        <v>0.77333333333333321</v>
      </c>
      <c r="J19" s="10">
        <f ca="1">Kompilirano!BN18</f>
        <v>0.1811215315559222</v>
      </c>
      <c r="K19" s="10">
        <f ca="1">Kompilirano!BX18</f>
        <v>5.4795250015397953E-4</v>
      </c>
    </row>
  </sheetData>
  <sortState xmlns:xlrd2="http://schemas.microsoft.com/office/spreadsheetml/2017/richdata2" ref="B4:K19">
    <sortCondition descending="1" ref="D4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2026-02-11T10:14:39Z</dcterms:modified>
</cp:coreProperties>
</file>