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Ognjen\axl_mab\Axelrod\mab\fuzzy_outputs\Final all\"/>
    </mc:Choice>
  </mc:AlternateContent>
  <xr:revisionPtr revIDLastSave="0" documentId="13_ncr:1_{84FD1AFB-6938-42D5-BD23-DC868E5BF50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INAL FINAL" sheetId="5" r:id="rId1"/>
    <sheet name="Kompilirano" sheetId="2" r:id="rId2"/>
    <sheet name="Svi" sheetId="1" r:id="rId3"/>
    <sheet name="Adrese" sheetId="3" r:id="rId4"/>
    <sheet name="Final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9" i="2" l="1"/>
  <c r="V37" i="2"/>
  <c r="Y95" i="2"/>
  <c r="Y157" i="2"/>
  <c r="W23" i="2"/>
  <c r="Y148" i="2"/>
  <c r="V133" i="2"/>
  <c r="X24" i="2"/>
  <c r="V38" i="2"/>
  <c r="Y196" i="2"/>
  <c r="X175" i="2"/>
  <c r="AF41" i="2"/>
  <c r="V52" i="2"/>
  <c r="AF26" i="2"/>
  <c r="Y90" i="2"/>
  <c r="AH155" i="2"/>
  <c r="W150" i="2"/>
  <c r="V182" i="2"/>
  <c r="Y76" i="2"/>
  <c r="Y217" i="2"/>
  <c r="V222" i="2"/>
  <c r="W112" i="2"/>
  <c r="W166" i="2"/>
  <c r="X141" i="2"/>
  <c r="W128" i="2"/>
  <c r="AF66" i="2"/>
  <c r="AE223" i="2"/>
  <c r="X129" i="2"/>
  <c r="AH176" i="2"/>
  <c r="BU32" i="2"/>
  <c r="AI131" i="2"/>
  <c r="X104" i="2"/>
  <c r="V33" i="2"/>
  <c r="X170" i="2"/>
  <c r="X75" i="2"/>
  <c r="Y101" i="2"/>
  <c r="V185" i="2"/>
  <c r="V167" i="2"/>
  <c r="V24" i="2"/>
  <c r="Y89" i="2"/>
  <c r="X147" i="2"/>
  <c r="U82" i="2"/>
  <c r="U201" i="2"/>
  <c r="V119" i="2"/>
  <c r="Y115" i="2"/>
  <c r="AG38" i="2"/>
  <c r="V219" i="2"/>
  <c r="U224" i="2"/>
  <c r="Y78" i="2"/>
  <c r="AH119" i="2"/>
  <c r="W153" i="2"/>
  <c r="U228" i="2"/>
  <c r="V20" i="2"/>
  <c r="AI183" i="2"/>
  <c r="Y153" i="2"/>
  <c r="AG7" i="2"/>
  <c r="AH150" i="2"/>
  <c r="X166" i="2"/>
  <c r="AI96" i="2"/>
  <c r="AG49" i="2"/>
  <c r="W44" i="2"/>
  <c r="AF116" i="2"/>
  <c r="V204" i="2"/>
  <c r="AH54" i="2"/>
  <c r="AG84" i="2"/>
  <c r="X220" i="2"/>
  <c r="BT120" i="2"/>
  <c r="AI163" i="2"/>
  <c r="U98" i="2"/>
  <c r="BT134" i="2"/>
  <c r="U141" i="2"/>
  <c r="X70" i="2"/>
  <c r="U185" i="2"/>
  <c r="AH88" i="2"/>
  <c r="AE31" i="2"/>
  <c r="Y18" i="2"/>
  <c r="Y187" i="2"/>
  <c r="X191" i="2"/>
  <c r="AE148" i="2"/>
  <c r="W157" i="2"/>
  <c r="W86" i="2"/>
  <c r="U212" i="2"/>
  <c r="AG228" i="2"/>
  <c r="W27" i="2"/>
  <c r="AF182" i="2"/>
  <c r="AI60" i="2"/>
  <c r="U187" i="2"/>
  <c r="W131" i="2"/>
  <c r="V68" i="2"/>
  <c r="X171" i="2"/>
  <c r="Y123" i="2"/>
  <c r="W108" i="2"/>
  <c r="V50" i="2"/>
  <c r="AG97" i="2"/>
  <c r="AF168" i="2"/>
  <c r="Y172" i="2"/>
  <c r="V42" i="2"/>
  <c r="X179" i="2"/>
  <c r="U156" i="2"/>
  <c r="V95" i="2"/>
  <c r="AH151" i="2"/>
  <c r="U101" i="2"/>
  <c r="Y165" i="2"/>
  <c r="X213" i="2"/>
  <c r="AE139" i="2"/>
  <c r="AG212" i="2"/>
  <c r="AF177" i="2"/>
  <c r="AI109" i="2"/>
  <c r="AG96" i="2"/>
  <c r="U116" i="2"/>
  <c r="AE120" i="2"/>
  <c r="Y35" i="2"/>
  <c r="AI215" i="2"/>
  <c r="U133" i="2"/>
  <c r="U208" i="2"/>
  <c r="V194" i="2"/>
  <c r="BV228" i="2"/>
  <c r="V40" i="2"/>
  <c r="U74" i="2"/>
  <c r="W145" i="2"/>
  <c r="AF123" i="2"/>
  <c r="X158" i="2"/>
  <c r="X65" i="2"/>
  <c r="AH56" i="2"/>
  <c r="AH100" i="2"/>
  <c r="AG142" i="2"/>
  <c r="AI49" i="2"/>
  <c r="X31" i="2"/>
  <c r="AG80" i="2"/>
  <c r="X94" i="2"/>
  <c r="X199" i="2"/>
  <c r="Y141" i="2"/>
  <c r="W159" i="2"/>
  <c r="U163" i="2"/>
  <c r="Y59" i="2"/>
  <c r="V107" i="2"/>
  <c r="AE102" i="2"/>
  <c r="X172" i="2"/>
  <c r="Y62" i="2"/>
  <c r="U202" i="2"/>
  <c r="AE149" i="2"/>
  <c r="X40" i="2"/>
  <c r="AH162" i="2"/>
  <c r="U36" i="2"/>
  <c r="AG130" i="2"/>
  <c r="Y108" i="2"/>
  <c r="V189" i="2"/>
  <c r="V76" i="2"/>
  <c r="V162" i="2"/>
  <c r="Y19" i="2"/>
  <c r="AG91" i="2"/>
  <c r="Y214" i="2"/>
  <c r="U42" i="2"/>
  <c r="Y127" i="2"/>
  <c r="W187" i="2"/>
  <c r="X43" i="2"/>
  <c r="AF198" i="2"/>
  <c r="AF91" i="2"/>
  <c r="BS190" i="2"/>
  <c r="X83" i="2"/>
  <c r="AF88" i="2"/>
  <c r="V193" i="2"/>
  <c r="W225" i="2"/>
  <c r="AE23" i="2"/>
  <c r="W139" i="2"/>
  <c r="X155" i="2"/>
  <c r="V80" i="2"/>
  <c r="AE159" i="2"/>
  <c r="AG191" i="2"/>
  <c r="AG83" i="2"/>
  <c r="AH71" i="2"/>
  <c r="AF25" i="2"/>
  <c r="AI205" i="2"/>
  <c r="W68" i="2"/>
  <c r="V137" i="2"/>
  <c r="W109" i="2"/>
  <c r="AG143" i="2"/>
  <c r="AE5" i="2"/>
  <c r="U66" i="2"/>
  <c r="AI43" i="2"/>
  <c r="AG100" i="2"/>
  <c r="U93" i="2"/>
  <c r="W81" i="2"/>
  <c r="W216" i="2"/>
  <c r="AG116" i="2"/>
  <c r="U56" i="2"/>
  <c r="AG207" i="2"/>
  <c r="U17" i="2"/>
  <c r="W136" i="2"/>
  <c r="U164" i="2"/>
  <c r="V191" i="2"/>
  <c r="W63" i="2"/>
  <c r="U63" i="2"/>
  <c r="AH109" i="2"/>
  <c r="V152" i="2"/>
  <c r="AG161" i="2"/>
  <c r="Y96" i="2"/>
  <c r="AF97" i="2"/>
  <c r="U179" i="2"/>
  <c r="V145" i="2"/>
  <c r="AI146" i="2"/>
  <c r="U73" i="2"/>
  <c r="AE177" i="2"/>
  <c r="X46" i="2"/>
  <c r="AF76" i="2"/>
  <c r="V98" i="2"/>
  <c r="X32" i="2"/>
  <c r="X193" i="2"/>
  <c r="Y136" i="2"/>
  <c r="V43" i="2"/>
  <c r="X63" i="2"/>
  <c r="U131" i="2"/>
  <c r="Y26" i="2"/>
  <c r="AI152" i="2"/>
  <c r="W171" i="2"/>
  <c r="U12" i="2"/>
  <c r="V55" i="2"/>
  <c r="V149" i="2"/>
  <c r="W154" i="2"/>
  <c r="W198" i="2"/>
  <c r="X89" i="2"/>
  <c r="AI99" i="2"/>
  <c r="AI116" i="2"/>
  <c r="BK55" i="2"/>
  <c r="U46" i="2"/>
  <c r="W148" i="2"/>
  <c r="AF163" i="2"/>
  <c r="BT25" i="2"/>
  <c r="AE59" i="2"/>
  <c r="AE25" i="2"/>
  <c r="U134" i="2"/>
  <c r="Y133" i="2"/>
  <c r="U67" i="2"/>
  <c r="X120" i="2"/>
  <c r="U143" i="2"/>
  <c r="AI118" i="2"/>
  <c r="Y45" i="2"/>
  <c r="BR103" i="2"/>
  <c r="AH188" i="2"/>
  <c r="BT161" i="2"/>
  <c r="Y105" i="2"/>
  <c r="W14" i="2"/>
  <c r="W69" i="2"/>
  <c r="BS20" i="2"/>
  <c r="AI67" i="2"/>
  <c r="AI154" i="2"/>
  <c r="AG64" i="2"/>
  <c r="W82" i="2"/>
  <c r="Y154" i="2"/>
  <c r="AG73" i="2"/>
  <c r="Y21" i="2"/>
  <c r="AG213" i="2"/>
  <c r="AF44" i="2"/>
  <c r="AI26" i="2"/>
  <c r="V62" i="2"/>
  <c r="AG42" i="2"/>
  <c r="U146" i="2"/>
  <c r="AF77" i="2"/>
  <c r="V198" i="2"/>
  <c r="X206" i="2"/>
  <c r="X198" i="2"/>
  <c r="AF107" i="2"/>
  <c r="X202" i="2"/>
  <c r="Y61" i="2"/>
  <c r="AF162" i="2"/>
  <c r="U29" i="2"/>
  <c r="AG118" i="2"/>
  <c r="AG109" i="2"/>
  <c r="AI143" i="2"/>
  <c r="AH62" i="2"/>
  <c r="Y178" i="2"/>
  <c r="AE60" i="2"/>
  <c r="V101" i="2"/>
  <c r="AE108" i="2"/>
  <c r="V208" i="2"/>
  <c r="AF156" i="2"/>
  <c r="W52" i="2"/>
  <c r="W146" i="2"/>
  <c r="V132" i="2"/>
  <c r="AG82" i="2"/>
  <c r="AG167" i="2"/>
  <c r="AE146" i="2"/>
  <c r="BS53" i="2"/>
  <c r="AG198" i="2"/>
  <c r="W49" i="2"/>
  <c r="AG210" i="2"/>
  <c r="X131" i="2"/>
  <c r="W196" i="2"/>
  <c r="X73" i="2"/>
  <c r="Y9" i="2"/>
  <c r="U105" i="2"/>
  <c r="AG41" i="2"/>
  <c r="U45" i="2"/>
  <c r="W130" i="2"/>
  <c r="U199" i="2"/>
  <c r="AG20" i="2"/>
  <c r="X16" i="2"/>
  <c r="AG137" i="2"/>
  <c r="V176" i="2"/>
  <c r="V44" i="2"/>
  <c r="AE52" i="2"/>
  <c r="AE43" i="2"/>
  <c r="U211" i="2"/>
  <c r="AG182" i="2"/>
  <c r="AF207" i="2"/>
  <c r="BT222" i="2"/>
  <c r="AH42" i="2"/>
  <c r="BR173" i="2"/>
  <c r="W155" i="2"/>
  <c r="AF37" i="2"/>
  <c r="AF106" i="2"/>
  <c r="U103" i="2"/>
  <c r="AH142" i="2"/>
  <c r="AH17" i="2"/>
  <c r="U97" i="2"/>
  <c r="Y111" i="2"/>
  <c r="U55" i="2"/>
  <c r="AG34" i="2"/>
  <c r="V27" i="2"/>
  <c r="Y36" i="2"/>
  <c r="X115" i="2"/>
  <c r="AH24" i="2"/>
  <c r="X151" i="2"/>
  <c r="X138" i="2"/>
  <c r="V21" i="2"/>
  <c r="AH22" i="2"/>
  <c r="V211" i="2"/>
  <c r="U125" i="2"/>
  <c r="AH72" i="2"/>
  <c r="X90" i="2"/>
  <c r="Y109" i="2"/>
  <c r="AH204" i="2"/>
  <c r="Y27" i="2"/>
  <c r="AE64" i="2"/>
  <c r="U112" i="2"/>
  <c r="BR102" i="2"/>
  <c r="AI199" i="2"/>
  <c r="AG115" i="2"/>
  <c r="BU53" i="2"/>
  <c r="BS36" i="2"/>
  <c r="Y5" i="2"/>
  <c r="X21" i="2"/>
  <c r="V53" i="2"/>
  <c r="V188" i="2"/>
  <c r="V180" i="2"/>
  <c r="Y32" i="2"/>
  <c r="V69" i="2"/>
  <c r="V79" i="2"/>
  <c r="AE81" i="2"/>
  <c r="AI206" i="2"/>
  <c r="AI72" i="2"/>
  <c r="Y69" i="2"/>
  <c r="BU187" i="2"/>
  <c r="Y212" i="2"/>
  <c r="BL118" i="2"/>
  <c r="AH181" i="2"/>
  <c r="Y51" i="2"/>
  <c r="X61" i="2"/>
  <c r="X124" i="2"/>
  <c r="AF101" i="2"/>
  <c r="AF137" i="2"/>
  <c r="BU191" i="2"/>
  <c r="AH144" i="2"/>
  <c r="AG150" i="2"/>
  <c r="V143" i="2"/>
  <c r="AG175" i="2"/>
  <c r="BS227" i="2"/>
  <c r="Y176" i="2"/>
  <c r="BK219" i="2"/>
  <c r="AG136" i="2"/>
  <c r="BK32" i="2"/>
  <c r="AH128" i="2"/>
  <c r="V183" i="2"/>
  <c r="W28" i="2"/>
  <c r="AH99" i="2"/>
  <c r="V139" i="2"/>
  <c r="X58" i="2"/>
  <c r="AF109" i="2"/>
  <c r="AG226" i="2"/>
  <c r="V151" i="2"/>
  <c r="AG110" i="2"/>
  <c r="V197" i="2"/>
  <c r="AF84" i="2"/>
  <c r="Y102" i="2"/>
  <c r="AI86" i="2"/>
  <c r="V102" i="2"/>
  <c r="AG4" i="2"/>
  <c r="V172" i="2"/>
  <c r="V126" i="2"/>
  <c r="AH64" i="2"/>
  <c r="W87" i="2"/>
  <c r="U138" i="2"/>
  <c r="AH213" i="2"/>
  <c r="AI226" i="2"/>
  <c r="AH55" i="2"/>
  <c r="U50" i="2"/>
  <c r="AH175" i="2"/>
  <c r="X165" i="2"/>
  <c r="BU93" i="2"/>
  <c r="V169" i="2"/>
  <c r="U220" i="2"/>
  <c r="W200" i="2"/>
  <c r="AI91" i="2"/>
  <c r="X133" i="2"/>
  <c r="W90" i="2"/>
  <c r="AG102" i="2"/>
  <c r="X88" i="2"/>
  <c r="W180" i="2"/>
  <c r="W229" i="2"/>
  <c r="AG128" i="2"/>
  <c r="BR180" i="2"/>
  <c r="AE61" i="2"/>
  <c r="BR117" i="2"/>
  <c r="U184" i="2"/>
  <c r="AG179" i="2"/>
  <c r="W218" i="2"/>
  <c r="W207" i="2"/>
  <c r="U81" i="2"/>
  <c r="U198" i="2"/>
  <c r="V77" i="2"/>
  <c r="Y42" i="2"/>
  <c r="AH60" i="2"/>
  <c r="V14" i="2"/>
  <c r="U23" i="2"/>
  <c r="AF83" i="2"/>
  <c r="X194" i="2"/>
  <c r="W101" i="2"/>
  <c r="W202" i="2"/>
  <c r="AI137" i="2"/>
  <c r="X92" i="2"/>
  <c r="AF127" i="2"/>
  <c r="AE48" i="2"/>
  <c r="AE106" i="2"/>
  <c r="AG107" i="2"/>
  <c r="AI13" i="2"/>
  <c r="Y118" i="2"/>
  <c r="V228" i="2"/>
  <c r="V215" i="2"/>
  <c r="AH220" i="2"/>
  <c r="V92" i="2"/>
  <c r="U161" i="2"/>
  <c r="AG160" i="2"/>
  <c r="V166" i="2"/>
  <c r="U190" i="2"/>
  <c r="AI192" i="2"/>
  <c r="U37" i="2"/>
  <c r="Y150" i="2"/>
  <c r="AF48" i="2"/>
  <c r="AH225" i="2"/>
  <c r="U90" i="2"/>
  <c r="BR210" i="2"/>
  <c r="AH82" i="2"/>
  <c r="V66" i="2"/>
  <c r="AE163" i="2"/>
  <c r="BS146" i="2"/>
  <c r="U197" i="2"/>
  <c r="Y84" i="2"/>
  <c r="V72" i="2"/>
  <c r="X144" i="2"/>
  <c r="V196" i="2"/>
  <c r="V65" i="2"/>
  <c r="AI149" i="2"/>
  <c r="Y167" i="2"/>
  <c r="Y182" i="2"/>
  <c r="X221" i="2"/>
  <c r="W6" i="2"/>
  <c r="W31" i="2"/>
  <c r="W114" i="2"/>
  <c r="AH46" i="2"/>
  <c r="Y229" i="2"/>
  <c r="V224" i="2"/>
  <c r="AI77" i="2"/>
  <c r="X126" i="2"/>
  <c r="W18" i="2"/>
  <c r="V115" i="2"/>
  <c r="AI141" i="2"/>
  <c r="AH4" i="2"/>
  <c r="BI46" i="2"/>
  <c r="AI48" i="2"/>
  <c r="BJ169" i="2"/>
  <c r="AI144" i="2"/>
  <c r="AZ205" i="2"/>
  <c r="W54" i="2"/>
  <c r="W162" i="2"/>
  <c r="AE123" i="2"/>
  <c r="AE134" i="2"/>
  <c r="AI25" i="2"/>
  <c r="AG220" i="2"/>
  <c r="X118" i="2"/>
  <c r="V207" i="2"/>
  <c r="W39" i="2"/>
  <c r="AH206" i="2"/>
  <c r="V93" i="2"/>
  <c r="BK86" i="2"/>
  <c r="U191" i="2"/>
  <c r="BH17" i="2"/>
  <c r="AI17" i="2"/>
  <c r="V174" i="2"/>
  <c r="AI39" i="2"/>
  <c r="X95" i="2"/>
  <c r="X139" i="2"/>
  <c r="AE111" i="2"/>
  <c r="X219" i="2"/>
  <c r="BS103" i="2"/>
  <c r="X36" i="2"/>
  <c r="AE41" i="2"/>
  <c r="AE215" i="2"/>
  <c r="AI142" i="2"/>
  <c r="AE47" i="2"/>
  <c r="AG203" i="2"/>
  <c r="W133" i="2"/>
  <c r="BV82" i="2"/>
  <c r="V150" i="2"/>
  <c r="Y166" i="2"/>
  <c r="Y210" i="2"/>
  <c r="X127" i="2"/>
  <c r="U117" i="2"/>
  <c r="W129" i="2"/>
  <c r="W204" i="2"/>
  <c r="X130" i="2"/>
  <c r="Y201" i="2"/>
  <c r="BR164" i="2"/>
  <c r="U18" i="2"/>
  <c r="BU124" i="2"/>
  <c r="V113" i="2"/>
  <c r="AF161" i="2"/>
  <c r="W62" i="2"/>
  <c r="X145" i="2"/>
  <c r="V163" i="2"/>
  <c r="X116" i="2"/>
  <c r="AI52" i="2"/>
  <c r="Y86" i="2"/>
  <c r="W43" i="2"/>
  <c r="AE191" i="2"/>
  <c r="Y191" i="2"/>
  <c r="AI101" i="2"/>
  <c r="BR104" i="2"/>
  <c r="AH182" i="2"/>
  <c r="U160" i="2"/>
  <c r="BS189" i="2"/>
  <c r="Y22" i="2"/>
  <c r="U120" i="2"/>
  <c r="X197" i="2"/>
  <c r="W191" i="2"/>
  <c r="Y130" i="2"/>
  <c r="AE107" i="2"/>
  <c r="Y70" i="2"/>
  <c r="W167" i="2"/>
  <c r="X152" i="2"/>
  <c r="V179" i="2"/>
  <c r="AI105" i="2"/>
  <c r="W56" i="2"/>
  <c r="Y137" i="2"/>
  <c r="U11" i="2"/>
  <c r="AI196" i="2"/>
  <c r="V26" i="2"/>
  <c r="V23" i="2"/>
  <c r="AE115" i="2"/>
  <c r="AI227" i="2"/>
  <c r="X229" i="2"/>
  <c r="AH107" i="2"/>
  <c r="W46" i="2"/>
  <c r="AG59" i="2"/>
  <c r="AI47" i="2"/>
  <c r="U52" i="2"/>
  <c r="V146" i="2"/>
  <c r="AF80" i="2"/>
  <c r="BS205" i="2"/>
  <c r="X48" i="2"/>
  <c r="Y160" i="2"/>
  <c r="X57" i="2"/>
  <c r="Y119" i="2"/>
  <c r="AI53" i="2"/>
  <c r="W138" i="2"/>
  <c r="W151" i="2"/>
  <c r="V212" i="2"/>
  <c r="X113" i="2"/>
  <c r="V74" i="2"/>
  <c r="X52" i="2"/>
  <c r="W227" i="2"/>
  <c r="Y72" i="2"/>
  <c r="W66" i="2"/>
  <c r="AH127" i="2"/>
  <c r="U167" i="2"/>
  <c r="AI55" i="2"/>
  <c r="V11" i="2"/>
  <c r="X29" i="2"/>
  <c r="Y100" i="2"/>
  <c r="AE151" i="2"/>
  <c r="AF199" i="2"/>
  <c r="BS133" i="2"/>
  <c r="AI136" i="2"/>
  <c r="BV28" i="2"/>
  <c r="U44" i="2"/>
  <c r="U152" i="2"/>
  <c r="W174" i="2"/>
  <c r="W201" i="2"/>
  <c r="U54" i="2"/>
  <c r="W96" i="2"/>
  <c r="AE62" i="2"/>
  <c r="AE77" i="2"/>
  <c r="AH87" i="2"/>
  <c r="AH61" i="2"/>
  <c r="BU35" i="2"/>
  <c r="U182" i="2"/>
  <c r="Y198" i="2"/>
  <c r="BS85" i="2"/>
  <c r="Y64" i="2"/>
  <c r="BT132" i="2"/>
  <c r="U92" i="2"/>
  <c r="AE127" i="2"/>
  <c r="U20" i="2"/>
  <c r="V34" i="2"/>
  <c r="AI173" i="2"/>
  <c r="AF74" i="2"/>
  <c r="W110" i="2"/>
  <c r="AH49" i="2"/>
  <c r="AF167" i="2"/>
  <c r="BV147" i="2"/>
  <c r="AH163" i="2"/>
  <c r="U149" i="2"/>
  <c r="AG134" i="2"/>
  <c r="BV52" i="2"/>
  <c r="AF209" i="2"/>
  <c r="AI54" i="2"/>
  <c r="X207" i="2"/>
  <c r="U43" i="2"/>
  <c r="U218" i="2"/>
  <c r="V129" i="2"/>
  <c r="AI229" i="2"/>
  <c r="BT123" i="2"/>
  <c r="AG101" i="2"/>
  <c r="AG11" i="2"/>
  <c r="AG154" i="2"/>
  <c r="AI185" i="2"/>
  <c r="U140" i="2"/>
  <c r="AH113" i="2"/>
  <c r="X153" i="2"/>
  <c r="X53" i="2"/>
  <c r="Y226" i="2"/>
  <c r="AF153" i="2"/>
  <c r="AI59" i="2"/>
  <c r="AI57" i="2"/>
  <c r="U16" i="2"/>
  <c r="Y110" i="2"/>
  <c r="W53" i="2"/>
  <c r="AI58" i="2"/>
  <c r="AH157" i="2"/>
  <c r="AF40" i="2"/>
  <c r="AF57" i="2"/>
  <c r="AI187" i="2"/>
  <c r="U79" i="2"/>
  <c r="BV27" i="2"/>
  <c r="W210" i="2"/>
  <c r="U144" i="2"/>
  <c r="Y10" i="2"/>
  <c r="V46" i="2"/>
  <c r="X98" i="2"/>
  <c r="W132" i="2"/>
  <c r="AI126" i="2"/>
  <c r="Y228" i="2"/>
  <c r="Y25" i="2"/>
  <c r="AE143" i="2"/>
  <c r="W163" i="2"/>
  <c r="AH118" i="2"/>
  <c r="AI84" i="2"/>
  <c r="V82" i="2"/>
  <c r="U223" i="2"/>
  <c r="AH29" i="2"/>
  <c r="AE63" i="2"/>
  <c r="X6" i="2"/>
  <c r="V48" i="2"/>
  <c r="BU25" i="2"/>
  <c r="X173" i="2"/>
  <c r="W173" i="2"/>
  <c r="AH51" i="2"/>
  <c r="AE94" i="2"/>
  <c r="Y149" i="2"/>
  <c r="AI34" i="2"/>
  <c r="AF103" i="2"/>
  <c r="BU163" i="2"/>
  <c r="W228" i="2"/>
  <c r="Y71" i="2"/>
  <c r="V100" i="2"/>
  <c r="X55" i="2"/>
  <c r="AG74" i="2"/>
  <c r="X93" i="2"/>
  <c r="AG92" i="2"/>
  <c r="U51" i="2"/>
  <c r="W67" i="2"/>
  <c r="X72" i="2"/>
  <c r="X102" i="2"/>
  <c r="X163" i="2"/>
  <c r="AG57" i="2"/>
  <c r="V164" i="2"/>
  <c r="AI31" i="2"/>
  <c r="W126" i="2"/>
  <c r="AF184" i="2"/>
  <c r="X224" i="2"/>
  <c r="Y204" i="2"/>
  <c r="V63" i="2"/>
  <c r="X216" i="2"/>
  <c r="X44" i="2"/>
  <c r="V195" i="2"/>
  <c r="AI171" i="2"/>
  <c r="X87" i="2"/>
  <c r="U172" i="2"/>
  <c r="V103" i="2"/>
  <c r="AH126" i="2"/>
  <c r="AH110" i="2"/>
  <c r="V125" i="2"/>
  <c r="U61" i="2"/>
  <c r="U60" i="2"/>
  <c r="AE72" i="2"/>
  <c r="X39" i="2"/>
  <c r="Y53" i="2"/>
  <c r="X51" i="2"/>
  <c r="X142" i="2"/>
  <c r="V70" i="2"/>
  <c r="AE119" i="2"/>
  <c r="AE29" i="2"/>
  <c r="AF108" i="2"/>
  <c r="W30" i="2"/>
  <c r="Y7" i="2"/>
  <c r="Y121" i="2"/>
  <c r="V186" i="2"/>
  <c r="U175" i="2"/>
  <c r="AH200" i="2"/>
  <c r="AE75" i="2"/>
  <c r="X28" i="2"/>
  <c r="AF195" i="2"/>
  <c r="U206" i="2"/>
  <c r="X68" i="2"/>
  <c r="BT15" i="2"/>
  <c r="AH179" i="2"/>
  <c r="AZ145" i="2"/>
  <c r="AE118" i="2"/>
  <c r="V218" i="2"/>
  <c r="X167" i="2"/>
  <c r="U171" i="2"/>
  <c r="AI12" i="2"/>
  <c r="AE96" i="2"/>
  <c r="W213" i="2"/>
  <c r="V58" i="2"/>
  <c r="AE145" i="2"/>
  <c r="X114" i="2"/>
  <c r="AF205" i="2"/>
  <c r="W50" i="2"/>
  <c r="AF31" i="2"/>
  <c r="BL225" i="2"/>
  <c r="AH11" i="2"/>
  <c r="BT229" i="2"/>
  <c r="V57" i="2"/>
  <c r="AI135" i="2"/>
  <c r="X22" i="2"/>
  <c r="AH28" i="2"/>
  <c r="BS92" i="2"/>
  <c r="X54" i="2"/>
  <c r="Y38" i="2"/>
  <c r="Y139" i="2"/>
  <c r="Y132" i="2"/>
  <c r="X111" i="2"/>
  <c r="Y143" i="2"/>
  <c r="AI166" i="2"/>
  <c r="U154" i="2"/>
  <c r="AG111" i="2"/>
  <c r="Y34" i="2"/>
  <c r="AE95" i="2"/>
  <c r="V10" i="2"/>
  <c r="X37" i="2"/>
  <c r="Y142" i="2"/>
  <c r="Y185" i="2"/>
  <c r="AG76" i="2"/>
  <c r="Y170" i="2"/>
  <c r="AF55" i="2"/>
  <c r="V220" i="2"/>
  <c r="AH136" i="2"/>
  <c r="AI6" i="2"/>
  <c r="U214" i="2"/>
  <c r="U15" i="2"/>
  <c r="U88" i="2"/>
  <c r="W170" i="2"/>
  <c r="AI21" i="2"/>
  <c r="AG94" i="2"/>
  <c r="AH103" i="2"/>
  <c r="AI164" i="2"/>
  <c r="AH104" i="2"/>
  <c r="AG25" i="2"/>
  <c r="AI104" i="2"/>
  <c r="BR20" i="2"/>
  <c r="AF142" i="2"/>
  <c r="U123" i="2"/>
  <c r="BU74" i="2"/>
  <c r="U203" i="2"/>
  <c r="V192" i="2"/>
  <c r="X96" i="2"/>
  <c r="U99" i="2"/>
  <c r="X19" i="2"/>
  <c r="W91" i="2"/>
  <c r="W59" i="2"/>
  <c r="U87" i="2"/>
  <c r="X78" i="2"/>
  <c r="W79" i="2"/>
  <c r="X91" i="2"/>
  <c r="X134" i="2"/>
  <c r="V201" i="2"/>
  <c r="AI82" i="2"/>
  <c r="W209" i="2"/>
  <c r="W32" i="2"/>
  <c r="X188" i="2"/>
  <c r="AE121" i="2"/>
  <c r="U129" i="2"/>
  <c r="AG98" i="2"/>
  <c r="U195" i="2"/>
  <c r="U8" i="2"/>
  <c r="V118" i="2"/>
  <c r="Y68" i="2"/>
  <c r="V6" i="2"/>
  <c r="V106" i="2"/>
  <c r="W115" i="2"/>
  <c r="U135" i="2"/>
  <c r="U118" i="2"/>
  <c r="W20" i="2"/>
  <c r="U157" i="2"/>
  <c r="U109" i="2"/>
  <c r="V161" i="2"/>
  <c r="AI225" i="2"/>
  <c r="AF29" i="2"/>
  <c r="U132" i="2"/>
  <c r="X164" i="2"/>
  <c r="AE116" i="2"/>
  <c r="V59" i="2"/>
  <c r="V90" i="2"/>
  <c r="Y103" i="2"/>
  <c r="U77" i="2"/>
  <c r="X108" i="2"/>
  <c r="Y67" i="2"/>
  <c r="Y66" i="2"/>
  <c r="Y87" i="2"/>
  <c r="V17" i="2"/>
  <c r="AG50" i="2"/>
  <c r="V157" i="2"/>
  <c r="AE170" i="2"/>
  <c r="AF114" i="2"/>
  <c r="X214" i="2"/>
  <c r="AH147" i="2"/>
  <c r="Y57" i="2"/>
  <c r="V64" i="2"/>
  <c r="U127" i="2"/>
  <c r="AF98" i="2"/>
  <c r="W80" i="2"/>
  <c r="AF60" i="2"/>
  <c r="U119" i="2"/>
  <c r="AG122" i="2"/>
  <c r="V5" i="2"/>
  <c r="AH229" i="2"/>
  <c r="V131" i="2"/>
  <c r="AH53" i="2"/>
  <c r="Y171" i="2"/>
  <c r="AG202" i="2"/>
  <c r="BL57" i="2"/>
  <c r="BR149" i="2"/>
  <c r="BL45" i="2"/>
  <c r="W165" i="2"/>
  <c r="Y81" i="2"/>
  <c r="AF7" i="2"/>
  <c r="AH140" i="2"/>
  <c r="W4" i="2"/>
  <c r="AG174" i="2"/>
  <c r="X117" i="2"/>
  <c r="Y156" i="2"/>
  <c r="BR35" i="2"/>
  <c r="AH94" i="2"/>
  <c r="AE141" i="2"/>
  <c r="AI7" i="2"/>
  <c r="AE208" i="2"/>
  <c r="AZ116" i="2"/>
  <c r="BV169" i="2"/>
  <c r="BH169" i="2"/>
  <c r="AG17" i="2"/>
  <c r="AH159" i="2"/>
  <c r="U21" i="2"/>
  <c r="W72" i="2"/>
  <c r="AE39" i="2"/>
  <c r="Y58" i="2"/>
  <c r="AI189" i="2"/>
  <c r="Y37" i="2"/>
  <c r="AG192" i="2"/>
  <c r="Y60" i="2"/>
  <c r="U166" i="2"/>
  <c r="AG144" i="2"/>
  <c r="V41" i="2"/>
  <c r="AG148" i="2"/>
  <c r="W194" i="2"/>
  <c r="Y80" i="2"/>
  <c r="AH83" i="2"/>
  <c r="X107" i="2"/>
  <c r="V78" i="2"/>
  <c r="AE183" i="2"/>
  <c r="W94" i="2"/>
  <c r="W111" i="2"/>
  <c r="U121" i="2"/>
  <c r="W206" i="2"/>
  <c r="AI156" i="2"/>
  <c r="W45" i="2"/>
  <c r="AF13" i="2"/>
  <c r="AE131" i="2"/>
  <c r="W57" i="2"/>
  <c r="BR157" i="2"/>
  <c r="U181" i="2"/>
  <c r="BU198" i="2"/>
  <c r="W92" i="2"/>
  <c r="AI186" i="2"/>
  <c r="AE171" i="2"/>
  <c r="AG177" i="2"/>
  <c r="Y161" i="2"/>
  <c r="U28" i="2"/>
  <c r="AF38" i="2"/>
  <c r="AH35" i="2"/>
  <c r="AG68" i="2"/>
  <c r="AG146" i="2"/>
  <c r="AG219" i="2"/>
  <c r="BS21" i="2"/>
  <c r="AE152" i="2"/>
  <c r="BT169" i="2"/>
  <c r="W142" i="2"/>
  <c r="BH8" i="2"/>
  <c r="W214" i="2"/>
  <c r="W221" i="2"/>
  <c r="U22" i="2"/>
  <c r="Y31" i="2"/>
  <c r="AH210" i="2"/>
  <c r="X7" i="2"/>
  <c r="AH47" i="2"/>
  <c r="X187" i="2"/>
  <c r="AH90" i="2"/>
  <c r="X66" i="2"/>
  <c r="U213" i="2"/>
  <c r="BJ226" i="2"/>
  <c r="AF122" i="2"/>
  <c r="BS84" i="2"/>
  <c r="AI180" i="2"/>
  <c r="U122" i="2"/>
  <c r="AE85" i="2"/>
  <c r="V105" i="2"/>
  <c r="AE180" i="2"/>
  <c r="AE76" i="2"/>
  <c r="BH173" i="2"/>
  <c r="Y56" i="2"/>
  <c r="U176" i="2"/>
  <c r="BU156" i="2"/>
  <c r="AE124" i="2"/>
  <c r="BR8" i="2"/>
  <c r="AY50" i="2"/>
  <c r="AI125" i="2"/>
  <c r="BK148" i="2"/>
  <c r="BR4" i="2"/>
  <c r="V153" i="2"/>
  <c r="AZ56" i="2"/>
  <c r="AF30" i="2"/>
  <c r="AE113" i="2"/>
  <c r="AI208" i="2"/>
  <c r="AH73" i="2"/>
  <c r="BT166" i="2"/>
  <c r="U58" i="2"/>
  <c r="AH96" i="2"/>
  <c r="BI167" i="2"/>
  <c r="BS211" i="2"/>
  <c r="BB73" i="2"/>
  <c r="V104" i="2"/>
  <c r="BH23" i="2"/>
  <c r="Y13" i="2"/>
  <c r="BT6" i="2"/>
  <c r="Y104" i="2"/>
  <c r="BH107" i="2"/>
  <c r="AH198" i="2"/>
  <c r="W164" i="2"/>
  <c r="W175" i="2"/>
  <c r="BR87" i="2"/>
  <c r="BH194" i="2"/>
  <c r="W182" i="2"/>
  <c r="AF34" i="2"/>
  <c r="BL85" i="2"/>
  <c r="AE67" i="2"/>
  <c r="AZ76" i="2"/>
  <c r="AI158" i="2"/>
  <c r="BB169" i="2"/>
  <c r="BK107" i="2"/>
  <c r="BB107" i="2"/>
  <c r="Y30" i="2"/>
  <c r="BB40" i="2"/>
  <c r="Y29" i="2"/>
  <c r="W172" i="2"/>
  <c r="AH32" i="2"/>
  <c r="V114" i="2"/>
  <c r="BS206" i="2"/>
  <c r="AH40" i="2"/>
  <c r="X159" i="2"/>
  <c r="BA52" i="2"/>
  <c r="BU145" i="2"/>
  <c r="BS200" i="2"/>
  <c r="AG132" i="2"/>
  <c r="AY145" i="2"/>
  <c r="AF226" i="2"/>
  <c r="BS145" i="2"/>
  <c r="AG159" i="2"/>
  <c r="BH115" i="2"/>
  <c r="U115" i="2"/>
  <c r="W10" i="2"/>
  <c r="AF71" i="2"/>
  <c r="AE213" i="2"/>
  <c r="Y164" i="2"/>
  <c r="V136" i="2"/>
  <c r="X74" i="2"/>
  <c r="BR45" i="2"/>
  <c r="BV200" i="2"/>
  <c r="AN77" i="2"/>
  <c r="X5" i="2"/>
  <c r="BR51" i="2"/>
  <c r="V81" i="2"/>
  <c r="X218" i="2"/>
  <c r="X27" i="2"/>
  <c r="AG194" i="2"/>
  <c r="W122" i="2"/>
  <c r="W127" i="2"/>
  <c r="AE205" i="2"/>
  <c r="V116" i="2"/>
  <c r="W105" i="2"/>
  <c r="W121" i="2"/>
  <c r="Y174" i="2"/>
  <c r="X128" i="2"/>
  <c r="AH25" i="2"/>
  <c r="U192" i="2"/>
  <c r="Y224" i="2"/>
  <c r="BU79" i="2"/>
  <c r="AE202" i="2"/>
  <c r="BR138" i="2"/>
  <c r="AH36" i="2"/>
  <c r="BI18" i="2"/>
  <c r="V210" i="2"/>
  <c r="Y227" i="2"/>
  <c r="W41" i="2"/>
  <c r="AE166" i="2"/>
  <c r="BR166" i="2"/>
  <c r="BS160" i="2"/>
  <c r="AF155" i="2"/>
  <c r="BR151" i="2"/>
  <c r="AI181" i="2"/>
  <c r="AF51" i="2"/>
  <c r="BT51" i="2"/>
  <c r="BR211" i="2"/>
  <c r="BS149" i="2"/>
  <c r="BS174" i="2"/>
  <c r="BT72" i="2"/>
  <c r="Y183" i="2"/>
  <c r="X176" i="2"/>
  <c r="V110" i="2"/>
  <c r="AH207" i="2"/>
  <c r="Y184" i="2"/>
  <c r="X125" i="2"/>
  <c r="BS209" i="2"/>
  <c r="AE42" i="2"/>
  <c r="X50" i="2"/>
  <c r="AG43" i="2"/>
  <c r="AI123" i="2"/>
  <c r="BS182" i="2"/>
  <c r="U83" i="2"/>
  <c r="BU30" i="2"/>
  <c r="BU196" i="2"/>
  <c r="AI74" i="2"/>
  <c r="BR85" i="2"/>
  <c r="X137" i="2"/>
  <c r="AI112" i="2"/>
  <c r="AF214" i="2"/>
  <c r="AI103" i="2"/>
  <c r="AG81" i="2"/>
  <c r="AE172" i="2"/>
  <c r="AI29" i="2"/>
  <c r="W85" i="2"/>
  <c r="AE181" i="2"/>
  <c r="BL52" i="2"/>
  <c r="AH112" i="2"/>
  <c r="BT128" i="2"/>
  <c r="AF95" i="2"/>
  <c r="BI165" i="2"/>
  <c r="AG187" i="2"/>
  <c r="AI38" i="2"/>
  <c r="Y208" i="2"/>
  <c r="AE114" i="2"/>
  <c r="AI64" i="2"/>
  <c r="BV48" i="2"/>
  <c r="AG112" i="2"/>
  <c r="W189" i="2"/>
  <c r="U85" i="2"/>
  <c r="AF75" i="2"/>
  <c r="AZ29" i="2"/>
  <c r="BA26" i="2"/>
  <c r="AE190" i="2"/>
  <c r="AH153" i="2"/>
  <c r="BR34" i="2"/>
  <c r="BL199" i="2"/>
  <c r="BS65" i="2"/>
  <c r="BU60" i="2"/>
  <c r="AE109" i="2"/>
  <c r="W226" i="2"/>
  <c r="AH39" i="2"/>
  <c r="BT124" i="2"/>
  <c r="W144" i="2"/>
  <c r="AE138" i="2"/>
  <c r="AF191" i="2"/>
  <c r="AI219" i="2"/>
  <c r="BU77" i="2"/>
  <c r="AQ171" i="2"/>
  <c r="AH122" i="2"/>
  <c r="BT187" i="2"/>
  <c r="BU171" i="2"/>
  <c r="BL208" i="2"/>
  <c r="AE158" i="2"/>
  <c r="BU151" i="2"/>
  <c r="AG88" i="2"/>
  <c r="Y140" i="2"/>
  <c r="X9" i="2"/>
  <c r="AG195" i="2"/>
  <c r="AF23" i="2"/>
  <c r="BU58" i="2"/>
  <c r="X211" i="2"/>
  <c r="AI194" i="2"/>
  <c r="AZ125" i="2"/>
  <c r="AN56" i="2"/>
  <c r="U216" i="2"/>
  <c r="BV152" i="2"/>
  <c r="BS94" i="2"/>
  <c r="BJ63" i="2"/>
  <c r="AE178" i="2"/>
  <c r="AI61" i="2"/>
  <c r="AE157" i="2"/>
  <c r="AI176" i="2"/>
  <c r="W217" i="2"/>
  <c r="V229" i="2"/>
  <c r="AE27" i="2"/>
  <c r="W160" i="2"/>
  <c r="AE206" i="2"/>
  <c r="BR28" i="2"/>
  <c r="AE117" i="2"/>
  <c r="U145" i="2"/>
  <c r="AG44" i="2"/>
  <c r="Y215" i="2"/>
  <c r="Y209" i="2"/>
  <c r="W100" i="2"/>
  <c r="X123" i="2"/>
  <c r="AG67" i="2"/>
  <c r="Y194" i="2"/>
  <c r="V127" i="2"/>
  <c r="AI18" i="2"/>
  <c r="BS27" i="2"/>
  <c r="W64" i="2"/>
  <c r="BI86" i="2"/>
  <c r="V209" i="2"/>
  <c r="AZ79" i="2"/>
  <c r="Y65" i="2"/>
  <c r="U165" i="2"/>
  <c r="BS113" i="2"/>
  <c r="AI100" i="2"/>
  <c r="Y192" i="2"/>
  <c r="AF15" i="2"/>
  <c r="AG139" i="2"/>
  <c r="X49" i="2"/>
  <c r="U178" i="2"/>
  <c r="AF45" i="2"/>
  <c r="X18" i="2"/>
  <c r="X47" i="2"/>
  <c r="BV149" i="2"/>
  <c r="AG163" i="2"/>
  <c r="AF14" i="2"/>
  <c r="AH203" i="2"/>
  <c r="Y177" i="2"/>
  <c r="AE207" i="2"/>
  <c r="X208" i="2"/>
  <c r="AI221" i="2"/>
  <c r="BS210" i="2"/>
  <c r="AF132" i="2"/>
  <c r="BJ27" i="2"/>
  <c r="W223" i="2"/>
  <c r="X168" i="2"/>
  <c r="X64" i="2"/>
  <c r="AH108" i="2"/>
  <c r="V97" i="2"/>
  <c r="Y74" i="2"/>
  <c r="AE16" i="2"/>
  <c r="X222" i="2"/>
  <c r="AF126" i="2"/>
  <c r="Y144" i="2"/>
  <c r="AG178" i="2"/>
  <c r="U169" i="2"/>
  <c r="AE58" i="2"/>
  <c r="AZ52" i="2"/>
  <c r="W117" i="2"/>
  <c r="BV14" i="2"/>
  <c r="U48" i="2"/>
  <c r="U24" i="2"/>
  <c r="AH30" i="2"/>
  <c r="W78" i="2"/>
  <c r="AI28" i="2"/>
  <c r="BU113" i="2"/>
  <c r="X10" i="2"/>
  <c r="AF144" i="2"/>
  <c r="AH97" i="2"/>
  <c r="BA114" i="2"/>
  <c r="W29" i="2"/>
  <c r="W116" i="2"/>
  <c r="AH197" i="2"/>
  <c r="W70" i="2"/>
  <c r="AG155" i="2"/>
  <c r="U40" i="2"/>
  <c r="X209" i="2"/>
  <c r="V221" i="2"/>
  <c r="AF20" i="2"/>
  <c r="AF176" i="2"/>
  <c r="Y44" i="2"/>
  <c r="W5" i="2"/>
  <c r="AF43" i="2"/>
  <c r="V73" i="2"/>
  <c r="AF54" i="2"/>
  <c r="AH191" i="2"/>
  <c r="AI172" i="2"/>
  <c r="AE82" i="2"/>
  <c r="AF201" i="2"/>
  <c r="BV41" i="2"/>
  <c r="AH65" i="2"/>
  <c r="BT81" i="2"/>
  <c r="W123" i="2"/>
  <c r="U153" i="2"/>
  <c r="W224" i="2"/>
  <c r="BT70" i="2"/>
  <c r="AH187" i="2"/>
  <c r="W36" i="2"/>
  <c r="U162" i="2"/>
  <c r="Y158" i="2"/>
  <c r="AF124" i="2"/>
  <c r="BS74" i="2"/>
  <c r="AE17" i="2"/>
  <c r="AE142" i="2"/>
  <c r="BR31" i="2"/>
  <c r="BT94" i="2"/>
  <c r="Y202" i="2"/>
  <c r="AG185" i="2"/>
  <c r="U91" i="2"/>
  <c r="AF129" i="2"/>
  <c r="BV38" i="2"/>
  <c r="BS166" i="2"/>
  <c r="AG71" i="2"/>
  <c r="AI73" i="2"/>
  <c r="W60" i="2"/>
  <c r="AF135" i="2"/>
  <c r="BS112" i="2"/>
  <c r="BV194" i="2"/>
  <c r="AF115" i="2"/>
  <c r="AF197" i="2"/>
  <c r="BU99" i="2"/>
  <c r="AG22" i="2"/>
  <c r="BR114" i="2"/>
  <c r="BS48" i="2"/>
  <c r="AI41" i="2"/>
  <c r="BU48" i="2"/>
  <c r="AF67" i="2"/>
  <c r="AI120" i="2"/>
  <c r="X84" i="2"/>
  <c r="BB194" i="2"/>
  <c r="U183" i="2"/>
  <c r="AX153" i="2"/>
  <c r="BK172" i="2"/>
  <c r="AE225" i="2"/>
  <c r="AF119" i="2"/>
  <c r="W71" i="2"/>
  <c r="AE135" i="2"/>
  <c r="X225" i="2"/>
  <c r="AF131" i="2"/>
  <c r="W161" i="2"/>
  <c r="V18" i="2"/>
  <c r="AF32" i="2"/>
  <c r="W97" i="2"/>
  <c r="Y145" i="2"/>
  <c r="W179" i="2"/>
  <c r="AE160" i="2"/>
  <c r="AH161" i="2"/>
  <c r="AI24" i="2"/>
  <c r="AI22" i="2"/>
  <c r="BU23" i="2"/>
  <c r="AH34" i="2"/>
  <c r="W185" i="2"/>
  <c r="AF49" i="2"/>
  <c r="AH166" i="2"/>
  <c r="BV184" i="2"/>
  <c r="U65" i="2"/>
  <c r="Y39" i="2"/>
  <c r="X215" i="2"/>
  <c r="AG106" i="2"/>
  <c r="BU98" i="2"/>
  <c r="V138" i="2"/>
  <c r="Y188" i="2"/>
  <c r="AF100" i="2"/>
  <c r="V35" i="2"/>
  <c r="AI65" i="2"/>
  <c r="BU210" i="2"/>
  <c r="Y199" i="2"/>
  <c r="Y47" i="2"/>
  <c r="BK103" i="2"/>
  <c r="AH79" i="2"/>
  <c r="AZ108" i="2"/>
  <c r="AE51" i="2"/>
  <c r="AF36" i="2"/>
  <c r="V203" i="2"/>
  <c r="X35" i="2"/>
  <c r="Y83" i="2"/>
  <c r="AF211" i="2"/>
  <c r="AE216" i="2"/>
  <c r="U75" i="2"/>
  <c r="AE132" i="2"/>
  <c r="X23" i="2"/>
  <c r="BS143" i="2"/>
  <c r="X59" i="2"/>
  <c r="AI159" i="2"/>
  <c r="AZ170" i="2"/>
  <c r="U78" i="2"/>
  <c r="BJ151" i="2"/>
  <c r="BR139" i="2"/>
  <c r="AG16" i="2"/>
  <c r="U38" i="2"/>
  <c r="AE22" i="2"/>
  <c r="AE125" i="2"/>
  <c r="AI210" i="2"/>
  <c r="BR57" i="2"/>
  <c r="AF47" i="2"/>
  <c r="BV42" i="2"/>
  <c r="BR216" i="2"/>
  <c r="BU194" i="2"/>
  <c r="BU219" i="2"/>
  <c r="BR191" i="2"/>
  <c r="BT226" i="2"/>
  <c r="BT86" i="2"/>
  <c r="V144" i="2"/>
  <c r="V123" i="2"/>
  <c r="W48" i="2"/>
  <c r="AH221" i="2"/>
  <c r="W17" i="2"/>
  <c r="AF102" i="2"/>
  <c r="AG86" i="2"/>
  <c r="AE36" i="2"/>
  <c r="BR60" i="2"/>
  <c r="BR128" i="2"/>
  <c r="BT218" i="2"/>
  <c r="BT138" i="2"/>
  <c r="BV120" i="2"/>
  <c r="BL143" i="2"/>
  <c r="BB91" i="2"/>
  <c r="V134" i="2"/>
  <c r="BR54" i="2"/>
  <c r="Y107" i="2"/>
  <c r="AG26" i="2"/>
  <c r="AH26" i="2"/>
  <c r="V140" i="2"/>
  <c r="V165" i="2"/>
  <c r="BS228" i="2"/>
  <c r="AE226" i="2"/>
  <c r="BV132" i="2"/>
  <c r="BJ28" i="2"/>
  <c r="BH74" i="2"/>
  <c r="BR175" i="2"/>
  <c r="BT162" i="2"/>
  <c r="BH20" i="2"/>
  <c r="AX113" i="2"/>
  <c r="U57" i="2"/>
  <c r="AE210" i="2"/>
  <c r="W219" i="2"/>
  <c r="AE112" i="2"/>
  <c r="AF217" i="2"/>
  <c r="AG24" i="2"/>
  <c r="X223" i="2"/>
  <c r="BK122" i="2"/>
  <c r="BK128" i="2"/>
  <c r="BU103" i="2"/>
  <c r="BL81" i="2"/>
  <c r="BJ95" i="2"/>
  <c r="AG151" i="2"/>
  <c r="AI92" i="2"/>
  <c r="BI126" i="2"/>
  <c r="BH11" i="2"/>
  <c r="W140" i="2"/>
  <c r="BR192" i="2"/>
  <c r="AF50" i="2"/>
  <c r="AE98" i="2"/>
  <c r="X174" i="2"/>
  <c r="AF24" i="2"/>
  <c r="AE14" i="2"/>
  <c r="BT14" i="2"/>
  <c r="AF86" i="2"/>
  <c r="AY207" i="2"/>
  <c r="AO59" i="2"/>
  <c r="U168" i="2"/>
  <c r="AF117" i="2"/>
  <c r="U111" i="2"/>
  <c r="AH23" i="2"/>
  <c r="Y92" i="2"/>
  <c r="U39" i="2"/>
  <c r="AF229" i="2"/>
  <c r="U113" i="2"/>
  <c r="X56" i="2"/>
  <c r="AE126" i="2"/>
  <c r="BU135" i="2"/>
  <c r="U62" i="2"/>
  <c r="BK67" i="2"/>
  <c r="Y77" i="2"/>
  <c r="V216" i="2"/>
  <c r="W211" i="2"/>
  <c r="BR124" i="2"/>
  <c r="X146" i="2"/>
  <c r="AE195" i="2"/>
  <c r="BJ144" i="2"/>
  <c r="V108" i="2"/>
  <c r="AX180" i="2"/>
  <c r="AE168" i="2"/>
  <c r="Y223" i="2"/>
  <c r="U68" i="2"/>
  <c r="U34" i="2"/>
  <c r="BT212" i="2"/>
  <c r="V112" i="2"/>
  <c r="BV53" i="2"/>
  <c r="AI140" i="2"/>
  <c r="V13" i="2"/>
  <c r="AE182" i="2"/>
  <c r="BT22" i="2"/>
  <c r="AH31" i="2"/>
  <c r="X227" i="2"/>
  <c r="BI22" i="2"/>
  <c r="AH164" i="2"/>
  <c r="BJ35" i="2"/>
  <c r="Y54" i="2"/>
  <c r="V22" i="2"/>
  <c r="AH174" i="2"/>
  <c r="X182" i="2"/>
  <c r="X71" i="2"/>
  <c r="U188" i="2"/>
  <c r="AE21" i="2"/>
  <c r="W118" i="2"/>
  <c r="AF78" i="2"/>
  <c r="W34" i="2"/>
  <c r="BS196" i="2"/>
  <c r="Y94" i="2"/>
  <c r="BT109" i="2"/>
  <c r="U96" i="2"/>
  <c r="AF180" i="2"/>
  <c r="X150" i="2"/>
  <c r="W74" i="2"/>
  <c r="BR38" i="2"/>
  <c r="U26" i="2"/>
  <c r="Y135" i="2"/>
  <c r="BV60" i="2"/>
  <c r="AI133" i="2"/>
  <c r="AE83" i="2"/>
  <c r="BB65" i="2"/>
  <c r="BJ153" i="2"/>
  <c r="BH171" i="2"/>
  <c r="BS61" i="2"/>
  <c r="BV224" i="2"/>
  <c r="AZ173" i="2"/>
  <c r="BU45" i="2"/>
  <c r="AH9" i="2"/>
  <c r="BU51" i="2"/>
  <c r="U47" i="2"/>
  <c r="AH215" i="2"/>
  <c r="W113" i="2"/>
  <c r="AE45" i="2"/>
  <c r="W192" i="2"/>
  <c r="AI51" i="2"/>
  <c r="AH177" i="2"/>
  <c r="BJ60" i="2"/>
  <c r="BJ11" i="2"/>
  <c r="BK60" i="2"/>
  <c r="V86" i="2"/>
  <c r="AH105" i="2"/>
  <c r="BB174" i="2"/>
  <c r="BJ129" i="2"/>
  <c r="AE103" i="2"/>
  <c r="BK36" i="2"/>
  <c r="AG27" i="2"/>
  <c r="W212" i="2"/>
  <c r="AE13" i="2"/>
  <c r="AG162" i="2"/>
  <c r="AE35" i="2"/>
  <c r="BS107" i="2"/>
  <c r="X101" i="2"/>
  <c r="AX211" i="2"/>
  <c r="BL12" i="2"/>
  <c r="BI63" i="2"/>
  <c r="BR134" i="2"/>
  <c r="BU166" i="2"/>
  <c r="AN88" i="2"/>
  <c r="AP23" i="2"/>
  <c r="AF206" i="2"/>
  <c r="BV114" i="2"/>
  <c r="Y173" i="2"/>
  <c r="Y43" i="2"/>
  <c r="AG224" i="2"/>
  <c r="U64" i="2"/>
  <c r="AE87" i="2"/>
  <c r="AF10" i="2"/>
  <c r="BT133" i="2"/>
  <c r="BI35" i="2"/>
  <c r="AR210" i="2"/>
  <c r="AX187" i="2"/>
  <c r="AF104" i="2"/>
  <c r="AE8" i="2"/>
  <c r="AX124" i="2"/>
  <c r="AZ143" i="2"/>
  <c r="BT27" i="2"/>
  <c r="BK84" i="2"/>
  <c r="AG69" i="2"/>
  <c r="AG205" i="2"/>
  <c r="V39" i="2"/>
  <c r="AG200" i="2"/>
  <c r="BJ224" i="2"/>
  <c r="X38" i="2"/>
  <c r="BV199" i="2"/>
  <c r="BJ25" i="2"/>
  <c r="AP69" i="2"/>
  <c r="U7" i="2"/>
  <c r="Y213" i="2"/>
  <c r="U59" i="2"/>
  <c r="AF63" i="2"/>
  <c r="Y46" i="2"/>
  <c r="Y162" i="2"/>
  <c r="BR160" i="2"/>
  <c r="AH37" i="2"/>
  <c r="AG140" i="2"/>
  <c r="AI33" i="2"/>
  <c r="AG173" i="2"/>
  <c r="U128" i="2"/>
  <c r="BV89" i="2"/>
  <c r="AG72" i="2"/>
  <c r="AI124" i="2"/>
  <c r="AH124" i="2"/>
  <c r="AE156" i="2"/>
  <c r="AI37" i="2"/>
  <c r="BV144" i="2"/>
  <c r="BL160" i="2"/>
  <c r="W152" i="2"/>
  <c r="W98" i="2"/>
  <c r="AY51" i="2"/>
  <c r="BH36" i="2"/>
  <c r="AF92" i="2"/>
  <c r="BU85" i="2"/>
  <c r="U6" i="2"/>
  <c r="U124" i="2"/>
  <c r="BB137" i="2"/>
  <c r="Y33" i="2"/>
  <c r="BR222" i="2"/>
  <c r="BJ139" i="2"/>
  <c r="AI129" i="2"/>
  <c r="AG63" i="2"/>
  <c r="BI54" i="2"/>
  <c r="W183" i="2"/>
  <c r="BT191" i="2"/>
  <c r="BI156" i="2"/>
  <c r="AE101" i="2"/>
  <c r="W76" i="2"/>
  <c r="AY48" i="2"/>
  <c r="W9" i="2"/>
  <c r="AE28" i="2"/>
  <c r="BR10" i="2"/>
  <c r="U72" i="2"/>
  <c r="AI167" i="2"/>
  <c r="W119" i="2"/>
  <c r="AG61" i="2"/>
  <c r="BA59" i="2"/>
  <c r="BU107" i="2"/>
  <c r="AG221" i="2"/>
  <c r="X79" i="2"/>
  <c r="BI83" i="2"/>
  <c r="AI132" i="2"/>
  <c r="BR176" i="2"/>
  <c r="BT75" i="2"/>
  <c r="BI42" i="2"/>
  <c r="BR204" i="2"/>
  <c r="Y117" i="2"/>
  <c r="BS150" i="2"/>
  <c r="BI60" i="2"/>
  <c r="AQ94" i="2"/>
  <c r="AF148" i="2"/>
  <c r="AH43" i="2"/>
  <c r="W156" i="2"/>
  <c r="X14" i="2"/>
  <c r="AE220" i="2"/>
  <c r="AO79" i="2"/>
  <c r="V71" i="2"/>
  <c r="BJ4" i="2"/>
  <c r="BU92" i="2"/>
  <c r="BT185" i="2"/>
  <c r="BV85" i="2"/>
  <c r="AI212" i="2"/>
  <c r="AI8" i="2"/>
  <c r="BI72" i="2"/>
  <c r="BJ130" i="2"/>
  <c r="BK63" i="2"/>
  <c r="AY123" i="2"/>
  <c r="BT29" i="2"/>
  <c r="W35" i="2"/>
  <c r="Y93" i="2"/>
  <c r="BU116" i="2"/>
  <c r="AF169" i="2"/>
  <c r="BV145" i="2"/>
  <c r="BL10" i="2"/>
  <c r="BR32" i="2"/>
  <c r="BV193" i="2"/>
  <c r="BA124" i="2"/>
  <c r="V56" i="2"/>
  <c r="BS169" i="2"/>
  <c r="AZ7" i="2"/>
  <c r="BH141" i="2"/>
  <c r="BK52" i="2"/>
  <c r="AO102" i="2"/>
  <c r="BV23" i="2"/>
  <c r="V177" i="2"/>
  <c r="BK85" i="2"/>
  <c r="BR161" i="2"/>
  <c r="V67" i="2"/>
  <c r="BS115" i="2"/>
  <c r="AF219" i="2"/>
  <c r="BR154" i="2"/>
  <c r="AO43" i="2"/>
  <c r="V36" i="2"/>
  <c r="AX74" i="2"/>
  <c r="BS198" i="2"/>
  <c r="BJ113" i="2"/>
  <c r="U94" i="2"/>
  <c r="BJ71" i="2"/>
  <c r="BH129" i="2"/>
  <c r="BV30" i="2"/>
  <c r="AI201" i="2"/>
  <c r="BU34" i="2"/>
  <c r="BJ198" i="2"/>
  <c r="AH12" i="2"/>
  <c r="BT208" i="2"/>
  <c r="BH41" i="2"/>
  <c r="BU143" i="2"/>
  <c r="BK121" i="2"/>
  <c r="AI197" i="2"/>
  <c r="BV80" i="2"/>
  <c r="BK161" i="2"/>
  <c r="AQ206" i="2"/>
  <c r="BT139" i="2"/>
  <c r="BH157" i="2"/>
  <c r="W99" i="2"/>
  <c r="U84" i="2"/>
  <c r="AE84" i="2"/>
  <c r="AH219" i="2"/>
  <c r="W178" i="2"/>
  <c r="AH19" i="2"/>
  <c r="AI117" i="2"/>
  <c r="BV189" i="2"/>
  <c r="AG78" i="2"/>
  <c r="BH79" i="2"/>
  <c r="Y126" i="2"/>
  <c r="V121" i="2"/>
  <c r="Y91" i="2"/>
  <c r="AI36" i="2"/>
  <c r="BU88" i="2"/>
  <c r="W75" i="2"/>
  <c r="AH57" i="2"/>
  <c r="AF194" i="2"/>
  <c r="BV125" i="2"/>
  <c r="AI71" i="2"/>
  <c r="AE92" i="2"/>
  <c r="W55" i="2"/>
  <c r="AG157" i="2"/>
  <c r="Y99" i="2"/>
  <c r="BK134" i="2"/>
  <c r="BS165" i="2"/>
  <c r="AE7" i="2"/>
  <c r="AX177" i="2"/>
  <c r="V16" i="2"/>
  <c r="X149" i="2"/>
  <c r="BJ183" i="2"/>
  <c r="AI114" i="2"/>
  <c r="BR196" i="2"/>
  <c r="AZ186" i="2"/>
  <c r="X156" i="2"/>
  <c r="AF172" i="2"/>
  <c r="BK35" i="2"/>
  <c r="BV192" i="2"/>
  <c r="BS17" i="2"/>
  <c r="AX221" i="2"/>
  <c r="AE197" i="2"/>
  <c r="AG164" i="2"/>
  <c r="BH212" i="2"/>
  <c r="BV218" i="2"/>
  <c r="U86" i="2"/>
  <c r="BK58" i="2"/>
  <c r="W58" i="2"/>
  <c r="Y28" i="2"/>
  <c r="AG21" i="2"/>
  <c r="AI45" i="2"/>
  <c r="BU218" i="2"/>
  <c r="V200" i="2"/>
  <c r="Y112" i="2"/>
  <c r="AH8" i="2"/>
  <c r="AG28" i="2"/>
  <c r="BU140" i="2"/>
  <c r="BH113" i="2"/>
  <c r="BR76" i="2"/>
  <c r="BR159" i="2"/>
  <c r="V217" i="2"/>
  <c r="AI220" i="2"/>
  <c r="Y52" i="2"/>
  <c r="BU147" i="2"/>
  <c r="AF158" i="2"/>
  <c r="BR23" i="2"/>
  <c r="BK15" i="2"/>
  <c r="AH145" i="2"/>
  <c r="AI10" i="2"/>
  <c r="AE186" i="2"/>
  <c r="BS128" i="2"/>
  <c r="BR98" i="2"/>
  <c r="BK117" i="2"/>
  <c r="BT28" i="2"/>
  <c r="BI80" i="2"/>
  <c r="AR45" i="2"/>
  <c r="BR39" i="2"/>
  <c r="BJ92" i="2"/>
  <c r="BB95" i="2"/>
  <c r="AQ229" i="2"/>
  <c r="BV196" i="2"/>
  <c r="BJ80" i="2"/>
  <c r="BB38" i="2"/>
  <c r="V47" i="2"/>
  <c r="V30" i="2"/>
  <c r="AE214" i="2"/>
  <c r="BV148" i="2"/>
  <c r="AH95" i="2"/>
  <c r="BS222" i="2"/>
  <c r="BU14" i="2"/>
  <c r="BK109" i="2"/>
  <c r="AO50" i="2"/>
  <c r="BI58" i="2"/>
  <c r="BJ33" i="2"/>
  <c r="BB180" i="2"/>
  <c r="AQ181" i="2"/>
  <c r="AE71" i="2"/>
  <c r="AY97" i="2"/>
  <c r="AE11" i="2"/>
  <c r="W65" i="2"/>
  <c r="AF59" i="2"/>
  <c r="BJ182" i="2"/>
  <c r="AH27" i="2"/>
  <c r="AG55" i="2"/>
  <c r="AF224" i="2"/>
  <c r="BR19" i="2"/>
  <c r="BA167" i="2"/>
  <c r="AF35" i="2"/>
  <c r="BV211" i="2"/>
  <c r="BU72" i="2"/>
  <c r="BH138" i="2"/>
  <c r="AI218" i="2"/>
  <c r="BU177" i="2"/>
  <c r="BT105" i="2"/>
  <c r="AF178" i="2"/>
  <c r="BS37" i="2"/>
  <c r="BU8" i="2"/>
  <c r="BU192" i="2"/>
  <c r="AH209" i="2"/>
  <c r="AX43" i="2"/>
  <c r="BV7" i="2"/>
  <c r="BR169" i="2"/>
  <c r="BU78" i="2"/>
  <c r="BU207" i="2"/>
  <c r="BU69" i="2"/>
  <c r="BT121" i="2"/>
  <c r="BJ90" i="2"/>
  <c r="BT197" i="2"/>
  <c r="AP131" i="2"/>
  <c r="V141" i="2"/>
  <c r="W84" i="2"/>
  <c r="AH222" i="2"/>
  <c r="AI32" i="2"/>
  <c r="Y216" i="2"/>
  <c r="Y114" i="2"/>
  <c r="W13" i="2"/>
  <c r="AE9" i="2"/>
  <c r="U114" i="2"/>
  <c r="U142" i="2"/>
  <c r="Y151" i="2"/>
  <c r="Y205" i="2"/>
  <c r="AG153" i="2"/>
  <c r="U205" i="2"/>
  <c r="BU54" i="2"/>
  <c r="Y23" i="2"/>
  <c r="Y97" i="2"/>
  <c r="BR109" i="2"/>
  <c r="AG93" i="2"/>
  <c r="W15" i="2"/>
  <c r="BL77" i="2"/>
  <c r="V227" i="2"/>
  <c r="W95" i="2"/>
  <c r="U137" i="2"/>
  <c r="W61" i="2"/>
  <c r="BV4" i="2"/>
  <c r="BV57" i="2"/>
  <c r="BV176" i="2"/>
  <c r="W205" i="2"/>
  <c r="AI83" i="2"/>
  <c r="V51" i="2"/>
  <c r="BI173" i="2"/>
  <c r="AG156" i="2"/>
  <c r="BV168" i="2"/>
  <c r="AG33" i="2"/>
  <c r="AF58" i="2"/>
  <c r="W135" i="2"/>
  <c r="AN130" i="2"/>
  <c r="AH50" i="2"/>
  <c r="AE104" i="2"/>
  <c r="AH156" i="2"/>
  <c r="BR49" i="2"/>
  <c r="AH196" i="2"/>
  <c r="AP143" i="2"/>
  <c r="U209" i="2"/>
  <c r="BS126" i="2"/>
  <c r="W102" i="2"/>
  <c r="Y128" i="2"/>
  <c r="AE203" i="2"/>
  <c r="BV159" i="2"/>
  <c r="BT159" i="2"/>
  <c r="W220" i="2"/>
  <c r="BS66" i="2"/>
  <c r="BT178" i="2"/>
  <c r="BB146" i="2"/>
  <c r="AI151" i="2"/>
  <c r="BT184" i="2"/>
  <c r="BT63" i="2"/>
  <c r="BU153" i="2"/>
  <c r="BV219" i="2"/>
  <c r="AI202" i="2"/>
  <c r="BT117" i="2"/>
  <c r="BV175" i="2"/>
  <c r="BL92" i="2"/>
  <c r="BR12" i="2"/>
  <c r="BR150" i="2"/>
  <c r="BR156" i="2"/>
  <c r="BU18" i="2"/>
  <c r="BT71" i="2"/>
  <c r="AH69" i="2"/>
  <c r="BA82" i="2"/>
  <c r="AX209" i="2"/>
  <c r="BV56" i="2"/>
  <c r="BT93" i="2"/>
  <c r="AG37" i="2"/>
  <c r="BS26" i="2"/>
  <c r="AI108" i="2"/>
  <c r="AI188" i="2"/>
  <c r="BH27" i="2"/>
  <c r="BT38" i="2"/>
  <c r="AX146" i="2"/>
  <c r="BV212" i="2"/>
  <c r="V173" i="2"/>
  <c r="BJ157" i="2"/>
  <c r="AX174" i="2"/>
  <c r="BR153" i="2"/>
  <c r="BR59" i="2"/>
  <c r="BB219" i="2"/>
  <c r="AX186" i="2"/>
  <c r="BU89" i="2"/>
  <c r="BR127" i="2"/>
  <c r="BV210" i="2"/>
  <c r="U207" i="2"/>
  <c r="BT34" i="2"/>
  <c r="BV166" i="2"/>
  <c r="BL40" i="2"/>
  <c r="BI112" i="2"/>
  <c r="Y12" i="2"/>
  <c r="U221" i="2"/>
  <c r="V160" i="2"/>
  <c r="AF62" i="2"/>
  <c r="AF125" i="2"/>
  <c r="AN177" i="2"/>
  <c r="BR13" i="2"/>
  <c r="BV65" i="2"/>
  <c r="BV105" i="2"/>
  <c r="AH171" i="2"/>
  <c r="AE136" i="2"/>
  <c r="BT42" i="2"/>
  <c r="BR111" i="2"/>
  <c r="BU127" i="2"/>
  <c r="BI144" i="2"/>
  <c r="AF65" i="2"/>
  <c r="AI113" i="2"/>
  <c r="X17" i="2"/>
  <c r="W21" i="2"/>
  <c r="BI122" i="2"/>
  <c r="Y17" i="2"/>
  <c r="BI150" i="2"/>
  <c r="BV79" i="2"/>
  <c r="BR119" i="2"/>
  <c r="BA224" i="2"/>
  <c r="V159" i="2"/>
  <c r="BT99" i="2"/>
  <c r="BL23" i="2"/>
  <c r="BK8" i="2"/>
  <c r="BV180" i="2"/>
  <c r="BL90" i="2"/>
  <c r="AH52" i="2"/>
  <c r="AH81" i="2"/>
  <c r="V124" i="2"/>
  <c r="U70" i="2"/>
  <c r="W176" i="2"/>
  <c r="Y219" i="2"/>
  <c r="Y88" i="2"/>
  <c r="U69" i="2"/>
  <c r="X190" i="2"/>
  <c r="Y73" i="2"/>
  <c r="X85" i="2"/>
  <c r="AH116" i="2"/>
  <c r="U226" i="2"/>
  <c r="AH189" i="2"/>
  <c r="AF140" i="2"/>
  <c r="AF174" i="2"/>
  <c r="X192" i="2"/>
  <c r="X210" i="2"/>
  <c r="BT140" i="2"/>
  <c r="X135" i="2"/>
  <c r="U10" i="2"/>
  <c r="X119" i="2"/>
  <c r="AH165" i="2"/>
  <c r="X86" i="2"/>
  <c r="BI71" i="2"/>
  <c r="AY98" i="2"/>
  <c r="BL105" i="2"/>
  <c r="AF146" i="2"/>
  <c r="U25" i="2"/>
  <c r="V96" i="2"/>
  <c r="AH20" i="2"/>
  <c r="BT199" i="2"/>
  <c r="BI91" i="2"/>
  <c r="X25" i="2"/>
  <c r="AF112" i="2"/>
  <c r="U227" i="2"/>
  <c r="BT115" i="2"/>
  <c r="BA66" i="2"/>
  <c r="BI123" i="2"/>
  <c r="AF190" i="2"/>
  <c r="BU39" i="2"/>
  <c r="AH102" i="2"/>
  <c r="AI78" i="2"/>
  <c r="BT50" i="2"/>
  <c r="AI224" i="2"/>
  <c r="Y50" i="2"/>
  <c r="BS187" i="2"/>
  <c r="V135" i="2"/>
  <c r="BB226" i="2"/>
  <c r="AH85" i="2"/>
  <c r="U225" i="2"/>
  <c r="Y189" i="2"/>
  <c r="AF189" i="2"/>
  <c r="BH167" i="2"/>
  <c r="V184" i="2"/>
  <c r="BR53" i="2"/>
  <c r="BS130" i="2"/>
  <c r="BI88" i="2"/>
  <c r="AX223" i="2"/>
  <c r="X185" i="2"/>
  <c r="BR226" i="2"/>
  <c r="BU179" i="2"/>
  <c r="BR188" i="2"/>
  <c r="BR170" i="2"/>
  <c r="BR183" i="2"/>
  <c r="W11" i="2"/>
  <c r="X106" i="2"/>
  <c r="AH158" i="2"/>
  <c r="BK173" i="2"/>
  <c r="BJ40" i="2"/>
  <c r="BL91" i="2"/>
  <c r="BT58" i="2"/>
  <c r="BS91" i="2"/>
  <c r="BI203" i="2"/>
  <c r="AH148" i="2"/>
  <c r="BV134" i="2"/>
  <c r="BU31" i="2"/>
  <c r="BK124" i="2"/>
  <c r="AG222" i="2"/>
  <c r="AI165" i="2"/>
  <c r="BH99" i="2"/>
  <c r="Y75" i="2"/>
  <c r="AI145" i="2"/>
  <c r="AI182" i="2"/>
  <c r="BH211" i="2"/>
  <c r="AH5" i="2"/>
  <c r="BU9" i="2"/>
  <c r="AH139" i="2"/>
  <c r="AX104" i="2"/>
  <c r="BA136" i="2"/>
  <c r="BT111" i="2"/>
  <c r="BS185" i="2"/>
  <c r="BV46" i="2"/>
  <c r="BK156" i="2"/>
  <c r="BT146" i="2"/>
  <c r="BV47" i="2"/>
  <c r="AI134" i="2"/>
  <c r="V158" i="2"/>
  <c r="Y193" i="2"/>
  <c r="AH16" i="2"/>
  <c r="BV119" i="2"/>
  <c r="BL217" i="2"/>
  <c r="AH77" i="2"/>
  <c r="BL155" i="2"/>
  <c r="BU112" i="2"/>
  <c r="W77" i="2"/>
  <c r="BV220" i="2"/>
  <c r="BJ212" i="2"/>
  <c r="BT204" i="2"/>
  <c r="BT79" i="2"/>
  <c r="BK73" i="2"/>
  <c r="BK48" i="2"/>
  <c r="Y169" i="2"/>
  <c r="AI160" i="2"/>
  <c r="V49" i="2"/>
  <c r="AR90" i="2"/>
  <c r="Y221" i="2"/>
  <c r="X62" i="2"/>
  <c r="U4" i="2"/>
  <c r="BA176" i="2"/>
  <c r="BL98" i="2"/>
  <c r="BV40" i="2"/>
  <c r="BU81" i="2"/>
  <c r="AZ158" i="2"/>
  <c r="AO96" i="2"/>
  <c r="BS139" i="2"/>
  <c r="AO180" i="2"/>
  <c r="BR214" i="2"/>
  <c r="AG46" i="2"/>
  <c r="X203" i="2"/>
  <c r="Y55" i="2"/>
  <c r="W107" i="2"/>
  <c r="V226" i="2"/>
  <c r="X132" i="2"/>
  <c r="AE137" i="2"/>
  <c r="X217" i="2"/>
  <c r="X100" i="2"/>
  <c r="AF42" i="2"/>
  <c r="V31" i="2"/>
  <c r="AI50" i="2"/>
  <c r="Y79" i="2"/>
  <c r="AF16" i="2"/>
  <c r="AI130" i="2"/>
  <c r="V54" i="2"/>
  <c r="W25" i="2"/>
  <c r="AF121" i="2"/>
  <c r="AE33" i="2"/>
  <c r="BU91" i="2"/>
  <c r="U148" i="2"/>
  <c r="BS40" i="2"/>
  <c r="BV92" i="2"/>
  <c r="BR80" i="2"/>
  <c r="AG105" i="2"/>
  <c r="AH167" i="2"/>
  <c r="AF11" i="2"/>
  <c r="BT106" i="2"/>
  <c r="BR116" i="2"/>
  <c r="BS43" i="2"/>
  <c r="AI40" i="2"/>
  <c r="BV83" i="2"/>
  <c r="W33" i="2"/>
  <c r="BU178" i="2"/>
  <c r="AF61" i="2"/>
  <c r="BI183" i="2"/>
  <c r="BU19" i="2"/>
  <c r="AG168" i="2"/>
  <c r="X178" i="2"/>
  <c r="BV201" i="2"/>
  <c r="BR121" i="2"/>
  <c r="BH210" i="2"/>
  <c r="AH169" i="2"/>
  <c r="V170" i="2"/>
  <c r="X99" i="2"/>
  <c r="BH42" i="2"/>
  <c r="AI106" i="2"/>
  <c r="AR98" i="2"/>
  <c r="V88" i="2"/>
  <c r="W19" i="2"/>
  <c r="AF160" i="2"/>
  <c r="AG124" i="2"/>
  <c r="BK140" i="2"/>
  <c r="BT223" i="2"/>
  <c r="BV217" i="2"/>
  <c r="BV35" i="2"/>
  <c r="BH125" i="2"/>
  <c r="BH100" i="2"/>
  <c r="BV142" i="2"/>
  <c r="BJ82" i="2"/>
  <c r="AZ90" i="2"/>
  <c r="AR226" i="2"/>
  <c r="AG19" i="2"/>
  <c r="BT5" i="2"/>
  <c r="W106" i="2"/>
  <c r="BV164" i="2"/>
  <c r="AI46" i="2"/>
  <c r="BJ207" i="2"/>
  <c r="BV67" i="2"/>
  <c r="AI63" i="2"/>
  <c r="BT213" i="2"/>
  <c r="AE187" i="2"/>
  <c r="X110" i="2"/>
  <c r="AF68" i="2"/>
  <c r="BR67" i="2"/>
  <c r="AZ48" i="2"/>
  <c r="Y85" i="2"/>
  <c r="BR26" i="2"/>
  <c r="AP107" i="2"/>
  <c r="BS224" i="2"/>
  <c r="Y6" i="2"/>
  <c r="BK46" i="2"/>
  <c r="AH58" i="2"/>
  <c r="BA228" i="2"/>
  <c r="BS47" i="2"/>
  <c r="X205" i="2"/>
  <c r="BV19" i="2"/>
  <c r="BH134" i="2"/>
  <c r="Y146" i="2"/>
  <c r="BJ44" i="2"/>
  <c r="BI110" i="2"/>
  <c r="AO98" i="2"/>
  <c r="V156" i="2"/>
  <c r="BK22" i="2"/>
  <c r="AN110" i="2"/>
  <c r="X42" i="2"/>
  <c r="W195" i="2"/>
  <c r="AG36" i="2"/>
  <c r="BH54" i="2"/>
  <c r="BV188" i="2"/>
  <c r="AY23" i="2"/>
  <c r="AH59" i="2"/>
  <c r="AY93" i="2"/>
  <c r="AQ65" i="2"/>
  <c r="AH68" i="2"/>
  <c r="BV84" i="2"/>
  <c r="AY38" i="2"/>
  <c r="BA39" i="2"/>
  <c r="W181" i="2"/>
  <c r="BB31" i="2"/>
  <c r="AG13" i="2"/>
  <c r="X177" i="2"/>
  <c r="BR112" i="2"/>
  <c r="AH38" i="2"/>
  <c r="BA140" i="2"/>
  <c r="AE57" i="2"/>
  <c r="BA132" i="2"/>
  <c r="BL61" i="2"/>
  <c r="BL115" i="2"/>
  <c r="BK114" i="2"/>
  <c r="V94" i="2"/>
  <c r="BH44" i="2"/>
  <c r="BA105" i="2"/>
  <c r="AO118" i="2"/>
  <c r="AF17" i="2"/>
  <c r="BT201" i="2"/>
  <c r="BT90" i="2"/>
  <c r="X76" i="2"/>
  <c r="W88" i="2"/>
  <c r="Y175" i="2"/>
  <c r="V205" i="2"/>
  <c r="W193" i="2"/>
  <c r="AH212" i="2"/>
  <c r="U106" i="2"/>
  <c r="BV62" i="2"/>
  <c r="Y197" i="2"/>
  <c r="AH135" i="2"/>
  <c r="BU131" i="2"/>
  <c r="AG62" i="2"/>
  <c r="X77" i="2"/>
  <c r="AE122" i="2"/>
  <c r="AI85" i="2"/>
  <c r="AF222" i="2"/>
  <c r="AG214" i="2"/>
  <c r="V178" i="2"/>
  <c r="BR92" i="2"/>
  <c r="BS79" i="2"/>
  <c r="BS60" i="2"/>
  <c r="BR140" i="2"/>
  <c r="BV99" i="2"/>
  <c r="BJ94" i="2"/>
  <c r="U200" i="2"/>
  <c r="AG229" i="2"/>
  <c r="AI175" i="2"/>
  <c r="BT61" i="2"/>
  <c r="AF213" i="2"/>
  <c r="BK137" i="2"/>
  <c r="AF157" i="2"/>
  <c r="BI128" i="2"/>
  <c r="AE200" i="2"/>
  <c r="X97" i="2"/>
  <c r="BI96" i="2"/>
  <c r="BI179" i="2"/>
  <c r="BV22" i="2"/>
  <c r="U49" i="2"/>
  <c r="AF27" i="2"/>
  <c r="BS109" i="2"/>
  <c r="AX224" i="2"/>
  <c r="BH128" i="2"/>
  <c r="BS95" i="2"/>
  <c r="V12" i="2"/>
  <c r="U193" i="2"/>
  <c r="U76" i="2"/>
  <c r="BS62" i="2"/>
  <c r="BS171" i="2"/>
  <c r="W120" i="2"/>
  <c r="AF53" i="2"/>
  <c r="BU126" i="2"/>
  <c r="W16" i="2"/>
  <c r="AR114" i="2"/>
  <c r="BU97" i="2"/>
  <c r="BJ106" i="2"/>
  <c r="BA208" i="2"/>
  <c r="V89" i="2"/>
  <c r="AE155" i="2"/>
  <c r="BH31" i="2"/>
  <c r="X140" i="2"/>
  <c r="AF218" i="2"/>
  <c r="AG53" i="2"/>
  <c r="BT97" i="2"/>
  <c r="BB185" i="2"/>
  <c r="AG75" i="2"/>
  <c r="W104" i="2"/>
  <c r="BJ180" i="2"/>
  <c r="AH48" i="2"/>
  <c r="BS154" i="2"/>
  <c r="AH123" i="2"/>
  <c r="BL128" i="2"/>
  <c r="AY88" i="2"/>
  <c r="BT62" i="2"/>
  <c r="BR71" i="2"/>
  <c r="BS203" i="2"/>
  <c r="AQ98" i="2"/>
  <c r="AE185" i="2"/>
  <c r="BU84" i="2"/>
  <c r="V175" i="2"/>
  <c r="BB119" i="2"/>
  <c r="W169" i="2"/>
  <c r="X30" i="2"/>
  <c r="BL159" i="2"/>
  <c r="AG201" i="2"/>
  <c r="AZ118" i="2"/>
  <c r="AF4" i="2"/>
  <c r="BT67" i="2"/>
  <c r="AY96" i="2"/>
  <c r="W93" i="2"/>
  <c r="BV116" i="2"/>
  <c r="BK143" i="2"/>
  <c r="AQ134" i="2"/>
  <c r="Y168" i="2"/>
  <c r="BT195" i="2"/>
  <c r="U136" i="2"/>
  <c r="AG99" i="2"/>
  <c r="AH129" i="2"/>
  <c r="AE193" i="2"/>
  <c r="BU220" i="2"/>
  <c r="BR152" i="2"/>
  <c r="AX183" i="2"/>
  <c r="Y218" i="2"/>
  <c r="BI220" i="2"/>
  <c r="AN97" i="2"/>
  <c r="BV73" i="2"/>
  <c r="BL113" i="2"/>
  <c r="BL127" i="2"/>
  <c r="AZ78" i="2"/>
  <c r="BS89" i="2"/>
  <c r="BA21" i="2"/>
  <c r="BT137" i="2"/>
  <c r="AI170" i="2"/>
  <c r="U174" i="2"/>
  <c r="BU172" i="2"/>
  <c r="BJ100" i="2"/>
  <c r="BR106" i="2"/>
  <c r="Y125" i="2"/>
  <c r="AI69" i="2"/>
  <c r="U186" i="2"/>
  <c r="BS152" i="2"/>
  <c r="BV112" i="2"/>
  <c r="BU154" i="2"/>
  <c r="BV124" i="2"/>
  <c r="BB134" i="2"/>
  <c r="BV68" i="2"/>
  <c r="BI153" i="2"/>
  <c r="BT151" i="2"/>
  <c r="V214" i="2"/>
  <c r="V154" i="2"/>
  <c r="W103" i="2"/>
  <c r="AH101" i="2"/>
  <c r="AF19" i="2"/>
  <c r="BK180" i="2"/>
  <c r="V99" i="2"/>
  <c r="BU29" i="2"/>
  <c r="BT163" i="2"/>
  <c r="AH115" i="2"/>
  <c r="BS83" i="2"/>
  <c r="AH117" i="2"/>
  <c r="AE54" i="2"/>
  <c r="BH18" i="2"/>
  <c r="BV70" i="2"/>
  <c r="BS77" i="2"/>
  <c r="BL164" i="2"/>
  <c r="AX197" i="2"/>
  <c r="AG188" i="2"/>
  <c r="BU80" i="2"/>
  <c r="AE228" i="2"/>
  <c r="BL120" i="2"/>
  <c r="AE99" i="2"/>
  <c r="BT181" i="2"/>
  <c r="BV94" i="2"/>
  <c r="AQ60" i="2"/>
  <c r="AE192" i="2"/>
  <c r="BR172" i="2"/>
  <c r="BR82" i="2"/>
  <c r="AZ211" i="2"/>
  <c r="AE140" i="2"/>
  <c r="AE34" i="2"/>
  <c r="BL41" i="2"/>
  <c r="BV183" i="2"/>
  <c r="BK144" i="2"/>
  <c r="BS29" i="2"/>
  <c r="BK40" i="2"/>
  <c r="BR96" i="2"/>
  <c r="BK100" i="2"/>
  <c r="BS34" i="2"/>
  <c r="W8" i="2"/>
  <c r="AX22" i="2"/>
  <c r="BI95" i="2"/>
  <c r="BT44" i="2"/>
  <c r="BH52" i="2"/>
  <c r="BL42" i="2"/>
  <c r="BL27" i="2"/>
  <c r="BB223" i="2"/>
  <c r="AQ114" i="2"/>
  <c r="BU224" i="2"/>
  <c r="BS220" i="2"/>
  <c r="BB228" i="2"/>
  <c r="BI209" i="2"/>
  <c r="AE204" i="2"/>
  <c r="BI98" i="2"/>
  <c r="BR68" i="2"/>
  <c r="AI88" i="2"/>
  <c r="AX62" i="2"/>
  <c r="AZ80" i="2"/>
  <c r="BR110" i="2"/>
  <c r="BK154" i="2"/>
  <c r="AG133" i="2"/>
  <c r="BH140" i="2"/>
  <c r="AX201" i="2"/>
  <c r="BL46" i="2"/>
  <c r="BB60" i="2"/>
  <c r="AZ49" i="2"/>
  <c r="AH6" i="2"/>
  <c r="BK106" i="2"/>
  <c r="BU186" i="2"/>
  <c r="AI203" i="2"/>
  <c r="BJ84" i="2"/>
  <c r="AE40" i="2"/>
  <c r="AF215" i="2"/>
  <c r="BL139" i="2"/>
  <c r="W190" i="2"/>
  <c r="BJ133" i="2"/>
  <c r="BV214" i="2"/>
  <c r="BK50" i="2"/>
  <c r="AX18" i="2"/>
  <c r="BA206" i="2"/>
  <c r="AY129" i="2"/>
  <c r="AG35" i="2"/>
  <c r="BT194" i="2"/>
  <c r="BU120" i="2"/>
  <c r="BT153" i="2"/>
  <c r="AE69" i="2"/>
  <c r="AI214" i="2"/>
  <c r="BU110" i="2"/>
  <c r="BR33" i="2"/>
  <c r="BJ147" i="2"/>
  <c r="BU108" i="2"/>
  <c r="BR24" i="2"/>
  <c r="BH135" i="2"/>
  <c r="BV77" i="2"/>
  <c r="AN54" i="2"/>
  <c r="BK25" i="2"/>
  <c r="BV81" i="2"/>
  <c r="BR70" i="2"/>
  <c r="AX59" i="2"/>
  <c r="BT177" i="2"/>
  <c r="AE165" i="2"/>
  <c r="AI217" i="2"/>
  <c r="BH19" i="2"/>
  <c r="AX159" i="2"/>
  <c r="AG120" i="2"/>
  <c r="BA145" i="2"/>
  <c r="BT174" i="2"/>
  <c r="AX138" i="2"/>
  <c r="BI106" i="2"/>
  <c r="X26" i="2"/>
  <c r="AR80" i="2"/>
  <c r="BA194" i="2"/>
  <c r="BS218" i="2"/>
  <c r="AG95" i="2"/>
  <c r="BV64" i="2"/>
  <c r="BR69" i="2"/>
  <c r="BJ99" i="2"/>
  <c r="AR228" i="2"/>
  <c r="AH131" i="2"/>
  <c r="O212" i="2"/>
  <c r="AX73" i="2"/>
  <c r="AE198" i="2"/>
  <c r="AN37" i="2"/>
  <c r="BJ124" i="2"/>
  <c r="BA93" i="2"/>
  <c r="BI185" i="2"/>
  <c r="AZ61" i="2"/>
  <c r="BS135" i="2"/>
  <c r="V128" i="2"/>
  <c r="BS226" i="2"/>
  <c r="BH183" i="2"/>
  <c r="BV61" i="2"/>
  <c r="BR37" i="2"/>
  <c r="BA96" i="2"/>
  <c r="AZ132" i="2"/>
  <c r="X15" i="2"/>
  <c r="BL163" i="2"/>
  <c r="BI90" i="2"/>
  <c r="BA174" i="2"/>
  <c r="AZ46" i="2"/>
  <c r="AO160" i="2"/>
  <c r="O79" i="2"/>
  <c r="AN125" i="2"/>
  <c r="M73" i="2"/>
  <c r="AZ54" i="2"/>
  <c r="BH75" i="2"/>
  <c r="AP158" i="2"/>
  <c r="K153" i="2"/>
  <c r="BJ171" i="2"/>
  <c r="BK79" i="2"/>
  <c r="F19" i="2"/>
  <c r="AX195" i="2"/>
  <c r="BH191" i="2"/>
  <c r="K73" i="2"/>
  <c r="BH60" i="2"/>
  <c r="AF183" i="2"/>
  <c r="AF82" i="2"/>
  <c r="X67" i="2"/>
  <c r="BI87" i="2"/>
  <c r="BL171" i="2"/>
  <c r="BT35" i="2"/>
  <c r="AP151" i="2"/>
  <c r="BJ163" i="2"/>
  <c r="AG149" i="2"/>
  <c r="BB159" i="2"/>
  <c r="AQ87" i="2"/>
  <c r="AE6" i="2"/>
  <c r="BJ168" i="2"/>
  <c r="BI15" i="2"/>
  <c r="BR18" i="2"/>
  <c r="AO85" i="2"/>
  <c r="AR48" i="2"/>
  <c r="BH200" i="2"/>
  <c r="AX129" i="2"/>
  <c r="AO149" i="2"/>
  <c r="BT23" i="2"/>
  <c r="W143" i="2"/>
  <c r="BI188" i="2"/>
  <c r="O70" i="2"/>
  <c r="M215" i="2"/>
  <c r="BR165" i="2"/>
  <c r="K49" i="2"/>
  <c r="BI186" i="2"/>
  <c r="AQ119" i="2"/>
  <c r="Y11" i="2"/>
  <c r="BH146" i="2"/>
  <c r="BA24" i="2"/>
  <c r="AG145" i="2"/>
  <c r="BS78" i="2"/>
  <c r="AR134" i="2"/>
  <c r="BH207" i="2"/>
  <c r="BS142" i="2"/>
  <c r="AY106" i="2"/>
  <c r="AP68" i="2"/>
  <c r="AZ20" i="2"/>
  <c r="AY72" i="2"/>
  <c r="AX13" i="2"/>
  <c r="BL174" i="2"/>
  <c r="AX36" i="2"/>
  <c r="AY172" i="2"/>
  <c r="BJ65" i="2"/>
  <c r="AY118" i="2"/>
  <c r="AP214" i="2"/>
  <c r="BI97" i="2"/>
  <c r="BB172" i="2"/>
  <c r="AY225" i="2"/>
  <c r="BA86" i="2"/>
  <c r="AZ23" i="2"/>
  <c r="BH224" i="2"/>
  <c r="AZ189" i="2"/>
  <c r="AY75" i="2"/>
  <c r="BR185" i="2"/>
  <c r="AX168" i="2"/>
  <c r="BJ229" i="2"/>
  <c r="AG215" i="2"/>
  <c r="AP140" i="2"/>
  <c r="AG209" i="2"/>
  <c r="BK212" i="2"/>
  <c r="BV69" i="2"/>
  <c r="AX31" i="2"/>
  <c r="AI70" i="2"/>
  <c r="BI73" i="2"/>
  <c r="BR221" i="2"/>
  <c r="BJ187" i="2"/>
  <c r="BS67" i="2"/>
  <c r="BI28" i="2"/>
  <c r="F41" i="2"/>
  <c r="O117" i="2"/>
  <c r="BV158" i="2"/>
  <c r="AP184" i="2"/>
  <c r="C216" i="2"/>
  <c r="F12" i="2"/>
  <c r="AE93" i="2"/>
  <c r="AY109" i="2"/>
  <c r="BT116" i="2"/>
  <c r="BT145" i="2"/>
  <c r="BV171" i="2"/>
  <c r="BH203" i="2"/>
  <c r="BS76" i="2"/>
  <c r="AZ109" i="2"/>
  <c r="BS229" i="2"/>
  <c r="BV5" i="2"/>
  <c r="AR185" i="2"/>
  <c r="AX200" i="2"/>
  <c r="AZ134" i="2"/>
  <c r="BI43" i="2"/>
  <c r="BT186" i="2"/>
  <c r="X154" i="2"/>
  <c r="BR62" i="2"/>
  <c r="BI215" i="2"/>
  <c r="BL86" i="2"/>
  <c r="AX76" i="2"/>
  <c r="BJ87" i="2"/>
  <c r="AO177" i="2"/>
  <c r="B176" i="2"/>
  <c r="AF105" i="2"/>
  <c r="W222" i="2"/>
  <c r="AE88" i="2"/>
  <c r="Y122" i="2"/>
  <c r="AI27" i="2"/>
  <c r="U102" i="2"/>
  <c r="V142" i="2"/>
  <c r="AF179" i="2"/>
  <c r="BJ104" i="2"/>
  <c r="AE229" i="2"/>
  <c r="AF120" i="2"/>
  <c r="BA25" i="2"/>
  <c r="Y20" i="2"/>
  <c r="W199" i="2"/>
  <c r="BR91" i="2"/>
  <c r="BJ50" i="2"/>
  <c r="AG70" i="2"/>
  <c r="AZ168" i="2"/>
  <c r="BU63" i="2"/>
  <c r="AI190" i="2"/>
  <c r="BS99" i="2"/>
  <c r="AF79" i="2"/>
  <c r="BU106" i="2"/>
  <c r="BS33" i="2"/>
  <c r="BH101" i="2"/>
  <c r="BL93" i="2"/>
  <c r="BS141" i="2"/>
  <c r="BV32" i="2"/>
  <c r="AG170" i="2"/>
  <c r="AE44" i="2"/>
  <c r="BU138" i="2"/>
  <c r="BJ34" i="2"/>
  <c r="AY60" i="2"/>
  <c r="AG52" i="2"/>
  <c r="BV34" i="2"/>
  <c r="BS214" i="2"/>
  <c r="BV221" i="2"/>
  <c r="BV137" i="2"/>
  <c r="X226" i="2"/>
  <c r="AN22" i="2"/>
  <c r="BU96" i="2"/>
  <c r="BU71" i="2"/>
  <c r="BV229" i="2"/>
  <c r="AO32" i="2"/>
  <c r="BJ227" i="2"/>
  <c r="BL78" i="2"/>
  <c r="AH130" i="2"/>
  <c r="AP98" i="2"/>
  <c r="AZ106" i="2"/>
  <c r="V25" i="2"/>
  <c r="BS202" i="2"/>
  <c r="BA73" i="2"/>
  <c r="BI51" i="2"/>
  <c r="X189" i="2"/>
  <c r="V60" i="2"/>
  <c r="BL39" i="2"/>
  <c r="BS35" i="2"/>
  <c r="BT126" i="2"/>
  <c r="V32" i="2"/>
  <c r="AO150" i="2"/>
  <c r="AI168" i="2"/>
  <c r="BA134" i="2"/>
  <c r="BB212" i="2"/>
  <c r="BR99" i="2"/>
  <c r="BR47" i="2"/>
  <c r="AI122" i="2"/>
  <c r="BU164" i="2"/>
  <c r="AX207" i="2"/>
  <c r="BL54" i="2"/>
  <c r="BT18" i="2"/>
  <c r="Y41" i="2"/>
  <c r="BB103" i="2"/>
  <c r="AG127" i="2"/>
  <c r="BU181" i="2"/>
  <c r="X8" i="2"/>
  <c r="AP96" i="2"/>
  <c r="AI110" i="2"/>
  <c r="BB106" i="2"/>
  <c r="AZ215" i="2"/>
  <c r="AP132" i="2"/>
  <c r="BA94" i="2"/>
  <c r="X161" i="2"/>
  <c r="BL38" i="2"/>
  <c r="AZ63" i="2"/>
  <c r="AF72" i="2"/>
  <c r="BI49" i="2"/>
  <c r="BR90" i="2"/>
  <c r="AY148" i="2"/>
  <c r="BU168" i="2"/>
  <c r="Y82" i="2"/>
  <c r="BV21" i="2"/>
  <c r="AN152" i="2"/>
  <c r="BJ152" i="2"/>
  <c r="AG66" i="2"/>
  <c r="AX55" i="2"/>
  <c r="BV162" i="2"/>
  <c r="BB147" i="2"/>
  <c r="AF216" i="2"/>
  <c r="BK70" i="2"/>
  <c r="AY169" i="2"/>
  <c r="BT207" i="2"/>
  <c r="BU64" i="2"/>
  <c r="BV24" i="2"/>
  <c r="BL84" i="2"/>
  <c r="BU157" i="2"/>
  <c r="AZ178" i="2"/>
  <c r="W73" i="2"/>
  <c r="AH111" i="2"/>
  <c r="BB17" i="2"/>
  <c r="BK115" i="2"/>
  <c r="O153" i="2"/>
  <c r="AN64" i="2"/>
  <c r="U159" i="2"/>
  <c r="BV9" i="2"/>
  <c r="AP80" i="2"/>
  <c r="AZ144" i="2"/>
  <c r="AF21" i="2"/>
  <c r="BB102" i="2"/>
  <c r="AG77" i="2"/>
  <c r="AN81" i="2"/>
  <c r="BS197" i="2"/>
  <c r="BK105" i="2"/>
  <c r="BL69" i="2"/>
  <c r="BI11" i="2"/>
  <c r="AN48" i="2"/>
  <c r="AX119" i="2"/>
  <c r="X212" i="2"/>
  <c r="BT9" i="2"/>
  <c r="BI27" i="2"/>
  <c r="X33" i="2"/>
  <c r="BK51" i="2"/>
  <c r="BJ217" i="2"/>
  <c r="BU200" i="2"/>
  <c r="U219" i="2"/>
  <c r="BU46" i="2"/>
  <c r="BT158" i="2"/>
  <c r="BL100" i="2"/>
  <c r="BJ17" i="2"/>
  <c r="AR150" i="2"/>
  <c r="BJ140" i="2"/>
  <c r="AR18" i="2"/>
  <c r="K138" i="2"/>
  <c r="N119" i="2"/>
  <c r="BH144" i="2"/>
  <c r="AQ5" i="2"/>
  <c r="BI181" i="2"/>
  <c r="F222" i="2"/>
  <c r="AQ45" i="2"/>
  <c r="AY154" i="2"/>
  <c r="AO82" i="2"/>
  <c r="BH111" i="2"/>
  <c r="BJ188" i="2"/>
  <c r="BU4" i="2"/>
  <c r="AQ179" i="2"/>
  <c r="AQ123" i="2"/>
  <c r="AE110" i="2"/>
  <c r="BT30" i="2"/>
  <c r="AE79" i="2"/>
  <c r="AF73" i="2"/>
  <c r="BU225" i="2"/>
  <c r="AX210" i="2"/>
  <c r="N36" i="2"/>
  <c r="AZ177" i="2"/>
  <c r="BS144" i="2"/>
  <c r="AO54" i="2"/>
  <c r="AH138" i="2"/>
  <c r="AG125" i="2"/>
  <c r="BJ79" i="2"/>
  <c r="AY181" i="2"/>
  <c r="AN211" i="2"/>
  <c r="AN176" i="2"/>
  <c r="BI140" i="2"/>
  <c r="BJ146" i="2"/>
  <c r="AX218" i="2"/>
  <c r="N181" i="2"/>
  <c r="C182" i="2"/>
  <c r="BT7" i="2"/>
  <c r="N193" i="2"/>
  <c r="AR166" i="2"/>
  <c r="K84" i="2"/>
  <c r="BL129" i="2"/>
  <c r="AN85" i="2"/>
  <c r="N27" i="2"/>
  <c r="AH89" i="2"/>
  <c r="AH86" i="2"/>
  <c r="BV101" i="2"/>
  <c r="BJ158" i="2"/>
  <c r="BU139" i="2"/>
  <c r="BK39" i="2"/>
  <c r="BJ219" i="2"/>
  <c r="BA16" i="2"/>
  <c r="AI223" i="2"/>
  <c r="AN217" i="2"/>
  <c r="AX228" i="2"/>
  <c r="AF110" i="2"/>
  <c r="AX37" i="2"/>
  <c r="BJ13" i="2"/>
  <c r="AX65" i="2"/>
  <c r="AQ27" i="2"/>
  <c r="AN75" i="2"/>
  <c r="BH132" i="2"/>
  <c r="O38" i="2"/>
  <c r="BJ162" i="2"/>
  <c r="L56" i="2"/>
  <c r="BR81" i="2"/>
  <c r="BB167" i="2"/>
  <c r="BR179" i="2"/>
  <c r="AN79" i="2"/>
  <c r="BU117" i="2"/>
  <c r="AQ46" i="2"/>
  <c r="AZ62" i="2"/>
  <c r="AN145" i="2"/>
  <c r="BK142" i="2"/>
  <c r="BT8" i="2"/>
  <c r="AZ51" i="2"/>
  <c r="BB190" i="2"/>
  <c r="BB62" i="2"/>
  <c r="AN87" i="2"/>
  <c r="BH227" i="2"/>
  <c r="AX114" i="2"/>
  <c r="AP180" i="2"/>
  <c r="BI182" i="2"/>
  <c r="AY49" i="2"/>
  <c r="BL102" i="2"/>
  <c r="AR68" i="2"/>
  <c r="BV20" i="2"/>
  <c r="AY36" i="2"/>
  <c r="AY193" i="2"/>
  <c r="BK205" i="2"/>
  <c r="BA221" i="2"/>
  <c r="AN224" i="2"/>
  <c r="AZ42" i="2"/>
  <c r="AX214" i="2"/>
  <c r="AN146" i="2"/>
  <c r="BA89" i="2"/>
  <c r="BI47" i="2"/>
  <c r="BB187" i="2"/>
  <c r="AX133" i="2"/>
  <c r="AQ208" i="2"/>
  <c r="BR198" i="2"/>
  <c r="X82" i="2"/>
  <c r="AZ147" i="2"/>
  <c r="AE100" i="2"/>
  <c r="BK208" i="2"/>
  <c r="M157" i="2"/>
  <c r="AX96" i="2"/>
  <c r="AZ185" i="2"/>
  <c r="BA164" i="2"/>
  <c r="AH78" i="2"/>
  <c r="BB22" i="2"/>
  <c r="BA159" i="2"/>
  <c r="AE80" i="2"/>
  <c r="Y195" i="2"/>
  <c r="AX11" i="2"/>
  <c r="BR86" i="2"/>
  <c r="BH70" i="2"/>
  <c r="AH67" i="2"/>
  <c r="AH172" i="2"/>
  <c r="AF128" i="2"/>
  <c r="X60" i="2"/>
  <c r="W37" i="2"/>
  <c r="AH226" i="2"/>
  <c r="AE173" i="2"/>
  <c r="AR133" i="2"/>
  <c r="X4" i="2"/>
  <c r="BS193" i="2"/>
  <c r="BH181" i="2"/>
  <c r="BB32" i="2"/>
  <c r="U155" i="2"/>
  <c r="BL73" i="2"/>
  <c r="BR162" i="2"/>
  <c r="Y113" i="2"/>
  <c r="BS163" i="2"/>
  <c r="X103" i="2"/>
  <c r="AI138" i="2"/>
  <c r="AH76" i="2"/>
  <c r="BU50" i="2"/>
  <c r="AG190" i="2"/>
  <c r="BR120" i="2"/>
  <c r="AG218" i="2"/>
  <c r="BT165" i="2"/>
  <c r="BV103" i="2"/>
  <c r="BT136" i="2"/>
  <c r="AF6" i="2"/>
  <c r="BA155" i="2"/>
  <c r="BK66" i="2"/>
  <c r="BV13" i="2"/>
  <c r="BH78" i="2"/>
  <c r="BR115" i="2"/>
  <c r="BS167" i="2"/>
  <c r="BU150" i="2"/>
  <c r="BL137" i="2"/>
  <c r="AI228" i="2"/>
  <c r="BV156" i="2"/>
  <c r="BS159" i="2"/>
  <c r="BT215" i="2"/>
  <c r="BH148" i="2"/>
  <c r="BT49" i="2"/>
  <c r="BB70" i="2"/>
  <c r="AY217" i="2"/>
  <c r="AQ91" i="2"/>
  <c r="BA139" i="2"/>
  <c r="K168" i="2"/>
  <c r="AH93" i="2"/>
  <c r="AH184" i="2"/>
  <c r="BB199" i="2"/>
  <c r="BU142" i="2"/>
  <c r="BS45" i="2"/>
  <c r="BR171" i="2"/>
  <c r="BK108" i="2"/>
  <c r="BR125" i="2"/>
  <c r="BB67" i="2"/>
  <c r="AR132" i="2"/>
  <c r="AG51" i="2"/>
  <c r="AZ110" i="2"/>
  <c r="BT19" i="2"/>
  <c r="AQ164" i="2"/>
  <c r="AN200" i="2"/>
  <c r="AG135" i="2"/>
  <c r="AF210" i="2"/>
  <c r="BS183" i="2"/>
  <c r="BB43" i="2"/>
  <c r="BU169" i="2"/>
  <c r="BV129" i="2"/>
  <c r="AH74" i="2"/>
  <c r="BJ123" i="2"/>
  <c r="AH70" i="2"/>
  <c r="AX89" i="2"/>
  <c r="BJ184" i="2"/>
  <c r="BS127" i="2"/>
  <c r="BV223" i="2"/>
  <c r="BS19" i="2"/>
  <c r="AN191" i="2"/>
  <c r="M154" i="2"/>
  <c r="BU56" i="2"/>
  <c r="X186" i="2"/>
  <c r="BB156" i="2"/>
  <c r="BR163" i="2"/>
  <c r="BT176" i="2"/>
  <c r="BT118" i="2"/>
  <c r="BU155" i="2"/>
  <c r="AH84" i="2"/>
  <c r="BH83" i="2"/>
  <c r="AZ71" i="2"/>
  <c r="BH196" i="2"/>
  <c r="BR5" i="2"/>
  <c r="BU11" i="2"/>
  <c r="BB201" i="2"/>
  <c r="BV115" i="2"/>
  <c r="K165" i="2"/>
  <c r="AX173" i="2"/>
  <c r="U27" i="2"/>
  <c r="V15" i="2"/>
  <c r="BR223" i="2"/>
  <c r="AI216" i="2"/>
  <c r="BR187" i="2"/>
  <c r="BT37" i="2"/>
  <c r="BR93" i="2"/>
  <c r="AF39" i="2"/>
  <c r="AY175" i="2"/>
  <c r="AN172" i="2"/>
  <c r="BH63" i="2"/>
  <c r="BB138" i="2"/>
  <c r="AN96" i="2"/>
  <c r="AY113" i="2"/>
  <c r="AR74" i="2"/>
  <c r="BU159" i="2"/>
  <c r="V45" i="2"/>
  <c r="BL121" i="2"/>
  <c r="BU55" i="2"/>
  <c r="BR58" i="2"/>
  <c r="AZ104" i="2"/>
  <c r="BK68" i="2"/>
  <c r="BS104" i="2"/>
  <c r="BR224" i="2"/>
  <c r="BI4" i="2"/>
  <c r="BB89" i="2"/>
  <c r="BR9" i="2"/>
  <c r="AE217" i="2"/>
  <c r="AX21" i="2"/>
  <c r="BR65" i="2"/>
  <c r="AG108" i="2"/>
  <c r="AN118" i="2"/>
  <c r="AF221" i="2"/>
  <c r="AX85" i="2"/>
  <c r="AZ188" i="2"/>
  <c r="AN52" i="2"/>
  <c r="BR197" i="2"/>
  <c r="BI194" i="2"/>
  <c r="AQ61" i="2"/>
  <c r="BT95" i="2"/>
  <c r="AR140" i="2"/>
  <c r="AF159" i="2"/>
  <c r="AY64" i="2"/>
  <c r="X109" i="2"/>
  <c r="BV121" i="2"/>
  <c r="AO67" i="2"/>
  <c r="BI20" i="2"/>
  <c r="BI13" i="2"/>
  <c r="AO122" i="2"/>
  <c r="AZ16" i="2"/>
  <c r="BJ23" i="2"/>
  <c r="BS178" i="2"/>
  <c r="AR44" i="2"/>
  <c r="F48" i="2"/>
  <c r="O48" i="2"/>
  <c r="BV39" i="2"/>
  <c r="BK151" i="2"/>
  <c r="L172" i="2"/>
  <c r="U31" i="2"/>
  <c r="BH190" i="2"/>
  <c r="X69" i="2"/>
  <c r="X122" i="2"/>
  <c r="BH202" i="2"/>
  <c r="AQ194" i="2"/>
  <c r="BI103" i="2"/>
  <c r="BT107" i="2"/>
  <c r="AE164" i="2"/>
  <c r="BU37" i="2"/>
  <c r="BK57" i="2"/>
  <c r="AZ25" i="2"/>
  <c r="AG165" i="2"/>
  <c r="AY183" i="2"/>
  <c r="AP46" i="2"/>
  <c r="M54" i="2"/>
  <c r="N4" i="2"/>
  <c r="E193" i="2"/>
  <c r="BA135" i="2"/>
  <c r="B27" i="2"/>
  <c r="K213" i="2"/>
  <c r="BA76" i="2"/>
  <c r="BS122" i="2"/>
  <c r="AR154" i="2"/>
  <c r="K116" i="2"/>
  <c r="L45" i="2"/>
  <c r="AG117" i="2"/>
  <c r="C54" i="2"/>
  <c r="N9" i="2"/>
  <c r="BT171" i="2"/>
  <c r="BL158" i="2"/>
  <c r="W197" i="2"/>
  <c r="BV122" i="2"/>
  <c r="AO99" i="2"/>
  <c r="BU20" i="2"/>
  <c r="AY142" i="2"/>
  <c r="AZ72" i="2"/>
  <c r="BU167" i="2"/>
  <c r="AG45" i="2"/>
  <c r="BJ179" i="2"/>
  <c r="BS119" i="2"/>
  <c r="AX212" i="2"/>
  <c r="AO95" i="2"/>
  <c r="AN62" i="2"/>
  <c r="D221" i="2"/>
  <c r="AQ36" i="2"/>
  <c r="BT11" i="2"/>
  <c r="O71" i="2"/>
  <c r="BL50" i="2"/>
  <c r="AP112" i="2"/>
  <c r="AY160" i="2"/>
  <c r="AR136" i="2"/>
  <c r="AR206" i="2"/>
  <c r="BI113" i="2"/>
  <c r="AO161" i="2"/>
  <c r="BJ98" i="2"/>
  <c r="E26" i="2"/>
  <c r="AG181" i="2"/>
  <c r="AE66" i="2"/>
  <c r="BS201" i="2"/>
  <c r="AI184" i="2"/>
  <c r="BH205" i="2"/>
  <c r="W22" i="2"/>
  <c r="AQ30" i="2"/>
  <c r="BK195" i="2"/>
  <c r="BS14" i="2"/>
  <c r="BB224" i="2"/>
  <c r="AR125" i="2"/>
  <c r="BV74" i="2"/>
  <c r="Y206" i="2"/>
  <c r="BB25" i="2"/>
  <c r="AO165" i="2"/>
  <c r="AN61" i="2"/>
  <c r="AY208" i="2"/>
  <c r="BS75" i="2"/>
  <c r="AZ37" i="2"/>
  <c r="AX116" i="2"/>
  <c r="BL108" i="2"/>
  <c r="AH168" i="2"/>
  <c r="AP79" i="2"/>
  <c r="BA120" i="2"/>
  <c r="BI207" i="2"/>
  <c r="BT13" i="2"/>
  <c r="AX217" i="2"/>
  <c r="K4" i="2"/>
  <c r="BR145" i="2"/>
  <c r="AR169" i="2"/>
  <c r="V213" i="2"/>
  <c r="AG79" i="2"/>
  <c r="BU10" i="2"/>
  <c r="AE26" i="2"/>
  <c r="BU13" i="2"/>
  <c r="BS81" i="2"/>
  <c r="BJ67" i="2"/>
  <c r="AR216" i="2"/>
  <c r="BI214" i="2"/>
  <c r="BH215" i="2"/>
  <c r="BL219" i="2"/>
  <c r="AY138" i="2"/>
  <c r="AZ31" i="2"/>
  <c r="AQ172" i="2"/>
  <c r="AI62" i="2"/>
  <c r="AH106" i="2"/>
  <c r="AF8" i="2"/>
  <c r="V225" i="2"/>
  <c r="BL30" i="2"/>
  <c r="BH53" i="2"/>
  <c r="U158" i="2"/>
  <c r="AH15" i="2"/>
  <c r="BL63" i="2"/>
  <c r="AH92" i="2"/>
  <c r="AE68" i="2"/>
  <c r="AI115" i="2"/>
  <c r="AE167" i="2"/>
  <c r="AE91" i="2"/>
  <c r="AI79" i="2"/>
  <c r="AG217" i="2"/>
  <c r="AF193" i="2"/>
  <c r="BT209" i="2"/>
  <c r="BA34" i="2"/>
  <c r="BV93" i="2"/>
  <c r="BT98" i="2"/>
  <c r="BH145" i="2"/>
  <c r="BA50" i="2"/>
  <c r="BH123" i="2"/>
  <c r="AY46" i="2"/>
  <c r="BB114" i="2"/>
  <c r="AZ180" i="2"/>
  <c r="BK49" i="2"/>
  <c r="AI107" i="2"/>
  <c r="AX160" i="2"/>
  <c r="AR32" i="2"/>
  <c r="AF89" i="2"/>
  <c r="BA162" i="2"/>
  <c r="Y16" i="2"/>
  <c r="AR144" i="2"/>
  <c r="BR194" i="2"/>
  <c r="BR131" i="2"/>
  <c r="BS93" i="2"/>
  <c r="BA23" i="2"/>
  <c r="X228" i="2"/>
  <c r="BT183" i="2"/>
  <c r="BH37" i="2"/>
  <c r="AZ133" i="2"/>
  <c r="AP21" i="2"/>
  <c r="BB115" i="2"/>
  <c r="BK116" i="2"/>
  <c r="BJ55" i="2"/>
  <c r="AF139" i="2"/>
  <c r="BR101" i="2"/>
  <c r="AH18" i="2"/>
  <c r="AP148" i="2"/>
  <c r="BT112" i="2"/>
  <c r="BT154" i="2"/>
  <c r="BV117" i="2"/>
  <c r="AR66" i="2"/>
  <c r="BS180" i="2"/>
  <c r="BT74" i="2"/>
  <c r="BL51" i="2"/>
  <c r="BK149" i="2"/>
  <c r="BV96" i="2"/>
  <c r="BL17" i="2"/>
  <c r="AF70" i="2"/>
  <c r="BJ45" i="2"/>
  <c r="W141" i="2"/>
  <c r="AX136" i="2"/>
  <c r="BR136" i="2"/>
  <c r="AR158" i="2"/>
  <c r="BS175" i="2"/>
  <c r="BJ176" i="2"/>
  <c r="BT160" i="2"/>
  <c r="BV51" i="2"/>
  <c r="AI128" i="2"/>
  <c r="BU47" i="2"/>
  <c r="BL147" i="2"/>
  <c r="AY204" i="2"/>
  <c r="BR56" i="2"/>
  <c r="BB208" i="2"/>
  <c r="BV44" i="2"/>
  <c r="BA223" i="2"/>
  <c r="AF96" i="2"/>
  <c r="AZ68" i="2"/>
  <c r="AG184" i="2"/>
  <c r="BK187" i="2"/>
  <c r="BB139" i="2"/>
  <c r="V84" i="2"/>
  <c r="BR174" i="2"/>
  <c r="AO81" i="2"/>
  <c r="AF149" i="2"/>
  <c r="BV127" i="2"/>
  <c r="BH24" i="2"/>
  <c r="AQ74" i="2"/>
  <c r="BT4" i="2"/>
  <c r="BV15" i="2"/>
  <c r="AZ201" i="2"/>
  <c r="BL11" i="2"/>
  <c r="AI56" i="2"/>
  <c r="BR48" i="2"/>
  <c r="AG186" i="2"/>
  <c r="BI48" i="2"/>
  <c r="BI16" i="2"/>
  <c r="BA65" i="2"/>
  <c r="BU133" i="2"/>
  <c r="AO101" i="2"/>
  <c r="BV58" i="2"/>
  <c r="BJ108" i="2"/>
  <c r="AI98" i="2"/>
  <c r="BT142" i="2"/>
  <c r="BL131" i="2"/>
  <c r="Y203" i="2"/>
  <c r="BR14" i="2"/>
  <c r="BV202" i="2"/>
  <c r="V85" i="2"/>
  <c r="AF173" i="2"/>
  <c r="W124" i="2"/>
  <c r="BK213" i="2"/>
  <c r="AF33" i="2"/>
  <c r="AO36" i="2"/>
  <c r="AI209" i="2"/>
  <c r="BA33" i="2"/>
  <c r="AI121" i="2"/>
  <c r="AY136" i="2"/>
  <c r="AQ195" i="2"/>
  <c r="AE194" i="2"/>
  <c r="AH170" i="2"/>
  <c r="AX149" i="2"/>
  <c r="V130" i="2"/>
  <c r="AE55" i="2"/>
  <c r="AF154" i="2"/>
  <c r="AQ40" i="2"/>
  <c r="BU105" i="2"/>
  <c r="AG23" i="2"/>
  <c r="BI141" i="2"/>
  <c r="BL136" i="2"/>
  <c r="X45" i="2"/>
  <c r="BT77" i="2"/>
  <c r="AP62" i="2"/>
  <c r="BU197" i="2"/>
  <c r="BU170" i="2"/>
  <c r="BS123" i="2"/>
  <c r="AR110" i="2"/>
  <c r="F54" i="2"/>
  <c r="F169" i="2"/>
  <c r="U13" i="2"/>
  <c r="AO19" i="2"/>
  <c r="BB83" i="2"/>
  <c r="F224" i="2"/>
  <c r="AG40" i="2"/>
  <c r="K43" i="2"/>
  <c r="AP190" i="2"/>
  <c r="N225" i="2"/>
  <c r="AZ157" i="2"/>
  <c r="AP40" i="2"/>
  <c r="E98" i="2"/>
  <c r="U147" i="2"/>
  <c r="AR120" i="2"/>
  <c r="X11" i="2"/>
  <c r="BR189" i="2"/>
  <c r="BK33" i="2"/>
  <c r="BA14" i="2"/>
  <c r="BA111" i="2"/>
  <c r="BH221" i="2"/>
  <c r="BB24" i="2"/>
  <c r="BH71" i="2"/>
  <c r="BV205" i="2"/>
  <c r="AE38" i="2"/>
  <c r="AX157" i="2"/>
  <c r="AH114" i="2"/>
  <c r="AQ115" i="2"/>
  <c r="AQ116" i="2"/>
  <c r="M146" i="2"/>
  <c r="BT180" i="2"/>
  <c r="BH46" i="2"/>
  <c r="M111" i="2"/>
  <c r="AY31" i="2"/>
  <c r="Y40" i="2"/>
  <c r="AQ110" i="2"/>
  <c r="BA62" i="2"/>
  <c r="F93" i="2"/>
  <c r="AG166" i="2"/>
  <c r="BK200" i="2"/>
  <c r="N177" i="2"/>
  <c r="Y134" i="2"/>
  <c r="BR203" i="2"/>
  <c r="AG114" i="2"/>
  <c r="AI157" i="2"/>
  <c r="BU227" i="2"/>
  <c r="AN24" i="2"/>
  <c r="AQ44" i="2"/>
  <c r="BK226" i="2"/>
  <c r="BU15" i="2"/>
  <c r="BH114" i="2"/>
  <c r="BH172" i="2"/>
  <c r="BB94" i="2"/>
  <c r="BT196" i="2"/>
  <c r="BI212" i="2"/>
  <c r="AP145" i="2"/>
  <c r="AX17" i="2"/>
  <c r="D109" i="2"/>
  <c r="BJ3" i="2"/>
  <c r="AG126" i="2"/>
  <c r="BT131" i="2"/>
  <c r="AN120" i="2"/>
  <c r="N42" i="2"/>
  <c r="BK87" i="2"/>
  <c r="F219" i="2"/>
  <c r="M26" i="2"/>
  <c r="W188" i="2"/>
  <c r="BK31" i="2"/>
  <c r="AN19" i="2"/>
  <c r="O5" i="2"/>
  <c r="BJ39" i="2"/>
  <c r="BJ42" i="2"/>
  <c r="AE4" i="2"/>
  <c r="BU217" i="2"/>
  <c r="BS58" i="2"/>
  <c r="BA31" i="2"/>
  <c r="AP201" i="2"/>
  <c r="AE147" i="2"/>
  <c r="AY19" i="2"/>
  <c r="BU136" i="2"/>
  <c r="BR63" i="2"/>
  <c r="BR126" i="2"/>
  <c r="AF208" i="2"/>
  <c r="AN154" i="2"/>
  <c r="L16" i="2"/>
  <c r="AQ137" i="2"/>
  <c r="M151" i="2"/>
  <c r="BH198" i="2"/>
  <c r="K85" i="2"/>
  <c r="BI132" i="2"/>
  <c r="AN89" i="2"/>
  <c r="BI37" i="2"/>
  <c r="L65" i="2"/>
  <c r="B196" i="2"/>
  <c r="AN50" i="2"/>
  <c r="AZ88" i="2"/>
  <c r="N209" i="2"/>
  <c r="N32" i="2"/>
  <c r="AF170" i="2"/>
  <c r="BU21" i="2"/>
  <c r="BK162" i="2"/>
  <c r="BJ120" i="2"/>
  <c r="BJ193" i="2"/>
  <c r="BV133" i="2"/>
  <c r="AQ70" i="2"/>
  <c r="BJ103" i="2"/>
  <c r="AQ55" i="2"/>
  <c r="AQ146" i="2"/>
  <c r="AH120" i="2"/>
  <c r="BI216" i="2"/>
  <c r="BR97" i="2"/>
  <c r="AF5" i="2"/>
  <c r="BJ16" i="2"/>
  <c r="N68" i="2"/>
  <c r="AG30" i="2"/>
  <c r="X196" i="2"/>
  <c r="BR178" i="2"/>
  <c r="AE175" i="2"/>
  <c r="AF93" i="2"/>
  <c r="BT200" i="2"/>
  <c r="V147" i="2"/>
  <c r="BR84" i="2"/>
  <c r="BT211" i="2"/>
  <c r="AE105" i="2"/>
  <c r="BS46" i="2"/>
  <c r="BK203" i="2"/>
  <c r="AF188" i="2"/>
  <c r="BK155" i="2"/>
  <c r="BS199" i="2"/>
  <c r="AI177" i="2"/>
  <c r="AF113" i="2"/>
  <c r="BU130" i="2"/>
  <c r="AE221" i="2"/>
  <c r="BR205" i="2"/>
  <c r="AE24" i="2"/>
  <c r="AX60" i="2"/>
  <c r="BS55" i="2"/>
  <c r="BS100" i="2"/>
  <c r="AI222" i="2"/>
  <c r="BA98" i="2"/>
  <c r="BR190" i="2"/>
  <c r="BK119" i="2"/>
  <c r="W137" i="2"/>
  <c r="BS73" i="2"/>
  <c r="BL65" i="2"/>
  <c r="AF196" i="2"/>
  <c r="W42" i="2"/>
  <c r="AH183" i="2"/>
  <c r="BR113" i="2"/>
  <c r="BI227" i="2"/>
  <c r="AZ128" i="2"/>
  <c r="BH179" i="2"/>
  <c r="BS97" i="2"/>
  <c r="AH80" i="2"/>
  <c r="BS184" i="2"/>
  <c r="BH90" i="2"/>
  <c r="AI66" i="2"/>
  <c r="U229" i="2"/>
  <c r="AP125" i="2"/>
  <c r="AR24" i="2"/>
  <c r="BA217" i="2"/>
  <c r="AX98" i="2"/>
  <c r="U33" i="2"/>
  <c r="AQ173" i="2"/>
  <c r="BS117" i="2"/>
  <c r="BV45" i="2"/>
  <c r="BA137" i="2"/>
  <c r="AQ71" i="2"/>
  <c r="BV110" i="2"/>
  <c r="AH192" i="2"/>
  <c r="BL80" i="2"/>
  <c r="BI33" i="2"/>
  <c r="BS181" i="2"/>
  <c r="BT164" i="2"/>
  <c r="AF81" i="2"/>
  <c r="AQ117" i="2"/>
  <c r="AZ67" i="2"/>
  <c r="BL190" i="2"/>
  <c r="U215" i="2"/>
  <c r="BJ14" i="2"/>
  <c r="BU38" i="2"/>
  <c r="AG104" i="2"/>
  <c r="AX150" i="2"/>
  <c r="AG103" i="2"/>
  <c r="BL141" i="2"/>
  <c r="AE15" i="2"/>
  <c r="BH102" i="2"/>
  <c r="AX33" i="2"/>
  <c r="BT147" i="2"/>
  <c r="BS186" i="2"/>
  <c r="BS11" i="2"/>
  <c r="BS134" i="2"/>
  <c r="AQ72" i="2"/>
  <c r="X105" i="2"/>
  <c r="AG211" i="2"/>
  <c r="BV195" i="2"/>
  <c r="AZ43" i="2"/>
  <c r="Y180" i="2"/>
  <c r="BV185" i="2"/>
  <c r="BL47" i="2"/>
  <c r="BI117" i="2"/>
  <c r="AG31" i="2"/>
  <c r="BI190" i="2"/>
  <c r="AP199" i="2"/>
  <c r="BK83" i="2"/>
  <c r="BH35" i="2"/>
  <c r="BL13" i="2"/>
  <c r="AG65" i="2"/>
  <c r="AP139" i="2"/>
  <c r="U107" i="2"/>
  <c r="AG54" i="2"/>
  <c r="BH156" i="2"/>
  <c r="AF145" i="2"/>
  <c r="U173" i="2"/>
  <c r="BU213" i="2"/>
  <c r="BH43" i="2"/>
  <c r="BL162" i="2"/>
  <c r="U217" i="2"/>
  <c r="BI206" i="2"/>
  <c r="BI6" i="2"/>
  <c r="BL111" i="2"/>
  <c r="Y116" i="2"/>
  <c r="BB100" i="2"/>
  <c r="BR118" i="2"/>
  <c r="AQ22" i="2"/>
  <c r="Y159" i="2"/>
  <c r="BS4" i="2"/>
  <c r="BR143" i="2"/>
  <c r="BT170" i="2"/>
  <c r="AQ73" i="2"/>
  <c r="BL59" i="2"/>
  <c r="BA157" i="2"/>
  <c r="AQ169" i="2"/>
  <c r="K204" i="2"/>
  <c r="BV102" i="2"/>
  <c r="AO48" i="2"/>
  <c r="BT41" i="2"/>
  <c r="BR29" i="2"/>
  <c r="BL74" i="2"/>
  <c r="BJ192" i="2"/>
  <c r="BU22" i="2"/>
  <c r="AI211" i="2"/>
  <c r="BA55" i="2"/>
  <c r="U9" i="2"/>
  <c r="BJ21" i="2"/>
  <c r="AX67" i="2"/>
  <c r="AP29" i="2"/>
  <c r="BA204" i="2"/>
  <c r="U139" i="2"/>
  <c r="Y163" i="2"/>
  <c r="BV141" i="2"/>
  <c r="BT21" i="2"/>
  <c r="AZ85" i="2"/>
  <c r="AO209" i="2"/>
  <c r="BU121" i="2"/>
  <c r="BB160" i="2"/>
  <c r="C88" i="2"/>
  <c r="BV135" i="2"/>
  <c r="BV95" i="2"/>
  <c r="F221" i="2"/>
  <c r="F68" i="2"/>
  <c r="BA154" i="2"/>
  <c r="BU16" i="2"/>
  <c r="C224" i="2"/>
  <c r="AX94" i="2"/>
  <c r="BU214" i="2"/>
  <c r="AY105" i="2"/>
  <c r="N72" i="2"/>
  <c r="AF200" i="2"/>
  <c r="AH214" i="2"/>
  <c r="BT57" i="2"/>
  <c r="BA133" i="2"/>
  <c r="AF133" i="2"/>
  <c r="V7" i="2"/>
  <c r="BH29" i="2"/>
  <c r="AO129" i="2"/>
  <c r="BS31" i="2"/>
  <c r="BH4" i="2"/>
  <c r="AY209" i="2"/>
  <c r="AZ213" i="2"/>
  <c r="BB196" i="2"/>
  <c r="BL31" i="2"/>
  <c r="O28" i="2"/>
  <c r="AP164" i="2"/>
  <c r="C146" i="2"/>
  <c r="W38" i="2"/>
  <c r="K50" i="2"/>
  <c r="F126" i="2"/>
  <c r="AP51" i="2"/>
  <c r="BJ228" i="2"/>
  <c r="AX176" i="2"/>
  <c r="D61" i="2"/>
  <c r="B126" i="2"/>
  <c r="BJ91" i="2"/>
  <c r="BU73" i="2"/>
  <c r="D171" i="2"/>
  <c r="AH173" i="2"/>
  <c r="AN184" i="2"/>
  <c r="AI16" i="2"/>
  <c r="AY85" i="2"/>
  <c r="BA51" i="2"/>
  <c r="BL75" i="2"/>
  <c r="BU129" i="2"/>
  <c r="AQ223" i="2"/>
  <c r="AR78" i="2"/>
  <c r="BH81" i="2"/>
  <c r="BA58" i="2"/>
  <c r="AH224" i="2"/>
  <c r="BB98" i="2"/>
  <c r="BK71" i="2"/>
  <c r="BI41" i="2"/>
  <c r="B197" i="2"/>
  <c r="AN221" i="2"/>
  <c r="BH34" i="2"/>
  <c r="BL114" i="2"/>
  <c r="AN57" i="2"/>
  <c r="AQ77" i="2"/>
  <c r="Y4" i="2"/>
  <c r="BL34" i="2"/>
  <c r="K14" i="2"/>
  <c r="AN53" i="2"/>
  <c r="BK44" i="2"/>
  <c r="BL165" i="2"/>
  <c r="F26" i="2"/>
  <c r="U180" i="2"/>
  <c r="BK19" i="2"/>
  <c r="BH228" i="2"/>
  <c r="BT110" i="2"/>
  <c r="AQ95" i="2"/>
  <c r="AN49" i="2"/>
  <c r="AR171" i="2"/>
  <c r="BL191" i="2"/>
  <c r="BA102" i="2"/>
  <c r="BI79" i="2"/>
  <c r="BS101" i="2"/>
  <c r="BB179" i="2"/>
  <c r="AY33" i="2"/>
  <c r="BL64" i="2"/>
  <c r="BU195" i="2"/>
  <c r="K105" i="2"/>
  <c r="L130" i="2"/>
  <c r="BB78" i="2"/>
  <c r="BL101" i="2"/>
  <c r="F141" i="2"/>
  <c r="AY21" i="2"/>
  <c r="U35" i="2"/>
  <c r="BU158" i="2"/>
  <c r="K172" i="2"/>
  <c r="AO45" i="2"/>
  <c r="W89" i="2"/>
  <c r="BL109" i="2"/>
  <c r="BI56" i="2"/>
  <c r="C153" i="2"/>
  <c r="BV204" i="2"/>
  <c r="BT148" i="2"/>
  <c r="AF136" i="2"/>
  <c r="AQ56" i="2"/>
  <c r="BT129" i="2"/>
  <c r="BA61" i="2"/>
  <c r="AP38" i="2"/>
  <c r="BT33" i="2"/>
  <c r="BR75" i="2"/>
  <c r="BV29" i="2"/>
  <c r="BJ57" i="2"/>
  <c r="AY107" i="2"/>
  <c r="AZ161" i="2"/>
  <c r="BJ37" i="2"/>
  <c r="C64" i="2"/>
  <c r="W47" i="2"/>
  <c r="AN73" i="2"/>
  <c r="Y120" i="2"/>
  <c r="BH67" i="2"/>
  <c r="V61" i="2"/>
  <c r="AE161" i="2"/>
  <c r="AI148" i="2"/>
  <c r="BJ72" i="2"/>
  <c r="Y14" i="2"/>
  <c r="BB164" i="2"/>
  <c r="AX155" i="2"/>
  <c r="BT32" i="2"/>
  <c r="AZ175" i="2"/>
  <c r="BI44" i="2"/>
  <c r="BV55" i="2"/>
  <c r="BU119" i="2"/>
  <c r="BI151" i="2"/>
  <c r="Y220" i="2"/>
  <c r="BV182" i="2"/>
  <c r="BV170" i="2"/>
  <c r="BL204" i="2"/>
  <c r="X112" i="2"/>
  <c r="BT172" i="2"/>
  <c r="BS192" i="2"/>
  <c r="BK98" i="2"/>
  <c r="AG9" i="2"/>
  <c r="BJ136" i="2"/>
  <c r="BA152" i="2"/>
  <c r="BJ185" i="2"/>
  <c r="X181" i="2"/>
  <c r="BS213" i="2"/>
  <c r="W147" i="2"/>
  <c r="AH149" i="2"/>
  <c r="Y179" i="2"/>
  <c r="BV160" i="2"/>
  <c r="BT84" i="2"/>
  <c r="U110" i="2"/>
  <c r="AI14" i="2"/>
  <c r="AH178" i="2"/>
  <c r="BB186" i="2"/>
  <c r="AE188" i="2"/>
  <c r="BT155" i="2"/>
  <c r="AI89" i="2"/>
  <c r="BL94" i="2"/>
  <c r="AF152" i="2"/>
  <c r="V181" i="2"/>
  <c r="BI134" i="2"/>
  <c r="BK28" i="2"/>
  <c r="AE70" i="2"/>
  <c r="W134" i="2"/>
  <c r="BU12" i="2"/>
  <c r="BR83" i="2"/>
  <c r="AH201" i="2"/>
  <c r="AX111" i="2"/>
  <c r="BJ223" i="2"/>
  <c r="AX47" i="2"/>
  <c r="AE86" i="2"/>
  <c r="AY99" i="2"/>
  <c r="AG87" i="2"/>
  <c r="BL173" i="2"/>
  <c r="V75" i="2"/>
  <c r="AF181" i="2"/>
  <c r="BH98" i="2"/>
  <c r="BA191" i="2"/>
  <c r="V8" i="2"/>
  <c r="U170" i="2"/>
  <c r="AE227" i="2"/>
  <c r="BA192" i="2"/>
  <c r="AG227" i="2"/>
  <c r="AP35" i="2"/>
  <c r="BH143" i="2"/>
  <c r="AQ121" i="2"/>
  <c r="AE153" i="2"/>
  <c r="AZ26" i="2"/>
  <c r="V120" i="2"/>
  <c r="BL166" i="2"/>
  <c r="AG123" i="2"/>
  <c r="Y124" i="2"/>
  <c r="BA49" i="2"/>
  <c r="BA195" i="2"/>
  <c r="W203" i="2"/>
  <c r="X148" i="2"/>
  <c r="AI198" i="2"/>
  <c r="BU209" i="2"/>
  <c r="BS136" i="2"/>
  <c r="BI133" i="2"/>
  <c r="BV226" i="2"/>
  <c r="AN137" i="2"/>
  <c r="BU36" i="2"/>
  <c r="BK150" i="2"/>
  <c r="W168" i="2"/>
  <c r="BH199" i="2"/>
  <c r="Y207" i="2"/>
  <c r="AH141" i="2"/>
  <c r="BH96" i="2"/>
  <c r="AX130" i="2"/>
  <c r="BI62" i="2"/>
  <c r="AI119" i="2"/>
  <c r="X201" i="2"/>
  <c r="BT64" i="2"/>
  <c r="BV208" i="2"/>
  <c r="AQ210" i="2"/>
  <c r="BA107" i="2"/>
  <c r="AY153" i="2"/>
  <c r="AH21" i="2"/>
  <c r="BV167" i="2"/>
  <c r="AE97" i="2"/>
  <c r="AG113" i="2"/>
  <c r="BR22" i="2"/>
  <c r="AH216" i="2"/>
  <c r="AQ190" i="2"/>
  <c r="N73" i="2"/>
  <c r="V87" i="2"/>
  <c r="AE12" i="2"/>
  <c r="BL66" i="2"/>
  <c r="BB33" i="2"/>
  <c r="V171" i="2"/>
  <c r="AG6" i="2"/>
  <c r="AN46" i="2"/>
  <c r="BU118" i="2"/>
  <c r="AY131" i="2"/>
  <c r="BT46" i="2"/>
  <c r="BT225" i="2"/>
  <c r="BI104" i="2"/>
  <c r="AY70" i="2"/>
  <c r="AX196" i="2"/>
  <c r="BK7" i="2"/>
  <c r="AI178" i="2"/>
  <c r="BI178" i="2"/>
  <c r="V202" i="2"/>
  <c r="BU33" i="2"/>
  <c r="AP47" i="2"/>
  <c r="BL198" i="2"/>
  <c r="AI155" i="2"/>
  <c r="BB225" i="2"/>
  <c r="BT80" i="2"/>
  <c r="BJ107" i="2"/>
  <c r="AY14" i="2"/>
  <c r="BA54" i="2"/>
  <c r="AH218" i="2"/>
  <c r="AX39" i="2"/>
  <c r="AN156" i="2"/>
  <c r="E39" i="2"/>
  <c r="F44" i="2"/>
  <c r="AZ10" i="2"/>
  <c r="AR87" i="2"/>
  <c r="C181" i="2"/>
  <c r="E196" i="2"/>
  <c r="AY191" i="2"/>
  <c r="BK214" i="2"/>
  <c r="K195" i="2"/>
  <c r="C16" i="2"/>
  <c r="BR43" i="2"/>
  <c r="AR175" i="2"/>
  <c r="F97" i="2"/>
  <c r="BU109" i="2"/>
  <c r="BS25" i="2"/>
  <c r="AP187" i="2"/>
  <c r="BS106" i="2"/>
  <c r="BT149" i="2"/>
  <c r="AY203" i="2"/>
  <c r="AR117" i="2"/>
  <c r="K223" i="2"/>
  <c r="AF130" i="2"/>
  <c r="AI204" i="2"/>
  <c r="AH202" i="2"/>
  <c r="Y200" i="2"/>
  <c r="BH86" i="2"/>
  <c r="BR147" i="2"/>
  <c r="BS51" i="2"/>
  <c r="O22" i="2"/>
  <c r="AQ155" i="2"/>
  <c r="AR99" i="2"/>
  <c r="BJ156" i="2"/>
  <c r="AX3" i="2"/>
  <c r="D157" i="2"/>
  <c r="AG48" i="2"/>
  <c r="AZ207" i="2"/>
  <c r="C12" i="2"/>
  <c r="D94" i="2"/>
  <c r="BV203" i="2"/>
  <c r="AQ174" i="2"/>
  <c r="K144" i="2"/>
  <c r="AG121" i="2"/>
  <c r="BV54" i="2"/>
  <c r="AZ162" i="2"/>
  <c r="AI94" i="2"/>
  <c r="AH13" i="2"/>
  <c r="BR146" i="2"/>
  <c r="BH104" i="2"/>
  <c r="BJ173" i="2"/>
  <c r="AF143" i="2"/>
  <c r="BH16" i="2"/>
  <c r="AN104" i="2"/>
  <c r="BT56" i="2"/>
  <c r="AH223" i="2"/>
  <c r="U89" i="2"/>
  <c r="AY15" i="2"/>
  <c r="F229" i="2"/>
  <c r="L105" i="2"/>
  <c r="AX97" i="2"/>
  <c r="AZ17" i="2"/>
  <c r="E11" i="2"/>
  <c r="K70" i="2"/>
  <c r="BJ54" i="2"/>
  <c r="BB20" i="2"/>
  <c r="F121" i="2"/>
  <c r="M61" i="2"/>
  <c r="BU87" i="2"/>
  <c r="AR157" i="2"/>
  <c r="F216" i="2"/>
  <c r="AG171" i="2"/>
  <c r="BI224" i="2"/>
  <c r="BI155" i="2"/>
  <c r="BI172" i="2"/>
  <c r="BJ48" i="2"/>
  <c r="AZ171" i="2"/>
  <c r="AI90" i="2"/>
  <c r="AN210" i="2"/>
  <c r="BB99" i="2"/>
  <c r="BJ125" i="2"/>
  <c r="AO86" i="2"/>
  <c r="BK96" i="2"/>
  <c r="AR220" i="2"/>
  <c r="AH186" i="2"/>
  <c r="BT205" i="2"/>
  <c r="K25" i="2"/>
  <c r="D24" i="2"/>
  <c r="AE176" i="2"/>
  <c r="BV98" i="2"/>
  <c r="N175" i="2"/>
  <c r="C210" i="2"/>
  <c r="BS212" i="2"/>
  <c r="AP86" i="2"/>
  <c r="BJ96" i="2"/>
  <c r="E82" i="2"/>
  <c r="BH32" i="2"/>
  <c r="AR188" i="2"/>
  <c r="F178" i="2"/>
  <c r="W215" i="2"/>
  <c r="AY185" i="2"/>
  <c r="U95" i="2"/>
  <c r="BI174" i="2"/>
  <c r="BT173" i="2"/>
  <c r="AH125" i="2"/>
  <c r="BU160" i="2"/>
  <c r="BB75" i="2"/>
  <c r="BJ101" i="2"/>
  <c r="BJ200" i="2"/>
  <c r="BS137" i="2"/>
  <c r="BR212" i="2"/>
  <c r="BI118" i="2"/>
  <c r="AE74" i="2"/>
  <c r="BU59" i="2"/>
  <c r="B39" i="2"/>
  <c r="BS162" i="2"/>
  <c r="AQ191" i="2"/>
  <c r="AI30" i="2"/>
  <c r="BT150" i="2"/>
  <c r="AQ167" i="2"/>
  <c r="BH160" i="2"/>
  <c r="AX24" i="2"/>
  <c r="AN183" i="2"/>
  <c r="BA9" i="2"/>
  <c r="AZ159" i="2"/>
  <c r="AG189" i="2"/>
  <c r="BA196" i="2"/>
  <c r="X162" i="2"/>
  <c r="BJ18" i="2"/>
  <c r="AI87" i="2"/>
  <c r="AZ32" i="2"/>
  <c r="BT189" i="2"/>
  <c r="AN55" i="2"/>
  <c r="BR40" i="2"/>
  <c r="BL222" i="2"/>
  <c r="Y138" i="2"/>
  <c r="AQ59" i="2"/>
  <c r="BU67" i="2"/>
  <c r="BA101" i="2"/>
  <c r="BS164" i="2"/>
  <c r="Y131" i="2"/>
  <c r="BI34" i="2"/>
  <c r="AF220" i="2"/>
  <c r="AF212" i="2"/>
  <c r="AI162" i="2"/>
  <c r="BU202" i="2"/>
  <c r="BS32" i="2"/>
  <c r="BT224" i="2"/>
  <c r="AY146" i="2"/>
  <c r="BS22" i="2"/>
  <c r="BK41" i="2"/>
  <c r="BT227" i="2"/>
  <c r="BK220" i="2"/>
  <c r="BA205" i="2"/>
  <c r="AX161" i="2"/>
  <c r="BA125" i="2"/>
  <c r="AE90" i="2"/>
  <c r="BI148" i="2"/>
  <c r="AF165" i="2"/>
  <c r="C152" i="2"/>
  <c r="E174" i="2"/>
  <c r="L175" i="2"/>
  <c r="V91" i="2"/>
  <c r="AY65" i="2"/>
  <c r="AX194" i="2"/>
  <c r="AI153" i="2"/>
  <c r="E81" i="2"/>
  <c r="M194" i="2"/>
  <c r="F57" i="2"/>
  <c r="E75" i="2"/>
  <c r="BS70" i="2"/>
  <c r="AQ158" i="2"/>
  <c r="AE50" i="2"/>
  <c r="F73" i="2"/>
  <c r="E114" i="2"/>
  <c r="AY222" i="2"/>
  <c r="X3" i="2"/>
  <c r="AI193" i="2"/>
  <c r="BL138" i="2"/>
  <c r="BU82" i="2"/>
  <c r="AP63" i="2"/>
  <c r="BL177" i="2"/>
  <c r="AO133" i="2"/>
  <c r="BR195" i="2"/>
  <c r="BA168" i="2"/>
  <c r="AX202" i="2"/>
  <c r="AR199" i="2"/>
  <c r="AP74" i="2"/>
  <c r="BK176" i="2"/>
  <c r="AX144" i="2"/>
  <c r="E91" i="2"/>
  <c r="BL124" i="2"/>
  <c r="BJ174" i="2"/>
  <c r="L215" i="2"/>
  <c r="D50" i="2"/>
  <c r="BR46" i="2"/>
  <c r="AN80" i="2"/>
  <c r="B229" i="2"/>
  <c r="K202" i="2"/>
  <c r="BH220" i="2"/>
  <c r="BH77" i="2"/>
  <c r="N210" i="2"/>
  <c r="E150" i="2"/>
  <c r="BJ155" i="2"/>
  <c r="BB142" i="2"/>
  <c r="AY229" i="2"/>
  <c r="F203" i="2"/>
  <c r="AP203" i="2"/>
  <c r="AP85" i="2"/>
  <c r="F79" i="2"/>
  <c r="AP44" i="2"/>
  <c r="BI50" i="2"/>
  <c r="AI147" i="2"/>
  <c r="BB50" i="2"/>
  <c r="U41" i="2"/>
  <c r="BB198" i="2"/>
  <c r="BJ225" i="2"/>
  <c r="M196" i="2"/>
  <c r="BH88" i="2"/>
  <c r="AX175" i="2"/>
  <c r="M68" i="2"/>
  <c r="D28" i="2"/>
  <c r="AZ122" i="2"/>
  <c r="AY11" i="2"/>
  <c r="N48" i="2"/>
  <c r="AH14" i="2"/>
  <c r="AQ48" i="2"/>
  <c r="BR77" i="2"/>
  <c r="O65" i="2"/>
  <c r="AG10" i="2"/>
  <c r="AR102" i="2"/>
  <c r="BV187" i="2"/>
  <c r="AN219" i="2"/>
  <c r="BH137" i="2"/>
  <c r="BJ15" i="2"/>
  <c r="BL112" i="2"/>
  <c r="F49" i="2"/>
  <c r="AO41" i="2"/>
  <c r="AQ108" i="2"/>
  <c r="AQ9" i="2"/>
  <c r="D104" i="2"/>
  <c r="K136" i="2"/>
  <c r="AQ124" i="2"/>
  <c r="O53" i="2"/>
  <c r="BT36" i="2"/>
  <c r="AO84" i="2"/>
  <c r="AY52" i="2"/>
  <c r="AN68" i="2"/>
  <c r="W83" i="2"/>
  <c r="AY216" i="2"/>
  <c r="AX191" i="2"/>
  <c r="K141" i="2"/>
  <c r="BK170" i="2"/>
  <c r="M126" i="2"/>
  <c r="AP78" i="2"/>
  <c r="AY223" i="2"/>
  <c r="C222" i="2"/>
  <c r="BJ142" i="2"/>
  <c r="C56" i="2"/>
  <c r="BK99" i="2"/>
  <c r="K174" i="2"/>
  <c r="BJ186" i="2"/>
  <c r="BL210" i="2"/>
  <c r="BL58" i="2"/>
  <c r="N179" i="2"/>
  <c r="N127" i="2"/>
  <c r="E103" i="2"/>
  <c r="AR27" i="2"/>
  <c r="AX127" i="2"/>
  <c r="L23" i="2"/>
  <c r="BB111" i="2"/>
  <c r="C139" i="2"/>
  <c r="AX171" i="2"/>
  <c r="AR79" i="2"/>
  <c r="AN178" i="2"/>
  <c r="BH195" i="2"/>
  <c r="AI213" i="2"/>
  <c r="Y63" i="2"/>
  <c r="AE129" i="2"/>
  <c r="AR103" i="2"/>
  <c r="AY163" i="2"/>
  <c r="AH160" i="2"/>
  <c r="BA130" i="2"/>
  <c r="BH185" i="2"/>
  <c r="AR151" i="2"/>
  <c r="BK211" i="2"/>
  <c r="BH168" i="2"/>
  <c r="BA19" i="2"/>
  <c r="AP66" i="2"/>
  <c r="M201" i="2"/>
  <c r="B3" i="2"/>
  <c r="BH47" i="2"/>
  <c r="BB44" i="2"/>
  <c r="AP176" i="2"/>
  <c r="AN65" i="2"/>
  <c r="AZ193" i="2"/>
  <c r="BB56" i="2"/>
  <c r="BH180" i="2"/>
  <c r="C129" i="2"/>
  <c r="BA79" i="2"/>
  <c r="D29" i="2"/>
  <c r="L10" i="2"/>
  <c r="BB12" i="2"/>
  <c r="BS191" i="2"/>
  <c r="E8" i="2"/>
  <c r="N14" i="2"/>
  <c r="M152" i="2"/>
  <c r="BT65" i="2"/>
  <c r="AX128" i="2"/>
  <c r="AZ11" i="2"/>
  <c r="BU226" i="2"/>
  <c r="AN122" i="2"/>
  <c r="BI76" i="2"/>
  <c r="BA10" i="2"/>
  <c r="BK227" i="2"/>
  <c r="BJ78" i="2"/>
  <c r="BL53" i="2"/>
  <c r="N191" i="2"/>
  <c r="B50" i="2"/>
  <c r="O83" i="2"/>
  <c r="AN195" i="2"/>
  <c r="N24" i="2"/>
  <c r="F134" i="2"/>
  <c r="O95" i="2"/>
  <c r="AQ203" i="2"/>
  <c r="B166" i="2"/>
  <c r="D151" i="2"/>
  <c r="AQ83" i="2"/>
  <c r="O189" i="2"/>
  <c r="AY77" i="2"/>
  <c r="BL44" i="2"/>
  <c r="N70" i="2"/>
  <c r="BV90" i="2"/>
  <c r="D27" i="2"/>
  <c r="D132" i="2"/>
  <c r="K86" i="2"/>
  <c r="BI177" i="2"/>
  <c r="E37" i="2"/>
  <c r="K88" i="2"/>
  <c r="AH152" i="2"/>
  <c r="BL32" i="2"/>
  <c r="BV49" i="2"/>
  <c r="BL29" i="2"/>
  <c r="E185" i="2"/>
  <c r="AZ210" i="2"/>
  <c r="B56" i="2"/>
  <c r="BI213" i="2"/>
  <c r="N197" i="2"/>
  <c r="AZ222" i="2"/>
  <c r="O171" i="2"/>
  <c r="BR41" i="2"/>
  <c r="E201" i="2"/>
  <c r="AR3" i="2"/>
  <c r="M214" i="2"/>
  <c r="BH66" i="2"/>
  <c r="F206" i="2"/>
  <c r="C67" i="2"/>
  <c r="D74" i="2"/>
  <c r="BI24" i="2"/>
  <c r="B171" i="2"/>
  <c r="F153" i="2"/>
  <c r="AY119" i="2"/>
  <c r="AX35" i="2"/>
  <c r="BH136" i="2"/>
  <c r="AP8" i="2"/>
  <c r="L32" i="2"/>
  <c r="N190" i="2"/>
  <c r="BV123" i="2"/>
  <c r="N228" i="2"/>
  <c r="AP73" i="2"/>
  <c r="C172" i="2"/>
  <c r="BB86" i="2"/>
  <c r="BT179" i="2"/>
  <c r="W158" i="2"/>
  <c r="U80" i="2"/>
  <c r="AE32" i="2"/>
  <c r="BI5" i="2"/>
  <c r="BR61" i="2"/>
  <c r="BI136" i="2"/>
  <c r="BV75" i="2"/>
  <c r="AF203" i="2"/>
  <c r="BR66" i="2"/>
  <c r="AG172" i="2"/>
  <c r="BR88" i="2"/>
  <c r="BL125" i="2"/>
  <c r="BT76" i="2"/>
  <c r="Y98" i="2"/>
  <c r="BL133" i="2"/>
  <c r="BK91" i="2"/>
  <c r="BU122" i="2"/>
  <c r="AH194" i="2"/>
  <c r="BT100" i="2"/>
  <c r="AH146" i="2"/>
  <c r="AE65" i="2"/>
  <c r="Y190" i="2"/>
  <c r="BT202" i="2"/>
  <c r="AZ39" i="2"/>
  <c r="BV31" i="2"/>
  <c r="BT190" i="2"/>
  <c r="BL144" i="2"/>
  <c r="BU102" i="2"/>
  <c r="BB221" i="2"/>
  <c r="AF185" i="2"/>
  <c r="AN225" i="2"/>
  <c r="AN209" i="2"/>
  <c r="BI39" i="2"/>
  <c r="AP150" i="2"/>
  <c r="BK90" i="2"/>
  <c r="AP24" i="2"/>
  <c r="BB15" i="2"/>
  <c r="AH133" i="2"/>
  <c r="K72" i="2"/>
  <c r="AE18" i="2"/>
  <c r="AX109" i="2"/>
  <c r="AG204" i="2"/>
  <c r="BB88" i="2"/>
  <c r="AQ170" i="2"/>
  <c r="BS204" i="2"/>
  <c r="BA60" i="2"/>
  <c r="V148" i="2"/>
  <c r="AG129" i="2"/>
  <c r="AI68" i="2"/>
  <c r="C192" i="2"/>
  <c r="C190" i="2"/>
  <c r="E169" i="2"/>
  <c r="Y106" i="2"/>
  <c r="AX122" i="2"/>
  <c r="V9" i="2"/>
  <c r="BR27" i="2"/>
  <c r="E204" i="2"/>
  <c r="F77" i="2"/>
  <c r="C191" i="2"/>
  <c r="M139" i="2"/>
  <c r="BA104" i="2"/>
  <c r="AP58" i="2"/>
  <c r="BA36" i="2"/>
  <c r="K93" i="2"/>
  <c r="BJ210" i="2"/>
  <c r="BB148" i="2"/>
  <c r="BK61" i="2"/>
  <c r="AP182" i="2"/>
  <c r="L212" i="2"/>
  <c r="M105" i="2"/>
  <c r="C96" i="2"/>
  <c r="AO199" i="2"/>
  <c r="BA184" i="2"/>
  <c r="BH51" i="2"/>
  <c r="BI99" i="2"/>
  <c r="N194" i="2"/>
  <c r="BT43" i="2"/>
  <c r="AY9" i="2"/>
  <c r="BU17" i="2"/>
  <c r="B69" i="2"/>
  <c r="BV86" i="2"/>
  <c r="BI184" i="2"/>
  <c r="BL218" i="2"/>
  <c r="M65" i="2"/>
  <c r="BI23" i="2"/>
  <c r="BK201" i="2"/>
  <c r="BK113" i="2"/>
  <c r="D73" i="2"/>
  <c r="BJ49" i="2"/>
  <c r="AX189" i="2"/>
  <c r="E74" i="2"/>
  <c r="AO13" i="2"/>
  <c r="AP147" i="2"/>
  <c r="BA138" i="2"/>
  <c r="B23" i="2"/>
  <c r="BR148" i="2"/>
  <c r="AQ125" i="2"/>
  <c r="AX28" i="2"/>
  <c r="AR113" i="2"/>
  <c r="BH39" i="2"/>
  <c r="BT3" i="2"/>
  <c r="BK168" i="2"/>
  <c r="BA35" i="2"/>
  <c r="AF111" i="2"/>
  <c r="E15" i="2"/>
  <c r="AY211" i="2"/>
  <c r="V206" i="2"/>
  <c r="F88" i="2"/>
  <c r="AP168" i="2"/>
  <c r="BA188" i="2"/>
  <c r="BI116" i="2"/>
  <c r="L116" i="2"/>
  <c r="AR191" i="2"/>
  <c r="AY195" i="2"/>
  <c r="BS170" i="2"/>
  <c r="D7" i="2"/>
  <c r="BB136" i="2"/>
  <c r="K127" i="2"/>
  <c r="BH213" i="2"/>
  <c r="BJ150" i="2"/>
  <c r="BJ177" i="2"/>
  <c r="AX12" i="2"/>
  <c r="AZ214" i="2"/>
  <c r="BA183" i="2"/>
  <c r="BL179" i="2"/>
  <c r="BA29" i="2"/>
  <c r="AI80" i="2"/>
  <c r="AG8" i="2"/>
  <c r="U104" i="2"/>
  <c r="AR83" i="2"/>
  <c r="AQ49" i="2"/>
  <c r="BT214" i="2"/>
  <c r="AE222" i="2"/>
  <c r="AY114" i="2"/>
  <c r="BT54" i="2"/>
  <c r="AX190" i="2"/>
  <c r="BL103" i="2"/>
  <c r="BH182" i="2"/>
  <c r="BK209" i="2"/>
  <c r="BS219" i="2"/>
  <c r="N185" i="2"/>
  <c r="N217" i="2"/>
  <c r="BI57" i="2"/>
  <c r="AO91" i="2"/>
  <c r="AO76" i="2"/>
  <c r="AR109" i="2"/>
  <c r="BL60" i="2"/>
  <c r="AO111" i="2"/>
  <c r="O158" i="2"/>
  <c r="K17" i="2"/>
  <c r="BH65" i="2"/>
  <c r="AO77" i="2"/>
  <c r="D81" i="2"/>
  <c r="AQ163" i="2"/>
  <c r="F167" i="2"/>
  <c r="K226" i="2"/>
  <c r="D142" i="2"/>
  <c r="B46" i="2"/>
  <c r="BV139" i="2"/>
  <c r="BR182" i="2"/>
  <c r="U30" i="2"/>
  <c r="BI129" i="2"/>
  <c r="BK185" i="2"/>
  <c r="BB131" i="2"/>
  <c r="AN134" i="2"/>
  <c r="BB82" i="2"/>
  <c r="BA189" i="2"/>
  <c r="AP225" i="2"/>
  <c r="K106" i="2"/>
  <c r="M182" i="2"/>
  <c r="D146" i="2"/>
  <c r="B160" i="2"/>
  <c r="E104" i="2"/>
  <c r="C115" i="2"/>
  <c r="BV154" i="2"/>
  <c r="C214" i="2"/>
  <c r="C75" i="2"/>
  <c r="K111" i="2"/>
  <c r="AX143" i="2"/>
  <c r="AF94" i="2"/>
  <c r="D164" i="2"/>
  <c r="D222" i="2"/>
  <c r="F164" i="2"/>
  <c r="BS90" i="2"/>
  <c r="O11" i="2"/>
  <c r="B116" i="2"/>
  <c r="AR91" i="2"/>
  <c r="BV17" i="2"/>
  <c r="AR9" i="2"/>
  <c r="L161" i="2"/>
  <c r="BV150" i="2"/>
  <c r="AN162" i="2"/>
  <c r="BR220" i="2"/>
  <c r="BL25" i="2"/>
  <c r="O63" i="2"/>
  <c r="BK210" i="2"/>
  <c r="B134" i="2"/>
  <c r="AY143" i="2"/>
  <c r="M113" i="2"/>
  <c r="BR213" i="2"/>
  <c r="M200" i="2"/>
  <c r="V111" i="2"/>
  <c r="B44" i="2"/>
  <c r="M220" i="2"/>
  <c r="AR7" i="2"/>
  <c r="AI81" i="2"/>
  <c r="F131" i="2"/>
  <c r="L102" i="2"/>
  <c r="M181" i="2"/>
  <c r="BR218" i="2"/>
  <c r="O49" i="2"/>
  <c r="N103" i="2"/>
  <c r="AP103" i="2"/>
  <c r="BT12" i="2"/>
  <c r="BB58" i="2"/>
  <c r="N52" i="2"/>
  <c r="AP123" i="2"/>
  <c r="O139" i="2"/>
  <c r="AY4" i="2"/>
  <c r="AP229" i="2"/>
  <c r="L159" i="2"/>
  <c r="C42" i="2"/>
  <c r="AX192" i="2"/>
  <c r="BI180" i="2"/>
  <c r="BU174" i="2"/>
  <c r="AQ79" i="2"/>
  <c r="AP195" i="2"/>
  <c r="AQ178" i="2"/>
  <c r="C138" i="2"/>
  <c r="BB30" i="2"/>
  <c r="C203" i="2"/>
  <c r="AP186" i="2"/>
  <c r="M88" i="2"/>
  <c r="BT228" i="2"/>
  <c r="D117" i="2"/>
  <c r="AP16" i="2"/>
  <c r="L185" i="2"/>
  <c r="AG89" i="2"/>
  <c r="K212" i="2"/>
  <c r="E43" i="2"/>
  <c r="B165" i="2"/>
  <c r="AH7" i="2"/>
  <c r="AN193" i="2"/>
  <c r="D211" i="2"/>
  <c r="O29" i="2"/>
  <c r="BK64" i="2"/>
  <c r="AZ14" i="2"/>
  <c r="D173" i="2"/>
  <c r="N98" i="2"/>
  <c r="AX101" i="2"/>
  <c r="AP43" i="2"/>
  <c r="N206" i="2"/>
  <c r="BH162" i="2"/>
  <c r="BL21" i="2"/>
  <c r="AY81" i="2"/>
  <c r="U196" i="2"/>
  <c r="AY74" i="2"/>
  <c r="AI19" i="2"/>
  <c r="BV186" i="2"/>
  <c r="AI20" i="2"/>
  <c r="W149" i="2"/>
  <c r="AH98" i="2"/>
  <c r="U126" i="2"/>
  <c r="AG176" i="2"/>
  <c r="BS125" i="2"/>
  <c r="BU114" i="2"/>
  <c r="BB192" i="2"/>
  <c r="BU65" i="2"/>
  <c r="BU7" i="2"/>
  <c r="BT188" i="2"/>
  <c r="V29" i="2"/>
  <c r="BR199" i="2"/>
  <c r="BA143" i="2"/>
  <c r="BL22" i="2"/>
  <c r="BT127" i="2"/>
  <c r="BL104" i="2"/>
  <c r="BT69" i="2"/>
  <c r="BL95" i="2"/>
  <c r="BU27" i="2"/>
  <c r="BT26" i="2"/>
  <c r="BL185" i="2"/>
  <c r="BK178" i="2"/>
  <c r="BS69" i="2"/>
  <c r="BS138" i="2"/>
  <c r="BS52" i="2"/>
  <c r="BH197" i="2"/>
  <c r="BH33" i="2"/>
  <c r="W24" i="2"/>
  <c r="AI44" i="2"/>
  <c r="AO53" i="2"/>
  <c r="AI191" i="2"/>
  <c r="BJ38" i="2"/>
  <c r="BH62" i="2"/>
  <c r="AF204" i="2"/>
  <c r="AO117" i="2"/>
  <c r="BV106" i="2"/>
  <c r="BB101" i="2"/>
  <c r="C77" i="2"/>
  <c r="E42" i="2"/>
  <c r="N84" i="2"/>
  <c r="BJ74" i="2"/>
  <c r="BL212" i="2"/>
  <c r="BR107" i="2"/>
  <c r="BA63" i="2"/>
  <c r="N182" i="2"/>
  <c r="N95" i="2"/>
  <c r="B79" i="2"/>
  <c r="W184" i="2"/>
  <c r="BR201" i="2"/>
  <c r="BS38" i="2"/>
  <c r="V83" i="2"/>
  <c r="F124" i="2"/>
  <c r="E152" i="2"/>
  <c r="N22" i="2"/>
  <c r="U150" i="2"/>
  <c r="BH87" i="2"/>
  <c r="AE78" i="2"/>
  <c r="BB202" i="2"/>
  <c r="BB209" i="2"/>
  <c r="BA128" i="2"/>
  <c r="AY83" i="2"/>
  <c r="AR25" i="2"/>
  <c r="AI97" i="2"/>
  <c r="D197" i="2"/>
  <c r="BI199" i="2"/>
  <c r="B93" i="2"/>
  <c r="BJ211" i="2"/>
  <c r="B175" i="2"/>
  <c r="BI70" i="2"/>
  <c r="BR30" i="2"/>
  <c r="C120" i="2"/>
  <c r="AZ129" i="2"/>
  <c r="B58" i="2"/>
  <c r="BR184" i="2"/>
  <c r="B84" i="2"/>
  <c r="AZ141" i="2"/>
  <c r="L194" i="2"/>
  <c r="BB92" i="2"/>
  <c r="B193" i="2"/>
  <c r="AZ83" i="2"/>
  <c r="L204" i="2"/>
  <c r="AF64" i="2"/>
  <c r="BI210" i="2"/>
  <c r="AO210" i="2"/>
  <c r="BB61" i="2"/>
  <c r="C177" i="2"/>
  <c r="BU115" i="2"/>
  <c r="E72" i="2"/>
  <c r="BJ166" i="2"/>
  <c r="AE169" i="2"/>
  <c r="BA127" i="2"/>
  <c r="AO197" i="2"/>
  <c r="BB69" i="2"/>
  <c r="C99" i="2"/>
  <c r="AG208" i="2"/>
  <c r="O160" i="2"/>
  <c r="AP57" i="2"/>
  <c r="C23" i="2"/>
  <c r="X180" i="2"/>
  <c r="F123" i="2"/>
  <c r="AN196" i="2"/>
  <c r="BB184" i="2"/>
  <c r="AQ66" i="2"/>
  <c r="BK34" i="2"/>
  <c r="E210" i="2"/>
  <c r="W186" i="2"/>
  <c r="AZ120" i="2"/>
  <c r="M93" i="2"/>
  <c r="BB214" i="2"/>
  <c r="AG225" i="2"/>
  <c r="AZ190" i="2"/>
  <c r="BH192" i="2"/>
  <c r="E155" i="2"/>
  <c r="BU223" i="2"/>
  <c r="AQ42" i="2"/>
  <c r="O150" i="2"/>
  <c r="BA147" i="2"/>
  <c r="F168" i="2"/>
  <c r="O51" i="2"/>
  <c r="F104" i="2"/>
  <c r="K224" i="2"/>
  <c r="BH28" i="2"/>
  <c r="BS96" i="2"/>
  <c r="AX206" i="2"/>
  <c r="AY104" i="2"/>
  <c r="AO227" i="2"/>
  <c r="BV16" i="2"/>
  <c r="O82" i="2"/>
  <c r="AX40" i="2"/>
  <c r="AZ69" i="2"/>
  <c r="BT47" i="2"/>
  <c r="K194" i="2"/>
  <c r="O106" i="2"/>
  <c r="AO125" i="2"/>
  <c r="BL214" i="2"/>
  <c r="AR187" i="2"/>
  <c r="M142" i="2"/>
  <c r="AO137" i="2"/>
  <c r="BH229" i="2"/>
  <c r="O133" i="2"/>
  <c r="N49" i="2"/>
  <c r="L196" i="2"/>
  <c r="M85" i="2"/>
  <c r="AZ101" i="2"/>
  <c r="B14" i="2"/>
  <c r="M82" i="2"/>
  <c r="AR215" i="2"/>
  <c r="C38" i="2"/>
  <c r="B112" i="2"/>
  <c r="M183" i="2"/>
  <c r="BA15" i="2"/>
  <c r="K87" i="2"/>
  <c r="K142" i="2"/>
  <c r="X169" i="2"/>
  <c r="O169" i="2"/>
  <c r="AP179" i="2"/>
  <c r="BV216" i="2"/>
  <c r="M50" i="2"/>
  <c r="BR229" i="2"/>
  <c r="AP48" i="2"/>
  <c r="BL145" i="2"/>
  <c r="N43" i="2"/>
  <c r="AZ197" i="2"/>
  <c r="BI75" i="2"/>
  <c r="BR168" i="2"/>
  <c r="AP71" i="2"/>
  <c r="K216" i="2"/>
  <c r="AY79" i="2"/>
  <c r="AF223" i="2"/>
  <c r="AN4" i="2"/>
  <c r="AO171" i="2"/>
  <c r="K148" i="2"/>
  <c r="AY115" i="2"/>
  <c r="AZ86" i="2"/>
  <c r="O62" i="2"/>
  <c r="N134" i="2"/>
  <c r="BI147" i="2"/>
  <c r="BJ216" i="2"/>
  <c r="N214" i="2"/>
  <c r="O44" i="2"/>
  <c r="AR183" i="2"/>
  <c r="AN190" i="2"/>
  <c r="O226" i="2"/>
  <c r="BK159" i="2"/>
  <c r="M63" i="2"/>
  <c r="BU144" i="2"/>
  <c r="BU52" i="2"/>
  <c r="AR89" i="2"/>
  <c r="U100" i="2"/>
  <c r="AE133" i="2"/>
  <c r="BJ159" i="2"/>
  <c r="BB53" i="2"/>
  <c r="BK112" i="2"/>
  <c r="X41" i="2"/>
  <c r="BV126" i="2"/>
  <c r="AY161" i="2"/>
  <c r="BH38" i="2"/>
  <c r="AX105" i="2"/>
  <c r="AQ96" i="2"/>
  <c r="BS8" i="2"/>
  <c r="AF85" i="2"/>
  <c r="AZ216" i="2"/>
  <c r="AR128" i="2"/>
  <c r="AY32" i="2"/>
  <c r="BU42" i="2"/>
  <c r="BJ75" i="2"/>
  <c r="AP155" i="2"/>
  <c r="BJ167" i="2"/>
  <c r="BH85" i="2"/>
  <c r="BH155" i="2"/>
  <c r="AO114" i="2"/>
  <c r="BA12" i="2"/>
  <c r="BK188" i="2"/>
  <c r="BS68" i="2"/>
  <c r="Y225" i="2"/>
  <c r="BH187" i="2"/>
  <c r="AE174" i="2"/>
  <c r="AY39" i="2"/>
  <c r="BH130" i="2"/>
  <c r="BS15" i="2"/>
  <c r="BU5" i="2"/>
  <c r="BT119" i="2"/>
  <c r="AY35" i="2"/>
  <c r="N57" i="2"/>
  <c r="O161" i="2"/>
  <c r="BK29" i="2"/>
  <c r="BS41" i="2"/>
  <c r="U32" i="2"/>
  <c r="AH66" i="2"/>
  <c r="BK229" i="2"/>
  <c r="AO65" i="2"/>
  <c r="BL154" i="2"/>
  <c r="BK157" i="2"/>
  <c r="AG14" i="2"/>
  <c r="BI152" i="2"/>
  <c r="BU201" i="2"/>
  <c r="BI100" i="2"/>
  <c r="D137" i="2"/>
  <c r="F187" i="2"/>
  <c r="B94" i="2"/>
  <c r="BV113" i="2"/>
  <c r="BJ195" i="2"/>
  <c r="AE144" i="2"/>
  <c r="BL56" i="2"/>
  <c r="F7" i="2"/>
  <c r="B99" i="2"/>
  <c r="C223" i="2"/>
  <c r="AG32" i="2"/>
  <c r="AI75" i="2"/>
  <c r="AG58" i="2"/>
  <c r="BV25" i="2"/>
  <c r="AZ229" i="2"/>
  <c r="AN187" i="2"/>
  <c r="BA212" i="2"/>
  <c r="AR52" i="2"/>
  <c r="AZ99" i="2"/>
  <c r="AO153" i="2"/>
  <c r="BL193" i="2"/>
  <c r="B158" i="2"/>
  <c r="AY13" i="2"/>
  <c r="N107" i="2"/>
  <c r="BK62" i="2"/>
  <c r="AQ86" i="2"/>
  <c r="BS131" i="2"/>
  <c r="BB9" i="2"/>
  <c r="AO17" i="2"/>
  <c r="BR167" i="2"/>
  <c r="BH73" i="2"/>
  <c r="AP116" i="2"/>
  <c r="BB74" i="2"/>
  <c r="AI111" i="2"/>
  <c r="BA100" i="2"/>
  <c r="BA27" i="2"/>
  <c r="O93" i="2"/>
  <c r="AY86" i="2"/>
  <c r="B9" i="2"/>
  <c r="M149" i="2"/>
  <c r="AN158" i="2"/>
  <c r="D150" i="2"/>
  <c r="AO152" i="2"/>
  <c r="M140" i="2"/>
  <c r="BB81" i="2"/>
  <c r="AY82" i="2"/>
  <c r="AN71" i="2"/>
  <c r="BB127" i="2"/>
  <c r="BI52" i="2"/>
  <c r="BA92" i="2"/>
  <c r="AQ209" i="2"/>
  <c r="BK5" i="2"/>
  <c r="AN20" i="2"/>
  <c r="L147" i="2"/>
  <c r="AP165" i="2"/>
  <c r="AY53" i="2"/>
  <c r="AN179" i="2"/>
  <c r="AO63" i="2"/>
  <c r="AN51" i="2"/>
  <c r="N106" i="2"/>
  <c r="N198" i="2"/>
  <c r="L98" i="2"/>
  <c r="D36" i="2"/>
  <c r="L60" i="2"/>
  <c r="F63" i="2"/>
  <c r="O14" i="2"/>
  <c r="D225" i="2"/>
  <c r="AY157" i="2"/>
  <c r="F142" i="2"/>
  <c r="N46" i="2"/>
  <c r="N145" i="2"/>
  <c r="BB157" i="2"/>
  <c r="E84" i="2"/>
  <c r="M143" i="2"/>
  <c r="B170" i="2"/>
  <c r="AN3" i="2"/>
  <c r="AX166" i="2"/>
  <c r="BB21" i="2"/>
  <c r="AX193" i="2"/>
  <c r="AY42" i="2"/>
  <c r="BS64" i="2"/>
  <c r="BH163" i="2"/>
  <c r="BB28" i="2"/>
  <c r="N13" i="2"/>
  <c r="AZ227" i="2"/>
  <c r="O193" i="2"/>
  <c r="BI171" i="2"/>
  <c r="B117" i="2"/>
  <c r="AZ95" i="2"/>
  <c r="BL122" i="2"/>
  <c r="E197" i="2"/>
  <c r="D5" i="2"/>
  <c r="AG119" i="2"/>
  <c r="AY188" i="2"/>
  <c r="L43" i="2"/>
  <c r="BI64" i="2"/>
  <c r="BT167" i="2"/>
  <c r="O12" i="2"/>
  <c r="BB54" i="2"/>
  <c r="AN175" i="2"/>
  <c r="BA180" i="2"/>
  <c r="AZ172" i="2"/>
  <c r="K163" i="2"/>
  <c r="AZ13" i="2"/>
  <c r="L22" i="2"/>
  <c r="BA37" i="2"/>
  <c r="BH218" i="2"/>
  <c r="AX16" i="2"/>
  <c r="N207" i="2"/>
  <c r="W12" i="2"/>
  <c r="Y24" i="2"/>
  <c r="AP226" i="2"/>
  <c r="AR176" i="2"/>
  <c r="O181" i="2"/>
  <c r="AO100" i="2"/>
  <c r="AO105" i="2"/>
  <c r="BS82" i="2"/>
  <c r="AR85" i="2"/>
  <c r="AG90" i="2"/>
  <c r="E89" i="2"/>
  <c r="BB55" i="2"/>
  <c r="K82" i="2"/>
  <c r="B89" i="2"/>
  <c r="N76" i="2"/>
  <c r="AZ66" i="2"/>
  <c r="L216" i="2"/>
  <c r="F127" i="2"/>
  <c r="F193" i="2"/>
  <c r="BI219" i="2"/>
  <c r="D93" i="2"/>
  <c r="F50" i="2"/>
  <c r="K65" i="2"/>
  <c r="BK133" i="2"/>
  <c r="BI101" i="2"/>
  <c r="AR20" i="2"/>
  <c r="O163" i="2"/>
  <c r="B96" i="2"/>
  <c r="BI145" i="2"/>
  <c r="O188" i="2"/>
  <c r="C58" i="2"/>
  <c r="AO222" i="2"/>
  <c r="Y155" i="2"/>
  <c r="AQ78" i="2"/>
  <c r="AN111" i="2"/>
  <c r="AQ150" i="2"/>
  <c r="BK20" i="2"/>
  <c r="AX162" i="2"/>
  <c r="BA68" i="2"/>
  <c r="BS225" i="2"/>
  <c r="BH166" i="2"/>
  <c r="BV36" i="2"/>
  <c r="F39" i="2"/>
  <c r="AP108" i="2"/>
  <c r="AZ196" i="2"/>
  <c r="K139" i="2"/>
  <c r="E229" i="2"/>
  <c r="AY87" i="2"/>
  <c r="AR131" i="2"/>
  <c r="C3" i="2"/>
  <c r="K229" i="2"/>
  <c r="AP196" i="2"/>
  <c r="AR214" i="2"/>
  <c r="K147" i="2"/>
  <c r="F75" i="2"/>
  <c r="BA177" i="2"/>
  <c r="AX213" i="2"/>
  <c r="D30" i="2"/>
  <c r="M124" i="2"/>
  <c r="AR100" i="2"/>
  <c r="BI176" i="2"/>
  <c r="L197" i="2"/>
  <c r="M78" i="2"/>
  <c r="AR112" i="2"/>
  <c r="AE199" i="2"/>
  <c r="K179" i="2"/>
  <c r="BA72" i="2"/>
  <c r="BJ31" i="2"/>
  <c r="O168" i="2"/>
  <c r="D124" i="2"/>
  <c r="D193" i="2"/>
  <c r="K9" i="2"/>
  <c r="AR203" i="2"/>
  <c r="AO25" i="2"/>
  <c r="K131" i="2"/>
  <c r="BR105" i="2"/>
  <c r="BJ143" i="2"/>
  <c r="AX165" i="2"/>
  <c r="AP100" i="2"/>
  <c r="BR123" i="2"/>
  <c r="BL172" i="2"/>
  <c r="C51" i="2"/>
  <c r="AO110" i="2"/>
  <c r="AE184" i="2"/>
  <c r="M117" i="2"/>
  <c r="L36" i="2"/>
  <c r="AP114" i="2"/>
  <c r="BK165" i="2"/>
  <c r="AQ68" i="2"/>
  <c r="BI166" i="2"/>
  <c r="C179" i="2"/>
  <c r="K110" i="2"/>
  <c r="N39" i="2"/>
  <c r="BA225" i="2"/>
  <c r="B129" i="2"/>
  <c r="AR124" i="2"/>
  <c r="BJ145" i="2"/>
  <c r="BV78" i="2"/>
  <c r="BR72" i="2"/>
  <c r="U189" i="2"/>
  <c r="BT96" i="2"/>
  <c r="U151" i="2"/>
  <c r="AH33" i="2"/>
  <c r="BK43" i="2"/>
  <c r="BV146" i="2"/>
  <c r="U194" i="2"/>
  <c r="AH41" i="2"/>
  <c r="AI23" i="2"/>
  <c r="Y211" i="2"/>
  <c r="AX156" i="2"/>
  <c r="BV37" i="2"/>
  <c r="BJ9" i="2"/>
  <c r="BL146" i="2"/>
  <c r="BS110" i="2"/>
  <c r="AE189" i="2"/>
  <c r="BT31" i="2"/>
  <c r="BS215" i="2"/>
  <c r="BR52" i="2"/>
  <c r="BS140" i="2"/>
  <c r="BV198" i="2"/>
  <c r="U204" i="2"/>
  <c r="BR42" i="2"/>
  <c r="BS194" i="2"/>
  <c r="AY147" i="2"/>
  <c r="BU149" i="2"/>
  <c r="AE218" i="2"/>
  <c r="AX227" i="2"/>
  <c r="BB220" i="2"/>
  <c r="AP59" i="2"/>
  <c r="Y15" i="2"/>
  <c r="AP55" i="2"/>
  <c r="AR49" i="2"/>
  <c r="AZ181" i="2"/>
  <c r="BK26" i="2"/>
  <c r="BI196" i="2"/>
  <c r="U108" i="2"/>
  <c r="BA213" i="2"/>
  <c r="BI137" i="2"/>
  <c r="AX52" i="2"/>
  <c r="BT141" i="2"/>
  <c r="X121" i="2"/>
  <c r="BU199" i="2"/>
  <c r="BV165" i="2"/>
  <c r="O96" i="2"/>
  <c r="BT144" i="2"/>
  <c r="AY58" i="2"/>
  <c r="AF69" i="2"/>
  <c r="BK224" i="2"/>
  <c r="BK192" i="2"/>
  <c r="BV66" i="2"/>
  <c r="BR208" i="2"/>
  <c r="AQ52" i="2"/>
  <c r="BJ154" i="2"/>
  <c r="BB166" i="2"/>
  <c r="AH205" i="2"/>
  <c r="AX54" i="2"/>
  <c r="U5" i="2"/>
  <c r="AY95" i="2"/>
  <c r="BS121" i="2"/>
  <c r="BT24" i="2"/>
  <c r="BR133" i="2"/>
  <c r="BA47" i="2"/>
  <c r="AN150" i="2"/>
  <c r="AY166" i="2"/>
  <c r="AO188" i="2"/>
  <c r="AQ81" i="2"/>
  <c r="M171" i="2"/>
  <c r="O123" i="2"/>
  <c r="AN108" i="2"/>
  <c r="BJ83" i="2"/>
  <c r="L73" i="2"/>
  <c r="BL26" i="2"/>
  <c r="AQ176" i="2"/>
  <c r="C128" i="2"/>
  <c r="M9" i="2"/>
  <c r="AP111" i="2"/>
  <c r="O89" i="2"/>
  <c r="BJ175" i="2"/>
  <c r="N195" i="2"/>
  <c r="AO30" i="2"/>
  <c r="AQ216" i="2"/>
  <c r="BK42" i="2"/>
  <c r="F194" i="2"/>
  <c r="K101" i="2"/>
  <c r="F140" i="2"/>
  <c r="L225" i="2"/>
  <c r="K53" i="2"/>
  <c r="AR172" i="2"/>
  <c r="AR53" i="2"/>
  <c r="D34" i="2"/>
  <c r="AO169" i="2"/>
  <c r="BB227" i="2"/>
  <c r="BT203" i="2"/>
  <c r="AZ38" i="2"/>
  <c r="X160" i="2"/>
  <c r="L113" i="2"/>
  <c r="AX215" i="2"/>
  <c r="AN32" i="2"/>
  <c r="K99" i="2"/>
  <c r="AX123" i="2"/>
  <c r="AF225" i="2"/>
  <c r="N69" i="2"/>
  <c r="BB222" i="2"/>
  <c r="L58" i="2"/>
  <c r="L145" i="2"/>
  <c r="F94" i="2"/>
  <c r="AI169" i="2"/>
  <c r="BA187" i="2"/>
  <c r="E182" i="2"/>
  <c r="AX142" i="2"/>
  <c r="AE20" i="2"/>
  <c r="C25" i="2"/>
  <c r="BK138" i="2"/>
  <c r="M216" i="2"/>
  <c r="AI127" i="2"/>
  <c r="AF228" i="2"/>
  <c r="O74" i="2"/>
  <c r="AR138" i="2"/>
  <c r="M188" i="2"/>
  <c r="AG12" i="2"/>
  <c r="M103" i="2"/>
  <c r="BA71" i="2"/>
  <c r="N122" i="2"/>
  <c r="AP106" i="2"/>
  <c r="BI159" i="2"/>
  <c r="BA119" i="2"/>
  <c r="AO178" i="2"/>
  <c r="D78" i="2"/>
  <c r="AR218" i="2"/>
  <c r="B97" i="2"/>
  <c r="V19" i="2"/>
  <c r="N132" i="2"/>
  <c r="BH127" i="2"/>
  <c r="M27" i="2"/>
  <c r="AH208" i="2"/>
  <c r="M213" i="2"/>
  <c r="AX4" i="2"/>
  <c r="N97" i="2"/>
  <c r="BV207" i="2"/>
  <c r="N66" i="2"/>
  <c r="F84" i="2"/>
  <c r="F200" i="2"/>
  <c r="BH103" i="2"/>
  <c r="N78" i="2"/>
  <c r="D46" i="2"/>
  <c r="AN199" i="2"/>
  <c r="BK89" i="2"/>
  <c r="BK102" i="2"/>
  <c r="B13" i="2"/>
  <c r="BB35" i="2"/>
  <c r="D37" i="2"/>
  <c r="BH22" i="2"/>
  <c r="E118" i="2"/>
  <c r="M115" i="2"/>
  <c r="AY3" i="2"/>
  <c r="BR225" i="2"/>
  <c r="AI179" i="2"/>
  <c r="AR147" i="2"/>
  <c r="BH131" i="2"/>
  <c r="BR15" i="2"/>
  <c r="BK202" i="2"/>
  <c r="BJ19" i="2"/>
  <c r="M122" i="2"/>
  <c r="AZ64" i="2"/>
  <c r="BI115" i="2"/>
  <c r="L224" i="2"/>
  <c r="BI161" i="2"/>
  <c r="AY84" i="2"/>
  <c r="BK129" i="2"/>
  <c r="B19" i="2"/>
  <c r="BL170" i="2"/>
  <c r="AZ53" i="2"/>
  <c r="AR11" i="2"/>
  <c r="AP94" i="2"/>
  <c r="AX115" i="2"/>
  <c r="BJ132" i="2"/>
  <c r="BB177" i="2"/>
  <c r="AO134" i="2"/>
  <c r="BA131" i="2"/>
  <c r="AX8" i="2"/>
  <c r="B183" i="2"/>
  <c r="E141" i="2"/>
  <c r="AR64" i="2"/>
  <c r="BB26" i="2"/>
  <c r="N143" i="2"/>
  <c r="O55" i="2"/>
  <c r="AN66" i="2"/>
  <c r="BS216" i="2"/>
  <c r="AQ34" i="2"/>
  <c r="BB47" i="2"/>
  <c r="AX184" i="2"/>
  <c r="BK216" i="2"/>
  <c r="AQ142" i="2"/>
  <c r="AQ38" i="2"/>
  <c r="K81" i="2"/>
  <c r="AO219" i="2"/>
  <c r="L63" i="2"/>
  <c r="D64" i="2"/>
  <c r="BI38" i="2"/>
  <c r="BK223" i="2"/>
  <c r="AR161" i="2"/>
  <c r="BR130" i="2"/>
  <c r="BA209" i="2"/>
  <c r="BL132" i="2"/>
  <c r="D32" i="2"/>
  <c r="BI119" i="2"/>
  <c r="AP17" i="2"/>
  <c r="M21" i="2"/>
  <c r="E132" i="2"/>
  <c r="BI78" i="2"/>
  <c r="AF134" i="2"/>
  <c r="BK54" i="2"/>
  <c r="BL110" i="2"/>
  <c r="M164" i="2"/>
  <c r="L201" i="2"/>
  <c r="M64" i="2"/>
  <c r="AR23" i="2"/>
  <c r="D156" i="2"/>
  <c r="BB5" i="2"/>
  <c r="BB124" i="2"/>
  <c r="AF171" i="2"/>
  <c r="BK147" i="2"/>
  <c r="N7" i="2"/>
  <c r="BH91" i="2"/>
  <c r="BK65" i="2"/>
  <c r="BJ70" i="2"/>
  <c r="AO83" i="2"/>
  <c r="BR186" i="2"/>
  <c r="E100" i="2"/>
  <c r="AQ92" i="2"/>
  <c r="BT82" i="2"/>
  <c r="E184" i="2"/>
  <c r="AQ157" i="2"/>
  <c r="BB126" i="2"/>
  <c r="AQ53" i="2"/>
  <c r="AR104" i="2"/>
  <c r="AO179" i="2"/>
  <c r="N146" i="2"/>
  <c r="AX148" i="2"/>
  <c r="D95" i="2"/>
  <c r="AQ196" i="2"/>
  <c r="F217" i="2"/>
  <c r="AI5" i="2"/>
  <c r="BB105" i="2"/>
  <c r="E56" i="2"/>
  <c r="AQ136" i="2"/>
  <c r="L155" i="2"/>
  <c r="O25" i="2"/>
  <c r="K120" i="2"/>
  <c r="AO139" i="2"/>
  <c r="AP56" i="2"/>
  <c r="BH170" i="2"/>
  <c r="BS86" i="2"/>
  <c r="BJ196" i="2"/>
  <c r="V122" i="2"/>
  <c r="AX92" i="2"/>
  <c r="X20" i="2"/>
  <c r="AF118" i="2"/>
  <c r="BV161" i="2"/>
  <c r="BI125" i="2"/>
  <c r="BU6" i="2"/>
  <c r="AE196" i="2"/>
  <c r="BT91" i="2"/>
  <c r="AI42" i="2"/>
  <c r="AG131" i="2"/>
  <c r="BV136" i="2"/>
  <c r="BS173" i="2"/>
  <c r="BI208" i="2"/>
  <c r="BV163" i="2"/>
  <c r="BR158" i="2"/>
  <c r="BS148" i="2"/>
  <c r="BH120" i="2"/>
  <c r="AH190" i="2"/>
  <c r="AF151" i="2"/>
  <c r="BK23" i="2"/>
  <c r="BA38" i="2"/>
  <c r="BU101" i="2"/>
  <c r="BV111" i="2"/>
  <c r="BT104" i="2"/>
  <c r="BA70" i="2"/>
  <c r="BU212" i="2"/>
  <c r="AN129" i="2"/>
  <c r="BK93" i="2"/>
  <c r="BJ102" i="2"/>
  <c r="X157" i="2"/>
  <c r="AO170" i="2"/>
  <c r="AR207" i="2"/>
  <c r="BJ170" i="2"/>
  <c r="AO56" i="2"/>
  <c r="BU41" i="2"/>
  <c r="AR41" i="2"/>
  <c r="BA40" i="2"/>
  <c r="BI67" i="2"/>
  <c r="BB120" i="2"/>
  <c r="BU189" i="2"/>
  <c r="AX178" i="2"/>
  <c r="AX45" i="2"/>
  <c r="BV118" i="2"/>
  <c r="AY184" i="2"/>
  <c r="BJ205" i="2"/>
  <c r="BB122" i="2"/>
  <c r="BT52" i="2"/>
  <c r="BR108" i="2"/>
  <c r="BR132" i="2"/>
  <c r="BL71" i="2"/>
  <c r="BT88" i="2"/>
  <c r="BT48" i="2"/>
  <c r="AR121" i="2"/>
  <c r="BV191" i="2"/>
  <c r="BR215" i="2"/>
  <c r="BI124" i="2"/>
  <c r="BR181" i="2"/>
  <c r="AQ112" i="2"/>
  <c r="AZ57" i="2"/>
  <c r="AY116" i="2"/>
  <c r="AF12" i="2"/>
  <c r="BH49" i="2"/>
  <c r="AQ126" i="2"/>
  <c r="BI195" i="2"/>
  <c r="AZ127" i="2"/>
  <c r="AN27" i="2"/>
  <c r="BI102" i="2"/>
  <c r="BI114" i="2"/>
  <c r="AZ191" i="2"/>
  <c r="O122" i="2"/>
  <c r="BS153" i="2"/>
  <c r="K154" i="2"/>
  <c r="K170" i="2"/>
  <c r="BI61" i="2"/>
  <c r="AF28" i="2"/>
  <c r="BJ202" i="2"/>
  <c r="AP82" i="2"/>
  <c r="BK175" i="2"/>
  <c r="BR79" i="2"/>
  <c r="L72" i="2"/>
  <c r="K149" i="2"/>
  <c r="AP209" i="2"/>
  <c r="BJ20" i="2"/>
  <c r="BA150" i="2"/>
  <c r="K47" i="2"/>
  <c r="BV71" i="2"/>
  <c r="D113" i="2"/>
  <c r="AF187" i="2"/>
  <c r="BI89" i="2"/>
  <c r="BT45" i="2"/>
  <c r="L227" i="2"/>
  <c r="BU188" i="2"/>
  <c r="AP102" i="2"/>
  <c r="BA7" i="2"/>
  <c r="AG15" i="2"/>
  <c r="C95" i="2"/>
  <c r="AX158" i="2"/>
  <c r="F205" i="2"/>
  <c r="N19" i="2"/>
  <c r="C155" i="2"/>
  <c r="AY221" i="2"/>
  <c r="M57" i="2"/>
  <c r="BJ218" i="2"/>
  <c r="D51" i="2"/>
  <c r="B137" i="2"/>
  <c r="M207" i="2"/>
  <c r="AZ204" i="2"/>
  <c r="F20" i="2"/>
  <c r="AN5" i="2"/>
  <c r="E119" i="2"/>
  <c r="BB205" i="2"/>
  <c r="AO3" i="2"/>
  <c r="B114" i="2"/>
  <c r="E190" i="2"/>
  <c r="BK131" i="2"/>
  <c r="BS120" i="2"/>
  <c r="B113" i="2"/>
  <c r="O72" i="2"/>
  <c r="AQ225" i="2"/>
  <c r="BV215" i="2"/>
  <c r="M86" i="2"/>
  <c r="AP141" i="2"/>
  <c r="L219" i="2"/>
  <c r="BU141" i="2"/>
  <c r="BH133" i="2"/>
  <c r="AY73" i="2"/>
  <c r="BS223" i="2"/>
  <c r="L3" i="2"/>
  <c r="AP64" i="2"/>
  <c r="BS42" i="2"/>
  <c r="AP33" i="2"/>
  <c r="BU175" i="2"/>
  <c r="X204" i="2"/>
  <c r="D213" i="2"/>
  <c r="BI170" i="2"/>
  <c r="AX106" i="2"/>
  <c r="B92" i="2"/>
  <c r="K183" i="2"/>
  <c r="AY199" i="2"/>
  <c r="AY120" i="2"/>
  <c r="C217" i="2"/>
  <c r="C205" i="2"/>
  <c r="AX170" i="2"/>
  <c r="AY128" i="2"/>
  <c r="F192" i="2"/>
  <c r="E102" i="2"/>
  <c r="AX51" i="2"/>
  <c r="BI84" i="2"/>
  <c r="B145" i="2"/>
  <c r="E111" i="2"/>
  <c r="AP77" i="2"/>
  <c r="BV8" i="2"/>
  <c r="E92" i="2"/>
  <c r="D184" i="2"/>
  <c r="AN132" i="2"/>
  <c r="V168" i="2"/>
  <c r="BH152" i="2"/>
  <c r="AH180" i="2"/>
  <c r="AR33" i="2"/>
  <c r="AP20" i="2"/>
  <c r="BA216" i="2"/>
  <c r="BA178" i="2"/>
  <c r="BJ121" i="2"/>
  <c r="K54" i="2"/>
  <c r="AP28" i="2"/>
  <c r="N170" i="2"/>
  <c r="BI191" i="2"/>
  <c r="K151" i="2"/>
  <c r="E52" i="2"/>
  <c r="AN103" i="2"/>
  <c r="AY194" i="2"/>
  <c r="M176" i="2"/>
  <c r="D70" i="2"/>
  <c r="D229" i="2"/>
  <c r="AP144" i="2"/>
  <c r="K80" i="2"/>
  <c r="F67" i="2"/>
  <c r="BA32" i="2"/>
  <c r="BA166" i="2"/>
  <c r="D155" i="2"/>
  <c r="BL43" i="2"/>
  <c r="F143" i="2"/>
  <c r="BJ12" i="2"/>
  <c r="AY164" i="2"/>
  <c r="BB129" i="2"/>
  <c r="O114" i="2"/>
  <c r="E115" i="2"/>
  <c r="BS116" i="2"/>
  <c r="AQ162" i="2"/>
  <c r="BU193" i="2"/>
  <c r="AQ141" i="2"/>
  <c r="BU206" i="2"/>
  <c r="AZ107" i="2"/>
  <c r="BT103" i="2"/>
  <c r="L99" i="2"/>
  <c r="AH211" i="2"/>
  <c r="M120" i="2"/>
  <c r="AX131" i="2"/>
  <c r="AX118" i="2"/>
  <c r="E188" i="2"/>
  <c r="AP26" i="2"/>
  <c r="AR35" i="2"/>
  <c r="BJ8" i="2"/>
  <c r="D3" i="2"/>
  <c r="AO52" i="2"/>
  <c r="AY210" i="2"/>
  <c r="AQ166" i="2"/>
  <c r="C83" i="2"/>
  <c r="AR75" i="2"/>
  <c r="AX172" i="2"/>
  <c r="N35" i="2"/>
  <c r="E34" i="2"/>
  <c r="AP115" i="2"/>
  <c r="AR63" i="2"/>
  <c r="M222" i="2"/>
  <c r="AQ151" i="2"/>
  <c r="K92" i="2"/>
  <c r="AY139" i="2"/>
  <c r="BL126" i="2"/>
  <c r="AN212" i="2"/>
  <c r="AH137" i="2"/>
  <c r="BK184" i="2"/>
  <c r="O10" i="2"/>
  <c r="AR108" i="2"/>
  <c r="C122" i="2"/>
  <c r="AO62" i="2"/>
  <c r="B226" i="2"/>
  <c r="BA190" i="2"/>
  <c r="L163" i="2"/>
  <c r="BJ24" i="2"/>
  <c r="BK16" i="2"/>
  <c r="BI10" i="2"/>
  <c r="M198" i="2"/>
  <c r="L149" i="2"/>
  <c r="AP189" i="2"/>
  <c r="F37" i="2"/>
  <c r="BA74" i="2"/>
  <c r="N151" i="2"/>
  <c r="AX29" i="2"/>
  <c r="N154" i="2"/>
  <c r="AX112" i="2"/>
  <c r="M67" i="2"/>
  <c r="AR19" i="2"/>
  <c r="O167" i="2"/>
  <c r="B35" i="2"/>
  <c r="AO21" i="2"/>
  <c r="D168" i="2"/>
  <c r="M32" i="2"/>
  <c r="K45" i="2"/>
  <c r="AN144" i="2"/>
  <c r="BK127" i="2"/>
  <c r="O98" i="2"/>
  <c r="U14" i="2"/>
  <c r="Y186" i="2"/>
  <c r="BJ41" i="2"/>
  <c r="BI32" i="2"/>
  <c r="BK141" i="2"/>
  <c r="BS23" i="2"/>
  <c r="BK120" i="2"/>
  <c r="BI187" i="2"/>
  <c r="BI66" i="2"/>
  <c r="AI93" i="2"/>
  <c r="BI77" i="2"/>
  <c r="AQ201" i="2"/>
  <c r="BJ119" i="2"/>
  <c r="BR25" i="2"/>
  <c r="L174" i="2"/>
  <c r="BL18" i="2"/>
  <c r="BB104" i="2"/>
  <c r="M110" i="2"/>
  <c r="BB183" i="2"/>
  <c r="N129" i="2"/>
  <c r="N136" i="2"/>
  <c r="AQ89" i="2"/>
  <c r="L78" i="2"/>
  <c r="AN74" i="2"/>
  <c r="AO75" i="2"/>
  <c r="C117" i="2"/>
  <c r="BA222" i="2"/>
  <c r="M132" i="2"/>
  <c r="E175" i="2"/>
  <c r="AN16" i="2"/>
  <c r="B43" i="2"/>
  <c r="E137" i="2"/>
  <c r="AN136" i="2"/>
  <c r="BK92" i="2"/>
  <c r="C154" i="2"/>
  <c r="B127" i="2"/>
  <c r="C14" i="2"/>
  <c r="N86" i="2"/>
  <c r="O210" i="2"/>
  <c r="AN229" i="2"/>
  <c r="AG183" i="2"/>
  <c r="AG196" i="2"/>
  <c r="BL221" i="2"/>
  <c r="AN102" i="2"/>
  <c r="AR221" i="2"/>
  <c r="BK126" i="2"/>
  <c r="BU57" i="2"/>
  <c r="BU100" i="2"/>
  <c r="BU148" i="2"/>
  <c r="AG141" i="2"/>
  <c r="BK190" i="2"/>
  <c r="AX145" i="2"/>
  <c r="O228" i="2"/>
  <c r="BK18" i="2"/>
  <c r="O84" i="2"/>
  <c r="K30" i="2"/>
  <c r="AX34" i="2"/>
  <c r="O131" i="2"/>
  <c r="AX71" i="2"/>
  <c r="BR36" i="2"/>
  <c r="BH184" i="2"/>
  <c r="BA67" i="2"/>
  <c r="BL228" i="2"/>
  <c r="AN119" i="2"/>
  <c r="K206" i="2"/>
  <c r="AQ106" i="2"/>
  <c r="M211" i="2"/>
  <c r="AP194" i="2"/>
  <c r="AF164" i="2"/>
  <c r="AQ17" i="2"/>
  <c r="D54" i="2"/>
  <c r="BU104" i="2"/>
  <c r="BL150" i="2"/>
  <c r="AX27" i="2"/>
  <c r="AR59" i="2"/>
  <c r="AR61" i="2"/>
  <c r="BL186" i="2"/>
  <c r="BU146" i="2"/>
  <c r="K3" i="2"/>
  <c r="AN155" i="2"/>
  <c r="D135" i="2"/>
  <c r="K201" i="2"/>
  <c r="D4" i="2"/>
  <c r="BS72" i="2"/>
  <c r="N38" i="2"/>
  <c r="AY218" i="2"/>
  <c r="C19" i="2"/>
  <c r="BI222" i="2"/>
  <c r="M197" i="2"/>
  <c r="C171" i="2"/>
  <c r="BV173" i="2"/>
  <c r="N105" i="2"/>
  <c r="BS111" i="2"/>
  <c r="BS217" i="2"/>
  <c r="AN124" i="2"/>
  <c r="M24" i="2"/>
  <c r="AE130" i="2"/>
  <c r="BH95" i="2"/>
  <c r="B173" i="2"/>
  <c r="BA110" i="2"/>
  <c r="K27" i="2"/>
  <c r="BU134" i="2"/>
  <c r="AN93" i="2"/>
  <c r="AY171" i="2"/>
  <c r="M165" i="2"/>
  <c r="M168" i="2"/>
  <c r="BH72" i="2"/>
  <c r="K196" i="2"/>
  <c r="M129" i="2"/>
  <c r="B11" i="2"/>
  <c r="BJ127" i="2"/>
  <c r="L171" i="2"/>
  <c r="C26" i="2"/>
  <c r="BJ64" i="2"/>
  <c r="BT108" i="2"/>
  <c r="E94" i="2"/>
  <c r="B138" i="2"/>
  <c r="BH158" i="2"/>
  <c r="BK6" i="2"/>
  <c r="D143" i="2"/>
  <c r="AQ185" i="2"/>
  <c r="F60" i="2"/>
  <c r="BJ52" i="2"/>
  <c r="AO205" i="2"/>
  <c r="F72" i="2"/>
  <c r="D101" i="2"/>
  <c r="BU66" i="2"/>
  <c r="AO211" i="2"/>
  <c r="BH164" i="2"/>
  <c r="BK37" i="2"/>
  <c r="D112" i="2"/>
  <c r="C62" i="2"/>
  <c r="F85" i="2"/>
  <c r="BI131" i="2"/>
  <c r="BR155" i="2"/>
  <c r="BH214" i="2"/>
  <c r="D214" i="2"/>
  <c r="BJ51" i="2"/>
  <c r="BK193" i="2"/>
  <c r="BS12" i="2"/>
  <c r="O64" i="2"/>
  <c r="E48" i="2"/>
  <c r="AQ35" i="2"/>
  <c r="C123" i="2"/>
  <c r="B61" i="2"/>
  <c r="N10" i="2"/>
  <c r="AO69" i="2"/>
  <c r="C162" i="2"/>
  <c r="O215" i="2"/>
  <c r="BK171" i="2"/>
  <c r="AR86" i="2"/>
  <c r="D195" i="2"/>
  <c r="AN166" i="2"/>
  <c r="U222" i="2"/>
  <c r="AH217" i="2"/>
  <c r="AY137" i="2"/>
  <c r="AP128" i="2"/>
  <c r="AO192" i="2"/>
  <c r="AZ169" i="2"/>
  <c r="AX87" i="2"/>
  <c r="BT87" i="2"/>
  <c r="BI205" i="2"/>
  <c r="AP104" i="2"/>
  <c r="AN197" i="2"/>
  <c r="AX26" i="2"/>
  <c r="BR74" i="2"/>
  <c r="AZ81" i="2"/>
  <c r="BA227" i="2"/>
  <c r="BJ165" i="2"/>
  <c r="BB64" i="2"/>
  <c r="L111" i="2"/>
  <c r="E216" i="2"/>
  <c r="E4" i="2"/>
  <c r="E62" i="2"/>
  <c r="B123" i="2"/>
  <c r="E130" i="2"/>
  <c r="M14" i="2"/>
  <c r="AP223" i="2"/>
  <c r="K40" i="2"/>
  <c r="F108" i="2"/>
  <c r="AN28" i="2"/>
  <c r="F32" i="2"/>
  <c r="AO135" i="2"/>
  <c r="AQ109" i="2"/>
  <c r="O100" i="2"/>
  <c r="BU94" i="2"/>
  <c r="AE154" i="2"/>
  <c r="BT182" i="2"/>
  <c r="AQ198" i="2"/>
  <c r="K83" i="2"/>
  <c r="AO26" i="2"/>
  <c r="BR16" i="2"/>
  <c r="BK76" i="2"/>
  <c r="BR11" i="2"/>
  <c r="BH204" i="2"/>
  <c r="AR70" i="2"/>
  <c r="BA129" i="2"/>
  <c r="AY140" i="2"/>
  <c r="N60" i="2"/>
  <c r="O199" i="2"/>
  <c r="AY170" i="2"/>
  <c r="AI35" i="2"/>
  <c r="AP3" i="2"/>
  <c r="BA108" i="2"/>
  <c r="E140" i="2"/>
  <c r="BJ5" i="2"/>
  <c r="C104" i="2"/>
  <c r="B72" i="2"/>
  <c r="BK167" i="2"/>
  <c r="AZ199" i="2"/>
  <c r="AO194" i="2"/>
  <c r="L141" i="2"/>
  <c r="BS7" i="2"/>
  <c r="BJ201" i="2"/>
  <c r="AO175" i="2"/>
  <c r="AQ143" i="2"/>
  <c r="N44" i="2"/>
  <c r="BA115" i="2"/>
  <c r="AO147" i="2"/>
  <c r="B118" i="2"/>
  <c r="O208" i="2"/>
  <c r="AE219" i="2"/>
  <c r="W3" i="2"/>
  <c r="E46" i="2"/>
  <c r="AE56" i="2"/>
  <c r="BK30" i="2"/>
  <c r="AZ112" i="2"/>
  <c r="M134" i="2"/>
  <c r="AY122" i="2"/>
  <c r="AY10" i="2"/>
  <c r="BL184" i="2"/>
  <c r="C69" i="2"/>
  <c r="B164" i="2"/>
  <c r="C213" i="2"/>
  <c r="L77" i="2"/>
  <c r="AY102" i="2"/>
  <c r="C53" i="2"/>
  <c r="M37" i="2"/>
  <c r="AQ227" i="2"/>
  <c r="AI11" i="2"/>
  <c r="AX79" i="2"/>
  <c r="D8" i="2"/>
  <c r="BA28" i="2"/>
  <c r="AZ89" i="2"/>
  <c r="B29" i="2"/>
  <c r="D43" i="2"/>
  <c r="AQ207" i="2"/>
  <c r="BK9" i="2"/>
  <c r="K132" i="2"/>
  <c r="M47" i="2"/>
  <c r="BK118" i="2"/>
  <c r="BA199" i="2"/>
  <c r="BJ110" i="2"/>
  <c r="AO212" i="2"/>
  <c r="K193" i="2"/>
  <c r="AP174" i="2"/>
  <c r="M155" i="2"/>
  <c r="B67" i="2"/>
  <c r="B169" i="2"/>
  <c r="BA210" i="2"/>
  <c r="BV222" i="2"/>
  <c r="O224" i="2"/>
  <c r="E221" i="2"/>
  <c r="O103" i="2"/>
  <c r="AN33" i="2"/>
  <c r="C137" i="2"/>
  <c r="N202" i="2"/>
  <c r="AN99" i="2"/>
  <c r="BJ58" i="2"/>
  <c r="B184" i="2"/>
  <c r="AX10" i="2"/>
  <c r="AO60" i="2"/>
  <c r="F61" i="2"/>
  <c r="L129" i="2"/>
  <c r="BB96" i="2"/>
  <c r="M116" i="2"/>
  <c r="K90" i="2"/>
  <c r="AF192" i="2"/>
  <c r="M163" i="2"/>
  <c r="BA158" i="2"/>
  <c r="F201" i="2"/>
  <c r="BK56" i="2"/>
  <c r="BJ93" i="2"/>
  <c r="BI197" i="2"/>
  <c r="M191" i="2"/>
  <c r="M74" i="2"/>
  <c r="E208" i="2"/>
  <c r="BK196" i="2"/>
  <c r="BJ164" i="2"/>
  <c r="N51" i="2"/>
  <c r="O206" i="2"/>
  <c r="B87" i="2"/>
  <c r="N187" i="2"/>
  <c r="K76" i="2"/>
  <c r="E209" i="2"/>
  <c r="L148" i="2"/>
  <c r="BA44" i="2"/>
  <c r="C135" i="2"/>
  <c r="L53" i="2"/>
  <c r="O30" i="2"/>
  <c r="AR155" i="2"/>
  <c r="AO201" i="2"/>
  <c r="AO224" i="2"/>
  <c r="AQ122" i="2"/>
  <c r="O108" i="2"/>
  <c r="K28" i="2"/>
  <c r="BR50" i="2"/>
  <c r="W40" i="2"/>
  <c r="BB97" i="2"/>
  <c r="BH55" i="2"/>
  <c r="AY167" i="2"/>
  <c r="AX222" i="2"/>
  <c r="BH112" i="2"/>
  <c r="AZ167" i="2"/>
  <c r="AX56" i="2"/>
  <c r="Y129" i="2"/>
  <c r="BA197" i="2"/>
  <c r="AI207" i="2"/>
  <c r="BH84" i="2"/>
  <c r="AX83" i="2"/>
  <c r="O166" i="2"/>
  <c r="AN141" i="2"/>
  <c r="BR129" i="2"/>
  <c r="BA182" i="2"/>
  <c r="BJ29" i="2"/>
  <c r="AO97" i="2"/>
  <c r="BL6" i="2"/>
  <c r="AO228" i="2"/>
  <c r="F132" i="2"/>
  <c r="AX199" i="2"/>
  <c r="BL209" i="2"/>
  <c r="AY94" i="2"/>
  <c r="AR34" i="2"/>
  <c r="AX208" i="2"/>
  <c r="BA11" i="2"/>
  <c r="AH227" i="2"/>
  <c r="BL157" i="2"/>
  <c r="BL197" i="2"/>
  <c r="BA122" i="2"/>
  <c r="AN194" i="2"/>
  <c r="BI81" i="2"/>
  <c r="AZ130" i="2"/>
  <c r="AY152" i="2"/>
  <c r="BH209" i="2"/>
  <c r="BV76" i="2"/>
  <c r="O52" i="2"/>
  <c r="AR163" i="2"/>
  <c r="AQ183" i="2"/>
  <c r="BJ85" i="2"/>
  <c r="BL106" i="2"/>
  <c r="BL88" i="2"/>
  <c r="AN59" i="2"/>
  <c r="E93" i="2"/>
  <c r="K12" i="2"/>
  <c r="BU86" i="2"/>
  <c r="AE30" i="2"/>
  <c r="BI45" i="2"/>
  <c r="BB80" i="2"/>
  <c r="C27" i="2"/>
  <c r="L55" i="2"/>
  <c r="AO213" i="2"/>
  <c r="AQ197" i="2"/>
  <c r="M81" i="2"/>
  <c r="F211" i="2"/>
  <c r="B201" i="2"/>
  <c r="BS56" i="2"/>
  <c r="BH222" i="2"/>
  <c r="B65" i="2"/>
  <c r="BA69" i="2"/>
  <c r="BB37" i="2"/>
  <c r="AP175" i="2"/>
  <c r="K58" i="2"/>
  <c r="BS54" i="2"/>
  <c r="AR170" i="2"/>
  <c r="AN106" i="2"/>
  <c r="AY132" i="2"/>
  <c r="F210" i="2"/>
  <c r="BB143" i="2"/>
  <c r="BI36" i="2"/>
  <c r="AP120" i="2"/>
  <c r="BJ203" i="2"/>
  <c r="AN180" i="2"/>
  <c r="AO57" i="2"/>
  <c r="K135" i="2"/>
  <c r="N186" i="2"/>
  <c r="BR135" i="2"/>
  <c r="AX78" i="2"/>
  <c r="AR209" i="2"/>
  <c r="BB66" i="2"/>
  <c r="BK27" i="2"/>
  <c r="BK189" i="2"/>
  <c r="BB210" i="2"/>
  <c r="O59" i="2"/>
  <c r="L223" i="2"/>
  <c r="K39" i="2"/>
  <c r="O69" i="2"/>
  <c r="AZ21" i="2"/>
  <c r="BL28" i="2"/>
  <c r="AO29" i="2"/>
  <c r="D227" i="2"/>
  <c r="BB42" i="2"/>
  <c r="AR178" i="2"/>
  <c r="BJ68" i="2"/>
  <c r="AN218" i="2"/>
  <c r="C49" i="2"/>
  <c r="BV172" i="2"/>
  <c r="F161" i="2"/>
  <c r="BR78" i="2"/>
  <c r="AN164" i="2"/>
  <c r="AP161" i="2"/>
  <c r="BS195" i="2"/>
  <c r="BH59" i="2"/>
  <c r="BV128" i="2"/>
  <c r="AX57" i="2"/>
  <c r="N205" i="2"/>
  <c r="AQ18" i="2"/>
  <c r="D169" i="2"/>
  <c r="O192" i="2"/>
  <c r="AO126" i="2"/>
  <c r="C202" i="2"/>
  <c r="L211" i="2"/>
  <c r="AN43" i="2"/>
  <c r="AP162" i="2"/>
  <c r="AO158" i="2"/>
  <c r="AP185" i="2"/>
  <c r="BS129" i="2"/>
  <c r="N88" i="2"/>
  <c r="C39" i="2"/>
  <c r="F122" i="2"/>
  <c r="C156" i="2"/>
  <c r="C180" i="2"/>
  <c r="AO142" i="2"/>
  <c r="D175" i="2"/>
  <c r="AN112" i="2"/>
  <c r="BJ76" i="2"/>
  <c r="E129" i="2"/>
  <c r="AP138" i="2"/>
  <c r="AY192" i="2"/>
  <c r="AQ100" i="2"/>
  <c r="L121" i="2"/>
  <c r="AX6" i="2"/>
  <c r="AQ80" i="2"/>
  <c r="AP5" i="2"/>
  <c r="BJ86" i="2"/>
  <c r="AY213" i="2"/>
  <c r="BB41" i="2"/>
  <c r="N89" i="2"/>
  <c r="C100" i="2"/>
  <c r="M195" i="2"/>
  <c r="AZ47" i="2"/>
  <c r="AI161" i="2"/>
  <c r="W51" i="2"/>
  <c r="AG60" i="2"/>
  <c r="W125" i="2"/>
  <c r="AF166" i="2"/>
  <c r="AX216" i="2"/>
  <c r="BH142" i="2"/>
  <c r="AE46" i="2"/>
  <c r="BB163" i="2"/>
  <c r="BJ222" i="2"/>
  <c r="BI74" i="2"/>
  <c r="BL8" i="2"/>
  <c r="AZ165" i="2"/>
  <c r="AI139" i="2"/>
  <c r="AQ214" i="2"/>
  <c r="AG56" i="2"/>
  <c r="AX95" i="2"/>
  <c r="BH82" i="2"/>
  <c r="BJ131" i="2"/>
  <c r="BB188" i="2"/>
  <c r="BL226" i="2"/>
  <c r="BJ148" i="2"/>
  <c r="AZ30" i="2"/>
  <c r="BA22" i="2"/>
  <c r="AG29" i="2"/>
  <c r="AQ57" i="2"/>
  <c r="AN84" i="2"/>
  <c r="BJ32" i="2"/>
  <c r="AQ76" i="2"/>
  <c r="BH92" i="2"/>
  <c r="AY220" i="2"/>
  <c r="BA214" i="2"/>
  <c r="AZ138" i="2"/>
  <c r="AO70" i="2"/>
  <c r="BU176" i="2"/>
  <c r="AO113" i="2"/>
  <c r="BH186" i="2"/>
  <c r="AR122" i="2"/>
  <c r="L124" i="2"/>
  <c r="B5" i="2"/>
  <c r="K32" i="2"/>
  <c r="E45" i="2"/>
  <c r="BH6" i="2"/>
  <c r="BJ117" i="2"/>
  <c r="BL7" i="2"/>
  <c r="BL4" i="2"/>
  <c r="F208" i="2"/>
  <c r="X200" i="2"/>
  <c r="AO89" i="2"/>
  <c r="D191" i="2"/>
  <c r="AN153" i="2"/>
  <c r="AY155" i="2"/>
  <c r="O220" i="2"/>
  <c r="AQ224" i="2"/>
  <c r="AN123" i="2"/>
  <c r="AP124" i="2"/>
  <c r="B206" i="2"/>
  <c r="B202" i="2"/>
  <c r="BR3" i="2"/>
  <c r="BV130" i="2"/>
  <c r="AI174" i="2"/>
  <c r="AX90" i="2"/>
  <c r="AN215" i="2"/>
  <c r="AQ182" i="2"/>
  <c r="BK221" i="2"/>
  <c r="AP45" i="2"/>
  <c r="BJ149" i="2"/>
  <c r="AY174" i="2"/>
  <c r="AR162" i="2"/>
  <c r="AQ156" i="2"/>
  <c r="C40" i="2"/>
  <c r="BL229" i="2"/>
  <c r="BT206" i="2"/>
  <c r="C161" i="2"/>
  <c r="L169" i="2"/>
  <c r="E63" i="2"/>
  <c r="D21" i="2"/>
  <c r="O119" i="2"/>
  <c r="BK163" i="2"/>
  <c r="BI146" i="2"/>
  <c r="BU75" i="2"/>
  <c r="C72" i="2"/>
  <c r="BI142" i="2"/>
  <c r="AR126" i="2"/>
  <c r="AZ96" i="2"/>
  <c r="F43" i="2"/>
  <c r="AN107" i="2"/>
  <c r="D170" i="2"/>
  <c r="AZ184" i="2"/>
  <c r="BH45" i="2"/>
  <c r="C33" i="2"/>
  <c r="AQ144" i="2"/>
  <c r="M4" i="2"/>
  <c r="BB175" i="2"/>
  <c r="O45" i="2"/>
  <c r="BB108" i="2"/>
  <c r="L86" i="2"/>
  <c r="AY110" i="2"/>
  <c r="L59" i="2"/>
  <c r="D183" i="2"/>
  <c r="E179" i="2"/>
  <c r="BH61" i="2"/>
  <c r="AH132" i="2"/>
  <c r="AR37" i="2"/>
  <c r="BL153" i="2"/>
  <c r="BS208" i="2"/>
  <c r="BJ213" i="2"/>
  <c r="BH48" i="2"/>
  <c r="AY29" i="2"/>
  <c r="E64" i="2"/>
  <c r="BK125" i="2"/>
  <c r="N183" i="2"/>
  <c r="AO143" i="2"/>
  <c r="BL178" i="2"/>
  <c r="M90" i="2"/>
  <c r="AZ74" i="2"/>
  <c r="M217" i="2"/>
  <c r="AR193" i="2"/>
  <c r="AP159" i="2"/>
  <c r="F71" i="2"/>
  <c r="L92" i="2"/>
  <c r="BI158" i="2"/>
  <c r="D15" i="2"/>
  <c r="AR146" i="2"/>
  <c r="AP25" i="2"/>
  <c r="AX86" i="2"/>
  <c r="N28" i="2"/>
  <c r="BI120" i="2"/>
  <c r="BA42" i="2"/>
  <c r="D140" i="2"/>
  <c r="AO73" i="2"/>
  <c r="M180" i="2"/>
  <c r="N101" i="2"/>
  <c r="BT114" i="2"/>
  <c r="O91" i="2"/>
  <c r="AN15" i="2"/>
  <c r="BH56" i="2"/>
  <c r="BI217" i="2"/>
  <c r="M186" i="2"/>
  <c r="AF56" i="2"/>
  <c r="U71" i="2"/>
  <c r="AP34" i="2"/>
  <c r="BJ61" i="2"/>
  <c r="BJ197" i="2"/>
  <c r="AN203" i="2"/>
  <c r="C226" i="2"/>
  <c r="M192" i="2"/>
  <c r="AO130" i="2"/>
  <c r="D163" i="2"/>
  <c r="F172" i="2"/>
  <c r="AP215" i="2"/>
  <c r="AQ129" i="2"/>
  <c r="AF9" i="2"/>
  <c r="AI195" i="2"/>
  <c r="Y48" i="2"/>
  <c r="BJ112" i="2"/>
  <c r="BK59" i="2"/>
  <c r="BV107" i="2"/>
  <c r="BT55" i="2"/>
  <c r="AO33" i="2"/>
  <c r="BU83" i="2"/>
  <c r="AH199" i="2"/>
  <c r="AX72" i="2"/>
  <c r="BB206" i="2"/>
  <c r="BV140" i="2"/>
  <c r="BB211" i="2"/>
  <c r="BV97" i="2"/>
  <c r="BI69" i="2"/>
  <c r="K41" i="2"/>
  <c r="L213" i="2"/>
  <c r="D180" i="2"/>
  <c r="K125" i="2"/>
  <c r="BB144" i="2"/>
  <c r="AP41" i="2"/>
  <c r="BK13" i="2"/>
  <c r="V4" i="2"/>
  <c r="M92" i="2"/>
  <c r="F198" i="2"/>
  <c r="BA165" i="2"/>
  <c r="BA126" i="2"/>
  <c r="AY141" i="2"/>
  <c r="M225" i="2"/>
  <c r="BT143" i="2"/>
  <c r="V187" i="2"/>
  <c r="BJ105" i="2"/>
  <c r="O175" i="2"/>
  <c r="N21" i="2"/>
  <c r="L27" i="2"/>
  <c r="AR174" i="2"/>
  <c r="BJ135" i="2"/>
  <c r="N99" i="2"/>
  <c r="BV138" i="2"/>
  <c r="BU190" i="2"/>
  <c r="AF87" i="2"/>
  <c r="E22" i="2"/>
  <c r="K166" i="2"/>
  <c r="O39" i="2"/>
  <c r="M121" i="2"/>
  <c r="AP60" i="2"/>
  <c r="AH193" i="2"/>
  <c r="L84" i="2"/>
  <c r="BS177" i="2"/>
  <c r="AE224" i="2"/>
  <c r="BB176" i="2"/>
  <c r="K79" i="2"/>
  <c r="L25" i="2"/>
  <c r="BL14" i="2"/>
  <c r="AP227" i="2"/>
  <c r="M43" i="2"/>
  <c r="AP136" i="2"/>
  <c r="BB204" i="2"/>
  <c r="BT101" i="2"/>
  <c r="K169" i="2"/>
  <c r="AR159" i="2"/>
  <c r="BS5" i="2"/>
  <c r="M76" i="2"/>
  <c r="K161" i="2"/>
  <c r="M189" i="2"/>
  <c r="M228" i="2"/>
  <c r="AP149" i="2"/>
  <c r="C200" i="2"/>
  <c r="AG216" i="2"/>
  <c r="C66" i="2"/>
  <c r="BR227" i="2"/>
  <c r="BB229" i="2"/>
  <c r="AQ212" i="2"/>
  <c r="AQ14" i="2"/>
  <c r="K228" i="2"/>
  <c r="O216" i="2"/>
  <c r="AY91" i="2"/>
  <c r="AO172" i="2"/>
  <c r="K62" i="2"/>
  <c r="AO198" i="2"/>
  <c r="E159" i="2"/>
  <c r="AN201" i="2"/>
  <c r="O109" i="2"/>
  <c r="D87" i="2"/>
  <c r="AY219" i="2"/>
  <c r="AR43" i="2"/>
  <c r="E228" i="2"/>
  <c r="L160" i="2"/>
  <c r="AO87" i="2"/>
  <c r="K218" i="2"/>
  <c r="O180" i="2"/>
  <c r="BJ97" i="2"/>
  <c r="E12" i="2"/>
  <c r="BH226" i="2"/>
  <c r="AQ159" i="2"/>
  <c r="C186" i="2"/>
  <c r="BI163" i="2"/>
  <c r="B208" i="2"/>
  <c r="AY76" i="2"/>
  <c r="AN13" i="2"/>
  <c r="BB87" i="2"/>
  <c r="AZ87" i="2"/>
  <c r="BA53" i="2"/>
  <c r="AP31" i="2"/>
  <c r="AR165" i="2"/>
  <c r="BT17" i="2"/>
  <c r="AY134" i="2"/>
  <c r="AZ225" i="2"/>
  <c r="BV174" i="2"/>
  <c r="D200" i="2"/>
  <c r="B130" i="2"/>
  <c r="C17" i="2"/>
  <c r="AN163" i="2"/>
  <c r="B15" i="2"/>
  <c r="C37" i="2"/>
  <c r="O113" i="2"/>
  <c r="BK225" i="2"/>
  <c r="M53" i="2"/>
  <c r="M148" i="2"/>
  <c r="BV63" i="2"/>
  <c r="BI59" i="2"/>
  <c r="AZ203" i="2"/>
  <c r="C132" i="2"/>
  <c r="BL189" i="2"/>
  <c r="BK110" i="2"/>
  <c r="M162" i="2"/>
  <c r="K192" i="2"/>
  <c r="AR229" i="2"/>
  <c r="K185" i="2"/>
  <c r="B215" i="2"/>
  <c r="K21" i="2"/>
  <c r="M69" i="2"/>
  <c r="BR73" i="2"/>
  <c r="BB173" i="2"/>
  <c r="D56" i="2"/>
  <c r="E61" i="2"/>
  <c r="E90" i="2"/>
  <c r="C31" i="2"/>
  <c r="K109" i="2"/>
  <c r="AY59" i="2"/>
  <c r="BJ134" i="2"/>
  <c r="E176" i="2"/>
  <c r="O222" i="2"/>
  <c r="F133" i="2"/>
  <c r="BH7" i="2"/>
  <c r="AR16" i="2"/>
  <c r="AR180" i="2"/>
  <c r="B195" i="2"/>
  <c r="AO173" i="2"/>
  <c r="N128" i="2"/>
  <c r="D174" i="2"/>
  <c r="X80" i="2"/>
  <c r="AI102" i="2"/>
  <c r="BS9" i="2"/>
  <c r="BU180" i="2"/>
  <c r="Y152" i="2"/>
  <c r="AG169" i="2"/>
  <c r="AH75" i="2"/>
  <c r="AI15" i="2"/>
  <c r="AE150" i="2"/>
  <c r="AE128" i="2"/>
  <c r="AX25" i="2"/>
  <c r="BU229" i="2"/>
  <c r="BK12" i="2"/>
  <c r="AY201" i="2"/>
  <c r="BR206" i="2"/>
  <c r="BS188" i="2"/>
  <c r="AN131" i="2"/>
  <c r="BA202" i="2"/>
  <c r="D55" i="2"/>
  <c r="O61" i="2"/>
  <c r="L68" i="2"/>
  <c r="AO183" i="2"/>
  <c r="K64" i="2"/>
  <c r="AG152" i="2"/>
  <c r="BL187" i="2"/>
  <c r="AZ142" i="2"/>
  <c r="B222" i="2"/>
  <c r="C185" i="2"/>
  <c r="C94" i="2"/>
  <c r="M89" i="2"/>
  <c r="F64" i="2"/>
  <c r="AQ149" i="2"/>
  <c r="AQ226" i="2"/>
  <c r="AX69" i="2"/>
  <c r="K10" i="2"/>
  <c r="C151" i="2"/>
  <c r="D210" i="2"/>
  <c r="BL20" i="2"/>
  <c r="BT156" i="2"/>
  <c r="BI157" i="2"/>
  <c r="BK45" i="2"/>
  <c r="N56" i="2"/>
  <c r="BA151" i="2"/>
  <c r="AP204" i="2"/>
  <c r="AR208" i="2"/>
  <c r="AQ64" i="2"/>
  <c r="O207" i="2"/>
  <c r="AY18" i="2"/>
  <c r="AN34" i="2"/>
  <c r="BI94" i="2"/>
  <c r="AY133" i="2"/>
  <c r="AQ220" i="2"/>
  <c r="AX110" i="2"/>
  <c r="D6" i="2"/>
  <c r="E107" i="2"/>
  <c r="X12" i="2"/>
  <c r="E27" i="2"/>
  <c r="BK217" i="2"/>
  <c r="F5" i="2"/>
  <c r="BV178" i="2"/>
  <c r="BK164" i="2"/>
  <c r="AN113" i="2"/>
  <c r="AQ29" i="2"/>
  <c r="BA75" i="2"/>
  <c r="X81" i="2"/>
  <c r="AZ33" i="2"/>
  <c r="BI175" i="2"/>
  <c r="BU95" i="2"/>
  <c r="E164" i="2"/>
  <c r="AP14" i="2"/>
  <c r="AO44" i="2"/>
  <c r="BK101" i="2"/>
  <c r="K118" i="2"/>
  <c r="O41" i="2"/>
  <c r="B155" i="2"/>
  <c r="N94" i="2"/>
  <c r="M25" i="2"/>
  <c r="C133" i="2"/>
  <c r="AN23" i="2"/>
  <c r="BB79" i="2"/>
  <c r="M190" i="2"/>
  <c r="D98" i="2"/>
  <c r="O15" i="2"/>
  <c r="AY150" i="2"/>
  <c r="L146" i="2"/>
  <c r="E76" i="2"/>
  <c r="BT66" i="2"/>
  <c r="O203" i="2"/>
  <c r="AN17" i="2"/>
  <c r="L168" i="2"/>
  <c r="AN223" i="2"/>
  <c r="K18" i="2"/>
  <c r="M153" i="2"/>
  <c r="E108" i="2"/>
  <c r="BI9" i="2"/>
  <c r="D189" i="2"/>
  <c r="F86" i="2"/>
  <c r="BB8" i="2"/>
  <c r="C134" i="2"/>
  <c r="M44" i="2"/>
  <c r="B136" i="2"/>
  <c r="AG138" i="2"/>
  <c r="AX53" i="2"/>
  <c r="BA88" i="2"/>
  <c r="O8" i="2"/>
  <c r="F103" i="2"/>
  <c r="B18" i="2"/>
  <c r="C142" i="2"/>
  <c r="E85" i="2"/>
  <c r="X34" i="2"/>
  <c r="O145" i="2"/>
  <c r="BJ189" i="2"/>
  <c r="F148" i="2"/>
  <c r="BR141" i="2"/>
  <c r="L40" i="2"/>
  <c r="AX204" i="2"/>
  <c r="C87" i="2"/>
  <c r="BV87" i="2"/>
  <c r="N53" i="2"/>
  <c r="BK215" i="2"/>
  <c r="AY45" i="2"/>
  <c r="B111" i="2"/>
  <c r="E213" i="2"/>
  <c r="C73" i="2"/>
  <c r="AP210" i="2"/>
  <c r="L186" i="2"/>
  <c r="M156" i="2"/>
  <c r="BT73" i="2"/>
  <c r="Y49" i="2"/>
  <c r="AX80" i="2"/>
  <c r="AZ34" i="2"/>
  <c r="AQ139" i="2"/>
  <c r="AH63" i="2"/>
  <c r="BB149" i="2"/>
  <c r="E227" i="2"/>
  <c r="U53" i="2"/>
  <c r="B63" i="2"/>
  <c r="BH110" i="2"/>
  <c r="D126" i="2"/>
  <c r="F136" i="2"/>
  <c r="E83" i="2"/>
  <c r="AN173" i="2"/>
  <c r="AQ128" i="2"/>
  <c r="N169" i="2"/>
  <c r="M95" i="2"/>
  <c r="F207" i="2"/>
  <c r="O200" i="2"/>
  <c r="E223" i="2"/>
  <c r="BL167" i="2"/>
  <c r="AR54" i="2"/>
  <c r="B189" i="2"/>
  <c r="AR5" i="2"/>
  <c r="D16" i="2"/>
  <c r="N77" i="2"/>
  <c r="L132" i="2"/>
  <c r="C52" i="2"/>
  <c r="E173" i="2"/>
  <c r="M167" i="2"/>
  <c r="E138" i="2"/>
  <c r="C225" i="2"/>
  <c r="AO185" i="2"/>
  <c r="BU128" i="2"/>
  <c r="BA153" i="2"/>
  <c r="E79" i="2"/>
  <c r="W26" i="2"/>
  <c r="BU70" i="2"/>
  <c r="BK181" i="2"/>
  <c r="C198" i="2"/>
  <c r="AP6" i="2"/>
  <c r="BK111" i="2"/>
  <c r="E194" i="2"/>
  <c r="BJ26" i="2"/>
  <c r="C178" i="2"/>
  <c r="AY90" i="2"/>
  <c r="AO155" i="2"/>
  <c r="M29" i="2"/>
  <c r="D215" i="2"/>
  <c r="AR184" i="2"/>
  <c r="O80" i="2"/>
  <c r="AP207" i="2"/>
  <c r="E6" i="2"/>
  <c r="O34" i="2"/>
  <c r="BV11" i="2"/>
  <c r="BB16" i="2"/>
  <c r="K6" i="2"/>
  <c r="BL195" i="2"/>
  <c r="K52" i="2"/>
  <c r="O196" i="2"/>
  <c r="AH154" i="2"/>
  <c r="BR200" i="2"/>
  <c r="BL72" i="2"/>
  <c r="C90" i="2"/>
  <c r="E44" i="2"/>
  <c r="BK88" i="2"/>
  <c r="BK4" i="2"/>
  <c r="F117" i="2"/>
  <c r="C163" i="2"/>
  <c r="BJ111" i="2"/>
  <c r="AO216" i="2"/>
  <c r="BS102" i="2"/>
  <c r="AF138" i="2"/>
  <c r="BL223" i="2"/>
  <c r="M7" i="2"/>
  <c r="BI162" i="2"/>
  <c r="E156" i="2"/>
  <c r="AN208" i="2"/>
  <c r="K126" i="2"/>
  <c r="AY162" i="2"/>
  <c r="B88" i="2"/>
  <c r="M3" i="2"/>
  <c r="E203" i="2"/>
  <c r="BK182" i="2"/>
  <c r="AZ58" i="2"/>
  <c r="AN60" i="2"/>
  <c r="AF46" i="2"/>
  <c r="AY67" i="2"/>
  <c r="D205" i="2"/>
  <c r="BB7" i="2"/>
  <c r="K103" i="2"/>
  <c r="L48" i="2"/>
  <c r="O77" i="2"/>
  <c r="AP137" i="2"/>
  <c r="AR145" i="2"/>
  <c r="AH3" i="2"/>
  <c r="F14" i="2"/>
  <c r="L180" i="2"/>
  <c r="N17" i="2"/>
  <c r="K198" i="2"/>
  <c r="D97" i="2"/>
  <c r="L183" i="2"/>
  <c r="N171" i="2"/>
  <c r="AZ65" i="2"/>
  <c r="BL87" i="2"/>
  <c r="N204" i="2"/>
  <c r="AX179" i="2"/>
  <c r="AX82" i="2"/>
  <c r="BI149" i="2"/>
  <c r="O16" i="2"/>
  <c r="BV177" i="2"/>
  <c r="BK199" i="2"/>
  <c r="AN174" i="2"/>
  <c r="D194" i="2"/>
  <c r="K203" i="2"/>
  <c r="B25" i="2"/>
  <c r="AY187" i="2"/>
  <c r="AZ208" i="2"/>
  <c r="N135" i="2"/>
  <c r="AR224" i="2"/>
  <c r="K69" i="2"/>
  <c r="AR197" i="2"/>
  <c r="AQ84" i="2"/>
  <c r="E78" i="2"/>
  <c r="AO40" i="2"/>
  <c r="E124" i="2"/>
  <c r="AN140" i="2"/>
  <c r="N166" i="2"/>
  <c r="M170" i="2"/>
  <c r="L21" i="2"/>
  <c r="BT168" i="2"/>
  <c r="AY41" i="2"/>
  <c r="AN45" i="2"/>
  <c r="F214" i="2"/>
  <c r="BI109" i="2"/>
  <c r="L70" i="2"/>
  <c r="BJ53" i="2"/>
  <c r="AN170" i="2"/>
  <c r="F105" i="2"/>
  <c r="BB4" i="2"/>
  <c r="M226" i="2"/>
  <c r="C147" i="2"/>
  <c r="BV33" i="2"/>
  <c r="B142" i="2"/>
  <c r="BI218" i="2"/>
  <c r="AN205" i="2"/>
  <c r="AR123" i="2"/>
  <c r="BU125" i="2"/>
  <c r="E149" i="2"/>
  <c r="B41" i="2"/>
  <c r="AQ82" i="2"/>
  <c r="AZ115" i="2"/>
  <c r="AP228" i="2"/>
  <c r="D42" i="2"/>
  <c r="L85" i="2"/>
  <c r="C124" i="2"/>
  <c r="AR26" i="2"/>
  <c r="E187" i="2"/>
  <c r="E199" i="2"/>
  <c r="F154" i="2"/>
  <c r="D53" i="2"/>
  <c r="BL224" i="2"/>
  <c r="B152" i="2"/>
  <c r="O178" i="2"/>
  <c r="BL82" i="2"/>
  <c r="AO4" i="2"/>
  <c r="AZ28" i="2"/>
  <c r="K75" i="2"/>
  <c r="F170" i="2"/>
  <c r="AP157" i="2"/>
  <c r="BH3" i="2"/>
  <c r="L176" i="2"/>
  <c r="D125" i="2"/>
  <c r="AN207" i="2"/>
  <c r="C81" i="2"/>
  <c r="B174" i="2"/>
  <c r="L79" i="2"/>
  <c r="L100" i="2"/>
  <c r="D178" i="2"/>
  <c r="BA112" i="2"/>
  <c r="K29" i="2"/>
  <c r="AX185" i="2"/>
  <c r="BA95" i="2"/>
  <c r="BB11" i="2"/>
  <c r="L127" i="2"/>
  <c r="D13" i="2"/>
  <c r="AO16" i="2"/>
  <c r="AN181" i="2"/>
  <c r="D35" i="2"/>
  <c r="M22" i="2"/>
  <c r="O227" i="2"/>
  <c r="BU165" i="2"/>
  <c r="N211" i="2"/>
  <c r="D67" i="2"/>
  <c r="C183" i="2"/>
  <c r="AQ3" i="2"/>
  <c r="D110" i="2"/>
  <c r="N200" i="2"/>
  <c r="V109" i="2"/>
  <c r="K114" i="2"/>
  <c r="BA85" i="2"/>
  <c r="N91" i="2"/>
  <c r="N16" i="2"/>
  <c r="F70" i="2"/>
  <c r="O107" i="2"/>
  <c r="BL182" i="2"/>
  <c r="B48" i="2"/>
  <c r="AP192" i="2"/>
  <c r="D228" i="2"/>
  <c r="BA48" i="2"/>
  <c r="C55" i="2"/>
  <c r="E172" i="2"/>
  <c r="BI19" i="2"/>
  <c r="BB3" i="2"/>
  <c r="F56" i="2"/>
  <c r="AP181" i="2"/>
  <c r="AR173" i="2"/>
  <c r="BR217" i="2"/>
  <c r="E110" i="2"/>
  <c r="BB141" i="2"/>
  <c r="AQ85" i="2"/>
  <c r="C228" i="2"/>
  <c r="E70" i="2"/>
  <c r="AR96" i="2"/>
  <c r="F145" i="2"/>
  <c r="AP109" i="2"/>
  <c r="K48" i="2"/>
  <c r="K171" i="2"/>
  <c r="BL149" i="2"/>
  <c r="N90" i="2"/>
  <c r="AQ19" i="2"/>
  <c r="F62" i="2"/>
  <c r="AP81" i="2"/>
  <c r="B212" i="2"/>
  <c r="AE162" i="2"/>
  <c r="AO146" i="2"/>
  <c r="AR115" i="2"/>
  <c r="K143" i="2"/>
  <c r="BB128" i="2"/>
  <c r="K122" i="2"/>
  <c r="AQ130" i="2"/>
  <c r="O179" i="2"/>
  <c r="AR72" i="2"/>
  <c r="BB152" i="2"/>
  <c r="BB84" i="2"/>
  <c r="BB216" i="2"/>
  <c r="M166" i="2"/>
  <c r="F30" i="2"/>
  <c r="N133" i="2"/>
  <c r="C79" i="2"/>
  <c r="AH91" i="2"/>
  <c r="B100" i="2"/>
  <c r="F199" i="2"/>
  <c r="M187" i="2"/>
  <c r="F173" i="2"/>
  <c r="V155" i="2"/>
  <c r="AG147" i="2"/>
  <c r="AZ137" i="2"/>
  <c r="AR101" i="2"/>
  <c r="AN116" i="2"/>
  <c r="C106" i="2"/>
  <c r="AX84" i="2"/>
  <c r="L214" i="2"/>
  <c r="B105" i="2"/>
  <c r="BT125" i="2"/>
  <c r="E220" i="2"/>
  <c r="AQ102" i="2"/>
  <c r="BH64" i="2"/>
  <c r="BB191" i="2"/>
  <c r="F24" i="2"/>
  <c r="BA90" i="2"/>
  <c r="BA148" i="2"/>
  <c r="AQ111" i="2"/>
  <c r="BH14" i="2"/>
  <c r="BA142" i="2"/>
  <c r="AY34" i="2"/>
  <c r="BB162" i="2"/>
  <c r="AZ187" i="2"/>
  <c r="AP9" i="2"/>
  <c r="AR10" i="2"/>
  <c r="AQ10" i="2"/>
  <c r="O182" i="2"/>
  <c r="AN157" i="2"/>
  <c r="N213" i="2"/>
  <c r="F74" i="2"/>
  <c r="AH143" i="2"/>
  <c r="C109" i="2"/>
  <c r="M12" i="2"/>
  <c r="AN78" i="2"/>
  <c r="AZ60" i="2"/>
  <c r="E16" i="2"/>
  <c r="BB71" i="2"/>
  <c r="BU205" i="2"/>
  <c r="BH176" i="2"/>
  <c r="D182" i="2"/>
  <c r="AQ104" i="2"/>
  <c r="O217" i="2"/>
  <c r="AP171" i="2"/>
  <c r="BH126" i="2"/>
  <c r="E163" i="2"/>
  <c r="AN44" i="2"/>
  <c r="E87" i="2"/>
  <c r="K33" i="2"/>
  <c r="C196" i="2"/>
  <c r="O92" i="2"/>
  <c r="F220" i="2"/>
  <c r="AZ228" i="2"/>
  <c r="AP153" i="2"/>
  <c r="AO167" i="2"/>
  <c r="D91" i="2"/>
  <c r="AY226" i="2"/>
  <c r="AE179" i="2"/>
  <c r="BT175" i="2"/>
  <c r="AQ180" i="2"/>
  <c r="AN160" i="2"/>
  <c r="AQ165" i="2"/>
  <c r="AR55" i="2"/>
  <c r="BR94" i="2"/>
  <c r="BK177" i="2"/>
  <c r="B135" i="2"/>
  <c r="F128" i="2"/>
  <c r="N189" i="2"/>
  <c r="BK24" i="2"/>
  <c r="B161" i="2"/>
  <c r="O151" i="2"/>
  <c r="AR8" i="2"/>
  <c r="K191" i="2"/>
  <c r="L123" i="2"/>
  <c r="AR212" i="2"/>
  <c r="F174" i="2"/>
  <c r="BK145" i="2"/>
  <c r="AO191" i="2"/>
  <c r="E123" i="2"/>
  <c r="N162" i="2"/>
  <c r="AX108" i="2"/>
  <c r="L50" i="2"/>
  <c r="F83" i="2"/>
  <c r="BR7" i="2"/>
  <c r="L4" i="2"/>
  <c r="BK104" i="2"/>
  <c r="BI107" i="2"/>
  <c r="BH161" i="2"/>
  <c r="AN95" i="2"/>
  <c r="AN70" i="2"/>
  <c r="F184" i="2"/>
  <c r="AZ163" i="2"/>
  <c r="C63" i="2"/>
  <c r="AR116" i="2"/>
  <c r="BV10" i="2"/>
  <c r="BL169" i="2"/>
  <c r="AX107" i="2"/>
  <c r="BU173" i="2"/>
  <c r="AP218" i="2"/>
  <c r="BI121" i="2"/>
  <c r="AN165" i="2"/>
  <c r="AF18" i="2"/>
  <c r="M204" i="2"/>
  <c r="BJ10" i="2"/>
  <c r="AY179" i="2"/>
  <c r="O127" i="2"/>
  <c r="BH175" i="2"/>
  <c r="L30" i="2"/>
  <c r="BA13" i="2"/>
  <c r="AO174" i="2"/>
  <c r="K108" i="2"/>
  <c r="N165" i="2"/>
  <c r="C61" i="2"/>
  <c r="O33" i="2"/>
  <c r="K31" i="2"/>
  <c r="AQ131" i="2"/>
  <c r="AZ226" i="2"/>
  <c r="B200" i="2"/>
  <c r="C65" i="2"/>
  <c r="F53" i="2"/>
  <c r="N229" i="2"/>
  <c r="L133" i="2"/>
  <c r="AP152" i="2"/>
  <c r="L142" i="2"/>
  <c r="BJ36" i="2"/>
  <c r="K160" i="2"/>
  <c r="BU76" i="2"/>
  <c r="AY17" i="2"/>
  <c r="AQ205" i="2"/>
  <c r="AN72" i="2"/>
  <c r="K96" i="2"/>
  <c r="D100" i="2"/>
  <c r="BA156" i="2"/>
  <c r="BK152" i="2"/>
  <c r="BL200" i="2"/>
  <c r="BB145" i="2"/>
  <c r="BT92" i="2"/>
  <c r="L166" i="2"/>
  <c r="BA179" i="2"/>
  <c r="B214" i="2"/>
  <c r="E180" i="2"/>
  <c r="F13" i="2"/>
  <c r="AX15" i="2"/>
  <c r="F91" i="2"/>
  <c r="AQ7" i="2"/>
  <c r="E17" i="2"/>
  <c r="O43" i="2"/>
  <c r="E10" i="2"/>
  <c r="N160" i="2"/>
  <c r="O7" i="2"/>
  <c r="AO193" i="2"/>
  <c r="AO104" i="2"/>
  <c r="C229" i="2"/>
  <c r="AX50" i="2"/>
  <c r="O194" i="2"/>
  <c r="AQ67" i="2"/>
  <c r="L96" i="2"/>
  <c r="AP126" i="2"/>
  <c r="AP219" i="2"/>
  <c r="N163" i="2"/>
  <c r="E28" i="2"/>
  <c r="C46" i="2"/>
  <c r="N149" i="2"/>
  <c r="BK78" i="2"/>
  <c r="C76" i="2"/>
  <c r="D114" i="2"/>
  <c r="AX20" i="2"/>
  <c r="AR167" i="2"/>
  <c r="L200" i="2"/>
  <c r="O138" i="2"/>
  <c r="M71" i="2"/>
  <c r="M101" i="2"/>
  <c r="E97" i="2"/>
  <c r="BL49" i="2"/>
  <c r="BK14" i="2"/>
  <c r="C89" i="2"/>
  <c r="N212" i="2"/>
  <c r="M55" i="2"/>
  <c r="BR100" i="2"/>
  <c r="K35" i="2"/>
  <c r="AR149" i="2"/>
  <c r="AO92" i="2"/>
  <c r="K11" i="2"/>
  <c r="AZ102" i="2"/>
  <c r="C130" i="2"/>
  <c r="B146" i="2"/>
  <c r="M138" i="2"/>
  <c r="D190" i="2"/>
  <c r="AZ220" i="2"/>
  <c r="AG85" i="2"/>
  <c r="E122" i="2"/>
  <c r="C116" i="2"/>
  <c r="M79" i="2"/>
  <c r="B162" i="2"/>
  <c r="F111" i="2"/>
  <c r="AO106" i="2"/>
  <c r="D120" i="2"/>
  <c r="AX226" i="2"/>
  <c r="AR223" i="2"/>
  <c r="F156" i="2"/>
  <c r="AQ63" i="2"/>
  <c r="BH178" i="2"/>
  <c r="BJ66" i="2"/>
  <c r="B38" i="2"/>
  <c r="F65" i="2"/>
  <c r="BB34" i="2"/>
  <c r="N29" i="2"/>
  <c r="AN101" i="2"/>
  <c r="BA17" i="2"/>
  <c r="AR36" i="2"/>
  <c r="B53" i="2"/>
  <c r="F9" i="2"/>
  <c r="BI12" i="2"/>
  <c r="O17" i="2"/>
  <c r="K71" i="2"/>
  <c r="AZ15" i="2"/>
  <c r="BA99" i="2"/>
  <c r="K38" i="2"/>
  <c r="BL134" i="2"/>
  <c r="BL89" i="2"/>
  <c r="BH119" i="2"/>
  <c r="B141" i="2"/>
  <c r="AY178" i="2"/>
  <c r="K100" i="2"/>
  <c r="BV12" i="2"/>
  <c r="BA18" i="2"/>
  <c r="E101" i="2"/>
  <c r="B16" i="2"/>
  <c r="BT16" i="2"/>
  <c r="BK222" i="2"/>
  <c r="AY103" i="2"/>
  <c r="K184" i="2"/>
  <c r="AQ93" i="2"/>
  <c r="BI228" i="2"/>
  <c r="BK81" i="2"/>
  <c r="BB49" i="2"/>
  <c r="BH159" i="2"/>
  <c r="B156" i="2"/>
  <c r="L41" i="2"/>
  <c r="N80" i="2"/>
  <c r="AO66" i="2"/>
  <c r="BS13" i="2"/>
  <c r="BK75" i="2"/>
  <c r="BL175" i="2"/>
  <c r="AO9" i="2"/>
  <c r="AY54" i="2"/>
  <c r="AN204" i="2"/>
  <c r="AY112" i="2"/>
  <c r="AP146" i="2"/>
  <c r="N8" i="2"/>
  <c r="K115" i="2"/>
  <c r="C206" i="2"/>
  <c r="BS221" i="2"/>
  <c r="BA193" i="2"/>
  <c r="BI31" i="2"/>
  <c r="L162" i="2"/>
  <c r="BB217" i="2"/>
  <c r="BJ6" i="2"/>
  <c r="AE209" i="2"/>
  <c r="AY22" i="2"/>
  <c r="BJ88" i="2"/>
  <c r="B140" i="2"/>
  <c r="BA185" i="2"/>
  <c r="AZ150" i="2"/>
  <c r="BT53" i="2"/>
  <c r="AG223" i="2"/>
  <c r="AY7" i="2"/>
  <c r="AI76" i="2"/>
  <c r="AP22" i="2"/>
  <c r="BH58" i="2"/>
  <c r="AR201" i="2"/>
  <c r="BI108" i="2"/>
  <c r="AN39" i="2"/>
  <c r="O170" i="2"/>
  <c r="AG206" i="2"/>
  <c r="C201" i="2"/>
  <c r="C126" i="2"/>
  <c r="BU62" i="2"/>
  <c r="BI201" i="2"/>
  <c r="BB46" i="2"/>
  <c r="F177" i="2"/>
  <c r="AG18" i="2"/>
  <c r="AZ146" i="2"/>
  <c r="BA211" i="2"/>
  <c r="B82" i="2"/>
  <c r="F150" i="2"/>
  <c r="U130" i="2"/>
  <c r="BB121" i="2"/>
  <c r="AO207" i="2"/>
  <c r="O219" i="2"/>
  <c r="B178" i="2"/>
  <c r="AP90" i="2"/>
  <c r="F66" i="2"/>
  <c r="AQ88" i="2"/>
  <c r="BB155" i="2"/>
  <c r="D66" i="2"/>
  <c r="AZ35" i="2"/>
  <c r="B24" i="2"/>
  <c r="BV153" i="2"/>
  <c r="L67" i="2"/>
  <c r="BA200" i="2"/>
  <c r="K15" i="2"/>
  <c r="BL99" i="2"/>
  <c r="BL151" i="2"/>
  <c r="AZ131" i="2"/>
  <c r="AN222" i="2"/>
  <c r="BH216" i="2"/>
  <c r="AY101" i="2"/>
  <c r="D165" i="2"/>
  <c r="AN105" i="2"/>
  <c r="K8" i="2"/>
  <c r="BL15" i="2"/>
  <c r="AN227" i="2"/>
  <c r="AX229" i="2"/>
  <c r="AF150" i="2"/>
  <c r="BS114" i="2"/>
  <c r="V223" i="2"/>
  <c r="BU137" i="2"/>
  <c r="B218" i="2"/>
  <c r="AN171" i="2"/>
  <c r="M119" i="2"/>
  <c r="AQ107" i="2"/>
  <c r="D58" i="2"/>
  <c r="M112" i="2"/>
  <c r="L187" i="2"/>
  <c r="BT113" i="2"/>
  <c r="B52" i="2"/>
  <c r="AN126" i="2"/>
  <c r="N110" i="2"/>
  <c r="E161" i="2"/>
  <c r="M224" i="2"/>
  <c r="D201" i="2"/>
  <c r="AQ184" i="2"/>
  <c r="AZ136" i="2"/>
  <c r="AX46" i="2"/>
  <c r="F100" i="2"/>
  <c r="M98" i="2"/>
  <c r="BA163" i="2"/>
  <c r="BA5" i="2"/>
  <c r="AP110" i="2"/>
  <c r="BB182" i="2"/>
  <c r="F107" i="2"/>
  <c r="E86" i="2"/>
  <c r="BB132" i="2"/>
  <c r="N54" i="2"/>
  <c r="C148" i="2"/>
  <c r="AQ133" i="2"/>
  <c r="AP160" i="2"/>
  <c r="AP173" i="2"/>
  <c r="AX42" i="2"/>
  <c r="O190" i="2"/>
  <c r="BU26" i="2"/>
  <c r="AP91" i="2"/>
  <c r="O187" i="2"/>
  <c r="BB130" i="2"/>
  <c r="AQ221" i="2"/>
  <c r="O32" i="2"/>
  <c r="L125" i="2"/>
  <c r="AQ37" i="2"/>
  <c r="AR153" i="2"/>
  <c r="BB207" i="2"/>
  <c r="O68" i="2"/>
  <c r="BA161" i="2"/>
  <c r="BB112" i="2"/>
  <c r="E162" i="2"/>
  <c r="AR139" i="2"/>
  <c r="K13" i="2"/>
  <c r="AY117" i="2"/>
  <c r="N215" i="2"/>
  <c r="N108" i="2"/>
  <c r="E165" i="2"/>
  <c r="O185" i="2"/>
  <c r="L74" i="2"/>
  <c r="AZ212" i="2"/>
  <c r="B28" i="2"/>
  <c r="AN36" i="2"/>
  <c r="N161" i="2"/>
  <c r="O97" i="2"/>
  <c r="AR93" i="2"/>
  <c r="D134" i="2"/>
  <c r="AP188" i="2"/>
  <c r="E24" i="2"/>
  <c r="AZ195" i="2"/>
  <c r="B223" i="2"/>
  <c r="L11" i="2"/>
  <c r="AO181" i="2"/>
  <c r="K155" i="2"/>
  <c r="AY89" i="2"/>
  <c r="AR148" i="2"/>
  <c r="B216" i="2"/>
  <c r="L114" i="2"/>
  <c r="AN189" i="2"/>
  <c r="AP154" i="2"/>
  <c r="E212" i="2"/>
  <c r="BV209" i="2"/>
  <c r="W177" i="2"/>
  <c r="BL35" i="2"/>
  <c r="B220" i="2"/>
  <c r="BT210" i="2"/>
  <c r="F6" i="2"/>
  <c r="BS39" i="2"/>
  <c r="BL161" i="2"/>
  <c r="AY180" i="2"/>
  <c r="L221" i="2"/>
  <c r="BH177" i="2"/>
  <c r="C204" i="2"/>
  <c r="C86" i="2"/>
  <c r="AO156" i="2"/>
  <c r="K42" i="2"/>
  <c r="AF147" i="2"/>
  <c r="F76" i="2"/>
  <c r="D19" i="2"/>
  <c r="B227" i="2"/>
  <c r="BL117" i="2"/>
  <c r="U3" i="2"/>
  <c r="BT122" i="2"/>
  <c r="K123" i="2"/>
  <c r="O136" i="2"/>
  <c r="AO20" i="2"/>
  <c r="BH139" i="2"/>
  <c r="AP121" i="2"/>
  <c r="AP177" i="2"/>
  <c r="B185" i="2"/>
  <c r="F176" i="2"/>
  <c r="AQ43" i="2"/>
  <c r="AP61" i="2"/>
  <c r="F10" i="2"/>
  <c r="O195" i="2"/>
  <c r="M38" i="2"/>
  <c r="BB168" i="2"/>
  <c r="BK136" i="2"/>
  <c r="N25" i="2"/>
  <c r="AF22" i="2"/>
  <c r="AR190" i="2"/>
  <c r="C93" i="2"/>
  <c r="F151" i="2"/>
  <c r="E171" i="2"/>
  <c r="BK38" i="2"/>
  <c r="AO103" i="2"/>
  <c r="F87" i="2"/>
  <c r="BJ160" i="2"/>
  <c r="K5" i="2"/>
  <c r="X184" i="2"/>
  <c r="AG158" i="2"/>
  <c r="U177" i="2"/>
  <c r="BL194" i="2"/>
  <c r="BS49" i="2"/>
  <c r="AR97" i="2"/>
  <c r="BL97" i="2"/>
  <c r="AR95" i="2"/>
  <c r="AG39" i="2"/>
  <c r="M52" i="2"/>
  <c r="AN30" i="2"/>
  <c r="F28" i="2"/>
  <c r="O197" i="2"/>
  <c r="D90" i="2"/>
  <c r="L51" i="2"/>
  <c r="AO51" i="2"/>
  <c r="AZ124" i="2"/>
  <c r="L26" i="2"/>
  <c r="AR38" i="2"/>
  <c r="AY190" i="2"/>
  <c r="AO184" i="2"/>
  <c r="F212" i="2"/>
  <c r="BB125" i="2"/>
  <c r="B122" i="2"/>
  <c r="N222" i="2"/>
  <c r="F226" i="2"/>
  <c r="BT59" i="2"/>
  <c r="M141" i="2"/>
  <c r="U210" i="2"/>
  <c r="AG197" i="2"/>
  <c r="L151" i="2"/>
  <c r="F181" i="2"/>
  <c r="L52" i="2"/>
  <c r="F163" i="2"/>
  <c r="E71" i="2"/>
  <c r="AY66" i="2"/>
  <c r="N118" i="2"/>
  <c r="AX151" i="2"/>
  <c r="BL36" i="2"/>
  <c r="AX225" i="2"/>
  <c r="BR17" i="2"/>
  <c r="AY40" i="2"/>
  <c r="AQ23" i="2"/>
  <c r="BL202" i="2"/>
  <c r="B177" i="2"/>
  <c r="L191" i="2"/>
  <c r="E167" i="2"/>
  <c r="AZ41" i="2"/>
  <c r="C22" i="2"/>
  <c r="C219" i="2"/>
  <c r="D59" i="2"/>
  <c r="K176" i="2"/>
  <c r="N33" i="2"/>
  <c r="BR142" i="2"/>
  <c r="B75" i="2"/>
  <c r="N71" i="2"/>
  <c r="BI169" i="2"/>
  <c r="L9" i="2"/>
  <c r="BU215" i="2"/>
  <c r="BH26" i="2"/>
  <c r="AX91" i="2"/>
  <c r="AZ70" i="2"/>
  <c r="AQ211" i="2"/>
  <c r="O124" i="2"/>
  <c r="M97" i="2"/>
  <c r="D102" i="2"/>
  <c r="AQ140" i="2"/>
  <c r="B128" i="2"/>
  <c r="D72" i="2"/>
  <c r="K207" i="2"/>
  <c r="AO159" i="2"/>
  <c r="L94" i="2"/>
  <c r="BI65" i="2"/>
  <c r="AP208" i="2"/>
  <c r="AZ176" i="2"/>
  <c r="V28" i="2"/>
  <c r="F89" i="2"/>
  <c r="O141" i="2"/>
  <c r="C125" i="2"/>
  <c r="BS147" i="2"/>
  <c r="C45" i="2"/>
  <c r="M128" i="2"/>
  <c r="B205" i="2"/>
  <c r="AP213" i="2"/>
  <c r="O146" i="2"/>
  <c r="AP50" i="2"/>
  <c r="B64" i="2"/>
  <c r="BB90" i="2"/>
  <c r="BA97" i="2"/>
  <c r="AR51" i="2"/>
  <c r="N26" i="2"/>
  <c r="D103" i="2"/>
  <c r="E186" i="2"/>
  <c r="M60" i="2"/>
  <c r="AZ156" i="2"/>
  <c r="AY189" i="2"/>
  <c r="F21" i="2"/>
  <c r="AR198" i="2"/>
  <c r="AI4" i="2"/>
  <c r="BJ220" i="2"/>
  <c r="E157" i="2"/>
  <c r="BH147" i="2"/>
  <c r="BI192" i="2"/>
  <c r="K95" i="2"/>
  <c r="AR204" i="2"/>
  <c r="AX141" i="2"/>
  <c r="L82" i="2"/>
  <c r="D138" i="2"/>
  <c r="BK74" i="2"/>
  <c r="AP4" i="2"/>
  <c r="BB19" i="2"/>
  <c r="D160" i="2"/>
  <c r="BK94" i="2"/>
  <c r="B81" i="2"/>
  <c r="BB29" i="2"/>
  <c r="B125" i="2"/>
  <c r="B188" i="2"/>
  <c r="D162" i="2"/>
  <c r="AG180" i="2"/>
  <c r="BV206" i="2"/>
  <c r="AR46" i="2"/>
  <c r="BH219" i="2"/>
  <c r="AH121" i="2"/>
  <c r="AY212" i="2"/>
  <c r="L217" i="2"/>
  <c r="L8" i="2"/>
  <c r="L157" i="2"/>
  <c r="K215" i="2"/>
  <c r="B219" i="2"/>
  <c r="BA144" i="2"/>
  <c r="L135" i="2"/>
  <c r="BA77" i="2"/>
  <c r="AZ223" i="2"/>
  <c r="L24" i="2"/>
  <c r="AX64" i="2"/>
  <c r="O162" i="2"/>
  <c r="AX102" i="2"/>
  <c r="O4" i="2"/>
  <c r="O101" i="2"/>
  <c r="AZ160" i="2"/>
  <c r="O172" i="2"/>
  <c r="AX77" i="2"/>
  <c r="BB197" i="2"/>
  <c r="BV72" i="2"/>
  <c r="AN21" i="2"/>
  <c r="AN38" i="2"/>
  <c r="BH89" i="2"/>
  <c r="BU183" i="2"/>
  <c r="AZ9" i="2"/>
  <c r="K175" i="2"/>
  <c r="E136" i="2"/>
  <c r="C5" i="2"/>
  <c r="AR205" i="2"/>
  <c r="AN151" i="2"/>
  <c r="AX44" i="2"/>
  <c r="M125" i="2"/>
  <c r="BU49" i="2"/>
  <c r="Y3" i="2"/>
  <c r="C44" i="2"/>
  <c r="D68" i="2"/>
  <c r="O90" i="2"/>
  <c r="D86" i="2"/>
  <c r="E178" i="2"/>
  <c r="B62" i="2"/>
  <c r="AN198" i="2"/>
  <c r="AY202" i="2"/>
  <c r="F96" i="2"/>
  <c r="AN47" i="2"/>
  <c r="D44" i="2"/>
  <c r="BU68" i="2"/>
  <c r="AO23" i="2"/>
  <c r="AR143" i="2"/>
  <c r="E96" i="2"/>
  <c r="BK17" i="2"/>
  <c r="AP52" i="2"/>
  <c r="C168" i="2"/>
  <c r="F155" i="2"/>
  <c r="D136" i="2"/>
  <c r="AQ148" i="2"/>
  <c r="BK197" i="2"/>
  <c r="N148" i="2"/>
  <c r="O73" i="2"/>
  <c r="F29" i="2"/>
  <c r="BU162" i="2"/>
  <c r="BL196" i="2"/>
  <c r="AN25" i="2"/>
  <c r="AP205" i="2"/>
  <c r="D186" i="2"/>
  <c r="K24" i="2"/>
  <c r="M179" i="2"/>
  <c r="AQ187" i="2"/>
  <c r="F82" i="2"/>
  <c r="K217" i="2"/>
  <c r="AI9" i="2"/>
  <c r="BI202" i="2"/>
  <c r="C187" i="2"/>
  <c r="O47" i="2"/>
  <c r="M219" i="2"/>
  <c r="AP49" i="2"/>
  <c r="E181" i="2"/>
  <c r="BK179" i="2"/>
  <c r="F92" i="2"/>
  <c r="E183" i="2"/>
  <c r="BR89" i="2"/>
  <c r="AZ174" i="2"/>
  <c r="K130" i="2"/>
  <c r="K26" i="2"/>
  <c r="M42" i="2"/>
  <c r="D69" i="2"/>
  <c r="C160" i="2"/>
  <c r="AO35" i="2"/>
  <c r="E57" i="2"/>
  <c r="N85" i="2"/>
  <c r="BI26" i="2"/>
  <c r="BK69" i="2"/>
  <c r="AN168" i="2"/>
  <c r="F36" i="2"/>
  <c r="AE19" i="2"/>
  <c r="AR118" i="2"/>
  <c r="F110" i="2"/>
  <c r="BL203" i="2"/>
  <c r="B133" i="2"/>
  <c r="BK228" i="2"/>
  <c r="BA173" i="2"/>
  <c r="L134" i="2"/>
  <c r="C221" i="2"/>
  <c r="C98" i="2"/>
  <c r="AO7" i="2"/>
  <c r="C207" i="2"/>
  <c r="C97" i="2"/>
  <c r="K37" i="2"/>
  <c r="BB113" i="2"/>
  <c r="AP36" i="2"/>
  <c r="AY55" i="2"/>
  <c r="D75" i="2"/>
  <c r="O6" i="2"/>
  <c r="BA78" i="2"/>
  <c r="E170" i="2"/>
  <c r="E215" i="2"/>
  <c r="AQ28" i="2"/>
  <c r="AY25" i="2"/>
  <c r="C57" i="2"/>
  <c r="O183" i="2"/>
  <c r="D154" i="2"/>
  <c r="BL227" i="2"/>
  <c r="B85" i="2"/>
  <c r="N155" i="2"/>
  <c r="AN82" i="2"/>
  <c r="AY124" i="2"/>
  <c r="BA175" i="2"/>
  <c r="BS3" i="2"/>
  <c r="AQ218" i="2"/>
  <c r="BL176" i="2"/>
  <c r="BI53" i="2"/>
  <c r="N164" i="2"/>
  <c r="BL188" i="2"/>
  <c r="AF202" i="2"/>
  <c r="BT219" i="2"/>
  <c r="BL215" i="2"/>
  <c r="AO217" i="2"/>
  <c r="AX30" i="2"/>
  <c r="L34" i="2"/>
  <c r="BU182" i="2"/>
  <c r="AN90" i="2"/>
  <c r="F99" i="2"/>
  <c r="M36" i="2"/>
  <c r="L95" i="2"/>
  <c r="BL107" i="2"/>
  <c r="B191" i="2"/>
  <c r="O23" i="2"/>
  <c r="E88" i="2"/>
  <c r="AR202" i="2"/>
  <c r="BB45" i="2"/>
  <c r="E95" i="2"/>
  <c r="D209" i="2"/>
  <c r="AO38" i="2"/>
  <c r="BT221" i="2"/>
  <c r="M23" i="2"/>
  <c r="O130" i="2"/>
  <c r="D89" i="2"/>
  <c r="AN202" i="2"/>
  <c r="AX66" i="2"/>
  <c r="AN35" i="2"/>
  <c r="AQ62" i="2"/>
  <c r="BB109" i="2"/>
  <c r="AZ5" i="2"/>
  <c r="AO27" i="2"/>
  <c r="BB59" i="2"/>
  <c r="E9" i="2"/>
  <c r="C150" i="2"/>
  <c r="AY156" i="2"/>
  <c r="K150" i="2"/>
  <c r="M147" i="2"/>
  <c r="L167" i="2"/>
  <c r="AR200" i="2"/>
  <c r="AO132" i="2"/>
  <c r="K66" i="2"/>
  <c r="BV151" i="2"/>
  <c r="E51" i="2"/>
  <c r="AQ99" i="2"/>
  <c r="M20" i="2"/>
  <c r="AQ101" i="2"/>
  <c r="C119" i="2"/>
  <c r="AZ152" i="2"/>
  <c r="E160" i="2"/>
  <c r="BJ59" i="2"/>
  <c r="B203" i="2"/>
  <c r="O126" i="2"/>
  <c r="AX134" i="2"/>
  <c r="N113" i="2"/>
  <c r="BH21" i="2"/>
  <c r="AN14" i="2"/>
  <c r="K20" i="2"/>
  <c r="B147" i="2"/>
  <c r="AP88" i="2"/>
  <c r="O121" i="2"/>
  <c r="BI7" i="2"/>
  <c r="BH69" i="2"/>
  <c r="D52" i="2"/>
  <c r="BU185" i="2"/>
  <c r="N11" i="2"/>
  <c r="BA198" i="2"/>
  <c r="F138" i="2"/>
  <c r="AQ202" i="2"/>
  <c r="F218" i="2"/>
  <c r="O36" i="2"/>
  <c r="B139" i="2"/>
  <c r="BL207" i="2"/>
  <c r="M17" i="2"/>
  <c r="O37" i="2"/>
  <c r="BT135" i="2"/>
  <c r="K23" i="2"/>
  <c r="BT60" i="2"/>
  <c r="BB110" i="2"/>
  <c r="BA8" i="2"/>
  <c r="BV197" i="2"/>
  <c r="AN76" i="2"/>
  <c r="BJ209" i="2"/>
  <c r="AE49" i="2"/>
  <c r="B6" i="2"/>
  <c r="BJ181" i="2"/>
  <c r="D33" i="2"/>
  <c r="BK95" i="2"/>
  <c r="BT216" i="2"/>
  <c r="BA170" i="2"/>
  <c r="BK47" i="2"/>
  <c r="M102" i="2"/>
  <c r="AZ148" i="2"/>
  <c r="AQ127" i="2"/>
  <c r="BH154" i="2"/>
  <c r="BB63" i="2"/>
  <c r="F59" i="2"/>
  <c r="AN11" i="2"/>
  <c r="AZ179" i="2"/>
  <c r="BB135" i="2"/>
  <c r="BB133" i="2"/>
  <c r="C194" i="2"/>
  <c r="AR30" i="2"/>
  <c r="D216" i="2"/>
  <c r="N102" i="2"/>
  <c r="M108" i="2"/>
  <c r="F185" i="2"/>
  <c r="BK206" i="2"/>
  <c r="D131" i="2"/>
  <c r="D17" i="2"/>
  <c r="BI221" i="2"/>
  <c r="AR76" i="2"/>
  <c r="D111" i="2"/>
  <c r="B217" i="2"/>
  <c r="BV59" i="2"/>
  <c r="C108" i="2"/>
  <c r="K133" i="2"/>
  <c r="AN115" i="2"/>
  <c r="AR29" i="2"/>
  <c r="B30" i="2"/>
  <c r="E29" i="2"/>
  <c r="AQ31" i="2"/>
  <c r="K180" i="2"/>
  <c r="M70" i="2"/>
  <c r="D83" i="2"/>
  <c r="AQ41" i="2"/>
  <c r="BB36" i="2"/>
  <c r="K16" i="2"/>
  <c r="N100" i="2"/>
  <c r="F186" i="2"/>
  <c r="B70" i="2"/>
  <c r="F34" i="2"/>
  <c r="BS207" i="2"/>
  <c r="AP183" i="2"/>
  <c r="AP93" i="2"/>
  <c r="AP217" i="2"/>
  <c r="E32" i="2"/>
  <c r="AQ168" i="2"/>
  <c r="BK198" i="2"/>
  <c r="M123" i="2"/>
  <c r="AQ135" i="2"/>
  <c r="BH153" i="2"/>
  <c r="L229" i="2"/>
  <c r="AQ153" i="2"/>
  <c r="BJ204" i="2"/>
  <c r="B76" i="2"/>
  <c r="O191" i="2"/>
  <c r="D199" i="2"/>
  <c r="AY12" i="2"/>
  <c r="AH134" i="2"/>
  <c r="L75" i="2"/>
  <c r="BA229" i="2"/>
  <c r="L199" i="2"/>
  <c r="BR95" i="2"/>
  <c r="AN128" i="2"/>
  <c r="D128" i="2"/>
  <c r="N147" i="2"/>
  <c r="D196" i="2"/>
  <c r="K44" i="2"/>
  <c r="M172" i="2"/>
  <c r="C220" i="2"/>
  <c r="B120" i="2"/>
  <c r="AQ16" i="2"/>
  <c r="AP84" i="2"/>
  <c r="N199" i="2"/>
  <c r="C102" i="2"/>
  <c r="E80" i="2"/>
  <c r="O27" i="2"/>
  <c r="BU228" i="2"/>
  <c r="AZ3" i="2"/>
  <c r="K128" i="2"/>
  <c r="M100" i="2"/>
  <c r="AH44" i="2"/>
  <c r="AO22" i="2"/>
  <c r="N75" i="2"/>
  <c r="BB195" i="2"/>
  <c r="O110" i="2"/>
  <c r="AY228" i="2"/>
  <c r="F22" i="2"/>
  <c r="BB52" i="2"/>
  <c r="AR222" i="2"/>
  <c r="AQ24" i="2"/>
  <c r="BL62" i="2"/>
  <c r="D161" i="2"/>
  <c r="L209" i="2"/>
  <c r="L88" i="2"/>
  <c r="C30" i="2"/>
  <c r="K146" i="2"/>
  <c r="N137" i="2"/>
  <c r="AO223" i="2"/>
  <c r="AP72" i="2"/>
  <c r="BV131" i="2"/>
  <c r="AO138" i="2"/>
  <c r="N55" i="2"/>
  <c r="BB85" i="2"/>
  <c r="AI95" i="2"/>
  <c r="BL119" i="2"/>
  <c r="O94" i="2"/>
  <c r="AG3" i="2"/>
  <c r="C85" i="2"/>
  <c r="C8" i="2"/>
  <c r="AY177" i="2"/>
  <c r="B7" i="2"/>
  <c r="C20" i="2"/>
  <c r="D152" i="2"/>
  <c r="B167" i="2"/>
  <c r="AR168" i="2"/>
  <c r="BJ138" i="2"/>
  <c r="BK10" i="2"/>
  <c r="K219" i="2"/>
  <c r="AX19" i="2"/>
  <c r="L122" i="2"/>
  <c r="D153" i="2"/>
  <c r="AN26" i="2"/>
  <c r="BV155" i="2"/>
  <c r="F55" i="2"/>
  <c r="AN192" i="2"/>
  <c r="BA56" i="2"/>
  <c r="L14" i="2"/>
  <c r="AP18" i="2"/>
  <c r="BA81" i="2"/>
  <c r="AY227" i="2"/>
  <c r="E219" i="2"/>
  <c r="K56" i="2"/>
  <c r="L33" i="2"/>
  <c r="AN117" i="2"/>
  <c r="BL180" i="2"/>
  <c r="F149" i="2"/>
  <c r="BV157" i="2"/>
  <c r="M33" i="2"/>
  <c r="N74" i="2"/>
  <c r="BB76" i="2"/>
  <c r="F81" i="2"/>
  <c r="M75" i="2"/>
  <c r="L101" i="2"/>
  <c r="E36" i="2"/>
  <c r="N216" i="2"/>
  <c r="L120" i="2"/>
  <c r="L46" i="2"/>
  <c r="AN213" i="2"/>
  <c r="C114" i="2"/>
  <c r="B83" i="2"/>
  <c r="AR22" i="2"/>
  <c r="BS44" i="2"/>
  <c r="O66" i="2"/>
  <c r="BI135" i="2"/>
  <c r="AY78" i="2"/>
  <c r="BI30" i="2"/>
  <c r="AQ97" i="2"/>
  <c r="AQ54" i="2"/>
  <c r="BA219" i="2"/>
  <c r="BJ81" i="2"/>
  <c r="AQ39" i="2"/>
  <c r="AZ55" i="2"/>
  <c r="B101" i="2"/>
  <c r="N158" i="2"/>
  <c r="BV91" i="2"/>
  <c r="AZ154" i="2"/>
  <c r="BU161" i="2"/>
  <c r="BJ122" i="2"/>
  <c r="B21" i="2"/>
  <c r="N184" i="2"/>
  <c r="M18" i="2"/>
  <c r="AE53" i="2"/>
  <c r="BH12" i="2"/>
  <c r="K197" i="2"/>
  <c r="AQ25" i="2"/>
  <c r="F197" i="2"/>
  <c r="K145" i="2"/>
  <c r="AN109" i="2"/>
  <c r="BT152" i="2"/>
  <c r="N176" i="2"/>
  <c r="BI25" i="2"/>
  <c r="Y8" i="2"/>
  <c r="O155" i="2"/>
  <c r="B157" i="2"/>
  <c r="N45" i="2"/>
  <c r="E145" i="2"/>
  <c r="O125" i="2"/>
  <c r="AZ198" i="2"/>
  <c r="AQ33" i="2"/>
  <c r="AQ204" i="2"/>
  <c r="C43" i="2"/>
  <c r="C215" i="2"/>
  <c r="L206" i="2"/>
  <c r="O87" i="2"/>
  <c r="O112" i="2"/>
  <c r="N81" i="2"/>
  <c r="BH57" i="2"/>
  <c r="F125" i="2"/>
  <c r="L83" i="2"/>
  <c r="L136" i="2"/>
  <c r="BK160" i="2"/>
  <c r="L19" i="2"/>
  <c r="E31" i="2"/>
  <c r="AN100" i="2"/>
  <c r="O143" i="2"/>
  <c r="BH217" i="2"/>
  <c r="AR181" i="2"/>
  <c r="BH13" i="2"/>
  <c r="D92" i="2"/>
  <c r="AN94" i="2"/>
  <c r="BH174" i="2"/>
  <c r="BL79" i="2"/>
  <c r="AO6" i="2"/>
  <c r="K91" i="2"/>
  <c r="K167" i="2"/>
  <c r="N157" i="2"/>
  <c r="AP65" i="2"/>
  <c r="BT102" i="2"/>
  <c r="BS87" i="2"/>
  <c r="B47" i="2"/>
  <c r="M229" i="2"/>
  <c r="L154" i="2"/>
  <c r="L156" i="2"/>
  <c r="AO93" i="2"/>
  <c r="M58" i="2"/>
  <c r="K61" i="2"/>
  <c r="BK21" i="2"/>
  <c r="D167" i="2"/>
  <c r="D226" i="2"/>
  <c r="C166" i="2"/>
  <c r="N141" i="2"/>
  <c r="B106" i="2"/>
  <c r="AX154" i="2"/>
  <c r="N168" i="2"/>
  <c r="AP67" i="2"/>
  <c r="B74" i="2"/>
  <c r="AP220" i="2"/>
  <c r="M177" i="2"/>
  <c r="AN186" i="2"/>
  <c r="AQ15" i="2"/>
  <c r="V117" i="2"/>
  <c r="BL83" i="2"/>
  <c r="L38" i="2"/>
  <c r="L220" i="2"/>
  <c r="BL9" i="2"/>
  <c r="AZ194" i="2"/>
  <c r="N115" i="2"/>
  <c r="D123" i="2"/>
  <c r="BH121" i="2"/>
  <c r="F116" i="2"/>
  <c r="AZ113" i="2"/>
  <c r="AF175" i="2"/>
  <c r="BI160" i="2"/>
  <c r="W7" i="2"/>
  <c r="AZ117" i="2"/>
  <c r="AX93" i="2"/>
  <c r="AP197" i="2"/>
  <c r="L17" i="2"/>
  <c r="AQ90" i="2"/>
  <c r="BA121" i="2"/>
  <c r="AF186" i="2"/>
  <c r="AR213" i="2"/>
  <c r="M62" i="2"/>
  <c r="AX205" i="2"/>
  <c r="BT40" i="2"/>
  <c r="N144" i="2"/>
  <c r="O54" i="2"/>
  <c r="D85" i="2"/>
  <c r="E67" i="2"/>
  <c r="BB181" i="2"/>
  <c r="BA80" i="2"/>
  <c r="AX125" i="2"/>
  <c r="N6" i="2"/>
  <c r="F112" i="2"/>
  <c r="AR219" i="2"/>
  <c r="O209" i="2"/>
  <c r="BJ221" i="2"/>
  <c r="F196" i="2"/>
  <c r="C193" i="2"/>
  <c r="AX70" i="2"/>
  <c r="E144" i="2"/>
  <c r="BB193" i="2"/>
  <c r="BB123" i="2"/>
  <c r="O78" i="2"/>
  <c r="AR211" i="2"/>
  <c r="AO31" i="2"/>
  <c r="AR111" i="2"/>
  <c r="K119" i="2"/>
  <c r="AQ21" i="2"/>
  <c r="L12" i="2"/>
  <c r="L107" i="2"/>
  <c r="O205" i="2"/>
  <c r="B168" i="2"/>
  <c r="E60" i="2"/>
  <c r="BV143" i="2"/>
  <c r="C164" i="2"/>
  <c r="AQ120" i="2"/>
  <c r="C80" i="2"/>
  <c r="C101" i="2"/>
  <c r="AQ145" i="2"/>
  <c r="BT20" i="2"/>
  <c r="BB18" i="2"/>
  <c r="N153" i="2"/>
  <c r="AQ193" i="2"/>
  <c r="M205" i="2"/>
  <c r="BJ46" i="2"/>
  <c r="F159" i="2"/>
  <c r="AQ160" i="2"/>
  <c r="BU123" i="2"/>
  <c r="BS80" i="2"/>
  <c r="AO37" i="2"/>
  <c r="BB203" i="2"/>
  <c r="BJ7" i="2"/>
  <c r="AQ103" i="2"/>
  <c r="D159" i="2"/>
  <c r="E66" i="2"/>
  <c r="BR122" i="2"/>
  <c r="BS57" i="2"/>
  <c r="AN148" i="2"/>
  <c r="O147" i="2"/>
  <c r="F118" i="2"/>
  <c r="AP53" i="2"/>
  <c r="E177" i="2"/>
  <c r="BJ73" i="2"/>
  <c r="N223" i="2"/>
  <c r="D192" i="2"/>
  <c r="O67" i="2"/>
  <c r="AN12" i="2"/>
  <c r="N174" i="2"/>
  <c r="O149" i="2"/>
  <c r="BH225" i="2"/>
  <c r="K94" i="2"/>
  <c r="AY68" i="2"/>
  <c r="K164" i="2"/>
  <c r="O88" i="2"/>
  <c r="L205" i="2"/>
  <c r="AN149" i="2"/>
  <c r="AR137" i="2"/>
  <c r="BJ141" i="2"/>
  <c r="BA141" i="2"/>
  <c r="L188" i="2"/>
  <c r="N178" i="2"/>
  <c r="BA146" i="2"/>
  <c r="O26" i="2"/>
  <c r="L42" i="2"/>
  <c r="BL156" i="2"/>
  <c r="X143" i="2"/>
  <c r="AX9" i="2"/>
  <c r="AN92" i="2"/>
  <c r="AZ92" i="2"/>
  <c r="AF141" i="2"/>
  <c r="D203" i="2"/>
  <c r="AZ111" i="2"/>
  <c r="B187" i="2"/>
  <c r="C170" i="2"/>
  <c r="BS10" i="2"/>
  <c r="BL148" i="2"/>
  <c r="BK135" i="2"/>
  <c r="AN83" i="2"/>
  <c r="BJ116" i="2"/>
  <c r="Y222" i="2"/>
  <c r="AR13" i="2"/>
  <c r="X183" i="2"/>
  <c r="F8" i="2"/>
  <c r="BT85" i="2"/>
  <c r="M87" i="2"/>
  <c r="BB116" i="2"/>
  <c r="AO189" i="2"/>
  <c r="K210" i="2"/>
  <c r="BV190" i="2"/>
  <c r="BA215" i="2"/>
  <c r="AF227" i="2"/>
  <c r="BB27" i="2"/>
  <c r="C167" i="2"/>
  <c r="BK3" i="2"/>
  <c r="AZ164" i="2"/>
  <c r="AX117" i="2"/>
  <c r="AR177" i="2"/>
  <c r="N126" i="2"/>
  <c r="F113" i="2"/>
  <c r="AY182" i="2"/>
  <c r="O129" i="2"/>
  <c r="B131" i="2"/>
  <c r="D206" i="2"/>
  <c r="AR130" i="2"/>
  <c r="AO225" i="2"/>
  <c r="BS158" i="2"/>
  <c r="M221" i="2"/>
  <c r="N41" i="2"/>
  <c r="BI164" i="2"/>
  <c r="K178" i="2"/>
  <c r="AY27" i="2"/>
  <c r="E47" i="2"/>
  <c r="BU132" i="2"/>
  <c r="E222" i="2"/>
  <c r="AG47" i="2"/>
  <c r="F101" i="2"/>
  <c r="BK191" i="2"/>
  <c r="D115" i="2"/>
  <c r="BJ191" i="2"/>
  <c r="AQ58" i="2"/>
  <c r="BS88" i="2"/>
  <c r="E128" i="2"/>
  <c r="C184" i="2"/>
  <c r="D105" i="2"/>
  <c r="AN18" i="2"/>
  <c r="D177" i="2"/>
  <c r="BH118" i="2"/>
  <c r="AZ40" i="2"/>
  <c r="BV227" i="2"/>
  <c r="AY214" i="2"/>
  <c r="AR195" i="2"/>
  <c r="L164" i="2"/>
  <c r="AO221" i="2"/>
  <c r="O135" i="2"/>
  <c r="AR39" i="2"/>
  <c r="BL211" i="2"/>
  <c r="BS157" i="2"/>
  <c r="BL152" i="2"/>
  <c r="C28" i="2"/>
  <c r="F98" i="2"/>
  <c r="BB153" i="2"/>
  <c r="BB154" i="2"/>
  <c r="B153" i="2"/>
  <c r="B55" i="2"/>
  <c r="BJ194" i="2"/>
  <c r="BK169" i="2"/>
  <c r="L158" i="2"/>
  <c r="C145" i="2"/>
  <c r="BB14" i="2"/>
  <c r="B59" i="2"/>
  <c r="BH206" i="2"/>
  <c r="C149" i="2"/>
  <c r="K188" i="2"/>
  <c r="N131" i="2"/>
  <c r="BS16" i="2"/>
  <c r="M144" i="2"/>
  <c r="BS50" i="2"/>
  <c r="AQ13" i="2"/>
  <c r="M19" i="2"/>
  <c r="D76" i="2"/>
  <c r="BS18" i="2"/>
  <c r="AY197" i="2"/>
  <c r="M223" i="2"/>
  <c r="AY196" i="2"/>
  <c r="AR94" i="2"/>
  <c r="BS71" i="2"/>
  <c r="K68" i="2"/>
  <c r="C78" i="2"/>
  <c r="BU44" i="2"/>
  <c r="M169" i="2"/>
  <c r="AR71" i="2"/>
  <c r="B144" i="2"/>
  <c r="AE10" i="2"/>
  <c r="K187" i="2"/>
  <c r="BH10" i="2"/>
  <c r="B199" i="2"/>
  <c r="M208" i="2"/>
  <c r="BH189" i="2"/>
  <c r="B10" i="2"/>
  <c r="BB189" i="2"/>
  <c r="BH151" i="2"/>
  <c r="L104" i="2"/>
  <c r="E120" i="2"/>
  <c r="AX49" i="2"/>
  <c r="BJ128" i="2"/>
  <c r="AR217" i="2"/>
  <c r="D158" i="2"/>
  <c r="M145" i="2"/>
  <c r="O85" i="2"/>
  <c r="L7" i="2"/>
  <c r="AO119" i="2"/>
  <c r="BR44" i="2"/>
  <c r="BK207" i="2"/>
  <c r="F45" i="2"/>
  <c r="C9" i="2"/>
  <c r="AP156" i="2"/>
  <c r="K181" i="2"/>
  <c r="F18" i="2"/>
  <c r="BH109" i="2"/>
  <c r="AX167" i="2"/>
  <c r="BU222" i="2"/>
  <c r="BS168" i="2"/>
  <c r="O177" i="2"/>
  <c r="AI200" i="2"/>
  <c r="AZ91" i="2"/>
  <c r="BL220" i="2"/>
  <c r="AR67" i="2"/>
  <c r="M35" i="2"/>
  <c r="K208" i="2"/>
  <c r="AR227" i="2"/>
  <c r="L69" i="2"/>
  <c r="AP198" i="2"/>
  <c r="N159" i="2"/>
  <c r="D71" i="2"/>
  <c r="BB171" i="2"/>
  <c r="AX181" i="2"/>
  <c r="D9" i="2"/>
  <c r="B4" i="2"/>
  <c r="L87" i="2"/>
  <c r="BI154" i="2"/>
  <c r="E53" i="2"/>
  <c r="B192" i="2"/>
  <c r="AE73" i="2"/>
  <c r="F189" i="2"/>
  <c r="BB93" i="2"/>
  <c r="L137" i="2"/>
  <c r="AQ6" i="2"/>
  <c r="O174" i="2"/>
  <c r="BJ114" i="2"/>
  <c r="L106" i="2"/>
  <c r="L228" i="2"/>
  <c r="B91" i="2"/>
  <c r="AZ219" i="2"/>
  <c r="AR14" i="2"/>
  <c r="AY158" i="2"/>
  <c r="O132" i="2"/>
  <c r="F179" i="2"/>
  <c r="AY8" i="2"/>
  <c r="N63" i="2"/>
  <c r="L181" i="2"/>
  <c r="M193" i="2"/>
  <c r="BL96" i="2"/>
  <c r="AY168" i="2"/>
  <c r="C188" i="2"/>
  <c r="D26" i="2"/>
  <c r="C212" i="2"/>
  <c r="AH45" i="2"/>
  <c r="AR179" i="2"/>
  <c r="AP13" i="2"/>
  <c r="BI198" i="2"/>
  <c r="B172" i="2"/>
  <c r="BI168" i="2"/>
  <c r="AY26" i="2"/>
  <c r="D207" i="2"/>
  <c r="C29" i="2"/>
  <c r="F120" i="2"/>
  <c r="N221" i="2"/>
  <c r="BH50" i="2"/>
  <c r="D80" i="2"/>
  <c r="AX48" i="2"/>
  <c r="BA83" i="2"/>
  <c r="AP163" i="2"/>
  <c r="BI226" i="2"/>
  <c r="L5" i="2"/>
  <c r="D31" i="2"/>
  <c r="K98" i="2"/>
  <c r="E23" i="2"/>
  <c r="K214" i="2"/>
  <c r="AY61" i="2"/>
  <c r="C11" i="2"/>
  <c r="BA186" i="2"/>
  <c r="M49" i="2"/>
  <c r="BI138" i="2"/>
  <c r="BL16" i="2"/>
  <c r="D129" i="2"/>
  <c r="M135" i="2"/>
  <c r="F119" i="2"/>
  <c r="O218" i="2"/>
  <c r="AQ192" i="2"/>
  <c r="AY62" i="2"/>
  <c r="AE211" i="2"/>
  <c r="BK174" i="2"/>
  <c r="E142" i="2"/>
  <c r="L71" i="2"/>
  <c r="B207" i="2"/>
  <c r="AR92" i="2"/>
  <c r="BA203" i="2"/>
  <c r="AN159" i="2"/>
  <c r="BK158" i="2"/>
  <c r="BB218" i="2"/>
  <c r="BL205" i="2"/>
  <c r="BU61" i="2"/>
  <c r="L193" i="2"/>
  <c r="M133" i="2"/>
  <c r="AZ192" i="2"/>
  <c r="M218" i="2"/>
  <c r="N30" i="2"/>
  <c r="AQ51" i="2"/>
  <c r="AY30" i="2"/>
  <c r="BU111" i="2"/>
  <c r="BA181" i="2"/>
  <c r="AO162" i="2"/>
  <c r="AR50" i="2"/>
  <c r="O111" i="2"/>
  <c r="AQ4" i="2"/>
  <c r="K220" i="2"/>
  <c r="N96" i="2"/>
  <c r="L189" i="2"/>
  <c r="AQ186" i="2"/>
  <c r="D79" i="2"/>
  <c r="E73" i="2"/>
  <c r="N173" i="2"/>
  <c r="BK153" i="2"/>
  <c r="AX75" i="2"/>
  <c r="E68" i="2"/>
  <c r="AY24" i="2"/>
  <c r="AR62" i="2"/>
  <c r="D18" i="2"/>
  <c r="O165" i="2"/>
  <c r="BJ190" i="2"/>
  <c r="O19" i="2"/>
  <c r="AX152" i="2"/>
  <c r="BI29" i="2"/>
  <c r="F38" i="2"/>
  <c r="B148" i="2"/>
  <c r="M11" i="2"/>
  <c r="D219" i="2"/>
  <c r="F171" i="2"/>
  <c r="K157" i="2"/>
  <c r="L20" i="2"/>
  <c r="K102" i="2"/>
  <c r="C169" i="2"/>
  <c r="E5" i="2"/>
  <c r="B68" i="2"/>
  <c r="AP105" i="2"/>
  <c r="O57" i="2"/>
  <c r="AH10" i="2"/>
  <c r="C50" i="2"/>
  <c r="E133" i="2"/>
  <c r="AO163" i="2"/>
  <c r="B150" i="2"/>
  <c r="D96" i="2"/>
  <c r="AZ114" i="2"/>
  <c r="AQ228" i="2"/>
  <c r="O214" i="2"/>
  <c r="K113" i="2"/>
  <c r="AX198" i="2"/>
  <c r="B108" i="2"/>
  <c r="D45" i="2"/>
  <c r="V3" i="2"/>
  <c r="L182" i="2"/>
  <c r="Y181" i="2"/>
  <c r="AR142" i="2"/>
  <c r="AO107" i="2"/>
  <c r="N138" i="2"/>
  <c r="N92" i="2"/>
  <c r="F144" i="2"/>
  <c r="BK123" i="2"/>
  <c r="M72" i="2"/>
  <c r="AQ26" i="2"/>
  <c r="AX68" i="2"/>
  <c r="AX63" i="2"/>
  <c r="K117" i="2"/>
  <c r="F47" i="2"/>
  <c r="F157" i="2"/>
  <c r="O154" i="2"/>
  <c r="AY198" i="2"/>
  <c r="AQ75" i="2"/>
  <c r="N67" i="2"/>
  <c r="N220" i="2"/>
  <c r="AP212" i="2"/>
  <c r="B45" i="2"/>
  <c r="O105" i="2"/>
  <c r="AN91" i="2"/>
  <c r="BU28" i="2"/>
  <c r="AZ126" i="2"/>
  <c r="AO24" i="2"/>
  <c r="F80" i="2"/>
  <c r="M48" i="2"/>
  <c r="E205" i="2"/>
  <c r="BI82" i="2"/>
  <c r="BV108" i="2"/>
  <c r="AZ119" i="2"/>
  <c r="AG199" i="2"/>
  <c r="O46" i="2"/>
  <c r="BU152" i="2"/>
  <c r="AY127" i="2"/>
  <c r="AZ209" i="2"/>
  <c r="K152" i="2"/>
  <c r="BA45" i="2"/>
  <c r="BB213" i="2"/>
  <c r="AO200" i="2"/>
  <c r="AO151" i="2"/>
  <c r="C140" i="2"/>
  <c r="B42" i="2"/>
  <c r="O140" i="2"/>
  <c r="AR88" i="2"/>
  <c r="B198" i="2"/>
  <c r="BH15" i="2"/>
  <c r="L184" i="2"/>
  <c r="AP202" i="2"/>
  <c r="BV104" i="2"/>
  <c r="BS176" i="2"/>
  <c r="AO15" i="2"/>
  <c r="BU221" i="2"/>
  <c r="BS172" i="2"/>
  <c r="AY186" i="2"/>
  <c r="AR189" i="2"/>
  <c r="F23" i="2"/>
  <c r="AX139" i="2"/>
  <c r="C110" i="2"/>
  <c r="M80" i="2"/>
  <c r="BB161" i="2"/>
  <c r="L119" i="2"/>
  <c r="BJ126" i="2"/>
  <c r="M45" i="2"/>
  <c r="M40" i="2"/>
  <c r="N58" i="2"/>
  <c r="BJ215" i="2"/>
  <c r="O198" i="2"/>
  <c r="AY111" i="2"/>
  <c r="AN86" i="2"/>
  <c r="B182" i="2"/>
  <c r="K97" i="2"/>
  <c r="D108" i="2"/>
  <c r="BS161" i="2"/>
  <c r="BH68" i="2"/>
  <c r="X136" i="2"/>
  <c r="AN98" i="2"/>
  <c r="AZ98" i="2"/>
  <c r="N40" i="2"/>
  <c r="AN214" i="2"/>
  <c r="BT39" i="2"/>
  <c r="C47" i="2"/>
  <c r="E19" i="2"/>
  <c r="K77" i="2"/>
  <c r="K51" i="2"/>
  <c r="E206" i="2"/>
  <c r="BA113" i="2"/>
  <c r="AY165" i="2"/>
  <c r="AQ219" i="2"/>
  <c r="AZ45" i="2"/>
  <c r="E151" i="2"/>
  <c r="K205" i="2"/>
  <c r="BI55" i="2"/>
  <c r="AN182" i="2"/>
  <c r="O164" i="2"/>
  <c r="BV88" i="2"/>
  <c r="BL216" i="2"/>
  <c r="D65" i="2"/>
  <c r="O176" i="2"/>
  <c r="E146" i="2"/>
  <c r="L138" i="2"/>
  <c r="N47" i="2"/>
  <c r="D148" i="2"/>
  <c r="AR84" i="2"/>
  <c r="AN142" i="2"/>
  <c r="D25" i="2"/>
  <c r="BA57" i="2"/>
  <c r="AO136" i="2"/>
  <c r="O9" i="2"/>
  <c r="AP200" i="2"/>
  <c r="C36" i="2"/>
  <c r="C18" i="2"/>
  <c r="AR152" i="2"/>
  <c r="B57" i="2"/>
  <c r="BI93" i="2"/>
  <c r="N79" i="2"/>
  <c r="F4" i="2"/>
  <c r="AQ138" i="2"/>
  <c r="D139" i="2"/>
  <c r="N61" i="2"/>
  <c r="BK186" i="2"/>
  <c r="BH5" i="2"/>
  <c r="K55" i="2"/>
  <c r="AE89" i="2"/>
  <c r="F52" i="2"/>
  <c r="AR31" i="2"/>
  <c r="BB39" i="2"/>
  <c r="O56" i="2"/>
  <c r="N65" i="2"/>
  <c r="B34" i="2"/>
  <c r="AO128" i="2"/>
  <c r="BL168" i="2"/>
  <c r="BK194" i="2"/>
  <c r="AP37" i="2"/>
  <c r="D179" i="2"/>
  <c r="BB178" i="2"/>
  <c r="M13" i="2"/>
  <c r="M178" i="2"/>
  <c r="AY149" i="2"/>
  <c r="F15" i="2"/>
  <c r="N218" i="2"/>
  <c r="E18" i="2"/>
  <c r="AX7" i="2"/>
  <c r="BU211" i="2"/>
  <c r="AO42" i="2"/>
  <c r="L210" i="2"/>
  <c r="O42" i="2"/>
  <c r="C15" i="2"/>
  <c r="L90" i="2"/>
  <c r="AZ103" i="2"/>
  <c r="K124" i="2"/>
  <c r="M136" i="2"/>
  <c r="AR141" i="2"/>
  <c r="AX121" i="2"/>
  <c r="M158" i="2"/>
  <c r="AY5" i="2"/>
  <c r="AX147" i="2"/>
  <c r="AY6" i="2"/>
  <c r="K89" i="2"/>
  <c r="O142" i="2"/>
  <c r="AR192" i="2"/>
  <c r="L218" i="2"/>
  <c r="BI8" i="2"/>
  <c r="AP178" i="2"/>
  <c r="AQ11" i="2"/>
  <c r="BJ208" i="2"/>
  <c r="L93" i="2"/>
  <c r="M227" i="2"/>
  <c r="D14" i="2"/>
  <c r="N109" i="2"/>
  <c r="D122" i="2"/>
  <c r="F25" i="2"/>
  <c r="B190" i="2"/>
  <c r="L31" i="2"/>
  <c r="L190" i="2"/>
  <c r="F182" i="2"/>
  <c r="E207" i="2"/>
  <c r="AZ82" i="2"/>
  <c r="K121" i="2"/>
  <c r="AY71" i="2"/>
  <c r="N116" i="2"/>
  <c r="O201" i="2"/>
  <c r="BS108" i="2"/>
  <c r="N114" i="2"/>
  <c r="BJ56" i="2"/>
  <c r="B179" i="2"/>
  <c r="AO10" i="2"/>
  <c r="L177" i="2"/>
  <c r="BB165" i="2"/>
  <c r="BS63" i="2"/>
  <c r="E166" i="2"/>
  <c r="BU203" i="2"/>
  <c r="B107" i="2"/>
  <c r="AP99" i="2"/>
  <c r="C131" i="2"/>
  <c r="K177" i="2"/>
  <c r="BV109" i="2"/>
  <c r="F147" i="2"/>
  <c r="AO127" i="2"/>
  <c r="BH25" i="2"/>
  <c r="AZ84" i="2"/>
  <c r="AO186" i="2"/>
  <c r="AP87" i="2"/>
  <c r="N15" i="2"/>
  <c r="K221" i="2"/>
  <c r="BT68" i="2"/>
  <c r="AP89" i="2"/>
  <c r="B121" i="2"/>
  <c r="BU24" i="2"/>
  <c r="BI143" i="2"/>
  <c r="AY206" i="2"/>
  <c r="D218" i="2"/>
  <c r="BA160" i="2"/>
  <c r="C227" i="2"/>
  <c r="K199" i="2"/>
  <c r="BL130" i="2"/>
  <c r="BL48" i="2"/>
  <c r="E65" i="2"/>
  <c r="AN114" i="2"/>
  <c r="D130" i="2"/>
  <c r="F166" i="2"/>
  <c r="BL19" i="2"/>
  <c r="C173" i="2"/>
  <c r="BJ22" i="2"/>
  <c r="AR69" i="2"/>
  <c r="F40" i="2"/>
  <c r="K186" i="2"/>
  <c r="BS105" i="2"/>
  <c r="BH201" i="2"/>
  <c r="N18" i="2"/>
  <c r="BK139" i="2"/>
  <c r="BA4" i="2"/>
  <c r="L195" i="2"/>
  <c r="AO80" i="2"/>
  <c r="B95" i="2"/>
  <c r="AX182" i="2"/>
  <c r="E218" i="2"/>
  <c r="AO46" i="2"/>
  <c r="E127" i="2"/>
  <c r="AP42" i="2"/>
  <c r="AO71" i="2"/>
  <c r="C174" i="2"/>
  <c r="BT10" i="2"/>
  <c r="BU204" i="2"/>
  <c r="AX132" i="2"/>
  <c r="C199" i="2"/>
  <c r="C34" i="2"/>
  <c r="B163" i="2"/>
  <c r="C112" i="2"/>
  <c r="F130" i="2"/>
  <c r="BA3" i="2"/>
  <c r="AN206" i="2"/>
  <c r="B204" i="2"/>
  <c r="L47" i="2"/>
  <c r="AY224" i="2"/>
  <c r="F195" i="2"/>
  <c r="F102" i="2"/>
  <c r="AY69" i="2"/>
  <c r="N121" i="2"/>
  <c r="B36" i="2"/>
  <c r="AP30" i="2"/>
  <c r="BI85" i="2"/>
  <c r="BA91" i="2"/>
  <c r="C10" i="2"/>
  <c r="AR12" i="2"/>
  <c r="BL181" i="2"/>
  <c r="AX203" i="2"/>
  <c r="BL5" i="2"/>
  <c r="D188" i="2"/>
  <c r="AR81" i="2"/>
  <c r="B221" i="2"/>
  <c r="E116" i="2"/>
  <c r="B228" i="2"/>
  <c r="AR17" i="2"/>
  <c r="L89" i="2"/>
  <c r="C159" i="2"/>
  <c r="AO206" i="2"/>
  <c r="D84" i="2"/>
  <c r="AZ59" i="2"/>
  <c r="AR73" i="2"/>
  <c r="N87" i="2"/>
  <c r="AO18" i="2"/>
  <c r="AY135" i="2"/>
  <c r="B20" i="2"/>
  <c r="AZ50" i="2"/>
  <c r="AP206" i="2"/>
  <c r="O115" i="2"/>
  <c r="M91" i="2"/>
  <c r="AP133" i="2"/>
  <c r="N120" i="2"/>
  <c r="AN216" i="2"/>
  <c r="AR119" i="2"/>
  <c r="AO28" i="2"/>
  <c r="BR207" i="2"/>
  <c r="BS6" i="2"/>
  <c r="AN147" i="2"/>
  <c r="AO148" i="2"/>
  <c r="AN58" i="2"/>
  <c r="AR21" i="2"/>
  <c r="BS151" i="2"/>
  <c r="L97" i="2"/>
  <c r="AY108" i="2"/>
  <c r="C4" i="2"/>
  <c r="BT157" i="2"/>
  <c r="BT89" i="2"/>
  <c r="AR56" i="2"/>
  <c r="AO140" i="2"/>
  <c r="E13" i="2"/>
  <c r="AR196" i="2"/>
  <c r="BK77" i="2"/>
  <c r="K57" i="2"/>
  <c r="AP70" i="2"/>
  <c r="BU90" i="2"/>
  <c r="C176" i="2"/>
  <c r="C103" i="2"/>
  <c r="AQ20" i="2"/>
  <c r="F190" i="2"/>
  <c r="BH94" i="2"/>
  <c r="AP119" i="2"/>
  <c r="AQ32" i="2"/>
  <c r="AP129" i="2"/>
  <c r="AN41" i="2"/>
  <c r="B77" i="2"/>
  <c r="AP224" i="2"/>
  <c r="B149" i="2"/>
  <c r="AN6" i="2"/>
  <c r="F137" i="2"/>
  <c r="BV26" i="2"/>
  <c r="AR42" i="2"/>
  <c r="BJ43" i="2"/>
  <c r="O81" i="2"/>
  <c r="AG193" i="2"/>
  <c r="AY205" i="2"/>
  <c r="B209" i="2"/>
  <c r="AN69" i="2"/>
  <c r="BR177" i="2"/>
  <c r="B98" i="2"/>
  <c r="B80" i="2"/>
  <c r="AO68" i="2"/>
  <c r="BA226" i="2"/>
  <c r="M83" i="2"/>
  <c r="AO58" i="2"/>
  <c r="AY43" i="2"/>
  <c r="AZ77" i="2"/>
  <c r="F35" i="2"/>
  <c r="BB117" i="2"/>
  <c r="AQ217" i="2"/>
  <c r="B143" i="2"/>
  <c r="AY92" i="2"/>
  <c r="L150" i="2"/>
  <c r="L110" i="2"/>
  <c r="E49" i="2"/>
  <c r="BK204" i="2"/>
  <c r="N50" i="2"/>
  <c r="AO218" i="2"/>
  <c r="BH9" i="2"/>
  <c r="W208" i="2"/>
  <c r="AQ188" i="2"/>
  <c r="L139" i="2"/>
  <c r="AO220" i="2"/>
  <c r="E40" i="2"/>
  <c r="AO14" i="2"/>
  <c r="BH223" i="2"/>
  <c r="C6" i="2"/>
  <c r="O229" i="2"/>
  <c r="L15" i="2"/>
  <c r="BH76" i="2"/>
  <c r="BJ115" i="2"/>
  <c r="L91" i="2"/>
  <c r="N31" i="2"/>
  <c r="AR186" i="2"/>
  <c r="AF3" i="2"/>
  <c r="BI14" i="2"/>
  <c r="L118" i="2"/>
  <c r="M56" i="2"/>
  <c r="AO195" i="2"/>
  <c r="C71" i="2"/>
  <c r="O148" i="2"/>
  <c r="BS179" i="2"/>
  <c r="F215" i="2"/>
  <c r="BT130" i="2"/>
  <c r="AO88" i="2"/>
  <c r="BL135" i="2"/>
  <c r="N5" i="2"/>
  <c r="O204" i="2"/>
  <c r="M59" i="2"/>
  <c r="F69" i="2"/>
  <c r="D118" i="2"/>
  <c r="N3" i="2"/>
  <c r="AZ123" i="2"/>
  <c r="E3" i="2"/>
  <c r="BH188" i="2"/>
  <c r="BH208" i="2"/>
  <c r="L66" i="2"/>
  <c r="BI204" i="2"/>
  <c r="AY176" i="2"/>
  <c r="AY47" i="2"/>
  <c r="AY125" i="2"/>
  <c r="B32" i="2"/>
  <c r="BH105" i="2"/>
  <c r="AP122" i="2"/>
  <c r="L29" i="2"/>
  <c r="BV225" i="2"/>
  <c r="F42" i="2"/>
  <c r="AZ149" i="2"/>
  <c r="AO11" i="2"/>
  <c r="K7" i="2"/>
  <c r="O31" i="2"/>
  <c r="BU184" i="2"/>
  <c r="AO176" i="2"/>
  <c r="AP15" i="2"/>
  <c r="AP39" i="2"/>
  <c r="F175" i="2"/>
  <c r="L62" i="2"/>
  <c r="E189" i="2"/>
  <c r="AZ166" i="2"/>
  <c r="D57" i="2"/>
  <c r="BB57" i="2"/>
  <c r="B78" i="2"/>
  <c r="BK146" i="2"/>
  <c r="M159" i="2"/>
  <c r="BV213" i="2"/>
  <c r="BA123" i="2"/>
  <c r="AP97" i="2"/>
  <c r="AQ200" i="2"/>
  <c r="BV179" i="2"/>
  <c r="BB10" i="2"/>
  <c r="BI211" i="2"/>
  <c r="C32" i="2"/>
  <c r="AO208" i="2"/>
  <c r="L103" i="2"/>
  <c r="AP191" i="2"/>
  <c r="E200" i="2"/>
  <c r="AY200" i="2"/>
  <c r="M34" i="2"/>
  <c r="L35" i="2"/>
  <c r="N167" i="2"/>
  <c r="AP166" i="2"/>
  <c r="E154" i="2"/>
  <c r="L140" i="2"/>
  <c r="AZ218" i="2"/>
  <c r="BH122" i="2"/>
  <c r="AQ47" i="2"/>
  <c r="BR137" i="2"/>
  <c r="BK53" i="2"/>
  <c r="L76" i="2"/>
  <c r="E139" i="2"/>
  <c r="F183" i="2"/>
  <c r="AX219" i="2"/>
  <c r="BA117" i="2"/>
  <c r="B119" i="2"/>
  <c r="D11" i="2"/>
  <c r="M10" i="2"/>
  <c r="AZ4" i="2"/>
  <c r="AN7" i="2"/>
  <c r="BH93" i="2"/>
  <c r="N125" i="2"/>
  <c r="AX220" i="2"/>
  <c r="AO226" i="2"/>
  <c r="F223" i="2"/>
  <c r="D185" i="2"/>
  <c r="M16" i="2"/>
  <c r="AZ12" i="2"/>
  <c r="D127" i="2"/>
  <c r="BL123" i="2"/>
  <c r="N140" i="2"/>
  <c r="BU216" i="2"/>
  <c r="BA118" i="2"/>
  <c r="L37" i="2"/>
  <c r="AX137" i="2"/>
  <c r="AN138" i="2"/>
  <c r="F109" i="2"/>
  <c r="BL3" i="2"/>
  <c r="BJ30" i="2"/>
  <c r="AI150" i="2"/>
  <c r="AN29" i="2"/>
  <c r="E33" i="2"/>
  <c r="AH228" i="2"/>
  <c r="BH116" i="2"/>
  <c r="AN135" i="2"/>
  <c r="AX58" i="2"/>
  <c r="AR40" i="2"/>
  <c r="BL68" i="2"/>
  <c r="M109" i="2"/>
  <c r="O86" i="2"/>
  <c r="D82" i="2"/>
  <c r="BA171" i="2"/>
  <c r="AP19" i="2"/>
  <c r="AQ105" i="2"/>
  <c r="E59" i="2"/>
  <c r="AO120" i="2"/>
  <c r="D106" i="2"/>
  <c r="AZ221" i="2"/>
  <c r="E38" i="2"/>
  <c r="L152" i="2"/>
  <c r="AY130" i="2"/>
  <c r="F11" i="2"/>
  <c r="AQ154" i="2"/>
  <c r="AQ152" i="2"/>
  <c r="BT192" i="2"/>
  <c r="BH117" i="2"/>
  <c r="L131" i="2"/>
  <c r="BJ137" i="2"/>
  <c r="L203" i="2"/>
  <c r="D39" i="2"/>
  <c r="M114" i="2"/>
  <c r="B86" i="2"/>
  <c r="E50" i="2"/>
  <c r="N226" i="2"/>
  <c r="E109" i="2"/>
  <c r="F227" i="2"/>
  <c r="N208" i="2"/>
  <c r="O186" i="2"/>
  <c r="AQ147" i="2"/>
  <c r="O18" i="2"/>
  <c r="F165" i="2"/>
  <c r="E99" i="2"/>
  <c r="BK72" i="2"/>
  <c r="O157" i="2"/>
  <c r="M28" i="2"/>
  <c r="AF52" i="2"/>
  <c r="V190" i="2"/>
  <c r="K209" i="2"/>
  <c r="K182" i="2"/>
  <c r="D220" i="2"/>
  <c r="BH30" i="2"/>
  <c r="AO108" i="2"/>
  <c r="BL37" i="2"/>
  <c r="E195" i="2"/>
  <c r="B31" i="2"/>
  <c r="C60" i="2"/>
  <c r="BS118" i="2"/>
  <c r="AN226" i="2"/>
  <c r="D48" i="2"/>
  <c r="AP127" i="2"/>
  <c r="BK166" i="2"/>
  <c r="BB77" i="2"/>
  <c r="AZ183" i="2"/>
  <c r="AP11" i="2"/>
  <c r="BJ69" i="2"/>
  <c r="D116" i="2"/>
  <c r="F33" i="2"/>
  <c r="AG5" i="2"/>
  <c r="AZ24" i="2"/>
  <c r="AO34" i="2"/>
  <c r="F17" i="2"/>
  <c r="AP12" i="2"/>
  <c r="BA149" i="2"/>
  <c r="B33" i="2"/>
  <c r="AO8" i="2"/>
  <c r="BV50" i="2"/>
  <c r="F16" i="2"/>
  <c r="AO112" i="2"/>
  <c r="AX23" i="2"/>
  <c r="BI193" i="2"/>
  <c r="L226" i="2"/>
  <c r="AO5" i="2"/>
  <c r="N123" i="2"/>
  <c r="B104" i="2"/>
  <c r="L39" i="2"/>
  <c r="BB215" i="2"/>
  <c r="C218" i="2"/>
  <c r="AR135" i="2"/>
  <c r="M118" i="2"/>
  <c r="AP169" i="2"/>
  <c r="AP54" i="2"/>
  <c r="C92" i="2"/>
  <c r="BK11" i="2"/>
  <c r="AO196" i="2"/>
  <c r="B51" i="2"/>
  <c r="BJ118" i="2"/>
  <c r="K227" i="2"/>
  <c r="BJ214" i="2"/>
  <c r="AQ213" i="2"/>
  <c r="K173" i="2"/>
  <c r="AZ19" i="2"/>
  <c r="BS59" i="2"/>
  <c r="AP32" i="2"/>
  <c r="M104" i="2"/>
  <c r="L128" i="2"/>
  <c r="O120" i="2"/>
  <c r="N111" i="2"/>
  <c r="B8" i="2"/>
  <c r="M174" i="2"/>
  <c r="B22" i="2"/>
  <c r="BR219" i="2"/>
  <c r="AX100" i="2"/>
  <c r="BV18" i="2"/>
  <c r="AO214" i="2"/>
  <c r="B181" i="2"/>
  <c r="AQ175" i="2"/>
  <c r="AY16" i="2"/>
  <c r="B213" i="2"/>
  <c r="C141" i="2"/>
  <c r="M203" i="2"/>
  <c r="N150" i="2"/>
  <c r="E134" i="2"/>
  <c r="BU43" i="2"/>
  <c r="AP27" i="2"/>
  <c r="BI68" i="2"/>
  <c r="AE37" i="2"/>
  <c r="AO55" i="2"/>
  <c r="AO215" i="2"/>
  <c r="O221" i="2"/>
  <c r="E131" i="2"/>
  <c r="AZ135" i="2"/>
  <c r="D202" i="2"/>
  <c r="M137" i="2"/>
  <c r="K134" i="2"/>
  <c r="BU208" i="2"/>
  <c r="AZ94" i="2"/>
  <c r="K107" i="2"/>
  <c r="M6" i="2"/>
  <c r="E147" i="2"/>
  <c r="AN167" i="2"/>
  <c r="BJ178" i="2"/>
  <c r="AH195" i="2"/>
  <c r="C118" i="2"/>
  <c r="AR164" i="2"/>
  <c r="O173" i="2"/>
  <c r="L178" i="2"/>
  <c r="L112" i="2"/>
  <c r="D77" i="2"/>
  <c r="N180" i="2"/>
  <c r="BI92" i="2"/>
  <c r="F129" i="2"/>
  <c r="BJ161" i="2"/>
  <c r="D133" i="2"/>
  <c r="BL116" i="2"/>
  <c r="BB200" i="2"/>
  <c r="BA20" i="2"/>
  <c r="BK97" i="2"/>
  <c r="O60" i="2"/>
  <c r="C41" i="2"/>
  <c r="B225" i="2"/>
  <c r="BI21" i="2"/>
  <c r="AN220" i="2"/>
  <c r="AH185" i="2"/>
  <c r="AQ199" i="2"/>
  <c r="BA41" i="2"/>
  <c r="BB140" i="2"/>
  <c r="D141" i="2"/>
  <c r="AN8" i="2"/>
  <c r="AN188" i="2"/>
  <c r="BA46" i="2"/>
  <c r="AX169" i="2"/>
  <c r="E21" i="2"/>
  <c r="L117" i="2"/>
  <c r="AN228" i="2"/>
  <c r="AP130" i="2"/>
  <c r="F135" i="2"/>
  <c r="AP193" i="2"/>
  <c r="AZ36" i="2"/>
  <c r="E225" i="2"/>
  <c r="C127" i="2"/>
  <c r="C197" i="2"/>
  <c r="AR160" i="2"/>
  <c r="L192" i="2"/>
  <c r="D40" i="2"/>
  <c r="D149" i="2"/>
  <c r="N156" i="2"/>
  <c r="E117" i="2"/>
  <c r="M160" i="2"/>
  <c r="BB48" i="2"/>
  <c r="M30" i="2"/>
  <c r="C70" i="2"/>
  <c r="AR28" i="2"/>
  <c r="AR65" i="2"/>
  <c r="E217" i="2"/>
  <c r="BV181" i="2"/>
  <c r="O202" i="2"/>
  <c r="C111" i="2"/>
  <c r="AX163" i="2"/>
  <c r="O184" i="2"/>
  <c r="M206" i="2"/>
  <c r="C48" i="2"/>
  <c r="D38" i="2"/>
  <c r="B73" i="2"/>
  <c r="M131" i="2"/>
  <c r="F180" i="2"/>
  <c r="AN121" i="2"/>
  <c r="L115" i="2"/>
  <c r="AP101" i="2"/>
  <c r="AX188" i="2"/>
  <c r="F78" i="2"/>
  <c r="K129" i="2"/>
  <c r="AY159" i="2"/>
  <c r="BV3" i="2"/>
  <c r="N196" i="2"/>
  <c r="AP167" i="2"/>
  <c r="AR6" i="2"/>
  <c r="M66" i="2"/>
  <c r="F3" i="2"/>
  <c r="AY173" i="2"/>
  <c r="AR156" i="2"/>
  <c r="F209" i="2"/>
  <c r="M107" i="2"/>
  <c r="K46" i="2"/>
  <c r="C113" i="2"/>
  <c r="C144" i="2"/>
  <c r="AN9" i="2"/>
  <c r="E105" i="2"/>
  <c r="E121" i="2"/>
  <c r="M184" i="2"/>
  <c r="D166" i="2"/>
  <c r="D10" i="2"/>
  <c r="AO164" i="2"/>
  <c r="AP135" i="2"/>
  <c r="AN133" i="2"/>
  <c r="AF99" i="2"/>
  <c r="K162" i="2"/>
  <c r="AO64" i="2"/>
  <c r="AZ200" i="2"/>
  <c r="AZ22" i="2"/>
  <c r="AN139" i="2"/>
  <c r="BB118" i="2"/>
  <c r="D187" i="2"/>
  <c r="N62" i="2"/>
  <c r="AO166" i="2"/>
  <c r="AZ151" i="2"/>
  <c r="AZ6" i="2"/>
  <c r="K137" i="2"/>
  <c r="K190" i="2"/>
  <c r="F228" i="2"/>
  <c r="B49" i="2"/>
  <c r="AZ121" i="2"/>
  <c r="M31" i="2"/>
  <c r="C189" i="2"/>
  <c r="D144" i="2"/>
  <c r="L126" i="2"/>
  <c r="D12" i="2"/>
  <c r="O104" i="2"/>
  <c r="AN67" i="2"/>
  <c r="E158" i="2"/>
  <c r="AO116" i="2"/>
  <c r="D147" i="2"/>
  <c r="AN63" i="2"/>
  <c r="O24" i="2"/>
  <c r="BA43" i="2"/>
  <c r="AR4" i="2"/>
  <c r="AZ155" i="2"/>
  <c r="D121" i="2"/>
  <c r="C84" i="2"/>
  <c r="N37" i="2"/>
  <c r="AR82" i="2"/>
  <c r="BI200" i="2"/>
  <c r="E30" i="2"/>
  <c r="BU3" i="2"/>
  <c r="BJ199" i="2"/>
  <c r="BB150" i="2"/>
  <c r="AY100" i="2"/>
  <c r="AO74" i="2"/>
  <c r="F95" i="2"/>
  <c r="BL213" i="2"/>
  <c r="BS28" i="2"/>
  <c r="K78" i="2"/>
  <c r="M210" i="2"/>
  <c r="B159" i="2"/>
  <c r="B151" i="2"/>
  <c r="M199" i="2"/>
  <c r="B54" i="2"/>
  <c r="AN161" i="2"/>
  <c r="D60" i="2"/>
  <c r="N152" i="2"/>
  <c r="AX120" i="2"/>
  <c r="C158" i="2"/>
  <c r="O213" i="2"/>
  <c r="E55" i="2"/>
  <c r="BI139" i="2"/>
  <c r="AO115" i="2"/>
  <c r="BS30" i="2"/>
  <c r="BJ109" i="2"/>
  <c r="BT83" i="2"/>
  <c r="BI189" i="2"/>
  <c r="K74" i="2"/>
  <c r="BS124" i="2"/>
  <c r="AR129" i="2"/>
  <c r="C107" i="2"/>
  <c r="BH80" i="2"/>
  <c r="L109" i="2"/>
  <c r="AQ132" i="2"/>
  <c r="BL76" i="2"/>
  <c r="X195" i="2"/>
  <c r="AP222" i="2"/>
  <c r="L143" i="2"/>
  <c r="F213" i="2"/>
  <c r="O76" i="2"/>
  <c r="F90" i="2"/>
  <c r="B37" i="2"/>
  <c r="L44" i="2"/>
  <c r="M5" i="2"/>
  <c r="AO49" i="2"/>
  <c r="C211" i="2"/>
  <c r="O75" i="2"/>
  <c r="N93" i="2"/>
  <c r="BK218" i="2"/>
  <c r="N117" i="2"/>
  <c r="K200" i="2"/>
  <c r="AZ139" i="2"/>
  <c r="BK183" i="2"/>
  <c r="L13" i="2"/>
  <c r="AO39" i="2"/>
  <c r="BR55" i="2"/>
  <c r="AO12" i="2"/>
  <c r="O225" i="2"/>
  <c r="F46" i="2"/>
  <c r="AX14" i="2"/>
  <c r="B154" i="2"/>
  <c r="B210" i="2"/>
  <c r="C175" i="2"/>
  <c r="L18" i="2"/>
  <c r="O21" i="2"/>
  <c r="L49" i="2"/>
  <c r="BA87" i="2"/>
  <c r="C157" i="2"/>
  <c r="BT220" i="2"/>
  <c r="BR209" i="2"/>
  <c r="L198" i="2"/>
  <c r="AZ27" i="2"/>
  <c r="E148" i="2"/>
  <c r="BB170" i="2"/>
  <c r="D47" i="2"/>
  <c r="F160" i="2"/>
  <c r="BK80" i="2"/>
  <c r="F191" i="2"/>
  <c r="O20" i="2"/>
  <c r="BL183" i="2"/>
  <c r="BU40" i="2"/>
  <c r="BA172" i="2"/>
  <c r="C24" i="2"/>
  <c r="O116" i="2"/>
  <c r="BA106" i="2"/>
  <c r="B109" i="2"/>
  <c r="M94" i="2"/>
  <c r="BV100" i="2"/>
  <c r="AQ222" i="2"/>
  <c r="F27" i="2"/>
  <c r="AR77" i="2"/>
  <c r="K22" i="2"/>
  <c r="AO47" i="2"/>
  <c r="AZ97" i="2"/>
  <c r="AX81" i="2"/>
  <c r="D172" i="2"/>
  <c r="AO187" i="2"/>
  <c r="C105" i="2"/>
  <c r="K225" i="2"/>
  <c r="F115" i="2"/>
  <c r="F58" i="2"/>
  <c r="BV43" i="2"/>
  <c r="BL142" i="2"/>
  <c r="AP92" i="2"/>
  <c r="F162" i="2"/>
  <c r="BR202" i="2"/>
  <c r="AN42" i="2"/>
  <c r="BB151" i="2"/>
  <c r="O3" i="2"/>
  <c r="D198" i="2"/>
  <c r="BB23" i="2"/>
  <c r="N34" i="2"/>
  <c r="O211" i="2"/>
  <c r="O137" i="2"/>
  <c r="AO131" i="2"/>
  <c r="E58" i="2"/>
  <c r="E7" i="2"/>
  <c r="AZ140" i="2"/>
  <c r="M46" i="2"/>
  <c r="N83" i="2"/>
  <c r="AF90" i="2"/>
  <c r="BA6" i="2"/>
  <c r="B211" i="2"/>
  <c r="AP7" i="2"/>
  <c r="AO121" i="2"/>
  <c r="F51" i="2"/>
  <c r="AZ105" i="2"/>
  <c r="AP75" i="2"/>
  <c r="E20" i="2"/>
  <c r="L108" i="2"/>
  <c r="AZ202" i="2"/>
  <c r="BS24" i="2"/>
  <c r="L64" i="2"/>
  <c r="AQ8" i="2"/>
  <c r="AI3" i="2"/>
  <c r="D99" i="2"/>
  <c r="K67" i="2"/>
  <c r="E143" i="2"/>
  <c r="AO157" i="2"/>
  <c r="N112" i="2"/>
  <c r="E35" i="2"/>
  <c r="F146" i="2"/>
  <c r="AP216" i="2"/>
  <c r="AP118" i="2"/>
  <c r="BS156" i="2"/>
  <c r="BA218" i="2"/>
  <c r="AO124" i="2"/>
  <c r="AX41" i="2"/>
  <c r="N203" i="2"/>
  <c r="AO109" i="2"/>
  <c r="AQ161" i="2"/>
  <c r="N20" i="2"/>
  <c r="BR193" i="2"/>
  <c r="AN143" i="2"/>
  <c r="AP83" i="2"/>
  <c r="AP221" i="2"/>
  <c r="B186" i="2"/>
  <c r="BH193" i="2"/>
  <c r="O13" i="2"/>
  <c r="AN10" i="2"/>
  <c r="C68" i="2"/>
  <c r="O40" i="2"/>
  <c r="AO144" i="2"/>
  <c r="AO78" i="2"/>
  <c r="O152" i="2"/>
  <c r="N64" i="2"/>
  <c r="D208" i="2"/>
  <c r="B66" i="2"/>
  <c r="C209" i="2"/>
  <c r="AY37" i="2"/>
  <c r="BI130" i="2"/>
  <c r="BT193" i="2"/>
  <c r="AZ217" i="2"/>
  <c r="D107" i="2"/>
  <c r="BS98" i="2"/>
  <c r="AO229" i="2"/>
  <c r="AY63" i="2"/>
  <c r="AR47" i="2"/>
  <c r="N142" i="2"/>
  <c r="BI111" i="2"/>
  <c r="B180" i="2"/>
  <c r="L81" i="2"/>
  <c r="K189" i="2"/>
  <c r="BH108" i="2"/>
  <c r="AO123" i="2"/>
  <c r="L61" i="2"/>
  <c r="B12" i="2"/>
  <c r="BR144" i="2"/>
  <c r="M99" i="2"/>
  <c r="AZ44" i="2"/>
  <c r="BT217" i="2"/>
  <c r="E14" i="2"/>
  <c r="AR15" i="2"/>
  <c r="N224" i="2"/>
  <c r="C136" i="2"/>
  <c r="O99" i="2"/>
  <c r="L153" i="2"/>
  <c r="AR57" i="2"/>
  <c r="V199" i="2"/>
  <c r="K158" i="2"/>
  <c r="BL140" i="2"/>
  <c r="C91" i="2"/>
  <c r="E226" i="2"/>
  <c r="C35" i="2"/>
  <c r="AY56" i="2"/>
  <c r="C13" i="2"/>
  <c r="N219" i="2"/>
  <c r="AE3" i="2"/>
  <c r="AZ73" i="2"/>
  <c r="N227" i="2"/>
  <c r="BH106" i="2"/>
  <c r="D49" i="2"/>
  <c r="O144" i="2"/>
  <c r="D212" i="2"/>
  <c r="K34" i="2"/>
  <c r="N12" i="2"/>
  <c r="AX103" i="2"/>
  <c r="BH97" i="2"/>
  <c r="D88" i="2"/>
  <c r="K156" i="2"/>
  <c r="K60" i="2"/>
  <c r="AO203" i="2"/>
  <c r="E135" i="2"/>
  <c r="BL24" i="2"/>
  <c r="AQ177" i="2"/>
  <c r="BB51" i="2"/>
  <c r="L144" i="2"/>
  <c r="BJ206" i="2"/>
  <c r="D204" i="2"/>
  <c r="D22" i="2"/>
  <c r="AQ50" i="2"/>
  <c r="BL55" i="2"/>
  <c r="N23" i="2"/>
  <c r="AP170" i="2"/>
  <c r="B40" i="2"/>
  <c r="M96" i="2"/>
  <c r="E25" i="2"/>
  <c r="AZ8" i="2"/>
  <c r="L202" i="2"/>
  <c r="E113" i="2"/>
  <c r="AY215" i="2"/>
  <c r="BH150" i="2"/>
  <c r="L54" i="2"/>
  <c r="BJ47" i="2"/>
  <c r="D223" i="2"/>
  <c r="BL33" i="2"/>
  <c r="AN40" i="2"/>
  <c r="M209" i="2"/>
  <c r="D176" i="2"/>
  <c r="AZ224" i="2"/>
  <c r="BI223" i="2"/>
  <c r="L208" i="2"/>
  <c r="AN169" i="2"/>
  <c r="C21" i="2"/>
  <c r="F202" i="2"/>
  <c r="AQ69" i="2"/>
  <c r="L170" i="2"/>
  <c r="AX164" i="2"/>
  <c r="K19" i="2"/>
  <c r="L179" i="2"/>
  <c r="K159" i="2"/>
  <c r="M150" i="2"/>
  <c r="N82" i="2"/>
  <c r="AO168" i="2"/>
  <c r="AP95" i="2"/>
  <c r="AO190" i="2"/>
  <c r="AZ93" i="2"/>
  <c r="B26" i="2"/>
  <c r="D41" i="2"/>
  <c r="D20" i="2"/>
  <c r="N201" i="2"/>
  <c r="BI105" i="2"/>
  <c r="BH165" i="2"/>
  <c r="BA220" i="2"/>
  <c r="BR228" i="2"/>
  <c r="B60" i="2"/>
  <c r="BV6" i="2"/>
  <c r="AR58" i="2"/>
  <c r="AR127" i="2"/>
  <c r="AO61" i="2"/>
  <c r="AO202" i="2"/>
  <c r="AQ189" i="2"/>
  <c r="BA169" i="2"/>
  <c r="O159" i="2"/>
  <c r="N104" i="2"/>
  <c r="M41" i="2"/>
  <c r="AY151" i="2"/>
  <c r="BB6" i="2"/>
  <c r="AE201" i="2"/>
  <c r="E153" i="2"/>
  <c r="M185" i="2"/>
  <c r="M202" i="2"/>
  <c r="M51" i="2"/>
  <c r="AY44" i="2"/>
  <c r="AE212" i="2"/>
  <c r="M130" i="2"/>
  <c r="BL192" i="2"/>
  <c r="BI225" i="2"/>
  <c r="BB158" i="2"/>
  <c r="M77" i="2"/>
  <c r="AZ100" i="2"/>
  <c r="C165" i="2"/>
  <c r="AY57" i="2"/>
  <c r="E77" i="2"/>
  <c r="AP142" i="2"/>
  <c r="M127" i="2"/>
  <c r="C59" i="2"/>
  <c r="BA64" i="2"/>
  <c r="B103" i="2"/>
  <c r="Y147" i="2"/>
  <c r="N139" i="2"/>
  <c r="AP211" i="2"/>
  <c r="E198" i="2"/>
  <c r="AR107" i="2"/>
  <c r="D145" i="2"/>
  <c r="AY28" i="2"/>
  <c r="O50" i="2"/>
  <c r="M175" i="2"/>
  <c r="AZ182" i="2"/>
  <c r="BL70" i="2"/>
  <c r="F31" i="2"/>
  <c r="BL201" i="2"/>
  <c r="BB68" i="2"/>
  <c r="E54" i="2"/>
  <c r="BA30" i="2"/>
  <c r="AX88" i="2"/>
  <c r="M15" i="2"/>
  <c r="F188" i="2"/>
  <c r="L222" i="2"/>
  <c r="B102" i="2"/>
  <c r="E192" i="2"/>
  <c r="L173" i="2"/>
  <c r="B132" i="2"/>
  <c r="D62" i="2"/>
  <c r="M39" i="2"/>
  <c r="BK82" i="2"/>
  <c r="BA116" i="2"/>
  <c r="AY126" i="2"/>
  <c r="K63" i="2"/>
  <c r="N172" i="2"/>
  <c r="B71" i="2"/>
  <c r="C121" i="2"/>
  <c r="BH149" i="2"/>
  <c r="BA201" i="2"/>
  <c r="K104" i="2"/>
  <c r="BI229" i="2"/>
  <c r="BS132" i="2"/>
  <c r="X13" i="2"/>
  <c r="C7" i="2"/>
  <c r="AX32" i="2"/>
  <c r="F152" i="2"/>
  <c r="K140" i="2"/>
  <c r="E214" i="2"/>
  <c r="O128" i="2"/>
  <c r="N188" i="2"/>
  <c r="AY121" i="2"/>
  <c r="BT78" i="2"/>
  <c r="K59" i="2"/>
  <c r="O134" i="2"/>
  <c r="E224" i="2"/>
  <c r="O156" i="2"/>
  <c r="C208" i="2"/>
  <c r="AO141" i="2"/>
  <c r="L6" i="2"/>
  <c r="F139" i="2"/>
  <c r="BJ89" i="2"/>
  <c r="AZ75" i="2"/>
  <c r="BI3" i="2"/>
  <c r="BA103" i="2"/>
  <c r="D63" i="2"/>
  <c r="N124" i="2"/>
  <c r="N59" i="2"/>
  <c r="AQ113" i="2"/>
  <c r="C74" i="2"/>
  <c r="O118" i="2"/>
  <c r="AX99" i="2"/>
  <c r="E125" i="2"/>
  <c r="AZ18" i="2"/>
  <c r="AQ215" i="2"/>
  <c r="L165" i="2"/>
  <c r="BR21" i="2"/>
  <c r="BR64" i="2"/>
  <c r="E191" i="2"/>
  <c r="BI17" i="2"/>
  <c r="O35" i="2"/>
  <c r="BK130" i="2"/>
  <c r="M212" i="2"/>
  <c r="AO94" i="2"/>
  <c r="AN127" i="2"/>
  <c r="L28" i="2"/>
  <c r="BA207" i="2"/>
  <c r="AN185" i="2"/>
  <c r="AP172" i="2"/>
  <c r="K36" i="2"/>
  <c r="AY144" i="2"/>
  <c r="F114" i="2"/>
  <c r="AR60" i="2"/>
  <c r="BJ62" i="2"/>
  <c r="AP134" i="2"/>
  <c r="E126" i="2"/>
  <c r="AP10" i="2"/>
  <c r="F204" i="2"/>
  <c r="AO72" i="2"/>
  <c r="C82" i="2"/>
  <c r="AQ12" i="2"/>
  <c r="AX61" i="2"/>
  <c r="F106" i="2"/>
  <c r="M173" i="2"/>
  <c r="O102" i="2"/>
  <c r="AZ206" i="2"/>
  <c r="L57" i="2"/>
  <c r="E41" i="2"/>
  <c r="BJ172" i="2"/>
  <c r="F225" i="2"/>
  <c r="K222" i="2"/>
  <c r="C195" i="2"/>
  <c r="AP117" i="2"/>
  <c r="M84" i="2"/>
  <c r="BB72" i="2"/>
  <c r="BI127" i="2"/>
  <c r="B110" i="2"/>
  <c r="BS155" i="2"/>
  <c r="AX140" i="2"/>
  <c r="AP113" i="2"/>
  <c r="D181" i="2"/>
  <c r="AO154" i="2"/>
  <c r="AY20" i="2"/>
  <c r="BJ77" i="2"/>
  <c r="AX5" i="2"/>
  <c r="K211" i="2"/>
  <c r="E112" i="2"/>
  <c r="F158" i="2"/>
  <c r="O58" i="2"/>
  <c r="AY80" i="2"/>
  <c r="M106" i="2"/>
  <c r="N130" i="2"/>
  <c r="AR106" i="2"/>
  <c r="AX126" i="2"/>
  <c r="AZ153" i="2"/>
  <c r="BA84" i="2"/>
  <c r="BH40" i="2"/>
  <c r="D217" i="2"/>
  <c r="AX135" i="2"/>
  <c r="AR225" i="2"/>
  <c r="AO90" i="2"/>
  <c r="BH124" i="2"/>
  <c r="AN31" i="2"/>
  <c r="E211" i="2"/>
  <c r="B17" i="2"/>
  <c r="BA109" i="2"/>
  <c r="O223" i="2"/>
  <c r="K112" i="2"/>
  <c r="BR6" i="2"/>
  <c r="N192" i="2"/>
  <c r="E168" i="2"/>
  <c r="AO182" i="2"/>
  <c r="BK132" i="2"/>
  <c r="BL67" i="2"/>
  <c r="B90" i="2"/>
  <c r="E106" i="2"/>
  <c r="AR194" i="2"/>
  <c r="AP76" i="2"/>
  <c r="AQ118" i="2"/>
  <c r="M161" i="2"/>
  <c r="AO145" i="2"/>
  <c r="D23" i="2"/>
  <c r="C143" i="2"/>
  <c r="BI40" i="2"/>
  <c r="AX38" i="2"/>
  <c r="E202" i="2"/>
  <c r="BB13" i="2"/>
  <c r="B194" i="2"/>
  <c r="BL206" i="2"/>
  <c r="AR182" i="2"/>
  <c r="M8" i="2"/>
  <c r="L207" i="2"/>
  <c r="AO204" i="2"/>
  <c r="B124" i="2"/>
  <c r="E69" i="2"/>
  <c r="L80" i="2"/>
  <c r="D119" i="2"/>
  <c r="D224" i="2"/>
  <c r="B115" i="2"/>
  <c r="BT198" i="2"/>
  <c r="B224" i="2"/>
  <c r="AR105" i="2"/>
  <c r="Z210" i="2" l="1"/>
  <c r="C200" i="5" s="1"/>
  <c r="Z177" i="2"/>
  <c r="C172" i="5" s="1"/>
  <c r="Z130" i="2"/>
  <c r="C129" i="5" s="1"/>
  <c r="Z53" i="2"/>
  <c r="C51" i="5" s="1"/>
  <c r="Z71" i="2"/>
  <c r="C72" i="5" s="1"/>
  <c r="Z222" i="2"/>
  <c r="C222" i="5" s="1"/>
  <c r="Z14" i="2"/>
  <c r="C15" i="5" s="1"/>
  <c r="Z5" i="2"/>
  <c r="C6" i="5" s="1"/>
  <c r="Z108" i="2"/>
  <c r="C110" i="5" s="1"/>
  <c r="Z204" i="2"/>
  <c r="C205" i="5" s="1"/>
  <c r="Z194" i="2"/>
  <c r="C194" i="5" s="1"/>
  <c r="Z151" i="2"/>
  <c r="C151" i="5" s="1"/>
  <c r="Z189" i="2"/>
  <c r="C191" i="5" s="1"/>
  <c r="Z32" i="2"/>
  <c r="C38" i="5" s="1"/>
  <c r="Z100" i="2"/>
  <c r="C108" i="5" s="1"/>
  <c r="Z150" i="2"/>
  <c r="C149" i="5" s="1"/>
  <c r="Z126" i="2"/>
  <c r="C136" i="5" s="1"/>
  <c r="Z196" i="2"/>
  <c r="C197" i="5" s="1"/>
  <c r="Z30" i="2"/>
  <c r="C28" i="5" s="1"/>
  <c r="Z104" i="2"/>
  <c r="C109" i="5" s="1"/>
  <c r="Z80" i="2"/>
  <c r="C75" i="5" s="1"/>
  <c r="Z41" i="2"/>
  <c r="C46" i="5" s="1"/>
  <c r="Z95" i="2"/>
  <c r="C101" i="5" s="1"/>
  <c r="Z89" i="2"/>
  <c r="C91" i="5" s="1"/>
  <c r="Z170" i="2"/>
  <c r="C179" i="5" s="1"/>
  <c r="Z110" i="2"/>
  <c r="C111" i="5" s="1"/>
  <c r="Z35" i="2"/>
  <c r="C40" i="5" s="1"/>
  <c r="Z180" i="2"/>
  <c r="C164" i="5" s="1"/>
  <c r="Z139" i="2"/>
  <c r="C141" i="5" s="1"/>
  <c r="Z9" i="2"/>
  <c r="C11" i="5" s="1"/>
  <c r="Z217" i="2"/>
  <c r="C216" i="5" s="1"/>
  <c r="Z173" i="2"/>
  <c r="C171" i="5" s="1"/>
  <c r="Z107" i="2"/>
  <c r="C105" i="5" s="1"/>
  <c r="Z215" i="2"/>
  <c r="C208" i="5" s="1"/>
  <c r="Z33" i="2"/>
  <c r="C37" i="5" s="1"/>
  <c r="Z229" i="2"/>
  <c r="C230" i="5" s="1"/>
  <c r="Z147" i="2"/>
  <c r="C152" i="5" s="1"/>
  <c r="Z13" i="2"/>
  <c r="C14" i="5" s="1"/>
  <c r="Z158" i="2"/>
  <c r="C157" i="5" s="1"/>
  <c r="Z31" i="2"/>
  <c r="C34" i="5" s="1"/>
  <c r="Z27" i="2"/>
  <c r="C26" i="5" s="1"/>
  <c r="Z155" i="2"/>
  <c r="C161" i="5" s="1"/>
  <c r="Z219" i="2"/>
  <c r="C213" i="5" s="1"/>
  <c r="Z159" i="2"/>
  <c r="C160" i="5" s="1"/>
  <c r="Z102" i="2"/>
  <c r="C85" i="5" s="1"/>
  <c r="Z186" i="2"/>
  <c r="C184" i="5" s="1"/>
  <c r="Z174" i="2"/>
  <c r="C176" i="5" s="1"/>
  <c r="Z136" i="2"/>
  <c r="C128" i="5" s="1"/>
  <c r="Z76" i="2"/>
  <c r="C79" i="5" s="1"/>
  <c r="Z193" i="2"/>
  <c r="C195" i="5" s="1"/>
  <c r="Z49" i="2"/>
  <c r="C58" i="5" s="1"/>
  <c r="Z200" i="2"/>
  <c r="C202" i="5" s="1"/>
  <c r="Z106" i="2"/>
  <c r="C119" i="5" s="1"/>
  <c r="Z148" i="2"/>
  <c r="C147" i="5" s="1"/>
  <c r="Z4" i="2"/>
  <c r="C5" i="5" s="1"/>
  <c r="Z225" i="2"/>
  <c r="C229" i="5" s="1"/>
  <c r="Z227" i="2"/>
  <c r="C228" i="5" s="1"/>
  <c r="Z25" i="2"/>
  <c r="C27" i="5" s="1"/>
  <c r="Z10" i="2"/>
  <c r="C10" i="5" s="1"/>
  <c r="Z226" i="2"/>
  <c r="C223" i="5" s="1"/>
  <c r="Z69" i="2"/>
  <c r="C65" i="5" s="1"/>
  <c r="Z70" i="2"/>
  <c r="C71" i="5" s="1"/>
  <c r="Z221" i="2"/>
  <c r="C224" i="5" s="1"/>
  <c r="Z207" i="2"/>
  <c r="C210" i="5" s="1"/>
  <c r="Z209" i="2"/>
  <c r="C218" i="5" s="1"/>
  <c r="Z137" i="2"/>
  <c r="C137" i="5" s="1"/>
  <c r="Z205" i="2"/>
  <c r="C211" i="5" s="1"/>
  <c r="Z142" i="2"/>
  <c r="C144" i="5" s="1"/>
  <c r="Z114" i="2"/>
  <c r="C114" i="5" s="1"/>
  <c r="Z86" i="2"/>
  <c r="C86" i="5" s="1"/>
  <c r="Z84" i="2"/>
  <c r="C84" i="5" s="1"/>
  <c r="Z94" i="2"/>
  <c r="C90" i="5" s="1"/>
  <c r="Z72" i="2"/>
  <c r="C67" i="5" s="1"/>
  <c r="Z124" i="2"/>
  <c r="C124" i="5" s="1"/>
  <c r="Z6" i="2"/>
  <c r="C7" i="5" s="1"/>
  <c r="Z128" i="2"/>
  <c r="C127" i="5" s="1"/>
  <c r="Z59" i="2"/>
  <c r="C54" i="5" s="1"/>
  <c r="Z7" i="2"/>
  <c r="C8" i="5" s="1"/>
  <c r="Z64" i="2"/>
  <c r="C63" i="5" s="1"/>
  <c r="Z47" i="2"/>
  <c r="C49" i="5" s="1"/>
  <c r="Z26" i="2"/>
  <c r="C23" i="5" s="1"/>
  <c r="Z96" i="2"/>
  <c r="C96" i="5" s="1"/>
  <c r="Z188" i="2"/>
  <c r="C185" i="5" s="1"/>
  <c r="Z34" i="2"/>
  <c r="C35" i="5" s="1"/>
  <c r="Z68" i="2"/>
  <c r="C62" i="5" s="1"/>
  <c r="Z62" i="2"/>
  <c r="C61" i="5" s="1"/>
  <c r="Z113" i="2"/>
  <c r="C112" i="5" s="1"/>
  <c r="Z39" i="2"/>
  <c r="C33" i="5" s="1"/>
  <c r="Z111" i="2"/>
  <c r="C113" i="5" s="1"/>
  <c r="Z168" i="2"/>
  <c r="C175" i="5" s="1"/>
  <c r="Z57" i="2"/>
  <c r="C59" i="5" s="1"/>
  <c r="Z38" i="2"/>
  <c r="C32" i="5" s="1"/>
  <c r="Z78" i="2"/>
  <c r="C80" i="5" s="1"/>
  <c r="Z75" i="2"/>
  <c r="C76" i="5" s="1"/>
  <c r="Z65" i="2"/>
  <c r="C66" i="5" s="1"/>
  <c r="Z183" i="2"/>
  <c r="C188" i="5" s="1"/>
  <c r="Z91" i="2"/>
  <c r="C82" i="5" s="1"/>
  <c r="Z162" i="2"/>
  <c r="C165" i="5" s="1"/>
  <c r="Z153" i="2"/>
  <c r="C162" i="5" s="1"/>
  <c r="Z40" i="2"/>
  <c r="C41" i="5" s="1"/>
  <c r="Z24" i="2"/>
  <c r="C25" i="5" s="1"/>
  <c r="Z48" i="2"/>
  <c r="C45" i="5" s="1"/>
  <c r="Z169" i="2"/>
  <c r="C169" i="5" s="1"/>
  <c r="Z178" i="2"/>
  <c r="C178" i="5" s="1"/>
  <c r="Z165" i="2"/>
  <c r="C168" i="5" s="1"/>
  <c r="Z145" i="2"/>
  <c r="C146" i="5" s="1"/>
  <c r="Z216" i="2"/>
  <c r="C220" i="5" s="1"/>
  <c r="Z85" i="2"/>
  <c r="C92" i="5" s="1"/>
  <c r="Z83" i="2"/>
  <c r="C81" i="5" s="1"/>
  <c r="Z192" i="2"/>
  <c r="C193" i="5" s="1"/>
  <c r="Z115" i="2"/>
  <c r="C115" i="5" s="1"/>
  <c r="Z58" i="2"/>
  <c r="C60" i="5" s="1"/>
  <c r="Z176" i="2"/>
  <c r="C177" i="5" s="1"/>
  <c r="Z122" i="2"/>
  <c r="C123" i="5" s="1"/>
  <c r="Z213" i="2"/>
  <c r="C219" i="5" s="1"/>
  <c r="Z22" i="2"/>
  <c r="C24" i="5" s="1"/>
  <c r="Z28" i="2"/>
  <c r="C31" i="5" s="1"/>
  <c r="Z181" i="2"/>
  <c r="C182" i="5" s="1"/>
  <c r="Z121" i="2"/>
  <c r="C122" i="5" s="1"/>
  <c r="Z166" i="2"/>
  <c r="C166" i="5" s="1"/>
  <c r="Z21" i="2"/>
  <c r="C22" i="5" s="1"/>
  <c r="Z119" i="2"/>
  <c r="C120" i="5" s="1"/>
  <c r="Z127" i="2"/>
  <c r="C131" i="5" s="1"/>
  <c r="Z77" i="2"/>
  <c r="C98" i="5" s="1"/>
  <c r="Z132" i="2"/>
  <c r="C138" i="5" s="1"/>
  <c r="Z109" i="2"/>
  <c r="C106" i="5" s="1"/>
  <c r="Z157" i="2"/>
  <c r="C155" i="5" s="1"/>
  <c r="Z118" i="2"/>
  <c r="C117" i="5" s="1"/>
  <c r="Z135" i="2"/>
  <c r="C132" i="5" s="1"/>
  <c r="Z8" i="2"/>
  <c r="C9" i="5" s="1"/>
  <c r="Z195" i="2"/>
  <c r="C196" i="5" s="1"/>
  <c r="Z129" i="2"/>
  <c r="C133" i="5" s="1"/>
  <c r="Z87" i="2"/>
  <c r="C95" i="5" s="1"/>
  <c r="Z99" i="2"/>
  <c r="C97" i="5" s="1"/>
  <c r="Z203" i="2"/>
  <c r="C206" i="5" s="1"/>
  <c r="Z123" i="2"/>
  <c r="C125" i="5" s="1"/>
  <c r="Z88" i="2"/>
  <c r="C89" i="5" s="1"/>
  <c r="Z15" i="2"/>
  <c r="C16" i="5" s="1"/>
  <c r="Z214" i="2"/>
  <c r="C217" i="5" s="1"/>
  <c r="Z154" i="2"/>
  <c r="C154" i="5" s="1"/>
  <c r="Z171" i="2"/>
  <c r="C173" i="5" s="1"/>
  <c r="Z206" i="2"/>
  <c r="C215" i="5" s="1"/>
  <c r="Z175" i="2"/>
  <c r="C180" i="5" s="1"/>
  <c r="Z60" i="2"/>
  <c r="C77" i="5" s="1"/>
  <c r="Z61" i="2"/>
  <c r="C70" i="5" s="1"/>
  <c r="Z172" i="2"/>
  <c r="C174" i="5" s="1"/>
  <c r="Z51" i="2"/>
  <c r="C55" i="5" s="1"/>
  <c r="Z223" i="2"/>
  <c r="C225" i="5" s="1"/>
  <c r="Z144" i="2"/>
  <c r="C145" i="5" s="1"/>
  <c r="Z79" i="2"/>
  <c r="C73" i="5" s="1"/>
  <c r="Z16" i="2"/>
  <c r="C20" i="5" s="1"/>
  <c r="Z140" i="2"/>
  <c r="C142" i="5" s="1"/>
  <c r="Z218" i="2"/>
  <c r="C214" i="5" s="1"/>
  <c r="Z43" i="2"/>
  <c r="C44" i="5" s="1"/>
  <c r="Z149" i="2"/>
  <c r="C148" i="5" s="1"/>
  <c r="Z20" i="2"/>
  <c r="C21" i="5" s="1"/>
  <c r="Z92" i="2"/>
  <c r="C103" i="5" s="1"/>
  <c r="Z182" i="2"/>
  <c r="C190" i="5" s="1"/>
  <c r="Z54" i="2"/>
  <c r="C56" i="5" s="1"/>
  <c r="Z152" i="2"/>
  <c r="C153" i="5" s="1"/>
  <c r="Z44" i="2"/>
  <c r="C47" i="5" s="1"/>
  <c r="Z167" i="2"/>
  <c r="C170" i="5" s="1"/>
  <c r="Z52" i="2"/>
  <c r="C57" i="5" s="1"/>
  <c r="Z11" i="2"/>
  <c r="C12" i="5" s="1"/>
  <c r="Z120" i="2"/>
  <c r="C121" i="5" s="1"/>
  <c r="Z160" i="2"/>
  <c r="C158" i="5" s="1"/>
  <c r="Z18" i="2"/>
  <c r="C18" i="5" s="1"/>
  <c r="Z117" i="2"/>
  <c r="C118" i="5" s="1"/>
  <c r="Z191" i="2"/>
  <c r="C186" i="5" s="1"/>
  <c r="Z197" i="2"/>
  <c r="C198" i="5" s="1"/>
  <c r="Z90" i="2"/>
  <c r="C94" i="5" s="1"/>
  <c r="Z37" i="2"/>
  <c r="C36" i="5" s="1"/>
  <c r="Z190" i="2"/>
  <c r="C192" i="5" s="1"/>
  <c r="Z161" i="2"/>
  <c r="C156" i="5" s="1"/>
  <c r="Z23" i="2"/>
  <c r="C30" i="5" s="1"/>
  <c r="Z198" i="2"/>
  <c r="C204" i="5" s="1"/>
  <c r="Z81" i="2"/>
  <c r="C88" i="5" s="1"/>
  <c r="Z184" i="2"/>
  <c r="C187" i="5" s="1"/>
  <c r="Z220" i="2"/>
  <c r="C207" i="5" s="1"/>
  <c r="Z50" i="2"/>
  <c r="C52" i="5" s="1"/>
  <c r="Z138" i="2"/>
  <c r="C140" i="5" s="1"/>
  <c r="Z112" i="2"/>
  <c r="C107" i="5" s="1"/>
  <c r="Z125" i="2"/>
  <c r="C126" i="5" s="1"/>
  <c r="Z55" i="2"/>
  <c r="C50" i="5" s="1"/>
  <c r="Z97" i="2"/>
  <c r="C100" i="5" s="1"/>
  <c r="Z103" i="2"/>
  <c r="C104" i="5" s="1"/>
  <c r="Z211" i="2"/>
  <c r="C221" i="5" s="1"/>
  <c r="Z199" i="2"/>
  <c r="C203" i="5" s="1"/>
  <c r="Z45" i="2"/>
  <c r="C48" i="5" s="1"/>
  <c r="Z105" i="2"/>
  <c r="C102" i="5" s="1"/>
  <c r="Z29" i="2"/>
  <c r="C29" i="5" s="1"/>
  <c r="Z146" i="2"/>
  <c r="C150" i="5" s="1"/>
  <c r="Z143" i="2"/>
  <c r="C143" i="5" s="1"/>
  <c r="Z67" i="2"/>
  <c r="C64" i="5" s="1"/>
  <c r="Z134" i="2"/>
  <c r="C134" i="5" s="1"/>
  <c r="Z46" i="2"/>
  <c r="C39" i="5" s="1"/>
  <c r="Z12" i="2"/>
  <c r="C13" i="5" s="1"/>
  <c r="Z131" i="2"/>
  <c r="C130" i="5" s="1"/>
  <c r="Z73" i="2"/>
  <c r="C78" i="5" s="1"/>
  <c r="Z179" i="2"/>
  <c r="C181" i="5" s="1"/>
  <c r="Z63" i="2"/>
  <c r="C68" i="5" s="1"/>
  <c r="Z164" i="2"/>
  <c r="C163" i="5" s="1"/>
  <c r="Z17" i="2"/>
  <c r="C17" i="5" s="1"/>
  <c r="Z56" i="2"/>
  <c r="C53" i="5" s="1"/>
  <c r="Z93" i="2"/>
  <c r="C93" i="5" s="1"/>
  <c r="Z66" i="2"/>
  <c r="C69" i="5" s="1"/>
  <c r="Z42" i="2"/>
  <c r="C43" i="5" s="1"/>
  <c r="Z36" i="2"/>
  <c r="C42" i="5" s="1"/>
  <c r="Z202" i="2"/>
  <c r="C201" i="5" s="1"/>
  <c r="Z163" i="2"/>
  <c r="C167" i="5" s="1"/>
  <c r="Z74" i="2"/>
  <c r="C74" i="5" s="1"/>
  <c r="Z208" i="2"/>
  <c r="C209" i="5" s="1"/>
  <c r="Z133" i="2"/>
  <c r="C135" i="5" s="1"/>
  <c r="Z116" i="2"/>
  <c r="C116" i="5" s="1"/>
  <c r="Z101" i="2"/>
  <c r="C99" i="5" s="1"/>
  <c r="Z156" i="2"/>
  <c r="C159" i="5" s="1"/>
  <c r="Z187" i="2"/>
  <c r="C183" i="5" s="1"/>
  <c r="Z212" i="2"/>
  <c r="C212" i="5" s="1"/>
  <c r="Z185" i="2"/>
  <c r="C189" i="5" s="1"/>
  <c r="Z141" i="2"/>
  <c r="C139" i="5" s="1"/>
  <c r="Z98" i="2"/>
  <c r="C87" i="5" s="1"/>
  <c r="Z228" i="2"/>
  <c r="C227" i="5" s="1"/>
  <c r="Z224" i="2"/>
  <c r="C226" i="5" s="1"/>
  <c r="Z201" i="2"/>
  <c r="C199" i="5" s="1"/>
  <c r="Z82" i="2"/>
  <c r="C83" i="5" s="1"/>
  <c r="Z19" i="2"/>
  <c r="C19" i="5" s="1"/>
  <c r="Z3" i="2"/>
  <c r="C4" i="5" s="1"/>
  <c r="H224" i="2"/>
  <c r="G224" i="2"/>
  <c r="C226" i="4" s="1"/>
  <c r="G115" i="2"/>
  <c r="C115" i="4" s="1"/>
  <c r="H115" i="2"/>
  <c r="G124" i="2"/>
  <c r="C124" i="4" s="1"/>
  <c r="H124" i="2"/>
  <c r="G194" i="2"/>
  <c r="C194" i="4" s="1"/>
  <c r="H194" i="2"/>
  <c r="BD38" i="2"/>
  <c r="BE38" i="2"/>
  <c r="H90" i="2"/>
  <c r="G90" i="2"/>
  <c r="C94" i="4" s="1"/>
  <c r="BY6" i="2"/>
  <c r="BX6" i="2"/>
  <c r="Q112" i="2"/>
  <c r="P112" i="2"/>
  <c r="G17" i="2"/>
  <c r="C17" i="4" s="1"/>
  <c r="H17" i="2"/>
  <c r="AU31" i="2"/>
  <c r="AT31" i="2"/>
  <c r="BO124" i="2"/>
  <c r="BN124" i="2"/>
  <c r="BD135" i="2"/>
  <c r="BE135" i="2"/>
  <c r="BN40" i="2"/>
  <c r="BO40" i="2"/>
  <c r="BE126" i="2"/>
  <c r="BD126" i="2"/>
  <c r="Q211" i="2"/>
  <c r="P211" i="2"/>
  <c r="D221" i="5" s="1"/>
  <c r="BD5" i="2"/>
  <c r="BE5" i="2"/>
  <c r="BE140" i="2"/>
  <c r="BD140" i="2"/>
  <c r="G110" i="2"/>
  <c r="C111" i="4" s="1"/>
  <c r="H110" i="2"/>
  <c r="Q222" i="2"/>
  <c r="P222" i="2"/>
  <c r="D222" i="5" s="1"/>
  <c r="BE61" i="2"/>
  <c r="BD61" i="2"/>
  <c r="Q36" i="2"/>
  <c r="P36" i="2"/>
  <c r="AU185" i="2"/>
  <c r="AT185" i="2"/>
  <c r="AU127" i="2"/>
  <c r="AT127" i="2"/>
  <c r="BX64" i="2"/>
  <c r="BY64" i="2"/>
  <c r="BY21" i="2"/>
  <c r="BX21" i="2"/>
  <c r="BE99" i="2"/>
  <c r="BD99" i="2"/>
  <c r="Q59" i="2"/>
  <c r="P59" i="2"/>
  <c r="D54" i="5" s="1"/>
  <c r="Q140" i="2"/>
  <c r="P140" i="2"/>
  <c r="D142" i="5" s="1"/>
  <c r="BD32" i="2"/>
  <c r="BE32" i="2"/>
  <c r="Q104" i="2"/>
  <c r="P104" i="2"/>
  <c r="BN149" i="2"/>
  <c r="BO149" i="2"/>
  <c r="H71" i="2"/>
  <c r="G71" i="2"/>
  <c r="C72" i="4" s="1"/>
  <c r="Q63" i="2"/>
  <c r="P63" i="2"/>
  <c r="D68" i="5" s="1"/>
  <c r="G132" i="2"/>
  <c r="C138" i="4" s="1"/>
  <c r="H132" i="2"/>
  <c r="H102" i="2"/>
  <c r="G102" i="2"/>
  <c r="C85" i="4" s="1"/>
  <c r="BE88" i="2"/>
  <c r="BD88" i="2"/>
  <c r="G103" i="2"/>
  <c r="C104" i="4" s="1"/>
  <c r="H103" i="2"/>
  <c r="AJ212" i="2"/>
  <c r="G212" i="4" s="1"/>
  <c r="AK212" i="2"/>
  <c r="AJ201" i="2"/>
  <c r="G199" i="4" s="1"/>
  <c r="AK201" i="2"/>
  <c r="H60" i="2"/>
  <c r="G60" i="2"/>
  <c r="C77" i="4" s="1"/>
  <c r="BY228" i="2"/>
  <c r="BX228" i="2"/>
  <c r="BN165" i="2"/>
  <c r="BO165" i="2"/>
  <c r="H26" i="2"/>
  <c r="G26" i="2"/>
  <c r="C23" i="4" s="1"/>
  <c r="Q159" i="2"/>
  <c r="P159" i="2"/>
  <c r="D160" i="5" s="1"/>
  <c r="Q19" i="2"/>
  <c r="P19" i="2"/>
  <c r="D19" i="5" s="1"/>
  <c r="BD164" i="2"/>
  <c r="BE164" i="2"/>
  <c r="AT169" i="2"/>
  <c r="AU169" i="2"/>
  <c r="AT40" i="2"/>
  <c r="AU40" i="2"/>
  <c r="BO150" i="2"/>
  <c r="BN150" i="2"/>
  <c r="G40" i="2"/>
  <c r="C41" i="4" s="1"/>
  <c r="H40" i="2"/>
  <c r="Q60" i="2"/>
  <c r="P60" i="2"/>
  <c r="P156" i="2"/>
  <c r="D159" i="5" s="1"/>
  <c r="Q156" i="2"/>
  <c r="BN97" i="2"/>
  <c r="BO97" i="2"/>
  <c r="BD103" i="2"/>
  <c r="BE103" i="2"/>
  <c r="P34" i="2"/>
  <c r="D35" i="5" s="1"/>
  <c r="Q34" i="2"/>
  <c r="BO106" i="2"/>
  <c r="BN106" i="2"/>
  <c r="AK3" i="2"/>
  <c r="AJ3" i="2"/>
  <c r="G4" i="4" s="1"/>
  <c r="P158" i="2"/>
  <c r="D157" i="5" s="1"/>
  <c r="Q158" i="2"/>
  <c r="BY144" i="2"/>
  <c r="BX144" i="2"/>
  <c r="G12" i="2"/>
  <c r="C13" i="4" s="1"/>
  <c r="H12" i="2"/>
  <c r="BO108" i="2"/>
  <c r="BN108" i="2"/>
  <c r="P189" i="2"/>
  <c r="Q189" i="2"/>
  <c r="G180" i="2"/>
  <c r="C164" i="4" s="1"/>
  <c r="H180" i="2"/>
  <c r="G66" i="2"/>
  <c r="C69" i="4" s="1"/>
  <c r="H66" i="2"/>
  <c r="AT10" i="2"/>
  <c r="AU10" i="2"/>
  <c r="BO193" i="2"/>
  <c r="BN193" i="2"/>
  <c r="G186" i="2"/>
  <c r="C184" i="4" s="1"/>
  <c r="H186" i="2"/>
  <c r="AU143" i="2"/>
  <c r="AT143" i="2"/>
  <c r="BX193" i="2"/>
  <c r="BY193" i="2"/>
  <c r="BE41" i="2"/>
  <c r="BD41" i="2"/>
  <c r="Q67" i="2"/>
  <c r="P67" i="2"/>
  <c r="D64" i="5" s="1"/>
  <c r="G211" i="2"/>
  <c r="C221" i="4" s="1"/>
  <c r="H211" i="2"/>
  <c r="AU42" i="2"/>
  <c r="AT42" i="2"/>
  <c r="BY202" i="2"/>
  <c r="BX202" i="2"/>
  <c r="Q225" i="2"/>
  <c r="P225" i="2"/>
  <c r="D229" i="5" s="1"/>
  <c r="BE81" i="2"/>
  <c r="BD81" i="2"/>
  <c r="P22" i="2"/>
  <c r="Q22" i="2"/>
  <c r="H109" i="2"/>
  <c r="G109" i="2"/>
  <c r="C106" i="4" s="1"/>
  <c r="BY209" i="2"/>
  <c r="BX209" i="2"/>
  <c r="H210" i="2"/>
  <c r="G210" i="2"/>
  <c r="C200" i="4" s="1"/>
  <c r="G154" i="2"/>
  <c r="C154" i="4" s="1"/>
  <c r="H154" i="2"/>
  <c r="BE14" i="2"/>
  <c r="BD14" i="2"/>
  <c r="BX55" i="2"/>
  <c r="BY55" i="2"/>
  <c r="Q200" i="2"/>
  <c r="P200" i="2"/>
  <c r="D202" i="5" s="1"/>
  <c r="G37" i="2"/>
  <c r="C36" i="4" s="1"/>
  <c r="H37" i="2"/>
  <c r="BO80" i="2"/>
  <c r="BN80" i="2"/>
  <c r="Q74" i="2"/>
  <c r="P74" i="2"/>
  <c r="BD120" i="2"/>
  <c r="BE120" i="2"/>
  <c r="AT161" i="2"/>
  <c r="AU161" i="2"/>
  <c r="H54" i="2"/>
  <c r="G54" i="2"/>
  <c r="C56" i="4" s="1"/>
  <c r="H151" i="2"/>
  <c r="G151" i="2"/>
  <c r="C151" i="4" s="1"/>
  <c r="H159" i="2"/>
  <c r="G159" i="2"/>
  <c r="C160" i="4" s="1"/>
  <c r="Q78" i="2"/>
  <c r="P78" i="2"/>
  <c r="D80" i="5" s="1"/>
  <c r="AU63" i="2"/>
  <c r="AT63" i="2"/>
  <c r="AU67" i="2"/>
  <c r="AT67" i="2"/>
  <c r="G49" i="2"/>
  <c r="C58" i="4" s="1"/>
  <c r="H49" i="2"/>
  <c r="P190" i="2"/>
  <c r="D192" i="5" s="1"/>
  <c r="Q190" i="2"/>
  <c r="Q137" i="2"/>
  <c r="P137" i="2"/>
  <c r="D137" i="5" s="1"/>
  <c r="AU139" i="2"/>
  <c r="AT139" i="2"/>
  <c r="P162" i="2"/>
  <c r="D165" i="5" s="1"/>
  <c r="Q162" i="2"/>
  <c r="AT133" i="2"/>
  <c r="AU133" i="2"/>
  <c r="AU9" i="2"/>
  <c r="AT9" i="2"/>
  <c r="P46" i="2"/>
  <c r="D39" i="5" s="1"/>
  <c r="Q46" i="2"/>
  <c r="Q129" i="2"/>
  <c r="P129" i="2"/>
  <c r="BD188" i="2"/>
  <c r="BE188" i="2"/>
  <c r="AU121" i="2"/>
  <c r="AT121" i="2"/>
  <c r="H73" i="2"/>
  <c r="G73" i="2"/>
  <c r="C78" i="4" s="1"/>
  <c r="BD163" i="2"/>
  <c r="BE163" i="2"/>
  <c r="AT228" i="2"/>
  <c r="AU228" i="2"/>
  <c r="BE169" i="2"/>
  <c r="BD169" i="2"/>
  <c r="AT188" i="2"/>
  <c r="AU188" i="2"/>
  <c r="AT8" i="2"/>
  <c r="AU8" i="2"/>
  <c r="AU220" i="2"/>
  <c r="AT220" i="2"/>
  <c r="H225" i="2"/>
  <c r="G225" i="2"/>
  <c r="C229" i="4" s="1"/>
  <c r="AT167" i="2"/>
  <c r="AU167" i="2"/>
  <c r="Q107" i="2"/>
  <c r="P107" i="2"/>
  <c r="D105" i="5" s="1"/>
  <c r="P134" i="2"/>
  <c r="D134" i="5" s="1"/>
  <c r="Q134" i="2"/>
  <c r="AK37" i="2"/>
  <c r="AJ37" i="2"/>
  <c r="G36" i="4" s="1"/>
  <c r="G213" i="2"/>
  <c r="C219" i="4" s="1"/>
  <c r="H213" i="2"/>
  <c r="H181" i="2"/>
  <c r="G181" i="2"/>
  <c r="C182" i="4" s="1"/>
  <c r="BE100" i="2"/>
  <c r="BD100" i="2"/>
  <c r="BY219" i="2"/>
  <c r="BX219" i="2"/>
  <c r="G22" i="2"/>
  <c r="C24" i="4" s="1"/>
  <c r="H22" i="2"/>
  <c r="G8" i="2"/>
  <c r="C9" i="4" s="1"/>
  <c r="H8" i="2"/>
  <c r="Q173" i="2"/>
  <c r="P173" i="2"/>
  <c r="Q227" i="2"/>
  <c r="P227" i="2"/>
  <c r="D228" i="5" s="1"/>
  <c r="H51" i="2"/>
  <c r="G51" i="2"/>
  <c r="C55" i="4" s="1"/>
  <c r="H104" i="2"/>
  <c r="G104" i="2"/>
  <c r="C109" i="4" s="1"/>
  <c r="BD23" i="2"/>
  <c r="BE23" i="2"/>
  <c r="G33" i="2"/>
  <c r="C37" i="4" s="1"/>
  <c r="H33" i="2"/>
  <c r="AU226" i="2"/>
  <c r="AT226" i="2"/>
  <c r="G31" i="2"/>
  <c r="C34" i="4" s="1"/>
  <c r="H31" i="2"/>
  <c r="BN30" i="2"/>
  <c r="BO30" i="2"/>
  <c r="Q182" i="2"/>
  <c r="P182" i="2"/>
  <c r="P209" i="2"/>
  <c r="Q209" i="2"/>
  <c r="G86" i="2"/>
  <c r="C86" i="4" s="1"/>
  <c r="H86" i="2"/>
  <c r="BO117" i="2"/>
  <c r="BN117" i="2"/>
  <c r="BE58" i="2"/>
  <c r="BD58" i="2"/>
  <c r="AT135" i="2"/>
  <c r="AU135" i="2"/>
  <c r="BN116" i="2"/>
  <c r="BO116" i="2"/>
  <c r="AU29" i="2"/>
  <c r="AT29" i="2"/>
  <c r="AU138" i="2"/>
  <c r="AT138" i="2"/>
  <c r="BE137" i="2"/>
  <c r="BD137" i="2"/>
  <c r="BE220" i="2"/>
  <c r="BD220" i="2"/>
  <c r="BN93" i="2"/>
  <c r="BO93" i="2"/>
  <c r="AT7" i="2"/>
  <c r="AU7" i="2"/>
  <c r="G119" i="2"/>
  <c r="C120" i="4" s="1"/>
  <c r="H119" i="2"/>
  <c r="BE219" i="2"/>
  <c r="BD219" i="2"/>
  <c r="BY137" i="2"/>
  <c r="BX137" i="2"/>
  <c r="BO122" i="2"/>
  <c r="BN122" i="2"/>
  <c r="G78" i="2"/>
  <c r="C80" i="4" s="1"/>
  <c r="H78" i="2"/>
  <c r="P7" i="2"/>
  <c r="D8" i="5" s="1"/>
  <c r="Q7" i="2"/>
  <c r="BO105" i="2"/>
  <c r="BN105" i="2"/>
  <c r="G32" i="2"/>
  <c r="C38" i="4" s="1"/>
  <c r="H32" i="2"/>
  <c r="BN208" i="2"/>
  <c r="BO208" i="2"/>
  <c r="BN188" i="2"/>
  <c r="BO188" i="2"/>
  <c r="BO76" i="2"/>
  <c r="BN76" i="2"/>
  <c r="BO223" i="2"/>
  <c r="BN223" i="2"/>
  <c r="BN9" i="2"/>
  <c r="BO9" i="2"/>
  <c r="G143" i="2"/>
  <c r="C143" i="4" s="1"/>
  <c r="H143" i="2"/>
  <c r="H80" i="2"/>
  <c r="G80" i="2"/>
  <c r="C75" i="4" s="1"/>
  <c r="H98" i="2"/>
  <c r="G98" i="2"/>
  <c r="C87" i="4" s="1"/>
  <c r="BY177" i="2"/>
  <c r="BX177" i="2"/>
  <c r="AU69" i="2"/>
  <c r="AT69" i="2"/>
  <c r="G209" i="2"/>
  <c r="C218" i="4" s="1"/>
  <c r="H209" i="2"/>
  <c r="AU6" i="2"/>
  <c r="AT6" i="2"/>
  <c r="H149" i="2"/>
  <c r="G149" i="2"/>
  <c r="C148" i="4" s="1"/>
  <c r="G77" i="2"/>
  <c r="C98" i="4" s="1"/>
  <c r="H77" i="2"/>
  <c r="AT41" i="2"/>
  <c r="AU41" i="2"/>
  <c r="BN94" i="2"/>
  <c r="BO94" i="2"/>
  <c r="P57" i="2"/>
  <c r="Q57" i="2"/>
  <c r="AT58" i="2"/>
  <c r="AU58" i="2"/>
  <c r="AT147" i="2"/>
  <c r="AU147" i="2"/>
  <c r="BY207" i="2"/>
  <c r="BX207" i="2"/>
  <c r="AU216" i="2"/>
  <c r="AT216" i="2"/>
  <c r="G20" i="2"/>
  <c r="C21" i="4" s="1"/>
  <c r="H20" i="2"/>
  <c r="G228" i="2"/>
  <c r="C227" i="4" s="1"/>
  <c r="H228" i="2"/>
  <c r="H221" i="2"/>
  <c r="G221" i="2"/>
  <c r="C224" i="4" s="1"/>
  <c r="BD203" i="2"/>
  <c r="BE203" i="2"/>
  <c r="G36" i="2"/>
  <c r="C42" i="4" s="1"/>
  <c r="H36" i="2"/>
  <c r="H204" i="2"/>
  <c r="G204" i="2"/>
  <c r="C205" i="4" s="1"/>
  <c r="AU206" i="2"/>
  <c r="AT206" i="2"/>
  <c r="G163" i="2"/>
  <c r="C167" i="4" s="1"/>
  <c r="H163" i="2"/>
  <c r="BD132" i="2"/>
  <c r="BE132" i="2"/>
  <c r="BD182" i="2"/>
  <c r="BE182" i="2"/>
  <c r="H95" i="2"/>
  <c r="G95" i="2"/>
  <c r="C101" i="4" s="1"/>
  <c r="BN201" i="2"/>
  <c r="BO201" i="2"/>
  <c r="Q186" i="2"/>
  <c r="P186" i="2"/>
  <c r="D184" i="5" s="1"/>
  <c r="AT114" i="2"/>
  <c r="AU114" i="2"/>
  <c r="Q199" i="2"/>
  <c r="P199" i="2"/>
  <c r="D203" i="5" s="1"/>
  <c r="H121" i="2"/>
  <c r="G121" i="2"/>
  <c r="C122" i="4" s="1"/>
  <c r="Q221" i="2"/>
  <c r="P221" i="2"/>
  <c r="BO25" i="2"/>
  <c r="BN25" i="2"/>
  <c r="Q177" i="2"/>
  <c r="P177" i="2"/>
  <c r="D172" i="5" s="1"/>
  <c r="G107" i="2"/>
  <c r="C105" i="4" s="1"/>
  <c r="H107" i="2"/>
  <c r="G179" i="2"/>
  <c r="C181" i="4" s="1"/>
  <c r="H179" i="2"/>
  <c r="P121" i="2"/>
  <c r="D122" i="5" s="1"/>
  <c r="Q121" i="2"/>
  <c r="G190" i="2"/>
  <c r="C192" i="4" s="1"/>
  <c r="H190" i="2"/>
  <c r="Q89" i="2"/>
  <c r="P89" i="2"/>
  <c r="BE147" i="2"/>
  <c r="BD147" i="2"/>
  <c r="BE121" i="2"/>
  <c r="BD121" i="2"/>
  <c r="Q124" i="2"/>
  <c r="P124" i="2"/>
  <c r="D124" i="5" s="1"/>
  <c r="BD7" i="2"/>
  <c r="BE7" i="2"/>
  <c r="G34" i="2"/>
  <c r="C35" i="4" s="1"/>
  <c r="H34" i="2"/>
  <c r="AJ89" i="2"/>
  <c r="G91" i="4" s="1"/>
  <c r="AK89" i="2"/>
  <c r="Q55" i="2"/>
  <c r="P55" i="2"/>
  <c r="BN5" i="2"/>
  <c r="BO5" i="2"/>
  <c r="H57" i="2"/>
  <c r="G57" i="2"/>
  <c r="C59" i="4" s="1"/>
  <c r="AT142" i="2"/>
  <c r="AU142" i="2"/>
  <c r="AT182" i="2"/>
  <c r="AU182" i="2"/>
  <c r="Q205" i="2"/>
  <c r="P205" i="2"/>
  <c r="D211" i="5" s="1"/>
  <c r="P51" i="2"/>
  <c r="Q51" i="2"/>
  <c r="P77" i="2"/>
  <c r="Q77" i="2"/>
  <c r="AU214" i="2"/>
  <c r="AT214" i="2"/>
  <c r="AT98" i="2"/>
  <c r="AU98" i="2"/>
  <c r="BN68" i="2"/>
  <c r="BO68" i="2"/>
  <c r="P97" i="2"/>
  <c r="D100" i="5" s="1"/>
  <c r="Q97" i="2"/>
  <c r="G182" i="2"/>
  <c r="C190" i="4" s="1"/>
  <c r="H182" i="2"/>
  <c r="AT86" i="2"/>
  <c r="AU86" i="2"/>
  <c r="BD139" i="2"/>
  <c r="BE139" i="2"/>
  <c r="BO15" i="2"/>
  <c r="BN15" i="2"/>
  <c r="G198" i="2"/>
  <c r="C204" i="4" s="1"/>
  <c r="H198" i="2"/>
  <c r="H42" i="2"/>
  <c r="G42" i="2"/>
  <c r="C43" i="4" s="1"/>
  <c r="P152" i="2"/>
  <c r="D153" i="5" s="1"/>
  <c r="Q152" i="2"/>
  <c r="AT91" i="2"/>
  <c r="AU91" i="2"/>
  <c r="G45" i="2"/>
  <c r="C48" i="4" s="1"/>
  <c r="H45" i="2"/>
  <c r="Q117" i="2"/>
  <c r="P117" i="2"/>
  <c r="D118" i="5" s="1"/>
  <c r="BD63" i="2"/>
  <c r="BE63" i="2"/>
  <c r="BD68" i="2"/>
  <c r="BE68" i="2"/>
  <c r="H108" i="2"/>
  <c r="G108" i="2"/>
  <c r="C110" i="4" s="1"/>
  <c r="BD198" i="2"/>
  <c r="BE198" i="2"/>
  <c r="Q113" i="2"/>
  <c r="P113" i="2"/>
  <c r="D112" i="5" s="1"/>
  <c r="G150" i="2"/>
  <c r="C149" i="4" s="1"/>
  <c r="H150" i="2"/>
  <c r="G68" i="2"/>
  <c r="C62" i="4" s="1"/>
  <c r="H68" i="2"/>
  <c r="P102" i="2"/>
  <c r="Q102" i="2"/>
  <c r="Q157" i="2"/>
  <c r="P157" i="2"/>
  <c r="D155" i="5" s="1"/>
  <c r="H148" i="2"/>
  <c r="G148" i="2"/>
  <c r="C147" i="4" s="1"/>
  <c r="BE152" i="2"/>
  <c r="BD152" i="2"/>
  <c r="BE75" i="2"/>
  <c r="BD75" i="2"/>
  <c r="Q220" i="2"/>
  <c r="P220" i="2"/>
  <c r="D207" i="5" s="1"/>
  <c r="AU159" i="2"/>
  <c r="AT159" i="2"/>
  <c r="H207" i="2"/>
  <c r="G207" i="2"/>
  <c r="C210" i="4" s="1"/>
  <c r="AJ211" i="2"/>
  <c r="G221" i="4" s="1"/>
  <c r="AK211" i="2"/>
  <c r="P214" i="2"/>
  <c r="Q214" i="2"/>
  <c r="Q98" i="2"/>
  <c r="P98" i="2"/>
  <c r="D87" i="5" s="1"/>
  <c r="BD48" i="2"/>
  <c r="BE48" i="2"/>
  <c r="BN50" i="2"/>
  <c r="BO50" i="2"/>
  <c r="H172" i="2"/>
  <c r="G172" i="2"/>
  <c r="C174" i="4" s="1"/>
  <c r="G91" i="2"/>
  <c r="C82" i="4" s="1"/>
  <c r="H91" i="2"/>
  <c r="AK73" i="2"/>
  <c r="AJ73" i="2"/>
  <c r="G78" i="4" s="1"/>
  <c r="G192" i="2"/>
  <c r="C193" i="4" s="1"/>
  <c r="H192" i="2"/>
  <c r="H4" i="2"/>
  <c r="G4" i="2"/>
  <c r="C5" i="4" s="1"/>
  <c r="BD181" i="2"/>
  <c r="BE181" i="2"/>
  <c r="Q208" i="2"/>
  <c r="P208" i="2"/>
  <c r="D209" i="5" s="1"/>
  <c r="BE167" i="2"/>
  <c r="BD167" i="2"/>
  <c r="BO109" i="2"/>
  <c r="BN109" i="2"/>
  <c r="P181" i="2"/>
  <c r="D182" i="5" s="1"/>
  <c r="Q181" i="2"/>
  <c r="BY44" i="2"/>
  <c r="BX44" i="2"/>
  <c r="BD49" i="2"/>
  <c r="BE49" i="2"/>
  <c r="BN151" i="2"/>
  <c r="BO151" i="2"/>
  <c r="G10" i="2"/>
  <c r="C10" i="4" s="1"/>
  <c r="H10" i="2"/>
  <c r="BN189" i="2"/>
  <c r="BO189" i="2"/>
  <c r="H199" i="2"/>
  <c r="G199" i="2"/>
  <c r="C203" i="4" s="1"/>
  <c r="BO10" i="2"/>
  <c r="BN10" i="2"/>
  <c r="P187" i="2"/>
  <c r="Q187" i="2"/>
  <c r="AJ10" i="2"/>
  <c r="G10" i="4" s="1"/>
  <c r="AK10" i="2"/>
  <c r="H144" i="2"/>
  <c r="G144" i="2"/>
  <c r="C145" i="4" s="1"/>
  <c r="P68" i="2"/>
  <c r="D62" i="5" s="1"/>
  <c r="Q68" i="2"/>
  <c r="Q188" i="2"/>
  <c r="P188" i="2"/>
  <c r="D185" i="5" s="1"/>
  <c r="BN206" i="2"/>
  <c r="BO206" i="2"/>
  <c r="H59" i="2"/>
  <c r="G59" i="2"/>
  <c r="C54" i="4" s="1"/>
  <c r="G55" i="2"/>
  <c r="C50" i="4" s="1"/>
  <c r="H55" i="2"/>
  <c r="G153" i="2"/>
  <c r="C162" i="4" s="1"/>
  <c r="H153" i="2"/>
  <c r="BO118" i="2"/>
  <c r="BN118" i="2"/>
  <c r="AU18" i="2"/>
  <c r="AT18" i="2"/>
  <c r="Q178" i="2"/>
  <c r="P178" i="2"/>
  <c r="D178" i="5" s="1"/>
  <c r="G131" i="2"/>
  <c r="C130" i="4" s="1"/>
  <c r="H131" i="2"/>
  <c r="BE117" i="2"/>
  <c r="BD117" i="2"/>
  <c r="Q210" i="2"/>
  <c r="P210" i="2"/>
  <c r="D200" i="5" s="1"/>
  <c r="AU83" i="2"/>
  <c r="AT83" i="2"/>
  <c r="G187" i="2"/>
  <c r="C183" i="4" s="1"/>
  <c r="H187" i="2"/>
  <c r="AU92" i="2"/>
  <c r="AT92" i="2"/>
  <c r="BD9" i="2"/>
  <c r="BE9" i="2"/>
  <c r="AU149" i="2"/>
  <c r="AT149" i="2"/>
  <c r="P164" i="2"/>
  <c r="D163" i="5" s="1"/>
  <c r="Q164" i="2"/>
  <c r="Q94" i="2"/>
  <c r="P94" i="2"/>
  <c r="D90" i="5" s="1"/>
  <c r="BN225" i="2"/>
  <c r="BO225" i="2"/>
  <c r="AT12" i="2"/>
  <c r="AU12" i="2"/>
  <c r="AU148" i="2"/>
  <c r="AT148" i="2"/>
  <c r="BY122" i="2"/>
  <c r="BX122" i="2"/>
  <c r="H168" i="2"/>
  <c r="G168" i="2"/>
  <c r="C175" i="4" s="1"/>
  <c r="Q119" i="2"/>
  <c r="P119" i="2"/>
  <c r="D120" i="5" s="1"/>
  <c r="BE70" i="2"/>
  <c r="BD70" i="2"/>
  <c r="BD125" i="2"/>
  <c r="BE125" i="2"/>
  <c r="BE205" i="2"/>
  <c r="BD205" i="2"/>
  <c r="BE93" i="2"/>
  <c r="BD93" i="2"/>
  <c r="BO121" i="2"/>
  <c r="BN121" i="2"/>
  <c r="AT186" i="2"/>
  <c r="AU186" i="2"/>
  <c r="H74" i="2"/>
  <c r="G74" i="2"/>
  <c r="C74" i="4" s="1"/>
  <c r="BD154" i="2"/>
  <c r="BE154" i="2"/>
  <c r="H106" i="2"/>
  <c r="G106" i="2"/>
  <c r="C119" i="4" s="1"/>
  <c r="P61" i="2"/>
  <c r="Q61" i="2"/>
  <c r="G47" i="2"/>
  <c r="C49" i="4" s="1"/>
  <c r="H47" i="2"/>
  <c r="Q167" i="2"/>
  <c r="P167" i="2"/>
  <c r="D170" i="5" s="1"/>
  <c r="P91" i="2"/>
  <c r="D82" i="5" s="1"/>
  <c r="Q91" i="2"/>
  <c r="BO174" i="2"/>
  <c r="BN174" i="2"/>
  <c r="AT94" i="2"/>
  <c r="AU94" i="2"/>
  <c r="BN13" i="2"/>
  <c r="BO13" i="2"/>
  <c r="BO217" i="2"/>
  <c r="BN217" i="2"/>
  <c r="AT100" i="2"/>
  <c r="AU100" i="2"/>
  <c r="BO57" i="2"/>
  <c r="BN57" i="2"/>
  <c r="H157" i="2"/>
  <c r="G157" i="2"/>
  <c r="C155" i="4" s="1"/>
  <c r="AT109" i="2"/>
  <c r="AU109" i="2"/>
  <c r="P145" i="2"/>
  <c r="D146" i="5" s="1"/>
  <c r="Q145" i="2"/>
  <c r="Q197" i="2"/>
  <c r="P197" i="2"/>
  <c r="D198" i="5" s="1"/>
  <c r="BO12" i="2"/>
  <c r="BN12" i="2"/>
  <c r="AK53" i="2"/>
  <c r="AJ53" i="2"/>
  <c r="G51" i="4" s="1"/>
  <c r="G21" i="2"/>
  <c r="C22" i="4" s="1"/>
  <c r="H21" i="2"/>
  <c r="H101" i="2"/>
  <c r="G101" i="2"/>
  <c r="C99" i="4" s="1"/>
  <c r="H83" i="2"/>
  <c r="G83" i="2"/>
  <c r="C81" i="4" s="1"/>
  <c r="AT213" i="2"/>
  <c r="AU213" i="2"/>
  <c r="AT117" i="2"/>
  <c r="AU117" i="2"/>
  <c r="P56" i="2"/>
  <c r="D53" i="5" s="1"/>
  <c r="Q56" i="2"/>
  <c r="AU192" i="2"/>
  <c r="AT192" i="2"/>
  <c r="AU26" i="2"/>
  <c r="AT26" i="2"/>
  <c r="BE19" i="2"/>
  <c r="BD19" i="2"/>
  <c r="P219" i="2"/>
  <c r="D213" i="5" s="1"/>
  <c r="Q219" i="2"/>
  <c r="G167" i="2"/>
  <c r="C170" i="4" s="1"/>
  <c r="H167" i="2"/>
  <c r="G7" i="2"/>
  <c r="C8" i="4" s="1"/>
  <c r="H7" i="2"/>
  <c r="Q146" i="2"/>
  <c r="P146" i="2"/>
  <c r="D150" i="5" s="1"/>
  <c r="P128" i="2"/>
  <c r="Q128" i="2"/>
  <c r="H120" i="2"/>
  <c r="G120" i="2"/>
  <c r="C121" i="4" s="1"/>
  <c r="Q44" i="2"/>
  <c r="P44" i="2"/>
  <c r="D47" i="5" s="1"/>
  <c r="AU128" i="2"/>
  <c r="AT128" i="2"/>
  <c r="BY95" i="2"/>
  <c r="BX95" i="2"/>
  <c r="G76" i="2"/>
  <c r="C79" i="4" s="1"/>
  <c r="H76" i="2"/>
  <c r="BN153" i="2"/>
  <c r="BO153" i="2"/>
  <c r="H70" i="2"/>
  <c r="G70" i="2"/>
  <c r="C71" i="4" s="1"/>
  <c r="P16" i="2"/>
  <c r="Q16" i="2"/>
  <c r="Q180" i="2"/>
  <c r="P180" i="2"/>
  <c r="D164" i="5" s="1"/>
  <c r="H30" i="2"/>
  <c r="G30" i="2"/>
  <c r="C28" i="4" s="1"/>
  <c r="AT115" i="2"/>
  <c r="AU115" i="2"/>
  <c r="Q133" i="2"/>
  <c r="P133" i="2"/>
  <c r="D135" i="5" s="1"/>
  <c r="G217" i="2"/>
  <c r="C216" i="4" s="1"/>
  <c r="H217" i="2"/>
  <c r="AU11" i="2"/>
  <c r="AT11" i="2"/>
  <c r="BO154" i="2"/>
  <c r="BN154" i="2"/>
  <c r="H6" i="2"/>
  <c r="G6" i="2"/>
  <c r="C7" i="4" s="1"/>
  <c r="AJ49" i="2"/>
  <c r="G58" i="4" s="1"/>
  <c r="AK49" i="2"/>
  <c r="AU76" i="2"/>
  <c r="AT76" i="2"/>
  <c r="Q23" i="2"/>
  <c r="P23" i="2"/>
  <c r="G139" i="2"/>
  <c r="C141" i="4" s="1"/>
  <c r="H139" i="2"/>
  <c r="BN69" i="2"/>
  <c r="BO69" i="2"/>
  <c r="H147" i="2"/>
  <c r="G147" i="2"/>
  <c r="C152" i="4" s="1"/>
  <c r="Q20" i="2"/>
  <c r="P20" i="2"/>
  <c r="D21" i="5" s="1"/>
  <c r="AT14" i="2"/>
  <c r="AU14" i="2"/>
  <c r="BO21" i="2"/>
  <c r="BN21" i="2"/>
  <c r="BE134" i="2"/>
  <c r="BD134" i="2"/>
  <c r="H203" i="2"/>
  <c r="G203" i="2"/>
  <c r="C206" i="4" s="1"/>
  <c r="Q66" i="2"/>
  <c r="P66" i="2"/>
  <c r="D69" i="5" s="1"/>
  <c r="P150" i="2"/>
  <c r="D149" i="5" s="1"/>
  <c r="Q150" i="2"/>
  <c r="AT35" i="2"/>
  <c r="AU35" i="2"/>
  <c r="BD66" i="2"/>
  <c r="BE66" i="2"/>
  <c r="AU202" i="2"/>
  <c r="AT202" i="2"/>
  <c r="H191" i="2"/>
  <c r="G191" i="2"/>
  <c r="C186" i="4" s="1"/>
  <c r="AT90" i="2"/>
  <c r="AU90" i="2"/>
  <c r="BD30" i="2"/>
  <c r="BE30" i="2"/>
  <c r="AU82" i="2"/>
  <c r="AT82" i="2"/>
  <c r="G85" i="2"/>
  <c r="C92" i="4" s="1"/>
  <c r="H85" i="2"/>
  <c r="P37" i="2"/>
  <c r="Q37" i="2"/>
  <c r="G133" i="2"/>
  <c r="C135" i="4" s="1"/>
  <c r="H133" i="2"/>
  <c r="AK19" i="2"/>
  <c r="AJ19" i="2"/>
  <c r="G19" i="4" s="1"/>
  <c r="AT168" i="2"/>
  <c r="AU168" i="2"/>
  <c r="P26" i="2"/>
  <c r="D23" i="5" s="1"/>
  <c r="Q26" i="2"/>
  <c r="Q130" i="2"/>
  <c r="P130" i="2"/>
  <c r="D129" i="5" s="1"/>
  <c r="BY89" i="2"/>
  <c r="BX89" i="2"/>
  <c r="P217" i="2"/>
  <c r="D216" i="5" s="1"/>
  <c r="Q217" i="2"/>
  <c r="Q24" i="2"/>
  <c r="P24" i="2"/>
  <c r="D25" i="5" s="1"/>
  <c r="AU25" i="2"/>
  <c r="AT25" i="2"/>
  <c r="AU47" i="2"/>
  <c r="AT47" i="2"/>
  <c r="AU198" i="2"/>
  <c r="AT198" i="2"/>
  <c r="H62" i="2"/>
  <c r="G62" i="2"/>
  <c r="C61" i="4" s="1"/>
  <c r="BE44" i="2"/>
  <c r="BD44" i="2"/>
  <c r="AT151" i="2"/>
  <c r="AU151" i="2"/>
  <c r="P175" i="2"/>
  <c r="Q175" i="2"/>
  <c r="BN89" i="2"/>
  <c r="BO89" i="2"/>
  <c r="AU38" i="2"/>
  <c r="AT38" i="2"/>
  <c r="AT21" i="2"/>
  <c r="AU21" i="2"/>
  <c r="BE77" i="2"/>
  <c r="BD77" i="2"/>
  <c r="BE102" i="2"/>
  <c r="BD102" i="2"/>
  <c r="BD64" i="2"/>
  <c r="BE64" i="2"/>
  <c r="H219" i="2"/>
  <c r="G219" i="2"/>
  <c r="C213" i="4" s="1"/>
  <c r="Q215" i="2"/>
  <c r="P215" i="2"/>
  <c r="D208" i="5" s="1"/>
  <c r="BO219" i="2"/>
  <c r="BN219" i="2"/>
  <c r="H188" i="2"/>
  <c r="G188" i="2"/>
  <c r="C185" i="4" s="1"/>
  <c r="H125" i="2"/>
  <c r="G125" i="2"/>
  <c r="C126" i="4" s="1"/>
  <c r="G81" i="2"/>
  <c r="C88" i="4" s="1"/>
  <c r="H81" i="2"/>
  <c r="BE141" i="2"/>
  <c r="BD141" i="2"/>
  <c r="P95" i="2"/>
  <c r="Q95" i="2"/>
  <c r="BN147" i="2"/>
  <c r="BO147" i="2"/>
  <c r="G64" i="2"/>
  <c r="C63" i="4" s="1"/>
  <c r="H64" i="2"/>
  <c r="G205" i="2"/>
  <c r="C211" i="4" s="1"/>
  <c r="H205" i="2"/>
  <c r="Q207" i="2"/>
  <c r="P207" i="2"/>
  <c r="H128" i="2"/>
  <c r="G128" i="2"/>
  <c r="C127" i="4" s="1"/>
  <c r="BE91" i="2"/>
  <c r="BD91" i="2"/>
  <c r="BN26" i="2"/>
  <c r="BO26" i="2"/>
  <c r="H75" i="2"/>
  <c r="G75" i="2"/>
  <c r="C76" i="4" s="1"/>
  <c r="BX142" i="2"/>
  <c r="BY142" i="2"/>
  <c r="P176" i="2"/>
  <c r="D177" i="5" s="1"/>
  <c r="Q176" i="2"/>
  <c r="G177" i="2"/>
  <c r="C172" i="4" s="1"/>
  <c r="H177" i="2"/>
  <c r="BY17" i="2"/>
  <c r="BX17" i="2"/>
  <c r="BD225" i="2"/>
  <c r="BE225" i="2"/>
  <c r="BE151" i="2"/>
  <c r="BD151" i="2"/>
  <c r="AB210" i="2"/>
  <c r="AA210" i="2"/>
  <c r="E200" i="4" s="1"/>
  <c r="D200" i="4" s="1"/>
  <c r="G122" i="2"/>
  <c r="C123" i="4" s="1"/>
  <c r="H122" i="2"/>
  <c r="AT30" i="2"/>
  <c r="AU30" i="2"/>
  <c r="AA177" i="2"/>
  <c r="E172" i="4" s="1"/>
  <c r="D172" i="4" s="1"/>
  <c r="AB177" i="2"/>
  <c r="P5" i="2"/>
  <c r="D6" i="5" s="1"/>
  <c r="Q5" i="2"/>
  <c r="G185" i="2"/>
  <c r="C189" i="4" s="1"/>
  <c r="H185" i="2"/>
  <c r="BN139" i="2"/>
  <c r="BO139" i="2"/>
  <c r="P123" i="2"/>
  <c r="D125" i="5" s="1"/>
  <c r="Q123" i="2"/>
  <c r="AA3" i="2"/>
  <c r="E4" i="4" s="1"/>
  <c r="D4" i="4" s="1"/>
  <c r="AB3" i="2"/>
  <c r="G227" i="2"/>
  <c r="C228" i="4" s="1"/>
  <c r="H227" i="2"/>
  <c r="Q42" i="2"/>
  <c r="P42" i="2"/>
  <c r="D43" i="5" s="1"/>
  <c r="BN177" i="2"/>
  <c r="BO177" i="2"/>
  <c r="H220" i="2"/>
  <c r="G220" i="2"/>
  <c r="C207" i="4" s="1"/>
  <c r="AT189" i="2"/>
  <c r="AU189" i="2"/>
  <c r="G216" i="2"/>
  <c r="C220" i="4" s="1"/>
  <c r="H216" i="2"/>
  <c r="P155" i="2"/>
  <c r="Q155" i="2"/>
  <c r="H223" i="2"/>
  <c r="G223" i="2"/>
  <c r="C225" i="4" s="1"/>
  <c r="AU36" i="2"/>
  <c r="AT36" i="2"/>
  <c r="H28" i="2"/>
  <c r="G28" i="2"/>
  <c r="C31" i="4" s="1"/>
  <c r="P13" i="2"/>
  <c r="D14" i="5" s="1"/>
  <c r="Q13" i="2"/>
  <c r="BE42" i="2"/>
  <c r="BD42" i="2"/>
  <c r="BE46" i="2"/>
  <c r="BD46" i="2"/>
  <c r="AT126" i="2"/>
  <c r="AU126" i="2"/>
  <c r="G52" i="2"/>
  <c r="C57" i="4" s="1"/>
  <c r="H52" i="2"/>
  <c r="AU171" i="2"/>
  <c r="AT171" i="2"/>
  <c r="H218" i="2"/>
  <c r="G218" i="2"/>
  <c r="C214" i="4" s="1"/>
  <c r="BE229" i="2"/>
  <c r="BD229" i="2"/>
  <c r="AU227" i="2"/>
  <c r="AT227" i="2"/>
  <c r="P8" i="2"/>
  <c r="D9" i="5" s="1"/>
  <c r="Q8" i="2"/>
  <c r="AT105" i="2"/>
  <c r="AU105" i="2"/>
  <c r="BN216" i="2"/>
  <c r="BO216" i="2"/>
  <c r="AT222" i="2"/>
  <c r="AU222" i="2"/>
  <c r="Q15" i="2"/>
  <c r="P15" i="2"/>
  <c r="D16" i="5" s="1"/>
  <c r="H24" i="2"/>
  <c r="G24" i="2"/>
  <c r="C25" i="4" s="1"/>
  <c r="H178" i="2"/>
  <c r="G178" i="2"/>
  <c r="C178" i="4" s="1"/>
  <c r="AB130" i="2"/>
  <c r="AA130" i="2"/>
  <c r="E129" i="4" s="1"/>
  <c r="D129" i="4" s="1"/>
  <c r="G82" i="2"/>
  <c r="C83" i="4" s="1"/>
  <c r="H82" i="2"/>
  <c r="AU39" i="2"/>
  <c r="AT39" i="2"/>
  <c r="BN58" i="2"/>
  <c r="BO58" i="2"/>
  <c r="G140" i="2"/>
  <c r="C142" i="4" s="1"/>
  <c r="H140" i="2"/>
  <c r="AK209" i="2"/>
  <c r="AJ209" i="2"/>
  <c r="G218" i="4" s="1"/>
  <c r="Q115" i="2"/>
  <c r="P115" i="2"/>
  <c r="D115" i="5" s="1"/>
  <c r="AU204" i="2"/>
  <c r="AT204" i="2"/>
  <c r="G156" i="2"/>
  <c r="C159" i="4" s="1"/>
  <c r="H156" i="2"/>
  <c r="BN159" i="2"/>
  <c r="BO159" i="2"/>
  <c r="Q184" i="2"/>
  <c r="P184" i="2"/>
  <c r="D187" i="5" s="1"/>
  <c r="H16" i="2"/>
  <c r="G16" i="2"/>
  <c r="C20" i="4" s="1"/>
  <c r="Q100" i="2"/>
  <c r="P100" i="2"/>
  <c r="G141" i="2"/>
  <c r="C139" i="4" s="1"/>
  <c r="H141" i="2"/>
  <c r="BN119" i="2"/>
  <c r="BO119" i="2"/>
  <c r="P38" i="2"/>
  <c r="D32" i="5" s="1"/>
  <c r="Q38" i="2"/>
  <c r="P71" i="2"/>
  <c r="D72" i="5" s="1"/>
  <c r="Q71" i="2"/>
  <c r="G53" i="2"/>
  <c r="C51" i="4" s="1"/>
  <c r="H53" i="2"/>
  <c r="AU101" i="2"/>
  <c r="AT101" i="2"/>
  <c r="G38" i="2"/>
  <c r="C32" i="4" s="1"/>
  <c r="H38" i="2"/>
  <c r="BN178" i="2"/>
  <c r="BO178" i="2"/>
  <c r="BD226" i="2"/>
  <c r="BE226" i="2"/>
  <c r="H162" i="2"/>
  <c r="G162" i="2"/>
  <c r="C165" i="4" s="1"/>
  <c r="H146" i="2"/>
  <c r="G146" i="2"/>
  <c r="C150" i="4" s="1"/>
  <c r="P11" i="2"/>
  <c r="D12" i="5" s="1"/>
  <c r="Q11" i="2"/>
  <c r="Q35" i="2"/>
  <c r="P35" i="2"/>
  <c r="D40" i="5" s="1"/>
  <c r="BX100" i="2"/>
  <c r="BY100" i="2"/>
  <c r="BE20" i="2"/>
  <c r="BD20" i="2"/>
  <c r="BE50" i="2"/>
  <c r="BD50" i="2"/>
  <c r="BD15" i="2"/>
  <c r="BE15" i="2"/>
  <c r="G214" i="2"/>
  <c r="C217" i="4" s="1"/>
  <c r="H214" i="2"/>
  <c r="Q96" i="2"/>
  <c r="P96" i="2"/>
  <c r="AT72" i="2"/>
  <c r="AU72" i="2"/>
  <c r="Q160" i="2"/>
  <c r="P160" i="2"/>
  <c r="D158" i="5" s="1"/>
  <c r="G200" i="2"/>
  <c r="C202" i="4" s="1"/>
  <c r="H200" i="2"/>
  <c r="Q31" i="2"/>
  <c r="P31" i="2"/>
  <c r="P108" i="2"/>
  <c r="D110" i="5" s="1"/>
  <c r="Q108" i="2"/>
  <c r="BO175" i="2"/>
  <c r="BN175" i="2"/>
  <c r="AT165" i="2"/>
  <c r="AU165" i="2"/>
  <c r="BD107" i="2"/>
  <c r="BE107" i="2"/>
  <c r="AT70" i="2"/>
  <c r="AU70" i="2"/>
  <c r="AU95" i="2"/>
  <c r="AT95" i="2"/>
  <c r="BN161" i="2"/>
  <c r="BO161" i="2"/>
  <c r="BX7" i="2"/>
  <c r="BY7" i="2"/>
  <c r="BD108" i="2"/>
  <c r="BE108" i="2"/>
  <c r="Q191" i="2"/>
  <c r="P191" i="2"/>
  <c r="D186" i="5" s="1"/>
  <c r="G161" i="2"/>
  <c r="C156" i="4" s="1"/>
  <c r="H161" i="2"/>
  <c r="H135" i="2"/>
  <c r="G135" i="2"/>
  <c r="C132" i="4" s="1"/>
  <c r="BY94" i="2"/>
  <c r="BX94" i="2"/>
  <c r="AT160" i="2"/>
  <c r="AU160" i="2"/>
  <c r="AJ179" i="2"/>
  <c r="G181" i="4" s="1"/>
  <c r="AK179" i="2"/>
  <c r="Q33" i="2"/>
  <c r="P33" i="2"/>
  <c r="AT44" i="2"/>
  <c r="AU44" i="2"/>
  <c r="BN126" i="2"/>
  <c r="BO126" i="2"/>
  <c r="BN176" i="2"/>
  <c r="BO176" i="2"/>
  <c r="AT78" i="2"/>
  <c r="AU78" i="2"/>
  <c r="AU157" i="2"/>
  <c r="AT157" i="2"/>
  <c r="BN14" i="2"/>
  <c r="BO14" i="2"/>
  <c r="BO64" i="2"/>
  <c r="BN64" i="2"/>
  <c r="H105" i="2"/>
  <c r="G105" i="2"/>
  <c r="C102" i="4" s="1"/>
  <c r="BE84" i="2"/>
  <c r="BD84" i="2"/>
  <c r="AU116" i="2"/>
  <c r="AT116" i="2"/>
  <c r="H100" i="2"/>
  <c r="G100" i="2"/>
  <c r="C108" i="4" s="1"/>
  <c r="Q122" i="2"/>
  <c r="P122" i="2"/>
  <c r="D123" i="5" s="1"/>
  <c r="P143" i="2"/>
  <c r="D143" i="5" s="1"/>
  <c r="Q143" i="2"/>
  <c r="AK162" i="2"/>
  <c r="AJ162" i="2"/>
  <c r="G165" i="4" s="1"/>
  <c r="H212" i="2"/>
  <c r="G212" i="2"/>
  <c r="C212" i="4" s="1"/>
  <c r="Q171" i="2"/>
  <c r="P171" i="2"/>
  <c r="Q48" i="2"/>
  <c r="P48" i="2"/>
  <c r="D45" i="5" s="1"/>
  <c r="BY217" i="2"/>
  <c r="BX217" i="2"/>
  <c r="H48" i="2"/>
  <c r="G48" i="2"/>
  <c r="C45" i="4" s="1"/>
  <c r="Q114" i="2"/>
  <c r="P114" i="2"/>
  <c r="D114" i="5" s="1"/>
  <c r="AU181" i="2"/>
  <c r="AT181" i="2"/>
  <c r="BE185" i="2"/>
  <c r="BD185" i="2"/>
  <c r="P29" i="2"/>
  <c r="D29" i="5" s="1"/>
  <c r="Q29" i="2"/>
  <c r="H174" i="2"/>
  <c r="G174" i="2"/>
  <c r="C176" i="4" s="1"/>
  <c r="AU207" i="2"/>
  <c r="AT207" i="2"/>
  <c r="BO3" i="2"/>
  <c r="BN3" i="2"/>
  <c r="Q75" i="2"/>
  <c r="P75" i="2"/>
  <c r="D76" i="5" s="1"/>
  <c r="G152" i="2"/>
  <c r="C153" i="4" s="1"/>
  <c r="H152" i="2"/>
  <c r="H41" i="2"/>
  <c r="G41" i="2"/>
  <c r="C46" i="4" s="1"/>
  <c r="AT205" i="2"/>
  <c r="AU205" i="2"/>
  <c r="H142" i="2"/>
  <c r="G142" i="2"/>
  <c r="C144" i="4" s="1"/>
  <c r="AT170" i="2"/>
  <c r="AU170" i="2"/>
  <c r="AT45" i="2"/>
  <c r="AU45" i="2"/>
  <c r="AT140" i="2"/>
  <c r="AU140" i="2"/>
  <c r="Q69" i="2"/>
  <c r="P69" i="2"/>
  <c r="D65" i="5" s="1"/>
  <c r="H25" i="2"/>
  <c r="G25" i="2"/>
  <c r="C27" i="4" s="1"/>
  <c r="P203" i="2"/>
  <c r="Q203" i="2"/>
  <c r="AT174" i="2"/>
  <c r="AU174" i="2"/>
  <c r="BD82" i="2"/>
  <c r="BE82" i="2"/>
  <c r="BE179" i="2"/>
  <c r="BD179" i="2"/>
  <c r="Q198" i="2"/>
  <c r="P198" i="2"/>
  <c r="P103" i="2"/>
  <c r="D104" i="5" s="1"/>
  <c r="Q103" i="2"/>
  <c r="AU60" i="2"/>
  <c r="AT60" i="2"/>
  <c r="H88" i="2"/>
  <c r="G88" i="2"/>
  <c r="C89" i="4" s="1"/>
  <c r="Q126" i="2"/>
  <c r="P126" i="2"/>
  <c r="AU208" i="2"/>
  <c r="AT208" i="2"/>
  <c r="BY200" i="2"/>
  <c r="BX200" i="2"/>
  <c r="Q52" i="2"/>
  <c r="P52" i="2"/>
  <c r="D57" i="5" s="1"/>
  <c r="Q6" i="2"/>
  <c r="P6" i="2"/>
  <c r="D7" i="5" s="1"/>
  <c r="G189" i="2"/>
  <c r="C191" i="4" s="1"/>
  <c r="H189" i="2"/>
  <c r="AT173" i="2"/>
  <c r="AU173" i="2"/>
  <c r="BO110" i="2"/>
  <c r="BN110" i="2"/>
  <c r="G63" i="2"/>
  <c r="C68" i="4" s="1"/>
  <c r="H63" i="2"/>
  <c r="AA53" i="2"/>
  <c r="E51" i="4" s="1"/>
  <c r="D51" i="4" s="1"/>
  <c r="AB53" i="2"/>
  <c r="BD80" i="2"/>
  <c r="BE80" i="2"/>
  <c r="G111" i="2"/>
  <c r="C113" i="4" s="1"/>
  <c r="H111" i="2"/>
  <c r="BD204" i="2"/>
  <c r="BE204" i="2"/>
  <c r="BY141" i="2"/>
  <c r="BX141" i="2"/>
  <c r="G18" i="2"/>
  <c r="C18" i="4" s="1"/>
  <c r="H18" i="2"/>
  <c r="BD53" i="2"/>
  <c r="BE53" i="2"/>
  <c r="G136" i="2"/>
  <c r="C128" i="4" s="1"/>
  <c r="H136" i="2"/>
  <c r="Q18" i="2"/>
  <c r="P18" i="2"/>
  <c r="D18" i="5" s="1"/>
  <c r="AU223" i="2"/>
  <c r="AT223" i="2"/>
  <c r="AU17" i="2"/>
  <c r="AT17" i="2"/>
  <c r="AT23" i="2"/>
  <c r="AU23" i="2"/>
  <c r="G155" i="2"/>
  <c r="C161" i="4" s="1"/>
  <c r="H155" i="2"/>
  <c r="Q118" i="2"/>
  <c r="P118" i="2"/>
  <c r="D117" i="5" s="1"/>
  <c r="AU113" i="2"/>
  <c r="AT113" i="2"/>
  <c r="BE110" i="2"/>
  <c r="BD110" i="2"/>
  <c r="AU34" i="2"/>
  <c r="AT34" i="2"/>
  <c r="P10" i="2"/>
  <c r="D10" i="5" s="1"/>
  <c r="Q10" i="2"/>
  <c r="BE69" i="2"/>
  <c r="BD69" i="2"/>
  <c r="G222" i="2"/>
  <c r="C222" i="4" s="1"/>
  <c r="H222" i="2"/>
  <c r="P64" i="2"/>
  <c r="D63" i="5" s="1"/>
  <c r="Q64" i="2"/>
  <c r="AT131" i="2"/>
  <c r="AU131" i="2"/>
  <c r="BY206" i="2"/>
  <c r="BX206" i="2"/>
  <c r="BE25" i="2"/>
  <c r="BD25" i="2"/>
  <c r="AJ128" i="2"/>
  <c r="G127" i="4" s="1"/>
  <c r="AK128" i="2"/>
  <c r="AJ150" i="2"/>
  <c r="G149" i="4" s="1"/>
  <c r="AK150" i="2"/>
  <c r="G195" i="2"/>
  <c r="C196" i="4" s="1"/>
  <c r="H195" i="2"/>
  <c r="BO7" i="2"/>
  <c r="BN7" i="2"/>
  <c r="Q109" i="2"/>
  <c r="P109" i="2"/>
  <c r="D106" i="5" s="1"/>
  <c r="BY73" i="2"/>
  <c r="BX73" i="2"/>
  <c r="Q21" i="2"/>
  <c r="P21" i="2"/>
  <c r="D22" i="5" s="1"/>
  <c r="H215" i="2"/>
  <c r="G215" i="2"/>
  <c r="C208" i="4" s="1"/>
  <c r="Q185" i="2"/>
  <c r="P185" i="2"/>
  <c r="D189" i="5" s="1"/>
  <c r="P192" i="2"/>
  <c r="D193" i="5" s="1"/>
  <c r="Q192" i="2"/>
  <c r="G15" i="2"/>
  <c r="C16" i="4" s="1"/>
  <c r="H15" i="2"/>
  <c r="AT163" i="2"/>
  <c r="AU163" i="2"/>
  <c r="G130" i="2"/>
  <c r="C129" i="4" s="1"/>
  <c r="H130" i="2"/>
  <c r="AU13" i="2"/>
  <c r="AT13" i="2"/>
  <c r="H208" i="2"/>
  <c r="G208" i="2"/>
  <c r="C209" i="4" s="1"/>
  <c r="BN226" i="2"/>
  <c r="BO226" i="2"/>
  <c r="Q218" i="2"/>
  <c r="P218" i="2"/>
  <c r="D214" i="5" s="1"/>
  <c r="AU201" i="2"/>
  <c r="AT201" i="2"/>
  <c r="Q62" i="2"/>
  <c r="P62" i="2"/>
  <c r="Q228" i="2"/>
  <c r="P228" i="2"/>
  <c r="D227" i="5" s="1"/>
  <c r="BX227" i="2"/>
  <c r="BY227" i="2"/>
  <c r="Q161" i="2"/>
  <c r="P161" i="2"/>
  <c r="D156" i="5" s="1"/>
  <c r="Q169" i="2"/>
  <c r="P169" i="2"/>
  <c r="P79" i="2"/>
  <c r="D73" i="5" s="1"/>
  <c r="Q79" i="2"/>
  <c r="AK224" i="2"/>
  <c r="AJ224" i="2"/>
  <c r="G226" i="4" s="1"/>
  <c r="Q166" i="2"/>
  <c r="P166" i="2"/>
  <c r="D166" i="5" s="1"/>
  <c r="Q125" i="2"/>
  <c r="P125" i="2"/>
  <c r="D126" i="5" s="1"/>
  <c r="Q41" i="2"/>
  <c r="P41" i="2"/>
  <c r="BD72" i="2"/>
  <c r="BE72" i="2"/>
  <c r="AT203" i="2"/>
  <c r="AU203" i="2"/>
  <c r="AB71" i="2"/>
  <c r="AA71" i="2"/>
  <c r="E72" i="4" s="1"/>
  <c r="D72" i="4" s="1"/>
  <c r="BO56" i="2"/>
  <c r="BN56" i="2"/>
  <c r="AT15" i="2"/>
  <c r="AU15" i="2"/>
  <c r="BE86" i="2"/>
  <c r="BD86" i="2"/>
  <c r="BO48" i="2"/>
  <c r="BN48" i="2"/>
  <c r="BO61" i="2"/>
  <c r="BN61" i="2"/>
  <c r="BN45" i="2"/>
  <c r="BO45" i="2"/>
  <c r="AU107" i="2"/>
  <c r="AT107" i="2"/>
  <c r="AT215" i="2"/>
  <c r="AU215" i="2"/>
  <c r="BD90" i="2"/>
  <c r="BE90" i="2"/>
  <c r="BX3" i="2"/>
  <c r="BY3" i="2"/>
  <c r="H202" i="2"/>
  <c r="G202" i="2"/>
  <c r="C201" i="4" s="1"/>
  <c r="H206" i="2"/>
  <c r="G206" i="2"/>
  <c r="C215" i="4" s="1"/>
  <c r="AU123" i="2"/>
  <c r="AT123" i="2"/>
  <c r="AT153" i="2"/>
  <c r="AU153" i="2"/>
  <c r="BN6" i="2"/>
  <c r="BO6" i="2"/>
  <c r="P32" i="2"/>
  <c r="Q32" i="2"/>
  <c r="H5" i="2"/>
  <c r="G5" i="2"/>
  <c r="C6" i="4" s="1"/>
  <c r="BO186" i="2"/>
  <c r="BN186" i="2"/>
  <c r="BO92" i="2"/>
  <c r="BN92" i="2"/>
  <c r="AT84" i="2"/>
  <c r="AU84" i="2"/>
  <c r="BO82" i="2"/>
  <c r="BN82" i="2"/>
  <c r="BE95" i="2"/>
  <c r="BD95" i="2"/>
  <c r="AK46" i="2"/>
  <c r="AJ46" i="2"/>
  <c r="G39" i="4" s="1"/>
  <c r="BO142" i="2"/>
  <c r="BN142" i="2"/>
  <c r="BE216" i="2"/>
  <c r="BD216" i="2"/>
  <c r="BE6" i="2"/>
  <c r="BD6" i="2"/>
  <c r="AT112" i="2"/>
  <c r="AU112" i="2"/>
  <c r="AU43" i="2"/>
  <c r="AT43" i="2"/>
  <c r="BE57" i="2"/>
  <c r="BD57" i="2"/>
  <c r="BO59" i="2"/>
  <c r="BN59" i="2"/>
  <c r="AU164" i="2"/>
  <c r="AT164" i="2"/>
  <c r="BY78" i="2"/>
  <c r="BX78" i="2"/>
  <c r="AT218" i="2"/>
  <c r="AU218" i="2"/>
  <c r="Q39" i="2"/>
  <c r="P39" i="2"/>
  <c r="D33" i="5" s="1"/>
  <c r="BD78" i="2"/>
  <c r="BE78" i="2"/>
  <c r="BY135" i="2"/>
  <c r="BX135" i="2"/>
  <c r="Q135" i="2"/>
  <c r="P135" i="2"/>
  <c r="D132" i="5" s="1"/>
  <c r="AT180" i="2"/>
  <c r="AU180" i="2"/>
  <c r="AT106" i="2"/>
  <c r="AU106" i="2"/>
  <c r="P58" i="2"/>
  <c r="D60" i="5" s="1"/>
  <c r="Q58" i="2"/>
  <c r="H65" i="2"/>
  <c r="G65" i="2"/>
  <c r="C66" i="4" s="1"/>
  <c r="BO222" i="2"/>
  <c r="BN222" i="2"/>
  <c r="H201" i="2"/>
  <c r="G201" i="2"/>
  <c r="C199" i="4" s="1"/>
  <c r="AJ30" i="2"/>
  <c r="G28" i="4" s="1"/>
  <c r="AK30" i="2"/>
  <c r="Q12" i="2"/>
  <c r="P12" i="2"/>
  <c r="D13" i="5" s="1"/>
  <c r="AT59" i="2"/>
  <c r="AU59" i="2"/>
  <c r="BO209" i="2"/>
  <c r="BN209" i="2"/>
  <c r="AT194" i="2"/>
  <c r="AU194" i="2"/>
  <c r="BD208" i="2"/>
  <c r="BE208" i="2"/>
  <c r="BD199" i="2"/>
  <c r="BE199" i="2"/>
  <c r="BY129" i="2"/>
  <c r="BX129" i="2"/>
  <c r="AU141" i="2"/>
  <c r="AT141" i="2"/>
  <c r="BD83" i="2"/>
  <c r="BE83" i="2"/>
  <c r="BO84" i="2"/>
  <c r="BN84" i="2"/>
  <c r="BD56" i="2"/>
  <c r="BE56" i="2"/>
  <c r="BN112" i="2"/>
  <c r="BO112" i="2"/>
  <c r="BD222" i="2"/>
  <c r="BE222" i="2"/>
  <c r="BN55" i="2"/>
  <c r="BO55" i="2"/>
  <c r="BY50" i="2"/>
  <c r="BX50" i="2"/>
  <c r="Q28" i="2"/>
  <c r="P28" i="2"/>
  <c r="D31" i="5" s="1"/>
  <c r="Q76" i="2"/>
  <c r="P76" i="2"/>
  <c r="G87" i="2"/>
  <c r="C95" i="4" s="1"/>
  <c r="H87" i="2"/>
  <c r="P90" i="2"/>
  <c r="Q90" i="2"/>
  <c r="BD10" i="2"/>
  <c r="BE10" i="2"/>
  <c r="G184" i="2"/>
  <c r="C187" i="4" s="1"/>
  <c r="H184" i="2"/>
  <c r="AU99" i="2"/>
  <c r="AT99" i="2"/>
  <c r="AU33" i="2"/>
  <c r="AT33" i="2"/>
  <c r="G169" i="2"/>
  <c r="C169" i="4" s="1"/>
  <c r="H169" i="2"/>
  <c r="G67" i="2"/>
  <c r="C64" i="4" s="1"/>
  <c r="H67" i="2"/>
  <c r="Q193" i="2"/>
  <c r="P193" i="2"/>
  <c r="D195" i="5" s="1"/>
  <c r="Q132" i="2"/>
  <c r="P132" i="2"/>
  <c r="H29" i="2"/>
  <c r="G29" i="2"/>
  <c r="C29" i="4" s="1"/>
  <c r="BD79" i="2"/>
  <c r="BE79" i="2"/>
  <c r="G164" i="2"/>
  <c r="C163" i="4" s="1"/>
  <c r="H164" i="2"/>
  <c r="AK56" i="2"/>
  <c r="AJ56" i="2"/>
  <c r="G53" i="4" s="1"/>
  <c r="AJ219" i="2"/>
  <c r="G213" i="4" s="1"/>
  <c r="AK219" i="2"/>
  <c r="H118" i="2"/>
  <c r="G118" i="2"/>
  <c r="C117" i="4" s="1"/>
  <c r="H72" i="2"/>
  <c r="G72" i="2"/>
  <c r="C67" i="4" s="1"/>
  <c r="BO204" i="2"/>
  <c r="BN204" i="2"/>
  <c r="BX11" i="2"/>
  <c r="BY11" i="2"/>
  <c r="BX16" i="2"/>
  <c r="BY16" i="2"/>
  <c r="Q83" i="2"/>
  <c r="P83" i="2"/>
  <c r="D81" i="5" s="1"/>
  <c r="AK154" i="2"/>
  <c r="AJ154" i="2"/>
  <c r="G154" i="4" s="1"/>
  <c r="AT28" i="2"/>
  <c r="AU28" i="2"/>
  <c r="P40" i="2"/>
  <c r="D41" i="5" s="1"/>
  <c r="Q40" i="2"/>
  <c r="G123" i="2"/>
  <c r="C125" i="4" s="1"/>
  <c r="H123" i="2"/>
  <c r="BX74" i="2"/>
  <c r="BY74" i="2"/>
  <c r="BD26" i="2"/>
  <c r="BE26" i="2"/>
  <c r="AT197" i="2"/>
  <c r="AU197" i="2"/>
  <c r="BE87" i="2"/>
  <c r="BD87" i="2"/>
  <c r="AB222" i="2"/>
  <c r="AA222" i="2"/>
  <c r="E222" i="4" s="1"/>
  <c r="D222" i="4" s="1"/>
  <c r="AT166" i="2"/>
  <c r="AU166" i="2"/>
  <c r="G61" i="2"/>
  <c r="C70" i="4" s="1"/>
  <c r="H61" i="2"/>
  <c r="BO214" i="2"/>
  <c r="BN214" i="2"/>
  <c r="BX155" i="2"/>
  <c r="BY155" i="2"/>
  <c r="BO164" i="2"/>
  <c r="BN164" i="2"/>
  <c r="BO158" i="2"/>
  <c r="BN158" i="2"/>
  <c r="H138" i="2"/>
  <c r="G138" i="2"/>
  <c r="C140" i="4" s="1"/>
  <c r="G11" i="2"/>
  <c r="C12" i="4" s="1"/>
  <c r="H11" i="2"/>
  <c r="P196" i="2"/>
  <c r="D197" i="5" s="1"/>
  <c r="Q196" i="2"/>
  <c r="BO72" i="2"/>
  <c r="BN72" i="2"/>
  <c r="AU93" i="2"/>
  <c r="AT93" i="2"/>
  <c r="Q27" i="2"/>
  <c r="P27" i="2"/>
  <c r="D26" i="5" s="1"/>
  <c r="H173" i="2"/>
  <c r="G173" i="2"/>
  <c r="C171" i="4" s="1"/>
  <c r="BO95" i="2"/>
  <c r="BN95" i="2"/>
  <c r="AJ130" i="2"/>
  <c r="G129" i="4" s="1"/>
  <c r="AK130" i="2"/>
  <c r="AU124" i="2"/>
  <c r="AT124" i="2"/>
  <c r="P201" i="2"/>
  <c r="Q201" i="2"/>
  <c r="AT155" i="2"/>
  <c r="AU155" i="2"/>
  <c r="Q3" i="2"/>
  <c r="P3" i="2"/>
  <c r="D4" i="5" s="1"/>
  <c r="BD27" i="2"/>
  <c r="BE27" i="2"/>
  <c r="P206" i="2"/>
  <c r="Q206" i="2"/>
  <c r="AU119" i="2"/>
  <c r="AT119" i="2"/>
  <c r="BN184" i="2"/>
  <c r="BO184" i="2"/>
  <c r="BY36" i="2"/>
  <c r="BX36" i="2"/>
  <c r="BE71" i="2"/>
  <c r="BD71" i="2"/>
  <c r="BE34" i="2"/>
  <c r="BD34" i="2"/>
  <c r="P30" i="2"/>
  <c r="D28" i="5" s="1"/>
  <c r="Q30" i="2"/>
  <c r="BD145" i="2"/>
  <c r="BE145" i="2"/>
  <c r="AT102" i="2"/>
  <c r="AU102" i="2"/>
  <c r="AU229" i="2"/>
  <c r="AT229" i="2"/>
  <c r="G127" i="2"/>
  <c r="C131" i="4" s="1"/>
  <c r="H127" i="2"/>
  <c r="AT136" i="2"/>
  <c r="AU136" i="2"/>
  <c r="G43" i="2"/>
  <c r="C44" i="4" s="1"/>
  <c r="H43" i="2"/>
  <c r="AU16" i="2"/>
  <c r="AT16" i="2"/>
  <c r="AU74" i="2"/>
  <c r="AT74" i="2"/>
  <c r="BY25" i="2"/>
  <c r="BX25" i="2"/>
  <c r="AB14" i="2"/>
  <c r="AA14" i="2"/>
  <c r="E15" i="4" s="1"/>
  <c r="D15" i="4" s="1"/>
  <c r="AU144" i="2"/>
  <c r="AT144" i="2"/>
  <c r="P45" i="2"/>
  <c r="Q45" i="2"/>
  <c r="H35" i="2"/>
  <c r="G35" i="2"/>
  <c r="C40" i="4" s="1"/>
  <c r="BE112" i="2"/>
  <c r="BD112" i="2"/>
  <c r="BD29" i="2"/>
  <c r="BE29" i="2"/>
  <c r="G226" i="2"/>
  <c r="C223" i="4" s="1"/>
  <c r="H226" i="2"/>
  <c r="AU212" i="2"/>
  <c r="AT212" i="2"/>
  <c r="Q92" i="2"/>
  <c r="P92" i="2"/>
  <c r="D103" i="5" s="1"/>
  <c r="BE172" i="2"/>
  <c r="BD172" i="2"/>
  <c r="BE118" i="2"/>
  <c r="BD118" i="2"/>
  <c r="BD131" i="2"/>
  <c r="BE131" i="2"/>
  <c r="P80" i="2"/>
  <c r="D75" i="5" s="1"/>
  <c r="Q80" i="2"/>
  <c r="AU103" i="2"/>
  <c r="AT103" i="2"/>
  <c r="P151" i="2"/>
  <c r="D151" i="5" s="1"/>
  <c r="Q151" i="2"/>
  <c r="P54" i="2"/>
  <c r="D56" i="5" s="1"/>
  <c r="Q54" i="2"/>
  <c r="BO152" i="2"/>
  <c r="BN152" i="2"/>
  <c r="AU132" i="2"/>
  <c r="AT132" i="2"/>
  <c r="H145" i="2"/>
  <c r="G145" i="2"/>
  <c r="C146" i="4" s="1"/>
  <c r="BD51" i="2"/>
  <c r="BE51" i="2"/>
  <c r="BE170" i="2"/>
  <c r="BD170" i="2"/>
  <c r="P183" i="2"/>
  <c r="D188" i="5" s="1"/>
  <c r="Q183" i="2"/>
  <c r="H92" i="2"/>
  <c r="G92" i="2"/>
  <c r="C103" i="4" s="1"/>
  <c r="BD106" i="2"/>
  <c r="BE106" i="2"/>
  <c r="BO133" i="2"/>
  <c r="BN133" i="2"/>
  <c r="H113" i="2"/>
  <c r="G113" i="2"/>
  <c r="C112" i="4" s="1"/>
  <c r="G114" i="2"/>
  <c r="C114" i="4" s="1"/>
  <c r="H114" i="2"/>
  <c r="AT5" i="2"/>
  <c r="AU5" i="2"/>
  <c r="G137" i="2"/>
  <c r="C137" i="4" s="1"/>
  <c r="H137" i="2"/>
  <c r="BD158" i="2"/>
  <c r="BE158" i="2"/>
  <c r="Q47" i="2"/>
  <c r="P47" i="2"/>
  <c r="D49" i="5" s="1"/>
  <c r="Q149" i="2"/>
  <c r="P149" i="2"/>
  <c r="BX79" i="2"/>
  <c r="BY79" i="2"/>
  <c r="Q170" i="2"/>
  <c r="P170" i="2"/>
  <c r="P154" i="2"/>
  <c r="Q154" i="2"/>
  <c r="AU27" i="2"/>
  <c r="AT27" i="2"/>
  <c r="BN49" i="2"/>
  <c r="BO49" i="2"/>
  <c r="BX181" i="2"/>
  <c r="BY181" i="2"/>
  <c r="BX215" i="2"/>
  <c r="BY215" i="2"/>
  <c r="BX132" i="2"/>
  <c r="BY132" i="2"/>
  <c r="BY108" i="2"/>
  <c r="BX108" i="2"/>
  <c r="BD45" i="2"/>
  <c r="BE45" i="2"/>
  <c r="BD178" i="2"/>
  <c r="BE178" i="2"/>
  <c r="AT129" i="2"/>
  <c r="AU129" i="2"/>
  <c r="BN120" i="2"/>
  <c r="BO120" i="2"/>
  <c r="BY158" i="2"/>
  <c r="BX158" i="2"/>
  <c r="AK196" i="2"/>
  <c r="AJ196" i="2"/>
  <c r="G197" i="4" s="1"/>
  <c r="BE92" i="2"/>
  <c r="BD92" i="2"/>
  <c r="BO170" i="2"/>
  <c r="BN170" i="2"/>
  <c r="Q120" i="2"/>
  <c r="P120" i="2"/>
  <c r="D121" i="5" s="1"/>
  <c r="BD148" i="2"/>
  <c r="BE148" i="2"/>
  <c r="BY186" i="2"/>
  <c r="BX186" i="2"/>
  <c r="BN91" i="2"/>
  <c r="BO91" i="2"/>
  <c r="BY130" i="2"/>
  <c r="BX130" i="2"/>
  <c r="Q81" i="2"/>
  <c r="P81" i="2"/>
  <c r="BE184" i="2"/>
  <c r="BD184" i="2"/>
  <c r="AU66" i="2"/>
  <c r="AT66" i="2"/>
  <c r="G183" i="2"/>
  <c r="C188" i="4" s="1"/>
  <c r="H183" i="2"/>
  <c r="BE8" i="2"/>
  <c r="BD8" i="2"/>
  <c r="BD115" i="2"/>
  <c r="BE115" i="2"/>
  <c r="H19" i="2"/>
  <c r="G19" i="2"/>
  <c r="C19" i="4" s="1"/>
  <c r="BX15" i="2"/>
  <c r="BY15" i="2"/>
  <c r="BN131" i="2"/>
  <c r="BO131" i="2"/>
  <c r="BX225" i="2"/>
  <c r="BY225" i="2"/>
  <c r="BN22" i="2"/>
  <c r="BO22" i="2"/>
  <c r="H13" i="2"/>
  <c r="G13" i="2"/>
  <c r="C14" i="4" s="1"/>
  <c r="AT199" i="2"/>
  <c r="AU199" i="2"/>
  <c r="BN103" i="2"/>
  <c r="BO103" i="2"/>
  <c r="BE4" i="2"/>
  <c r="BD4" i="2"/>
  <c r="BN127" i="2"/>
  <c r="BO127" i="2"/>
  <c r="H97" i="2"/>
  <c r="G97" i="2"/>
  <c r="C100" i="4" s="1"/>
  <c r="AJ20" i="2"/>
  <c r="G21" i="4" s="1"/>
  <c r="AK20" i="2"/>
  <c r="BD142" i="2"/>
  <c r="BE142" i="2"/>
  <c r="BE123" i="2"/>
  <c r="BD123" i="2"/>
  <c r="Q99" i="2"/>
  <c r="P99" i="2"/>
  <c r="D97" i="5" s="1"/>
  <c r="AU32" i="2"/>
  <c r="AT32" i="2"/>
  <c r="BD215" i="2"/>
  <c r="BE215" i="2"/>
  <c r="P53" i="2"/>
  <c r="D51" i="5" s="1"/>
  <c r="Q53" i="2"/>
  <c r="P101" i="2"/>
  <c r="D99" i="5" s="1"/>
  <c r="Q101" i="2"/>
  <c r="AU108" i="2"/>
  <c r="AT108" i="2"/>
  <c r="AT150" i="2"/>
  <c r="AU150" i="2"/>
  <c r="BX133" i="2"/>
  <c r="BY133" i="2"/>
  <c r="AB5" i="2"/>
  <c r="AA5" i="2"/>
  <c r="E6" i="4" s="1"/>
  <c r="D6" i="4" s="1"/>
  <c r="BE54" i="2"/>
  <c r="BD54" i="2"/>
  <c r="BX208" i="2"/>
  <c r="BY208" i="2"/>
  <c r="BD52" i="2"/>
  <c r="BE52" i="2"/>
  <c r="AB108" i="2"/>
  <c r="AA108" i="2"/>
  <c r="E110" i="4" s="1"/>
  <c r="D110" i="4" s="1"/>
  <c r="BD227" i="2"/>
  <c r="BE227" i="2"/>
  <c r="AK218" i="2"/>
  <c r="AJ218" i="2"/>
  <c r="G214" i="4" s="1"/>
  <c r="BY42" i="2"/>
  <c r="BX42" i="2"/>
  <c r="AB204" i="2"/>
  <c r="AA204" i="2"/>
  <c r="E205" i="4" s="1"/>
  <c r="D205" i="4" s="1"/>
  <c r="BX52" i="2"/>
  <c r="BY52" i="2"/>
  <c r="AJ189" i="2"/>
  <c r="G191" i="4" s="1"/>
  <c r="AK189" i="2"/>
  <c r="BE156" i="2"/>
  <c r="BD156" i="2"/>
  <c r="AB194" i="2"/>
  <c r="AA194" i="2"/>
  <c r="E194" i="4" s="1"/>
  <c r="D194" i="4" s="1"/>
  <c r="AB151" i="2"/>
  <c r="AA151" i="2"/>
  <c r="E151" i="4" s="1"/>
  <c r="D151" i="4" s="1"/>
  <c r="AA189" i="2"/>
  <c r="E191" i="4" s="1"/>
  <c r="D191" i="4" s="1"/>
  <c r="AB189" i="2"/>
  <c r="BY72" i="2"/>
  <c r="BX72" i="2"/>
  <c r="G129" i="2"/>
  <c r="C133" i="4" s="1"/>
  <c r="H129" i="2"/>
  <c r="Q110" i="2"/>
  <c r="P110" i="2"/>
  <c r="D111" i="5" s="1"/>
  <c r="AJ184" i="2"/>
  <c r="G187" i="4" s="1"/>
  <c r="AK184" i="2"/>
  <c r="BX123" i="2"/>
  <c r="BY123" i="2"/>
  <c r="BE165" i="2"/>
  <c r="BD165" i="2"/>
  <c r="BY105" i="2"/>
  <c r="BX105" i="2"/>
  <c r="P131" i="2"/>
  <c r="D130" i="5" s="1"/>
  <c r="Q131" i="2"/>
  <c r="P9" i="2"/>
  <c r="D11" i="5" s="1"/>
  <c r="Q9" i="2"/>
  <c r="Q179" i="2"/>
  <c r="P179" i="2"/>
  <c r="AK199" i="2"/>
  <c r="AJ199" i="2"/>
  <c r="G203" i="4" s="1"/>
  <c r="BE213" i="2"/>
  <c r="BD213" i="2"/>
  <c r="P147" i="2"/>
  <c r="Q147" i="2"/>
  <c r="P229" i="2"/>
  <c r="D230" i="5" s="1"/>
  <c r="Q229" i="2"/>
  <c r="Q139" i="2"/>
  <c r="P139" i="2"/>
  <c r="BN166" i="2"/>
  <c r="BO166" i="2"/>
  <c r="BD162" i="2"/>
  <c r="BE162" i="2"/>
  <c r="AT111" i="2"/>
  <c r="AU111" i="2"/>
  <c r="G96" i="2"/>
  <c r="C96" i="4" s="1"/>
  <c r="H96" i="2"/>
  <c r="P65" i="2"/>
  <c r="D66" i="5" s="1"/>
  <c r="Q65" i="2"/>
  <c r="H89" i="2"/>
  <c r="G89" i="2"/>
  <c r="C91" i="4" s="1"/>
  <c r="P82" i="2"/>
  <c r="D83" i="5" s="1"/>
  <c r="Q82" i="2"/>
  <c r="BD16" i="2"/>
  <c r="BE16" i="2"/>
  <c r="BN218" i="2"/>
  <c r="BO218" i="2"/>
  <c r="Q163" i="2"/>
  <c r="P163" i="2"/>
  <c r="AT175" i="2"/>
  <c r="AU175" i="2"/>
  <c r="H117" i="2"/>
  <c r="G117" i="2"/>
  <c r="C118" i="4" s="1"/>
  <c r="BN163" i="2"/>
  <c r="BO163" i="2"/>
  <c r="BD193" i="2"/>
  <c r="BE193" i="2"/>
  <c r="BD166" i="2"/>
  <c r="BE166" i="2"/>
  <c r="AT3" i="2"/>
  <c r="AU3" i="2"/>
  <c r="G170" i="2"/>
  <c r="C179" i="4" s="1"/>
  <c r="H170" i="2"/>
  <c r="AT51" i="2"/>
  <c r="AU51" i="2"/>
  <c r="AU179" i="2"/>
  <c r="AT179" i="2"/>
  <c r="AU20" i="2"/>
  <c r="AT20" i="2"/>
  <c r="AT71" i="2"/>
  <c r="AU71" i="2"/>
  <c r="AU158" i="2"/>
  <c r="AT158" i="2"/>
  <c r="G9" i="2"/>
  <c r="C11" i="4" s="1"/>
  <c r="H9" i="2"/>
  <c r="BN73" i="2"/>
  <c r="BO73" i="2"/>
  <c r="BX167" i="2"/>
  <c r="BY167" i="2"/>
  <c r="H158" i="2"/>
  <c r="G158" i="2"/>
  <c r="C157" i="4" s="1"/>
  <c r="AU187" i="2"/>
  <c r="AT187" i="2"/>
  <c r="G99" i="2"/>
  <c r="C97" i="4" s="1"/>
  <c r="H99" i="2"/>
  <c r="AJ144" i="2"/>
  <c r="G145" i="4" s="1"/>
  <c r="AK144" i="2"/>
  <c r="H94" i="2"/>
  <c r="G94" i="2"/>
  <c r="C90" i="4" s="1"/>
  <c r="AB32" i="2"/>
  <c r="AA32" i="2"/>
  <c r="E38" i="4" s="1"/>
  <c r="D38" i="4" s="1"/>
  <c r="BO130" i="2"/>
  <c r="BN130" i="2"/>
  <c r="AK174" i="2"/>
  <c r="AJ174" i="2"/>
  <c r="G176" i="4" s="1"/>
  <c r="BO187" i="2"/>
  <c r="BN187" i="2"/>
  <c r="BO155" i="2"/>
  <c r="BN155" i="2"/>
  <c r="BN85" i="2"/>
  <c r="BO85" i="2"/>
  <c r="BD105" i="2"/>
  <c r="BE105" i="2"/>
  <c r="BO38" i="2"/>
  <c r="BN38" i="2"/>
  <c r="AJ133" i="2"/>
  <c r="G135" i="4" s="1"/>
  <c r="AK133" i="2"/>
  <c r="AA100" i="2"/>
  <c r="E108" i="4" s="1"/>
  <c r="D108" i="4" s="1"/>
  <c r="AB100" i="2"/>
  <c r="AU190" i="2"/>
  <c r="AT190" i="2"/>
  <c r="P148" i="2"/>
  <c r="D147" i="5" s="1"/>
  <c r="Q148" i="2"/>
  <c r="AT4" i="2"/>
  <c r="AU4" i="2"/>
  <c r="Q216" i="2"/>
  <c r="P216" i="2"/>
  <c r="D220" i="5" s="1"/>
  <c r="BY168" i="2"/>
  <c r="BX168" i="2"/>
  <c r="BY229" i="2"/>
  <c r="BX229" i="2"/>
  <c r="P142" i="2"/>
  <c r="D144" i="5" s="1"/>
  <c r="Q142" i="2"/>
  <c r="P87" i="2"/>
  <c r="Q87" i="2"/>
  <c r="G112" i="2"/>
  <c r="C107" i="4" s="1"/>
  <c r="H112" i="2"/>
  <c r="H14" i="2"/>
  <c r="G14" i="2"/>
  <c r="C15" i="4" s="1"/>
  <c r="BN229" i="2"/>
  <c r="BO229" i="2"/>
  <c r="P194" i="2"/>
  <c r="D194" i="5" s="1"/>
  <c r="Q194" i="2"/>
  <c r="BE40" i="2"/>
  <c r="BD40" i="2"/>
  <c r="BD206" i="2"/>
  <c r="BE206" i="2"/>
  <c r="BN28" i="2"/>
  <c r="BO28" i="2"/>
  <c r="Q224" i="2"/>
  <c r="P224" i="2"/>
  <c r="BN192" i="2"/>
  <c r="BO192" i="2"/>
  <c r="AU196" i="2"/>
  <c r="AT196" i="2"/>
  <c r="AJ169" i="2"/>
  <c r="G169" i="4" s="1"/>
  <c r="AK169" i="2"/>
  <c r="G193" i="2"/>
  <c r="C195" i="4" s="1"/>
  <c r="H193" i="2"/>
  <c r="H84" i="2"/>
  <c r="G84" i="2"/>
  <c r="C84" i="4" s="1"/>
  <c r="BX184" i="2"/>
  <c r="BY184" i="2"/>
  <c r="G58" i="2"/>
  <c r="C60" i="4" s="1"/>
  <c r="H58" i="2"/>
  <c r="BX30" i="2"/>
  <c r="BY30" i="2"/>
  <c r="G175" i="2"/>
  <c r="C180" i="4" s="1"/>
  <c r="H175" i="2"/>
  <c r="G93" i="2"/>
  <c r="C93" i="4" s="1"/>
  <c r="H93" i="2"/>
  <c r="AJ78" i="2"/>
  <c r="G80" i="4" s="1"/>
  <c r="AK78" i="2"/>
  <c r="BN87" i="2"/>
  <c r="BO87" i="2"/>
  <c r="AA150" i="2"/>
  <c r="E149" i="4" s="1"/>
  <c r="D149" i="4" s="1"/>
  <c r="AB150" i="2"/>
  <c r="BY201" i="2"/>
  <c r="BX201" i="2"/>
  <c r="G79" i="2"/>
  <c r="C73" i="4" s="1"/>
  <c r="H79" i="2"/>
  <c r="BY107" i="2"/>
  <c r="BX107" i="2"/>
  <c r="BO62" i="2"/>
  <c r="BN62" i="2"/>
  <c r="BO33" i="2"/>
  <c r="BN33" i="2"/>
  <c r="BN197" i="2"/>
  <c r="BO197" i="2"/>
  <c r="BY199" i="2"/>
  <c r="BX199" i="2"/>
  <c r="AA126" i="2"/>
  <c r="E136" i="4" s="1"/>
  <c r="D136" i="4" s="1"/>
  <c r="AB126" i="2"/>
  <c r="AB196" i="2"/>
  <c r="AA196" i="2"/>
  <c r="E197" i="4" s="1"/>
  <c r="D197" i="4" s="1"/>
  <c r="BN162" i="2"/>
  <c r="BO162" i="2"/>
  <c r="BE101" i="2"/>
  <c r="BD101" i="2"/>
  <c r="AT193" i="2"/>
  <c r="AU193" i="2"/>
  <c r="G165" i="2"/>
  <c r="C168" i="4" s="1"/>
  <c r="H165" i="2"/>
  <c r="P212" i="2"/>
  <c r="Q212" i="2"/>
  <c r="BE192" i="2"/>
  <c r="BD192" i="2"/>
  <c r="BY218" i="2"/>
  <c r="BX218" i="2"/>
  <c r="G44" i="2"/>
  <c r="C47" i="4" s="1"/>
  <c r="H44" i="2"/>
  <c r="BX213" i="2"/>
  <c r="BY213" i="2"/>
  <c r="H134" i="2"/>
  <c r="G134" i="2"/>
  <c r="C134" i="4" s="1"/>
  <c r="BY220" i="2"/>
  <c r="BX220" i="2"/>
  <c r="AU162" i="2"/>
  <c r="AT162" i="2"/>
  <c r="H116" i="2"/>
  <c r="G116" i="2"/>
  <c r="C116" i="4" s="1"/>
  <c r="BE143" i="2"/>
  <c r="BD143" i="2"/>
  <c r="Q111" i="2"/>
  <c r="P111" i="2"/>
  <c r="D113" i="5" s="1"/>
  <c r="G160" i="2"/>
  <c r="C158" i="4" s="1"/>
  <c r="H160" i="2"/>
  <c r="P106" i="2"/>
  <c r="Q106" i="2"/>
  <c r="AT134" i="2"/>
  <c r="AU134" i="2"/>
  <c r="AA30" i="2"/>
  <c r="E28" i="4" s="1"/>
  <c r="D28" i="4" s="1"/>
  <c r="AB30" i="2"/>
  <c r="BY182" i="2"/>
  <c r="BX182" i="2"/>
  <c r="H46" i="2"/>
  <c r="G46" i="2"/>
  <c r="C39" i="4" s="1"/>
  <c r="Q226" i="2"/>
  <c r="P226" i="2"/>
  <c r="D223" i="5" s="1"/>
  <c r="BO65" i="2"/>
  <c r="BN65" i="2"/>
  <c r="Q17" i="2"/>
  <c r="P17" i="2"/>
  <c r="BO182" i="2"/>
  <c r="BN182" i="2"/>
  <c r="BD190" i="2"/>
  <c r="BE190" i="2"/>
  <c r="AJ222" i="2"/>
  <c r="G222" i="4" s="1"/>
  <c r="AK222" i="2"/>
  <c r="AB104" i="2"/>
  <c r="AA104" i="2"/>
  <c r="E109" i="4" s="1"/>
  <c r="D109" i="4" s="1"/>
  <c r="BD12" i="2"/>
  <c r="BE12" i="2"/>
  <c r="BN213" i="2"/>
  <c r="BO213" i="2"/>
  <c r="P127" i="2"/>
  <c r="D131" i="5" s="1"/>
  <c r="Q127" i="2"/>
  <c r="BO39" i="2"/>
  <c r="BN39" i="2"/>
  <c r="BE28" i="2"/>
  <c r="BD28" i="2"/>
  <c r="BY148" i="2"/>
  <c r="BX148" i="2"/>
  <c r="G23" i="2"/>
  <c r="C30" i="4" s="1"/>
  <c r="H23" i="2"/>
  <c r="BE189" i="2"/>
  <c r="BD189" i="2"/>
  <c r="H69" i="2"/>
  <c r="G69" i="2"/>
  <c r="C65" i="4" s="1"/>
  <c r="BN51" i="2"/>
  <c r="BO51" i="2"/>
  <c r="Q93" i="2"/>
  <c r="P93" i="2"/>
  <c r="BX27" i="2"/>
  <c r="BY27" i="2"/>
  <c r="BE122" i="2"/>
  <c r="BD122" i="2"/>
  <c r="BE109" i="2"/>
  <c r="BD109" i="2"/>
  <c r="AK18" i="2"/>
  <c r="AJ18" i="2"/>
  <c r="G18" i="4" s="1"/>
  <c r="P72" i="2"/>
  <c r="D67" i="5" s="1"/>
  <c r="Q72" i="2"/>
  <c r="AU209" i="2"/>
  <c r="AT209" i="2"/>
  <c r="AU225" i="2"/>
  <c r="AT225" i="2"/>
  <c r="AK65" i="2"/>
  <c r="AJ65" i="2"/>
  <c r="G66" i="4" s="1"/>
  <c r="BY88" i="2"/>
  <c r="BX88" i="2"/>
  <c r="BX66" i="2"/>
  <c r="BY66" i="2"/>
  <c r="BY61" i="2"/>
  <c r="BX61" i="2"/>
  <c r="AJ32" i="2"/>
  <c r="G38" i="4" s="1"/>
  <c r="AK32" i="2"/>
  <c r="AA80" i="2"/>
  <c r="E75" i="4" s="1"/>
  <c r="D75" i="4" s="1"/>
  <c r="AB80" i="2"/>
  <c r="BN136" i="2"/>
  <c r="BO136" i="2"/>
  <c r="BE35" i="2"/>
  <c r="BD35" i="2"/>
  <c r="H171" i="2"/>
  <c r="G171" i="2"/>
  <c r="C173" i="4" s="1"/>
  <c r="BO66" i="2"/>
  <c r="BN66" i="2"/>
  <c r="BY41" i="2"/>
  <c r="BX41" i="2"/>
  <c r="G56" i="2"/>
  <c r="C53" i="4" s="1"/>
  <c r="H56" i="2"/>
  <c r="Q88" i="2"/>
  <c r="P88" i="2"/>
  <c r="D89" i="5" s="1"/>
  <c r="Q86" i="2"/>
  <c r="P86" i="2"/>
  <c r="H166" i="2"/>
  <c r="G166" i="2"/>
  <c r="C166" i="4" s="1"/>
  <c r="AU195" i="2"/>
  <c r="AT195" i="2"/>
  <c r="H50" i="2"/>
  <c r="G50" i="2"/>
  <c r="C52" i="4" s="1"/>
  <c r="AT122" i="2"/>
  <c r="AU122" i="2"/>
  <c r="BD128" i="2"/>
  <c r="BE128" i="2"/>
  <c r="BN180" i="2"/>
  <c r="BO180" i="2"/>
  <c r="AU65" i="2"/>
  <c r="AT65" i="2"/>
  <c r="BO47" i="2"/>
  <c r="BN47" i="2"/>
  <c r="H3" i="2"/>
  <c r="G3" i="2"/>
  <c r="C4" i="4" s="1"/>
  <c r="BO168" i="2"/>
  <c r="BN168" i="2"/>
  <c r="BN185" i="2"/>
  <c r="BO185" i="2"/>
  <c r="AK129" i="2"/>
  <c r="AJ129" i="2"/>
  <c r="G133" i="4" s="1"/>
  <c r="BN195" i="2"/>
  <c r="BO195" i="2"/>
  <c r="AU178" i="2"/>
  <c r="AT178" i="2"/>
  <c r="BE171" i="2"/>
  <c r="BD171" i="2"/>
  <c r="BD127" i="2"/>
  <c r="BE127" i="2"/>
  <c r="P174" i="2"/>
  <c r="Q174" i="2"/>
  <c r="P141" i="2"/>
  <c r="D139" i="5" s="1"/>
  <c r="Q141" i="2"/>
  <c r="BD191" i="2"/>
  <c r="BE191" i="2"/>
  <c r="AU68" i="2"/>
  <c r="AT68" i="2"/>
  <c r="P136" i="2"/>
  <c r="D128" i="5" s="1"/>
  <c r="Q136" i="2"/>
  <c r="BO137" i="2"/>
  <c r="BN137" i="2"/>
  <c r="AU219" i="2"/>
  <c r="AT219" i="2"/>
  <c r="BY77" i="2"/>
  <c r="BX77" i="2"/>
  <c r="BD175" i="2"/>
  <c r="BE175" i="2"/>
  <c r="BO88" i="2"/>
  <c r="BN88" i="2"/>
  <c r="AA41" i="2"/>
  <c r="E46" i="4" s="1"/>
  <c r="D46" i="4" s="1"/>
  <c r="AB41" i="2"/>
  <c r="BO77" i="2"/>
  <c r="BN77" i="2"/>
  <c r="BN220" i="2"/>
  <c r="BO220" i="2"/>
  <c r="Q202" i="2"/>
  <c r="P202" i="2"/>
  <c r="D201" i="5" s="1"/>
  <c r="H229" i="2"/>
  <c r="G229" i="2"/>
  <c r="C230" i="4" s="1"/>
  <c r="AT80" i="2"/>
  <c r="AU80" i="2"/>
  <c r="BY46" i="2"/>
  <c r="BX46" i="2"/>
  <c r="BD144" i="2"/>
  <c r="BE144" i="2"/>
  <c r="BD202" i="2"/>
  <c r="BE202" i="2"/>
  <c r="BX195" i="2"/>
  <c r="BY195" i="2"/>
  <c r="AK50" i="2"/>
  <c r="AJ50" i="2"/>
  <c r="G52" i="4" s="1"/>
  <c r="BD194" i="2"/>
  <c r="BE194" i="2"/>
  <c r="AK90" i="2"/>
  <c r="AJ90" i="2"/>
  <c r="G94" i="4" s="1"/>
  <c r="BD161" i="2"/>
  <c r="BE161" i="2"/>
  <c r="BY40" i="2"/>
  <c r="BX40" i="2"/>
  <c r="AU55" i="2"/>
  <c r="AT55" i="2"/>
  <c r="AU183" i="2"/>
  <c r="AT183" i="2"/>
  <c r="BD24" i="2"/>
  <c r="BE24" i="2"/>
  <c r="BN160" i="2"/>
  <c r="BO160" i="2"/>
  <c r="H39" i="2"/>
  <c r="G39" i="2"/>
  <c r="C33" i="4" s="1"/>
  <c r="AJ74" i="2"/>
  <c r="G74" i="4" s="1"/>
  <c r="AK74" i="2"/>
  <c r="BY212" i="2"/>
  <c r="BX212" i="2"/>
  <c r="AA95" i="2"/>
  <c r="E101" i="4" s="1"/>
  <c r="D101" i="4" s="1"/>
  <c r="AB95" i="2"/>
  <c r="BN32" i="2"/>
  <c r="BO32" i="2"/>
  <c r="AK176" i="2"/>
  <c r="AJ176" i="2"/>
  <c r="G177" i="4" s="1"/>
  <c r="Q25" i="2"/>
  <c r="P25" i="2"/>
  <c r="D27" i="5" s="1"/>
  <c r="AT210" i="2"/>
  <c r="AU210" i="2"/>
  <c r="Q70" i="2"/>
  <c r="P70" i="2"/>
  <c r="D71" i="5" s="1"/>
  <c r="BD97" i="2"/>
  <c r="BE97" i="2"/>
  <c r="AA89" i="2"/>
  <c r="E91" i="4" s="1"/>
  <c r="D91" i="4" s="1"/>
  <c r="AB89" i="2"/>
  <c r="AT104" i="2"/>
  <c r="AU104" i="2"/>
  <c r="BN16" i="2"/>
  <c r="BO16" i="2"/>
  <c r="BO104" i="2"/>
  <c r="BN104" i="2"/>
  <c r="BY146" i="2"/>
  <c r="BX146" i="2"/>
  <c r="P144" i="2"/>
  <c r="D145" i="5" s="1"/>
  <c r="Q144" i="2"/>
  <c r="BD3" i="2"/>
  <c r="BE3" i="2"/>
  <c r="BX147" i="2"/>
  <c r="BY147" i="2"/>
  <c r="BO86" i="2"/>
  <c r="BN86" i="2"/>
  <c r="Q223" i="2"/>
  <c r="P223" i="2"/>
  <c r="BY43" i="2"/>
  <c r="BX43" i="2"/>
  <c r="Q195" i="2"/>
  <c r="P195" i="2"/>
  <c r="D196" i="5" s="1"/>
  <c r="AU156" i="2"/>
  <c r="AT156" i="2"/>
  <c r="BD39" i="2"/>
  <c r="BE39" i="2"/>
  <c r="BE196" i="2"/>
  <c r="BD196" i="2"/>
  <c r="AT46" i="2"/>
  <c r="AU46" i="2"/>
  <c r="AK12" i="2"/>
  <c r="AJ12" i="2"/>
  <c r="G13" i="4" s="1"/>
  <c r="BY22" i="2"/>
  <c r="BX22" i="2"/>
  <c r="AJ97" i="2"/>
  <c r="G100" i="4" s="1"/>
  <c r="AK97" i="2"/>
  <c r="BE130" i="2"/>
  <c r="BD130" i="2"/>
  <c r="BN96" i="2"/>
  <c r="BO96" i="2"/>
  <c r="BN199" i="2"/>
  <c r="BO199" i="2"/>
  <c r="AU137" i="2"/>
  <c r="AT137" i="2"/>
  <c r="AJ153" i="2"/>
  <c r="G162" i="4" s="1"/>
  <c r="AK153" i="2"/>
  <c r="BN143" i="2"/>
  <c r="BO143" i="2"/>
  <c r="AK227" i="2"/>
  <c r="AJ227" i="2"/>
  <c r="G228" i="4" s="1"/>
  <c r="AB170" i="2"/>
  <c r="AA170" i="2"/>
  <c r="E179" i="4" s="1"/>
  <c r="D179" i="4" s="1"/>
  <c r="BO98" i="2"/>
  <c r="BN98" i="2"/>
  <c r="AK86" i="2"/>
  <c r="AJ86" i="2"/>
  <c r="G86" i="4" s="1"/>
  <c r="BE47" i="2"/>
  <c r="BD47" i="2"/>
  <c r="BD111" i="2"/>
  <c r="BE111" i="2"/>
  <c r="BX83" i="2"/>
  <c r="BY83" i="2"/>
  <c r="AK70" i="2"/>
  <c r="AJ70" i="2"/>
  <c r="G71" i="4" s="1"/>
  <c r="AK188" i="2"/>
  <c r="AJ188" i="2"/>
  <c r="G185" i="4" s="1"/>
  <c r="AB110" i="2"/>
  <c r="AA110" i="2"/>
  <c r="E111" i="4" s="1"/>
  <c r="D111" i="4" s="1"/>
  <c r="BD155" i="2"/>
  <c r="BE155" i="2"/>
  <c r="AK161" i="2"/>
  <c r="AJ161" i="2"/>
  <c r="G156" i="4" s="1"/>
  <c r="BN67" i="2"/>
  <c r="BO67" i="2"/>
  <c r="AT73" i="2"/>
  <c r="AU73" i="2"/>
  <c r="BX75" i="2"/>
  <c r="BY75" i="2"/>
  <c r="P172" i="2"/>
  <c r="D174" i="5" s="1"/>
  <c r="Q172" i="2"/>
  <c r="AB35" i="2"/>
  <c r="AA35" i="2"/>
  <c r="E40" i="4" s="1"/>
  <c r="D40" i="4" s="1"/>
  <c r="P105" i="2"/>
  <c r="D102" i="5" s="1"/>
  <c r="Q105" i="2"/>
  <c r="AT49" i="2"/>
  <c r="AU49" i="2"/>
  <c r="BO228" i="2"/>
  <c r="BN228" i="2"/>
  <c r="AB180" i="2"/>
  <c r="AA180" i="2"/>
  <c r="E164" i="4" s="1"/>
  <c r="D164" i="4" s="1"/>
  <c r="AT53" i="2"/>
  <c r="AU53" i="2"/>
  <c r="P14" i="2"/>
  <c r="D15" i="5" s="1"/>
  <c r="Q14" i="2"/>
  <c r="AU57" i="2"/>
  <c r="AT57" i="2"/>
  <c r="BN34" i="2"/>
  <c r="BO34" i="2"/>
  <c r="AT221" i="2"/>
  <c r="AU221" i="2"/>
  <c r="G197" i="2"/>
  <c r="C198" i="4" s="1"/>
  <c r="H197" i="2"/>
  <c r="BN81" i="2"/>
  <c r="BO81" i="2"/>
  <c r="AU184" i="2"/>
  <c r="AT184" i="2"/>
  <c r="G126" i="2"/>
  <c r="C136" i="4" s="1"/>
  <c r="H126" i="2"/>
  <c r="BD176" i="2"/>
  <c r="BE176" i="2"/>
  <c r="P50" i="2"/>
  <c r="Q50" i="2"/>
  <c r="BO4" i="2"/>
  <c r="BN4" i="2"/>
  <c r="BN29" i="2"/>
  <c r="BO29" i="2"/>
  <c r="BE94" i="2"/>
  <c r="BD94" i="2"/>
  <c r="AB139" i="2"/>
  <c r="AA139" i="2"/>
  <c r="E141" i="4" s="1"/>
  <c r="D141" i="4" s="1"/>
  <c r="BE67" i="2"/>
  <c r="BD67" i="2"/>
  <c r="AA9" i="2"/>
  <c r="E11" i="4" s="1"/>
  <c r="D11" i="4" s="1"/>
  <c r="AB9" i="2"/>
  <c r="BY29" i="2"/>
  <c r="BX29" i="2"/>
  <c r="Q204" i="2"/>
  <c r="P204" i="2"/>
  <c r="D205" i="5" s="1"/>
  <c r="BX143" i="2"/>
  <c r="BY143" i="2"/>
  <c r="BY118" i="2"/>
  <c r="BX118" i="2"/>
  <c r="AA217" i="2"/>
  <c r="E216" i="4" s="1"/>
  <c r="D216" i="4" s="1"/>
  <c r="AB217" i="2"/>
  <c r="BO43" i="2"/>
  <c r="BN43" i="2"/>
  <c r="AB173" i="2"/>
  <c r="AA173" i="2"/>
  <c r="E171" i="4" s="1"/>
  <c r="D171" i="4" s="1"/>
  <c r="BO156" i="2"/>
  <c r="BN156" i="2"/>
  <c r="AB107" i="2"/>
  <c r="AA107" i="2"/>
  <c r="E105" i="4" s="1"/>
  <c r="D105" i="4" s="1"/>
  <c r="BN35" i="2"/>
  <c r="BO35" i="2"/>
  <c r="BD33" i="2"/>
  <c r="BE33" i="2"/>
  <c r="BN102" i="2"/>
  <c r="BO102" i="2"/>
  <c r="AK15" i="2"/>
  <c r="AJ15" i="2"/>
  <c r="G16" i="4" s="1"/>
  <c r="BD150" i="2"/>
  <c r="BE150" i="2"/>
  <c r="AB215" i="2"/>
  <c r="AA215" i="2"/>
  <c r="E208" i="4" s="1"/>
  <c r="D208" i="4" s="1"/>
  <c r="AB33" i="2"/>
  <c r="AA33" i="2"/>
  <c r="E37" i="4" s="1"/>
  <c r="D37" i="4" s="1"/>
  <c r="BE98" i="2"/>
  <c r="BD98" i="2"/>
  <c r="AB229" i="2"/>
  <c r="AA229" i="2"/>
  <c r="E230" i="4" s="1"/>
  <c r="D230" i="4" s="1"/>
  <c r="BO90" i="2"/>
  <c r="BN90" i="2"/>
  <c r="BN179" i="2"/>
  <c r="BO179" i="2"/>
  <c r="BX113" i="2"/>
  <c r="BY113" i="2"/>
  <c r="BY190" i="2"/>
  <c r="BX190" i="2"/>
  <c r="BD60" i="2"/>
  <c r="BE60" i="2"/>
  <c r="AJ24" i="2"/>
  <c r="G25" i="4" s="1"/>
  <c r="AK24" i="2"/>
  <c r="BX205" i="2"/>
  <c r="BY205" i="2"/>
  <c r="AK221" i="2"/>
  <c r="AJ221" i="2"/>
  <c r="G224" i="4" s="1"/>
  <c r="AK105" i="2"/>
  <c r="AJ105" i="2"/>
  <c r="G102" i="4" s="1"/>
  <c r="BX84" i="2"/>
  <c r="BY84" i="2"/>
  <c r="AK175" i="2"/>
  <c r="AJ175" i="2"/>
  <c r="G180" i="4" s="1"/>
  <c r="BY178" i="2"/>
  <c r="BX178" i="2"/>
  <c r="BX97" i="2"/>
  <c r="BY97" i="2"/>
  <c r="AU50" i="2"/>
  <c r="AT50" i="2"/>
  <c r="H196" i="2"/>
  <c r="G196" i="2"/>
  <c r="C197" i="4" s="1"/>
  <c r="AU89" i="2"/>
  <c r="AT89" i="2"/>
  <c r="P85" i="2"/>
  <c r="D92" i="5" s="1"/>
  <c r="Q85" i="2"/>
  <c r="BN198" i="2"/>
  <c r="BO198" i="2"/>
  <c r="AU154" i="2"/>
  <c r="AT154" i="2"/>
  <c r="BY126" i="2"/>
  <c r="BX126" i="2"/>
  <c r="BY63" i="2"/>
  <c r="BX63" i="2"/>
  <c r="AK147" i="2"/>
  <c r="AJ147" i="2"/>
  <c r="G152" i="4" s="1"/>
  <c r="AJ4" i="2"/>
  <c r="G5" i="4" s="1"/>
  <c r="AK4" i="2"/>
  <c r="AU19" i="2"/>
  <c r="AT19" i="2"/>
  <c r="AU120" i="2"/>
  <c r="AT120" i="2"/>
  <c r="BD17" i="2"/>
  <c r="BE17" i="2"/>
  <c r="BO172" i="2"/>
  <c r="BN172" i="2"/>
  <c r="BO114" i="2"/>
  <c r="BN114" i="2"/>
  <c r="AT24" i="2"/>
  <c r="AU24" i="2"/>
  <c r="BY203" i="2"/>
  <c r="BX203" i="2"/>
  <c r="BN46" i="2"/>
  <c r="BO46" i="2"/>
  <c r="BD157" i="2"/>
  <c r="BE157" i="2"/>
  <c r="AK38" i="2"/>
  <c r="AJ38" i="2"/>
  <c r="G32" i="4" s="1"/>
  <c r="BO71" i="2"/>
  <c r="BN71" i="2"/>
  <c r="BN221" i="2"/>
  <c r="BO221" i="2"/>
  <c r="BX189" i="2"/>
  <c r="BY189" i="2"/>
  <c r="AA147" i="2"/>
  <c r="E152" i="4" s="1"/>
  <c r="D152" i="4" s="1"/>
  <c r="AB147" i="2"/>
  <c r="Q43" i="2"/>
  <c r="P43" i="2"/>
  <c r="D44" i="5" s="1"/>
  <c r="AB13" i="2"/>
  <c r="AA13" i="2"/>
  <c r="E14" i="4" s="1"/>
  <c r="D14" i="4" s="1"/>
  <c r="AK55" i="2"/>
  <c r="AJ55" i="2"/>
  <c r="G50" i="4" s="1"/>
  <c r="BD149" i="2"/>
  <c r="BE149" i="2"/>
  <c r="AJ194" i="2"/>
  <c r="G194" i="4" s="1"/>
  <c r="AK194" i="2"/>
  <c r="BY14" i="2"/>
  <c r="BX14" i="2"/>
  <c r="BY48" i="2"/>
  <c r="BX48" i="2"/>
  <c r="BO24" i="2"/>
  <c r="BN24" i="2"/>
  <c r="BX174" i="2"/>
  <c r="BY174" i="2"/>
  <c r="BY56" i="2"/>
  <c r="BX56" i="2"/>
  <c r="BX136" i="2"/>
  <c r="BY136" i="2"/>
  <c r="BE136" i="2"/>
  <c r="BD136" i="2"/>
  <c r="BX101" i="2"/>
  <c r="BY101" i="2"/>
  <c r="BO37" i="2"/>
  <c r="BN37" i="2"/>
  <c r="BY131" i="2"/>
  <c r="BX131" i="2"/>
  <c r="BY194" i="2"/>
  <c r="BX194" i="2"/>
  <c r="BD160" i="2"/>
  <c r="BE160" i="2"/>
  <c r="BN123" i="2"/>
  <c r="BO123" i="2"/>
  <c r="BN145" i="2"/>
  <c r="BO145" i="2"/>
  <c r="AJ91" i="2"/>
  <c r="G82" i="4" s="1"/>
  <c r="AK91" i="2"/>
  <c r="AJ167" i="2"/>
  <c r="G170" i="4" s="1"/>
  <c r="AK167" i="2"/>
  <c r="AJ68" i="2"/>
  <c r="G62" i="4" s="1"/>
  <c r="AK68" i="2"/>
  <c r="AA158" i="2"/>
  <c r="E157" i="4" s="1"/>
  <c r="D157" i="4" s="1"/>
  <c r="AB158" i="2"/>
  <c r="BO53" i="2"/>
  <c r="BN53" i="2"/>
  <c r="BO215" i="2"/>
  <c r="BN215" i="2"/>
  <c r="AK26" i="2"/>
  <c r="AJ26" i="2"/>
  <c r="G23" i="4" s="1"/>
  <c r="BY145" i="2"/>
  <c r="BX145" i="2"/>
  <c r="P4" i="2"/>
  <c r="D5" i="5" s="1"/>
  <c r="Q4" i="2"/>
  <c r="BE217" i="2"/>
  <c r="BD217" i="2"/>
  <c r="BE116" i="2"/>
  <c r="BD116" i="2"/>
  <c r="AU61" i="2"/>
  <c r="AT61" i="2"/>
  <c r="BO205" i="2"/>
  <c r="BN205" i="2"/>
  <c r="AJ66" i="2"/>
  <c r="G69" i="4" s="1"/>
  <c r="AK66" i="2"/>
  <c r="AU62" i="2"/>
  <c r="AT62" i="2"/>
  <c r="BE212" i="2"/>
  <c r="BD212" i="2"/>
  <c r="P116" i="2"/>
  <c r="D116" i="5" s="1"/>
  <c r="Q116" i="2"/>
  <c r="P213" i="2"/>
  <c r="D219" i="5" s="1"/>
  <c r="Q213" i="2"/>
  <c r="G27" i="2"/>
  <c r="C26" i="4" s="1"/>
  <c r="H27" i="2"/>
  <c r="AK164" i="2"/>
  <c r="AJ164" i="2"/>
  <c r="G163" i="4" s="1"/>
  <c r="BN202" i="2"/>
  <c r="BO202" i="2"/>
  <c r="BO190" i="2"/>
  <c r="BN190" i="2"/>
  <c r="AA31" i="2"/>
  <c r="E34" i="4" s="1"/>
  <c r="D34" i="4" s="1"/>
  <c r="AB31" i="2"/>
  <c r="BX197" i="2"/>
  <c r="BY197" i="2"/>
  <c r="AU52" i="2"/>
  <c r="AT52" i="2"/>
  <c r="BE85" i="2"/>
  <c r="BD85" i="2"/>
  <c r="AT118" i="2"/>
  <c r="AU118" i="2"/>
  <c r="BX65" i="2"/>
  <c r="BY65" i="2"/>
  <c r="BE21" i="2"/>
  <c r="BD21" i="2"/>
  <c r="AK217" i="2"/>
  <c r="AJ217" i="2"/>
  <c r="G216" i="4" s="1"/>
  <c r="BX9" i="2"/>
  <c r="BY9" i="2"/>
  <c r="BY224" i="2"/>
  <c r="BX224" i="2"/>
  <c r="BX58" i="2"/>
  <c r="BY58" i="2"/>
  <c r="AT96" i="2"/>
  <c r="AU96" i="2"/>
  <c r="BN63" i="2"/>
  <c r="BO63" i="2"/>
  <c r="AU172" i="2"/>
  <c r="AT172" i="2"/>
  <c r="BY93" i="2"/>
  <c r="BX93" i="2"/>
  <c r="BX187" i="2"/>
  <c r="BY187" i="2"/>
  <c r="BY223" i="2"/>
  <c r="BX223" i="2"/>
  <c r="AA27" i="2"/>
  <c r="E26" i="4" s="1"/>
  <c r="D26" i="4" s="1"/>
  <c r="AB27" i="2"/>
  <c r="BE173" i="2"/>
  <c r="BD173" i="2"/>
  <c r="Q165" i="2"/>
  <c r="P165" i="2"/>
  <c r="BY5" i="2"/>
  <c r="BX5" i="2"/>
  <c r="BO196" i="2"/>
  <c r="BN196" i="2"/>
  <c r="BO83" i="2"/>
  <c r="BN83" i="2"/>
  <c r="BY163" i="2"/>
  <c r="BX163" i="2"/>
  <c r="AU191" i="2"/>
  <c r="AT191" i="2"/>
  <c r="BD89" i="2"/>
  <c r="BE89" i="2"/>
  <c r="AU200" i="2"/>
  <c r="AT200" i="2"/>
  <c r="BX125" i="2"/>
  <c r="BY125" i="2"/>
  <c r="BY171" i="2"/>
  <c r="BX171" i="2"/>
  <c r="Q168" i="2"/>
  <c r="P168" i="2"/>
  <c r="BO148" i="2"/>
  <c r="BN148" i="2"/>
  <c r="BY115" i="2"/>
  <c r="BX115" i="2"/>
  <c r="BN78" i="2"/>
  <c r="BO78" i="2"/>
  <c r="BY120" i="2"/>
  <c r="BX120" i="2"/>
  <c r="BY162" i="2"/>
  <c r="BX162" i="2"/>
  <c r="AB155" i="2"/>
  <c r="AA155" i="2"/>
  <c r="E161" i="4" s="1"/>
  <c r="D161" i="4" s="1"/>
  <c r="BO181" i="2"/>
  <c r="BN181" i="2"/>
  <c r="AJ173" i="2"/>
  <c r="G171" i="4" s="1"/>
  <c r="AK173" i="2"/>
  <c r="BN70" i="2"/>
  <c r="BO70" i="2"/>
  <c r="BY86" i="2"/>
  <c r="BX86" i="2"/>
  <c r="BD11" i="2"/>
  <c r="BE11" i="2"/>
  <c r="AK80" i="2"/>
  <c r="AJ80" i="2"/>
  <c r="G75" i="4" s="1"/>
  <c r="BE96" i="2"/>
  <c r="BD96" i="2"/>
  <c r="AK100" i="2"/>
  <c r="AJ100" i="2"/>
  <c r="G108" i="4" s="1"/>
  <c r="BX198" i="2"/>
  <c r="BY198" i="2"/>
  <c r="BD133" i="2"/>
  <c r="BE133" i="2"/>
  <c r="AT146" i="2"/>
  <c r="AU146" i="2"/>
  <c r="BD214" i="2"/>
  <c r="BE214" i="2"/>
  <c r="AT224" i="2"/>
  <c r="AU224" i="2"/>
  <c r="BD114" i="2"/>
  <c r="BE114" i="2"/>
  <c r="BN227" i="2"/>
  <c r="BO227" i="2"/>
  <c r="AT87" i="2"/>
  <c r="AU87" i="2"/>
  <c r="AU145" i="2"/>
  <c r="AT145" i="2"/>
  <c r="AU79" i="2"/>
  <c r="AT79" i="2"/>
  <c r="BY179" i="2"/>
  <c r="BX179" i="2"/>
  <c r="BY81" i="2"/>
  <c r="BX81" i="2"/>
  <c r="BN132" i="2"/>
  <c r="BO132" i="2"/>
  <c r="AU75" i="2"/>
  <c r="AT75" i="2"/>
  <c r="BD65" i="2"/>
  <c r="BE65" i="2"/>
  <c r="BE37" i="2"/>
  <c r="BD37" i="2"/>
  <c r="BE228" i="2"/>
  <c r="BD228" i="2"/>
  <c r="AU217" i="2"/>
  <c r="AT217" i="2"/>
  <c r="AU85" i="2"/>
  <c r="AT85" i="2"/>
  <c r="P84" i="2"/>
  <c r="D84" i="5" s="1"/>
  <c r="Q84" i="2"/>
  <c r="BE218" i="2"/>
  <c r="BD218" i="2"/>
  <c r="AU176" i="2"/>
  <c r="AT176" i="2"/>
  <c r="AU211" i="2"/>
  <c r="AT211" i="2"/>
  <c r="BE210" i="2"/>
  <c r="BD210" i="2"/>
  <c r="AK79" i="2"/>
  <c r="AJ79" i="2"/>
  <c r="G73" i="4" s="1"/>
  <c r="AJ110" i="2"/>
  <c r="G111" i="4" s="1"/>
  <c r="AK110" i="2"/>
  <c r="BN111" i="2"/>
  <c r="BO111" i="2"/>
  <c r="BN144" i="2"/>
  <c r="BO144" i="2"/>
  <c r="P138" i="2"/>
  <c r="Q138" i="2"/>
  <c r="AB219" i="2"/>
  <c r="AA219" i="2"/>
  <c r="E213" i="4" s="1"/>
  <c r="D213" i="4" s="1"/>
  <c r="BE119" i="2"/>
  <c r="BD119" i="2"/>
  <c r="AU48" i="2"/>
  <c r="AT48" i="2"/>
  <c r="AT81" i="2"/>
  <c r="AU81" i="2"/>
  <c r="AA159" i="2"/>
  <c r="E160" i="4" s="1"/>
  <c r="D160" i="4" s="1"/>
  <c r="AB159" i="2"/>
  <c r="AT64" i="2"/>
  <c r="AU64" i="2"/>
  <c r="BE55" i="2"/>
  <c r="BD55" i="2"/>
  <c r="AU152" i="2"/>
  <c r="AT152" i="2"/>
  <c r="BY90" i="2"/>
  <c r="BX90" i="2"/>
  <c r="BE207" i="2"/>
  <c r="BD207" i="2"/>
  <c r="BX47" i="2"/>
  <c r="BY47" i="2"/>
  <c r="BY99" i="2"/>
  <c r="BX99" i="2"/>
  <c r="AT22" i="2"/>
  <c r="AU22" i="2"/>
  <c r="AK44" i="2"/>
  <c r="AJ44" i="2"/>
  <c r="G47" i="4" s="1"/>
  <c r="BO101" i="2"/>
  <c r="BN101" i="2"/>
  <c r="BY91" i="2"/>
  <c r="BX91" i="2"/>
  <c r="AK229" i="2"/>
  <c r="AJ229" i="2"/>
  <c r="G230" i="4" s="1"/>
  <c r="AA102" i="2"/>
  <c r="E85" i="4" s="1"/>
  <c r="D85" i="4" s="1"/>
  <c r="AB102" i="2"/>
  <c r="AK88" i="2"/>
  <c r="AJ88" i="2"/>
  <c r="G89" i="4" s="1"/>
  <c r="H176" i="2"/>
  <c r="G176" i="2"/>
  <c r="C177" i="4" s="1"/>
  <c r="BE76" i="2"/>
  <c r="BD76" i="2"/>
  <c r="BY62" i="2"/>
  <c r="BX62" i="2"/>
  <c r="BD200" i="2"/>
  <c r="BE200" i="2"/>
  <c r="BN203" i="2"/>
  <c r="BO203" i="2"/>
  <c r="AJ93" i="2"/>
  <c r="G93" i="4" s="1"/>
  <c r="AK93" i="2"/>
  <c r="BX221" i="2"/>
  <c r="BY221" i="2"/>
  <c r="BE31" i="2"/>
  <c r="BD31" i="2"/>
  <c r="BE168" i="2"/>
  <c r="BD168" i="2"/>
  <c r="BX185" i="2"/>
  <c r="BY185" i="2"/>
  <c r="BN224" i="2"/>
  <c r="BO224" i="2"/>
  <c r="BD36" i="2"/>
  <c r="BE36" i="2"/>
  <c r="BE13" i="2"/>
  <c r="BD13" i="2"/>
  <c r="BN207" i="2"/>
  <c r="BO207" i="2"/>
  <c r="BN146" i="2"/>
  <c r="BO146" i="2"/>
  <c r="Q49" i="2"/>
  <c r="P49" i="2"/>
  <c r="BX165" i="2"/>
  <c r="BY165" i="2"/>
  <c r="BE129" i="2"/>
  <c r="BD129" i="2"/>
  <c r="BN200" i="2"/>
  <c r="BO200" i="2"/>
  <c r="BY18" i="2"/>
  <c r="BX18" i="2"/>
  <c r="AJ6" i="2"/>
  <c r="G7" i="4" s="1"/>
  <c r="AK6" i="2"/>
  <c r="BO60" i="2"/>
  <c r="BN60" i="2"/>
  <c r="Q73" i="2"/>
  <c r="P73" i="2"/>
  <c r="BN191" i="2"/>
  <c r="BO191" i="2"/>
  <c r="BE195" i="2"/>
  <c r="BD195" i="2"/>
  <c r="Q153" i="2"/>
  <c r="P153" i="2"/>
  <c r="BN75" i="2"/>
  <c r="BO75" i="2"/>
  <c r="AT125" i="2"/>
  <c r="AU125" i="2"/>
  <c r="BX37" i="2"/>
  <c r="BY37" i="2"/>
  <c r="BN183" i="2"/>
  <c r="BO183" i="2"/>
  <c r="AU37" i="2"/>
  <c r="AT37" i="2"/>
  <c r="AJ198" i="2"/>
  <c r="G204" i="4" s="1"/>
  <c r="AK198" i="2"/>
  <c r="BE73" i="2"/>
  <c r="BD73" i="2"/>
  <c r="BX69" i="2"/>
  <c r="BY69" i="2"/>
  <c r="BD138" i="2"/>
  <c r="BE138" i="2"/>
  <c r="BD159" i="2"/>
  <c r="BE159" i="2"/>
  <c r="BN19" i="2"/>
  <c r="BO19" i="2"/>
  <c r="AK165" i="2"/>
  <c r="AJ165" i="2"/>
  <c r="G168" i="4" s="1"/>
  <c r="BD59" i="2"/>
  <c r="BE59" i="2"/>
  <c r="BY70" i="2"/>
  <c r="BX70" i="2"/>
  <c r="AT54" i="2"/>
  <c r="AU54" i="2"/>
  <c r="BO135" i="2"/>
  <c r="BN135" i="2"/>
  <c r="BY24" i="2"/>
  <c r="BX24" i="2"/>
  <c r="BX33" i="2"/>
  <c r="BY33" i="2"/>
  <c r="AK69" i="2"/>
  <c r="AJ69" i="2"/>
  <c r="G65" i="4" s="1"/>
  <c r="BE18" i="2"/>
  <c r="BD18" i="2"/>
  <c r="AK40" i="2"/>
  <c r="AJ40" i="2"/>
  <c r="G41" i="4" s="1"/>
  <c r="BE201" i="2"/>
  <c r="BD201" i="2"/>
  <c r="BO140" i="2"/>
  <c r="BN140" i="2"/>
  <c r="BX110" i="2"/>
  <c r="BY110" i="2"/>
  <c r="BE62" i="2"/>
  <c r="BD62" i="2"/>
  <c r="BY68" i="2"/>
  <c r="BX68" i="2"/>
  <c r="AK204" i="2"/>
  <c r="AJ204" i="2"/>
  <c r="G205" i="4" s="1"/>
  <c r="BO52" i="2"/>
  <c r="BN52" i="2"/>
  <c r="BD22" i="2"/>
  <c r="BE22" i="2"/>
  <c r="BX96" i="2"/>
  <c r="BY96" i="2"/>
  <c r="AK34" i="2"/>
  <c r="AJ34" i="2"/>
  <c r="G35" i="4" s="1"/>
  <c r="AJ140" i="2"/>
  <c r="G142" i="4" s="1"/>
  <c r="AK140" i="2"/>
  <c r="BX82" i="2"/>
  <c r="BY82" i="2"/>
  <c r="BY172" i="2"/>
  <c r="BX172" i="2"/>
  <c r="AK192" i="2"/>
  <c r="AJ192" i="2"/>
  <c r="G193" i="4" s="1"/>
  <c r="AK99" i="2"/>
  <c r="AJ99" i="2"/>
  <c r="G97" i="4" s="1"/>
  <c r="AK228" i="2"/>
  <c r="AJ228" i="2"/>
  <c r="G227" i="4" s="1"/>
  <c r="BE197" i="2"/>
  <c r="BD197" i="2"/>
  <c r="BO18" i="2"/>
  <c r="BN18" i="2"/>
  <c r="AK54" i="2"/>
  <c r="AJ54" i="2"/>
  <c r="G56" i="4" s="1"/>
  <c r="AB186" i="2"/>
  <c r="AA186" i="2"/>
  <c r="E184" i="4" s="1"/>
  <c r="D184" i="4" s="1"/>
  <c r="BX106" i="2"/>
  <c r="BY106" i="2"/>
  <c r="AA174" i="2"/>
  <c r="E176" i="4" s="1"/>
  <c r="D176" i="4" s="1"/>
  <c r="AB174" i="2"/>
  <c r="AU97" i="2"/>
  <c r="AT97" i="2"/>
  <c r="BD183" i="2"/>
  <c r="BE183" i="2"/>
  <c r="BY152" i="2"/>
  <c r="BX152" i="2"/>
  <c r="AK193" i="2"/>
  <c r="AJ193" i="2"/>
  <c r="G195" i="4" s="1"/>
  <c r="AB136" i="2"/>
  <c r="AA136" i="2"/>
  <c r="E128" i="4" s="1"/>
  <c r="D128" i="4" s="1"/>
  <c r="AJ185" i="2"/>
  <c r="G189" i="4" s="1"/>
  <c r="AK185" i="2"/>
  <c r="BY71" i="2"/>
  <c r="BX71" i="2"/>
  <c r="BO31" i="2"/>
  <c r="BN31" i="2"/>
  <c r="AJ155" i="2"/>
  <c r="G161" i="4" s="1"/>
  <c r="AK155" i="2"/>
  <c r="AB76" i="2"/>
  <c r="AA76" i="2"/>
  <c r="E79" i="4" s="1"/>
  <c r="D79" i="4" s="1"/>
  <c r="AB193" i="2"/>
  <c r="AA193" i="2"/>
  <c r="E195" i="4" s="1"/>
  <c r="D195" i="4" s="1"/>
  <c r="BO128" i="2"/>
  <c r="BN128" i="2"/>
  <c r="BE224" i="2"/>
  <c r="BD224" i="2"/>
  <c r="AB49" i="2"/>
  <c r="AA49" i="2"/>
  <c r="E58" i="4" s="1"/>
  <c r="D58" i="4" s="1"/>
  <c r="AJ200" i="2"/>
  <c r="G202" i="4" s="1"/>
  <c r="AK200" i="2"/>
  <c r="AA200" i="2"/>
  <c r="E202" i="4" s="1"/>
  <c r="D202" i="4" s="1"/>
  <c r="AB200" i="2"/>
  <c r="BY140" i="2"/>
  <c r="BX140" i="2"/>
  <c r="BY92" i="2"/>
  <c r="BX92" i="2"/>
  <c r="AJ122" i="2"/>
  <c r="G123" i="4" s="1"/>
  <c r="AK122" i="2"/>
  <c r="AA106" i="2"/>
  <c r="E119" i="4" s="1"/>
  <c r="D119" i="4" s="1"/>
  <c r="AB106" i="2"/>
  <c r="BO44" i="2"/>
  <c r="BN44" i="2"/>
  <c r="AJ57" i="2"/>
  <c r="G59" i="4" s="1"/>
  <c r="AK57" i="2"/>
  <c r="BY112" i="2"/>
  <c r="BX112" i="2"/>
  <c r="BN54" i="2"/>
  <c r="BO54" i="2"/>
  <c r="AU110" i="2"/>
  <c r="AT110" i="2"/>
  <c r="BO134" i="2"/>
  <c r="BN134" i="2"/>
  <c r="BY26" i="2"/>
  <c r="BX26" i="2"/>
  <c r="BY67" i="2"/>
  <c r="BX67" i="2"/>
  <c r="AK187" i="2"/>
  <c r="AJ187" i="2"/>
  <c r="G183" i="4" s="1"/>
  <c r="BN100" i="2"/>
  <c r="BO100" i="2"/>
  <c r="BO125" i="2"/>
  <c r="BN125" i="2"/>
  <c r="BN42" i="2"/>
  <c r="BO42" i="2"/>
  <c r="BO210" i="2"/>
  <c r="BN210" i="2"/>
  <c r="BX121" i="2"/>
  <c r="BY121" i="2"/>
  <c r="BY116" i="2"/>
  <c r="BX116" i="2"/>
  <c r="BY80" i="2"/>
  <c r="BX80" i="2"/>
  <c r="AA148" i="2"/>
  <c r="E147" i="4" s="1"/>
  <c r="D147" i="4" s="1"/>
  <c r="AB148" i="2"/>
  <c r="AK33" i="2"/>
  <c r="AJ33" i="2"/>
  <c r="G37" i="4" s="1"/>
  <c r="AK137" i="2"/>
  <c r="AJ137" i="2"/>
  <c r="G137" i="4" s="1"/>
  <c r="BX214" i="2"/>
  <c r="BY214" i="2"/>
  <c r="AA4" i="2"/>
  <c r="E5" i="4" s="1"/>
  <c r="D5" i="4" s="1"/>
  <c r="AB4" i="2"/>
  <c r="BE104" i="2"/>
  <c r="BD104" i="2"/>
  <c r="BO211" i="2"/>
  <c r="BN211" i="2"/>
  <c r="BN99" i="2"/>
  <c r="BO99" i="2"/>
  <c r="BX183" i="2"/>
  <c r="BY183" i="2"/>
  <c r="BY170" i="2"/>
  <c r="BX170" i="2"/>
  <c r="BY188" i="2"/>
  <c r="BX188" i="2"/>
  <c r="BX226" i="2"/>
  <c r="BY226" i="2"/>
  <c r="BE223" i="2"/>
  <c r="BD223" i="2"/>
  <c r="BY53" i="2"/>
  <c r="BX53" i="2"/>
  <c r="BN167" i="2"/>
  <c r="BO167" i="2"/>
  <c r="AB225" i="2"/>
  <c r="AA225" i="2"/>
  <c r="E229" i="4" s="1"/>
  <c r="D229" i="4" s="1"/>
  <c r="AB227" i="2"/>
  <c r="AA227" i="2"/>
  <c r="E228" i="4" s="1"/>
  <c r="D228" i="4" s="1"/>
  <c r="AA25" i="2"/>
  <c r="E27" i="4" s="1"/>
  <c r="D27" i="4" s="1"/>
  <c r="AB25" i="2"/>
  <c r="AB10" i="2"/>
  <c r="AA10" i="2"/>
  <c r="E10" i="4" s="1"/>
  <c r="D10" i="4" s="1"/>
  <c r="AA226" i="2"/>
  <c r="E223" i="4" s="1"/>
  <c r="D223" i="4" s="1"/>
  <c r="AB226" i="2"/>
  <c r="AA69" i="2"/>
  <c r="E65" i="4" s="1"/>
  <c r="D65" i="4" s="1"/>
  <c r="AB69" i="2"/>
  <c r="AA70" i="2"/>
  <c r="E71" i="4" s="1"/>
  <c r="D71" i="4" s="1"/>
  <c r="AB70" i="2"/>
  <c r="BY119" i="2"/>
  <c r="BX119" i="2"/>
  <c r="BY111" i="2"/>
  <c r="BX111" i="2"/>
  <c r="AJ136" i="2"/>
  <c r="G128" i="4" s="1"/>
  <c r="AK136" i="2"/>
  <c r="BY13" i="2"/>
  <c r="BX13" i="2"/>
  <c r="AT177" i="2"/>
  <c r="AU177" i="2"/>
  <c r="AB221" i="2"/>
  <c r="AA221" i="2"/>
  <c r="E224" i="4" s="1"/>
  <c r="D224" i="4" s="1"/>
  <c r="AA207" i="2"/>
  <c r="E210" i="4" s="1"/>
  <c r="D210" i="4" s="1"/>
  <c r="AB207" i="2"/>
  <c r="BX127" i="2"/>
  <c r="BY127" i="2"/>
  <c r="BD186" i="2"/>
  <c r="BE186" i="2"/>
  <c r="BX59" i="2"/>
  <c r="BY59" i="2"/>
  <c r="BX153" i="2"/>
  <c r="BY153" i="2"/>
  <c r="BD174" i="2"/>
  <c r="BE174" i="2"/>
  <c r="BE146" i="2"/>
  <c r="BD146" i="2"/>
  <c r="BN27" i="2"/>
  <c r="BO27" i="2"/>
  <c r="BD209" i="2"/>
  <c r="BE209" i="2"/>
  <c r="BX156" i="2"/>
  <c r="BY156" i="2"/>
  <c r="BX150" i="2"/>
  <c r="BY150" i="2"/>
  <c r="BY12" i="2"/>
  <c r="BX12" i="2"/>
  <c r="AK203" i="2"/>
  <c r="AJ203" i="2"/>
  <c r="G206" i="4" s="1"/>
  <c r="AB209" i="2"/>
  <c r="AA209" i="2"/>
  <c r="E218" i="4" s="1"/>
  <c r="D218" i="4" s="1"/>
  <c r="BX49" i="2"/>
  <c r="BY49" i="2"/>
  <c r="AK104" i="2"/>
  <c r="AJ104" i="2"/>
  <c r="G109" i="4" s="1"/>
  <c r="AU130" i="2"/>
  <c r="AT130" i="2"/>
  <c r="AA137" i="2"/>
  <c r="E137" i="4" s="1"/>
  <c r="D137" i="4" s="1"/>
  <c r="AB137" i="2"/>
  <c r="BX109" i="2"/>
  <c r="BY109" i="2"/>
  <c r="AB205" i="2"/>
  <c r="AA205" i="2"/>
  <c r="E211" i="4" s="1"/>
  <c r="D211" i="4" s="1"/>
  <c r="AA142" i="2"/>
  <c r="E144" i="4" s="1"/>
  <c r="D144" i="4" s="1"/>
  <c r="AB142" i="2"/>
  <c r="AA114" i="2"/>
  <c r="E114" i="4" s="1"/>
  <c r="D114" i="4" s="1"/>
  <c r="AB114" i="2"/>
  <c r="AJ9" i="2"/>
  <c r="G11" i="4" s="1"/>
  <c r="AK9" i="2"/>
  <c r="BX169" i="2"/>
  <c r="BY169" i="2"/>
  <c r="BE43" i="2"/>
  <c r="BD43" i="2"/>
  <c r="BO138" i="2"/>
  <c r="BN138" i="2"/>
  <c r="BX19" i="2"/>
  <c r="BY19" i="2"/>
  <c r="AK11" i="2"/>
  <c r="AJ11" i="2"/>
  <c r="G12" i="4" s="1"/>
  <c r="AJ71" i="2"/>
  <c r="G72" i="4" s="1"/>
  <c r="AK71" i="2"/>
  <c r="AJ214" i="2"/>
  <c r="G217" i="4" s="1"/>
  <c r="AK214" i="2"/>
  <c r="BY39" i="2"/>
  <c r="BX39" i="2"/>
  <c r="BX98" i="2"/>
  <c r="BY98" i="2"/>
  <c r="AJ186" i="2"/>
  <c r="G184" i="4" s="1"/>
  <c r="AK186" i="2"/>
  <c r="BX23" i="2"/>
  <c r="BY23" i="2"/>
  <c r="BX159" i="2"/>
  <c r="BY159" i="2"/>
  <c r="BY76" i="2"/>
  <c r="BX76" i="2"/>
  <c r="BN113" i="2"/>
  <c r="BO113" i="2"/>
  <c r="AA86" i="2"/>
  <c r="E86" i="4" s="1"/>
  <c r="D86" i="4" s="1"/>
  <c r="AB86" i="2"/>
  <c r="BN212" i="2"/>
  <c r="BO212" i="2"/>
  <c r="AK197" i="2"/>
  <c r="AJ197" i="2"/>
  <c r="G198" i="4" s="1"/>
  <c r="BE221" i="2"/>
  <c r="BD221" i="2"/>
  <c r="BX196" i="2"/>
  <c r="BY196" i="2"/>
  <c r="BE177" i="2"/>
  <c r="BD177" i="2"/>
  <c r="AK7" i="2"/>
  <c r="AJ7" i="2"/>
  <c r="G8" i="4" s="1"/>
  <c r="AK92" i="2"/>
  <c r="AJ92" i="2"/>
  <c r="G103" i="4" s="1"/>
  <c r="BO79" i="2"/>
  <c r="BN79" i="2"/>
  <c r="AJ84" i="2"/>
  <c r="G84" i="4" s="1"/>
  <c r="AK84" i="2"/>
  <c r="AB84" i="2"/>
  <c r="AA84" i="2"/>
  <c r="E84" i="4" s="1"/>
  <c r="D84" i="4" s="1"/>
  <c r="BO157" i="2"/>
  <c r="BN157" i="2"/>
  <c r="BO41" i="2"/>
  <c r="BN41" i="2"/>
  <c r="BO129" i="2"/>
  <c r="BN129" i="2"/>
  <c r="AA94" i="2"/>
  <c r="E90" i="4" s="1"/>
  <c r="D90" i="4" s="1"/>
  <c r="AB94" i="2"/>
  <c r="BD74" i="2"/>
  <c r="BE74" i="2"/>
  <c r="BX154" i="2"/>
  <c r="BY154" i="2"/>
  <c r="BX161" i="2"/>
  <c r="BY161" i="2"/>
  <c r="BO141" i="2"/>
  <c r="BN141" i="2"/>
  <c r="BY32" i="2"/>
  <c r="BX32" i="2"/>
  <c r="AJ220" i="2"/>
  <c r="G207" i="4" s="1"/>
  <c r="AK220" i="2"/>
  <c r="BX204" i="2"/>
  <c r="BY204" i="2"/>
  <c r="BX176" i="2"/>
  <c r="BY176" i="2"/>
  <c r="AA72" i="2"/>
  <c r="E67" i="4" s="1"/>
  <c r="D67" i="4" s="1"/>
  <c r="AB72" i="2"/>
  <c r="BX10" i="2"/>
  <c r="BY10" i="2"/>
  <c r="AJ28" i="2"/>
  <c r="G31" i="4" s="1"/>
  <c r="AK28" i="2"/>
  <c r="AK101" i="2"/>
  <c r="AJ101" i="2"/>
  <c r="G99" i="4" s="1"/>
  <c r="BY222" i="2"/>
  <c r="BX222" i="2"/>
  <c r="AB124" i="2"/>
  <c r="AA124" i="2"/>
  <c r="E124" i="4" s="1"/>
  <c r="D124" i="4" s="1"/>
  <c r="AA6" i="2"/>
  <c r="E7" i="4" s="1"/>
  <c r="D7" i="4" s="1"/>
  <c r="AB6" i="2"/>
  <c r="BO36" i="2"/>
  <c r="BN36" i="2"/>
  <c r="AJ156" i="2"/>
  <c r="G159" i="4" s="1"/>
  <c r="AK156" i="2"/>
  <c r="AA128" i="2"/>
  <c r="E127" i="4" s="1"/>
  <c r="D127" i="4" s="1"/>
  <c r="AB128" i="2"/>
  <c r="BX160" i="2"/>
  <c r="BY160" i="2"/>
  <c r="AB59" i="2"/>
  <c r="AA59" i="2"/>
  <c r="E54" i="4" s="1"/>
  <c r="D54" i="4" s="1"/>
  <c r="AB7" i="2"/>
  <c r="AA7" i="2"/>
  <c r="E8" i="4" s="1"/>
  <c r="D8" i="4" s="1"/>
  <c r="BD124" i="2"/>
  <c r="BE124" i="2"/>
  <c r="AK8" i="2"/>
  <c r="AJ8" i="2"/>
  <c r="G9" i="4" s="1"/>
  <c r="BD187" i="2"/>
  <c r="BE187" i="2"/>
  <c r="AJ87" i="2"/>
  <c r="G95" i="4" s="1"/>
  <c r="AK87" i="2"/>
  <c r="AA64" i="2"/>
  <c r="E63" i="4" s="1"/>
  <c r="D63" i="4" s="1"/>
  <c r="AB64" i="2"/>
  <c r="AT88" i="2"/>
  <c r="AU88" i="2"/>
  <c r="BX134" i="2"/>
  <c r="BY134" i="2"/>
  <c r="BD211" i="2"/>
  <c r="BE211" i="2"/>
  <c r="AJ35" i="2"/>
  <c r="G40" i="4" s="1"/>
  <c r="AK35" i="2"/>
  <c r="AJ13" i="2"/>
  <c r="G14" i="4" s="1"/>
  <c r="AK13" i="2"/>
  <c r="AJ103" i="2"/>
  <c r="G104" i="4" s="1"/>
  <c r="AK103" i="2"/>
  <c r="AJ45" i="2"/>
  <c r="G48" i="4" s="1"/>
  <c r="AK45" i="2"/>
  <c r="AA47" i="2"/>
  <c r="E49" i="4" s="1"/>
  <c r="D49" i="4" s="1"/>
  <c r="AB47" i="2"/>
  <c r="BO171" i="2"/>
  <c r="BN171" i="2"/>
  <c r="AJ83" i="2"/>
  <c r="G81" i="4" s="1"/>
  <c r="AK83" i="2"/>
  <c r="AB26" i="2"/>
  <c r="AA26" i="2"/>
  <c r="E23" i="4" s="1"/>
  <c r="D23" i="4" s="1"/>
  <c r="BY38" i="2"/>
  <c r="BX38" i="2"/>
  <c r="AA96" i="2"/>
  <c r="E96" i="4" s="1"/>
  <c r="D96" i="4" s="1"/>
  <c r="AB96" i="2"/>
  <c r="AJ21" i="2"/>
  <c r="G22" i="4" s="1"/>
  <c r="AK21" i="2"/>
  <c r="AB188" i="2"/>
  <c r="AA188" i="2"/>
  <c r="E185" i="4" s="1"/>
  <c r="D185" i="4" s="1"/>
  <c r="AJ182" i="2"/>
  <c r="G190" i="4" s="1"/>
  <c r="AK182" i="2"/>
  <c r="AB34" i="2"/>
  <c r="AA34" i="2"/>
  <c r="E35" i="4" s="1"/>
  <c r="D35" i="4" s="1"/>
  <c r="AB68" i="2"/>
  <c r="AA68" i="2"/>
  <c r="E62" i="4" s="1"/>
  <c r="D62" i="4" s="1"/>
  <c r="AJ168" i="2"/>
  <c r="G175" i="4" s="1"/>
  <c r="AK168" i="2"/>
  <c r="BE180" i="2"/>
  <c r="BD180" i="2"/>
  <c r="AJ195" i="2"/>
  <c r="G196" i="4" s="1"/>
  <c r="AK195" i="2"/>
  <c r="BY124" i="2"/>
  <c r="BX124" i="2"/>
  <c r="AB62" i="2"/>
  <c r="AA62" i="2"/>
  <c r="E61" i="4" s="1"/>
  <c r="D61" i="4" s="1"/>
  <c r="AJ126" i="2"/>
  <c r="G136" i="4" s="1"/>
  <c r="AK126" i="2"/>
  <c r="AA113" i="2"/>
  <c r="E112" i="4" s="1"/>
  <c r="D112" i="4" s="1"/>
  <c r="AB113" i="2"/>
  <c r="AA39" i="2"/>
  <c r="E33" i="4" s="1"/>
  <c r="D33" i="4" s="1"/>
  <c r="AB39" i="2"/>
  <c r="AB111" i="2"/>
  <c r="AA111" i="2"/>
  <c r="E113" i="4" s="1"/>
  <c r="D113" i="4" s="1"/>
  <c r="AA168" i="2"/>
  <c r="E175" i="4" s="1"/>
  <c r="D175" i="4" s="1"/>
  <c r="AB168" i="2"/>
  <c r="AJ14" i="2"/>
  <c r="G15" i="4" s="1"/>
  <c r="AK14" i="2"/>
  <c r="AJ98" i="2"/>
  <c r="G87" i="4" s="1"/>
  <c r="AK98" i="2"/>
  <c r="BX192" i="2"/>
  <c r="BY192" i="2"/>
  <c r="BO11" i="2"/>
  <c r="BN11" i="2"/>
  <c r="AJ112" i="2"/>
  <c r="G107" i="4" s="1"/>
  <c r="AK112" i="2"/>
  <c r="AJ210" i="2"/>
  <c r="G200" i="4" s="1"/>
  <c r="AK210" i="2"/>
  <c r="AB57" i="2"/>
  <c r="AA57" i="2"/>
  <c r="E59" i="4" s="1"/>
  <c r="D59" i="4" s="1"/>
  <c r="BE113" i="2"/>
  <c r="BD113" i="2"/>
  <c r="BO20" i="2"/>
  <c r="BN20" i="2"/>
  <c r="BY175" i="2"/>
  <c r="BX175" i="2"/>
  <c r="BO74" i="2"/>
  <c r="BN74" i="2"/>
  <c r="AK226" i="2"/>
  <c r="AJ226" i="2"/>
  <c r="G223" i="4" s="1"/>
  <c r="BX54" i="2"/>
  <c r="BY54" i="2"/>
  <c r="BX128" i="2"/>
  <c r="BY128" i="2"/>
  <c r="BY60" i="2"/>
  <c r="BX60" i="2"/>
  <c r="AJ36" i="2"/>
  <c r="G42" i="4" s="1"/>
  <c r="AK36" i="2"/>
  <c r="BX191" i="2"/>
  <c r="BY191" i="2"/>
  <c r="BY216" i="2"/>
  <c r="BX216" i="2"/>
  <c r="BY57" i="2"/>
  <c r="BX57" i="2"/>
  <c r="AJ125" i="2"/>
  <c r="G126" i="4" s="1"/>
  <c r="AK125" i="2"/>
  <c r="AK22" i="2"/>
  <c r="AJ22" i="2"/>
  <c r="G24" i="4" s="1"/>
  <c r="AA38" i="2"/>
  <c r="E32" i="4" s="1"/>
  <c r="D32" i="4" s="1"/>
  <c r="AB38" i="2"/>
  <c r="BX139" i="2"/>
  <c r="BY139" i="2"/>
  <c r="AB78" i="2"/>
  <c r="AA78" i="2"/>
  <c r="E80" i="4" s="1"/>
  <c r="D80" i="4" s="1"/>
  <c r="AK132" i="2"/>
  <c r="AJ132" i="2"/>
  <c r="G138" i="4" s="1"/>
  <c r="AB75" i="2"/>
  <c r="AA75" i="2"/>
  <c r="E76" i="4" s="1"/>
  <c r="D76" i="4" s="1"/>
  <c r="AK216" i="2"/>
  <c r="AJ216" i="2"/>
  <c r="G220" i="4" s="1"/>
  <c r="AJ51" i="2"/>
  <c r="G55" i="4" s="1"/>
  <c r="AK51" i="2"/>
  <c r="AA65" i="2"/>
  <c r="E66" i="4" s="1"/>
  <c r="D66" i="4" s="1"/>
  <c r="AB65" i="2"/>
  <c r="AK160" i="2"/>
  <c r="AJ160" i="2"/>
  <c r="G158" i="4" s="1"/>
  <c r="AK135" i="2"/>
  <c r="AJ135" i="2"/>
  <c r="G132" i="4" s="1"/>
  <c r="AK225" i="2"/>
  <c r="AJ225" i="2"/>
  <c r="G229" i="4" s="1"/>
  <c r="BE153" i="2"/>
  <c r="BD153" i="2"/>
  <c r="AA183" i="2"/>
  <c r="E188" i="4" s="1"/>
  <c r="D188" i="4" s="1"/>
  <c r="AB183" i="2"/>
  <c r="BY114" i="2"/>
  <c r="BX114" i="2"/>
  <c r="AB91" i="2"/>
  <c r="AA91" i="2"/>
  <c r="E82" i="4" s="1"/>
  <c r="D82" i="4" s="1"/>
  <c r="BY31" i="2"/>
  <c r="BX31" i="2"/>
  <c r="AK142" i="2"/>
  <c r="AJ142" i="2"/>
  <c r="G144" i="4" s="1"/>
  <c r="AK17" i="2"/>
  <c r="AJ17" i="2"/>
  <c r="G17" i="4" s="1"/>
  <c r="AB162" i="2"/>
  <c r="AA162" i="2"/>
  <c r="E165" i="4" s="1"/>
  <c r="D165" i="4" s="1"/>
  <c r="AB153" i="2"/>
  <c r="AA153" i="2"/>
  <c r="E162" i="4" s="1"/>
  <c r="D162" i="4" s="1"/>
  <c r="AK82" i="2"/>
  <c r="AJ82" i="2"/>
  <c r="G83" i="4" s="1"/>
  <c r="AB40" i="2"/>
  <c r="AA40" i="2"/>
  <c r="E41" i="4" s="1"/>
  <c r="D41" i="4" s="1"/>
  <c r="AA24" i="2"/>
  <c r="E25" i="4" s="1"/>
  <c r="D25" i="4" s="1"/>
  <c r="AB24" i="2"/>
  <c r="AB48" i="2"/>
  <c r="AA48" i="2"/>
  <c r="E45" i="4" s="1"/>
  <c r="D45" i="4" s="1"/>
  <c r="AJ58" i="2"/>
  <c r="G60" i="4" s="1"/>
  <c r="AK58" i="2"/>
  <c r="AA169" i="2"/>
  <c r="E169" i="4" s="1"/>
  <c r="D169" i="4" s="1"/>
  <c r="AB169" i="2"/>
  <c r="AJ16" i="2"/>
  <c r="G20" i="4" s="1"/>
  <c r="AK16" i="2"/>
  <c r="AK207" i="2"/>
  <c r="AJ207" i="2"/>
  <c r="G210" i="4" s="1"/>
  <c r="AA178" i="2"/>
  <c r="E178" i="4" s="1"/>
  <c r="D178" i="4" s="1"/>
  <c r="AB178" i="2"/>
  <c r="AA165" i="2"/>
  <c r="E168" i="4" s="1"/>
  <c r="D168" i="4" s="1"/>
  <c r="AB165" i="2"/>
  <c r="AA145" i="2"/>
  <c r="E146" i="4" s="1"/>
  <c r="D146" i="4" s="1"/>
  <c r="AB145" i="2"/>
  <c r="AJ117" i="2"/>
  <c r="G118" i="4" s="1"/>
  <c r="AK117" i="2"/>
  <c r="BY28" i="2"/>
  <c r="BX28" i="2"/>
  <c r="AJ206" i="2"/>
  <c r="G215" i="4" s="1"/>
  <c r="AK206" i="2"/>
  <c r="AK27" i="2"/>
  <c r="AJ27" i="2"/>
  <c r="G26" i="4" s="1"/>
  <c r="AJ157" i="2"/>
  <c r="G155" i="4" s="1"/>
  <c r="AK157" i="2"/>
  <c r="AK178" i="2"/>
  <c r="AJ178" i="2"/>
  <c r="G178" i="4" s="1"/>
  <c r="AA216" i="2"/>
  <c r="E220" i="4" s="1"/>
  <c r="D220" i="4" s="1"/>
  <c r="AB216" i="2"/>
  <c r="AT56" i="2"/>
  <c r="AU56" i="2"/>
  <c r="AJ158" i="2"/>
  <c r="G157" i="4" s="1"/>
  <c r="AK158" i="2"/>
  <c r="AJ138" i="2"/>
  <c r="G140" i="4" s="1"/>
  <c r="AK138" i="2"/>
  <c r="AK109" i="2"/>
  <c r="AJ109" i="2"/>
  <c r="G106" i="4" s="1"/>
  <c r="BY34" i="2"/>
  <c r="BX34" i="2"/>
  <c r="AJ190" i="2"/>
  <c r="G192" i="4" s="1"/>
  <c r="AK190" i="2"/>
  <c r="AA85" i="2"/>
  <c r="E92" i="4" s="1"/>
  <c r="D92" i="4" s="1"/>
  <c r="AB85" i="2"/>
  <c r="AJ114" i="2"/>
  <c r="G114" i="4" s="1"/>
  <c r="AK114" i="2"/>
  <c r="AJ181" i="2"/>
  <c r="G182" i="4" s="1"/>
  <c r="AK181" i="2"/>
  <c r="AK172" i="2"/>
  <c r="AJ172" i="2"/>
  <c r="G174" i="4" s="1"/>
  <c r="BX85" i="2"/>
  <c r="BY85" i="2"/>
  <c r="AA83" i="2"/>
  <c r="E81" i="4" s="1"/>
  <c r="D81" i="4" s="1"/>
  <c r="AB83" i="2"/>
  <c r="AK42" i="2"/>
  <c r="AJ42" i="2"/>
  <c r="G43" i="4" s="1"/>
  <c r="BY211" i="2"/>
  <c r="BX211" i="2"/>
  <c r="BX151" i="2"/>
  <c r="BY151" i="2"/>
  <c r="BX166" i="2"/>
  <c r="BY166" i="2"/>
  <c r="AK166" i="2"/>
  <c r="AJ166" i="2"/>
  <c r="G166" i="4" s="1"/>
  <c r="BY138" i="2"/>
  <c r="BX138" i="2"/>
  <c r="AK202" i="2"/>
  <c r="AJ202" i="2"/>
  <c r="G201" i="4" s="1"/>
  <c r="AB192" i="2"/>
  <c r="AA192" i="2"/>
  <c r="E193" i="4" s="1"/>
  <c r="D193" i="4" s="1"/>
  <c r="AJ205" i="2"/>
  <c r="G211" i="4" s="1"/>
  <c r="AK205" i="2"/>
  <c r="BY51" i="2"/>
  <c r="BX51" i="2"/>
  <c r="AT77" i="2"/>
  <c r="AU77" i="2"/>
  <c r="BY45" i="2"/>
  <c r="BX45" i="2"/>
  <c r="AJ213" i="2"/>
  <c r="G219" i="4" s="1"/>
  <c r="AK213" i="2"/>
  <c r="AB115" i="2"/>
  <c r="AA115" i="2"/>
  <c r="E115" i="4" s="1"/>
  <c r="D115" i="4" s="1"/>
  <c r="BO115" i="2"/>
  <c r="BN115" i="2"/>
  <c r="AJ67" i="2"/>
  <c r="G64" i="4" s="1"/>
  <c r="AK67" i="2"/>
  <c r="BN194" i="2"/>
  <c r="BO194" i="2"/>
  <c r="BX87" i="2"/>
  <c r="BY87" i="2"/>
  <c r="BO107" i="2"/>
  <c r="BN107" i="2"/>
  <c r="BN23" i="2"/>
  <c r="BO23" i="2"/>
  <c r="AA58" i="2"/>
  <c r="E60" i="4" s="1"/>
  <c r="D60" i="4" s="1"/>
  <c r="AB58" i="2"/>
  <c r="AK113" i="2"/>
  <c r="AJ113" i="2"/>
  <c r="G112" i="4" s="1"/>
  <c r="BY4" i="2"/>
  <c r="BX4" i="2"/>
  <c r="BY8" i="2"/>
  <c r="BX8" i="2"/>
  <c r="AJ124" i="2"/>
  <c r="G124" i="4" s="1"/>
  <c r="AK124" i="2"/>
  <c r="AA176" i="2"/>
  <c r="E177" i="4" s="1"/>
  <c r="D177" i="4" s="1"/>
  <c r="AB176" i="2"/>
  <c r="BN173" i="2"/>
  <c r="BO173" i="2"/>
  <c r="AJ76" i="2"/>
  <c r="G79" i="4" s="1"/>
  <c r="AK76" i="2"/>
  <c r="AK180" i="2"/>
  <c r="AJ180" i="2"/>
  <c r="G164" i="4" s="1"/>
  <c r="AJ85" i="2"/>
  <c r="G92" i="4" s="1"/>
  <c r="AK85" i="2"/>
  <c r="AA122" i="2"/>
  <c r="E123" i="4" s="1"/>
  <c r="D123" i="4" s="1"/>
  <c r="AB122" i="2"/>
  <c r="AB213" i="2"/>
  <c r="AA213" i="2"/>
  <c r="E219" i="4" s="1"/>
  <c r="D219" i="4" s="1"/>
  <c r="AA22" i="2"/>
  <c r="E24" i="4" s="1"/>
  <c r="D24" i="4" s="1"/>
  <c r="AB22" i="2"/>
  <c r="BO8" i="2"/>
  <c r="BN8" i="2"/>
  <c r="AJ152" i="2"/>
  <c r="G153" i="4" s="1"/>
  <c r="AK152" i="2"/>
  <c r="AB28" i="2"/>
  <c r="AA28" i="2"/>
  <c r="E31" i="4" s="1"/>
  <c r="D31" i="4" s="1"/>
  <c r="AK171" i="2"/>
  <c r="AJ171" i="2"/>
  <c r="G173" i="4" s="1"/>
  <c r="AA181" i="2"/>
  <c r="E182" i="4" s="1"/>
  <c r="D182" i="4" s="1"/>
  <c r="AB181" i="2"/>
  <c r="BX157" i="2"/>
  <c r="BY157" i="2"/>
  <c r="AK131" i="2"/>
  <c r="AJ131" i="2"/>
  <c r="G130" i="4" s="1"/>
  <c r="AB121" i="2"/>
  <c r="AA121" i="2"/>
  <c r="E122" i="4" s="1"/>
  <c r="D122" i="4" s="1"/>
  <c r="AK183" i="2"/>
  <c r="AJ183" i="2"/>
  <c r="G188" i="4" s="1"/>
  <c r="AB166" i="2"/>
  <c r="AA166" i="2"/>
  <c r="E166" i="4" s="1"/>
  <c r="D166" i="4" s="1"/>
  <c r="AK39" i="2"/>
  <c r="AJ39" i="2"/>
  <c r="G33" i="4" s="1"/>
  <c r="AA21" i="2"/>
  <c r="E22" i="4" s="1"/>
  <c r="D22" i="4" s="1"/>
  <c r="AB21" i="2"/>
  <c r="BO169" i="2"/>
  <c r="BN169" i="2"/>
  <c r="AJ208" i="2"/>
  <c r="G209" i="4" s="1"/>
  <c r="AK208" i="2"/>
  <c r="AJ141" i="2"/>
  <c r="G139" i="4" s="1"/>
  <c r="AK141" i="2"/>
  <c r="BX35" i="2"/>
  <c r="BY35" i="2"/>
  <c r="BX149" i="2"/>
  <c r="BY149" i="2"/>
  <c r="AA119" i="2"/>
  <c r="E120" i="4" s="1"/>
  <c r="D120" i="4" s="1"/>
  <c r="AB119" i="2"/>
  <c r="AB127" i="2"/>
  <c r="AA127" i="2"/>
  <c r="E131" i="4" s="1"/>
  <c r="D131" i="4" s="1"/>
  <c r="AK170" i="2"/>
  <c r="AJ170" i="2"/>
  <c r="G179" i="4" s="1"/>
  <c r="AB77" i="2"/>
  <c r="AA77" i="2"/>
  <c r="E98" i="4" s="1"/>
  <c r="D98" i="4" s="1"/>
  <c r="AJ116" i="2"/>
  <c r="G116" i="4" s="1"/>
  <c r="AK116" i="2"/>
  <c r="AB132" i="2"/>
  <c r="AA132" i="2"/>
  <c r="E138" i="4" s="1"/>
  <c r="D138" i="4" s="1"/>
  <c r="AB109" i="2"/>
  <c r="AA109" i="2"/>
  <c r="E106" i="4" s="1"/>
  <c r="D106" i="4" s="1"/>
  <c r="AA157" i="2"/>
  <c r="E155" i="4" s="1"/>
  <c r="D155" i="4" s="1"/>
  <c r="AB157" i="2"/>
  <c r="AA118" i="2"/>
  <c r="E117" i="4" s="1"/>
  <c r="D117" i="4" s="1"/>
  <c r="AB118" i="2"/>
  <c r="AA135" i="2"/>
  <c r="E132" i="4" s="1"/>
  <c r="D132" i="4" s="1"/>
  <c r="AB135" i="2"/>
  <c r="AA8" i="2"/>
  <c r="E9" i="4" s="1"/>
  <c r="D9" i="4" s="1"/>
  <c r="AB8" i="2"/>
  <c r="AA195" i="2"/>
  <c r="E196" i="4" s="1"/>
  <c r="D196" i="4" s="1"/>
  <c r="AB195" i="2"/>
  <c r="AB129" i="2"/>
  <c r="AA129" i="2"/>
  <c r="E133" i="4" s="1"/>
  <c r="D133" i="4" s="1"/>
  <c r="AK121" i="2"/>
  <c r="AJ121" i="2"/>
  <c r="G122" i="4" s="1"/>
  <c r="AA87" i="2"/>
  <c r="E95" i="4" s="1"/>
  <c r="D95" i="4" s="1"/>
  <c r="AB87" i="2"/>
  <c r="AA99" i="2"/>
  <c r="E97" i="4" s="1"/>
  <c r="D97" i="4" s="1"/>
  <c r="AB99" i="2"/>
  <c r="AB203" i="2"/>
  <c r="AA203" i="2"/>
  <c r="E206" i="4" s="1"/>
  <c r="D206" i="4" s="1"/>
  <c r="AB123" i="2"/>
  <c r="AA123" i="2"/>
  <c r="E125" i="4" s="1"/>
  <c r="D125" i="4" s="1"/>
  <c r="BX20" i="2"/>
  <c r="BY20" i="2"/>
  <c r="AA88" i="2"/>
  <c r="E89" i="4" s="1"/>
  <c r="D89" i="4" s="1"/>
  <c r="AB88" i="2"/>
  <c r="AA15" i="2"/>
  <c r="E16" i="4" s="1"/>
  <c r="D16" i="4" s="1"/>
  <c r="AB15" i="2"/>
  <c r="AB214" i="2"/>
  <c r="AA214" i="2"/>
  <c r="E217" i="4" s="1"/>
  <c r="D217" i="4" s="1"/>
  <c r="AJ95" i="2"/>
  <c r="G101" i="4" s="1"/>
  <c r="AK95" i="2"/>
  <c r="AB154" i="2"/>
  <c r="AA154" i="2"/>
  <c r="E154" i="4" s="1"/>
  <c r="D154" i="4" s="1"/>
  <c r="AJ145" i="2"/>
  <c r="G146" i="4" s="1"/>
  <c r="AK145" i="2"/>
  <c r="AK96" i="2"/>
  <c r="AJ96" i="2"/>
  <c r="G96" i="4" s="1"/>
  <c r="AB171" i="2"/>
  <c r="AA171" i="2"/>
  <c r="E173" i="4" s="1"/>
  <c r="D173" i="4" s="1"/>
  <c r="AJ118" i="2"/>
  <c r="G117" i="4" s="1"/>
  <c r="AK118" i="2"/>
  <c r="AA206" i="2"/>
  <c r="E215" i="4" s="1"/>
  <c r="D215" i="4" s="1"/>
  <c r="AB206" i="2"/>
  <c r="AK75" i="2"/>
  <c r="AJ75" i="2"/>
  <c r="G76" i="4" s="1"/>
  <c r="AA175" i="2"/>
  <c r="E180" i="4" s="1"/>
  <c r="D180" i="4" s="1"/>
  <c r="AB175" i="2"/>
  <c r="AJ29" i="2"/>
  <c r="G29" i="4" s="1"/>
  <c r="AK29" i="2"/>
  <c r="AJ119" i="2"/>
  <c r="G120" i="4" s="1"/>
  <c r="AK119" i="2"/>
  <c r="AJ72" i="2"/>
  <c r="G67" i="4" s="1"/>
  <c r="AK72" i="2"/>
  <c r="AA60" i="2"/>
  <c r="E77" i="4" s="1"/>
  <c r="D77" i="4" s="1"/>
  <c r="AB60" i="2"/>
  <c r="AA61" i="2"/>
  <c r="E70" i="4" s="1"/>
  <c r="D70" i="4" s="1"/>
  <c r="AB61" i="2"/>
  <c r="AB172" i="2"/>
  <c r="AA172" i="2"/>
  <c r="E174" i="4" s="1"/>
  <c r="D174" i="4" s="1"/>
  <c r="AA51" i="2"/>
  <c r="E55" i="4" s="1"/>
  <c r="D55" i="4" s="1"/>
  <c r="AB51" i="2"/>
  <c r="AK94" i="2"/>
  <c r="AJ94" i="2"/>
  <c r="G90" i="4" s="1"/>
  <c r="AK63" i="2"/>
  <c r="AJ63" i="2"/>
  <c r="G68" i="4" s="1"/>
  <c r="AA223" i="2"/>
  <c r="E225" i="4" s="1"/>
  <c r="D225" i="4" s="1"/>
  <c r="AB223" i="2"/>
  <c r="AK143" i="2"/>
  <c r="AJ143" i="2"/>
  <c r="G143" i="4" s="1"/>
  <c r="AA144" i="2"/>
  <c r="E145" i="4" s="1"/>
  <c r="D145" i="4" s="1"/>
  <c r="AB144" i="2"/>
  <c r="AA79" i="2"/>
  <c r="E73" i="4" s="1"/>
  <c r="D73" i="4" s="1"/>
  <c r="AB79" i="2"/>
  <c r="AA16" i="2"/>
  <c r="E20" i="4" s="1"/>
  <c r="D20" i="4" s="1"/>
  <c r="AB16" i="2"/>
  <c r="AB140" i="2"/>
  <c r="AA140" i="2"/>
  <c r="E142" i="4" s="1"/>
  <c r="D142" i="4" s="1"/>
  <c r="AA218" i="2"/>
  <c r="E214" i="4" s="1"/>
  <c r="D214" i="4" s="1"/>
  <c r="AB218" i="2"/>
  <c r="AB43" i="2"/>
  <c r="AA43" i="2"/>
  <c r="E44" i="4" s="1"/>
  <c r="D44" i="4" s="1"/>
  <c r="AB149" i="2"/>
  <c r="AA149" i="2"/>
  <c r="E148" i="4" s="1"/>
  <c r="D148" i="4" s="1"/>
  <c r="AA20" i="2"/>
  <c r="E21" i="4" s="1"/>
  <c r="D21" i="4" s="1"/>
  <c r="AB20" i="2"/>
  <c r="AJ127" i="2"/>
  <c r="G131" i="4" s="1"/>
  <c r="AK127" i="2"/>
  <c r="AA92" i="2"/>
  <c r="E103" i="4" s="1"/>
  <c r="D103" i="4" s="1"/>
  <c r="AB92" i="2"/>
  <c r="AB182" i="2"/>
  <c r="AA182" i="2"/>
  <c r="E190" i="4" s="1"/>
  <c r="D190" i="4" s="1"/>
  <c r="AK77" i="2"/>
  <c r="AJ77" i="2"/>
  <c r="G98" i="4" s="1"/>
  <c r="AK62" i="2"/>
  <c r="AJ62" i="2"/>
  <c r="G61" i="4" s="1"/>
  <c r="AA54" i="2"/>
  <c r="E56" i="4" s="1"/>
  <c r="D56" i="4" s="1"/>
  <c r="AB54" i="2"/>
  <c r="AB152" i="2"/>
  <c r="AA152" i="2"/>
  <c r="E153" i="4" s="1"/>
  <c r="D153" i="4" s="1"/>
  <c r="AB44" i="2"/>
  <c r="AA44" i="2"/>
  <c r="E47" i="4" s="1"/>
  <c r="D47" i="4" s="1"/>
  <c r="AJ151" i="2"/>
  <c r="G151" i="4" s="1"/>
  <c r="AK151" i="2"/>
  <c r="AB167" i="2"/>
  <c r="AA167" i="2"/>
  <c r="E170" i="4" s="1"/>
  <c r="D170" i="4" s="1"/>
  <c r="AA52" i="2"/>
  <c r="E57" i="4" s="1"/>
  <c r="D57" i="4" s="1"/>
  <c r="AB52" i="2"/>
  <c r="AK115" i="2"/>
  <c r="AJ115" i="2"/>
  <c r="G115" i="4" s="1"/>
  <c r="AA11" i="2"/>
  <c r="E12" i="4" s="1"/>
  <c r="D12" i="4" s="1"/>
  <c r="AB11" i="2"/>
  <c r="AK107" i="2"/>
  <c r="AJ107" i="2"/>
  <c r="G105" i="4" s="1"/>
  <c r="AB120" i="2"/>
  <c r="AA120" i="2"/>
  <c r="E121" i="4" s="1"/>
  <c r="D121" i="4" s="1"/>
  <c r="AA160" i="2"/>
  <c r="E158" i="4" s="1"/>
  <c r="D158" i="4" s="1"/>
  <c r="AB160" i="2"/>
  <c r="BX104" i="2"/>
  <c r="BY104" i="2"/>
  <c r="AK191" i="2"/>
  <c r="AJ191" i="2"/>
  <c r="G186" i="4" s="1"/>
  <c r="AB18" i="2"/>
  <c r="AA18" i="2"/>
  <c r="E18" i="4" s="1"/>
  <c r="D18" i="4" s="1"/>
  <c r="BY164" i="2"/>
  <c r="BX164" i="2"/>
  <c r="AB117" i="2"/>
  <c r="AA117" i="2"/>
  <c r="E118" i="4" s="1"/>
  <c r="D118" i="4" s="1"/>
  <c r="AJ47" i="2"/>
  <c r="G49" i="4" s="1"/>
  <c r="AK47" i="2"/>
  <c r="AJ215" i="2"/>
  <c r="G208" i="4" s="1"/>
  <c r="AK215" i="2"/>
  <c r="AK41" i="2"/>
  <c r="AJ41" i="2"/>
  <c r="G46" i="4" s="1"/>
  <c r="AK111" i="2"/>
  <c r="AJ111" i="2"/>
  <c r="G113" i="4" s="1"/>
  <c r="BO17" i="2"/>
  <c r="BN17" i="2"/>
  <c r="AA191" i="2"/>
  <c r="E186" i="4" s="1"/>
  <c r="D186" i="4" s="1"/>
  <c r="AB191" i="2"/>
  <c r="AK134" i="2"/>
  <c r="AJ134" i="2"/>
  <c r="G134" i="4" s="1"/>
  <c r="AK123" i="2"/>
  <c r="AJ123" i="2"/>
  <c r="G125" i="4" s="1"/>
  <c r="AB197" i="2"/>
  <c r="AA197" i="2"/>
  <c r="E198" i="4" s="1"/>
  <c r="D198" i="4" s="1"/>
  <c r="AJ163" i="2"/>
  <c r="G167" i="4" s="1"/>
  <c r="AK163" i="2"/>
  <c r="BX210" i="2"/>
  <c r="BY210" i="2"/>
  <c r="AB90" i="2"/>
  <c r="AA90" i="2"/>
  <c r="E94" i="4" s="1"/>
  <c r="D94" i="4" s="1"/>
  <c r="AB37" i="2"/>
  <c r="AA37" i="2"/>
  <c r="E36" i="4" s="1"/>
  <c r="D36" i="4" s="1"/>
  <c r="AB190" i="2"/>
  <c r="AA190" i="2"/>
  <c r="E192" i="4" s="1"/>
  <c r="D192" i="4" s="1"/>
  <c r="AA161" i="2"/>
  <c r="E156" i="4" s="1"/>
  <c r="D156" i="4" s="1"/>
  <c r="AB161" i="2"/>
  <c r="AK106" i="2"/>
  <c r="AJ106" i="2"/>
  <c r="G119" i="4" s="1"/>
  <c r="AJ48" i="2"/>
  <c r="G45" i="4" s="1"/>
  <c r="AK48" i="2"/>
  <c r="AB23" i="2"/>
  <c r="AA23" i="2"/>
  <c r="E30" i="4" s="1"/>
  <c r="D30" i="4" s="1"/>
  <c r="AB198" i="2"/>
  <c r="AA198" i="2"/>
  <c r="E204" i="4" s="1"/>
  <c r="D204" i="4" s="1"/>
  <c r="AB81" i="2"/>
  <c r="AA81" i="2"/>
  <c r="E88" i="4" s="1"/>
  <c r="D88" i="4" s="1"/>
  <c r="AA184" i="2"/>
  <c r="E187" i="4" s="1"/>
  <c r="D187" i="4" s="1"/>
  <c r="AB184" i="2"/>
  <c r="BX117" i="2"/>
  <c r="BY117" i="2"/>
  <c r="AJ61" i="2"/>
  <c r="G70" i="4" s="1"/>
  <c r="AK61" i="2"/>
  <c r="BX180" i="2"/>
  <c r="BY180" i="2"/>
  <c r="AA220" i="2"/>
  <c r="E207" i="4" s="1"/>
  <c r="D207" i="4" s="1"/>
  <c r="AB220" i="2"/>
  <c r="AB50" i="2"/>
  <c r="AA50" i="2"/>
  <c r="E52" i="4" s="1"/>
  <c r="D52" i="4" s="1"/>
  <c r="AA138" i="2"/>
  <c r="E140" i="4" s="1"/>
  <c r="D140" i="4" s="1"/>
  <c r="AB138" i="2"/>
  <c r="AJ81" i="2"/>
  <c r="G88" i="4" s="1"/>
  <c r="AK81" i="2"/>
  <c r="BX102" i="2"/>
  <c r="BY102" i="2"/>
  <c r="AA112" i="2"/>
  <c r="E107" i="4" s="1"/>
  <c r="D107" i="4" s="1"/>
  <c r="AB112" i="2"/>
  <c r="AJ64" i="2"/>
  <c r="G63" i="4" s="1"/>
  <c r="AK64" i="2"/>
  <c r="AA125" i="2"/>
  <c r="E126" i="4" s="1"/>
  <c r="D126" i="4" s="1"/>
  <c r="AB125" i="2"/>
  <c r="AB55" i="2"/>
  <c r="AA55" i="2"/>
  <c r="E50" i="4" s="1"/>
  <c r="D50" i="4" s="1"/>
  <c r="AB97" i="2"/>
  <c r="AA97" i="2"/>
  <c r="E100" i="4" s="1"/>
  <c r="D100" i="4" s="1"/>
  <c r="AB103" i="2"/>
  <c r="AA103" i="2"/>
  <c r="E104" i="4" s="1"/>
  <c r="D104" i="4" s="1"/>
  <c r="BY173" i="2"/>
  <c r="BX173" i="2"/>
  <c r="AA211" i="2"/>
  <c r="E221" i="4" s="1"/>
  <c r="D221" i="4" s="1"/>
  <c r="AB211" i="2"/>
  <c r="AK43" i="2"/>
  <c r="AJ43" i="2"/>
  <c r="G44" i="4" s="1"/>
  <c r="AJ52" i="2"/>
  <c r="G57" i="4" s="1"/>
  <c r="AK52" i="2"/>
  <c r="AA199" i="2"/>
  <c r="E203" i="4" s="1"/>
  <c r="D203" i="4" s="1"/>
  <c r="AB199" i="2"/>
  <c r="AA45" i="2"/>
  <c r="E48" i="4" s="1"/>
  <c r="D48" i="4" s="1"/>
  <c r="AB45" i="2"/>
  <c r="AB105" i="2"/>
  <c r="AA105" i="2"/>
  <c r="E102" i="4" s="1"/>
  <c r="D102" i="4" s="1"/>
  <c r="AK146" i="2"/>
  <c r="AJ146" i="2"/>
  <c r="G150" i="4" s="1"/>
  <c r="AJ108" i="2"/>
  <c r="G110" i="4" s="1"/>
  <c r="AK108" i="2"/>
  <c r="AJ60" i="2"/>
  <c r="G77" i="4" s="1"/>
  <c r="AK60" i="2"/>
  <c r="AA29" i="2"/>
  <c r="E29" i="4" s="1"/>
  <c r="D29" i="4" s="1"/>
  <c r="AB29" i="2"/>
  <c r="AA146" i="2"/>
  <c r="E150" i="4" s="1"/>
  <c r="D150" i="4" s="1"/>
  <c r="AB146" i="2"/>
  <c r="BY103" i="2"/>
  <c r="BX103" i="2"/>
  <c r="AB143" i="2"/>
  <c r="AA143" i="2"/>
  <c r="E143" i="4" s="1"/>
  <c r="D143" i="4" s="1"/>
  <c r="AB67" i="2"/>
  <c r="AA67" i="2"/>
  <c r="E64" i="4" s="1"/>
  <c r="D64" i="4" s="1"/>
  <c r="AA134" i="2"/>
  <c r="E134" i="4" s="1"/>
  <c r="D134" i="4" s="1"/>
  <c r="AB134" i="2"/>
  <c r="AJ25" i="2"/>
  <c r="G27" i="4" s="1"/>
  <c r="AK25" i="2"/>
  <c r="AJ59" i="2"/>
  <c r="G54" i="4" s="1"/>
  <c r="AK59" i="2"/>
  <c r="AA46" i="2"/>
  <c r="E39" i="4" s="1"/>
  <c r="D39" i="4" s="1"/>
  <c r="AB46" i="2"/>
  <c r="AA12" i="2"/>
  <c r="E13" i="4" s="1"/>
  <c r="D13" i="4" s="1"/>
  <c r="AB12" i="2"/>
  <c r="AB131" i="2"/>
  <c r="AA131" i="2"/>
  <c r="E130" i="4" s="1"/>
  <c r="D130" i="4" s="1"/>
  <c r="AJ177" i="2"/>
  <c r="G172" i="4" s="1"/>
  <c r="AK177" i="2"/>
  <c r="AB73" i="2"/>
  <c r="AA73" i="2"/>
  <c r="E78" i="4" s="1"/>
  <c r="D78" i="4" s="1"/>
  <c r="AB179" i="2"/>
  <c r="AA179" i="2"/>
  <c r="E181" i="4" s="1"/>
  <c r="D181" i="4" s="1"/>
  <c r="AB63" i="2"/>
  <c r="AA63" i="2"/>
  <c r="E68" i="4" s="1"/>
  <c r="D68" i="4" s="1"/>
  <c r="AB164" i="2"/>
  <c r="AA164" i="2"/>
  <c r="E163" i="4" s="1"/>
  <c r="D163" i="4" s="1"/>
  <c r="AA17" i="2"/>
  <c r="E17" i="4" s="1"/>
  <c r="D17" i="4" s="1"/>
  <c r="AB17" i="2"/>
  <c r="AA56" i="2"/>
  <c r="E53" i="4" s="1"/>
  <c r="D53" i="4" s="1"/>
  <c r="AB56" i="2"/>
  <c r="AA93" i="2"/>
  <c r="E93" i="4" s="1"/>
  <c r="D93" i="4" s="1"/>
  <c r="AB93" i="2"/>
  <c r="AA66" i="2"/>
  <c r="E69" i="4" s="1"/>
  <c r="D69" i="4" s="1"/>
  <c r="AB66" i="2"/>
  <c r="AJ5" i="2"/>
  <c r="G6" i="4" s="1"/>
  <c r="AK5" i="2"/>
  <c r="AK159" i="2"/>
  <c r="AJ159" i="2"/>
  <c r="G160" i="4" s="1"/>
  <c r="AK23" i="2"/>
  <c r="AJ23" i="2"/>
  <c r="G30" i="4" s="1"/>
  <c r="AB42" i="2"/>
  <c r="AA42" i="2"/>
  <c r="E43" i="4" s="1"/>
  <c r="D43" i="4" s="1"/>
  <c r="AA36" i="2"/>
  <c r="E42" i="4" s="1"/>
  <c r="D42" i="4" s="1"/>
  <c r="AB36" i="2"/>
  <c r="AJ149" i="2"/>
  <c r="G148" i="4" s="1"/>
  <c r="AK149" i="2"/>
  <c r="AB202" i="2"/>
  <c r="AA202" i="2"/>
  <c r="E201" i="4" s="1"/>
  <c r="D201" i="4" s="1"/>
  <c r="AJ102" i="2"/>
  <c r="G85" i="4" s="1"/>
  <c r="AK102" i="2"/>
  <c r="AA163" i="2"/>
  <c r="E167" i="4" s="1"/>
  <c r="D167" i="4" s="1"/>
  <c r="AB163" i="2"/>
  <c r="AA74" i="2"/>
  <c r="E74" i="4" s="1"/>
  <c r="D74" i="4" s="1"/>
  <c r="AB74" i="2"/>
  <c r="AA208" i="2"/>
  <c r="E209" i="4" s="1"/>
  <c r="D209" i="4" s="1"/>
  <c r="AB208" i="2"/>
  <c r="AA133" i="2"/>
  <c r="E135" i="4" s="1"/>
  <c r="D135" i="4" s="1"/>
  <c r="AB133" i="2"/>
  <c r="AK120" i="2"/>
  <c r="AJ120" i="2"/>
  <c r="G121" i="4" s="1"/>
  <c r="AB116" i="2"/>
  <c r="AA116" i="2"/>
  <c r="E116" i="4" s="1"/>
  <c r="D116" i="4" s="1"/>
  <c r="AJ139" i="2"/>
  <c r="G141" i="4" s="1"/>
  <c r="AK139" i="2"/>
  <c r="AA101" i="2"/>
  <c r="E99" i="4" s="1"/>
  <c r="D99" i="4" s="1"/>
  <c r="AB101" i="2"/>
  <c r="AB156" i="2"/>
  <c r="AA156" i="2"/>
  <c r="E159" i="4" s="1"/>
  <c r="D159" i="4" s="1"/>
  <c r="AB187" i="2"/>
  <c r="AA187" i="2"/>
  <c r="E183" i="4" s="1"/>
  <c r="D183" i="4" s="1"/>
  <c r="AA212" i="2"/>
  <c r="E212" i="4" s="1"/>
  <c r="D212" i="4" s="1"/>
  <c r="AB212" i="2"/>
  <c r="AJ148" i="2"/>
  <c r="G147" i="4" s="1"/>
  <c r="AK148" i="2"/>
  <c r="AJ31" i="2"/>
  <c r="G34" i="4" s="1"/>
  <c r="AK31" i="2"/>
  <c r="AB185" i="2"/>
  <c r="AA185" i="2"/>
  <c r="E189" i="4" s="1"/>
  <c r="D189" i="4" s="1"/>
  <c r="AB141" i="2"/>
  <c r="AA141" i="2"/>
  <c r="E139" i="4" s="1"/>
  <c r="D139" i="4" s="1"/>
  <c r="AB98" i="2"/>
  <c r="AA98" i="2"/>
  <c r="E87" i="4" s="1"/>
  <c r="D87" i="4" s="1"/>
  <c r="AB228" i="2"/>
  <c r="AA228" i="2"/>
  <c r="E227" i="4" s="1"/>
  <c r="D227" i="4" s="1"/>
  <c r="AB224" i="2"/>
  <c r="AA224" i="2"/>
  <c r="E226" i="4" s="1"/>
  <c r="D226" i="4" s="1"/>
  <c r="AB201" i="2"/>
  <c r="AA201" i="2"/>
  <c r="E199" i="4" s="1"/>
  <c r="D199" i="4" s="1"/>
  <c r="AA82" i="2"/>
  <c r="E83" i="4" s="1"/>
  <c r="D83" i="4" s="1"/>
  <c r="AB82" i="2"/>
  <c r="AK223" i="2"/>
  <c r="AJ223" i="2"/>
  <c r="G225" i="4" s="1"/>
  <c r="AA19" i="2"/>
  <c r="E19" i="4" s="1"/>
  <c r="D19" i="4" s="1"/>
  <c r="AB19" i="2"/>
  <c r="F52" i="4" l="1"/>
  <c r="D52" i="5"/>
  <c r="F140" i="4"/>
  <c r="D140" i="5"/>
  <c r="F215" i="4"/>
  <c r="D215" i="5"/>
  <c r="F199" i="4"/>
  <c r="D199" i="5"/>
  <c r="F38" i="4"/>
  <c r="D38" i="5"/>
  <c r="F20" i="4"/>
  <c r="D20" i="5"/>
  <c r="F127" i="4"/>
  <c r="D127" i="5"/>
  <c r="F85" i="4"/>
  <c r="D85" i="5"/>
  <c r="F59" i="4"/>
  <c r="D59" i="5"/>
  <c r="F218" i="4"/>
  <c r="D218" i="5"/>
  <c r="F58" i="4"/>
  <c r="D58" i="5"/>
  <c r="F168" i="4"/>
  <c r="D168" i="5"/>
  <c r="F226" i="4"/>
  <c r="D226" i="5"/>
  <c r="F141" i="4"/>
  <c r="D141" i="5"/>
  <c r="F148" i="4"/>
  <c r="D148" i="5"/>
  <c r="F138" i="4"/>
  <c r="D138" i="5"/>
  <c r="F210" i="4"/>
  <c r="D210" i="5"/>
  <c r="F30" i="4"/>
  <c r="D30" i="5"/>
  <c r="F50" i="4"/>
  <c r="D50" i="5"/>
  <c r="F190" i="4"/>
  <c r="D190" i="5"/>
  <c r="F109" i="4"/>
  <c r="D109" i="5"/>
  <c r="F162" i="4"/>
  <c r="D162" i="5"/>
  <c r="F86" i="4"/>
  <c r="D86" i="5"/>
  <c r="F17" i="4"/>
  <c r="D17" i="5"/>
  <c r="F95" i="4"/>
  <c r="D95" i="5"/>
  <c r="F94" i="4"/>
  <c r="D94" i="5"/>
  <c r="F101" i="4"/>
  <c r="D101" i="5"/>
  <c r="F70" i="4"/>
  <c r="D70" i="5"/>
  <c r="F191" i="4"/>
  <c r="D191" i="5"/>
  <c r="F181" i="4"/>
  <c r="D181" i="5"/>
  <c r="F171" i="4"/>
  <c r="D171" i="5"/>
  <c r="F42" i="4"/>
  <c r="D42" i="5"/>
  <c r="F78" i="4"/>
  <c r="D78" i="5"/>
  <c r="F225" i="4"/>
  <c r="D225" i="5"/>
  <c r="F88" i="4"/>
  <c r="D88" i="5"/>
  <c r="F176" i="4"/>
  <c r="D176" i="5"/>
  <c r="F119" i="4"/>
  <c r="D119" i="5"/>
  <c r="F212" i="4"/>
  <c r="D212" i="5"/>
  <c r="F154" i="4"/>
  <c r="D154" i="5"/>
  <c r="F48" i="4"/>
  <c r="D48" i="5"/>
  <c r="F36" i="4"/>
  <c r="D36" i="5"/>
  <c r="F183" i="4"/>
  <c r="D183" i="5"/>
  <c r="F98" i="4"/>
  <c r="D98" i="5"/>
  <c r="F24" i="4"/>
  <c r="D24" i="5"/>
  <c r="F175" i="4"/>
  <c r="D175" i="5"/>
  <c r="F179" i="4"/>
  <c r="D179" i="5"/>
  <c r="F79" i="4"/>
  <c r="D79" i="5"/>
  <c r="F46" i="4"/>
  <c r="D46" i="5"/>
  <c r="F136" i="4"/>
  <c r="D136" i="5"/>
  <c r="F204" i="4"/>
  <c r="D204" i="5"/>
  <c r="F108" i="4"/>
  <c r="D108" i="5"/>
  <c r="F224" i="4"/>
  <c r="D224" i="5"/>
  <c r="F133" i="4"/>
  <c r="D133" i="5"/>
  <c r="F107" i="4"/>
  <c r="D107" i="5"/>
  <c r="F167" i="4"/>
  <c r="D167" i="5"/>
  <c r="F206" i="4"/>
  <c r="D206" i="5"/>
  <c r="F161" i="4"/>
  <c r="D161" i="5"/>
  <c r="F180" i="4"/>
  <c r="D180" i="5"/>
  <c r="F217" i="4"/>
  <c r="D217" i="5"/>
  <c r="F55" i="4"/>
  <c r="D55" i="5"/>
  <c r="F152" i="4"/>
  <c r="D152" i="5"/>
  <c r="F93" i="4"/>
  <c r="D93" i="5"/>
  <c r="F169" i="4"/>
  <c r="D169" i="5"/>
  <c r="F61" i="4"/>
  <c r="D61" i="5"/>
  <c r="F173" i="4"/>
  <c r="D173" i="5"/>
  <c r="F37" i="4"/>
  <c r="D37" i="5"/>
  <c r="F34" i="4"/>
  <c r="D34" i="5"/>
  <c r="F96" i="4"/>
  <c r="D96" i="5"/>
  <c r="F91" i="4"/>
  <c r="D91" i="5"/>
  <c r="F74" i="4"/>
  <c r="D74" i="5"/>
  <c r="F77" i="4"/>
  <c r="D77" i="5"/>
  <c r="F39" i="4"/>
  <c r="F44" i="4"/>
  <c r="F71" i="4"/>
  <c r="F201" i="4"/>
  <c r="F223" i="4"/>
  <c r="F220" i="4"/>
  <c r="F111" i="4"/>
  <c r="F26" i="4"/>
  <c r="F166" i="4"/>
  <c r="F156" i="4"/>
  <c r="F117" i="4"/>
  <c r="F65" i="4"/>
  <c r="F76" i="4"/>
  <c r="F187" i="4"/>
  <c r="F115" i="4"/>
  <c r="F129" i="4"/>
  <c r="F21" i="4"/>
  <c r="F150" i="4"/>
  <c r="F90" i="4"/>
  <c r="F209" i="4"/>
  <c r="F124" i="4"/>
  <c r="F172" i="4"/>
  <c r="F203" i="4"/>
  <c r="F228" i="4"/>
  <c r="F137" i="4"/>
  <c r="F84" i="4"/>
  <c r="F219" i="4"/>
  <c r="F102" i="4"/>
  <c r="F139" i="4"/>
  <c r="F194" i="4"/>
  <c r="F56" i="4"/>
  <c r="F193" i="4"/>
  <c r="F10" i="4"/>
  <c r="F29" i="4"/>
  <c r="F146" i="4"/>
  <c r="F157" i="4"/>
  <c r="F75" i="4"/>
  <c r="F32" i="4"/>
  <c r="F213" i="4"/>
  <c r="F97" i="4"/>
  <c r="F49" i="4"/>
  <c r="F81" i="4"/>
  <c r="F195" i="4"/>
  <c r="F33" i="4"/>
  <c r="F214" i="4"/>
  <c r="F189" i="4"/>
  <c r="F106" i="4"/>
  <c r="F18" i="4"/>
  <c r="F186" i="4"/>
  <c r="F158" i="4"/>
  <c r="F40" i="4"/>
  <c r="F16" i="4"/>
  <c r="F25" i="4"/>
  <c r="F47" i="4"/>
  <c r="F185" i="4"/>
  <c r="F87" i="4"/>
  <c r="F80" i="4"/>
  <c r="F19" i="4"/>
  <c r="F68" i="4"/>
  <c r="F116" i="4"/>
  <c r="F5" i="4"/>
  <c r="F92" i="4"/>
  <c r="F145" i="4"/>
  <c r="F128" i="4"/>
  <c r="F144" i="4"/>
  <c r="F83" i="4"/>
  <c r="F230" i="4"/>
  <c r="F99" i="4"/>
  <c r="F151" i="4"/>
  <c r="F28" i="4"/>
  <c r="F63" i="4"/>
  <c r="F104" i="4"/>
  <c r="F9" i="4"/>
  <c r="F6" i="4"/>
  <c r="F23" i="4"/>
  <c r="F82" i="4"/>
  <c r="F163" i="4"/>
  <c r="F182" i="4"/>
  <c r="F100" i="4"/>
  <c r="F122" i="4"/>
  <c r="F134" i="4"/>
  <c r="F192" i="4"/>
  <c r="F131" i="4"/>
  <c r="F197" i="4"/>
  <c r="F205" i="4"/>
  <c r="F27" i="4"/>
  <c r="F121" i="4"/>
  <c r="F13" i="4"/>
  <c r="F132" i="4"/>
  <c r="F227" i="4"/>
  <c r="F7" i="4"/>
  <c r="F45" i="4"/>
  <c r="F208" i="4"/>
  <c r="F164" i="4"/>
  <c r="F170" i="4"/>
  <c r="F120" i="4"/>
  <c r="F178" i="4"/>
  <c r="F207" i="4"/>
  <c r="F155" i="4"/>
  <c r="F112" i="4"/>
  <c r="F184" i="4"/>
  <c r="F105" i="4"/>
  <c r="F202" i="4"/>
  <c r="F160" i="4"/>
  <c r="F142" i="4"/>
  <c r="F15" i="4"/>
  <c r="F66" i="4"/>
  <c r="F130" i="4"/>
  <c r="F53" i="4"/>
  <c r="F174" i="4"/>
  <c r="F67" i="4"/>
  <c r="F147" i="4"/>
  <c r="F11" i="4"/>
  <c r="F51" i="4"/>
  <c r="F188" i="4"/>
  <c r="F41" i="4"/>
  <c r="F73" i="4"/>
  <c r="F143" i="4"/>
  <c r="F110" i="4"/>
  <c r="F12" i="4"/>
  <c r="F72" i="4"/>
  <c r="F14" i="4"/>
  <c r="F125" i="4"/>
  <c r="F177" i="4"/>
  <c r="F216" i="4"/>
  <c r="F149" i="4"/>
  <c r="F62" i="4"/>
  <c r="F153" i="4"/>
  <c r="F8" i="4"/>
  <c r="F165" i="4"/>
  <c r="F159" i="4"/>
  <c r="F60" i="4"/>
  <c r="F35" i="4"/>
  <c r="F196" i="4"/>
  <c r="F89" i="4"/>
  <c r="F113" i="4"/>
  <c r="F103" i="4"/>
  <c r="F31" i="4"/>
  <c r="F126" i="4"/>
  <c r="F22" i="4"/>
  <c r="F57" i="4"/>
  <c r="F114" i="4"/>
  <c r="F123" i="4"/>
  <c r="F43" i="4"/>
  <c r="F69" i="4"/>
  <c r="F135" i="4"/>
  <c r="F198" i="4"/>
  <c r="F200" i="4"/>
  <c r="F118" i="4"/>
  <c r="F211" i="4"/>
  <c r="F229" i="4"/>
  <c r="F64" i="4"/>
  <c r="F54" i="4"/>
  <c r="F222" i="4"/>
  <c r="F221" i="4"/>
  <c r="K9" i="4"/>
  <c r="BW8" i="2"/>
  <c r="H9" i="5" s="1"/>
  <c r="K166" i="4"/>
  <c r="BW166" i="2"/>
  <c r="H166" i="5" s="1"/>
  <c r="K31" i="4"/>
  <c r="BW28" i="2"/>
  <c r="H31" i="5" s="1"/>
  <c r="K180" i="4"/>
  <c r="BW175" i="2"/>
  <c r="H180" i="5" s="1"/>
  <c r="K118" i="4"/>
  <c r="BW117" i="2"/>
  <c r="H118" i="5" s="1"/>
  <c r="K155" i="4"/>
  <c r="BW157" i="2"/>
  <c r="H155" i="5" s="1"/>
  <c r="K151" i="4"/>
  <c r="BW151" i="2"/>
  <c r="H151" i="5" s="1"/>
  <c r="K92" i="4"/>
  <c r="BW85" i="2"/>
  <c r="H92" i="5" s="1"/>
  <c r="K127" i="4"/>
  <c r="BW128" i="2"/>
  <c r="H127" i="5" s="1"/>
  <c r="K134" i="4"/>
  <c r="BW134" i="2"/>
  <c r="H134" i="5" s="1"/>
  <c r="K177" i="4"/>
  <c r="BW176" i="2"/>
  <c r="H177" i="5" s="1"/>
  <c r="K87" i="4"/>
  <c r="BW98" i="2"/>
  <c r="H87" i="5" s="1"/>
  <c r="K169" i="4"/>
  <c r="BW169" i="2"/>
  <c r="H169" i="5" s="1"/>
  <c r="K54" i="4"/>
  <c r="BW59" i="2"/>
  <c r="H54" i="5" s="1"/>
  <c r="K223" i="4"/>
  <c r="BW226" i="2"/>
  <c r="H223" i="5" s="1"/>
  <c r="K217" i="4"/>
  <c r="BW214" i="2"/>
  <c r="H217" i="5" s="1"/>
  <c r="K36" i="4"/>
  <c r="BW37" i="2"/>
  <c r="H36" i="5" s="1"/>
  <c r="K168" i="4"/>
  <c r="BW165" i="2"/>
  <c r="H168" i="5" s="1"/>
  <c r="K204" i="4"/>
  <c r="BW198" i="2"/>
  <c r="H204" i="5" s="1"/>
  <c r="K11" i="4"/>
  <c r="BW9" i="2"/>
  <c r="H11" i="5" s="1"/>
  <c r="K211" i="4"/>
  <c r="BW205" i="2"/>
  <c r="H211" i="5" s="1"/>
  <c r="K112" i="4"/>
  <c r="BW113" i="2"/>
  <c r="H112" i="5" s="1"/>
  <c r="K76" i="4"/>
  <c r="BW75" i="2"/>
  <c r="H76" i="5" s="1"/>
  <c r="K81" i="4"/>
  <c r="BW83" i="2"/>
  <c r="H81" i="5" s="1"/>
  <c r="K152" i="4"/>
  <c r="BW147" i="2"/>
  <c r="H152" i="5" s="1"/>
  <c r="K170" i="4"/>
  <c r="BW167" i="2"/>
  <c r="H170" i="5" s="1"/>
  <c r="K209" i="4"/>
  <c r="BW208" i="2"/>
  <c r="H209" i="5" s="1"/>
  <c r="K73" i="4"/>
  <c r="BW79" i="2"/>
  <c r="H73" i="5" s="1"/>
  <c r="K12" i="4"/>
  <c r="BW11" i="2"/>
  <c r="H12" i="5" s="1"/>
  <c r="K8" i="4"/>
  <c r="BW7" i="2"/>
  <c r="H8" i="5" s="1"/>
  <c r="K144" i="4"/>
  <c r="BW142" i="2"/>
  <c r="H144" i="5" s="1"/>
  <c r="K50" i="4"/>
  <c r="BW55" i="2"/>
  <c r="H50" i="5" s="1"/>
  <c r="K163" i="4"/>
  <c r="BW164" i="2"/>
  <c r="H163" i="5" s="1"/>
  <c r="K55" i="4"/>
  <c r="BW51" i="2"/>
  <c r="H55" i="5" s="1"/>
  <c r="K140" i="4"/>
  <c r="BW138" i="2"/>
  <c r="H140" i="5" s="1"/>
  <c r="K221" i="4"/>
  <c r="BW211" i="2"/>
  <c r="H221" i="5" s="1"/>
  <c r="K34" i="4"/>
  <c r="BW31" i="2"/>
  <c r="H34" i="5" s="1"/>
  <c r="K33" i="4"/>
  <c r="BW39" i="2"/>
  <c r="H33" i="5" s="1"/>
  <c r="K120" i="4"/>
  <c r="BW119" i="2"/>
  <c r="H120" i="5" s="1"/>
  <c r="K185" i="4"/>
  <c r="BW188" i="2"/>
  <c r="H185" i="5" s="1"/>
  <c r="K116" i="4"/>
  <c r="BW116" i="2"/>
  <c r="H116" i="5" s="1"/>
  <c r="K23" i="4"/>
  <c r="BW26" i="2"/>
  <c r="H23" i="5" s="1"/>
  <c r="K107" i="4"/>
  <c r="BW112" i="2"/>
  <c r="H107" i="5" s="1"/>
  <c r="K72" i="4"/>
  <c r="BW71" i="2"/>
  <c r="H72" i="5" s="1"/>
  <c r="K153" i="4"/>
  <c r="BW152" i="2"/>
  <c r="H153" i="5" s="1"/>
  <c r="K174" i="4"/>
  <c r="BW172" i="2"/>
  <c r="H174" i="5" s="1"/>
  <c r="K62" i="4"/>
  <c r="BW68" i="2"/>
  <c r="H62" i="5" s="1"/>
  <c r="K71" i="4"/>
  <c r="BW70" i="2"/>
  <c r="H71" i="5" s="1"/>
  <c r="K18" i="4"/>
  <c r="BW18" i="2"/>
  <c r="H18" i="5" s="1"/>
  <c r="K88" i="4"/>
  <c r="BW81" i="2"/>
  <c r="H88" i="5" s="1"/>
  <c r="K86" i="4"/>
  <c r="BW86" i="2"/>
  <c r="H86" i="5" s="1"/>
  <c r="K115" i="4"/>
  <c r="BW115" i="2"/>
  <c r="H115" i="5" s="1"/>
  <c r="K167" i="4"/>
  <c r="BW163" i="2"/>
  <c r="H167" i="5" s="1"/>
  <c r="K206" i="4"/>
  <c r="BW203" i="2"/>
  <c r="H206" i="5" s="1"/>
  <c r="K117" i="4"/>
  <c r="BW118" i="2"/>
  <c r="H117" i="5" s="1"/>
  <c r="K44" i="4"/>
  <c r="BW43" i="2"/>
  <c r="H44" i="5" s="1"/>
  <c r="K70" i="4"/>
  <c r="BW61" i="2"/>
  <c r="H70" i="5" s="1"/>
  <c r="K147" i="4"/>
  <c r="BW148" i="2"/>
  <c r="H147" i="5" s="1"/>
  <c r="K203" i="4"/>
  <c r="BW199" i="2"/>
  <c r="H203" i="5" s="1"/>
  <c r="K105" i="4"/>
  <c r="BW107" i="2"/>
  <c r="H105" i="5" s="1"/>
  <c r="K102" i="4"/>
  <c r="BW105" i="2"/>
  <c r="H102" i="5" s="1"/>
  <c r="K184" i="4"/>
  <c r="BW186" i="2"/>
  <c r="H184" i="5" s="1"/>
  <c r="K27" i="4"/>
  <c r="BW25" i="2"/>
  <c r="H27" i="5" s="1"/>
  <c r="K42" i="4"/>
  <c r="BW36" i="2"/>
  <c r="H42" i="5" s="1"/>
  <c r="K52" i="4"/>
  <c r="BW50" i="2"/>
  <c r="H52" i="5" s="1"/>
  <c r="K133" i="4"/>
  <c r="BW129" i="2"/>
  <c r="H133" i="5" s="1"/>
  <c r="K78" i="4"/>
  <c r="BW73" i="2"/>
  <c r="H78" i="5" s="1"/>
  <c r="K202" i="4"/>
  <c r="BW200" i="2"/>
  <c r="H202" i="5" s="1"/>
  <c r="K17" i="4"/>
  <c r="BW17" i="2"/>
  <c r="H17" i="5" s="1"/>
  <c r="K123" i="4"/>
  <c r="BW122" i="2"/>
  <c r="H123" i="5" s="1"/>
  <c r="K47" i="4"/>
  <c r="BW44" i="2"/>
  <c r="H47" i="5" s="1"/>
  <c r="K210" i="4"/>
  <c r="BW207" i="2"/>
  <c r="H210" i="5" s="1"/>
  <c r="K213" i="4"/>
  <c r="BW219" i="2"/>
  <c r="H213" i="5" s="1"/>
  <c r="K201" i="4"/>
  <c r="BW202" i="2"/>
  <c r="H201" i="5" s="1"/>
  <c r="K85" i="4"/>
  <c r="BW102" i="2"/>
  <c r="H85" i="5" s="1"/>
  <c r="K148" i="4"/>
  <c r="BW149" i="2"/>
  <c r="H148" i="5" s="1"/>
  <c r="K95" i="4"/>
  <c r="BW87" i="2"/>
  <c r="H95" i="5" s="1"/>
  <c r="K186" i="4"/>
  <c r="BW191" i="2"/>
  <c r="H186" i="5" s="1"/>
  <c r="K56" i="4"/>
  <c r="BW54" i="2"/>
  <c r="H56" i="5" s="1"/>
  <c r="K158" i="4"/>
  <c r="BW160" i="2"/>
  <c r="H158" i="5" s="1"/>
  <c r="K205" i="4"/>
  <c r="BW204" i="2"/>
  <c r="H205" i="5" s="1"/>
  <c r="K156" i="4"/>
  <c r="BW161" i="2"/>
  <c r="H156" i="5" s="1"/>
  <c r="K160" i="4"/>
  <c r="BW159" i="2"/>
  <c r="H160" i="5" s="1"/>
  <c r="K19" i="4"/>
  <c r="BW19" i="2"/>
  <c r="H19" i="5" s="1"/>
  <c r="K106" i="4"/>
  <c r="BW109" i="2"/>
  <c r="H106" i="5" s="1"/>
  <c r="K58" i="4"/>
  <c r="BW49" i="2"/>
  <c r="H58" i="5" s="1"/>
  <c r="K149" i="4"/>
  <c r="BW150" i="2"/>
  <c r="H149" i="5" s="1"/>
  <c r="K119" i="4"/>
  <c r="BW106" i="2"/>
  <c r="H119" i="5" s="1"/>
  <c r="K96" i="4"/>
  <c r="BW96" i="2"/>
  <c r="H96" i="5" s="1"/>
  <c r="K37" i="4"/>
  <c r="BW33" i="2"/>
  <c r="H37" i="5" s="1"/>
  <c r="K49" i="4"/>
  <c r="BW47" i="2"/>
  <c r="H49" i="5" s="1"/>
  <c r="K126" i="4"/>
  <c r="BW125" i="2"/>
  <c r="H126" i="5" s="1"/>
  <c r="K183" i="4"/>
  <c r="BW187" i="2"/>
  <c r="H183" i="5" s="1"/>
  <c r="K99" i="4"/>
  <c r="BW101" i="2"/>
  <c r="H99" i="5" s="1"/>
  <c r="K176" i="4"/>
  <c r="BW174" i="2"/>
  <c r="H176" i="5" s="1"/>
  <c r="K84" i="4"/>
  <c r="BW84" i="2"/>
  <c r="H84" i="5" s="1"/>
  <c r="K28" i="4"/>
  <c r="BW30" i="2"/>
  <c r="H28" i="5" s="1"/>
  <c r="K57" i="4"/>
  <c r="BW52" i="2"/>
  <c r="H57" i="5" s="1"/>
  <c r="K229" i="4"/>
  <c r="BW225" i="2"/>
  <c r="H229" i="5" s="1"/>
  <c r="K138" i="4"/>
  <c r="BW132" i="2"/>
  <c r="H138" i="5" s="1"/>
  <c r="K161" i="4"/>
  <c r="BW155" i="2"/>
  <c r="H161" i="5" s="1"/>
  <c r="K74" i="4"/>
  <c r="BW74" i="2"/>
  <c r="H74" i="5" s="1"/>
  <c r="K108" i="4"/>
  <c r="BW100" i="2"/>
  <c r="H108" i="5" s="1"/>
  <c r="K25" i="4"/>
  <c r="BW24" i="2"/>
  <c r="H25" i="5" s="1"/>
  <c r="K61" i="4"/>
  <c r="BW62" i="2"/>
  <c r="H61" i="5" s="1"/>
  <c r="K181" i="4"/>
  <c r="BW179" i="2"/>
  <c r="H181" i="5" s="1"/>
  <c r="K165" i="4"/>
  <c r="BW162" i="2"/>
  <c r="H165" i="5" s="1"/>
  <c r="K93" i="4"/>
  <c r="BW93" i="2"/>
  <c r="H93" i="5" s="1"/>
  <c r="K194" i="4"/>
  <c r="BW194" i="2"/>
  <c r="H194" i="5" s="1"/>
  <c r="K68" i="4"/>
  <c r="BW63" i="2"/>
  <c r="H68" i="5" s="1"/>
  <c r="K24" i="4"/>
  <c r="BW22" i="2"/>
  <c r="H24" i="5" s="1"/>
  <c r="K41" i="4"/>
  <c r="BW40" i="2"/>
  <c r="H41" i="5" s="1"/>
  <c r="K39" i="4"/>
  <c r="BW46" i="2"/>
  <c r="H39" i="5" s="1"/>
  <c r="K46" i="4"/>
  <c r="BW41" i="2"/>
  <c r="H46" i="5" s="1"/>
  <c r="K139" i="4"/>
  <c r="BW141" i="2"/>
  <c r="H139" i="5" s="1"/>
  <c r="K216" i="4"/>
  <c r="BW217" i="2"/>
  <c r="H216" i="5" s="1"/>
  <c r="K137" i="4"/>
  <c r="BW137" i="2"/>
  <c r="H137" i="5" s="1"/>
  <c r="K227" i="4"/>
  <c r="BW228" i="2"/>
  <c r="H227" i="5" s="1"/>
  <c r="K22" i="4"/>
  <c r="BW21" i="2"/>
  <c r="H22" i="5" s="1"/>
  <c r="K104" i="4"/>
  <c r="BW103" i="2"/>
  <c r="H104" i="5" s="1"/>
  <c r="K171" i="4"/>
  <c r="BW173" i="2"/>
  <c r="H171" i="5" s="1"/>
  <c r="K35" i="4"/>
  <c r="BW34" i="2"/>
  <c r="H35" i="5" s="1"/>
  <c r="K32" i="4"/>
  <c r="BW38" i="2"/>
  <c r="H32" i="5" s="1"/>
  <c r="K14" i="4"/>
  <c r="BW13" i="2"/>
  <c r="H14" i="5" s="1"/>
  <c r="K51" i="4"/>
  <c r="BW53" i="2"/>
  <c r="H51" i="5" s="1"/>
  <c r="K179" i="4"/>
  <c r="BW170" i="2"/>
  <c r="H179" i="5" s="1"/>
  <c r="K103" i="4"/>
  <c r="BW92" i="2"/>
  <c r="H103" i="5" s="1"/>
  <c r="K164" i="4"/>
  <c r="BW180" i="2"/>
  <c r="H164" i="5" s="1"/>
  <c r="K109" i="4"/>
  <c r="BW104" i="2"/>
  <c r="H109" i="5" s="1"/>
  <c r="K21" i="4"/>
  <c r="BW20" i="2"/>
  <c r="H21" i="5" s="1"/>
  <c r="K40" i="4"/>
  <c r="BW35" i="2"/>
  <c r="H40" i="5" s="1"/>
  <c r="K10" i="4"/>
  <c r="BW10" i="2"/>
  <c r="H10" i="5" s="1"/>
  <c r="K154" i="4"/>
  <c r="BW154" i="2"/>
  <c r="H154" i="5" s="1"/>
  <c r="K197" i="4"/>
  <c r="BW196" i="2"/>
  <c r="H197" i="5" s="1"/>
  <c r="K30" i="4"/>
  <c r="BW23" i="2"/>
  <c r="H30" i="5" s="1"/>
  <c r="K159" i="4"/>
  <c r="BW156" i="2"/>
  <c r="H159" i="5" s="1"/>
  <c r="K131" i="4"/>
  <c r="BW127" i="2"/>
  <c r="H131" i="5" s="1"/>
  <c r="K122" i="4"/>
  <c r="BW121" i="2"/>
  <c r="H122" i="5" s="1"/>
  <c r="K83" i="4"/>
  <c r="BW82" i="2"/>
  <c r="H83" i="5" s="1"/>
  <c r="K224" i="4"/>
  <c r="BW221" i="2"/>
  <c r="H224" i="5" s="1"/>
  <c r="K60" i="4"/>
  <c r="BW58" i="2"/>
  <c r="H60" i="5" s="1"/>
  <c r="K100" i="4"/>
  <c r="BW97" i="2"/>
  <c r="H100" i="5" s="1"/>
  <c r="K143" i="4"/>
  <c r="BW143" i="2"/>
  <c r="H143" i="5" s="1"/>
  <c r="K69" i="4"/>
  <c r="BW66" i="2"/>
  <c r="H69" i="5" s="1"/>
  <c r="K219" i="4"/>
  <c r="BW213" i="2"/>
  <c r="H219" i="5" s="1"/>
  <c r="K208" i="4"/>
  <c r="BW215" i="2"/>
  <c r="H208" i="5" s="1"/>
  <c r="K228" i="4"/>
  <c r="BW227" i="2"/>
  <c r="H228" i="5" s="1"/>
  <c r="K195" i="4"/>
  <c r="BW193" i="2"/>
  <c r="H195" i="5" s="1"/>
  <c r="K114" i="4"/>
  <c r="BW114" i="2"/>
  <c r="H114" i="5" s="1"/>
  <c r="K59" i="4"/>
  <c r="BW57" i="2"/>
  <c r="H59" i="5" s="1"/>
  <c r="K77" i="4"/>
  <c r="BW60" i="2"/>
  <c r="H77" i="5" s="1"/>
  <c r="K222" i="4"/>
  <c r="BW222" i="2"/>
  <c r="H222" i="5" s="1"/>
  <c r="K38" i="4"/>
  <c r="BW32" i="2"/>
  <c r="H38" i="5" s="1"/>
  <c r="K142" i="4"/>
  <c r="BW140" i="2"/>
  <c r="H142" i="5" s="1"/>
  <c r="K94" i="4"/>
  <c r="BW90" i="2"/>
  <c r="H94" i="5" s="1"/>
  <c r="K121" i="4"/>
  <c r="BW120" i="2"/>
  <c r="H121" i="5" s="1"/>
  <c r="K226" i="4"/>
  <c r="BW224" i="2"/>
  <c r="H226" i="5" s="1"/>
  <c r="K146" i="4"/>
  <c r="BW145" i="2"/>
  <c r="H146" i="5" s="1"/>
  <c r="K130" i="4"/>
  <c r="BW131" i="2"/>
  <c r="H130" i="5" s="1"/>
  <c r="K45" i="4"/>
  <c r="BW48" i="2"/>
  <c r="H45" i="5" s="1"/>
  <c r="K136" i="4"/>
  <c r="BW126" i="2"/>
  <c r="H136" i="5" s="1"/>
  <c r="K178" i="4"/>
  <c r="BW178" i="2"/>
  <c r="H178" i="5" s="1"/>
  <c r="K192" i="4"/>
  <c r="BW190" i="2"/>
  <c r="H192" i="5" s="1"/>
  <c r="K150" i="4"/>
  <c r="BW146" i="2"/>
  <c r="H150" i="5" s="1"/>
  <c r="K212" i="4"/>
  <c r="BW212" i="2"/>
  <c r="H212" i="5" s="1"/>
  <c r="K98" i="4"/>
  <c r="BW77" i="2"/>
  <c r="H98" i="5" s="1"/>
  <c r="K89" i="4"/>
  <c r="BW88" i="2"/>
  <c r="H89" i="5" s="1"/>
  <c r="K190" i="4"/>
  <c r="BW182" i="2"/>
  <c r="H190" i="5" s="1"/>
  <c r="K199" i="4"/>
  <c r="BW201" i="2"/>
  <c r="H199" i="5" s="1"/>
  <c r="K230" i="4"/>
  <c r="BW229" i="2"/>
  <c r="H230" i="5" s="1"/>
  <c r="K67" i="4"/>
  <c r="BW72" i="2"/>
  <c r="H67" i="5" s="1"/>
  <c r="K43" i="4"/>
  <c r="BW42" i="2"/>
  <c r="H43" i="5" s="1"/>
  <c r="K129" i="4"/>
  <c r="BW130" i="2"/>
  <c r="H129" i="5" s="1"/>
  <c r="K157" i="4"/>
  <c r="BW158" i="2"/>
  <c r="H157" i="5" s="1"/>
  <c r="K90" i="4"/>
  <c r="BW94" i="2"/>
  <c r="H90" i="5" s="1"/>
  <c r="K48" i="4"/>
  <c r="BW45" i="2"/>
  <c r="H48" i="5" s="1"/>
  <c r="K141" i="4"/>
  <c r="BW139" i="2"/>
  <c r="H141" i="5" s="1"/>
  <c r="K193" i="4"/>
  <c r="BW192" i="2"/>
  <c r="H193" i="5" s="1"/>
  <c r="K162" i="4"/>
  <c r="BW153" i="2"/>
  <c r="H162" i="5" s="1"/>
  <c r="K188" i="4"/>
  <c r="BW183" i="2"/>
  <c r="H188" i="5" s="1"/>
  <c r="K111" i="4"/>
  <c r="BW110" i="2"/>
  <c r="H111" i="5" s="1"/>
  <c r="K65" i="4"/>
  <c r="BW69" i="2"/>
  <c r="H65" i="5" s="1"/>
  <c r="K189" i="4"/>
  <c r="BW185" i="2"/>
  <c r="H189" i="5" s="1"/>
  <c r="K66" i="4"/>
  <c r="BW65" i="2"/>
  <c r="H66" i="5" s="1"/>
  <c r="K198" i="4"/>
  <c r="BW197" i="2"/>
  <c r="H198" i="5" s="1"/>
  <c r="K128" i="4"/>
  <c r="BW136" i="2"/>
  <c r="H128" i="5" s="1"/>
  <c r="K191" i="4"/>
  <c r="BW189" i="2"/>
  <c r="H191" i="5" s="1"/>
  <c r="K196" i="4"/>
  <c r="BW195" i="2"/>
  <c r="H196" i="5" s="1"/>
  <c r="K26" i="4"/>
  <c r="BW27" i="2"/>
  <c r="H26" i="5" s="1"/>
  <c r="K187" i="4"/>
  <c r="BW184" i="2"/>
  <c r="H187" i="5" s="1"/>
  <c r="K125" i="4"/>
  <c r="BW123" i="2"/>
  <c r="H125" i="5" s="1"/>
  <c r="K135" i="4"/>
  <c r="BW133" i="2"/>
  <c r="H135" i="5" s="1"/>
  <c r="K16" i="4"/>
  <c r="BW15" i="2"/>
  <c r="H16" i="5" s="1"/>
  <c r="K182" i="4"/>
  <c r="BW181" i="2"/>
  <c r="H182" i="5" s="1"/>
  <c r="K20" i="4"/>
  <c r="BW16" i="2"/>
  <c r="H20" i="5" s="1"/>
  <c r="K63" i="4"/>
  <c r="BW64" i="2"/>
  <c r="H63" i="5" s="1"/>
  <c r="K200" i="4"/>
  <c r="BW210" i="2"/>
  <c r="H200" i="5" s="1"/>
  <c r="K5" i="4"/>
  <c r="BW4" i="2"/>
  <c r="H5" i="5" s="1"/>
  <c r="K220" i="4"/>
  <c r="BW216" i="2"/>
  <c r="H220" i="5" s="1"/>
  <c r="K124" i="4"/>
  <c r="BW124" i="2"/>
  <c r="H124" i="5" s="1"/>
  <c r="K79" i="4"/>
  <c r="BW76" i="2"/>
  <c r="H79" i="5" s="1"/>
  <c r="K13" i="4"/>
  <c r="BW12" i="2"/>
  <c r="H13" i="5" s="1"/>
  <c r="K113" i="4"/>
  <c r="BW111" i="2"/>
  <c r="H113" i="5" s="1"/>
  <c r="K75" i="4"/>
  <c r="BW80" i="2"/>
  <c r="H75" i="5" s="1"/>
  <c r="K64" i="4"/>
  <c r="BW67" i="2"/>
  <c r="H64" i="5" s="1"/>
  <c r="K82" i="4"/>
  <c r="BW91" i="2"/>
  <c r="H82" i="5" s="1"/>
  <c r="K97" i="4"/>
  <c r="BW99" i="2"/>
  <c r="H97" i="5" s="1"/>
  <c r="K173" i="4"/>
  <c r="BW171" i="2"/>
  <c r="H173" i="5" s="1"/>
  <c r="K6" i="4"/>
  <c r="BW5" i="2"/>
  <c r="H6" i="5" s="1"/>
  <c r="K225" i="4"/>
  <c r="BW223" i="2"/>
  <c r="H225" i="5" s="1"/>
  <c r="K53" i="4"/>
  <c r="BW56" i="2"/>
  <c r="H53" i="5" s="1"/>
  <c r="K15" i="4"/>
  <c r="BW14" i="2"/>
  <c r="H15" i="5" s="1"/>
  <c r="K29" i="4"/>
  <c r="BW29" i="2"/>
  <c r="H29" i="5" s="1"/>
  <c r="K207" i="4"/>
  <c r="BW220" i="2"/>
  <c r="H207" i="5" s="1"/>
  <c r="K214" i="4"/>
  <c r="BW218" i="2"/>
  <c r="H214" i="5" s="1"/>
  <c r="K175" i="4"/>
  <c r="BW168" i="2"/>
  <c r="H175" i="5" s="1"/>
  <c r="K110" i="4"/>
  <c r="BW108" i="2"/>
  <c r="H110" i="5" s="1"/>
  <c r="K132" i="4"/>
  <c r="BW135" i="2"/>
  <c r="H132" i="5" s="1"/>
  <c r="K80" i="4"/>
  <c r="BW78" i="2"/>
  <c r="H80" i="5" s="1"/>
  <c r="K215" i="4"/>
  <c r="BW206" i="2"/>
  <c r="H215" i="5" s="1"/>
  <c r="K91" i="4"/>
  <c r="BW89" i="2"/>
  <c r="H91" i="5" s="1"/>
  <c r="K101" i="4"/>
  <c r="BW95" i="2"/>
  <c r="H101" i="5" s="1"/>
  <c r="K172" i="4"/>
  <c r="BW177" i="2"/>
  <c r="H172" i="5" s="1"/>
  <c r="K218" i="4"/>
  <c r="BW209" i="2"/>
  <c r="H218" i="5" s="1"/>
  <c r="K145" i="4"/>
  <c r="BW144" i="2"/>
  <c r="H145" i="5" s="1"/>
  <c r="K7" i="4"/>
  <c r="BW6" i="2"/>
  <c r="H7" i="5" s="1"/>
  <c r="K4" i="4"/>
  <c r="BW3" i="2"/>
  <c r="H4" i="5" s="1"/>
  <c r="F4" i="4"/>
  <c r="J26" i="4"/>
  <c r="BM27" i="2"/>
  <c r="G26" i="5" s="1"/>
  <c r="J97" i="4"/>
  <c r="BM99" i="2"/>
  <c r="G97" i="5" s="1"/>
  <c r="J43" i="4"/>
  <c r="BM42" i="2"/>
  <c r="G43" i="5" s="1"/>
  <c r="J56" i="4"/>
  <c r="BM54" i="2"/>
  <c r="G56" i="5" s="1"/>
  <c r="J80" i="4"/>
  <c r="BM78" i="2"/>
  <c r="G80" i="5" s="1"/>
  <c r="J68" i="4"/>
  <c r="BM63" i="2"/>
  <c r="G68" i="5" s="1"/>
  <c r="J125" i="4"/>
  <c r="BM123" i="2"/>
  <c r="G125" i="5" s="1"/>
  <c r="J224" i="4"/>
  <c r="BM221" i="2"/>
  <c r="G224" i="5" s="1"/>
  <c r="J39" i="4"/>
  <c r="BM46" i="2"/>
  <c r="G39" i="5" s="1"/>
  <c r="J189" i="4"/>
  <c r="BM185" i="2"/>
  <c r="G189" i="5" s="1"/>
  <c r="J193" i="4"/>
  <c r="BM192" i="2"/>
  <c r="G193" i="5" s="1"/>
  <c r="J167" i="4"/>
  <c r="BM163" i="2"/>
  <c r="G167" i="5" s="1"/>
  <c r="J214" i="4"/>
  <c r="BM218" i="2"/>
  <c r="G214" i="5" s="1"/>
  <c r="J166" i="4"/>
  <c r="BM166" i="2"/>
  <c r="G166" i="5" s="1"/>
  <c r="J24" i="4"/>
  <c r="BM22" i="2"/>
  <c r="G24" i="5" s="1"/>
  <c r="J82" i="4"/>
  <c r="BM91" i="2"/>
  <c r="G82" i="5" s="1"/>
  <c r="J121" i="4"/>
  <c r="BM120" i="2"/>
  <c r="G121" i="5" s="1"/>
  <c r="J58" i="4"/>
  <c r="BM49" i="2"/>
  <c r="G58" i="5" s="1"/>
  <c r="J107" i="4"/>
  <c r="BM112" i="2"/>
  <c r="G107" i="5" s="1"/>
  <c r="J60" i="4"/>
  <c r="BM58" i="2"/>
  <c r="G60" i="5" s="1"/>
  <c r="J220" i="4"/>
  <c r="BM216" i="2"/>
  <c r="G220" i="5" s="1"/>
  <c r="J141" i="4"/>
  <c r="BM139" i="2"/>
  <c r="G141" i="5" s="1"/>
  <c r="J152" i="4"/>
  <c r="BM147" i="2"/>
  <c r="G152" i="5" s="1"/>
  <c r="J229" i="4"/>
  <c r="BM225" i="2"/>
  <c r="G229" i="5" s="1"/>
  <c r="J52" i="4"/>
  <c r="BM50" i="2"/>
  <c r="G52" i="5" s="1"/>
  <c r="J6" i="4"/>
  <c r="BM5" i="2"/>
  <c r="G6" i="5" s="1"/>
  <c r="J199" i="4"/>
  <c r="BM201" i="2"/>
  <c r="G199" i="5" s="1"/>
  <c r="J11" i="4"/>
  <c r="BM9" i="2"/>
  <c r="G11" i="5" s="1"/>
  <c r="J209" i="4"/>
  <c r="BM208" i="2"/>
  <c r="G209" i="5" s="1"/>
  <c r="J148" i="4"/>
  <c r="BM149" i="2"/>
  <c r="G148" i="5" s="1"/>
  <c r="J171" i="4"/>
  <c r="BM173" i="2"/>
  <c r="G171" i="5" s="1"/>
  <c r="J17" i="4"/>
  <c r="BM17" i="2"/>
  <c r="G17" i="5" s="1"/>
  <c r="J169" i="4"/>
  <c r="BM169" i="2"/>
  <c r="G169" i="5" s="1"/>
  <c r="J9" i="4"/>
  <c r="BM8" i="2"/>
  <c r="G9" i="5" s="1"/>
  <c r="J21" i="4"/>
  <c r="BM20" i="2"/>
  <c r="G21" i="5" s="1"/>
  <c r="J173" i="4"/>
  <c r="BM171" i="2"/>
  <c r="G173" i="5" s="1"/>
  <c r="J133" i="4"/>
  <c r="BM129" i="2"/>
  <c r="G133" i="5" s="1"/>
  <c r="J221" i="4"/>
  <c r="BM211" i="2"/>
  <c r="G221" i="5" s="1"/>
  <c r="J126" i="4"/>
  <c r="BM125" i="2"/>
  <c r="G126" i="5" s="1"/>
  <c r="J99" i="4"/>
  <c r="BM101" i="2"/>
  <c r="G99" i="5" s="1"/>
  <c r="J192" i="4"/>
  <c r="BM190" i="2"/>
  <c r="G192" i="5" s="1"/>
  <c r="J208" i="4"/>
  <c r="BM215" i="2"/>
  <c r="G208" i="5" s="1"/>
  <c r="J72" i="4"/>
  <c r="BM71" i="2"/>
  <c r="G72" i="5" s="1"/>
  <c r="J159" i="4"/>
  <c r="BM156" i="2"/>
  <c r="G159" i="5" s="1"/>
  <c r="J89" i="4"/>
  <c r="BM88" i="2"/>
  <c r="G89" i="5" s="1"/>
  <c r="J137" i="4"/>
  <c r="BM137" i="2"/>
  <c r="G137" i="5" s="1"/>
  <c r="J175" i="4"/>
  <c r="BM168" i="2"/>
  <c r="G175" i="5" s="1"/>
  <c r="J129" i="4"/>
  <c r="BM130" i="2"/>
  <c r="G129" i="5" s="1"/>
  <c r="J205" i="4"/>
  <c r="BM204" i="2"/>
  <c r="G205" i="5" s="1"/>
  <c r="J218" i="4"/>
  <c r="BM209" i="2"/>
  <c r="G218" i="5" s="1"/>
  <c r="J103" i="4"/>
  <c r="BM92" i="2"/>
  <c r="G103" i="5" s="1"/>
  <c r="J63" i="4"/>
  <c r="BM64" i="2"/>
  <c r="G63" i="5" s="1"/>
  <c r="J154" i="4"/>
  <c r="BM154" i="2"/>
  <c r="G154" i="5" s="1"/>
  <c r="J176" i="4"/>
  <c r="BM174" i="2"/>
  <c r="G176" i="5" s="1"/>
  <c r="J117" i="4"/>
  <c r="BM118" i="2"/>
  <c r="G117" i="5" s="1"/>
  <c r="J225" i="4"/>
  <c r="BM223" i="2"/>
  <c r="G225" i="5" s="1"/>
  <c r="J123" i="4"/>
  <c r="BM122" i="2"/>
  <c r="G123" i="5" s="1"/>
  <c r="J75" i="4"/>
  <c r="BM80" i="2"/>
  <c r="G75" i="5" s="1"/>
  <c r="J195" i="4"/>
  <c r="BM193" i="2"/>
  <c r="G195" i="5" s="1"/>
  <c r="J30" i="4"/>
  <c r="BM23" i="2"/>
  <c r="G30" i="5" s="1"/>
  <c r="J206" i="4"/>
  <c r="BM203" i="2"/>
  <c r="G206" i="5" s="1"/>
  <c r="J138" i="4"/>
  <c r="BM132" i="2"/>
  <c r="G138" i="5" s="1"/>
  <c r="J212" i="4"/>
  <c r="BM212" i="2"/>
  <c r="G212" i="5" s="1"/>
  <c r="J170" i="4"/>
  <c r="BM167" i="2"/>
  <c r="G170" i="5" s="1"/>
  <c r="J186" i="4"/>
  <c r="BM191" i="2"/>
  <c r="G186" i="5" s="1"/>
  <c r="J145" i="4"/>
  <c r="BM144" i="2"/>
  <c r="G145" i="5" s="1"/>
  <c r="J204" i="4"/>
  <c r="BM198" i="2"/>
  <c r="G204" i="5" s="1"/>
  <c r="J181" i="4"/>
  <c r="BM179" i="2"/>
  <c r="G181" i="5" s="1"/>
  <c r="J85" i="4"/>
  <c r="BM102" i="2"/>
  <c r="G85" i="5" s="1"/>
  <c r="J29" i="4"/>
  <c r="BM29" i="2"/>
  <c r="G29" i="5" s="1"/>
  <c r="J20" i="4"/>
  <c r="BM16" i="2"/>
  <c r="G20" i="5" s="1"/>
  <c r="J38" i="4"/>
  <c r="BM32" i="2"/>
  <c r="G38" i="5" s="1"/>
  <c r="J164" i="4"/>
  <c r="BM180" i="2"/>
  <c r="G164" i="5" s="1"/>
  <c r="J55" i="4"/>
  <c r="BM51" i="2"/>
  <c r="G55" i="5" s="1"/>
  <c r="J219" i="4"/>
  <c r="BM213" i="2"/>
  <c r="G219" i="5" s="1"/>
  <c r="J95" i="4"/>
  <c r="BM87" i="2"/>
  <c r="G95" i="5" s="1"/>
  <c r="J92" i="4"/>
  <c r="BM85" i="2"/>
  <c r="G92" i="5" s="1"/>
  <c r="J78" i="4"/>
  <c r="BM73" i="2"/>
  <c r="G78" i="5" s="1"/>
  <c r="J104" i="4"/>
  <c r="BM103" i="2"/>
  <c r="G104" i="5" s="1"/>
  <c r="J7" i="4"/>
  <c r="BM6" i="2"/>
  <c r="G7" i="5" s="1"/>
  <c r="J177" i="4"/>
  <c r="BM176" i="2"/>
  <c r="G177" i="5" s="1"/>
  <c r="J156" i="4"/>
  <c r="BM161" i="2"/>
  <c r="G156" i="5" s="1"/>
  <c r="J120" i="4"/>
  <c r="BM119" i="2"/>
  <c r="G120" i="5" s="1"/>
  <c r="J215" i="4"/>
  <c r="BM206" i="2"/>
  <c r="G215" i="5" s="1"/>
  <c r="J191" i="4"/>
  <c r="BM189" i="2"/>
  <c r="G191" i="5" s="1"/>
  <c r="J90" i="4"/>
  <c r="BM94" i="2"/>
  <c r="G90" i="5" s="1"/>
  <c r="J168" i="4"/>
  <c r="BM165" i="2"/>
  <c r="G168" i="5" s="1"/>
  <c r="J12" i="4"/>
  <c r="BM11" i="2"/>
  <c r="G12" i="5" s="1"/>
  <c r="J46" i="4"/>
  <c r="BM41" i="2"/>
  <c r="G46" i="5" s="1"/>
  <c r="J73" i="4"/>
  <c r="BM79" i="2"/>
  <c r="G73" i="5" s="1"/>
  <c r="J140" i="4"/>
  <c r="BM138" i="2"/>
  <c r="G140" i="5" s="1"/>
  <c r="J134" i="4"/>
  <c r="BM134" i="2"/>
  <c r="G134" i="5" s="1"/>
  <c r="J147" i="4"/>
  <c r="BM148" i="2"/>
  <c r="G147" i="5" s="1"/>
  <c r="J81" i="4"/>
  <c r="BM83" i="2"/>
  <c r="G81" i="5" s="1"/>
  <c r="J211" i="4"/>
  <c r="BM205" i="2"/>
  <c r="G211" i="5" s="1"/>
  <c r="J51" i="4"/>
  <c r="BM53" i="2"/>
  <c r="G51" i="5" s="1"/>
  <c r="J25" i="4"/>
  <c r="BM24" i="2"/>
  <c r="G25" i="5" s="1"/>
  <c r="J94" i="4"/>
  <c r="BM90" i="2"/>
  <c r="G94" i="5" s="1"/>
  <c r="J5" i="4"/>
  <c r="BM4" i="2"/>
  <c r="G5" i="5" s="1"/>
  <c r="J190" i="4"/>
  <c r="BM182" i="2"/>
  <c r="G190" i="5" s="1"/>
  <c r="J161" i="4"/>
  <c r="BM155" i="2"/>
  <c r="G161" i="5" s="1"/>
  <c r="J217" i="4"/>
  <c r="BM214" i="2"/>
  <c r="G217" i="5" s="1"/>
  <c r="J84" i="4"/>
  <c r="BM84" i="2"/>
  <c r="G84" i="5" s="1"/>
  <c r="J222" i="4"/>
  <c r="BM222" i="2"/>
  <c r="G222" i="5" s="1"/>
  <c r="J54" i="4"/>
  <c r="BM59" i="2"/>
  <c r="G54" i="5" s="1"/>
  <c r="J184" i="4"/>
  <c r="BM186" i="2"/>
  <c r="G184" i="5" s="1"/>
  <c r="J180" i="4"/>
  <c r="BM175" i="2"/>
  <c r="G180" i="5" s="1"/>
  <c r="J213" i="4"/>
  <c r="BM219" i="2"/>
  <c r="G213" i="5" s="1"/>
  <c r="J216" i="4"/>
  <c r="BM217" i="2"/>
  <c r="G216" i="5" s="1"/>
  <c r="J122" i="4"/>
  <c r="BM121" i="2"/>
  <c r="G122" i="5" s="1"/>
  <c r="J16" i="4"/>
  <c r="BM15" i="2"/>
  <c r="G16" i="5" s="1"/>
  <c r="J27" i="4"/>
  <c r="BM25" i="2"/>
  <c r="G27" i="5" s="1"/>
  <c r="J79" i="4"/>
  <c r="BM76" i="2"/>
  <c r="G79" i="5" s="1"/>
  <c r="J102" i="4"/>
  <c r="BM105" i="2"/>
  <c r="G102" i="5" s="1"/>
  <c r="J118" i="4"/>
  <c r="BM117" i="2"/>
  <c r="G118" i="5" s="1"/>
  <c r="J110" i="4"/>
  <c r="BM108" i="2"/>
  <c r="G110" i="5" s="1"/>
  <c r="J149" i="4"/>
  <c r="BM150" i="2"/>
  <c r="G149" i="5" s="1"/>
  <c r="J19" i="4"/>
  <c r="BM19" i="2"/>
  <c r="G19" i="5" s="1"/>
  <c r="J194" i="4"/>
  <c r="BM194" i="2"/>
  <c r="G194" i="5" s="1"/>
  <c r="J108" i="4"/>
  <c r="BM100" i="2"/>
  <c r="G108" i="5" s="1"/>
  <c r="J76" i="4"/>
  <c r="BM75" i="2"/>
  <c r="G76" i="5" s="1"/>
  <c r="J202" i="4"/>
  <c r="BM200" i="2"/>
  <c r="G202" i="5" s="1"/>
  <c r="J150" i="4"/>
  <c r="BM146" i="2"/>
  <c r="G150" i="5" s="1"/>
  <c r="J226" i="4"/>
  <c r="BM224" i="2"/>
  <c r="G226" i="5" s="1"/>
  <c r="J113" i="4"/>
  <c r="BM111" i="2"/>
  <c r="G113" i="5" s="1"/>
  <c r="J228" i="4"/>
  <c r="BM227" i="2"/>
  <c r="G228" i="5" s="1"/>
  <c r="J71" i="4"/>
  <c r="BM70" i="2"/>
  <c r="G71" i="5" s="1"/>
  <c r="J201" i="4"/>
  <c r="BM202" i="2"/>
  <c r="G201" i="5" s="1"/>
  <c r="J35" i="4"/>
  <c r="BM34" i="2"/>
  <c r="G35" i="5" s="1"/>
  <c r="J64" i="4"/>
  <c r="BM67" i="2"/>
  <c r="G64" i="5" s="1"/>
  <c r="J203" i="4"/>
  <c r="BM199" i="2"/>
  <c r="G203" i="5" s="1"/>
  <c r="J158" i="4"/>
  <c r="BM160" i="2"/>
  <c r="G158" i="5" s="1"/>
  <c r="J207" i="4"/>
  <c r="BM220" i="2"/>
  <c r="G207" i="5" s="1"/>
  <c r="J196" i="4"/>
  <c r="BM195" i="2"/>
  <c r="G196" i="5" s="1"/>
  <c r="J128" i="4"/>
  <c r="BM136" i="2"/>
  <c r="G128" i="5" s="1"/>
  <c r="J165" i="4"/>
  <c r="BM162" i="2"/>
  <c r="G165" i="5" s="1"/>
  <c r="J198" i="4"/>
  <c r="BM197" i="2"/>
  <c r="G198" i="5" s="1"/>
  <c r="J31" i="4"/>
  <c r="BM28" i="2"/>
  <c r="G31" i="5" s="1"/>
  <c r="J230" i="4"/>
  <c r="BM229" i="2"/>
  <c r="G230" i="5" s="1"/>
  <c r="J130" i="4"/>
  <c r="BM131" i="2"/>
  <c r="G130" i="5" s="1"/>
  <c r="J187" i="4"/>
  <c r="BM184" i="2"/>
  <c r="G187" i="5" s="1"/>
  <c r="J50" i="4"/>
  <c r="BM55" i="2"/>
  <c r="G50" i="5" s="1"/>
  <c r="J48" i="4"/>
  <c r="BM45" i="2"/>
  <c r="G48" i="5" s="1"/>
  <c r="J15" i="4"/>
  <c r="BM14" i="2"/>
  <c r="G15" i="5" s="1"/>
  <c r="J136" i="4"/>
  <c r="BM126" i="2"/>
  <c r="G136" i="5" s="1"/>
  <c r="J160" i="4"/>
  <c r="BM159" i="2"/>
  <c r="G160" i="5" s="1"/>
  <c r="J23" i="4"/>
  <c r="BM26" i="2"/>
  <c r="G23" i="5" s="1"/>
  <c r="J91" i="4"/>
  <c r="BM89" i="2"/>
  <c r="G91" i="5" s="1"/>
  <c r="J162" i="4"/>
  <c r="BM153" i="2"/>
  <c r="G162" i="5" s="1"/>
  <c r="J93" i="4"/>
  <c r="BM93" i="2"/>
  <c r="G93" i="5" s="1"/>
  <c r="J28" i="4"/>
  <c r="BM30" i="2"/>
  <c r="G28" i="5" s="1"/>
  <c r="J100" i="4"/>
  <c r="BM97" i="2"/>
  <c r="G100" i="5" s="1"/>
  <c r="J41" i="4"/>
  <c r="BM40" i="2"/>
  <c r="G41" i="5" s="1"/>
  <c r="J74" i="4"/>
  <c r="BM74" i="2"/>
  <c r="G74" i="5" s="1"/>
  <c r="J155" i="4"/>
  <c r="BM157" i="2"/>
  <c r="G155" i="5" s="1"/>
  <c r="J200" i="4"/>
  <c r="BM210" i="2"/>
  <c r="G200" i="5" s="1"/>
  <c r="J47" i="4"/>
  <c r="BM44" i="2"/>
  <c r="G47" i="5" s="1"/>
  <c r="J57" i="4"/>
  <c r="BM52" i="2"/>
  <c r="G57" i="5" s="1"/>
  <c r="J132" i="4"/>
  <c r="BM135" i="2"/>
  <c r="G132" i="5" s="1"/>
  <c r="J77" i="4"/>
  <c r="BM60" i="2"/>
  <c r="G77" i="5" s="1"/>
  <c r="J197" i="4"/>
  <c r="BM196" i="2"/>
  <c r="G197" i="5" s="1"/>
  <c r="J114" i="4"/>
  <c r="BM114" i="2"/>
  <c r="G114" i="5" s="1"/>
  <c r="J44" i="4"/>
  <c r="BM43" i="2"/>
  <c r="G44" i="5" s="1"/>
  <c r="J227" i="4"/>
  <c r="BM228" i="2"/>
  <c r="G227" i="5" s="1"/>
  <c r="J86" i="4"/>
  <c r="BM86" i="2"/>
  <c r="G86" i="5" s="1"/>
  <c r="J98" i="4"/>
  <c r="BM77" i="2"/>
  <c r="G98" i="5" s="1"/>
  <c r="J49" i="4"/>
  <c r="BM47" i="2"/>
  <c r="G49" i="5" s="1"/>
  <c r="J69" i="4"/>
  <c r="BM66" i="2"/>
  <c r="G69" i="5" s="1"/>
  <c r="J33" i="4"/>
  <c r="BM39" i="2"/>
  <c r="G33" i="5" s="1"/>
  <c r="J37" i="4"/>
  <c r="BM33" i="2"/>
  <c r="G37" i="5" s="1"/>
  <c r="J32" i="4"/>
  <c r="BM38" i="2"/>
  <c r="G32" i="5" s="1"/>
  <c r="J183" i="4"/>
  <c r="BM187" i="2"/>
  <c r="G183" i="5" s="1"/>
  <c r="J101" i="4"/>
  <c r="BM95" i="2"/>
  <c r="G101" i="5" s="1"/>
  <c r="J67" i="4"/>
  <c r="BM72" i="2"/>
  <c r="G67" i="5" s="1"/>
  <c r="J157" i="4"/>
  <c r="BM158" i="2"/>
  <c r="G157" i="5" s="1"/>
  <c r="J83" i="4"/>
  <c r="BM82" i="2"/>
  <c r="G83" i="5" s="1"/>
  <c r="J70" i="4"/>
  <c r="BM61" i="2"/>
  <c r="G70" i="5" s="1"/>
  <c r="J53" i="4"/>
  <c r="BM56" i="2"/>
  <c r="G53" i="5" s="1"/>
  <c r="J8" i="4"/>
  <c r="BM7" i="2"/>
  <c r="G8" i="5" s="1"/>
  <c r="J22" i="4"/>
  <c r="BM21" i="2"/>
  <c r="G22" i="5" s="1"/>
  <c r="J13" i="4"/>
  <c r="BM12" i="2"/>
  <c r="G13" i="5" s="1"/>
  <c r="J10" i="4"/>
  <c r="BM10" i="2"/>
  <c r="G10" i="5" s="1"/>
  <c r="J106" i="4"/>
  <c r="BM109" i="2"/>
  <c r="G106" i="5" s="1"/>
  <c r="J119" i="4"/>
  <c r="BM106" i="2"/>
  <c r="G119" i="5" s="1"/>
  <c r="J112" i="4"/>
  <c r="BM113" i="2"/>
  <c r="G112" i="5" s="1"/>
  <c r="J188" i="4"/>
  <c r="BM183" i="2"/>
  <c r="G188" i="5" s="1"/>
  <c r="J210" i="4"/>
  <c r="BM207" i="2"/>
  <c r="G210" i="5" s="1"/>
  <c r="J146" i="4"/>
  <c r="BM145" i="2"/>
  <c r="G146" i="5" s="1"/>
  <c r="J40" i="4"/>
  <c r="BM35" i="2"/>
  <c r="G40" i="5" s="1"/>
  <c r="J88" i="4"/>
  <c r="BM81" i="2"/>
  <c r="G88" i="5" s="1"/>
  <c r="J143" i="4"/>
  <c r="BM143" i="2"/>
  <c r="G143" i="5" s="1"/>
  <c r="J96" i="4"/>
  <c r="BM96" i="2"/>
  <c r="G96" i="5" s="1"/>
  <c r="J131" i="4"/>
  <c r="BM127" i="2"/>
  <c r="G131" i="5" s="1"/>
  <c r="J223" i="4"/>
  <c r="BM226" i="2"/>
  <c r="G223" i="5" s="1"/>
  <c r="J178" i="4"/>
  <c r="BM178" i="2"/>
  <c r="G178" i="5" s="1"/>
  <c r="J172" i="4"/>
  <c r="BM177" i="2"/>
  <c r="G172" i="5" s="1"/>
  <c r="J65" i="4"/>
  <c r="BM69" i="2"/>
  <c r="G65" i="5" s="1"/>
  <c r="J14" i="4"/>
  <c r="BM13" i="2"/>
  <c r="G14" i="5" s="1"/>
  <c r="J151" i="4"/>
  <c r="BM151" i="2"/>
  <c r="G151" i="5" s="1"/>
  <c r="J62" i="4"/>
  <c r="BM68" i="2"/>
  <c r="G62" i="5" s="1"/>
  <c r="J185" i="4"/>
  <c r="BM188" i="2"/>
  <c r="G185" i="5" s="1"/>
  <c r="J116" i="4"/>
  <c r="BM116" i="2"/>
  <c r="G116" i="5" s="1"/>
  <c r="J105" i="4"/>
  <c r="BM107" i="2"/>
  <c r="G105" i="5" s="1"/>
  <c r="J115" i="4"/>
  <c r="BM115" i="2"/>
  <c r="G115" i="5" s="1"/>
  <c r="J42" i="4"/>
  <c r="BM36" i="2"/>
  <c r="G42" i="5" s="1"/>
  <c r="J139" i="4"/>
  <c r="BM141" i="2"/>
  <c r="G139" i="5" s="1"/>
  <c r="J127" i="4"/>
  <c r="BM128" i="2"/>
  <c r="G127" i="5" s="1"/>
  <c r="J34" i="4"/>
  <c r="BM31" i="2"/>
  <c r="G34" i="5" s="1"/>
  <c r="J18" i="4"/>
  <c r="BM18" i="2"/>
  <c r="G18" i="5" s="1"/>
  <c r="J142" i="4"/>
  <c r="BM140" i="2"/>
  <c r="G142" i="5" s="1"/>
  <c r="J182" i="4"/>
  <c r="BM181" i="2"/>
  <c r="G182" i="5" s="1"/>
  <c r="J36" i="4"/>
  <c r="BM37" i="2"/>
  <c r="G36" i="5" s="1"/>
  <c r="J174" i="4"/>
  <c r="BM172" i="2"/>
  <c r="G174" i="5" s="1"/>
  <c r="J87" i="4"/>
  <c r="BM98" i="2"/>
  <c r="G87" i="5" s="1"/>
  <c r="J109" i="4"/>
  <c r="BM104" i="2"/>
  <c r="G109" i="5" s="1"/>
  <c r="J66" i="4"/>
  <c r="BM65" i="2"/>
  <c r="G66" i="5" s="1"/>
  <c r="J61" i="4"/>
  <c r="BM62" i="2"/>
  <c r="G61" i="5" s="1"/>
  <c r="J179" i="4"/>
  <c r="BM170" i="2"/>
  <c r="G179" i="5" s="1"/>
  <c r="J135" i="4"/>
  <c r="BM133" i="2"/>
  <c r="G135" i="5" s="1"/>
  <c r="J153" i="4"/>
  <c r="BM152" i="2"/>
  <c r="G153" i="5" s="1"/>
  <c r="J163" i="4"/>
  <c r="BM164" i="2"/>
  <c r="G163" i="5" s="1"/>
  <c r="J144" i="4"/>
  <c r="BM142" i="2"/>
  <c r="G144" i="5" s="1"/>
  <c r="J45" i="4"/>
  <c r="BM48" i="2"/>
  <c r="G45" i="5" s="1"/>
  <c r="J111" i="4"/>
  <c r="BM110" i="2"/>
  <c r="G111" i="5" s="1"/>
  <c r="J59" i="4"/>
  <c r="BM57" i="2"/>
  <c r="G59" i="5" s="1"/>
  <c r="J124" i="4"/>
  <c r="BM124" i="2"/>
  <c r="G124" i="5" s="1"/>
  <c r="J4" i="4"/>
  <c r="BM3" i="2"/>
  <c r="G4" i="5" s="1"/>
  <c r="I186" i="4"/>
  <c r="BC191" i="2"/>
  <c r="F186" i="5" s="1"/>
  <c r="I102" i="4"/>
  <c r="BC105" i="2"/>
  <c r="F102" i="5" s="1"/>
  <c r="I208" i="4"/>
  <c r="BC215" i="2"/>
  <c r="F208" i="5" s="1"/>
  <c r="I51" i="4"/>
  <c r="BC53" i="2"/>
  <c r="F51" i="5" s="1"/>
  <c r="I162" i="4"/>
  <c r="BC153" i="2"/>
  <c r="F162" i="5" s="1"/>
  <c r="I172" i="4"/>
  <c r="BC177" i="2"/>
  <c r="F172" i="5" s="1"/>
  <c r="I150" i="4"/>
  <c r="BC146" i="2"/>
  <c r="F150" i="5" s="1"/>
  <c r="I198" i="4"/>
  <c r="BC197" i="2"/>
  <c r="F198" i="5" s="1"/>
  <c r="I199" i="4"/>
  <c r="BC201" i="2"/>
  <c r="F199" i="5" s="1"/>
  <c r="I34" i="4"/>
  <c r="BC31" i="2"/>
  <c r="F34" i="5" s="1"/>
  <c r="I50" i="4"/>
  <c r="BC55" i="2"/>
  <c r="F50" i="5" s="1"/>
  <c r="I200" i="4"/>
  <c r="BC210" i="2"/>
  <c r="F200" i="5" s="1"/>
  <c r="I36" i="4"/>
  <c r="BC37" i="2"/>
  <c r="F36" i="5" s="1"/>
  <c r="I92" i="4"/>
  <c r="BC85" i="2"/>
  <c r="F92" i="5" s="1"/>
  <c r="I216" i="4"/>
  <c r="BC217" i="2"/>
  <c r="F216" i="5" s="1"/>
  <c r="I197" i="4"/>
  <c r="BC196" i="2"/>
  <c r="F197" i="5" s="1"/>
  <c r="I40" i="4"/>
  <c r="BC35" i="2"/>
  <c r="F40" i="5" s="1"/>
  <c r="I106" i="4"/>
  <c r="BC109" i="2"/>
  <c r="F106" i="5" s="1"/>
  <c r="I143" i="4"/>
  <c r="BC143" i="2"/>
  <c r="F143" i="5" s="1"/>
  <c r="I193" i="4"/>
  <c r="BC192" i="2"/>
  <c r="F193" i="5" s="1"/>
  <c r="I99" i="4"/>
  <c r="BC101" i="2"/>
  <c r="F99" i="5" s="1"/>
  <c r="I56" i="4"/>
  <c r="BC54" i="2"/>
  <c r="F56" i="5" s="1"/>
  <c r="I187" i="4"/>
  <c r="BC184" i="2"/>
  <c r="F187" i="5" s="1"/>
  <c r="I103" i="4"/>
  <c r="BC92" i="2"/>
  <c r="F103" i="5" s="1"/>
  <c r="I86" i="4"/>
  <c r="BC86" i="2"/>
  <c r="F86" i="5" s="1"/>
  <c r="I39" i="4"/>
  <c r="BC46" i="2"/>
  <c r="F39" i="5" s="1"/>
  <c r="I47" i="4"/>
  <c r="BC44" i="2"/>
  <c r="F47" i="5" s="1"/>
  <c r="I19" i="4"/>
  <c r="BC19" i="2"/>
  <c r="F19" i="5" s="1"/>
  <c r="I118" i="4"/>
  <c r="BC117" i="2"/>
  <c r="F118" i="5" s="1"/>
  <c r="I153" i="4"/>
  <c r="BC152" i="2"/>
  <c r="F153" i="5" s="1"/>
  <c r="I60" i="4"/>
  <c r="BC58" i="2"/>
  <c r="F60" i="5" s="1"/>
  <c r="I169" i="4"/>
  <c r="BC169" i="2"/>
  <c r="F169" i="5" s="1"/>
  <c r="I15" i="4"/>
  <c r="BC14" i="2"/>
  <c r="F15" i="5" s="1"/>
  <c r="I46" i="4"/>
  <c r="BC41" i="2"/>
  <c r="F46" i="5" s="1"/>
  <c r="I97" i="4"/>
  <c r="BC99" i="2"/>
  <c r="F97" i="5" s="1"/>
  <c r="I136" i="4"/>
  <c r="BC126" i="2"/>
  <c r="F136" i="5" s="1"/>
  <c r="I12" i="4"/>
  <c r="BC11" i="2"/>
  <c r="F12" i="5" s="1"/>
  <c r="I144" i="4"/>
  <c r="BC142" i="2"/>
  <c r="F144" i="5" s="1"/>
  <c r="I23" i="4"/>
  <c r="BC26" i="2"/>
  <c r="F23" i="5" s="1"/>
  <c r="I10" i="4"/>
  <c r="BC10" i="2"/>
  <c r="F10" i="5" s="1"/>
  <c r="I105" i="4"/>
  <c r="BC107" i="2"/>
  <c r="F105" i="5" s="1"/>
  <c r="I229" i="4"/>
  <c r="BC225" i="2"/>
  <c r="F229" i="5" s="1"/>
  <c r="I11" i="4"/>
  <c r="BC9" i="2"/>
  <c r="F11" i="5" s="1"/>
  <c r="I58" i="4"/>
  <c r="BC49" i="2"/>
  <c r="F58" i="5" s="1"/>
  <c r="I204" i="4"/>
  <c r="BC198" i="2"/>
  <c r="F204" i="5" s="1"/>
  <c r="I8" i="4"/>
  <c r="BC7" i="2"/>
  <c r="F8" i="5" s="1"/>
  <c r="I206" i="4"/>
  <c r="BC203" i="2"/>
  <c r="F206" i="5" s="1"/>
  <c r="I184" i="4"/>
  <c r="BC186" i="2"/>
  <c r="F184" i="5" s="1"/>
  <c r="I160" i="4"/>
  <c r="BC159" i="2"/>
  <c r="F160" i="5" s="1"/>
  <c r="I42" i="4"/>
  <c r="BC36" i="2"/>
  <c r="F42" i="5" s="1"/>
  <c r="I202" i="4"/>
  <c r="BC200" i="2"/>
  <c r="F202" i="5" s="1"/>
  <c r="I217" i="4"/>
  <c r="BC214" i="2"/>
  <c r="F217" i="5" s="1"/>
  <c r="I158" i="4"/>
  <c r="BC160" i="2"/>
  <c r="F158" i="5" s="1"/>
  <c r="I17" i="4"/>
  <c r="BC17" i="2"/>
  <c r="F17" i="5" s="1"/>
  <c r="I113" i="4"/>
  <c r="BC111" i="2"/>
  <c r="F113" i="5" s="1"/>
  <c r="I194" i="4"/>
  <c r="BC194" i="2"/>
  <c r="F194" i="5" s="1"/>
  <c r="I145" i="4"/>
  <c r="BC144" i="2"/>
  <c r="F145" i="5" s="1"/>
  <c r="I192" i="4"/>
  <c r="BC190" i="2"/>
  <c r="F192" i="5" s="1"/>
  <c r="I20" i="4"/>
  <c r="BC16" i="2"/>
  <c r="F20" i="5" s="1"/>
  <c r="I228" i="4"/>
  <c r="BC227" i="2"/>
  <c r="F228" i="5" s="1"/>
  <c r="I115" i="4"/>
  <c r="BC115" i="2"/>
  <c r="F115" i="5" s="1"/>
  <c r="I119" i="4"/>
  <c r="BC106" i="2"/>
  <c r="F119" i="5" s="1"/>
  <c r="I55" i="4"/>
  <c r="BC51" i="2"/>
  <c r="F55" i="5" s="1"/>
  <c r="I130" i="4"/>
  <c r="BC131" i="2"/>
  <c r="F130" i="5" s="1"/>
  <c r="I146" i="4"/>
  <c r="BC145" i="2"/>
  <c r="F146" i="5" s="1"/>
  <c r="I26" i="4"/>
  <c r="BC27" i="2"/>
  <c r="F26" i="5" s="1"/>
  <c r="I53" i="4"/>
  <c r="BC56" i="2"/>
  <c r="F53" i="5" s="1"/>
  <c r="I80" i="4"/>
  <c r="BC78" i="2"/>
  <c r="F80" i="5" s="1"/>
  <c r="I75" i="4"/>
  <c r="BC80" i="2"/>
  <c r="F75" i="5" s="1"/>
  <c r="I83" i="4"/>
  <c r="BC82" i="2"/>
  <c r="F83" i="5" s="1"/>
  <c r="I63" i="4"/>
  <c r="BC64" i="2"/>
  <c r="F63" i="5" s="1"/>
  <c r="I28" i="4"/>
  <c r="BC30" i="2"/>
  <c r="F28" i="5" s="1"/>
  <c r="I69" i="4"/>
  <c r="BC66" i="2"/>
  <c r="F69" i="5" s="1"/>
  <c r="I126" i="4"/>
  <c r="BC125" i="2"/>
  <c r="F126" i="5" s="1"/>
  <c r="I45" i="4"/>
  <c r="BC48" i="2"/>
  <c r="F45" i="5" s="1"/>
  <c r="I104" i="4"/>
  <c r="BC103" i="2"/>
  <c r="F104" i="5" s="1"/>
  <c r="I163" i="4"/>
  <c r="BC164" i="2"/>
  <c r="F163" i="5" s="1"/>
  <c r="I112" i="4"/>
  <c r="BC113" i="2"/>
  <c r="F112" i="5" s="1"/>
  <c r="I210" i="4"/>
  <c r="BC207" i="2"/>
  <c r="F210" i="5" s="1"/>
  <c r="I120" i="4"/>
  <c r="BC119" i="2"/>
  <c r="F120" i="5" s="1"/>
  <c r="I96" i="4"/>
  <c r="BC96" i="2"/>
  <c r="F96" i="5" s="1"/>
  <c r="I171" i="4"/>
  <c r="BC173" i="2"/>
  <c r="F171" i="5" s="1"/>
  <c r="I31" i="4"/>
  <c r="BC28" i="2"/>
  <c r="F31" i="5" s="1"/>
  <c r="I168" i="4"/>
  <c r="BC165" i="2"/>
  <c r="F168" i="5" s="1"/>
  <c r="I9" i="4"/>
  <c r="BC8" i="2"/>
  <c r="F9" i="5" s="1"/>
  <c r="I117" i="4"/>
  <c r="BC118" i="2"/>
  <c r="F117" i="5" s="1"/>
  <c r="I95" i="4"/>
  <c r="BC87" i="2"/>
  <c r="F95" i="5" s="1"/>
  <c r="I7" i="4"/>
  <c r="BC6" i="2"/>
  <c r="F7" i="5" s="1"/>
  <c r="I101" i="4"/>
  <c r="BC95" i="2"/>
  <c r="F101" i="5" s="1"/>
  <c r="I189" i="4"/>
  <c r="BC185" i="2"/>
  <c r="F189" i="5" s="1"/>
  <c r="I43" i="4"/>
  <c r="BC42" i="2"/>
  <c r="F43" i="5" s="1"/>
  <c r="I139" i="4"/>
  <c r="BC141" i="2"/>
  <c r="F139" i="5" s="1"/>
  <c r="I85" i="4"/>
  <c r="BC102" i="2"/>
  <c r="F85" i="5" s="1"/>
  <c r="I134" i="4"/>
  <c r="BC134" i="2"/>
  <c r="F134" i="5" s="1"/>
  <c r="I71" i="4"/>
  <c r="BC70" i="2"/>
  <c r="F71" i="5" s="1"/>
  <c r="I122" i="4"/>
  <c r="BC121" i="2"/>
  <c r="F122" i="5" s="1"/>
  <c r="I108" i="4"/>
  <c r="BC100" i="2"/>
  <c r="F108" i="5" s="1"/>
  <c r="I142" i="4"/>
  <c r="BC140" i="2"/>
  <c r="F142" i="5" s="1"/>
  <c r="I183" i="4"/>
  <c r="BC187" i="2"/>
  <c r="F183" i="5" s="1"/>
  <c r="I177" i="4"/>
  <c r="BC176" i="2"/>
  <c r="F177" i="5" s="1"/>
  <c r="I100" i="4"/>
  <c r="BC97" i="2"/>
  <c r="F100" i="5" s="1"/>
  <c r="I201" i="4"/>
  <c r="BC202" i="2"/>
  <c r="F201" i="5" s="1"/>
  <c r="I164" i="4"/>
  <c r="BC180" i="2"/>
  <c r="F164" i="5" s="1"/>
  <c r="I109" i="4"/>
  <c r="BC104" i="2"/>
  <c r="F109" i="5" s="1"/>
  <c r="I61" i="4"/>
  <c r="BC62" i="2"/>
  <c r="F61" i="5" s="1"/>
  <c r="I22" i="4"/>
  <c r="BC21" i="2"/>
  <c r="F22" i="5" s="1"/>
  <c r="I128" i="4"/>
  <c r="BC136" i="2"/>
  <c r="F128" i="5" s="1"/>
  <c r="I64" i="4"/>
  <c r="BC67" i="2"/>
  <c r="F64" i="5" s="1"/>
  <c r="I49" i="4"/>
  <c r="BC47" i="2"/>
  <c r="F49" i="5" s="1"/>
  <c r="I123" i="4"/>
  <c r="BC122" i="2"/>
  <c r="F123" i="5" s="1"/>
  <c r="I124" i="4"/>
  <c r="BC124" i="2"/>
  <c r="F124" i="5" s="1"/>
  <c r="I176" i="4"/>
  <c r="BC174" i="2"/>
  <c r="F176" i="5" s="1"/>
  <c r="I188" i="4"/>
  <c r="BC183" i="2"/>
  <c r="F188" i="5" s="1"/>
  <c r="I24" i="4"/>
  <c r="BC22" i="2"/>
  <c r="F24" i="5" s="1"/>
  <c r="I54" i="4"/>
  <c r="BC59" i="2"/>
  <c r="F54" i="5" s="1"/>
  <c r="I140" i="4"/>
  <c r="BC138" i="2"/>
  <c r="F140" i="5" s="1"/>
  <c r="I66" i="4"/>
  <c r="BC65" i="2"/>
  <c r="F66" i="5" s="1"/>
  <c r="I148" i="4"/>
  <c r="BC149" i="2"/>
  <c r="F148" i="5" s="1"/>
  <c r="I77" i="4"/>
  <c r="BC60" i="2"/>
  <c r="F77" i="5" s="1"/>
  <c r="I37" i="4"/>
  <c r="BC33" i="2"/>
  <c r="F37" i="5" s="1"/>
  <c r="I33" i="4"/>
  <c r="BC39" i="2"/>
  <c r="F33" i="5" s="1"/>
  <c r="I180" i="4"/>
  <c r="BC175" i="2"/>
  <c r="F180" i="5" s="1"/>
  <c r="I127" i="4"/>
  <c r="BC128" i="2"/>
  <c r="F127" i="5" s="1"/>
  <c r="I13" i="4"/>
  <c r="BC12" i="2"/>
  <c r="F13" i="5" s="1"/>
  <c r="I166" i="4"/>
  <c r="BC166" i="2"/>
  <c r="F166" i="5" s="1"/>
  <c r="I147" i="4"/>
  <c r="BC148" i="2"/>
  <c r="F147" i="5" s="1"/>
  <c r="I178" i="4"/>
  <c r="BC178" i="2"/>
  <c r="F178" i="5" s="1"/>
  <c r="I203" i="4"/>
  <c r="BC199" i="2"/>
  <c r="F203" i="5" s="1"/>
  <c r="I67" i="4"/>
  <c r="BC72" i="2"/>
  <c r="F67" i="5" s="1"/>
  <c r="I16" i="4"/>
  <c r="BC15" i="2"/>
  <c r="F16" i="5" s="1"/>
  <c r="I223" i="4"/>
  <c r="BC226" i="2"/>
  <c r="F223" i="5" s="1"/>
  <c r="I182" i="4"/>
  <c r="BC181" i="2"/>
  <c r="F182" i="5" s="1"/>
  <c r="I62" i="4"/>
  <c r="BC68" i="2"/>
  <c r="F62" i="5" s="1"/>
  <c r="I190" i="4"/>
  <c r="BC182" i="2"/>
  <c r="F190" i="5" s="1"/>
  <c r="I30" i="4"/>
  <c r="BC23" i="2"/>
  <c r="F30" i="5" s="1"/>
  <c r="I185" i="4"/>
  <c r="BC188" i="2"/>
  <c r="F185" i="5" s="1"/>
  <c r="I38" i="4"/>
  <c r="BC32" i="2"/>
  <c r="F38" i="5" s="1"/>
  <c r="I32" i="4"/>
  <c r="BC38" i="2"/>
  <c r="F32" i="5" s="1"/>
  <c r="I224" i="4"/>
  <c r="BC221" i="2"/>
  <c r="F224" i="5" s="1"/>
  <c r="I44" i="4"/>
  <c r="BC43" i="2"/>
  <c r="F44" i="5" s="1"/>
  <c r="I225" i="4"/>
  <c r="BC223" i="2"/>
  <c r="F225" i="5" s="1"/>
  <c r="I226" i="4"/>
  <c r="BC224" i="2"/>
  <c r="F226" i="5" s="1"/>
  <c r="I18" i="4"/>
  <c r="BC18" i="2"/>
  <c r="F18" i="5" s="1"/>
  <c r="I133" i="4"/>
  <c r="BC129" i="2"/>
  <c r="F133" i="5" s="1"/>
  <c r="I79" i="4"/>
  <c r="BC76" i="2"/>
  <c r="F79" i="5" s="1"/>
  <c r="I212" i="4"/>
  <c r="BC212" i="2"/>
  <c r="F212" i="5" s="1"/>
  <c r="I191" i="4"/>
  <c r="BC189" i="2"/>
  <c r="F191" i="5" s="1"/>
  <c r="I159" i="4"/>
  <c r="BC156" i="2"/>
  <c r="F159" i="5" s="1"/>
  <c r="I125" i="4"/>
  <c r="BC123" i="2"/>
  <c r="F125" i="5" s="1"/>
  <c r="I174" i="4"/>
  <c r="BC172" i="2"/>
  <c r="F174" i="5" s="1"/>
  <c r="I35" i="4"/>
  <c r="BC34" i="2"/>
  <c r="F35" i="5" s="1"/>
  <c r="I59" i="4"/>
  <c r="BC57" i="2"/>
  <c r="F59" i="5" s="1"/>
  <c r="I220" i="4"/>
  <c r="BC216" i="2"/>
  <c r="F220" i="5" s="1"/>
  <c r="I27" i="4"/>
  <c r="BC25" i="2"/>
  <c r="F27" i="5" s="1"/>
  <c r="I111" i="4"/>
  <c r="BC110" i="2"/>
  <c r="F111" i="5" s="1"/>
  <c r="I84" i="4"/>
  <c r="BC84" i="2"/>
  <c r="F84" i="5" s="1"/>
  <c r="I52" i="4"/>
  <c r="BC50" i="2"/>
  <c r="F52" i="5" s="1"/>
  <c r="I151" i="4"/>
  <c r="BC151" i="2"/>
  <c r="F151" i="5" s="1"/>
  <c r="I82" i="4"/>
  <c r="BC91" i="2"/>
  <c r="F82" i="5" s="1"/>
  <c r="I98" i="4"/>
  <c r="BC77" i="2"/>
  <c r="F98" i="5" s="1"/>
  <c r="I93" i="4"/>
  <c r="BC93" i="2"/>
  <c r="F93" i="5" s="1"/>
  <c r="I152" i="4"/>
  <c r="BC147" i="2"/>
  <c r="F152" i="5" s="1"/>
  <c r="I213" i="4"/>
  <c r="BC219" i="2"/>
  <c r="F213" i="5" s="1"/>
  <c r="I207" i="4"/>
  <c r="BC220" i="2"/>
  <c r="F207" i="5" s="1"/>
  <c r="I88" i="4"/>
  <c r="BC81" i="2"/>
  <c r="F88" i="5" s="1"/>
  <c r="I89" i="4"/>
  <c r="BC88" i="2"/>
  <c r="F89" i="5" s="1"/>
  <c r="I70" i="4"/>
  <c r="BC61" i="2"/>
  <c r="F70" i="5" s="1"/>
  <c r="I161" i="4"/>
  <c r="BC155" i="2"/>
  <c r="F161" i="5" s="1"/>
  <c r="I221" i="4"/>
  <c r="BC211" i="2"/>
  <c r="F221" i="5" s="1"/>
  <c r="I74" i="4"/>
  <c r="BC74" i="2"/>
  <c r="F74" i="5" s="1"/>
  <c r="I218" i="4"/>
  <c r="BC209" i="2"/>
  <c r="F218" i="5" s="1"/>
  <c r="I114" i="4"/>
  <c r="BC114" i="2"/>
  <c r="F114" i="5" s="1"/>
  <c r="I135" i="4"/>
  <c r="BC133" i="2"/>
  <c r="F135" i="5" s="1"/>
  <c r="I91" i="4"/>
  <c r="BC89" i="2"/>
  <c r="F91" i="5" s="1"/>
  <c r="I155" i="4"/>
  <c r="BC157" i="2"/>
  <c r="F155" i="5" s="1"/>
  <c r="I149" i="4"/>
  <c r="BC150" i="2"/>
  <c r="F149" i="5" s="1"/>
  <c r="I25" i="4"/>
  <c r="BC24" i="2"/>
  <c r="F25" i="5" s="1"/>
  <c r="I156" i="4"/>
  <c r="BC161" i="2"/>
  <c r="F156" i="5" s="1"/>
  <c r="I131" i="4"/>
  <c r="BC127" i="2"/>
  <c r="F131" i="5" s="1"/>
  <c r="I215" i="4"/>
  <c r="BC206" i="2"/>
  <c r="F215" i="5" s="1"/>
  <c r="I195" i="4"/>
  <c r="BC193" i="2"/>
  <c r="F195" i="5" s="1"/>
  <c r="I165" i="4"/>
  <c r="BC162" i="2"/>
  <c r="F165" i="5" s="1"/>
  <c r="I57" i="4"/>
  <c r="BC52" i="2"/>
  <c r="F57" i="5" s="1"/>
  <c r="I48" i="4"/>
  <c r="BC45" i="2"/>
  <c r="F48" i="5" s="1"/>
  <c r="I157" i="4"/>
  <c r="BC158" i="2"/>
  <c r="F157" i="5" s="1"/>
  <c r="I29" i="4"/>
  <c r="BC29" i="2"/>
  <c r="F29" i="5" s="1"/>
  <c r="I73" i="4"/>
  <c r="BC79" i="2"/>
  <c r="F73" i="5" s="1"/>
  <c r="I222" i="4"/>
  <c r="BC222" i="2"/>
  <c r="F222" i="5" s="1"/>
  <c r="I81" i="4"/>
  <c r="BC83" i="2"/>
  <c r="F81" i="5" s="1"/>
  <c r="I209" i="4"/>
  <c r="BC208" i="2"/>
  <c r="F209" i="5" s="1"/>
  <c r="I94" i="4"/>
  <c r="BC90" i="2"/>
  <c r="F94" i="5" s="1"/>
  <c r="I205" i="4"/>
  <c r="BC204" i="2"/>
  <c r="F205" i="5" s="1"/>
  <c r="I110" i="4"/>
  <c r="BC108" i="2"/>
  <c r="F110" i="5" s="1"/>
  <c r="I154" i="4"/>
  <c r="BC154" i="2"/>
  <c r="F154" i="5" s="1"/>
  <c r="I68" i="4"/>
  <c r="BC63" i="2"/>
  <c r="F68" i="5" s="1"/>
  <c r="I141" i="4"/>
  <c r="BC139" i="2"/>
  <c r="F141" i="5" s="1"/>
  <c r="I138" i="4"/>
  <c r="BC132" i="2"/>
  <c r="F138" i="5" s="1"/>
  <c r="I167" i="4"/>
  <c r="BC163" i="2"/>
  <c r="F167" i="5" s="1"/>
  <c r="I121" i="4"/>
  <c r="BC120" i="2"/>
  <c r="F121" i="5" s="1"/>
  <c r="I6" i="4"/>
  <c r="BC5" i="2"/>
  <c r="F6" i="5" s="1"/>
  <c r="I132" i="4"/>
  <c r="BC135" i="2"/>
  <c r="F132" i="5" s="1"/>
  <c r="I78" i="4"/>
  <c r="BC73" i="2"/>
  <c r="F78" i="5" s="1"/>
  <c r="I196" i="4"/>
  <c r="BC195" i="2"/>
  <c r="F196" i="5" s="1"/>
  <c r="I14" i="4"/>
  <c r="BC13" i="2"/>
  <c r="F14" i="5" s="1"/>
  <c r="I175" i="4"/>
  <c r="BC168" i="2"/>
  <c r="F175" i="5" s="1"/>
  <c r="I214" i="4"/>
  <c r="BC218" i="2"/>
  <c r="F214" i="5" s="1"/>
  <c r="I227" i="4"/>
  <c r="BC228" i="2"/>
  <c r="F227" i="5" s="1"/>
  <c r="I116" i="4"/>
  <c r="BC116" i="2"/>
  <c r="F116" i="5" s="1"/>
  <c r="I87" i="4"/>
  <c r="BC98" i="2"/>
  <c r="F87" i="5" s="1"/>
  <c r="I90" i="4"/>
  <c r="BC94" i="2"/>
  <c r="F90" i="5" s="1"/>
  <c r="I129" i="4"/>
  <c r="BC130" i="2"/>
  <c r="F129" i="5" s="1"/>
  <c r="I173" i="4"/>
  <c r="BC171" i="2"/>
  <c r="F173" i="5" s="1"/>
  <c r="I41" i="4"/>
  <c r="BC40" i="2"/>
  <c r="F41" i="5" s="1"/>
  <c r="I219" i="4"/>
  <c r="BC213" i="2"/>
  <c r="F219" i="5" s="1"/>
  <c r="I5" i="4"/>
  <c r="BC4" i="2"/>
  <c r="F5" i="5" s="1"/>
  <c r="I179" i="4"/>
  <c r="BC170" i="2"/>
  <c r="F179" i="5" s="1"/>
  <c r="I107" i="4"/>
  <c r="BC112" i="2"/>
  <c r="F107" i="5" s="1"/>
  <c r="I72" i="4"/>
  <c r="BC71" i="2"/>
  <c r="F72" i="5" s="1"/>
  <c r="I65" i="4"/>
  <c r="BC69" i="2"/>
  <c r="F65" i="5" s="1"/>
  <c r="I181" i="4"/>
  <c r="BC179" i="2"/>
  <c r="F181" i="5" s="1"/>
  <c r="I21" i="4"/>
  <c r="BC20" i="2"/>
  <c r="F21" i="5" s="1"/>
  <c r="I230" i="4"/>
  <c r="BC229" i="2"/>
  <c r="F230" i="5" s="1"/>
  <c r="I211" i="4"/>
  <c r="BC205" i="2"/>
  <c r="F211" i="5" s="1"/>
  <c r="I170" i="4"/>
  <c r="BC167" i="2"/>
  <c r="F170" i="5" s="1"/>
  <c r="I76" i="4"/>
  <c r="BC75" i="2"/>
  <c r="F76" i="5" s="1"/>
  <c r="I137" i="4"/>
  <c r="BC137" i="2"/>
  <c r="F137" i="5" s="1"/>
  <c r="I4" i="4"/>
  <c r="BC3" i="2"/>
  <c r="F4" i="5" s="1"/>
  <c r="H98" i="4"/>
  <c r="AS77" i="2"/>
  <c r="E98" i="5" s="1"/>
  <c r="H56" i="4"/>
  <c r="AS54" i="2"/>
  <c r="E56" i="5" s="1"/>
  <c r="H88" i="4"/>
  <c r="AS81" i="2"/>
  <c r="E88" i="5" s="1"/>
  <c r="H226" i="4"/>
  <c r="AS224" i="2"/>
  <c r="E226" i="5" s="1"/>
  <c r="H117" i="4"/>
  <c r="AS118" i="2"/>
  <c r="E117" i="5" s="1"/>
  <c r="H58" i="4"/>
  <c r="AS49" i="2"/>
  <c r="E58" i="5" s="1"/>
  <c r="H39" i="4"/>
  <c r="AS46" i="2"/>
  <c r="E39" i="5" s="1"/>
  <c r="H195" i="4"/>
  <c r="AS193" i="2"/>
  <c r="E195" i="5" s="1"/>
  <c r="H72" i="4"/>
  <c r="AS71" i="2"/>
  <c r="E72" i="5" s="1"/>
  <c r="H149" i="4"/>
  <c r="AS150" i="2"/>
  <c r="E149" i="5" s="1"/>
  <c r="H85" i="4"/>
  <c r="AS102" i="2"/>
  <c r="E85" i="5" s="1"/>
  <c r="H166" i="4"/>
  <c r="AS166" i="2"/>
  <c r="E166" i="5" s="1"/>
  <c r="H31" i="4"/>
  <c r="AS28" i="2"/>
  <c r="E31" i="5" s="1"/>
  <c r="H194" i="4"/>
  <c r="AS194" i="2"/>
  <c r="E194" i="5" s="1"/>
  <c r="H84" i="4"/>
  <c r="AS84" i="2"/>
  <c r="E84" i="5" s="1"/>
  <c r="H208" i="4"/>
  <c r="AS215" i="2"/>
  <c r="E208" i="5" s="1"/>
  <c r="H179" i="4"/>
  <c r="AS170" i="2"/>
  <c r="E179" i="5" s="1"/>
  <c r="H80" i="4"/>
  <c r="AS78" i="2"/>
  <c r="E80" i="5" s="1"/>
  <c r="H136" i="4"/>
  <c r="AS126" i="2"/>
  <c r="E136" i="5" s="1"/>
  <c r="H28" i="4"/>
  <c r="AS30" i="2"/>
  <c r="E28" i="5" s="1"/>
  <c r="H22" i="4"/>
  <c r="AS21" i="2"/>
  <c r="E22" i="5" s="1"/>
  <c r="H151" i="4"/>
  <c r="AS151" i="2"/>
  <c r="E151" i="5" s="1"/>
  <c r="H15" i="4"/>
  <c r="AS14" i="2"/>
  <c r="E15" i="5" s="1"/>
  <c r="H90" i="4"/>
  <c r="AS94" i="2"/>
  <c r="E90" i="5" s="1"/>
  <c r="H86" i="4"/>
  <c r="AS86" i="2"/>
  <c r="E86" i="5" s="1"/>
  <c r="H87" i="4"/>
  <c r="AS98" i="2"/>
  <c r="E87" i="5" s="1"/>
  <c r="H132" i="4"/>
  <c r="AS135" i="2"/>
  <c r="E132" i="5" s="1"/>
  <c r="H170" i="4"/>
  <c r="AS167" i="2"/>
  <c r="E170" i="5" s="1"/>
  <c r="H185" i="4"/>
  <c r="AS188" i="2"/>
  <c r="E185" i="5" s="1"/>
  <c r="H169" i="4"/>
  <c r="AS169" i="2"/>
  <c r="E169" i="5" s="1"/>
  <c r="H45" i="4"/>
  <c r="AS48" i="2"/>
  <c r="E45" i="5" s="1"/>
  <c r="H52" i="4"/>
  <c r="AS50" i="2"/>
  <c r="E52" i="5" s="1"/>
  <c r="H137" i="4"/>
  <c r="AS137" i="2"/>
  <c r="E137" i="5" s="1"/>
  <c r="H50" i="4"/>
  <c r="AS55" i="2"/>
  <c r="E50" i="5" s="1"/>
  <c r="H178" i="4"/>
  <c r="AS178" i="2"/>
  <c r="E178" i="5" s="1"/>
  <c r="H196" i="4"/>
  <c r="AS195" i="2"/>
  <c r="E196" i="5" s="1"/>
  <c r="H229" i="4"/>
  <c r="AS225" i="2"/>
  <c r="E229" i="5" s="1"/>
  <c r="H21" i="4"/>
  <c r="AS20" i="2"/>
  <c r="E21" i="5" s="1"/>
  <c r="H110" i="4"/>
  <c r="AS108" i="2"/>
  <c r="E110" i="5" s="1"/>
  <c r="H38" i="4"/>
  <c r="AS32" i="2"/>
  <c r="E38" i="5" s="1"/>
  <c r="H26" i="4"/>
  <c r="AS27" i="2"/>
  <c r="E26" i="5" s="1"/>
  <c r="H212" i="4"/>
  <c r="AS212" i="2"/>
  <c r="E212" i="5" s="1"/>
  <c r="H124" i="4"/>
  <c r="AS124" i="2"/>
  <c r="E124" i="5" s="1"/>
  <c r="H37" i="4"/>
  <c r="AS33" i="2"/>
  <c r="E37" i="5" s="1"/>
  <c r="H163" i="4"/>
  <c r="AS164" i="2"/>
  <c r="E163" i="5" s="1"/>
  <c r="H105" i="4"/>
  <c r="AS107" i="2"/>
  <c r="E105" i="5" s="1"/>
  <c r="H199" i="4"/>
  <c r="AS201" i="2"/>
  <c r="E199" i="5" s="1"/>
  <c r="H14" i="4"/>
  <c r="AS13" i="2"/>
  <c r="E14" i="5" s="1"/>
  <c r="H225" i="4"/>
  <c r="AS223" i="2"/>
  <c r="E225" i="5" s="1"/>
  <c r="H77" i="4"/>
  <c r="AS60" i="2"/>
  <c r="E77" i="5" s="1"/>
  <c r="H99" i="4"/>
  <c r="AS101" i="2"/>
  <c r="E99" i="5" s="1"/>
  <c r="H33" i="4"/>
  <c r="AS39" i="2"/>
  <c r="E33" i="5" s="1"/>
  <c r="H42" i="4"/>
  <c r="AS36" i="2"/>
  <c r="E42" i="5" s="1"/>
  <c r="H32" i="4"/>
  <c r="AS38" i="2"/>
  <c r="E32" i="5" s="1"/>
  <c r="H27" i="4"/>
  <c r="AS25" i="2"/>
  <c r="E27" i="5" s="1"/>
  <c r="H127" i="4"/>
  <c r="AS128" i="2"/>
  <c r="E127" i="5" s="1"/>
  <c r="H103" i="4"/>
  <c r="AS92" i="2"/>
  <c r="E103" i="5" s="1"/>
  <c r="H217" i="4"/>
  <c r="AS214" i="2"/>
  <c r="E217" i="5" s="1"/>
  <c r="H215" i="4"/>
  <c r="AS206" i="2"/>
  <c r="E215" i="5" s="1"/>
  <c r="H7" i="4"/>
  <c r="AS6" i="2"/>
  <c r="E7" i="5" s="1"/>
  <c r="H140" i="4"/>
  <c r="AS138" i="2"/>
  <c r="E140" i="5" s="1"/>
  <c r="H122" i="4"/>
  <c r="AS121" i="2"/>
  <c r="E122" i="5" s="1"/>
  <c r="H11" i="4"/>
  <c r="AS9" i="2"/>
  <c r="E11" i="5" s="1"/>
  <c r="H68" i="4"/>
  <c r="AS63" i="2"/>
  <c r="E68" i="5" s="1"/>
  <c r="H189" i="4"/>
  <c r="AS185" i="2"/>
  <c r="E189" i="5" s="1"/>
  <c r="H34" i="4"/>
  <c r="AS31" i="2"/>
  <c r="E34" i="5" s="1"/>
  <c r="H126" i="4"/>
  <c r="AS125" i="2"/>
  <c r="E126" i="5" s="1"/>
  <c r="H51" i="4"/>
  <c r="AS53" i="2"/>
  <c r="E51" i="5" s="1"/>
  <c r="H133" i="4"/>
  <c r="AS129" i="2"/>
  <c r="E133" i="5" s="1"/>
  <c r="H6" i="4"/>
  <c r="AS5" i="2"/>
  <c r="E6" i="5" s="1"/>
  <c r="H128" i="4"/>
  <c r="AS136" i="2"/>
  <c r="E128" i="5" s="1"/>
  <c r="H119" i="4"/>
  <c r="AS106" i="2"/>
  <c r="E119" i="5" s="1"/>
  <c r="H107" i="4"/>
  <c r="AS112" i="2"/>
  <c r="E107" i="5" s="1"/>
  <c r="H206" i="4"/>
  <c r="AS203" i="2"/>
  <c r="E206" i="5" s="1"/>
  <c r="H130" i="4"/>
  <c r="AS131" i="2"/>
  <c r="E130" i="5" s="1"/>
  <c r="H171" i="4"/>
  <c r="AS173" i="2"/>
  <c r="E171" i="5" s="1"/>
  <c r="H168" i="4"/>
  <c r="AS165" i="2"/>
  <c r="E168" i="5" s="1"/>
  <c r="H102" i="4"/>
  <c r="AS105" i="2"/>
  <c r="E102" i="5" s="1"/>
  <c r="H191" i="4"/>
  <c r="AS189" i="2"/>
  <c r="E191" i="5" s="1"/>
  <c r="H115" i="4"/>
  <c r="AS115" i="2"/>
  <c r="E115" i="5" s="1"/>
  <c r="H118" i="4"/>
  <c r="AS117" i="2"/>
  <c r="E118" i="5" s="1"/>
  <c r="H108" i="4"/>
  <c r="AS100" i="2"/>
  <c r="E108" i="5" s="1"/>
  <c r="H184" i="4"/>
  <c r="AS186" i="2"/>
  <c r="E184" i="5" s="1"/>
  <c r="H190" i="4"/>
  <c r="AS182" i="2"/>
  <c r="E190" i="5" s="1"/>
  <c r="H8" i="4"/>
  <c r="AS7" i="2"/>
  <c r="E8" i="5" s="1"/>
  <c r="H89" i="4"/>
  <c r="AS88" i="2"/>
  <c r="E89" i="5" s="1"/>
  <c r="H172" i="4"/>
  <c r="AS177" i="2"/>
  <c r="E172" i="5" s="1"/>
  <c r="H95" i="4"/>
  <c r="AS87" i="2"/>
  <c r="E95" i="5" s="1"/>
  <c r="H96" i="4"/>
  <c r="AS96" i="2"/>
  <c r="E96" i="5" s="1"/>
  <c r="H221" i="4"/>
  <c r="AS211" i="2"/>
  <c r="E221" i="5" s="1"/>
  <c r="H92" i="4"/>
  <c r="AS85" i="2"/>
  <c r="E92" i="5" s="1"/>
  <c r="H202" i="4"/>
  <c r="AS200" i="2"/>
  <c r="E202" i="5" s="1"/>
  <c r="H121" i="4"/>
  <c r="AS120" i="2"/>
  <c r="E121" i="5" s="1"/>
  <c r="H187" i="4"/>
  <c r="AS184" i="2"/>
  <c r="E187" i="5" s="1"/>
  <c r="H218" i="4"/>
  <c r="AS209" i="2"/>
  <c r="E218" i="5" s="1"/>
  <c r="H183" i="4"/>
  <c r="AS187" i="2"/>
  <c r="E183" i="5" s="1"/>
  <c r="H181" i="4"/>
  <c r="AS179" i="2"/>
  <c r="E181" i="5" s="1"/>
  <c r="H74" i="4"/>
  <c r="AS74" i="2"/>
  <c r="E74" i="5" s="1"/>
  <c r="H93" i="4"/>
  <c r="AS93" i="2"/>
  <c r="E93" i="5" s="1"/>
  <c r="H97" i="4"/>
  <c r="AS99" i="2"/>
  <c r="E97" i="5" s="1"/>
  <c r="H35" i="4"/>
  <c r="AS34" i="2"/>
  <c r="E35" i="5" s="1"/>
  <c r="H209" i="4"/>
  <c r="AS208" i="2"/>
  <c r="E209" i="5" s="1"/>
  <c r="H116" i="4"/>
  <c r="AS116" i="2"/>
  <c r="E116" i="5" s="1"/>
  <c r="H101" i="4"/>
  <c r="AS95" i="2"/>
  <c r="E101" i="5" s="1"/>
  <c r="H173" i="4"/>
  <c r="AS171" i="2"/>
  <c r="E173" i="5" s="1"/>
  <c r="H79" i="4"/>
  <c r="AS76" i="2"/>
  <c r="E79" i="5" s="1"/>
  <c r="H12" i="4"/>
  <c r="AS11" i="2"/>
  <c r="E12" i="5" s="1"/>
  <c r="H23" i="4"/>
  <c r="AS26" i="2"/>
  <c r="E23" i="5" s="1"/>
  <c r="H147" i="4"/>
  <c r="AS148" i="2"/>
  <c r="E147" i="5" s="1"/>
  <c r="H160" i="4"/>
  <c r="AS159" i="2"/>
  <c r="E160" i="5" s="1"/>
  <c r="H29" i="4"/>
  <c r="AS29" i="2"/>
  <c r="E29" i="5" s="1"/>
  <c r="H207" i="4"/>
  <c r="AS220" i="2"/>
  <c r="E207" i="5" s="1"/>
  <c r="H43" i="4"/>
  <c r="AS42" i="2"/>
  <c r="E43" i="5" s="1"/>
  <c r="H224" i="4"/>
  <c r="AS221" i="2"/>
  <c r="E224" i="5" s="1"/>
  <c r="H78" i="4"/>
  <c r="AS73" i="2"/>
  <c r="E78" i="5" s="1"/>
  <c r="H134" i="4"/>
  <c r="AS134" i="2"/>
  <c r="E134" i="5" s="1"/>
  <c r="H36" i="4"/>
  <c r="AS37" i="2"/>
  <c r="E36" i="5" s="1"/>
  <c r="H57" i="4"/>
  <c r="AS52" i="2"/>
  <c r="E57" i="5" s="1"/>
  <c r="H53" i="4"/>
  <c r="AS56" i="2"/>
  <c r="E53" i="5" s="1"/>
  <c r="H63" i="4"/>
  <c r="AS64" i="2"/>
  <c r="E63" i="5" s="1"/>
  <c r="H150" i="4"/>
  <c r="AS146" i="2"/>
  <c r="E150" i="5" s="1"/>
  <c r="H25" i="4"/>
  <c r="AS24" i="2"/>
  <c r="E25" i="5" s="1"/>
  <c r="H109" i="4"/>
  <c r="AS104" i="2"/>
  <c r="E109" i="5" s="1"/>
  <c r="H200" i="4"/>
  <c r="AS210" i="2"/>
  <c r="E200" i="5" s="1"/>
  <c r="H5" i="4"/>
  <c r="AS4" i="2"/>
  <c r="E5" i="5" s="1"/>
  <c r="H180" i="4"/>
  <c r="AS175" i="2"/>
  <c r="E180" i="5" s="1"/>
  <c r="H113" i="4"/>
  <c r="AS111" i="2"/>
  <c r="E113" i="5" s="1"/>
  <c r="H203" i="4"/>
  <c r="AS199" i="2"/>
  <c r="E203" i="5" s="1"/>
  <c r="H54" i="4"/>
  <c r="AS59" i="2"/>
  <c r="E54" i="5" s="1"/>
  <c r="H164" i="4"/>
  <c r="AS180" i="2"/>
  <c r="E164" i="5" s="1"/>
  <c r="H162" i="4"/>
  <c r="AS153" i="2"/>
  <c r="E162" i="5" s="1"/>
  <c r="H16" i="4"/>
  <c r="AS15" i="2"/>
  <c r="E16" i="5" s="1"/>
  <c r="H176" i="4"/>
  <c r="AS174" i="2"/>
  <c r="E176" i="5" s="1"/>
  <c r="H142" i="4"/>
  <c r="AS140" i="2"/>
  <c r="E142" i="5" s="1"/>
  <c r="H211" i="4"/>
  <c r="AS205" i="2"/>
  <c r="E211" i="5" s="1"/>
  <c r="H158" i="4"/>
  <c r="AS160" i="2"/>
  <c r="E158" i="5" s="1"/>
  <c r="H94" i="4"/>
  <c r="AS90" i="2"/>
  <c r="E94" i="5" s="1"/>
  <c r="H40" i="4"/>
  <c r="AS35" i="2"/>
  <c r="E40" i="5" s="1"/>
  <c r="H219" i="4"/>
  <c r="AS213" i="2"/>
  <c r="E219" i="5" s="1"/>
  <c r="H106" i="4"/>
  <c r="AS109" i="2"/>
  <c r="E106" i="5" s="1"/>
  <c r="H82" i="4"/>
  <c r="AS91" i="2"/>
  <c r="E82" i="5" s="1"/>
  <c r="H144" i="4"/>
  <c r="AS142" i="2"/>
  <c r="E144" i="5" s="1"/>
  <c r="H114" i="4"/>
  <c r="AS114" i="2"/>
  <c r="E114" i="5" s="1"/>
  <c r="H152" i="4"/>
  <c r="AS147" i="2"/>
  <c r="E152" i="5" s="1"/>
  <c r="H46" i="4"/>
  <c r="AS41" i="2"/>
  <c r="E46" i="5" s="1"/>
  <c r="H227" i="4"/>
  <c r="AS228" i="2"/>
  <c r="E227" i="5" s="1"/>
  <c r="H135" i="4"/>
  <c r="AS133" i="2"/>
  <c r="E135" i="5" s="1"/>
  <c r="H156" i="4"/>
  <c r="AS161" i="2"/>
  <c r="E156" i="5" s="1"/>
  <c r="H10" i="4"/>
  <c r="AS10" i="2"/>
  <c r="E10" i="5" s="1"/>
  <c r="H129" i="4"/>
  <c r="AS130" i="2"/>
  <c r="E129" i="5" s="1"/>
  <c r="H111" i="4"/>
  <c r="AS110" i="2"/>
  <c r="E111" i="5" s="1"/>
  <c r="H100" i="4"/>
  <c r="AS97" i="2"/>
  <c r="E100" i="5" s="1"/>
  <c r="H177" i="4"/>
  <c r="AS176" i="2"/>
  <c r="E177" i="5" s="1"/>
  <c r="H216" i="4"/>
  <c r="AS217" i="2"/>
  <c r="E216" i="5" s="1"/>
  <c r="H76" i="4"/>
  <c r="AS75" i="2"/>
  <c r="E76" i="5" s="1"/>
  <c r="H73" i="4"/>
  <c r="AS79" i="2"/>
  <c r="E73" i="5" s="1"/>
  <c r="H174" i="4"/>
  <c r="AS172" i="2"/>
  <c r="E174" i="5" s="1"/>
  <c r="H70" i="4"/>
  <c r="AS61" i="2"/>
  <c r="E70" i="5" s="1"/>
  <c r="H19" i="4"/>
  <c r="AS19" i="2"/>
  <c r="E19" i="5" s="1"/>
  <c r="H91" i="4"/>
  <c r="AS89" i="2"/>
  <c r="E91" i="5" s="1"/>
  <c r="H59" i="4"/>
  <c r="AS57" i="2"/>
  <c r="E59" i="5" s="1"/>
  <c r="H159" i="4"/>
  <c r="AS156" i="2"/>
  <c r="E159" i="5" s="1"/>
  <c r="H62" i="4"/>
  <c r="AS68" i="2"/>
  <c r="E62" i="5" s="1"/>
  <c r="H165" i="4"/>
  <c r="AS162" i="2"/>
  <c r="E165" i="5" s="1"/>
  <c r="H197" i="4"/>
  <c r="AS196" i="2"/>
  <c r="E197" i="5" s="1"/>
  <c r="H157" i="4"/>
  <c r="AS158" i="2"/>
  <c r="E157" i="5" s="1"/>
  <c r="H138" i="4"/>
  <c r="AS132" i="2"/>
  <c r="E138" i="5" s="1"/>
  <c r="H104" i="4"/>
  <c r="AS103" i="2"/>
  <c r="E104" i="5" s="1"/>
  <c r="H145" i="4"/>
  <c r="AS144" i="2"/>
  <c r="E145" i="5" s="1"/>
  <c r="H20" i="4"/>
  <c r="AS16" i="2"/>
  <c r="E20" i="5" s="1"/>
  <c r="H230" i="4"/>
  <c r="AS229" i="2"/>
  <c r="E230" i="5" s="1"/>
  <c r="H120" i="4"/>
  <c r="AS119" i="2"/>
  <c r="E120" i="5" s="1"/>
  <c r="H125" i="4"/>
  <c r="AS123" i="2"/>
  <c r="E125" i="5" s="1"/>
  <c r="H210" i="4"/>
  <c r="AS207" i="2"/>
  <c r="E210" i="5" s="1"/>
  <c r="H182" i="4"/>
  <c r="AS181" i="2"/>
  <c r="E182" i="5" s="1"/>
  <c r="H155" i="4"/>
  <c r="AS157" i="2"/>
  <c r="E155" i="5" s="1"/>
  <c r="H228" i="4"/>
  <c r="AS227" i="2"/>
  <c r="E228" i="5" s="1"/>
  <c r="H204" i="4"/>
  <c r="AS198" i="2"/>
  <c r="E204" i="5" s="1"/>
  <c r="H193" i="4"/>
  <c r="AS192" i="2"/>
  <c r="E193" i="5" s="1"/>
  <c r="H148" i="4"/>
  <c r="AS149" i="2"/>
  <c r="E148" i="5" s="1"/>
  <c r="H81" i="4"/>
  <c r="AS83" i="2"/>
  <c r="E81" i="5" s="1"/>
  <c r="H65" i="4"/>
  <c r="AS69" i="2"/>
  <c r="E65" i="5" s="1"/>
  <c r="H143" i="4"/>
  <c r="AS143" i="2"/>
  <c r="E143" i="5" s="1"/>
  <c r="H24" i="4"/>
  <c r="AS22" i="2"/>
  <c r="E24" i="5" s="1"/>
  <c r="H75" i="4"/>
  <c r="AS80" i="2"/>
  <c r="E75" i="5" s="1"/>
  <c r="H123" i="4"/>
  <c r="AS122" i="2"/>
  <c r="E123" i="5" s="1"/>
  <c r="H55" i="4"/>
  <c r="AS51" i="2"/>
  <c r="E55" i="5" s="1"/>
  <c r="H161" i="4"/>
  <c r="AS155" i="2"/>
  <c r="E161" i="5" s="1"/>
  <c r="H198" i="4"/>
  <c r="AS197" i="2"/>
  <c r="E198" i="5" s="1"/>
  <c r="H214" i="4"/>
  <c r="AS218" i="2"/>
  <c r="E214" i="5" s="1"/>
  <c r="H167" i="4"/>
  <c r="AS163" i="2"/>
  <c r="E167" i="5" s="1"/>
  <c r="H30" i="4"/>
  <c r="AS23" i="2"/>
  <c r="E30" i="5" s="1"/>
  <c r="H48" i="4"/>
  <c r="AS45" i="2"/>
  <c r="E48" i="5" s="1"/>
  <c r="H47" i="4"/>
  <c r="AS44" i="2"/>
  <c r="E47" i="5" s="1"/>
  <c r="H71" i="4"/>
  <c r="AS70" i="2"/>
  <c r="E71" i="5" s="1"/>
  <c r="H67" i="4"/>
  <c r="AS72" i="2"/>
  <c r="E67" i="5" s="1"/>
  <c r="H222" i="4"/>
  <c r="AS222" i="2"/>
  <c r="E222" i="5" s="1"/>
  <c r="H175" i="4"/>
  <c r="AS168" i="2"/>
  <c r="E175" i="5" s="1"/>
  <c r="H13" i="4"/>
  <c r="AS12" i="2"/>
  <c r="E13" i="5" s="1"/>
  <c r="H60" i="4"/>
  <c r="AS58" i="2"/>
  <c r="E60" i="5" s="1"/>
  <c r="H9" i="4"/>
  <c r="AS8" i="2"/>
  <c r="E9" i="5" s="1"/>
  <c r="H41" i="4"/>
  <c r="AS40" i="2"/>
  <c r="E41" i="5" s="1"/>
  <c r="H153" i="4"/>
  <c r="AS152" i="2"/>
  <c r="E153" i="5" s="1"/>
  <c r="H146" i="4"/>
  <c r="AS145" i="2"/>
  <c r="E146" i="5" s="1"/>
  <c r="H186" i="4"/>
  <c r="AS191" i="2"/>
  <c r="E186" i="5" s="1"/>
  <c r="H61" i="4"/>
  <c r="AS62" i="2"/>
  <c r="E61" i="5" s="1"/>
  <c r="H154" i="4"/>
  <c r="AS154" i="2"/>
  <c r="E154" i="5" s="1"/>
  <c r="H188" i="4"/>
  <c r="AS183" i="2"/>
  <c r="E188" i="5" s="1"/>
  <c r="H213" i="4"/>
  <c r="AS219" i="2"/>
  <c r="E213" i="5" s="1"/>
  <c r="H66" i="4"/>
  <c r="AS65" i="2"/>
  <c r="E66" i="5" s="1"/>
  <c r="H192" i="4"/>
  <c r="AS190" i="2"/>
  <c r="E192" i="5" s="1"/>
  <c r="H69" i="4"/>
  <c r="AS66" i="2"/>
  <c r="E69" i="5" s="1"/>
  <c r="H139" i="4"/>
  <c r="AS141" i="2"/>
  <c r="E139" i="5" s="1"/>
  <c r="H44" i="4"/>
  <c r="AS43" i="2"/>
  <c r="E44" i="5" s="1"/>
  <c r="H112" i="4"/>
  <c r="AS113" i="2"/>
  <c r="E112" i="5" s="1"/>
  <c r="H17" i="4"/>
  <c r="AS17" i="2"/>
  <c r="E17" i="5" s="1"/>
  <c r="H205" i="4"/>
  <c r="AS204" i="2"/>
  <c r="E205" i="5" s="1"/>
  <c r="H49" i="4"/>
  <c r="AS47" i="2"/>
  <c r="E49" i="5" s="1"/>
  <c r="H83" i="4"/>
  <c r="AS82" i="2"/>
  <c r="E83" i="5" s="1"/>
  <c r="H201" i="4"/>
  <c r="AS202" i="2"/>
  <c r="E201" i="5" s="1"/>
  <c r="H18" i="4"/>
  <c r="AS18" i="2"/>
  <c r="E18" i="5" s="1"/>
  <c r="H220" i="4"/>
  <c r="AS216" i="2"/>
  <c r="E220" i="5" s="1"/>
  <c r="H223" i="4"/>
  <c r="AS226" i="2"/>
  <c r="E223" i="5" s="1"/>
  <c r="H141" i="4"/>
  <c r="AS139" i="2"/>
  <c r="E141" i="5" s="1"/>
  <c r="H64" i="4"/>
  <c r="AS67" i="2"/>
  <c r="E64" i="5" s="1"/>
  <c r="H131" i="4"/>
  <c r="AS127" i="2"/>
  <c r="E131" i="5" s="1"/>
  <c r="H4" i="4"/>
  <c r="AS3" i="2"/>
  <c r="E4" i="5" s="1"/>
</calcChain>
</file>

<file path=xl/sharedStrings.xml><?xml version="1.0" encoding="utf-8"?>
<sst xmlns="http://schemas.openxmlformats.org/spreadsheetml/2006/main" count="3532" uniqueCount="291">
  <si>
    <t>Name</t>
  </si>
  <si>
    <t>#Wins</t>
  </si>
  <si>
    <t>TotalScore</t>
  </si>
  <si>
    <t>#Cooperations</t>
  </si>
  <si>
    <t>CooperationRating</t>
  </si>
  <si>
    <t>GoodPartnerRating</t>
  </si>
  <si>
    <t>EigenJesusRating</t>
  </si>
  <si>
    <t>EigenMosesRating</t>
  </si>
  <si>
    <t>Fuzzy</t>
  </si>
  <si>
    <t>First by Stein and Rapoport</t>
  </si>
  <si>
    <t>First by Grofman</t>
  </si>
  <si>
    <t>Tit For Tat</t>
  </si>
  <si>
    <t>First by Nydegger</t>
  </si>
  <si>
    <t>First by Tideman and Chieruzzi</t>
  </si>
  <si>
    <t>First by Shubik</t>
  </si>
  <si>
    <t>Grudger</t>
  </si>
  <si>
    <t>First by Davis</t>
  </si>
  <si>
    <t>First by Graaskamp</t>
  </si>
  <si>
    <t>First by Downing</t>
  </si>
  <si>
    <t>First by Feld</t>
  </si>
  <si>
    <t>First by Joss</t>
  </si>
  <si>
    <t>First by Anonymous</t>
  </si>
  <si>
    <t>First by Tullock</t>
  </si>
  <si>
    <t>Random</t>
  </si>
  <si>
    <t>Rank</t>
  </si>
  <si>
    <t>Rank 1</t>
  </si>
  <si>
    <t>Rank 2</t>
  </si>
  <si>
    <t>Rank 3</t>
  </si>
  <si>
    <t>Rank 4</t>
  </si>
  <si>
    <t>Rank 5</t>
  </si>
  <si>
    <t>Wins 1</t>
  </si>
  <si>
    <t>Wins 2</t>
  </si>
  <si>
    <t>Wins 3</t>
  </si>
  <si>
    <t>Wins 4</t>
  </si>
  <si>
    <t>Wins 5</t>
  </si>
  <si>
    <t>Total Score 1</t>
  </si>
  <si>
    <t>Total Score 2</t>
  </si>
  <si>
    <t>Total Score 3</t>
  </si>
  <si>
    <t>Total Score 4</t>
  </si>
  <si>
    <t>Total Score 5</t>
  </si>
  <si>
    <t>#Cooperations 1</t>
  </si>
  <si>
    <t>#Cooperations 2</t>
  </si>
  <si>
    <t>#Cooperations 3</t>
  </si>
  <si>
    <t>#Cooperations 4</t>
  </si>
  <si>
    <t>#Cooperations 5</t>
  </si>
  <si>
    <t>CoopRating 1</t>
  </si>
  <si>
    <t>CoopRating 2</t>
  </si>
  <si>
    <t>CoopRating 3</t>
  </si>
  <si>
    <t>CoopRating 4</t>
  </si>
  <si>
    <t>CoopRating 5</t>
  </si>
  <si>
    <t>GP Rating 1</t>
  </si>
  <si>
    <t>GP Rating 2</t>
  </si>
  <si>
    <t>GP Rating 3</t>
  </si>
  <si>
    <t>GP Rating 4</t>
  </si>
  <si>
    <t>GP Rating 5</t>
  </si>
  <si>
    <t>EJ Rating 1</t>
  </si>
  <si>
    <t>EJ Rating 2</t>
  </si>
  <si>
    <t>EJ Rating 3</t>
  </si>
  <si>
    <t>EJ Rating 4</t>
  </si>
  <si>
    <t>EJ Rating 5</t>
  </si>
  <si>
    <t>EM Rating 1</t>
  </si>
  <si>
    <t>EM Rating 2</t>
  </si>
  <si>
    <t>EM Rating 3</t>
  </si>
  <si>
    <t>EM Rating 4</t>
  </si>
  <si>
    <t>EM Rating 5</t>
  </si>
  <si>
    <t>Avg</t>
  </si>
  <si>
    <t>Cooperation Rating</t>
  </si>
  <si>
    <t>Good Partner Rating</t>
  </si>
  <si>
    <t>Avg. Score</t>
  </si>
  <si>
    <t>Evolved FSM 6</t>
  </si>
  <si>
    <t>EvolvedLookerUp2_2_2</t>
  </si>
  <si>
    <t>Evolved HMM 5</t>
  </si>
  <si>
    <t>Evolved FSM 16</t>
  </si>
  <si>
    <t>PSO Gambler 1_1_1</t>
  </si>
  <si>
    <t>Evolved FSM 16 Noise 05</t>
  </si>
  <si>
    <t>Evolved ANN</t>
  </si>
  <si>
    <t>Evolved ANN 5</t>
  </si>
  <si>
    <t>Evolved FSM 4</t>
  </si>
  <si>
    <t>PSO Gambler 2_2_2</t>
  </si>
  <si>
    <t>PSO Gambler Mem1</t>
  </si>
  <si>
    <t>Omega TFT</t>
  </si>
  <si>
    <t>PSO Gambler 2_2_2 Noise 05</t>
  </si>
  <si>
    <t>Original Gradual</t>
  </si>
  <si>
    <t>Winner12</t>
  </si>
  <si>
    <t>Gradual</t>
  </si>
  <si>
    <t>DoubleCrosser</t>
  </si>
  <si>
    <t>Second by Borufsen</t>
  </si>
  <si>
    <t>Second by Rowsam</t>
  </si>
  <si>
    <t>AON2</t>
  </si>
  <si>
    <t>EugineNier</t>
  </si>
  <si>
    <t>BackStabber</t>
  </si>
  <si>
    <t>Fool Me Once</t>
  </si>
  <si>
    <t>Forgetful Fool Me Once</t>
  </si>
  <si>
    <t>Spiteful Tit For Tat</t>
  </si>
  <si>
    <t>Second by GraaskampKatzen</t>
  </si>
  <si>
    <t>Revised Downing</t>
  </si>
  <si>
    <t>Michaelos</t>
  </si>
  <si>
    <t>Momentum</t>
  </si>
  <si>
    <t>Meta Hunter</t>
  </si>
  <si>
    <t>ZD-GTFT-2</t>
  </si>
  <si>
    <t>Evolved ANN 5 Noise 05</t>
  </si>
  <si>
    <t>MEM2</t>
  </si>
  <si>
    <t>Second by Cave</t>
  </si>
  <si>
    <t>Second by Kluepfel</t>
  </si>
  <si>
    <t>Second by Weiner</t>
  </si>
  <si>
    <t>Second by WmAdams</t>
  </si>
  <si>
    <t>EvolvedLookerUp1_1_1</t>
  </si>
  <si>
    <t>CAPRI</t>
  </si>
  <si>
    <t>Second by Tideman and Chieruzzi</t>
  </si>
  <si>
    <t>Second by Grofman</t>
  </si>
  <si>
    <t>NMWE Memory One</t>
  </si>
  <si>
    <t>General Soft Grudger</t>
  </si>
  <si>
    <t>Soft Joss</t>
  </si>
  <si>
    <t>Second by RichardHufford</t>
  </si>
  <si>
    <t>TF3</t>
  </si>
  <si>
    <t>Second by Mikkelson</t>
  </si>
  <si>
    <t>Soft Grudger</t>
  </si>
  <si>
    <t>Level Punisher</t>
  </si>
  <si>
    <t>FrequencyAnalyzer</t>
  </si>
  <si>
    <t>SpitefulCC</t>
  </si>
  <si>
    <t>Second by Leyvraz</t>
  </si>
  <si>
    <t>GTFT</t>
  </si>
  <si>
    <t>Math Constant Hunter</t>
  </si>
  <si>
    <t>Adaptive Tit For Tat</t>
  </si>
  <si>
    <t>ZD-GEN-2</t>
  </si>
  <si>
    <t>Forgiving Tit For Tat</t>
  </si>
  <si>
    <t>Memory Decay</t>
  </si>
  <si>
    <t>Firm But Fair</t>
  </si>
  <si>
    <t>Second by Eatherley</t>
  </si>
  <si>
    <t>Resurrection</t>
  </si>
  <si>
    <t>Alexei</t>
  </si>
  <si>
    <t>Contrite Tit For Tat</t>
  </si>
  <si>
    <t>Doubler</t>
  </si>
  <si>
    <t>Limited Retaliate 2</t>
  </si>
  <si>
    <t>GrudgerAlternator</t>
  </si>
  <si>
    <t>Second by Champion</t>
  </si>
  <si>
    <t>Once Bitten</t>
  </si>
  <si>
    <t>Stalker</t>
  </si>
  <si>
    <t>Second by Yamachi</t>
  </si>
  <si>
    <t>Second by White</t>
  </si>
  <si>
    <t>Limited Retaliate 3</t>
  </si>
  <si>
    <t>VeryBad</t>
  </si>
  <si>
    <t>Adaptive Pavlov 2011</t>
  </si>
  <si>
    <t>Inverse Punisher</t>
  </si>
  <si>
    <t>Forgiver</t>
  </si>
  <si>
    <t>Second by Black</t>
  </si>
  <si>
    <t>Retaliate 3</t>
  </si>
  <si>
    <t>Soft Go By Majority: 10</t>
  </si>
  <si>
    <t>Retaliate</t>
  </si>
  <si>
    <t>ShortMem</t>
  </si>
  <si>
    <t>Delayed AON1</t>
  </si>
  <si>
    <t>Soft Go By Majority: 5</t>
  </si>
  <si>
    <t>Dynamic Two Tits For Tat</t>
  </si>
  <si>
    <t>Forgetful Grudger</t>
  </si>
  <si>
    <t>Retaliate 2</t>
  </si>
  <si>
    <t>Soft Go By Majority: 40</t>
  </si>
  <si>
    <t>Limited Retaliate</t>
  </si>
  <si>
    <t>Worse and Worse 3</t>
  </si>
  <si>
    <t>Hard Tit For 2 Tats</t>
  </si>
  <si>
    <t>Soft Go By Majority: 20</t>
  </si>
  <si>
    <t>Adaptive Pavlov 2006</t>
  </si>
  <si>
    <t>Slow Tit For Two Tats 2</t>
  </si>
  <si>
    <t>Nice Average Copier</t>
  </si>
  <si>
    <t>Second by Harrington</t>
  </si>
  <si>
    <t>Meta Majority Memory One</t>
  </si>
  <si>
    <t>Second by Getzler</t>
  </si>
  <si>
    <t>Second by Appold</t>
  </si>
  <si>
    <t>Grumpy</t>
  </si>
  <si>
    <t>Punisher</t>
  </si>
  <si>
    <t>Appeaser</t>
  </si>
  <si>
    <t>Soft Go By Majority</t>
  </si>
  <si>
    <t>Win-Stay Lose-Shift</t>
  </si>
  <si>
    <t>N Tit(s) For M Tat(s)</t>
  </si>
  <si>
    <t>Tit For 2 Tats</t>
  </si>
  <si>
    <t>Tricky Level Punisher</t>
  </si>
  <si>
    <t>Thumper</t>
  </si>
  <si>
    <t>Hard Tit For Tat</t>
  </si>
  <si>
    <t>Two Tits For Tat</t>
  </si>
  <si>
    <t>Inverse</t>
  </si>
  <si>
    <t>Eventual Cycle Hunter</t>
  </si>
  <si>
    <t>AdaptorBrief</t>
  </si>
  <si>
    <t>Second by Tranquilizer</t>
  </si>
  <si>
    <t>Random Hunter</t>
  </si>
  <si>
    <t>AdaptorLong</t>
  </si>
  <si>
    <t>Raider</t>
  </si>
  <si>
    <t>UsuallyCooperates</t>
  </si>
  <si>
    <t>Alternator Hunter</t>
  </si>
  <si>
    <t>Defector Hunter</t>
  </si>
  <si>
    <t>Average Copier</t>
  </si>
  <si>
    <t>Sneaky Tit For Tat</t>
  </si>
  <si>
    <t>Second by Tester</t>
  </si>
  <si>
    <t>Second by Gladstein</t>
  </si>
  <si>
    <t>Cycle Hunter</t>
  </si>
  <si>
    <t>Ripoff</t>
  </si>
  <si>
    <t>Prober 2</t>
  </si>
  <si>
    <t>Second by Colbert</t>
  </si>
  <si>
    <t>Hard Prober</t>
  </si>
  <si>
    <t>Cooperator</t>
  </si>
  <si>
    <t>Willing</t>
  </si>
  <si>
    <t>DoubleResurrection</t>
  </si>
  <si>
    <t>Adaptive</t>
  </si>
  <si>
    <t>Remorseful Prober</t>
  </si>
  <si>
    <t>Risky QLearner</t>
  </si>
  <si>
    <t>Prober</t>
  </si>
  <si>
    <t>Suspicious Tit For Tat</t>
  </si>
  <si>
    <t>Hesitant QLearner</t>
  </si>
  <si>
    <t>Detective</t>
  </si>
  <si>
    <t>Cautious QLearner</t>
  </si>
  <si>
    <t>Prober 3</t>
  </si>
  <si>
    <t>Arrogant QLearner</t>
  </si>
  <si>
    <t>ZD-Mem2</t>
  </si>
  <si>
    <t>EasyGo</t>
  </si>
  <si>
    <t>Stochastic Cooperator</t>
  </si>
  <si>
    <t>Worse and Worse 2</t>
  </si>
  <si>
    <t>Opposite Grudger</t>
  </si>
  <si>
    <t>Random Tit for Tat</t>
  </si>
  <si>
    <t>Hard Go By Majority</t>
  </si>
  <si>
    <t>Hard Go By Majority: 5</t>
  </si>
  <si>
    <t>Prober 4</t>
  </si>
  <si>
    <t>Knowledgeable Worse and Worse</t>
  </si>
  <si>
    <t>Worse and Worse</t>
  </si>
  <si>
    <t>Hard Go By Majority: 40</t>
  </si>
  <si>
    <t>Pun1</t>
  </si>
  <si>
    <t>Calculator</t>
  </si>
  <si>
    <t>Fortress4</t>
  </si>
  <si>
    <t>Meta Hunter Aggressive</t>
  </si>
  <si>
    <t>Darwin</t>
  </si>
  <si>
    <t>Naive Prober</t>
  </si>
  <si>
    <t>Burn Both Ends</t>
  </si>
  <si>
    <t>Fortress3</t>
  </si>
  <si>
    <t>Hard Go By Majority: 20</t>
  </si>
  <si>
    <t>Cooperator Hunter</t>
  </si>
  <si>
    <t>ALLCorALLD</t>
  </si>
  <si>
    <t>Hard Go By Majority: 10</t>
  </si>
  <si>
    <t>ZD-SET-2</t>
  </si>
  <si>
    <t>Cycler CCCD</t>
  </si>
  <si>
    <t>Stochastic WSLS</t>
  </si>
  <si>
    <t>Cycler CCCDCD</t>
  </si>
  <si>
    <t>Winner21</t>
  </si>
  <si>
    <t>TF2</t>
  </si>
  <si>
    <t>SolutionB5</t>
  </si>
  <si>
    <t>Cycler CCCCCD</t>
  </si>
  <si>
    <t>MAB</t>
  </si>
  <si>
    <t>SolutionB1</t>
  </si>
  <si>
    <t>SelfSteem</t>
  </si>
  <si>
    <t>Meta Winner Memory One</t>
  </si>
  <si>
    <t>Cycler CCD</t>
  </si>
  <si>
    <t>Alternator</t>
  </si>
  <si>
    <t>$\pi$</t>
  </si>
  <si>
    <t>ZD-Extort-2 v2</t>
  </si>
  <si>
    <t>Tricky Cooperator</t>
  </si>
  <si>
    <t>Better and Better</t>
  </si>
  <si>
    <t>ThueMorseInverse</t>
  </si>
  <si>
    <t>AntiCycler</t>
  </si>
  <si>
    <t>CollectiveStrategy</t>
  </si>
  <si>
    <t>ThueMorse</t>
  </si>
  <si>
    <t>ZD-Extort-2</t>
  </si>
  <si>
    <t>Gradual Killer</t>
  </si>
  <si>
    <t>ZD-Extort-4</t>
  </si>
  <si>
    <t>TF1</t>
  </si>
  <si>
    <t>Win-Shift Lose-Stay</t>
  </si>
  <si>
    <t>$e$</t>
  </si>
  <si>
    <t>Bush Mosteller</t>
  </si>
  <si>
    <t>Aggravater</t>
  </si>
  <si>
    <t>Bully</t>
  </si>
  <si>
    <t>UsuallyDefects</t>
  </si>
  <si>
    <t>Cycler DC</t>
  </si>
  <si>
    <t>ZD-Extortion</t>
  </si>
  <si>
    <t>Cycler DDC</t>
  </si>
  <si>
    <t>Predator</t>
  </si>
  <si>
    <t>Desperate</t>
  </si>
  <si>
    <t>Anti Tit For Tat</t>
  </si>
  <si>
    <t>ZD-Extort3</t>
  </si>
  <si>
    <t>Tricky Defector</t>
  </si>
  <si>
    <t>Hopeless</t>
  </si>
  <si>
    <t>Handshake</t>
  </si>
  <si>
    <t>ZD-Mischief</t>
  </si>
  <si>
    <t>$\phi$</t>
  </si>
  <si>
    <t>Negation</t>
  </si>
  <si>
    <t>Defector</t>
  </si>
  <si>
    <t>Svi!$A$2:$I$228</t>
  </si>
  <si>
    <t>Svi!$A$231:$I$457</t>
  </si>
  <si>
    <t>Svi!$A$460:$I$686</t>
  </si>
  <si>
    <t>Svi!$A$689:$I$915</t>
  </si>
  <si>
    <t>Svi!$A$918:$I$1144</t>
  </si>
  <si>
    <t>Eigenjesus Rating</t>
  </si>
  <si>
    <t>Eigenmoses Rating</t>
  </si>
  <si>
    <t>SD</t>
  </si>
  <si>
    <t>Results</t>
  </si>
  <si>
    <t>Morality metrics</t>
  </si>
  <si>
    <t>Wins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</si>
</sst>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\ _R_S_D"/>
    <numFmt numFmtId="165" formatCode="#,##0.0"/>
    <numFmt numFmtId="166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2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0" fontId="0" fillId="0" borderId="0" xfId="0" quotePrefix="1" applyAlignment="1">
      <alignment wrapText="1"/>
    </xf>
    <xf numFmtId="0" fontId="0" fillId="0" borderId="3" xfId="0" applyBorder="1" applyAlignment="1">
      <alignment wrapText="1"/>
    </xf>
    <xf numFmtId="2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3" xfId="0" applyFont="1" applyBorder="1" applyAlignment="1">
      <alignment horizontal="center" vertical="center" wrapText="1"/>
    </xf>
    <xf numFmtId="0" fontId="1" fillId="0" borderId="3" xfId="0" applyFont="1" applyBorder="1"/>
    <xf numFmtId="0" fontId="0" fillId="0" borderId="3" xfId="0" applyBorder="1"/>
    <xf numFmtId="0" fontId="0" fillId="0" borderId="2" xfId="0" applyBorder="1"/>
    <xf numFmtId="11" fontId="0" fillId="0" borderId="0" xfId="0" applyNumberFormat="1"/>
    <xf numFmtId="0" fontId="1" fillId="0" borderId="0" xfId="0" applyFont="1"/>
    <xf numFmtId="9" fontId="0" fillId="0" borderId="0" xfId="1" applyFont="1"/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2" fontId="4" fillId="0" borderId="0" xfId="0" applyNumberFormat="1" applyFont="1" applyAlignment="1">
      <alignment horizontal="center" vertical="center"/>
    </xf>
    <xf numFmtId="10" fontId="4" fillId="0" borderId="0" xfId="1" applyNumberFormat="1" applyFont="1" applyBorder="1" applyAlignment="1">
      <alignment horizontal="center" vertical="center"/>
    </xf>
    <xf numFmtId="2" fontId="4" fillId="0" borderId="5" xfId="1" applyNumberFormat="1" applyFont="1" applyBorder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A7024-25D4-4180-97BF-0513A31B231E}">
  <dimension ref="B2:H230"/>
  <sheetViews>
    <sheetView tabSelected="1" workbookViewId="0">
      <selection activeCell="B3" sqref="B3:H230"/>
    </sheetView>
  </sheetViews>
  <sheetFormatPr defaultRowHeight="15" x14ac:dyDescent="0.25"/>
  <cols>
    <col min="2" max="2" width="28.42578125" bestFit="1" customWidth="1"/>
    <col min="3" max="3" width="9" bestFit="1" customWidth="1"/>
    <col min="4" max="4" width="11.42578125" customWidth="1"/>
    <col min="5" max="5" width="12" bestFit="1" customWidth="1"/>
    <col min="6" max="6" width="12.85546875" bestFit="1" customWidth="1"/>
    <col min="7" max="7" width="11" bestFit="1" customWidth="1"/>
    <col min="8" max="8" width="12.140625" bestFit="1" customWidth="1"/>
  </cols>
  <sheetData>
    <row r="2" spans="2:8" x14ac:dyDescent="0.25">
      <c r="B2" s="11"/>
      <c r="C2" s="20" t="s">
        <v>288</v>
      </c>
      <c r="D2" s="20"/>
      <c r="E2" s="21" t="s">
        <v>289</v>
      </c>
      <c r="F2" s="20"/>
      <c r="G2" s="20"/>
      <c r="H2" s="20"/>
    </row>
    <row r="3" spans="2:8" ht="30" x14ac:dyDescent="0.25">
      <c r="B3" s="16" t="s">
        <v>0</v>
      </c>
      <c r="C3" s="9" t="s">
        <v>68</v>
      </c>
      <c r="D3" s="9" t="s">
        <v>290</v>
      </c>
      <c r="E3" s="17" t="s">
        <v>66</v>
      </c>
      <c r="F3" s="9" t="s">
        <v>67</v>
      </c>
      <c r="G3" s="9" t="s">
        <v>285</v>
      </c>
      <c r="H3" s="9" t="s">
        <v>286</v>
      </c>
    </row>
    <row r="4" spans="2:8" x14ac:dyDescent="0.25">
      <c r="B4" s="18" t="s">
        <v>69</v>
      </c>
      <c r="C4" s="22">
        <f ca="1">VLOOKUP(B4,Kompilirano!T:Z,7,FALSE)/226/5</f>
        <v>577.07610619469028</v>
      </c>
      <c r="D4" s="23">
        <f ca="1">VLOOKUP(B4,Kompilirano!J:P,7,FALSE)/226/5</f>
        <v>3.4513274336283185E-2</v>
      </c>
      <c r="E4" s="24" t="str">
        <f ca="1">VLOOKUP(B4,Kompilirano!AM:AS,7,FALSE)</f>
        <v>0.79 (0.00)</v>
      </c>
      <c r="F4" s="25" t="str">
        <f ca="1">VLOOKUP(B4,Kompilirano!AW:BD,7,FALSE)</f>
        <v>0.83 (0.00)</v>
      </c>
      <c r="G4" s="25" t="str">
        <f ca="1">VLOOKUP(B4,Kompilirano!BG:BM,7,FALSE)</f>
        <v>0.08 (0.00)</v>
      </c>
      <c r="H4" s="25" t="str">
        <f ca="1">VLOOKUP(B4,Kompilirano!BQ:BW,7,FALSE)</f>
        <v>0.08 (0.00)</v>
      </c>
    </row>
    <row r="5" spans="2:8" x14ac:dyDescent="0.25">
      <c r="B5" s="18" t="s">
        <v>70</v>
      </c>
      <c r="C5" s="22">
        <f ca="1">VLOOKUP(B5,Kompilirano!T:Z,7,FALSE)/226/5</f>
        <v>575.93097345132742</v>
      </c>
      <c r="D5" s="23">
        <f ca="1">VLOOKUP(B5,Kompilirano!J:P,7,FALSE)/226/5</f>
        <v>4.3539823008849558E-2</v>
      </c>
      <c r="E5" s="24" t="str">
        <f ca="1">VLOOKUP(B5,Kompilirano!AM:AS,7,FALSE)</f>
        <v>0.75 (0.01)</v>
      </c>
      <c r="F5" s="25" t="str">
        <f ca="1">VLOOKUP(B5,Kompilirano!AW:BD,7,FALSE)</f>
        <v>0.78 (0.01)</v>
      </c>
      <c r="G5" s="25" t="str">
        <f ca="1">VLOOKUP(B5,Kompilirano!BG:BM,7,FALSE)</f>
        <v>0.07 (0.00)</v>
      </c>
      <c r="H5" s="25" t="str">
        <f ca="1">VLOOKUP(B5,Kompilirano!BQ:BW,7,FALSE)</f>
        <v>0.07 (0.00)</v>
      </c>
    </row>
    <row r="6" spans="2:8" x14ac:dyDescent="0.25">
      <c r="B6" s="18" t="s">
        <v>8</v>
      </c>
      <c r="C6" s="22">
        <f ca="1">VLOOKUP(B6,Kompilirano!T:Z,7,FALSE)/226/5</f>
        <v>575.57522123893807</v>
      </c>
      <c r="D6" s="23">
        <f ca="1">VLOOKUP(B6,Kompilirano!J:P,7,FALSE)/226/5</f>
        <v>4.31858407079646E-2</v>
      </c>
      <c r="E6" s="24" t="str">
        <f ca="1">VLOOKUP(B6,Kompilirano!AM:AS,7,FALSE)</f>
        <v>0.75 (0.01)</v>
      </c>
      <c r="F6" s="25" t="str">
        <f ca="1">VLOOKUP(B6,Kompilirano!AW:BD,7,FALSE)</f>
        <v>0.78 (0.01)</v>
      </c>
      <c r="G6" s="25" t="str">
        <f ca="1">VLOOKUP(B6,Kompilirano!BG:BM,7,FALSE)</f>
        <v>0.07 (0.00)</v>
      </c>
      <c r="H6" s="25" t="str">
        <f ca="1">VLOOKUP(B6,Kompilirano!BQ:BW,7,FALSE)</f>
        <v>0.07 (0.00)</v>
      </c>
    </row>
    <row r="7" spans="2:8" x14ac:dyDescent="0.25">
      <c r="B7" s="18" t="s">
        <v>71</v>
      </c>
      <c r="C7" s="22">
        <f ca="1">VLOOKUP(B7,Kompilirano!T:Z,7,FALSE)/226/5</f>
        <v>571.07079646017701</v>
      </c>
      <c r="D7" s="23">
        <f ca="1">VLOOKUP(B7,Kompilirano!J:P,7,FALSE)/226/5</f>
        <v>3.946902654867257E-2</v>
      </c>
      <c r="E7" s="24" t="str">
        <f ca="1">VLOOKUP(B7,Kompilirano!AM:AS,7,FALSE)</f>
        <v>0.76 (0.01)</v>
      </c>
      <c r="F7" s="25" t="str">
        <f ca="1">VLOOKUP(B7,Kompilirano!AW:BD,7,FALSE)</f>
        <v>0.80 (0.01)</v>
      </c>
      <c r="G7" s="25" t="str">
        <f ca="1">VLOOKUP(B7,Kompilirano!BG:BM,7,FALSE)</f>
        <v>0.07 (0.00)</v>
      </c>
      <c r="H7" s="25" t="str">
        <f ca="1">VLOOKUP(B7,Kompilirano!BQ:BW,7,FALSE)</f>
        <v>0.07 (0.00)</v>
      </c>
    </row>
    <row r="8" spans="2:8" x14ac:dyDescent="0.25">
      <c r="B8" s="18" t="s">
        <v>72</v>
      </c>
      <c r="C8" s="22">
        <f ca="1">VLOOKUP(B8,Kompilirano!T:Z,7,FALSE)/226/5</f>
        <v>569.92743362831857</v>
      </c>
      <c r="D8" s="23">
        <f ca="1">VLOOKUP(B8,Kompilirano!J:P,7,FALSE)/226/5</f>
        <v>5.6106194690265489E-2</v>
      </c>
      <c r="E8" s="24" t="str">
        <f ca="1">VLOOKUP(B8,Kompilirano!AM:AS,7,FALSE)</f>
        <v>0.72 (0.00)</v>
      </c>
      <c r="F8" s="25" t="str">
        <f ca="1">VLOOKUP(B8,Kompilirano!AW:BD,7,FALSE)</f>
        <v>0.72 (0.01)</v>
      </c>
      <c r="G8" s="25" t="str">
        <f ca="1">VLOOKUP(B8,Kompilirano!BG:BM,7,FALSE)</f>
        <v>0.07 (0.00)</v>
      </c>
      <c r="H8" s="25" t="str">
        <f ca="1">VLOOKUP(B8,Kompilirano!BQ:BW,7,FALSE)</f>
        <v>0.07 (0.00)</v>
      </c>
    </row>
    <row r="9" spans="2:8" x14ac:dyDescent="0.25">
      <c r="B9" s="18" t="s">
        <v>73</v>
      </c>
      <c r="C9" s="22">
        <f ca="1">VLOOKUP(B9,Kompilirano!T:Z,7,FALSE)/226/5</f>
        <v>568.48407079646017</v>
      </c>
      <c r="D9" s="23">
        <f ca="1">VLOOKUP(B9,Kompilirano!J:P,7,FALSE)/226/5</f>
        <v>4.5132743362831858E-2</v>
      </c>
      <c r="E9" s="24" t="str">
        <f ca="1">VLOOKUP(B9,Kompilirano!AM:AS,7,FALSE)</f>
        <v>0.72 (0.01)</v>
      </c>
      <c r="F9" s="25" t="str">
        <f ca="1">VLOOKUP(B9,Kompilirano!AW:BD,7,FALSE)</f>
        <v>0.77 (0.01)</v>
      </c>
      <c r="G9" s="25" t="str">
        <f ca="1">VLOOKUP(B9,Kompilirano!BG:BM,7,FALSE)</f>
        <v>0.07 (0.00)</v>
      </c>
      <c r="H9" s="25" t="str">
        <f ca="1">VLOOKUP(B9,Kompilirano!BQ:BW,7,FALSE)</f>
        <v>0.08 (0.00)</v>
      </c>
    </row>
    <row r="10" spans="2:8" x14ac:dyDescent="0.25">
      <c r="B10" s="18" t="s">
        <v>75</v>
      </c>
      <c r="C10" s="22">
        <f ca="1">VLOOKUP(B10,Kompilirano!T:Z,7,FALSE)/226/5</f>
        <v>568.23716814159286</v>
      </c>
      <c r="D10" s="23">
        <f ca="1">VLOOKUP(B10,Kompilirano!J:P,7,FALSE)/226/5</f>
        <v>4.0176991150442473E-2</v>
      </c>
      <c r="E10" s="24" t="str">
        <f ca="1">VLOOKUP(B10,Kompilirano!AM:AS,7,FALSE)</f>
        <v>0.74 (0.00)</v>
      </c>
      <c r="F10" s="25" t="str">
        <f ca="1">VLOOKUP(B10,Kompilirano!AW:BD,7,FALSE)</f>
        <v>0.80 (0.00)</v>
      </c>
      <c r="G10" s="25" t="str">
        <f ca="1">VLOOKUP(B10,Kompilirano!BG:BM,7,FALSE)</f>
        <v>0.08 (0.00)</v>
      </c>
      <c r="H10" s="25" t="str">
        <f ca="1">VLOOKUP(B10,Kompilirano!BQ:BW,7,FALSE)</f>
        <v>0.09 (0.00)</v>
      </c>
    </row>
    <row r="11" spans="2:8" x14ac:dyDescent="0.25">
      <c r="B11" s="18" t="s">
        <v>74</v>
      </c>
      <c r="C11" s="22">
        <f ca="1">VLOOKUP(B11,Kompilirano!T:Z,7,FALSE)/226/5</f>
        <v>567.85221238938061</v>
      </c>
      <c r="D11" s="23">
        <f ca="1">VLOOKUP(B11,Kompilirano!J:P,7,FALSE)/226/5</f>
        <v>4.0353982300884952E-2</v>
      </c>
      <c r="E11" s="24" t="str">
        <f ca="1">VLOOKUP(B11,Kompilirano!AM:AS,7,FALSE)</f>
        <v>0.73 (0.00)</v>
      </c>
      <c r="F11" s="25" t="str">
        <f ca="1">VLOOKUP(B11,Kompilirano!AW:BD,7,FALSE)</f>
        <v>0.80 (0.01)</v>
      </c>
      <c r="G11" s="25" t="str">
        <f ca="1">VLOOKUP(B11,Kompilirano!BG:BM,7,FALSE)</f>
        <v>0.07 (0.00)</v>
      </c>
      <c r="H11" s="25" t="str">
        <f ca="1">VLOOKUP(B11,Kompilirano!BQ:BW,7,FALSE)</f>
        <v>0.08 (0.00)</v>
      </c>
    </row>
    <row r="12" spans="2:8" x14ac:dyDescent="0.25">
      <c r="B12" s="18" t="s">
        <v>76</v>
      </c>
      <c r="C12" s="22">
        <f ca="1">VLOOKUP(B12,Kompilirano!T:Z,7,FALSE)/226/5</f>
        <v>565.76991150442484</v>
      </c>
      <c r="D12" s="23">
        <f ca="1">VLOOKUP(B12,Kompilirano!J:P,7,FALSE)/226/5</f>
        <v>3.9292035398230084E-2</v>
      </c>
      <c r="E12" s="24" t="str">
        <f ca="1">VLOOKUP(B12,Kompilirano!AM:AS,7,FALSE)</f>
        <v>0.72 (0.01)</v>
      </c>
      <c r="F12" s="25" t="str">
        <f ca="1">VLOOKUP(B12,Kompilirano!AW:BD,7,FALSE)</f>
        <v>0.80 (0.01)</v>
      </c>
      <c r="G12" s="25" t="str">
        <f ca="1">VLOOKUP(B12,Kompilirano!BG:BM,7,FALSE)</f>
        <v>0.07 (0.00)</v>
      </c>
      <c r="H12" s="25" t="str">
        <f ca="1">VLOOKUP(B12,Kompilirano!BQ:BW,7,FALSE)</f>
        <v>0.08 (0.00)</v>
      </c>
    </row>
    <row r="13" spans="2:8" x14ac:dyDescent="0.25">
      <c r="B13" s="18" t="s">
        <v>77</v>
      </c>
      <c r="C13" s="22">
        <f ca="1">VLOOKUP(B13,Kompilirano!T:Z,7,FALSE)/226/5</f>
        <v>564.2610619469026</v>
      </c>
      <c r="D13" s="23">
        <f ca="1">VLOOKUP(B13,Kompilirano!J:P,7,FALSE)/226/5</f>
        <v>3.3097345132743358E-2</v>
      </c>
      <c r="E13" s="24" t="str">
        <f ca="1">VLOOKUP(B13,Kompilirano!AM:AS,7,FALSE)</f>
        <v>0.79 (0.00)</v>
      </c>
      <c r="F13" s="25" t="str">
        <f ca="1">VLOOKUP(B13,Kompilirano!AW:BD,7,FALSE)</f>
        <v>0.83 (0.01)</v>
      </c>
      <c r="G13" s="25" t="str">
        <f ca="1">VLOOKUP(B13,Kompilirano!BG:BM,7,FALSE)</f>
        <v>0.07 (0.00)</v>
      </c>
      <c r="H13" s="25" t="str">
        <f ca="1">VLOOKUP(B13,Kompilirano!BQ:BW,7,FALSE)</f>
        <v>0.07 (0.00)</v>
      </c>
    </row>
    <row r="14" spans="2:8" x14ac:dyDescent="0.25">
      <c r="B14" s="18" t="s">
        <v>78</v>
      </c>
      <c r="C14" s="22">
        <f ca="1">VLOOKUP(B14,Kompilirano!T:Z,7,FALSE)/226/5</f>
        <v>563.56017699115046</v>
      </c>
      <c r="D14" s="23">
        <f ca="1">VLOOKUP(B14,Kompilirano!J:P,7,FALSE)/226/5</f>
        <v>3.7699115044247791E-2</v>
      </c>
      <c r="E14" s="24" t="str">
        <f ca="1">VLOOKUP(B14,Kompilirano!AM:AS,7,FALSE)</f>
        <v>0.70 (0.01)</v>
      </c>
      <c r="F14" s="25" t="str">
        <f ca="1">VLOOKUP(B14,Kompilirano!AW:BD,7,FALSE)</f>
        <v>0.81 (0.00)</v>
      </c>
      <c r="G14" s="25" t="str">
        <f ca="1">VLOOKUP(B14,Kompilirano!BG:BM,7,FALSE)</f>
        <v>0.07 (0.00)</v>
      </c>
      <c r="H14" s="25" t="str">
        <f ca="1">VLOOKUP(B14,Kompilirano!BQ:BW,7,FALSE)</f>
        <v>0.07 (0.00)</v>
      </c>
    </row>
    <row r="15" spans="2:8" x14ac:dyDescent="0.25">
      <c r="B15" s="18" t="s">
        <v>79</v>
      </c>
      <c r="C15" s="22">
        <f ca="1">VLOOKUP(B15,Kompilirano!T:Z,7,FALSE)/226/5</f>
        <v>560.42831858407078</v>
      </c>
      <c r="D15" s="23">
        <f ca="1">VLOOKUP(B15,Kompilirano!J:P,7,FALSE)/226/5</f>
        <v>4.0707964601769911E-2</v>
      </c>
      <c r="E15" s="24" t="str">
        <f ca="1">VLOOKUP(B15,Kompilirano!AM:AS,7,FALSE)</f>
        <v>0.74 (0.01)</v>
      </c>
      <c r="F15" s="25" t="str">
        <f ca="1">VLOOKUP(B15,Kompilirano!AW:BD,7,FALSE)</f>
        <v>0.80 (0.01)</v>
      </c>
      <c r="G15" s="25" t="str">
        <f ca="1">VLOOKUP(B15,Kompilirano!BG:BM,7,FALSE)</f>
        <v>0.07 (0.00)</v>
      </c>
      <c r="H15" s="25" t="str">
        <f ca="1">VLOOKUP(B15,Kompilirano!BQ:BW,7,FALSE)</f>
        <v>0.08 (0.00)</v>
      </c>
    </row>
    <row r="16" spans="2:8" x14ac:dyDescent="0.25">
      <c r="B16" s="18" t="s">
        <v>80</v>
      </c>
      <c r="C16" s="22">
        <f ca="1">VLOOKUP(B16,Kompilirano!T:Z,7,FALSE)/226/5</f>
        <v>559.50265486725664</v>
      </c>
      <c r="D16" s="23">
        <f ca="1">VLOOKUP(B16,Kompilirano!J:P,7,FALSE)/226/5</f>
        <v>3.3274336283185837E-2</v>
      </c>
      <c r="E16" s="24" t="str">
        <f ca="1">VLOOKUP(B16,Kompilirano!AM:AS,7,FALSE)</f>
        <v>0.74 (0.00)</v>
      </c>
      <c r="F16" s="25" t="str">
        <f ca="1">VLOOKUP(B16,Kompilirano!AW:BD,7,FALSE)</f>
        <v>0.83 (0.00)</v>
      </c>
      <c r="G16" s="25" t="str">
        <f ca="1">VLOOKUP(B16,Kompilirano!BG:BM,7,FALSE)</f>
        <v>0.08 (0.00)</v>
      </c>
      <c r="H16" s="25" t="str">
        <f ca="1">VLOOKUP(B16,Kompilirano!BQ:BW,7,FALSE)</f>
        <v>0.09 (0.00)</v>
      </c>
    </row>
    <row r="17" spans="2:8" x14ac:dyDescent="0.25">
      <c r="B17" s="18" t="s">
        <v>82</v>
      </c>
      <c r="C17" s="22">
        <f ca="1">VLOOKUP(B17,Kompilirano!T:Z,7,FALSE)/226/5</f>
        <v>558.44601769911503</v>
      </c>
      <c r="D17" s="23">
        <f ca="1">VLOOKUP(B17,Kompilirano!J:P,7,FALSE)/226/5</f>
        <v>3.4336283185840706E-2</v>
      </c>
      <c r="E17" s="24" t="str">
        <f ca="1">VLOOKUP(B17,Kompilirano!AM:AS,7,FALSE)</f>
        <v>0.81 (0.00)</v>
      </c>
      <c r="F17" s="25" t="str">
        <f ca="1">VLOOKUP(B17,Kompilirano!AW:BD,7,FALSE)</f>
        <v>0.83 (0.00)</v>
      </c>
      <c r="G17" s="25" t="str">
        <f ca="1">VLOOKUP(B17,Kompilirano!BG:BM,7,FALSE)</f>
        <v>0.08 (0.00)</v>
      </c>
      <c r="H17" s="25" t="str">
        <f ca="1">VLOOKUP(B17,Kompilirano!BQ:BW,7,FALSE)</f>
        <v>0.08 (0.00)</v>
      </c>
    </row>
    <row r="18" spans="2:8" x14ac:dyDescent="0.25">
      <c r="B18" s="18" t="s">
        <v>83</v>
      </c>
      <c r="C18" s="22">
        <f ca="1">VLOOKUP(B18,Kompilirano!T:Z,7,FALSE)/226/5</f>
        <v>556.58318584070798</v>
      </c>
      <c r="D18" s="23">
        <f ca="1">VLOOKUP(B18,Kompilirano!J:P,7,FALSE)/226/5</f>
        <v>4.1946902654867259E-2</v>
      </c>
      <c r="E18" s="24" t="str">
        <f ca="1">VLOOKUP(B18,Kompilirano!AM:AS,7,FALSE)</f>
        <v>0.69 (0.01)</v>
      </c>
      <c r="F18" s="25" t="str">
        <f ca="1">VLOOKUP(B18,Kompilirano!AW:BD,7,FALSE)</f>
        <v>0.79 (0.00)</v>
      </c>
      <c r="G18" s="25" t="str">
        <f ca="1">VLOOKUP(B18,Kompilirano!BG:BM,7,FALSE)</f>
        <v>0.07 (0.00)</v>
      </c>
      <c r="H18" s="25" t="str">
        <f ca="1">VLOOKUP(B18,Kompilirano!BQ:BW,7,FALSE)</f>
        <v>0.08 (0.00)</v>
      </c>
    </row>
    <row r="19" spans="2:8" x14ac:dyDescent="0.25">
      <c r="B19" s="18" t="s">
        <v>84</v>
      </c>
      <c r="C19" s="22">
        <f ca="1">VLOOKUP(B19,Kompilirano!T:Z,7,FALSE)/226/5</f>
        <v>555.75929203539829</v>
      </c>
      <c r="D19" s="23">
        <f ca="1">VLOOKUP(B19,Kompilirano!J:P,7,FALSE)/226/5</f>
        <v>4.230088495575221E-2</v>
      </c>
      <c r="E19" s="24" t="str">
        <f ca="1">VLOOKUP(B19,Kompilirano!AM:AS,7,FALSE)</f>
        <v>0.76 (0.00)</v>
      </c>
      <c r="F19" s="25" t="str">
        <f ca="1">VLOOKUP(B19,Kompilirano!AW:BD,7,FALSE)</f>
        <v>0.79 (0.00)</v>
      </c>
      <c r="G19" s="25" t="str">
        <f ca="1">VLOOKUP(B19,Kompilirano!BG:BM,7,FALSE)</f>
        <v>0.08 (0.00)</v>
      </c>
      <c r="H19" s="25" t="str">
        <f ca="1">VLOOKUP(B19,Kompilirano!BQ:BW,7,FALSE)</f>
        <v>0.09 (0.00)</v>
      </c>
    </row>
    <row r="20" spans="2:8" x14ac:dyDescent="0.25">
      <c r="B20" s="18" t="s">
        <v>81</v>
      </c>
      <c r="C20" s="22">
        <f ca="1">VLOOKUP(B20,Kompilirano!T:Z,7,FALSE)/226/5</f>
        <v>555.48318584070796</v>
      </c>
      <c r="D20" s="23">
        <f ca="1">VLOOKUP(B20,Kompilirano!J:P,7,FALSE)/226/5</f>
        <v>3.9292035398230084E-2</v>
      </c>
      <c r="E20" s="24" t="str">
        <f ca="1">VLOOKUP(B20,Kompilirano!AM:AS,7,FALSE)</f>
        <v>0.73 (0.00)</v>
      </c>
      <c r="F20" s="25" t="str">
        <f ca="1">VLOOKUP(B20,Kompilirano!AW:BD,7,FALSE)</f>
        <v>0.80 (0.00)</v>
      </c>
      <c r="G20" s="25" t="str">
        <f ca="1">VLOOKUP(B20,Kompilirano!BG:BM,7,FALSE)</f>
        <v>0.07 (0.00)</v>
      </c>
      <c r="H20" s="25" t="str">
        <f ca="1">VLOOKUP(B20,Kompilirano!BQ:BW,7,FALSE)</f>
        <v>0.08 (0.00)</v>
      </c>
    </row>
    <row r="21" spans="2:8" x14ac:dyDescent="0.25">
      <c r="B21" s="18" t="s">
        <v>85</v>
      </c>
      <c r="C21" s="22">
        <f ca="1">VLOOKUP(B21,Kompilirano!T:Z,7,FALSE)/226/5</f>
        <v>553.32654867256633</v>
      </c>
      <c r="D21" s="23">
        <f ca="1">VLOOKUP(B21,Kompilirano!J:P,7,FALSE)/226/5</f>
        <v>0.15256637168141593</v>
      </c>
      <c r="E21" s="24" t="str">
        <f ca="1">VLOOKUP(B21,Kompilirano!AM:AS,7,FALSE)</f>
        <v>0.69 (0.01)</v>
      </c>
      <c r="F21" s="25" t="str">
        <f ca="1">VLOOKUP(B21,Kompilirano!AW:BD,7,FALSE)</f>
        <v>0.24 (0.00)</v>
      </c>
      <c r="G21" s="25" t="str">
        <f ca="1">VLOOKUP(B21,Kompilirano!BG:BM,7,FALSE)</f>
        <v>0.07 (0.00)</v>
      </c>
      <c r="H21" s="25" t="str">
        <f ca="1">VLOOKUP(B21,Kompilirano!BQ:BW,7,FALSE)</f>
        <v>0.08 (0.00)</v>
      </c>
    </row>
    <row r="22" spans="2:8" x14ac:dyDescent="0.25">
      <c r="B22" s="18" t="s">
        <v>86</v>
      </c>
      <c r="C22" s="22">
        <f ca="1">VLOOKUP(B22,Kompilirano!T:Z,7,FALSE)/226/5</f>
        <v>551.30265486725671</v>
      </c>
      <c r="D22" s="23">
        <f ca="1">VLOOKUP(B22,Kompilirano!J:P,7,FALSE)/226/5</f>
        <v>1.6637168141592919E-2</v>
      </c>
      <c r="E22" s="24" t="str">
        <f ca="1">VLOOKUP(B22,Kompilirano!AM:AS,7,FALSE)</f>
        <v>0.82 (0.00)</v>
      </c>
      <c r="F22" s="25" t="str">
        <f ca="1">VLOOKUP(B22,Kompilirano!AW:BD,7,FALSE)</f>
        <v>0.92 (0.00)</v>
      </c>
      <c r="G22" s="25" t="str">
        <f ca="1">VLOOKUP(B22,Kompilirano!BG:BM,7,FALSE)</f>
        <v>0.08 (0.00)</v>
      </c>
      <c r="H22" s="25" t="str">
        <f ca="1">VLOOKUP(B22,Kompilirano!BQ:BW,7,FALSE)</f>
        <v>0.09 (0.00)</v>
      </c>
    </row>
    <row r="23" spans="2:8" x14ac:dyDescent="0.25">
      <c r="B23" s="18" t="s">
        <v>91</v>
      </c>
      <c r="C23" s="22">
        <f ca="1">VLOOKUP(B23,Kompilirano!T:Z,7,FALSE)/226/5</f>
        <v>549.86106194690262</v>
      </c>
      <c r="D23" s="23">
        <f ca="1">VLOOKUP(B23,Kompilirano!J:P,7,FALSE)/226/5</f>
        <v>5.0442477876106194E-2</v>
      </c>
      <c r="E23" s="24" t="str">
        <f ca="1">VLOOKUP(B23,Kompilirano!AM:AS,7,FALSE)</f>
        <v>0.63 (0.00)</v>
      </c>
      <c r="F23" s="25" t="str">
        <f ca="1">VLOOKUP(B23,Kompilirano!AW:BD,7,FALSE)</f>
        <v>0.75 (0.01)</v>
      </c>
      <c r="G23" s="25" t="str">
        <f ca="1">VLOOKUP(B23,Kompilirano!BG:BM,7,FALSE)</f>
        <v>0.07 (0.00)</v>
      </c>
      <c r="H23" s="25" t="str">
        <f ca="1">VLOOKUP(B23,Kompilirano!BQ:BW,7,FALSE)</f>
        <v>0.08 (0.00)</v>
      </c>
    </row>
    <row r="24" spans="2:8" x14ac:dyDescent="0.25">
      <c r="B24" s="18" t="s">
        <v>87</v>
      </c>
      <c r="C24" s="22">
        <f ca="1">VLOOKUP(B24,Kompilirano!T:Z,7,FALSE)/226/5</f>
        <v>549.53716814159293</v>
      </c>
      <c r="D24" s="23">
        <f ca="1">VLOOKUP(B24,Kompilirano!J:P,7,FALSE)/226/5</f>
        <v>3.5221238938053095E-2</v>
      </c>
      <c r="E24" s="24" t="str">
        <f ca="1">VLOOKUP(B24,Kompilirano!AM:AS,7,FALSE)</f>
        <v>0.75 (0.00)</v>
      </c>
      <c r="F24" s="25" t="str">
        <f ca="1">VLOOKUP(B24,Kompilirano!AW:BD,7,FALSE)</f>
        <v>0.82 (0.01)</v>
      </c>
      <c r="G24" s="25" t="str">
        <f ca="1">VLOOKUP(B24,Kompilirano!BG:BM,7,FALSE)</f>
        <v>0.08 (0.00)</v>
      </c>
      <c r="H24" s="25" t="str">
        <f ca="1">VLOOKUP(B24,Kompilirano!BQ:BW,7,FALSE)</f>
        <v>0.09 (0.00)</v>
      </c>
    </row>
    <row r="25" spans="2:8" x14ac:dyDescent="0.25">
      <c r="B25" s="18" t="s">
        <v>89</v>
      </c>
      <c r="C25" s="22">
        <f ca="1">VLOOKUP(B25,Kompilirano!T:Z,7,FALSE)/226/5</f>
        <v>549.39734513274334</v>
      </c>
      <c r="D25" s="23">
        <f ca="1">VLOOKUP(B25,Kompilirano!J:P,7,FALSE)/226/5</f>
        <v>0.16601769911504424</v>
      </c>
      <c r="E25" s="24" t="str">
        <f ca="1">VLOOKUP(B25,Kompilirano!AM:AS,7,FALSE)</f>
        <v>0.66 (0.01)</v>
      </c>
      <c r="F25" s="25" t="str">
        <f ca="1">VLOOKUP(B25,Kompilirano!AW:BD,7,FALSE)</f>
        <v>0.17 (0.00)</v>
      </c>
      <c r="G25" s="25" t="str">
        <f ca="1">VLOOKUP(B25,Kompilirano!BG:BM,7,FALSE)</f>
        <v>0.07 (0.00)</v>
      </c>
      <c r="H25" s="25" t="str">
        <f ca="1">VLOOKUP(B25,Kompilirano!BQ:BW,7,FALSE)</f>
        <v>0.08 (0.00)</v>
      </c>
    </row>
    <row r="26" spans="2:8" x14ac:dyDescent="0.25">
      <c r="B26" s="18" t="s">
        <v>92</v>
      </c>
      <c r="C26" s="22">
        <f ca="1">VLOOKUP(B26,Kompilirano!T:Z,7,FALSE)/226/5</f>
        <v>549.15044247787614</v>
      </c>
      <c r="D26" s="23">
        <f ca="1">VLOOKUP(B26,Kompilirano!J:P,7,FALSE)/226/5</f>
        <v>4.3008849557522127E-2</v>
      </c>
      <c r="E26" s="24" t="str">
        <f ca="1">VLOOKUP(B26,Kompilirano!AM:AS,7,FALSE)</f>
        <v>0.76 (0.01)</v>
      </c>
      <c r="F26" s="25" t="str">
        <f ca="1">VLOOKUP(B26,Kompilirano!AW:BD,7,FALSE)</f>
        <v>0.78 (0.01)</v>
      </c>
      <c r="G26" s="25" t="str">
        <f ca="1">VLOOKUP(B26,Kompilirano!BG:BM,7,FALSE)</f>
        <v>0.08 (0.00)</v>
      </c>
      <c r="H26" s="25" t="str">
        <f ca="1">VLOOKUP(B26,Kompilirano!BQ:BW,7,FALSE)</f>
        <v>0.08 (0.00)</v>
      </c>
    </row>
    <row r="27" spans="2:8" x14ac:dyDescent="0.25">
      <c r="B27" s="18" t="s">
        <v>90</v>
      </c>
      <c r="C27" s="22">
        <f ca="1">VLOOKUP(B27,Kompilirano!T:Z,7,FALSE)/226/5</f>
        <v>547.07256637168143</v>
      </c>
      <c r="D27" s="23">
        <f ca="1">VLOOKUP(B27,Kompilirano!J:P,7,FALSE)/226/5</f>
        <v>0.16</v>
      </c>
      <c r="E27" s="24" t="str">
        <f ca="1">VLOOKUP(B27,Kompilirano!AM:AS,7,FALSE)</f>
        <v>0.65 (0.00)</v>
      </c>
      <c r="F27" s="25" t="str">
        <f ca="1">VLOOKUP(B27,Kompilirano!AW:BD,7,FALSE)</f>
        <v>0.20 (0.00)</v>
      </c>
      <c r="G27" s="25" t="str">
        <f ca="1">VLOOKUP(B27,Kompilirano!BG:BM,7,FALSE)</f>
        <v>0.07 (0.00)</v>
      </c>
      <c r="H27" s="25" t="str">
        <f ca="1">VLOOKUP(B27,Kompilirano!BQ:BW,7,FALSE)</f>
        <v>0.08 (0.00)</v>
      </c>
    </row>
    <row r="28" spans="2:8" x14ac:dyDescent="0.25">
      <c r="B28" s="18" t="s">
        <v>95</v>
      </c>
      <c r="C28" s="22">
        <f ca="1">VLOOKUP(B28,Kompilirano!T:Z,7,FALSE)/226/5</f>
        <v>547.02477876106195</v>
      </c>
      <c r="D28" s="23">
        <f ca="1">VLOOKUP(B28,Kompilirano!J:P,7,FALSE)/226/5</f>
        <v>2.3008849557522124E-2</v>
      </c>
      <c r="E28" s="24" t="str">
        <f ca="1">VLOOKUP(B28,Kompilirano!AM:AS,7,FALSE)</f>
        <v>0.80 (0.01)</v>
      </c>
      <c r="F28" s="25" t="str">
        <f ca="1">VLOOKUP(B28,Kompilirano!AW:BD,7,FALSE)</f>
        <v>0.88 (0.01)</v>
      </c>
      <c r="G28" s="25" t="str">
        <f ca="1">VLOOKUP(B28,Kompilirano!BG:BM,7,FALSE)</f>
        <v>0.08 (0.00)</v>
      </c>
      <c r="H28" s="25" t="str">
        <f ca="1">VLOOKUP(B28,Kompilirano!BQ:BW,7,FALSE)</f>
        <v>0.09 (0.00)</v>
      </c>
    </row>
    <row r="29" spans="2:8" x14ac:dyDescent="0.25">
      <c r="B29" s="18" t="s">
        <v>94</v>
      </c>
      <c r="C29" s="22">
        <f ca="1">VLOOKUP(B29,Kompilirano!T:Z,7,FALSE)/226/5</f>
        <v>546.65840707964594</v>
      </c>
      <c r="D29" s="23">
        <f ca="1">VLOOKUP(B29,Kompilirano!J:P,7,FALSE)/226/5</f>
        <v>4.0530973451327432E-2</v>
      </c>
      <c r="E29" s="24" t="str">
        <f ca="1">VLOOKUP(B29,Kompilirano!AM:AS,7,FALSE)</f>
        <v>0.68 (0.00)</v>
      </c>
      <c r="F29" s="25" t="str">
        <f ca="1">VLOOKUP(B29,Kompilirano!AW:BD,7,FALSE)</f>
        <v>0.80 (0.00)</v>
      </c>
      <c r="G29" s="25" t="str">
        <f ca="1">VLOOKUP(B29,Kompilirano!BG:BM,7,FALSE)</f>
        <v>0.07 (0.00)</v>
      </c>
      <c r="H29" s="25" t="str">
        <f ca="1">VLOOKUP(B29,Kompilirano!BQ:BW,7,FALSE)</f>
        <v>0.08 (0.00)</v>
      </c>
    </row>
    <row r="30" spans="2:8" x14ac:dyDescent="0.25">
      <c r="B30" s="18" t="s">
        <v>88</v>
      </c>
      <c r="C30" s="22">
        <f ca="1">VLOOKUP(B30,Kompilirano!T:Z,7,FALSE)/226/5</f>
        <v>546.64955752212393</v>
      </c>
      <c r="D30" s="23">
        <f ca="1">VLOOKUP(B30,Kompilirano!J:P,7,FALSE)/226/5</f>
        <v>4.1415929203539821E-2</v>
      </c>
      <c r="E30" s="24" t="str">
        <f ca="1">VLOOKUP(B30,Kompilirano!AM:AS,7,FALSE)</f>
        <v>0.68 (0.00)</v>
      </c>
      <c r="F30" s="25" t="str">
        <f ca="1">VLOOKUP(B30,Kompilirano!AW:BD,7,FALSE)</f>
        <v>0.79 (0.00)</v>
      </c>
      <c r="G30" s="25" t="str">
        <f ca="1">VLOOKUP(B30,Kompilirano!BG:BM,7,FALSE)</f>
        <v>0.07 (0.00)</v>
      </c>
      <c r="H30" s="25" t="str">
        <f ca="1">VLOOKUP(B30,Kompilirano!BQ:BW,7,FALSE)</f>
        <v>0.07 (0.00)</v>
      </c>
    </row>
    <row r="31" spans="2:8" x14ac:dyDescent="0.25">
      <c r="B31" s="18" t="s">
        <v>93</v>
      </c>
      <c r="C31" s="22">
        <f ca="1">VLOOKUP(B31,Kompilirano!T:Z,7,FALSE)/226/5</f>
        <v>546.22123893805315</v>
      </c>
      <c r="D31" s="23">
        <f ca="1">VLOOKUP(B31,Kompilirano!J:P,7,FALSE)/226/5</f>
        <v>3.7522123893805312E-2</v>
      </c>
      <c r="E31" s="24" t="str">
        <f ca="1">VLOOKUP(B31,Kompilirano!AM:AS,7,FALSE)</f>
        <v>0.68 (0.01)</v>
      </c>
      <c r="F31" s="25" t="str">
        <f ca="1">VLOOKUP(B31,Kompilirano!AW:BD,7,FALSE)</f>
        <v>0.81 (0.01)</v>
      </c>
      <c r="G31" s="25" t="str">
        <f ca="1">VLOOKUP(B31,Kompilirano!BG:BM,7,FALSE)</f>
        <v>0.07 (0.00)</v>
      </c>
      <c r="H31" s="25" t="str">
        <f ca="1">VLOOKUP(B31,Kompilirano!BQ:BW,7,FALSE)</f>
        <v>0.08 (0.00)</v>
      </c>
    </row>
    <row r="32" spans="2:8" x14ac:dyDescent="0.25">
      <c r="B32" s="18" t="s">
        <v>102</v>
      </c>
      <c r="C32" s="22">
        <f ca="1">VLOOKUP(B32,Kompilirano!T:Z,7,FALSE)/226/5</f>
        <v>543.72743362831864</v>
      </c>
      <c r="D32" s="23">
        <f ca="1">VLOOKUP(B32,Kompilirano!J:P,7,FALSE)/226/5</f>
        <v>1.8938053097345132E-2</v>
      </c>
      <c r="E32" s="24" t="str">
        <f ca="1">VLOOKUP(B32,Kompilirano!AM:AS,7,FALSE)</f>
        <v>0.82 (0.01)</v>
      </c>
      <c r="F32" s="25" t="str">
        <f ca="1">VLOOKUP(B32,Kompilirano!AW:BD,7,FALSE)</f>
        <v>0.91 (0.00)</v>
      </c>
      <c r="G32" s="25" t="str">
        <f ca="1">VLOOKUP(B32,Kompilirano!BG:BM,7,FALSE)</f>
        <v>0.08 (0.00)</v>
      </c>
      <c r="H32" s="25" t="str">
        <f ca="1">VLOOKUP(B32,Kompilirano!BQ:BW,7,FALSE)</f>
        <v>0.09 (0.00)</v>
      </c>
    </row>
    <row r="33" spans="2:8" x14ac:dyDescent="0.25">
      <c r="B33" s="18" t="s">
        <v>103</v>
      </c>
      <c r="C33" s="22">
        <f ca="1">VLOOKUP(B33,Kompilirano!T:Z,7,FALSE)/226/5</f>
        <v>543.36991150442486</v>
      </c>
      <c r="D33" s="23">
        <f ca="1">VLOOKUP(B33,Kompilirano!J:P,7,FALSE)/226/5</f>
        <v>2.4778761061946902E-2</v>
      </c>
      <c r="E33" s="24" t="str">
        <f ca="1">VLOOKUP(B33,Kompilirano!AM:AS,7,FALSE)</f>
        <v>0.76 (0.01)</v>
      </c>
      <c r="F33" s="25" t="str">
        <f ca="1">VLOOKUP(B33,Kompilirano!AW:BD,7,FALSE)</f>
        <v>0.88 (0.02)</v>
      </c>
      <c r="G33" s="25" t="str">
        <f ca="1">VLOOKUP(B33,Kompilirano!BG:BM,7,FALSE)</f>
        <v>0.08 (0.00)</v>
      </c>
      <c r="H33" s="25" t="str">
        <f ca="1">VLOOKUP(B33,Kompilirano!BQ:BW,7,FALSE)</f>
        <v>0.09 (0.00)</v>
      </c>
    </row>
    <row r="34" spans="2:8" x14ac:dyDescent="0.25">
      <c r="B34" s="18" t="s">
        <v>14</v>
      </c>
      <c r="C34" s="22">
        <f ca="1">VLOOKUP(B34,Kompilirano!T:Z,7,FALSE)/226/5</f>
        <v>543.14070796460169</v>
      </c>
      <c r="D34" s="23">
        <f ca="1">VLOOKUP(B34,Kompilirano!J:P,7,FALSE)/226/5</f>
        <v>3.8938053097345132E-2</v>
      </c>
      <c r="E34" s="24" t="str">
        <f ca="1">VLOOKUP(B34,Kompilirano!AM:AS,7,FALSE)</f>
        <v>0.74 (0.00)</v>
      </c>
      <c r="F34" s="25" t="str">
        <f ca="1">VLOOKUP(B34,Kompilirano!AW:BD,7,FALSE)</f>
        <v>0.81 (0.00)</v>
      </c>
      <c r="G34" s="25" t="str">
        <f ca="1">VLOOKUP(B34,Kompilirano!BG:BM,7,FALSE)</f>
        <v>0.08 (0.00)</v>
      </c>
      <c r="H34" s="25" t="str">
        <f ca="1">VLOOKUP(B34,Kompilirano!BQ:BW,7,FALSE)</f>
        <v>0.08 (0.00)</v>
      </c>
    </row>
    <row r="35" spans="2:8" x14ac:dyDescent="0.25">
      <c r="B35" s="18" t="s">
        <v>98</v>
      </c>
      <c r="C35" s="22">
        <f ca="1">VLOOKUP(B35,Kompilirano!T:Z,7,FALSE)/226/5</f>
        <v>542.54778761061948</v>
      </c>
      <c r="D35" s="23">
        <f ca="1">VLOOKUP(B35,Kompilirano!J:P,7,FALSE)/226/5</f>
        <v>5.0088495575221235E-2</v>
      </c>
      <c r="E35" s="24" t="str">
        <f ca="1">VLOOKUP(B35,Kompilirano!AM:AS,7,FALSE)</f>
        <v>0.63 (0.01)</v>
      </c>
      <c r="F35" s="25" t="str">
        <f ca="1">VLOOKUP(B35,Kompilirano!AW:BD,7,FALSE)</f>
        <v>0.75 (0.01)</v>
      </c>
      <c r="G35" s="25" t="str">
        <f ca="1">VLOOKUP(B35,Kompilirano!BG:BM,7,FALSE)</f>
        <v>0.07 (0.00)</v>
      </c>
      <c r="H35" s="25" t="str">
        <f ca="1">VLOOKUP(B35,Kompilirano!BQ:BW,7,FALSE)</f>
        <v>0.07 (0.00)</v>
      </c>
    </row>
    <row r="36" spans="2:8" x14ac:dyDescent="0.25">
      <c r="B36" s="18" t="s">
        <v>101</v>
      </c>
      <c r="C36" s="22">
        <f ca="1">VLOOKUP(B36,Kompilirano!T:Z,7,FALSE)/226/5</f>
        <v>542.44601769911503</v>
      </c>
      <c r="D36" s="23">
        <f ca="1">VLOOKUP(B36,Kompilirano!J:P,7,FALSE)/226/5</f>
        <v>6.1415929203539832E-2</v>
      </c>
      <c r="E36" s="24" t="str">
        <f ca="1">VLOOKUP(B36,Kompilirano!AM:AS,7,FALSE)</f>
        <v>0.60 (0.00)</v>
      </c>
      <c r="F36" s="25" t="str">
        <f ca="1">VLOOKUP(B36,Kompilirano!AW:BD,7,FALSE)</f>
        <v>0.69 (0.01)</v>
      </c>
      <c r="G36" s="25" t="str">
        <f ca="1">VLOOKUP(B36,Kompilirano!BG:BM,7,FALSE)</f>
        <v>0.06 (0.00)</v>
      </c>
      <c r="H36" s="25" t="str">
        <f ca="1">VLOOKUP(B36,Kompilirano!BQ:BW,7,FALSE)</f>
        <v>0.07 (0.00)</v>
      </c>
    </row>
    <row r="37" spans="2:8" x14ac:dyDescent="0.25">
      <c r="B37" s="18" t="s">
        <v>97</v>
      </c>
      <c r="C37" s="22">
        <f ca="1">VLOOKUP(B37,Kompilirano!T:Z,7,FALSE)/226/5</f>
        <v>542.43628318584069</v>
      </c>
      <c r="D37" s="23">
        <f ca="1">VLOOKUP(B37,Kompilirano!J:P,7,FALSE)/226/5</f>
        <v>4.4955752212389379E-2</v>
      </c>
      <c r="E37" s="24" t="str">
        <f ca="1">VLOOKUP(B37,Kompilirano!AM:AS,7,FALSE)</f>
        <v>0.68 (0.00)</v>
      </c>
      <c r="F37" s="25" t="str">
        <f ca="1">VLOOKUP(B37,Kompilirano!AW:BD,7,FALSE)</f>
        <v>0.78 (0.01)</v>
      </c>
      <c r="G37" s="25" t="str">
        <f ca="1">VLOOKUP(B37,Kompilirano!BG:BM,7,FALSE)</f>
        <v>0.07 (0.00)</v>
      </c>
      <c r="H37" s="25" t="str">
        <f ca="1">VLOOKUP(B37,Kompilirano!BQ:BW,7,FALSE)</f>
        <v>0.08 (0.00)</v>
      </c>
    </row>
    <row r="38" spans="2:8" x14ac:dyDescent="0.25">
      <c r="B38" s="18" t="s">
        <v>96</v>
      </c>
      <c r="C38" s="22">
        <f ca="1">VLOOKUP(B38,Kompilirano!T:Z,7,FALSE)/226/5</f>
        <v>541.17876106194694</v>
      </c>
      <c r="D38" s="23">
        <f ca="1">VLOOKUP(B38,Kompilirano!J:P,7,FALSE)/226/5</f>
        <v>0.16672566371681416</v>
      </c>
      <c r="E38" s="24" t="str">
        <f ca="1">VLOOKUP(B38,Kompilirano!AM:AS,7,FALSE)</f>
        <v>0.61 (0.01)</v>
      </c>
      <c r="F38" s="25" t="str">
        <f ca="1">VLOOKUP(B38,Kompilirano!AW:BD,7,FALSE)</f>
        <v>0.17 (0.00)</v>
      </c>
      <c r="G38" s="25" t="str">
        <f ca="1">VLOOKUP(B38,Kompilirano!BG:BM,7,FALSE)</f>
        <v>0.06 (0.00)</v>
      </c>
      <c r="H38" s="25" t="str">
        <f ca="1">VLOOKUP(B38,Kompilirano!BQ:BW,7,FALSE)</f>
        <v>0.07 (0.00)</v>
      </c>
    </row>
    <row r="39" spans="2:8" x14ac:dyDescent="0.25">
      <c r="B39" s="18" t="s">
        <v>110</v>
      </c>
      <c r="C39" s="22">
        <f ca="1">VLOOKUP(B39,Kompilirano!T:Z,7,FALSE)/226/5</f>
        <v>540.02743362831859</v>
      </c>
      <c r="D39" s="23">
        <f ca="1">VLOOKUP(B39,Kompilirano!J:P,7,FALSE)/226/5</f>
        <v>6.1769911504424777E-2</v>
      </c>
      <c r="E39" s="24" t="str">
        <f ca="1">VLOOKUP(B39,Kompilirano!AM:AS,7,FALSE)</f>
        <v>0.58 (0.00)</v>
      </c>
      <c r="F39" s="25" t="str">
        <f ca="1">VLOOKUP(B39,Kompilirano!AW:BD,7,FALSE)</f>
        <v>0.69 (0.01)</v>
      </c>
      <c r="G39" s="25" t="str">
        <f ca="1">VLOOKUP(B39,Kompilirano!BG:BM,7,FALSE)</f>
        <v>0.06 (0.00)</v>
      </c>
      <c r="H39" s="25" t="str">
        <f ca="1">VLOOKUP(B39,Kompilirano!BQ:BW,7,FALSE)</f>
        <v>0.07 (0.00)</v>
      </c>
    </row>
    <row r="40" spans="2:8" x14ac:dyDescent="0.25">
      <c r="B40" s="18" t="s">
        <v>99</v>
      </c>
      <c r="C40" s="22">
        <f ca="1">VLOOKUP(B40,Kompilirano!T:Z,7,FALSE)/226/5</f>
        <v>539.78672566371677</v>
      </c>
      <c r="D40" s="23">
        <f ca="1">VLOOKUP(B40,Kompilirano!J:P,7,FALSE)/226/5</f>
        <v>0</v>
      </c>
      <c r="E40" s="24" t="str">
        <f ca="1">VLOOKUP(B40,Kompilirano!AM:AS,7,FALSE)</f>
        <v>0.87 (0.00)</v>
      </c>
      <c r="F40" s="25" t="str">
        <f ca="1">VLOOKUP(B40,Kompilirano!AW:BD,7,FALSE)</f>
        <v>1.00 (0.00)</v>
      </c>
      <c r="G40" s="25" t="str">
        <f ca="1">VLOOKUP(B40,Kompilirano!BG:BM,7,FALSE)</f>
        <v>0.08 (0.00)</v>
      </c>
      <c r="H40" s="25" t="str">
        <f ca="1">VLOOKUP(B40,Kompilirano!BQ:BW,7,FALSE)</f>
        <v>0.09 (0.00)</v>
      </c>
    </row>
    <row r="41" spans="2:8" x14ac:dyDescent="0.25">
      <c r="B41" s="18" t="s">
        <v>104</v>
      </c>
      <c r="C41" s="22">
        <f ca="1">VLOOKUP(B41,Kompilirano!T:Z,7,FALSE)/226/5</f>
        <v>539.77079646017705</v>
      </c>
      <c r="D41" s="23">
        <f ca="1">VLOOKUP(B41,Kompilirano!J:P,7,FALSE)/226/5</f>
        <v>3.0265486725663721E-2</v>
      </c>
      <c r="E41" s="24" t="str">
        <f ca="1">VLOOKUP(B41,Kompilirano!AM:AS,7,FALSE)</f>
        <v>0.77 (0.01)</v>
      </c>
      <c r="F41" s="25" t="str">
        <f ca="1">VLOOKUP(B41,Kompilirano!AW:BD,7,FALSE)</f>
        <v>0.85 (0.01)</v>
      </c>
      <c r="G41" s="25" t="str">
        <f ca="1">VLOOKUP(B41,Kompilirano!BG:BM,7,FALSE)</f>
        <v>0.08 (0.00)</v>
      </c>
      <c r="H41" s="25" t="str">
        <f ca="1">VLOOKUP(B41,Kompilirano!BQ:BW,7,FALSE)</f>
        <v>0.09 (0.00)</v>
      </c>
    </row>
    <row r="42" spans="2:8" x14ac:dyDescent="0.25">
      <c r="B42" s="18" t="s">
        <v>100</v>
      </c>
      <c r="C42" s="22">
        <f ca="1">VLOOKUP(B42,Kompilirano!T:Z,7,FALSE)/226/5</f>
        <v>538.59203539823011</v>
      </c>
      <c r="D42" s="23">
        <f ca="1">VLOOKUP(B42,Kompilirano!J:P,7,FALSE)/226/5</f>
        <v>9.4159292035398232E-2</v>
      </c>
      <c r="E42" s="24" t="str">
        <f ca="1">VLOOKUP(B42,Kompilirano!AM:AS,7,FALSE)</f>
        <v>0.56 (0.01)</v>
      </c>
      <c r="F42" s="25" t="str">
        <f ca="1">VLOOKUP(B42,Kompilirano!AW:BD,7,FALSE)</f>
        <v>0.53 (0.00)</v>
      </c>
      <c r="G42" s="25" t="str">
        <f ca="1">VLOOKUP(B42,Kompilirano!BG:BM,7,FALSE)</f>
        <v>0.06 (0.00)</v>
      </c>
      <c r="H42" s="25" t="str">
        <f ca="1">VLOOKUP(B42,Kompilirano!BQ:BW,7,FALSE)</f>
        <v>0.03 (0.00)</v>
      </c>
    </row>
    <row r="43" spans="2:8" x14ac:dyDescent="0.25">
      <c r="B43" s="18" t="s">
        <v>106</v>
      </c>
      <c r="C43" s="22">
        <f ca="1">VLOOKUP(B43,Kompilirano!T:Z,7,FALSE)/226/5</f>
        <v>537.88318584070794</v>
      </c>
      <c r="D43" s="23">
        <f ca="1">VLOOKUP(B43,Kompilirano!J:P,7,FALSE)/226/5</f>
        <v>5.6460176991150433E-2</v>
      </c>
      <c r="E43" s="24" t="str">
        <f ca="1">VLOOKUP(B43,Kompilirano!AM:AS,7,FALSE)</f>
        <v>0.62 (0.00)</v>
      </c>
      <c r="F43" s="25" t="str">
        <f ca="1">VLOOKUP(B43,Kompilirano!AW:BD,7,FALSE)</f>
        <v>0.72 (0.00)</v>
      </c>
      <c r="G43" s="25" t="str">
        <f ca="1">VLOOKUP(B43,Kompilirano!BG:BM,7,FALSE)</f>
        <v>0.07 (0.00)</v>
      </c>
      <c r="H43" s="25" t="str">
        <f ca="1">VLOOKUP(B43,Kompilirano!BQ:BW,7,FALSE)</f>
        <v>0.07 (0.00)</v>
      </c>
    </row>
    <row r="44" spans="2:8" x14ac:dyDescent="0.25">
      <c r="B44" s="18" t="s">
        <v>107</v>
      </c>
      <c r="C44" s="22">
        <f ca="1">VLOOKUP(B44,Kompilirano!T:Z,7,FALSE)/226/5</f>
        <v>536.63274336283189</v>
      </c>
      <c r="D44" s="23">
        <f ca="1">VLOOKUP(B44,Kompilirano!J:P,7,FALSE)/226/5</f>
        <v>4.0176991150442473E-2</v>
      </c>
      <c r="E44" s="24" t="str">
        <f ca="1">VLOOKUP(B44,Kompilirano!AM:AS,7,FALSE)</f>
        <v>0.68 (0.00)</v>
      </c>
      <c r="F44" s="25" t="str">
        <f ca="1">VLOOKUP(B44,Kompilirano!AW:BD,7,FALSE)</f>
        <v>0.80 (0.01)</v>
      </c>
      <c r="G44" s="25" t="str">
        <f ca="1">VLOOKUP(B44,Kompilirano!BG:BM,7,FALSE)</f>
        <v>0.07 (0.00)</v>
      </c>
      <c r="H44" s="25" t="str">
        <f ca="1">VLOOKUP(B44,Kompilirano!BQ:BW,7,FALSE)</f>
        <v>0.08 (0.00)</v>
      </c>
    </row>
    <row r="45" spans="2:8" x14ac:dyDescent="0.25">
      <c r="B45" s="18" t="s">
        <v>112</v>
      </c>
      <c r="C45" s="22">
        <f ca="1">VLOOKUP(B45,Kompilirano!T:Z,7,FALSE)/226/5</f>
        <v>535.74159292035404</v>
      </c>
      <c r="D45" s="23">
        <f ca="1">VLOOKUP(B45,Kompilirano!J:P,7,FALSE)/226/5</f>
        <v>0</v>
      </c>
      <c r="E45" s="24" t="str">
        <f ca="1">VLOOKUP(B45,Kompilirano!AM:AS,7,FALSE)</f>
        <v>0.84 (0.01)</v>
      </c>
      <c r="F45" s="25" t="str">
        <f ca="1">VLOOKUP(B45,Kompilirano!AW:BD,7,FALSE)</f>
        <v>1.00 (0.00)</v>
      </c>
      <c r="G45" s="25" t="str">
        <f ca="1">VLOOKUP(B45,Kompilirano!BG:BM,7,FALSE)</f>
        <v>0.08 (0.00)</v>
      </c>
      <c r="H45" s="25" t="str">
        <f ca="1">VLOOKUP(B45,Kompilirano!BQ:BW,7,FALSE)</f>
        <v>0.09 (0.00)</v>
      </c>
    </row>
    <row r="46" spans="2:8" x14ac:dyDescent="0.25">
      <c r="B46" s="18" t="s">
        <v>105</v>
      </c>
      <c r="C46" s="22">
        <f ca="1">VLOOKUP(B46,Kompilirano!T:Z,7,FALSE)/226/5</f>
        <v>535.38141592920351</v>
      </c>
      <c r="D46" s="23">
        <f ca="1">VLOOKUP(B46,Kompilirano!J:P,7,FALSE)/226/5</f>
        <v>1.2920353982300884E-2</v>
      </c>
      <c r="E46" s="24" t="str">
        <f ca="1">VLOOKUP(B46,Kompilirano!AM:AS,7,FALSE)</f>
        <v>0.79 (0.00)</v>
      </c>
      <c r="F46" s="25" t="str">
        <f ca="1">VLOOKUP(B46,Kompilirano!AW:BD,7,FALSE)</f>
        <v>0.94 (0.00)</v>
      </c>
      <c r="G46" s="25" t="str">
        <f ca="1">VLOOKUP(B46,Kompilirano!BG:BM,7,FALSE)</f>
        <v>0.08 (0.00)</v>
      </c>
      <c r="H46" s="25" t="str">
        <f ca="1">VLOOKUP(B46,Kompilirano!BQ:BW,7,FALSE)</f>
        <v>0.09 (0.00)</v>
      </c>
    </row>
    <row r="47" spans="2:8" x14ac:dyDescent="0.25">
      <c r="B47" s="18" t="s">
        <v>108</v>
      </c>
      <c r="C47" s="22">
        <f ca="1">VLOOKUP(B47,Kompilirano!T:Z,7,FALSE)/226/5</f>
        <v>535.21415929203545</v>
      </c>
      <c r="D47" s="23">
        <f ca="1">VLOOKUP(B47,Kompilirano!J:P,7,FALSE)/226/5</f>
        <v>3.1150442477876111E-2</v>
      </c>
      <c r="E47" s="24" t="str">
        <f ca="1">VLOOKUP(B47,Kompilirano!AM:AS,7,FALSE)</f>
        <v>0.79 (0.00)</v>
      </c>
      <c r="F47" s="25" t="str">
        <f ca="1">VLOOKUP(B47,Kompilirano!AW:BD,7,FALSE)</f>
        <v>0.84 (0.01)</v>
      </c>
      <c r="G47" s="25" t="str">
        <f ca="1">VLOOKUP(B47,Kompilirano!BG:BM,7,FALSE)</f>
        <v>0.08 (0.00)</v>
      </c>
      <c r="H47" s="25" t="str">
        <f ca="1">VLOOKUP(B47,Kompilirano!BQ:BW,7,FALSE)</f>
        <v>0.08 (0.00)</v>
      </c>
    </row>
    <row r="48" spans="2:8" x14ac:dyDescent="0.25">
      <c r="B48" s="18" t="s">
        <v>109</v>
      </c>
      <c r="C48" s="22">
        <f ca="1">VLOOKUP(B48,Kompilirano!T:Z,7,FALSE)/226/5</f>
        <v>534.40530973451325</v>
      </c>
      <c r="D48" s="23">
        <f ca="1">VLOOKUP(B48,Kompilirano!J:P,7,FALSE)/226/5</f>
        <v>3.6637168141592916E-2</v>
      </c>
      <c r="E48" s="24" t="str">
        <f ca="1">VLOOKUP(B48,Kompilirano!AM:AS,7,FALSE)</f>
        <v>0.76 (0.01)</v>
      </c>
      <c r="F48" s="25" t="str">
        <f ca="1">VLOOKUP(B48,Kompilirano!AW:BD,7,FALSE)</f>
        <v>0.82 (0.01)</v>
      </c>
      <c r="G48" s="25" t="str">
        <f ca="1">VLOOKUP(B48,Kompilirano!BG:BM,7,FALSE)</f>
        <v>0.08 (0.00)</v>
      </c>
      <c r="H48" s="25" t="str">
        <f ca="1">VLOOKUP(B48,Kompilirano!BQ:BW,7,FALSE)</f>
        <v>0.09 (0.00)</v>
      </c>
    </row>
    <row r="49" spans="2:8" x14ac:dyDescent="0.25">
      <c r="B49" s="18" t="s">
        <v>111</v>
      </c>
      <c r="C49" s="22">
        <f ca="1">VLOOKUP(B49,Kompilirano!T:Z,7,FALSE)/226/5</f>
        <v>534.20530973451321</v>
      </c>
      <c r="D49" s="23">
        <f ca="1">VLOOKUP(B49,Kompilirano!J:P,7,FALSE)/226/5</f>
        <v>3.2389380530973455E-2</v>
      </c>
      <c r="E49" s="24" t="str">
        <f ca="1">VLOOKUP(B49,Kompilirano!AM:AS,7,FALSE)</f>
        <v>0.82 (0.00)</v>
      </c>
      <c r="F49" s="25" t="str">
        <f ca="1">VLOOKUP(B49,Kompilirano!AW:BD,7,FALSE)</f>
        <v>0.84 (0.01)</v>
      </c>
      <c r="G49" s="25" t="str">
        <f ca="1">VLOOKUP(B49,Kompilirano!BG:BM,7,FALSE)</f>
        <v>0.08 (0.00)</v>
      </c>
      <c r="H49" s="25" t="str">
        <f ca="1">VLOOKUP(B49,Kompilirano!BQ:BW,7,FALSE)</f>
        <v>0.08 (0.00)</v>
      </c>
    </row>
    <row r="50" spans="2:8" x14ac:dyDescent="0.25">
      <c r="B50" s="18" t="s">
        <v>118</v>
      </c>
      <c r="C50" s="22">
        <f ca="1">VLOOKUP(B50,Kompilirano!T:Z,7,FALSE)/226/5</f>
        <v>533.96991150442477</v>
      </c>
      <c r="D50" s="23">
        <f ca="1">VLOOKUP(B50,Kompilirano!J:P,7,FALSE)/226/5</f>
        <v>4.5132743362831858E-2</v>
      </c>
      <c r="E50" s="24" t="str">
        <f ca="1">VLOOKUP(B50,Kompilirano!AM:AS,7,FALSE)</f>
        <v>0.69 (0.00)</v>
      </c>
      <c r="F50" s="25" t="str">
        <f ca="1">VLOOKUP(B50,Kompilirano!AW:BD,7,FALSE)</f>
        <v>0.77 (0.00)</v>
      </c>
      <c r="G50" s="25" t="str">
        <f ca="1">VLOOKUP(B50,Kompilirano!BG:BM,7,FALSE)</f>
        <v>0.07 (0.00)</v>
      </c>
      <c r="H50" s="25" t="str">
        <f ca="1">VLOOKUP(B50,Kompilirano!BQ:BW,7,FALSE)</f>
        <v>0.08 (0.00)</v>
      </c>
    </row>
    <row r="51" spans="2:8" x14ac:dyDescent="0.25">
      <c r="B51" s="18" t="s">
        <v>117</v>
      </c>
      <c r="C51" s="22">
        <f ca="1">VLOOKUP(B51,Kompilirano!T:Z,7,FALSE)/226/5</f>
        <v>533.78761061946909</v>
      </c>
      <c r="D51" s="23">
        <f ca="1">VLOOKUP(B51,Kompilirano!J:P,7,FALSE)/226/5</f>
        <v>3.3274336283185837E-2</v>
      </c>
      <c r="E51" s="24" t="str">
        <f ca="1">VLOOKUP(B51,Kompilirano!AM:AS,7,FALSE)</f>
        <v>0.74 (0.01)</v>
      </c>
      <c r="F51" s="25" t="str">
        <f ca="1">VLOOKUP(B51,Kompilirano!AW:BD,7,FALSE)</f>
        <v>0.83 (0.00)</v>
      </c>
      <c r="G51" s="25" t="str">
        <f ca="1">VLOOKUP(B51,Kompilirano!BG:BM,7,FALSE)</f>
        <v>0.08 (0.00)</v>
      </c>
      <c r="H51" s="25" t="str">
        <f ca="1">VLOOKUP(B51,Kompilirano!BQ:BW,7,FALSE)</f>
        <v>0.09 (0.00)</v>
      </c>
    </row>
    <row r="52" spans="2:8" x14ac:dyDescent="0.25">
      <c r="B52" s="18" t="s">
        <v>114</v>
      </c>
      <c r="C52" s="22">
        <f ca="1">VLOOKUP(B52,Kompilirano!T:Z,7,FALSE)/226/5</f>
        <v>533.43893805309733</v>
      </c>
      <c r="D52" s="23">
        <f ca="1">VLOOKUP(B52,Kompilirano!J:P,7,FALSE)/226/5</f>
        <v>5.9292035398230095E-2</v>
      </c>
      <c r="E52" s="24" t="str">
        <f ca="1">VLOOKUP(B52,Kompilirano!AM:AS,7,FALSE)</f>
        <v>0.58 (0.00)</v>
      </c>
      <c r="F52" s="25" t="str">
        <f ca="1">VLOOKUP(B52,Kompilirano!AW:BD,7,FALSE)</f>
        <v>0.70 (0.00)</v>
      </c>
      <c r="G52" s="25" t="str">
        <f ca="1">VLOOKUP(B52,Kompilirano!BG:BM,7,FALSE)</f>
        <v>0.06 (0.00)</v>
      </c>
      <c r="H52" s="25" t="str">
        <f ca="1">VLOOKUP(B52,Kompilirano!BQ:BW,7,FALSE)</f>
        <v>0.07 (0.00)</v>
      </c>
    </row>
    <row r="53" spans="2:8" x14ac:dyDescent="0.25">
      <c r="B53" s="18" t="s">
        <v>9</v>
      </c>
      <c r="C53" s="22">
        <f ca="1">VLOOKUP(B53,Kompilirano!T:Z,7,FALSE)/226/5</f>
        <v>533.16194690265479</v>
      </c>
      <c r="D53" s="23">
        <f ca="1">VLOOKUP(B53,Kompilirano!J:P,7,FALSE)/226/5</f>
        <v>0.15699115044247788</v>
      </c>
      <c r="E53" s="24" t="str">
        <f ca="1">VLOOKUP(B53,Kompilirano!AM:AS,7,FALSE)</f>
        <v>0.76 (0.00)</v>
      </c>
      <c r="F53" s="25" t="str">
        <f ca="1">VLOOKUP(B53,Kompilirano!AW:BD,7,FALSE)</f>
        <v>0.22 (0.01)</v>
      </c>
      <c r="G53" s="25" t="str">
        <f ca="1">VLOOKUP(B53,Kompilirano!BG:BM,7,FALSE)</f>
        <v>0.08 (0.00)</v>
      </c>
      <c r="H53" s="25" t="str">
        <f ca="1">VLOOKUP(B53,Kompilirano!BQ:BW,7,FALSE)</f>
        <v>0.09 (0.00)</v>
      </c>
    </row>
    <row r="54" spans="2:8" x14ac:dyDescent="0.25">
      <c r="B54" s="18" t="s">
        <v>121</v>
      </c>
      <c r="C54" s="22">
        <f ca="1">VLOOKUP(B54,Kompilirano!T:Z,7,FALSE)/226/5</f>
        <v>533.09292035398232</v>
      </c>
      <c r="D54" s="23">
        <f ca="1">VLOOKUP(B54,Kompilirano!J:P,7,FALSE)/226/5</f>
        <v>0</v>
      </c>
      <c r="E54" s="24" t="str">
        <f ca="1">VLOOKUP(B54,Kompilirano!AM:AS,7,FALSE)</f>
        <v>0.90 (0.00)</v>
      </c>
      <c r="F54" s="25" t="str">
        <f ca="1">VLOOKUP(B54,Kompilirano!AW:BD,7,FALSE)</f>
        <v>1.00 (0.00)</v>
      </c>
      <c r="G54" s="25" t="str">
        <f ca="1">VLOOKUP(B54,Kompilirano!BG:BM,7,FALSE)</f>
        <v>0.09 (0.00)</v>
      </c>
      <c r="H54" s="25" t="str">
        <f ca="1">VLOOKUP(B54,Kompilirano!BQ:BW,7,FALSE)</f>
        <v>0.08 (0.00)</v>
      </c>
    </row>
    <row r="55" spans="2:8" x14ac:dyDescent="0.25">
      <c r="B55" s="18" t="s">
        <v>115</v>
      </c>
      <c r="C55" s="22">
        <f ca="1">VLOOKUP(B55,Kompilirano!T:Z,7,FALSE)/226/5</f>
        <v>532.89557522123891</v>
      </c>
      <c r="D55" s="23">
        <f ca="1">VLOOKUP(B55,Kompilirano!J:P,7,FALSE)/226/5</f>
        <v>2.0530973451327435E-2</v>
      </c>
      <c r="E55" s="24" t="str">
        <f ca="1">VLOOKUP(B55,Kompilirano!AM:AS,7,FALSE)</f>
        <v>0.80 (0.00)</v>
      </c>
      <c r="F55" s="25" t="str">
        <f ca="1">VLOOKUP(B55,Kompilirano!AW:BD,7,FALSE)</f>
        <v>0.90 (0.00)</v>
      </c>
      <c r="G55" s="25" t="str">
        <f ca="1">VLOOKUP(B55,Kompilirano!BG:BM,7,FALSE)</f>
        <v>0.08 (0.00)</v>
      </c>
      <c r="H55" s="25" t="str">
        <f ca="1">VLOOKUP(B55,Kompilirano!BQ:BW,7,FALSE)</f>
        <v>0.09 (0.00)</v>
      </c>
    </row>
    <row r="56" spans="2:8" x14ac:dyDescent="0.25">
      <c r="B56" s="18" t="s">
        <v>15</v>
      </c>
      <c r="C56" s="22">
        <f ca="1">VLOOKUP(B56,Kompilirano!T:Z,7,FALSE)/226/5</f>
        <v>532.71681415929208</v>
      </c>
      <c r="D56" s="23">
        <f ca="1">VLOOKUP(B56,Kompilirano!J:P,7,FALSE)/226/5</f>
        <v>6.3539823008849555E-2</v>
      </c>
      <c r="E56" s="24" t="str">
        <f ca="1">VLOOKUP(B56,Kompilirano!AM:AS,7,FALSE)</f>
        <v>0.57 (0.00)</v>
      </c>
      <c r="F56" s="25" t="str">
        <f ca="1">VLOOKUP(B56,Kompilirano!AW:BD,7,FALSE)</f>
        <v>0.68 (0.01)</v>
      </c>
      <c r="G56" s="25" t="str">
        <f ca="1">VLOOKUP(B56,Kompilirano!BG:BM,7,FALSE)</f>
        <v>0.06 (0.00)</v>
      </c>
      <c r="H56" s="25" t="str">
        <f ca="1">VLOOKUP(B56,Kompilirano!BQ:BW,7,FALSE)</f>
        <v>0.07 (0.00)</v>
      </c>
    </row>
    <row r="57" spans="2:8" x14ac:dyDescent="0.25">
      <c r="B57" s="18" t="s">
        <v>116</v>
      </c>
      <c r="C57" s="22">
        <f ca="1">VLOOKUP(B57,Kompilirano!T:Z,7,FALSE)/226/5</f>
        <v>532.66548672566364</v>
      </c>
      <c r="D57" s="23">
        <f ca="1">VLOOKUP(B57,Kompilirano!J:P,7,FALSE)/226/5</f>
        <v>3.3451327433628317E-2</v>
      </c>
      <c r="E57" s="24" t="str">
        <f ca="1">VLOOKUP(B57,Kompilirano!AM:AS,7,FALSE)</f>
        <v>0.82 (0.00)</v>
      </c>
      <c r="F57" s="25" t="str">
        <f ca="1">VLOOKUP(B57,Kompilirano!AW:BD,7,FALSE)</f>
        <v>0.83 (0.00)</v>
      </c>
      <c r="G57" s="25" t="str">
        <f ca="1">VLOOKUP(B57,Kompilirano!BG:BM,7,FALSE)</f>
        <v>0.08 (0.00)</v>
      </c>
      <c r="H57" s="25" t="str">
        <f ca="1">VLOOKUP(B57,Kompilirano!BQ:BW,7,FALSE)</f>
        <v>0.08 (0.00)</v>
      </c>
    </row>
    <row r="58" spans="2:8" x14ac:dyDescent="0.25">
      <c r="B58" s="18" t="s">
        <v>113</v>
      </c>
      <c r="C58" s="22">
        <f ca="1">VLOOKUP(B58,Kompilirano!T:Z,7,FALSE)/226/5</f>
        <v>532.26548672566366</v>
      </c>
      <c r="D58" s="23">
        <f ca="1">VLOOKUP(B58,Kompilirano!J:P,7,FALSE)/226/5</f>
        <v>0.10654867256637168</v>
      </c>
      <c r="E58" s="24" t="str">
        <f ca="1">VLOOKUP(B58,Kompilirano!AM:AS,7,FALSE)</f>
        <v>0.58 (0.01)</v>
      </c>
      <c r="F58" s="25" t="str">
        <f ca="1">VLOOKUP(B58,Kompilirano!AW:BD,7,FALSE)</f>
        <v>0.47 (0.01)</v>
      </c>
      <c r="G58" s="25" t="str">
        <f ca="1">VLOOKUP(B58,Kompilirano!BG:BM,7,FALSE)</f>
        <v>0.06 (0.00)</v>
      </c>
      <c r="H58" s="25" t="str">
        <f ca="1">VLOOKUP(B58,Kompilirano!BQ:BW,7,FALSE)</f>
        <v>0.04 (0.00)</v>
      </c>
    </row>
    <row r="59" spans="2:8" x14ac:dyDescent="0.25">
      <c r="B59" s="18" t="s">
        <v>119</v>
      </c>
      <c r="C59" s="22">
        <f ca="1">VLOOKUP(B59,Kompilirano!T:Z,7,FALSE)/226/5</f>
        <v>531.7743362831859</v>
      </c>
      <c r="D59" s="23">
        <f ca="1">VLOOKUP(B59,Kompilirano!J:P,7,FALSE)/226/5</f>
        <v>6.1592920353982297E-2</v>
      </c>
      <c r="E59" s="24" t="str">
        <f ca="1">VLOOKUP(B59,Kompilirano!AM:AS,7,FALSE)</f>
        <v>0.57 (0.00)</v>
      </c>
      <c r="F59" s="25" t="str">
        <f ca="1">VLOOKUP(B59,Kompilirano!AW:BD,7,FALSE)</f>
        <v>0.69 (0.00)</v>
      </c>
      <c r="G59" s="25" t="str">
        <f ca="1">VLOOKUP(B59,Kompilirano!BG:BM,7,FALSE)</f>
        <v>0.06 (0.00)</v>
      </c>
      <c r="H59" s="25" t="str">
        <f ca="1">VLOOKUP(B59,Kompilirano!BQ:BW,7,FALSE)</f>
        <v>0.07 (0.00)</v>
      </c>
    </row>
    <row r="60" spans="2:8" x14ac:dyDescent="0.25">
      <c r="B60" s="18" t="s">
        <v>120</v>
      </c>
      <c r="C60" s="22">
        <f ca="1">VLOOKUP(B60,Kompilirano!T:Z,7,FALSE)/226/5</f>
        <v>531.58938053097347</v>
      </c>
      <c r="D60" s="23">
        <f ca="1">VLOOKUP(B60,Kompilirano!J:P,7,FALSE)/226/5</f>
        <v>1.5044247787610621E-2</v>
      </c>
      <c r="E60" s="24" t="str">
        <f ca="1">VLOOKUP(B60,Kompilirano!AM:AS,7,FALSE)</f>
        <v>0.87 (0.01)</v>
      </c>
      <c r="F60" s="25" t="str">
        <f ca="1">VLOOKUP(B60,Kompilirano!AW:BD,7,FALSE)</f>
        <v>0.92 (0.01)</v>
      </c>
      <c r="G60" s="25" t="str">
        <f ca="1">VLOOKUP(B60,Kompilirano!BG:BM,7,FALSE)</f>
        <v>0.08 (0.00)</v>
      </c>
      <c r="H60" s="25" t="str">
        <f ca="1">VLOOKUP(B60,Kompilirano!BQ:BW,7,FALSE)</f>
        <v>0.08 (0.00)</v>
      </c>
    </row>
    <row r="61" spans="2:8" x14ac:dyDescent="0.25">
      <c r="B61" s="18" t="s">
        <v>124</v>
      </c>
      <c r="C61" s="22">
        <f ca="1">VLOOKUP(B61,Kompilirano!T:Z,7,FALSE)/226/5</f>
        <v>530.42477876106193</v>
      </c>
      <c r="D61" s="23">
        <f ca="1">VLOOKUP(B61,Kompilirano!J:P,7,FALSE)/226/5</f>
        <v>5.1327433628318587E-3</v>
      </c>
      <c r="E61" s="24" t="str">
        <f ca="1">VLOOKUP(B61,Kompilirano!AM:AS,7,FALSE)</f>
        <v>0.86 (0.01)</v>
      </c>
      <c r="F61" s="25" t="str">
        <f ca="1">VLOOKUP(B61,Kompilirano!AW:BD,7,FALSE)</f>
        <v>0.97 (0.01)</v>
      </c>
      <c r="G61" s="25" t="str">
        <f ca="1">VLOOKUP(B61,Kompilirano!BG:BM,7,FALSE)</f>
        <v>0.08 (0.00)</v>
      </c>
      <c r="H61" s="25" t="str">
        <f ca="1">VLOOKUP(B61,Kompilirano!BQ:BW,7,FALSE)</f>
        <v>0.09 (0.00)</v>
      </c>
    </row>
    <row r="62" spans="2:8" x14ac:dyDescent="0.25">
      <c r="B62" s="18" t="s">
        <v>128</v>
      </c>
      <c r="C62" s="22">
        <f ca="1">VLOOKUP(B62,Kompilirano!T:Z,7,FALSE)/226/5</f>
        <v>530.31681415929211</v>
      </c>
      <c r="D62" s="23">
        <f ca="1">VLOOKUP(B62,Kompilirano!J:P,7,FALSE)/226/5</f>
        <v>0</v>
      </c>
      <c r="E62" s="24" t="str">
        <f ca="1">VLOOKUP(B62,Kompilirano!AM:AS,7,FALSE)</f>
        <v>0.90 (0.00)</v>
      </c>
      <c r="F62" s="25" t="str">
        <f ca="1">VLOOKUP(B62,Kompilirano!AW:BD,7,FALSE)</f>
        <v>1.00 (0.00)</v>
      </c>
      <c r="G62" s="25" t="str">
        <f ca="1">VLOOKUP(B62,Kompilirano!BG:BM,7,FALSE)</f>
        <v>0.09 (0.00)</v>
      </c>
      <c r="H62" s="25" t="str">
        <f ca="1">VLOOKUP(B62,Kompilirano!BQ:BW,7,FALSE)</f>
        <v>0.09 (0.00)</v>
      </c>
    </row>
    <row r="63" spans="2:8" x14ac:dyDescent="0.25">
      <c r="B63" s="18" t="s">
        <v>11</v>
      </c>
      <c r="C63" s="22">
        <f ca="1">VLOOKUP(B63,Kompilirano!T:Z,7,FALSE)/226/5</f>
        <v>527.83539823008846</v>
      </c>
      <c r="D63" s="23">
        <f ca="1">VLOOKUP(B63,Kompilirano!J:P,7,FALSE)/226/5</f>
        <v>0</v>
      </c>
      <c r="E63" s="24" t="str">
        <f ca="1">VLOOKUP(B63,Kompilirano!AM:AS,7,FALSE)</f>
        <v>0.79 (0.00)</v>
      </c>
      <c r="F63" s="25" t="str">
        <f ca="1">VLOOKUP(B63,Kompilirano!AW:BD,7,FALSE)</f>
        <v>1.00 (0.00)</v>
      </c>
      <c r="G63" s="25" t="str">
        <f ca="1">VLOOKUP(B63,Kompilirano!BG:BM,7,FALSE)</f>
        <v>0.08 (0.00)</v>
      </c>
      <c r="H63" s="25" t="str">
        <f ca="1">VLOOKUP(B63,Kompilirano!BQ:BW,7,FALSE)</f>
        <v>0.09 (0.00)</v>
      </c>
    </row>
    <row r="64" spans="2:8" x14ac:dyDescent="0.25">
      <c r="B64" s="18" t="s">
        <v>127</v>
      </c>
      <c r="C64" s="22">
        <f ca="1">VLOOKUP(B64,Kompilirano!T:Z,7,FALSE)/226/5</f>
        <v>527.49115044247787</v>
      </c>
      <c r="D64" s="23">
        <f ca="1">VLOOKUP(B64,Kompilirano!J:P,7,FALSE)/226/5</f>
        <v>0</v>
      </c>
      <c r="E64" s="24" t="str">
        <f ca="1">VLOOKUP(B64,Kompilirano!AM:AS,7,FALSE)</f>
        <v>0.86 (0.00)</v>
      </c>
      <c r="F64" s="25" t="str">
        <f ca="1">VLOOKUP(B64,Kompilirano!AW:BD,7,FALSE)</f>
        <v>1.00 (0.00)</v>
      </c>
      <c r="G64" s="25" t="str">
        <f ca="1">VLOOKUP(B64,Kompilirano!BG:BM,7,FALSE)</f>
        <v>0.08 (0.00)</v>
      </c>
      <c r="H64" s="25" t="str">
        <f ca="1">VLOOKUP(B64,Kompilirano!BQ:BW,7,FALSE)</f>
        <v>0.08 (0.00)</v>
      </c>
    </row>
    <row r="65" spans="2:8" x14ac:dyDescent="0.25">
      <c r="B65" s="18" t="s">
        <v>129</v>
      </c>
      <c r="C65" s="22">
        <f ca="1">VLOOKUP(B65,Kompilirano!T:Z,7,FALSE)/226/5</f>
        <v>527.43362831858406</v>
      </c>
      <c r="D65" s="23">
        <f ca="1">VLOOKUP(B65,Kompilirano!J:P,7,FALSE)/226/5</f>
        <v>1.3274336283185842E-2</v>
      </c>
      <c r="E65" s="24" t="str">
        <f ca="1">VLOOKUP(B65,Kompilirano!AM:AS,7,FALSE)</f>
        <v>0.76 (0.00)</v>
      </c>
      <c r="F65" s="25" t="str">
        <f ca="1">VLOOKUP(B65,Kompilirano!AW:BD,7,FALSE)</f>
        <v>0.93 (0.00)</v>
      </c>
      <c r="G65" s="25" t="str">
        <f ca="1">VLOOKUP(B65,Kompilirano!BG:BM,7,FALSE)</f>
        <v>0.08 (0.00)</v>
      </c>
      <c r="H65" s="25" t="str">
        <f ca="1">VLOOKUP(B65,Kompilirano!BQ:BW,7,FALSE)</f>
        <v>0.09 (0.00)</v>
      </c>
    </row>
    <row r="66" spans="2:8" x14ac:dyDescent="0.25">
      <c r="B66" s="18" t="s">
        <v>126</v>
      </c>
      <c r="C66" s="22">
        <f ca="1">VLOOKUP(B66,Kompilirano!T:Z,7,FALSE)/226/5</f>
        <v>527.29469026548679</v>
      </c>
      <c r="D66" s="23">
        <f ca="1">VLOOKUP(B66,Kompilirano!J:P,7,FALSE)/226/5</f>
        <v>2.7256637168141595E-2</v>
      </c>
      <c r="E66" s="24" t="str">
        <f ca="1">VLOOKUP(B66,Kompilirano!AM:AS,7,FALSE)</f>
        <v>0.76 (0.01)</v>
      </c>
      <c r="F66" s="25" t="str">
        <f ca="1">VLOOKUP(B66,Kompilirano!AW:BD,7,FALSE)</f>
        <v>0.86 (0.01)</v>
      </c>
      <c r="G66" s="25" t="str">
        <f ca="1">VLOOKUP(B66,Kompilirano!BG:BM,7,FALSE)</f>
        <v>0.08 (0.00)</v>
      </c>
      <c r="H66" s="25" t="str">
        <f ca="1">VLOOKUP(B66,Kompilirano!BQ:BW,7,FALSE)</f>
        <v>0.09 (0.00)</v>
      </c>
    </row>
    <row r="67" spans="2:8" x14ac:dyDescent="0.25">
      <c r="B67" s="18" t="s">
        <v>132</v>
      </c>
      <c r="C67" s="22">
        <f ca="1">VLOOKUP(B67,Kompilirano!T:Z,7,FALSE)/226/5</f>
        <v>527.2884955752213</v>
      </c>
      <c r="D67" s="23">
        <f ca="1">VLOOKUP(B67,Kompilirano!J:P,7,FALSE)/226/5</f>
        <v>0</v>
      </c>
      <c r="E67" s="24" t="str">
        <f ca="1">VLOOKUP(B67,Kompilirano!AM:AS,7,FALSE)</f>
        <v>0.83 (0.01)</v>
      </c>
      <c r="F67" s="25" t="str">
        <f ca="1">VLOOKUP(B67,Kompilirano!AW:BD,7,FALSE)</f>
        <v>1.00 (0.00)</v>
      </c>
      <c r="G67" s="25" t="str">
        <f ca="1">VLOOKUP(B67,Kompilirano!BG:BM,7,FALSE)</f>
        <v>0.08 (0.00)</v>
      </c>
      <c r="H67" s="25" t="str">
        <f ca="1">VLOOKUP(B67,Kompilirano!BQ:BW,7,FALSE)</f>
        <v>0.09 (0.00)</v>
      </c>
    </row>
    <row r="68" spans="2:8" x14ac:dyDescent="0.25">
      <c r="B68" s="18" t="s">
        <v>125</v>
      </c>
      <c r="C68" s="22">
        <f ca="1">VLOOKUP(B68,Kompilirano!T:Z,7,FALSE)/226/5</f>
        <v>527.28495575221245</v>
      </c>
      <c r="D68" s="23">
        <f ca="1">VLOOKUP(B68,Kompilirano!J:P,7,FALSE)/226/5</f>
        <v>0</v>
      </c>
      <c r="E68" s="24" t="str">
        <f ca="1">VLOOKUP(B68,Kompilirano!AM:AS,7,FALSE)</f>
        <v>0.80 (0.01)</v>
      </c>
      <c r="F68" s="25" t="str">
        <f ca="1">VLOOKUP(B68,Kompilirano!AW:BD,7,FALSE)</f>
        <v>1.00 (0.00)</v>
      </c>
      <c r="G68" s="25" t="str">
        <f ca="1">VLOOKUP(B68,Kompilirano!BG:BM,7,FALSE)</f>
        <v>0.08 (0.00)</v>
      </c>
      <c r="H68" s="25" t="str">
        <f ca="1">VLOOKUP(B68,Kompilirano!BQ:BW,7,FALSE)</f>
        <v>0.09 (0.00)</v>
      </c>
    </row>
    <row r="69" spans="2:8" x14ac:dyDescent="0.25">
      <c r="B69" s="18" t="s">
        <v>16</v>
      </c>
      <c r="C69" s="22">
        <f ca="1">VLOOKUP(B69,Kompilirano!T:Z,7,FALSE)/226/5</f>
        <v>527.15398230088499</v>
      </c>
      <c r="D69" s="23">
        <f ca="1">VLOOKUP(B69,Kompilirano!J:P,7,FALSE)/226/5</f>
        <v>5.6460176991150433E-2</v>
      </c>
      <c r="E69" s="24" t="str">
        <f ca="1">VLOOKUP(B69,Kompilirano!AM:AS,7,FALSE)</f>
        <v>0.58 (0.01)</v>
      </c>
      <c r="F69" s="25" t="str">
        <f ca="1">VLOOKUP(B69,Kompilirano!AW:BD,7,FALSE)</f>
        <v>0.72 (0.00)</v>
      </c>
      <c r="G69" s="25" t="str">
        <f ca="1">VLOOKUP(B69,Kompilirano!BG:BM,7,FALSE)</f>
        <v>0.06 (0.00)</v>
      </c>
      <c r="H69" s="25" t="str">
        <f ca="1">VLOOKUP(B69,Kompilirano!BQ:BW,7,FALSE)</f>
        <v>0.07 (0.00)</v>
      </c>
    </row>
    <row r="70" spans="2:8" x14ac:dyDescent="0.25">
      <c r="B70" s="18" t="s">
        <v>123</v>
      </c>
      <c r="C70" s="22">
        <f ca="1">VLOOKUP(B70,Kompilirano!T:Z,7,FALSE)/226/5</f>
        <v>526.7389380530974</v>
      </c>
      <c r="D70" s="23">
        <f ca="1">VLOOKUP(B70,Kompilirano!J:P,7,FALSE)/226/5</f>
        <v>0</v>
      </c>
      <c r="E70" s="24" t="str">
        <f ca="1">VLOOKUP(B70,Kompilirano!AM:AS,7,FALSE)</f>
        <v>0.79 (0.00)</v>
      </c>
      <c r="F70" s="25" t="str">
        <f ca="1">VLOOKUP(B70,Kompilirano!AW:BD,7,FALSE)</f>
        <v>1.00 (0.00)</v>
      </c>
      <c r="G70" s="25" t="str">
        <f ca="1">VLOOKUP(B70,Kompilirano!BG:BM,7,FALSE)</f>
        <v>0.08 (0.00)</v>
      </c>
      <c r="H70" s="25" t="str">
        <f ca="1">VLOOKUP(B70,Kompilirano!BQ:BW,7,FALSE)</f>
        <v>0.09 (0.00)</v>
      </c>
    </row>
    <row r="71" spans="2:8" x14ac:dyDescent="0.25">
      <c r="B71" s="18" t="s">
        <v>130</v>
      </c>
      <c r="C71" s="22">
        <f ca="1">VLOOKUP(B71,Kompilirano!T:Z,7,FALSE)/226/5</f>
        <v>526.71592920353976</v>
      </c>
      <c r="D71" s="23">
        <f ca="1">VLOOKUP(B71,Kompilirano!J:P,7,FALSE)/226/5</f>
        <v>0.13451327433628318</v>
      </c>
      <c r="E71" s="24" t="str">
        <f ca="1">VLOOKUP(B71,Kompilirano!AM:AS,7,FALSE)</f>
        <v>0.78 (0.00)</v>
      </c>
      <c r="F71" s="25" t="str">
        <f ca="1">VLOOKUP(B71,Kompilirano!AW:BD,7,FALSE)</f>
        <v>0.33 (0.01)</v>
      </c>
      <c r="G71" s="25" t="str">
        <f ca="1">VLOOKUP(B71,Kompilirano!BG:BM,7,FALSE)</f>
        <v>0.08 (0.00)</v>
      </c>
      <c r="H71" s="25" t="str">
        <f ca="1">VLOOKUP(B71,Kompilirano!BQ:BW,7,FALSE)</f>
        <v>0.09 (0.00)</v>
      </c>
    </row>
    <row r="72" spans="2:8" x14ac:dyDescent="0.25">
      <c r="B72" s="18" t="s">
        <v>131</v>
      </c>
      <c r="C72" s="22">
        <f ca="1">VLOOKUP(B72,Kompilirano!T:Z,7,FALSE)/226/5</f>
        <v>526.70796460176985</v>
      </c>
      <c r="D72" s="23">
        <f ca="1">VLOOKUP(B72,Kompilirano!J:P,7,FALSE)/226/5</f>
        <v>0</v>
      </c>
      <c r="E72" s="24" t="str">
        <f ca="1">VLOOKUP(B72,Kompilirano!AM:AS,7,FALSE)</f>
        <v>0.79 (0.01)</v>
      </c>
      <c r="F72" s="25" t="str">
        <f ca="1">VLOOKUP(B72,Kompilirano!AW:BD,7,FALSE)</f>
        <v>1.00 (0.00)</v>
      </c>
      <c r="G72" s="25" t="str">
        <f ca="1">VLOOKUP(B72,Kompilirano!BG:BM,7,FALSE)</f>
        <v>0.08 (0.00)</v>
      </c>
      <c r="H72" s="25" t="str">
        <f ca="1">VLOOKUP(B72,Kompilirano!BQ:BW,7,FALSE)</f>
        <v>0.09 (0.00)</v>
      </c>
    </row>
    <row r="73" spans="2:8" x14ac:dyDescent="0.25">
      <c r="B73" s="18" t="s">
        <v>139</v>
      </c>
      <c r="C73" s="22">
        <f ca="1">VLOOKUP(B73,Kompilirano!T:Z,7,FALSE)/226/5</f>
        <v>525.77964601769906</v>
      </c>
      <c r="D73" s="23">
        <f ca="1">VLOOKUP(B73,Kompilirano!J:P,7,FALSE)/226/5</f>
        <v>0</v>
      </c>
      <c r="E73" s="24" t="str">
        <f ca="1">VLOOKUP(B73,Kompilirano!AM:AS,7,FALSE)</f>
        <v>0.84 (0.01)</v>
      </c>
      <c r="F73" s="25" t="str">
        <f ca="1">VLOOKUP(B73,Kompilirano!AW:BD,7,FALSE)</f>
        <v>1.00 (0.00)</v>
      </c>
      <c r="G73" s="25" t="str">
        <f ca="1">VLOOKUP(B73,Kompilirano!BG:BM,7,FALSE)</f>
        <v>0.08 (0.00)</v>
      </c>
      <c r="H73" s="25" t="str">
        <f ca="1">VLOOKUP(B73,Kompilirano!BQ:BW,7,FALSE)</f>
        <v>0.09 (0.00)</v>
      </c>
    </row>
    <row r="74" spans="2:8" x14ac:dyDescent="0.25">
      <c r="B74" s="18" t="s">
        <v>134</v>
      </c>
      <c r="C74" s="22">
        <f ca="1">VLOOKUP(B74,Kompilirano!T:Z,7,FALSE)/226/5</f>
        <v>525.53893805309735</v>
      </c>
      <c r="D74" s="23">
        <f ca="1">VLOOKUP(B74,Kompilirano!J:P,7,FALSE)/226/5</f>
        <v>2.8672566371681411E-2</v>
      </c>
      <c r="E74" s="24" t="str">
        <f ca="1">VLOOKUP(B74,Kompilirano!AM:AS,7,FALSE)</f>
        <v>0.78 (0.00)</v>
      </c>
      <c r="F74" s="25" t="str">
        <f ca="1">VLOOKUP(B74,Kompilirano!AW:BD,7,FALSE)</f>
        <v>0.86 (0.01)</v>
      </c>
      <c r="G74" s="25" t="str">
        <f ca="1">VLOOKUP(B74,Kompilirano!BG:BM,7,FALSE)</f>
        <v>0.08 (0.00)</v>
      </c>
      <c r="H74" s="25" t="str">
        <f ca="1">VLOOKUP(B74,Kompilirano!BQ:BW,7,FALSE)</f>
        <v>0.07 (0.00)</v>
      </c>
    </row>
    <row r="75" spans="2:8" x14ac:dyDescent="0.25">
      <c r="B75" s="18" t="s">
        <v>140</v>
      </c>
      <c r="C75" s="22">
        <f ca="1">VLOOKUP(B75,Kompilirano!T:Z,7,FALSE)/226/5</f>
        <v>525.02212389380531</v>
      </c>
      <c r="D75" s="23">
        <f ca="1">VLOOKUP(B75,Kompilirano!J:P,7,FALSE)/226/5</f>
        <v>5.8230088495575219E-2</v>
      </c>
      <c r="E75" s="24" t="str">
        <f ca="1">VLOOKUP(B75,Kompilirano!AM:AS,7,FALSE)</f>
        <v>0.63 (0.00)</v>
      </c>
      <c r="F75" s="25" t="str">
        <f ca="1">VLOOKUP(B75,Kompilirano!AW:BD,7,FALSE)</f>
        <v>0.71 (0.00)</v>
      </c>
      <c r="G75" s="25" t="str">
        <f ca="1">VLOOKUP(B75,Kompilirano!BG:BM,7,FALSE)</f>
        <v>0.07 (0.00)</v>
      </c>
      <c r="H75" s="25" t="str">
        <f ca="1">VLOOKUP(B75,Kompilirano!BQ:BW,7,FALSE)</f>
        <v>0.08 (0.00)</v>
      </c>
    </row>
    <row r="76" spans="2:8" x14ac:dyDescent="0.25">
      <c r="B76" s="18" t="s">
        <v>135</v>
      </c>
      <c r="C76" s="22">
        <f ca="1">VLOOKUP(B76,Kompilirano!T:Z,7,FALSE)/226/5</f>
        <v>524.35575221238946</v>
      </c>
      <c r="D76" s="23">
        <f ca="1">VLOOKUP(B76,Kompilirano!J:P,7,FALSE)/226/5</f>
        <v>0</v>
      </c>
      <c r="E76" s="24" t="str">
        <f ca="1">VLOOKUP(B76,Kompilirano!AM:AS,7,FALSE)</f>
        <v>0.89 (0.01)</v>
      </c>
      <c r="F76" s="25" t="str">
        <f ca="1">VLOOKUP(B76,Kompilirano!AW:BD,7,FALSE)</f>
        <v>1.00 (0.00)</v>
      </c>
      <c r="G76" s="25" t="str">
        <f ca="1">VLOOKUP(B76,Kompilirano!BG:BM,7,FALSE)</f>
        <v>0.09 (0.00)</v>
      </c>
      <c r="H76" s="25" t="str">
        <f ca="1">VLOOKUP(B76,Kompilirano!BQ:BW,7,FALSE)</f>
        <v>0.09 (0.00)</v>
      </c>
    </row>
    <row r="77" spans="2:8" x14ac:dyDescent="0.25">
      <c r="B77" s="18" t="s">
        <v>122</v>
      </c>
      <c r="C77" s="22">
        <f ca="1">VLOOKUP(B77,Kompilirano!T:Z,7,FALSE)/226/5</f>
        <v>524.31504424778757</v>
      </c>
      <c r="D77" s="23">
        <f ca="1">VLOOKUP(B77,Kompilirano!J:P,7,FALSE)/226/5</f>
        <v>3.8938053097345132E-2</v>
      </c>
      <c r="E77" s="24" t="str">
        <f ca="1">VLOOKUP(B77,Kompilirano!AM:AS,7,FALSE)</f>
        <v>0.75 (0.01)</v>
      </c>
      <c r="F77" s="25" t="str">
        <f ca="1">VLOOKUP(B77,Kompilirano!AW:BD,7,FALSE)</f>
        <v>0.81 (0.01)</v>
      </c>
      <c r="G77" s="25" t="str">
        <f ca="1">VLOOKUP(B77,Kompilirano!BG:BM,7,FALSE)</f>
        <v>0.07 (0.00)</v>
      </c>
      <c r="H77" s="25" t="str">
        <f ca="1">VLOOKUP(B77,Kompilirano!BQ:BW,7,FALSE)</f>
        <v>0.07 (0.00)</v>
      </c>
    </row>
    <row r="78" spans="2:8" x14ac:dyDescent="0.25">
      <c r="B78" s="18" t="s">
        <v>133</v>
      </c>
      <c r="C78" s="22">
        <f ca="1">VLOOKUP(B78,Kompilirano!T:Z,7,FALSE)/226/5</f>
        <v>524.12035398230091</v>
      </c>
      <c r="D78" s="23">
        <f ca="1">VLOOKUP(B78,Kompilirano!J:P,7,FALSE)/226/5</f>
        <v>5.9292035398230095E-2</v>
      </c>
      <c r="E78" s="24" t="str">
        <f ca="1">VLOOKUP(B78,Kompilirano!AM:AS,7,FALSE)</f>
        <v>0.64 (0.00)</v>
      </c>
      <c r="F78" s="25" t="str">
        <f ca="1">VLOOKUP(B78,Kompilirano!AW:BD,7,FALSE)</f>
        <v>0.70 (0.00)</v>
      </c>
      <c r="G78" s="25" t="str">
        <f ca="1">VLOOKUP(B78,Kompilirano!BG:BM,7,FALSE)</f>
        <v>0.07 (0.00)</v>
      </c>
      <c r="H78" s="25" t="str">
        <f ca="1">VLOOKUP(B78,Kompilirano!BQ:BW,7,FALSE)</f>
        <v>0.08 (0.00)</v>
      </c>
    </row>
    <row r="79" spans="2:8" x14ac:dyDescent="0.25">
      <c r="B79" s="18" t="s">
        <v>136</v>
      </c>
      <c r="C79" s="22">
        <f ca="1">VLOOKUP(B79,Kompilirano!T:Z,7,FALSE)/226/5</f>
        <v>523.9</v>
      </c>
      <c r="D79" s="23">
        <f ca="1">VLOOKUP(B79,Kompilirano!J:P,7,FALSE)/226/5</f>
        <v>3.1681415929203538E-2</v>
      </c>
      <c r="E79" s="24" t="str">
        <f ca="1">VLOOKUP(B79,Kompilirano!AM:AS,7,FALSE)</f>
        <v>0.79 (0.00)</v>
      </c>
      <c r="F79" s="25" t="str">
        <f ca="1">VLOOKUP(B79,Kompilirano!AW:BD,7,FALSE)</f>
        <v>0.84 (0.01)</v>
      </c>
      <c r="G79" s="25" t="str">
        <f ca="1">VLOOKUP(B79,Kompilirano!BG:BM,7,FALSE)</f>
        <v>0.08 (0.00)</v>
      </c>
      <c r="H79" s="25" t="str">
        <f ca="1">VLOOKUP(B79,Kompilirano!BQ:BW,7,FALSE)</f>
        <v>0.09 (0.00)</v>
      </c>
    </row>
    <row r="80" spans="2:8" x14ac:dyDescent="0.25">
      <c r="B80" s="18" t="s">
        <v>138</v>
      </c>
      <c r="C80" s="22">
        <f ca="1">VLOOKUP(B80,Kompilirano!T:Z,7,FALSE)/226/5</f>
        <v>523.7530973451328</v>
      </c>
      <c r="D80" s="23">
        <f ca="1">VLOOKUP(B80,Kompilirano!J:P,7,FALSE)/226/5</f>
        <v>1.8053097345132742E-2</v>
      </c>
      <c r="E80" s="24" t="str">
        <f ca="1">VLOOKUP(B80,Kompilirano!AM:AS,7,FALSE)</f>
        <v>0.80 (0.00)</v>
      </c>
      <c r="F80" s="25" t="str">
        <f ca="1">VLOOKUP(B80,Kompilirano!AW:BD,7,FALSE)</f>
        <v>0.91 (0.00)</v>
      </c>
      <c r="G80" s="25" t="str">
        <f ca="1">VLOOKUP(B80,Kompilirano!BG:BM,7,FALSE)</f>
        <v>0.08 (0.00)</v>
      </c>
      <c r="H80" s="25" t="str">
        <f ca="1">VLOOKUP(B80,Kompilirano!BQ:BW,7,FALSE)</f>
        <v>0.09 (0.00)</v>
      </c>
    </row>
    <row r="81" spans="2:8" x14ac:dyDescent="0.25">
      <c r="B81" s="18" t="s">
        <v>143</v>
      </c>
      <c r="C81" s="22">
        <f ca="1">VLOOKUP(B81,Kompilirano!T:Z,7,FALSE)/226/5</f>
        <v>523.15929203539827</v>
      </c>
      <c r="D81" s="23">
        <f ca="1">VLOOKUP(B81,Kompilirano!J:P,7,FALSE)/226/5</f>
        <v>5.805309734513274E-2</v>
      </c>
      <c r="E81" s="24" t="str">
        <f ca="1">VLOOKUP(B81,Kompilirano!AM:AS,7,FALSE)</f>
        <v>0.64 (0.00)</v>
      </c>
      <c r="F81" s="25" t="str">
        <f ca="1">VLOOKUP(B81,Kompilirano!AW:BD,7,FALSE)</f>
        <v>0.71 (0.01)</v>
      </c>
      <c r="G81" s="25" t="str">
        <f ca="1">VLOOKUP(B81,Kompilirano!BG:BM,7,FALSE)</f>
        <v>0.07 (0.00)</v>
      </c>
      <c r="H81" s="25" t="str">
        <f ca="1">VLOOKUP(B81,Kompilirano!BQ:BW,7,FALSE)</f>
        <v>0.08 (0.00)</v>
      </c>
    </row>
    <row r="82" spans="2:8" x14ac:dyDescent="0.25">
      <c r="B82" s="18" t="s">
        <v>149</v>
      </c>
      <c r="C82" s="22">
        <f ca="1">VLOOKUP(B82,Kompilirano!T:Z,7,FALSE)/226/5</f>
        <v>522.99469026548672</v>
      </c>
      <c r="D82" s="23">
        <f ca="1">VLOOKUP(B82,Kompilirano!J:P,7,FALSE)/226/5</f>
        <v>9.380530973451328E-3</v>
      </c>
      <c r="E82" s="24" t="str">
        <f ca="1">VLOOKUP(B82,Kompilirano!AM:AS,7,FALSE)</f>
        <v>0.82 (0.00)</v>
      </c>
      <c r="F82" s="25" t="str">
        <f ca="1">VLOOKUP(B82,Kompilirano!AW:BD,7,FALSE)</f>
        <v>0.95 (0.00)</v>
      </c>
      <c r="G82" s="25" t="str">
        <f ca="1">VLOOKUP(B82,Kompilirano!BG:BM,7,FALSE)</f>
        <v>0.08 (0.00)</v>
      </c>
      <c r="H82" s="25" t="str">
        <f ca="1">VLOOKUP(B82,Kompilirano!BQ:BW,7,FALSE)</f>
        <v>0.09 (0.00)</v>
      </c>
    </row>
    <row r="83" spans="2:8" x14ac:dyDescent="0.25">
      <c r="B83" s="18" t="s">
        <v>142</v>
      </c>
      <c r="C83" s="22">
        <f ca="1">VLOOKUP(B83,Kompilirano!T:Z,7,FALSE)/226/5</f>
        <v>522.30796460176987</v>
      </c>
      <c r="D83" s="23">
        <f ca="1">VLOOKUP(B83,Kompilirano!J:P,7,FALSE)/226/5</f>
        <v>4.2654867256637169E-2</v>
      </c>
      <c r="E83" s="24" t="str">
        <f ca="1">VLOOKUP(B83,Kompilirano!AM:AS,7,FALSE)</f>
        <v>0.74 (0.00)</v>
      </c>
      <c r="F83" s="25" t="str">
        <f ca="1">VLOOKUP(B83,Kompilirano!AW:BD,7,FALSE)</f>
        <v>0.79 (0.01)</v>
      </c>
      <c r="G83" s="25" t="str">
        <f ca="1">VLOOKUP(B83,Kompilirano!BG:BM,7,FALSE)</f>
        <v>0.08 (0.00)</v>
      </c>
      <c r="H83" s="25" t="str">
        <f ca="1">VLOOKUP(B83,Kompilirano!BQ:BW,7,FALSE)</f>
        <v>0.09 (0.00)</v>
      </c>
    </row>
    <row r="84" spans="2:8" x14ac:dyDescent="0.25">
      <c r="B84" s="18" t="s">
        <v>144</v>
      </c>
      <c r="C84" s="22">
        <f ca="1">VLOOKUP(B84,Kompilirano!T:Z,7,FALSE)/226/5</f>
        <v>522.19026548672559</v>
      </c>
      <c r="D84" s="23">
        <f ca="1">VLOOKUP(B84,Kompilirano!J:P,7,FALSE)/226/5</f>
        <v>5.7699115044247795E-2</v>
      </c>
      <c r="E84" s="24" t="str">
        <f ca="1">VLOOKUP(B84,Kompilirano!AM:AS,7,FALSE)</f>
        <v>0.63 (0.01)</v>
      </c>
      <c r="F84" s="25" t="str">
        <f ca="1">VLOOKUP(B84,Kompilirano!AW:BD,7,FALSE)</f>
        <v>0.71 (0.01)</v>
      </c>
      <c r="G84" s="25" t="str">
        <f ca="1">VLOOKUP(B84,Kompilirano!BG:BM,7,FALSE)</f>
        <v>0.07 (0.00)</v>
      </c>
      <c r="H84" s="25" t="str">
        <f ca="1">VLOOKUP(B84,Kompilirano!BQ:BW,7,FALSE)</f>
        <v>0.08 (0.00)</v>
      </c>
    </row>
    <row r="85" spans="2:8" x14ac:dyDescent="0.25">
      <c r="B85" s="18" t="s">
        <v>160</v>
      </c>
      <c r="C85" s="22">
        <f ca="1">VLOOKUP(B85,Kompilirano!T:Z,7,FALSE)/226/5</f>
        <v>521.97964601769911</v>
      </c>
      <c r="D85" s="23">
        <f ca="1">VLOOKUP(B85,Kompilirano!J:P,7,FALSE)/226/5</f>
        <v>4.6017699115044247E-2</v>
      </c>
      <c r="E85" s="24" t="str">
        <f ca="1">VLOOKUP(B85,Kompilirano!AM:AS,7,FALSE)</f>
        <v>0.73 (0.01)</v>
      </c>
      <c r="F85" s="25" t="str">
        <f ca="1">VLOOKUP(B85,Kompilirano!AW:BD,7,FALSE)</f>
        <v>0.77 (0.01)</v>
      </c>
      <c r="G85" s="25" t="str">
        <f ca="1">VLOOKUP(B85,Kompilirano!BG:BM,7,FALSE)</f>
        <v>0.08 (0.00)</v>
      </c>
      <c r="H85" s="25" t="str">
        <f ca="1">VLOOKUP(B85,Kompilirano!BQ:BW,7,FALSE)</f>
        <v>0.08 (0.00)</v>
      </c>
    </row>
    <row r="86" spans="2:8" x14ac:dyDescent="0.25">
      <c r="B86" s="18" t="s">
        <v>13</v>
      </c>
      <c r="C86" s="22">
        <f ca="1">VLOOKUP(B86,Kompilirano!T:Z,7,FALSE)/226/5</f>
        <v>521.93716814159291</v>
      </c>
      <c r="D86" s="23">
        <f ca="1">VLOOKUP(B86,Kompilirano!J:P,7,FALSE)/226/5</f>
        <v>0.16902654867256636</v>
      </c>
      <c r="E86" s="24" t="str">
        <f ca="1">VLOOKUP(B86,Kompilirano!AM:AS,7,FALSE)</f>
        <v>0.70 (0.00)</v>
      </c>
      <c r="F86" s="25" t="str">
        <f ca="1">VLOOKUP(B86,Kompilirano!AW:BD,7,FALSE)</f>
        <v>0.15 (0.01)</v>
      </c>
      <c r="G86" s="25" t="str">
        <f ca="1">VLOOKUP(B86,Kompilirano!BG:BM,7,FALSE)</f>
        <v>0.07 (0.00)</v>
      </c>
      <c r="H86" s="25" t="str">
        <f ca="1">VLOOKUP(B86,Kompilirano!BQ:BW,7,FALSE)</f>
        <v>0.08 (0.00)</v>
      </c>
    </row>
    <row r="87" spans="2:8" x14ac:dyDescent="0.25">
      <c r="B87" s="18" t="s">
        <v>156</v>
      </c>
      <c r="C87" s="22">
        <f ca="1">VLOOKUP(B87,Kompilirano!T:Z,7,FALSE)/226/5</f>
        <v>521.52654867256638</v>
      </c>
      <c r="D87" s="23">
        <f ca="1">VLOOKUP(B87,Kompilirano!J:P,7,FALSE)/226/5</f>
        <v>5.8761061946902657E-2</v>
      </c>
      <c r="E87" s="24" t="str">
        <f ca="1">VLOOKUP(B87,Kompilirano!AM:AS,7,FALSE)</f>
        <v>0.64 (0.01)</v>
      </c>
      <c r="F87" s="25" t="str">
        <f ca="1">VLOOKUP(B87,Kompilirano!AW:BD,7,FALSE)</f>
        <v>0.71 (0.00)</v>
      </c>
      <c r="G87" s="25" t="str">
        <f ca="1">VLOOKUP(B87,Kompilirano!BG:BM,7,FALSE)</f>
        <v>0.07 (0.00)</v>
      </c>
      <c r="H87" s="25" t="str">
        <f ca="1">VLOOKUP(B87,Kompilirano!BQ:BW,7,FALSE)</f>
        <v>0.08 (0.00)</v>
      </c>
    </row>
    <row r="88" spans="2:8" x14ac:dyDescent="0.25">
      <c r="B88" s="18" t="s">
        <v>141</v>
      </c>
      <c r="C88" s="22">
        <f ca="1">VLOOKUP(B88,Kompilirano!T:Z,7,FALSE)/226/5</f>
        <v>521.43451327433627</v>
      </c>
      <c r="D88" s="23">
        <f ca="1">VLOOKUP(B88,Kompilirano!J:P,7,FALSE)/226/5</f>
        <v>1.2212389380530975E-2</v>
      </c>
      <c r="E88" s="24" t="str">
        <f ca="1">VLOOKUP(B88,Kompilirano!AM:AS,7,FALSE)</f>
        <v>0.83 (0.00)</v>
      </c>
      <c r="F88" s="25" t="str">
        <f ca="1">VLOOKUP(B88,Kompilirano!AW:BD,7,FALSE)</f>
        <v>0.94 (0.00)</v>
      </c>
      <c r="G88" s="25" t="str">
        <f ca="1">VLOOKUP(B88,Kompilirano!BG:BM,7,FALSE)</f>
        <v>0.08 (0.00)</v>
      </c>
      <c r="H88" s="25" t="str">
        <f ca="1">VLOOKUP(B88,Kompilirano!BQ:BW,7,FALSE)</f>
        <v>0.09 (0.00)</v>
      </c>
    </row>
    <row r="89" spans="2:8" x14ac:dyDescent="0.25">
      <c r="B89" s="18" t="s">
        <v>146</v>
      </c>
      <c r="C89" s="22">
        <f ca="1">VLOOKUP(B89,Kompilirano!T:Z,7,FALSE)/226/5</f>
        <v>521.27964601769906</v>
      </c>
      <c r="D89" s="23">
        <f ca="1">VLOOKUP(B89,Kompilirano!J:P,7,FALSE)/226/5</f>
        <v>6.477876106194691E-2</v>
      </c>
      <c r="E89" s="24" t="str">
        <f ca="1">VLOOKUP(B89,Kompilirano!AM:AS,7,FALSE)</f>
        <v>0.61 (0.01)</v>
      </c>
      <c r="F89" s="25" t="str">
        <f ca="1">VLOOKUP(B89,Kompilirano!AW:BD,7,FALSE)</f>
        <v>0.68 (0.01)</v>
      </c>
      <c r="G89" s="25" t="str">
        <f ca="1">VLOOKUP(B89,Kompilirano!BG:BM,7,FALSE)</f>
        <v>0.07 (0.00)</v>
      </c>
      <c r="H89" s="25" t="str">
        <f ca="1">VLOOKUP(B89,Kompilirano!BQ:BW,7,FALSE)</f>
        <v>0.07 (0.00)</v>
      </c>
    </row>
    <row r="90" spans="2:8" x14ac:dyDescent="0.25">
      <c r="B90" s="18" t="s">
        <v>152</v>
      </c>
      <c r="C90" s="22">
        <f ca="1">VLOOKUP(B90,Kompilirano!T:Z,7,FALSE)/226/5</f>
        <v>521.2539823008849</v>
      </c>
      <c r="D90" s="23">
        <f ca="1">VLOOKUP(B90,Kompilirano!J:P,7,FALSE)/226/5</f>
        <v>6.9026548672566374E-3</v>
      </c>
      <c r="E90" s="24" t="str">
        <f ca="1">VLOOKUP(B90,Kompilirano!AM:AS,7,FALSE)</f>
        <v>0.84 (0.00)</v>
      </c>
      <c r="F90" s="25" t="str">
        <f ca="1">VLOOKUP(B90,Kompilirano!AW:BD,7,FALSE)</f>
        <v>0.97 (0.01)</v>
      </c>
      <c r="G90" s="25" t="str">
        <f ca="1">VLOOKUP(B90,Kompilirano!BG:BM,7,FALSE)</f>
        <v>0.08 (0.00)</v>
      </c>
      <c r="H90" s="25" t="str">
        <f ca="1">VLOOKUP(B90,Kompilirano!BQ:BW,7,FALSE)</f>
        <v>0.09 (0.00)</v>
      </c>
    </row>
    <row r="91" spans="2:8" x14ac:dyDescent="0.25">
      <c r="B91" s="18" t="s">
        <v>147</v>
      </c>
      <c r="C91" s="22">
        <f ca="1">VLOOKUP(B91,Kompilirano!T:Z,7,FALSE)/226/5</f>
        <v>521.17345132743367</v>
      </c>
      <c r="D91" s="23">
        <f ca="1">VLOOKUP(B91,Kompilirano!J:P,7,FALSE)/226/5</f>
        <v>1.3451327433628318E-2</v>
      </c>
      <c r="E91" s="24" t="str">
        <f ca="1">VLOOKUP(B91,Kompilirano!AM:AS,7,FALSE)</f>
        <v>0.84 (0.00)</v>
      </c>
      <c r="F91" s="25" t="str">
        <f ca="1">VLOOKUP(B91,Kompilirano!AW:BD,7,FALSE)</f>
        <v>0.93 (0.00)</v>
      </c>
      <c r="G91" s="25" t="str">
        <f ca="1">VLOOKUP(B91,Kompilirano!BG:BM,7,FALSE)</f>
        <v>0.08 (0.00)</v>
      </c>
      <c r="H91" s="25" t="str">
        <f ca="1">VLOOKUP(B91,Kompilirano!BQ:BW,7,FALSE)</f>
        <v>0.09 (0.00)</v>
      </c>
    </row>
    <row r="92" spans="2:8" x14ac:dyDescent="0.25">
      <c r="B92" s="18" t="s">
        <v>10</v>
      </c>
      <c r="C92" s="22">
        <f ca="1">VLOOKUP(B92,Kompilirano!T:Z,7,FALSE)/226/5</f>
        <v>521.14513274336286</v>
      </c>
      <c r="D92" s="23">
        <f ca="1">VLOOKUP(B92,Kompilirano!J:P,7,FALSE)/226/5</f>
        <v>1.6283185840707964E-2</v>
      </c>
      <c r="E92" s="24" t="str">
        <f ca="1">VLOOKUP(B92,Kompilirano!AM:AS,7,FALSE)</f>
        <v>0.89 (0.00)</v>
      </c>
      <c r="F92" s="25" t="str">
        <f ca="1">VLOOKUP(B92,Kompilirano!AW:BD,7,FALSE)</f>
        <v>0.92 (0.01)</v>
      </c>
      <c r="G92" s="25" t="str">
        <f ca="1">VLOOKUP(B92,Kompilirano!BG:BM,7,FALSE)</f>
        <v>0.08 (0.00)</v>
      </c>
      <c r="H92" s="25" t="str">
        <f ca="1">VLOOKUP(B92,Kompilirano!BQ:BW,7,FALSE)</f>
        <v>0.08 (0.00)</v>
      </c>
    </row>
    <row r="93" spans="2:8" x14ac:dyDescent="0.25">
      <c r="B93" s="18" t="s">
        <v>151</v>
      </c>
      <c r="C93" s="22">
        <f ca="1">VLOOKUP(B93,Kompilirano!T:Z,7,FALSE)/226/5</f>
        <v>521.11592920353974</v>
      </c>
      <c r="D93" s="23">
        <f ca="1">VLOOKUP(B93,Kompilirano!J:P,7,FALSE)/226/5</f>
        <v>1.7345132743362836E-2</v>
      </c>
      <c r="E93" s="24" t="str">
        <f ca="1">VLOOKUP(B93,Kompilirano!AM:AS,7,FALSE)</f>
        <v>0.80 (0.01)</v>
      </c>
      <c r="F93" s="25" t="str">
        <f ca="1">VLOOKUP(B93,Kompilirano!AW:BD,7,FALSE)</f>
        <v>0.91 (0.01)</v>
      </c>
      <c r="G93" s="25" t="str">
        <f ca="1">VLOOKUP(B93,Kompilirano!BG:BM,7,FALSE)</f>
        <v>0.08 (0.00)</v>
      </c>
      <c r="H93" s="25" t="str">
        <f ca="1">VLOOKUP(B93,Kompilirano!BQ:BW,7,FALSE)</f>
        <v>0.09 (0.00)</v>
      </c>
    </row>
    <row r="94" spans="2:8" x14ac:dyDescent="0.25">
      <c r="B94" s="18" t="s">
        <v>148</v>
      </c>
      <c r="C94" s="22">
        <f ca="1">VLOOKUP(B94,Kompilirano!T:Z,7,FALSE)/226/5</f>
        <v>520.45929203539822</v>
      </c>
      <c r="D94" s="23">
        <f ca="1">VLOOKUP(B94,Kompilirano!J:P,7,FALSE)/226/5</f>
        <v>6.5309734513274334E-2</v>
      </c>
      <c r="E94" s="24" t="str">
        <f ca="1">VLOOKUP(B94,Kompilirano!AM:AS,7,FALSE)</f>
        <v>0.63 (0.00)</v>
      </c>
      <c r="F94" s="25" t="str">
        <f ca="1">VLOOKUP(B94,Kompilirano!AW:BD,7,FALSE)</f>
        <v>0.67 (0.01)</v>
      </c>
      <c r="G94" s="25" t="str">
        <f ca="1">VLOOKUP(B94,Kompilirano!BG:BM,7,FALSE)</f>
        <v>0.07 (0.00)</v>
      </c>
      <c r="H94" s="25" t="str">
        <f ca="1">VLOOKUP(B94,Kompilirano!BQ:BW,7,FALSE)</f>
        <v>0.08 (0.00)</v>
      </c>
    </row>
    <row r="95" spans="2:8" x14ac:dyDescent="0.25">
      <c r="B95" s="18" t="s">
        <v>145</v>
      </c>
      <c r="C95" s="22">
        <f ca="1">VLOOKUP(B95,Kompilirano!T:Z,7,FALSE)/226/5</f>
        <v>520.36017699115041</v>
      </c>
      <c r="D95" s="23">
        <f ca="1">VLOOKUP(B95,Kompilirano!J:P,7,FALSE)/226/5</f>
        <v>0</v>
      </c>
      <c r="E95" s="24" t="str">
        <f ca="1">VLOOKUP(B95,Kompilirano!AM:AS,7,FALSE)</f>
        <v>0.87 (0.01)</v>
      </c>
      <c r="F95" s="25" t="str">
        <f ca="1">VLOOKUP(B95,Kompilirano!AW:BD,7,FALSE)</f>
        <v>1.00 (0.00)</v>
      </c>
      <c r="G95" s="25" t="str">
        <f ca="1">VLOOKUP(B95,Kompilirano!BG:BM,7,FALSE)</f>
        <v>0.08 (0.00)</v>
      </c>
      <c r="H95" s="25" t="str">
        <f ca="1">VLOOKUP(B95,Kompilirano!BQ:BW,7,FALSE)</f>
        <v>0.09 (0.00)</v>
      </c>
    </row>
    <row r="96" spans="2:8" x14ac:dyDescent="0.25">
      <c r="B96" s="18" t="s">
        <v>154</v>
      </c>
      <c r="C96" s="22">
        <f ca="1">VLOOKUP(B96,Kompilirano!T:Z,7,FALSE)/226/5</f>
        <v>520.14690265486729</v>
      </c>
      <c r="D96" s="23">
        <f ca="1">VLOOKUP(B96,Kompilirano!J:P,7,FALSE)/226/5</f>
        <v>6.477876106194691E-2</v>
      </c>
      <c r="E96" s="24" t="str">
        <f ca="1">VLOOKUP(B96,Kompilirano!AM:AS,7,FALSE)</f>
        <v>0.63 (0.00)</v>
      </c>
      <c r="F96" s="25" t="str">
        <f ca="1">VLOOKUP(B96,Kompilirano!AW:BD,7,FALSE)</f>
        <v>0.68 (0.01)</v>
      </c>
      <c r="G96" s="25" t="str">
        <f ca="1">VLOOKUP(B96,Kompilirano!BG:BM,7,FALSE)</f>
        <v>0.07 (0.00)</v>
      </c>
      <c r="H96" s="25" t="str">
        <f ca="1">VLOOKUP(B96,Kompilirano!BQ:BW,7,FALSE)</f>
        <v>0.08 (0.00)</v>
      </c>
    </row>
    <row r="97" spans="2:8" x14ac:dyDescent="0.25">
      <c r="B97" s="18" t="s">
        <v>157</v>
      </c>
      <c r="C97" s="22">
        <f ca="1">VLOOKUP(B97,Kompilirano!T:Z,7,FALSE)/226/5</f>
        <v>520.12654867256629</v>
      </c>
      <c r="D97" s="23">
        <f ca="1">VLOOKUP(B97,Kompilirano!J:P,7,FALSE)/226/5</f>
        <v>2.7079646017699115E-2</v>
      </c>
      <c r="E97" s="24" t="str">
        <f ca="1">VLOOKUP(B97,Kompilirano!AM:AS,7,FALSE)</f>
        <v>0.79 (0.01)</v>
      </c>
      <c r="F97" s="25" t="str">
        <f ca="1">VLOOKUP(B97,Kompilirano!AW:BD,7,FALSE)</f>
        <v>0.86 (0.01)</v>
      </c>
      <c r="G97" s="25" t="str">
        <f ca="1">VLOOKUP(B97,Kompilirano!BG:BM,7,FALSE)</f>
        <v>0.08 (0.00)</v>
      </c>
      <c r="H97" s="25" t="str">
        <f ca="1">VLOOKUP(B97,Kompilirano!BQ:BW,7,FALSE)</f>
        <v>0.09 (0.00)</v>
      </c>
    </row>
    <row r="98" spans="2:8" x14ac:dyDescent="0.25">
      <c r="B98" s="18" t="s">
        <v>137</v>
      </c>
      <c r="C98" s="22">
        <f ca="1">VLOOKUP(B98,Kompilirano!T:Z,7,FALSE)/226/5</f>
        <v>519.73451327433634</v>
      </c>
      <c r="D98" s="23">
        <f ca="1">VLOOKUP(B98,Kompilirano!J:P,7,FALSE)/226/5</f>
        <v>0.12106194690265489</v>
      </c>
      <c r="E98" s="24" t="str">
        <f ca="1">VLOOKUP(B98,Kompilirano!AM:AS,7,FALSE)</f>
        <v>0.84 (0.01)</v>
      </c>
      <c r="F98" s="25" t="str">
        <f ca="1">VLOOKUP(B98,Kompilirano!AW:BD,7,FALSE)</f>
        <v>0.39 (0.01)</v>
      </c>
      <c r="G98" s="25" t="str">
        <f ca="1">VLOOKUP(B98,Kompilirano!BG:BM,7,FALSE)</f>
        <v>0.08 (0.00)</v>
      </c>
      <c r="H98" s="25" t="str">
        <f ca="1">VLOOKUP(B98,Kompilirano!BQ:BW,7,FALSE)</f>
        <v>0.09 (0.00)</v>
      </c>
    </row>
    <row r="99" spans="2:8" x14ac:dyDescent="0.25">
      <c r="B99" s="18" t="s">
        <v>159</v>
      </c>
      <c r="C99" s="22">
        <f ca="1">VLOOKUP(B99,Kompilirano!T:Z,7,FALSE)/226/5</f>
        <v>519.70265486725668</v>
      </c>
      <c r="D99" s="23">
        <f ca="1">VLOOKUP(B99,Kompilirano!J:P,7,FALSE)/226/5</f>
        <v>1.5044247787610621E-2</v>
      </c>
      <c r="E99" s="24" t="str">
        <f ca="1">VLOOKUP(B99,Kompilirano!AM:AS,7,FALSE)</f>
        <v>0.83 (0.00)</v>
      </c>
      <c r="F99" s="25" t="str">
        <f ca="1">VLOOKUP(B99,Kompilirano!AW:BD,7,FALSE)</f>
        <v>0.92 (0.01)</v>
      </c>
      <c r="G99" s="25" t="str">
        <f ca="1">VLOOKUP(B99,Kompilirano!BG:BM,7,FALSE)</f>
        <v>0.08 (0.00)</v>
      </c>
      <c r="H99" s="25" t="str">
        <f ca="1">VLOOKUP(B99,Kompilirano!BQ:BW,7,FALSE)</f>
        <v>0.09 (0.00)</v>
      </c>
    </row>
    <row r="100" spans="2:8" x14ac:dyDescent="0.25">
      <c r="B100" s="18" t="s">
        <v>155</v>
      </c>
      <c r="C100" s="22">
        <f ca="1">VLOOKUP(B100,Kompilirano!T:Z,7,FALSE)/226/5</f>
        <v>519.47610619469026</v>
      </c>
      <c r="D100" s="23">
        <f ca="1">VLOOKUP(B100,Kompilirano!J:P,7,FALSE)/226/5</f>
        <v>1.3451327433628318E-2</v>
      </c>
      <c r="E100" s="24" t="str">
        <f ca="1">VLOOKUP(B100,Kompilirano!AM:AS,7,FALSE)</f>
        <v>0.84 (0.01)</v>
      </c>
      <c r="F100" s="25" t="str">
        <f ca="1">VLOOKUP(B100,Kompilirano!AW:BD,7,FALSE)</f>
        <v>0.93 (0.01)</v>
      </c>
      <c r="G100" s="25" t="str">
        <f ca="1">VLOOKUP(B100,Kompilirano!BG:BM,7,FALSE)</f>
        <v>0.08 (0.00)</v>
      </c>
      <c r="H100" s="25" t="str">
        <f ca="1">VLOOKUP(B100,Kompilirano!BQ:BW,7,FALSE)</f>
        <v>0.09 (0.00)</v>
      </c>
    </row>
    <row r="101" spans="2:8" x14ac:dyDescent="0.25">
      <c r="B101" s="18" t="s">
        <v>153</v>
      </c>
      <c r="C101" s="22">
        <f ca="1">VLOOKUP(B101,Kompilirano!T:Z,7,FALSE)/226/5</f>
        <v>519.38761061946911</v>
      </c>
      <c r="D101" s="23">
        <f ca="1">VLOOKUP(B101,Kompilirano!J:P,7,FALSE)/226/5</f>
        <v>6.4424778761061938E-2</v>
      </c>
      <c r="E101" s="24" t="str">
        <f ca="1">VLOOKUP(B101,Kompilirano!AM:AS,7,FALSE)</f>
        <v>0.64 (0.00)</v>
      </c>
      <c r="F101" s="25" t="str">
        <f ca="1">VLOOKUP(B101,Kompilirano!AW:BD,7,FALSE)</f>
        <v>0.68 (0.00)</v>
      </c>
      <c r="G101" s="25" t="str">
        <f ca="1">VLOOKUP(B101,Kompilirano!BG:BM,7,FALSE)</f>
        <v>0.07 (0.00)</v>
      </c>
      <c r="H101" s="25" t="str">
        <f ca="1">VLOOKUP(B101,Kompilirano!BQ:BW,7,FALSE)</f>
        <v>0.08 (0.00)</v>
      </c>
    </row>
    <row r="102" spans="2:8" x14ac:dyDescent="0.25">
      <c r="B102" s="18" t="s">
        <v>163</v>
      </c>
      <c r="C102" s="22">
        <f ca="1">VLOOKUP(B102,Kompilirano!T:Z,7,FALSE)/226/5</f>
        <v>518.86725663716811</v>
      </c>
      <c r="D102" s="23">
        <f ca="1">VLOOKUP(B102,Kompilirano!J:P,7,FALSE)/226/5</f>
        <v>6.7256637168141592E-2</v>
      </c>
      <c r="E102" s="24" t="str">
        <f ca="1">VLOOKUP(B102,Kompilirano!AM:AS,7,FALSE)</f>
        <v>0.70 (0.00)</v>
      </c>
      <c r="F102" s="25" t="str">
        <f ca="1">VLOOKUP(B102,Kompilirano!AW:BD,7,FALSE)</f>
        <v>0.66 (0.02)</v>
      </c>
      <c r="G102" s="25" t="str">
        <f ca="1">VLOOKUP(B102,Kompilirano!BG:BM,7,FALSE)</f>
        <v>0.07 (0.00)</v>
      </c>
      <c r="H102" s="25" t="str">
        <f ca="1">VLOOKUP(B102,Kompilirano!BQ:BW,7,FALSE)</f>
        <v>0.05 (0.00)</v>
      </c>
    </row>
    <row r="103" spans="2:8" x14ac:dyDescent="0.25">
      <c r="B103" s="18" t="s">
        <v>150</v>
      </c>
      <c r="C103" s="22">
        <f ca="1">VLOOKUP(B103,Kompilirano!T:Z,7,FALSE)/226/5</f>
        <v>518.79469026548679</v>
      </c>
      <c r="D103" s="23">
        <f ca="1">VLOOKUP(B103,Kompilirano!J:P,7,FALSE)/226/5</f>
        <v>2.2831858407079648E-2</v>
      </c>
      <c r="E103" s="24" t="str">
        <f ca="1">VLOOKUP(B103,Kompilirano!AM:AS,7,FALSE)</f>
        <v>0.77 (0.00)</v>
      </c>
      <c r="F103" s="25" t="str">
        <f ca="1">VLOOKUP(B103,Kompilirano!AW:BD,7,FALSE)</f>
        <v>0.89 (0.00)</v>
      </c>
      <c r="G103" s="25" t="str">
        <f ca="1">VLOOKUP(B103,Kompilirano!BG:BM,7,FALSE)</f>
        <v>0.07 (0.00)</v>
      </c>
      <c r="H103" s="25" t="str">
        <f ca="1">VLOOKUP(B103,Kompilirano!BQ:BW,7,FALSE)</f>
        <v>0.07 (0.00)</v>
      </c>
    </row>
    <row r="104" spans="2:8" x14ac:dyDescent="0.25">
      <c r="B104" s="18" t="s">
        <v>161</v>
      </c>
      <c r="C104" s="22">
        <f ca="1">VLOOKUP(B104,Kompilirano!T:Z,7,FALSE)/226/5</f>
        <v>518.01238938053098</v>
      </c>
      <c r="D104" s="23">
        <f ca="1">VLOOKUP(B104,Kompilirano!J:P,7,FALSE)/226/5</f>
        <v>1.2212389380530975E-2</v>
      </c>
      <c r="E104" s="24" t="str">
        <f ca="1">VLOOKUP(B104,Kompilirano!AM:AS,7,FALSE)</f>
        <v>0.82 (0.00)</v>
      </c>
      <c r="F104" s="25" t="str">
        <f ca="1">VLOOKUP(B104,Kompilirano!AW:BD,7,FALSE)</f>
        <v>0.94 (0.00)</v>
      </c>
      <c r="G104" s="25" t="str">
        <f ca="1">VLOOKUP(B104,Kompilirano!BG:BM,7,FALSE)</f>
        <v>0.08 (0.00)</v>
      </c>
      <c r="H104" s="25" t="str">
        <f ca="1">VLOOKUP(B104,Kompilirano!BQ:BW,7,FALSE)</f>
        <v>0.09 (0.00)</v>
      </c>
    </row>
    <row r="105" spans="2:8" x14ac:dyDescent="0.25">
      <c r="B105" s="18" t="s">
        <v>165</v>
      </c>
      <c r="C105" s="22">
        <f ca="1">VLOOKUP(B105,Kompilirano!T:Z,7,FALSE)/226/5</f>
        <v>517.35929203539831</v>
      </c>
      <c r="D105" s="23">
        <f ca="1">VLOOKUP(B105,Kompilirano!J:P,7,FALSE)/226/5</f>
        <v>2.2654867256637172E-2</v>
      </c>
      <c r="E105" s="24" t="str">
        <f ca="1">VLOOKUP(B105,Kompilirano!AM:AS,7,FALSE)</f>
        <v>0.78 (0.00)</v>
      </c>
      <c r="F105" s="25" t="str">
        <f ca="1">VLOOKUP(B105,Kompilirano!AW:BD,7,FALSE)</f>
        <v>0.89 (0.01)</v>
      </c>
      <c r="G105" s="25" t="str">
        <f ca="1">VLOOKUP(B105,Kompilirano!BG:BM,7,FALSE)</f>
        <v>0.08 (0.00)</v>
      </c>
      <c r="H105" s="25" t="str">
        <f ca="1">VLOOKUP(B105,Kompilirano!BQ:BW,7,FALSE)</f>
        <v>0.09 (0.00)</v>
      </c>
    </row>
    <row r="106" spans="2:8" x14ac:dyDescent="0.25">
      <c r="B106" s="18" t="s">
        <v>167</v>
      </c>
      <c r="C106" s="22">
        <f ca="1">VLOOKUP(B106,Kompilirano!T:Z,7,FALSE)/226/5</f>
        <v>516.53274336283187</v>
      </c>
      <c r="D106" s="23">
        <f ca="1">VLOOKUP(B106,Kompilirano!J:P,7,FALSE)/226/5</f>
        <v>9.380530973451328E-3</v>
      </c>
      <c r="E106" s="24" t="str">
        <f ca="1">VLOOKUP(B106,Kompilirano!AM:AS,7,FALSE)</f>
        <v>0.88 (0.00)</v>
      </c>
      <c r="F106" s="25" t="str">
        <f ca="1">VLOOKUP(B106,Kompilirano!AW:BD,7,FALSE)</f>
        <v>0.95 (0.00)</v>
      </c>
      <c r="G106" s="25" t="str">
        <f ca="1">VLOOKUP(B106,Kompilirano!BG:BM,7,FALSE)</f>
        <v>0.08 (0.00)</v>
      </c>
      <c r="H106" s="25" t="str">
        <f ca="1">VLOOKUP(B106,Kompilirano!BQ:BW,7,FALSE)</f>
        <v>0.09 (0.00)</v>
      </c>
    </row>
    <row r="107" spans="2:8" x14ac:dyDescent="0.25">
      <c r="B107" s="18" t="s">
        <v>170</v>
      </c>
      <c r="C107" s="22">
        <f ca="1">VLOOKUP(B107,Kompilirano!T:Z,7,FALSE)/226/5</f>
        <v>516.27345132743369</v>
      </c>
      <c r="D107" s="23">
        <f ca="1">VLOOKUP(B107,Kompilirano!J:P,7,FALSE)/226/5</f>
        <v>1.4690265486725664E-2</v>
      </c>
      <c r="E107" s="24" t="str">
        <f ca="1">VLOOKUP(B107,Kompilirano!AM:AS,7,FALSE)</f>
        <v>0.83 (0.01)</v>
      </c>
      <c r="F107" s="25" t="str">
        <f ca="1">VLOOKUP(B107,Kompilirano!AW:BD,7,FALSE)</f>
        <v>0.93 (0.01)</v>
      </c>
      <c r="G107" s="25" t="str">
        <f ca="1">VLOOKUP(B107,Kompilirano!BG:BM,7,FALSE)</f>
        <v>0.08 (0.00)</v>
      </c>
      <c r="H107" s="25" t="str">
        <f ca="1">VLOOKUP(B107,Kompilirano!BQ:BW,7,FALSE)</f>
        <v>0.09 (0.00)</v>
      </c>
    </row>
    <row r="108" spans="2:8" x14ac:dyDescent="0.25">
      <c r="B108" s="18" t="s">
        <v>158</v>
      </c>
      <c r="C108" s="22">
        <f ca="1">VLOOKUP(B108,Kompilirano!T:Z,7,FALSE)/226/5</f>
        <v>516.2318584070797</v>
      </c>
      <c r="D108" s="23">
        <f ca="1">VLOOKUP(B108,Kompilirano!J:P,7,FALSE)/226/5</f>
        <v>0</v>
      </c>
      <c r="E108" s="24" t="str">
        <f ca="1">VLOOKUP(B108,Kompilirano!AM:AS,7,FALSE)</f>
        <v>0.84 (0.01)</v>
      </c>
      <c r="F108" s="25" t="str">
        <f ca="1">VLOOKUP(B108,Kompilirano!AW:BD,7,FALSE)</f>
        <v>1.00 (0.00)</v>
      </c>
      <c r="G108" s="25" t="str">
        <f ca="1">VLOOKUP(B108,Kompilirano!BG:BM,7,FALSE)</f>
        <v>0.08 (0.00)</v>
      </c>
      <c r="H108" s="25" t="str">
        <f ca="1">VLOOKUP(B108,Kompilirano!BQ:BW,7,FALSE)</f>
        <v>0.09 (0.00)</v>
      </c>
    </row>
    <row r="109" spans="2:8" x14ac:dyDescent="0.25">
      <c r="B109" s="18" t="s">
        <v>162</v>
      </c>
      <c r="C109" s="22">
        <f ca="1">VLOOKUP(B109,Kompilirano!T:Z,7,FALSE)/226/5</f>
        <v>515.95398230088495</v>
      </c>
      <c r="D109" s="23">
        <f ca="1">VLOOKUP(B109,Kompilirano!J:P,7,FALSE)/226/5</f>
        <v>2.6194690265486726E-2</v>
      </c>
      <c r="E109" s="24" t="str">
        <f ca="1">VLOOKUP(B109,Kompilirano!AM:AS,7,FALSE)</f>
        <v>0.79 (0.01)</v>
      </c>
      <c r="F109" s="25" t="str">
        <f ca="1">VLOOKUP(B109,Kompilirano!AW:BD,7,FALSE)</f>
        <v>0.87 (0.02)</v>
      </c>
      <c r="G109" s="25" t="str">
        <f ca="1">VLOOKUP(B109,Kompilirano!BG:BM,7,FALSE)</f>
        <v>0.08 (0.00)</v>
      </c>
      <c r="H109" s="25" t="str">
        <f ca="1">VLOOKUP(B109,Kompilirano!BQ:BW,7,FALSE)</f>
        <v>0.09 (0.00)</v>
      </c>
    </row>
    <row r="110" spans="2:8" x14ac:dyDescent="0.25">
      <c r="B110" s="18" t="s">
        <v>166</v>
      </c>
      <c r="C110" s="22">
        <f ca="1">VLOOKUP(B110,Kompilirano!T:Z,7,FALSE)/226/5</f>
        <v>515.80973451327441</v>
      </c>
      <c r="D110" s="23">
        <f ca="1">VLOOKUP(B110,Kompilirano!J:P,7,FALSE)/226/5</f>
        <v>2.15929203539823E-2</v>
      </c>
      <c r="E110" s="24" t="str">
        <f ca="1">VLOOKUP(B110,Kompilirano!AM:AS,7,FALSE)</f>
        <v>0.78 (0.01)</v>
      </c>
      <c r="F110" s="25" t="str">
        <f ca="1">VLOOKUP(B110,Kompilirano!AW:BD,7,FALSE)</f>
        <v>0.89 (0.01)</v>
      </c>
      <c r="G110" s="25" t="str">
        <f ca="1">VLOOKUP(B110,Kompilirano!BG:BM,7,FALSE)</f>
        <v>0.08 (0.00)</v>
      </c>
      <c r="H110" s="25" t="str">
        <f ca="1">VLOOKUP(B110,Kompilirano!BQ:BW,7,FALSE)</f>
        <v>0.09 (0.00)</v>
      </c>
    </row>
    <row r="111" spans="2:8" x14ac:dyDescent="0.25">
      <c r="B111" s="18" t="s">
        <v>168</v>
      </c>
      <c r="C111" s="22">
        <f ca="1">VLOOKUP(B111,Kompilirano!T:Z,7,FALSE)/226/5</f>
        <v>515.41238938053095</v>
      </c>
      <c r="D111" s="23">
        <f ca="1">VLOOKUP(B111,Kompilirano!J:P,7,FALSE)/226/5</f>
        <v>6.3362831858407076E-2</v>
      </c>
      <c r="E111" s="24" t="str">
        <f ca="1">VLOOKUP(B111,Kompilirano!AM:AS,7,FALSE)</f>
        <v>0.65 (0.00)</v>
      </c>
      <c r="F111" s="25" t="str">
        <f ca="1">VLOOKUP(B111,Kompilirano!AW:BD,7,FALSE)</f>
        <v>0.68 (0.01)</v>
      </c>
      <c r="G111" s="25" t="str">
        <f ca="1">VLOOKUP(B111,Kompilirano!BG:BM,7,FALSE)</f>
        <v>0.07 (0.00)</v>
      </c>
      <c r="H111" s="25" t="str">
        <f ca="1">VLOOKUP(B111,Kompilirano!BQ:BW,7,FALSE)</f>
        <v>0.08 (0.00)</v>
      </c>
    </row>
    <row r="112" spans="2:8" x14ac:dyDescent="0.25">
      <c r="B112" s="18" t="s">
        <v>171</v>
      </c>
      <c r="C112" s="22">
        <f ca="1">VLOOKUP(B112,Kompilirano!T:Z,7,FALSE)/226/5</f>
        <v>515.20265486725668</v>
      </c>
      <c r="D112" s="23">
        <f ca="1">VLOOKUP(B112,Kompilirano!J:P,7,FALSE)/226/5</f>
        <v>1.9823008849557521E-2</v>
      </c>
      <c r="E112" s="24" t="str">
        <f ca="1">VLOOKUP(B112,Kompilirano!AM:AS,7,FALSE)</f>
        <v>0.77 (0.01)</v>
      </c>
      <c r="F112" s="25" t="str">
        <f ca="1">VLOOKUP(B112,Kompilirano!AW:BD,7,FALSE)</f>
        <v>0.90 (0.01)</v>
      </c>
      <c r="G112" s="25" t="str">
        <f ca="1">VLOOKUP(B112,Kompilirano!BG:BM,7,FALSE)</f>
        <v>0.07 (0.00)</v>
      </c>
      <c r="H112" s="25" t="str">
        <f ca="1">VLOOKUP(B112,Kompilirano!BQ:BW,7,FALSE)</f>
        <v>0.07 (0.00)</v>
      </c>
    </row>
    <row r="113" spans="2:8" x14ac:dyDescent="0.25">
      <c r="B113" s="18" t="s">
        <v>169</v>
      </c>
      <c r="C113" s="22">
        <f ca="1">VLOOKUP(B113,Kompilirano!T:Z,7,FALSE)/226/5</f>
        <v>515.05486725663718</v>
      </c>
      <c r="D113" s="23">
        <f ca="1">VLOOKUP(B113,Kompilirano!J:P,7,FALSE)/226/5</f>
        <v>2.1238938053097345E-2</v>
      </c>
      <c r="E113" s="24" t="str">
        <f ca="1">VLOOKUP(B113,Kompilirano!AM:AS,7,FALSE)</f>
        <v>0.77 (0.00)</v>
      </c>
      <c r="F113" s="25" t="str">
        <f ca="1">VLOOKUP(B113,Kompilirano!AW:BD,7,FALSE)</f>
        <v>0.89 (0.00)</v>
      </c>
      <c r="G113" s="25" t="str">
        <f ca="1">VLOOKUP(B113,Kompilirano!BG:BM,7,FALSE)</f>
        <v>0.07 (0.00)</v>
      </c>
      <c r="H113" s="25" t="str">
        <f ca="1">VLOOKUP(B113,Kompilirano!BQ:BW,7,FALSE)</f>
        <v>0.07 (0.00)</v>
      </c>
    </row>
    <row r="114" spans="2:8" x14ac:dyDescent="0.25">
      <c r="B114" s="18" t="s">
        <v>172</v>
      </c>
      <c r="C114" s="22">
        <f ca="1">VLOOKUP(B114,Kompilirano!T:Z,7,FALSE)/226/5</f>
        <v>514.30884955752208</v>
      </c>
      <c r="D114" s="23">
        <f ca="1">VLOOKUP(B114,Kompilirano!J:P,7,FALSE)/226/5</f>
        <v>2.2477876106194689E-2</v>
      </c>
      <c r="E114" s="24" t="str">
        <f ca="1">VLOOKUP(B114,Kompilirano!AM:AS,7,FALSE)</f>
        <v>0.81 (0.00)</v>
      </c>
      <c r="F114" s="25" t="str">
        <f ca="1">VLOOKUP(B114,Kompilirano!AW:BD,7,FALSE)</f>
        <v>0.89 (0.01)</v>
      </c>
      <c r="G114" s="25" t="str">
        <f ca="1">VLOOKUP(B114,Kompilirano!BG:BM,7,FALSE)</f>
        <v>0.08 (0.00)</v>
      </c>
      <c r="H114" s="25" t="str">
        <f ca="1">VLOOKUP(B114,Kompilirano!BQ:BW,7,FALSE)</f>
        <v>0.09 (0.00)</v>
      </c>
    </row>
    <row r="115" spans="2:8" x14ac:dyDescent="0.25">
      <c r="B115" s="18" t="s">
        <v>173</v>
      </c>
      <c r="C115" s="22">
        <f ca="1">VLOOKUP(B115,Kompilirano!T:Z,7,FALSE)/226/5</f>
        <v>512.33716814159288</v>
      </c>
      <c r="D115" s="23">
        <f ca="1">VLOOKUP(B115,Kompilirano!J:P,7,FALSE)/226/5</f>
        <v>0</v>
      </c>
      <c r="E115" s="24" t="str">
        <f ca="1">VLOOKUP(B115,Kompilirano!AM:AS,7,FALSE)</f>
        <v>0.86 (0.00)</v>
      </c>
      <c r="F115" s="25" t="str">
        <f ca="1">VLOOKUP(B115,Kompilirano!AW:BD,7,FALSE)</f>
        <v>1.00 (0.00)</v>
      </c>
      <c r="G115" s="25" t="str">
        <f ca="1">VLOOKUP(B115,Kompilirano!BG:BM,7,FALSE)</f>
        <v>0.09 (0.00)</v>
      </c>
      <c r="H115" s="25" t="str">
        <f ca="1">VLOOKUP(B115,Kompilirano!BQ:BW,7,FALSE)</f>
        <v>0.09 (0.00)</v>
      </c>
    </row>
    <row r="116" spans="2:8" x14ac:dyDescent="0.25">
      <c r="B116" s="18" t="s">
        <v>174</v>
      </c>
      <c r="C116" s="22">
        <f ca="1">VLOOKUP(B116,Kompilirano!T:Z,7,FALSE)/226/5</f>
        <v>511.96637168141598</v>
      </c>
      <c r="D116" s="23">
        <f ca="1">VLOOKUP(B116,Kompilirano!J:P,7,FALSE)/226/5</f>
        <v>2.4247787610619468E-2</v>
      </c>
      <c r="E116" s="24" t="str">
        <f ca="1">VLOOKUP(B116,Kompilirano!AM:AS,7,FALSE)</f>
        <v>0.81 (0.00)</v>
      </c>
      <c r="F116" s="25" t="str">
        <f ca="1">VLOOKUP(B116,Kompilirano!AW:BD,7,FALSE)</f>
        <v>0.88 (0.01)</v>
      </c>
      <c r="G116" s="25" t="str">
        <f ca="1">VLOOKUP(B116,Kompilirano!BG:BM,7,FALSE)</f>
        <v>0.08 (0.00)</v>
      </c>
      <c r="H116" s="25" t="str">
        <f ca="1">VLOOKUP(B116,Kompilirano!BQ:BW,7,FALSE)</f>
        <v>0.08 (0.00)</v>
      </c>
    </row>
    <row r="117" spans="2:8" x14ac:dyDescent="0.25">
      <c r="B117" s="18" t="s">
        <v>176</v>
      </c>
      <c r="C117" s="22">
        <f ca="1">VLOOKUP(B117,Kompilirano!T:Z,7,FALSE)/226/5</f>
        <v>511.74690265486726</v>
      </c>
      <c r="D117" s="23">
        <f ca="1">VLOOKUP(B117,Kompilirano!J:P,7,FALSE)/226/5</f>
        <v>6.3716814159292035E-2</v>
      </c>
      <c r="E117" s="24" t="str">
        <f ca="1">VLOOKUP(B117,Kompilirano!AM:AS,7,FALSE)</f>
        <v>0.64 (0.00)</v>
      </c>
      <c r="F117" s="25" t="str">
        <f ca="1">VLOOKUP(B117,Kompilirano!AW:BD,7,FALSE)</f>
        <v>0.68 (0.00)</v>
      </c>
      <c r="G117" s="25" t="str">
        <f ca="1">VLOOKUP(B117,Kompilirano!BG:BM,7,FALSE)</f>
        <v>0.07 (0.00)</v>
      </c>
      <c r="H117" s="25" t="str">
        <f ca="1">VLOOKUP(B117,Kompilirano!BQ:BW,7,FALSE)</f>
        <v>0.08 (0.00)</v>
      </c>
    </row>
    <row r="118" spans="2:8" x14ac:dyDescent="0.25">
      <c r="B118" s="18" t="s">
        <v>175</v>
      </c>
      <c r="C118" s="22">
        <f ca="1">VLOOKUP(B118,Kompilirano!T:Z,7,FALSE)/226/5</f>
        <v>511.53185840707965</v>
      </c>
      <c r="D118" s="23">
        <f ca="1">VLOOKUP(B118,Kompilirano!J:P,7,FALSE)/226/5</f>
        <v>4.9557522123893805E-2</v>
      </c>
      <c r="E118" s="24" t="str">
        <f ca="1">VLOOKUP(B118,Kompilirano!AM:AS,7,FALSE)</f>
        <v>0.71 (0.00)</v>
      </c>
      <c r="F118" s="25" t="str">
        <f ca="1">VLOOKUP(B118,Kompilirano!AW:BD,7,FALSE)</f>
        <v>0.75 (0.00)</v>
      </c>
      <c r="G118" s="25" t="str">
        <f ca="1">VLOOKUP(B118,Kompilirano!BG:BM,7,FALSE)</f>
        <v>0.07 (0.00)</v>
      </c>
      <c r="H118" s="25" t="str">
        <f ca="1">VLOOKUP(B118,Kompilirano!BQ:BW,7,FALSE)</f>
        <v>0.08 (0.00)</v>
      </c>
    </row>
    <row r="119" spans="2:8" x14ac:dyDescent="0.25">
      <c r="B119" s="18" t="s">
        <v>164</v>
      </c>
      <c r="C119" s="22">
        <f ca="1">VLOOKUP(B119,Kompilirano!T:Z,7,FALSE)/226/5</f>
        <v>509.44424778761061</v>
      </c>
      <c r="D119" s="23">
        <f ca="1">VLOOKUP(B119,Kompilirano!J:P,7,FALSE)/226/5</f>
        <v>6.2831858407079638E-2</v>
      </c>
      <c r="E119" s="24" t="str">
        <f ca="1">VLOOKUP(B119,Kompilirano!AM:AS,7,FALSE)</f>
        <v>0.74 (0.02)</v>
      </c>
      <c r="F119" s="25" t="str">
        <f ca="1">VLOOKUP(B119,Kompilirano!AW:BD,7,FALSE)</f>
        <v>0.69 (0.03)</v>
      </c>
      <c r="G119" s="25" t="str">
        <f ca="1">VLOOKUP(B119,Kompilirano!BG:BM,7,FALSE)</f>
        <v>0.08 (0.00)</v>
      </c>
      <c r="H119" s="25" t="str">
        <f ca="1">VLOOKUP(B119,Kompilirano!BQ:BW,7,FALSE)</f>
        <v>0.08 (0.00)</v>
      </c>
    </row>
    <row r="120" spans="2:8" x14ac:dyDescent="0.25">
      <c r="B120" s="18" t="s">
        <v>177</v>
      </c>
      <c r="C120" s="22">
        <f ca="1">VLOOKUP(B120,Kompilirano!T:Z,7,FALSE)/226/5</f>
        <v>507.89469026548676</v>
      </c>
      <c r="D120" s="23">
        <f ca="1">VLOOKUP(B120,Kompilirano!J:P,7,FALSE)/226/5</f>
        <v>6.2477876106194687E-2</v>
      </c>
      <c r="E120" s="24" t="str">
        <f ca="1">VLOOKUP(B120,Kompilirano!AM:AS,7,FALSE)</f>
        <v>0.67 (0.01)</v>
      </c>
      <c r="F120" s="25" t="str">
        <f ca="1">VLOOKUP(B120,Kompilirano!AW:BD,7,FALSE)</f>
        <v>0.69 (0.01)</v>
      </c>
      <c r="G120" s="25" t="str">
        <f ca="1">VLOOKUP(B120,Kompilirano!BG:BM,7,FALSE)</f>
        <v>0.07 (0.00)</v>
      </c>
      <c r="H120" s="25" t="str">
        <f ca="1">VLOOKUP(B120,Kompilirano!BQ:BW,7,FALSE)</f>
        <v>0.08 (0.00)</v>
      </c>
    </row>
    <row r="121" spans="2:8" x14ac:dyDescent="0.25">
      <c r="B121" s="18" t="s">
        <v>178</v>
      </c>
      <c r="C121" s="22">
        <f ca="1">VLOOKUP(B121,Kompilirano!T:Z,7,FALSE)/226/5</f>
        <v>507.47345132743368</v>
      </c>
      <c r="D121" s="23">
        <f ca="1">VLOOKUP(B121,Kompilirano!J:P,7,FALSE)/226/5</f>
        <v>6.2654867256637173E-2</v>
      </c>
      <c r="E121" s="24" t="str">
        <f ca="1">VLOOKUP(B121,Kompilirano!AM:AS,7,FALSE)</f>
        <v>0.68 (0.01)</v>
      </c>
      <c r="F121" s="25" t="str">
        <f ca="1">VLOOKUP(B121,Kompilirano!AW:BD,7,FALSE)</f>
        <v>0.69 (0.01)</v>
      </c>
      <c r="G121" s="25" t="str">
        <f ca="1">VLOOKUP(B121,Kompilirano!BG:BM,7,FALSE)</f>
        <v>0.07 (0.00)</v>
      </c>
      <c r="H121" s="25" t="str">
        <f ca="1">VLOOKUP(B121,Kompilirano!BQ:BW,7,FALSE)</f>
        <v>0.08 (0.00)</v>
      </c>
    </row>
    <row r="122" spans="2:8" x14ac:dyDescent="0.25">
      <c r="B122" s="18" t="s">
        <v>179</v>
      </c>
      <c r="C122" s="22">
        <f ca="1">VLOOKUP(B122,Kompilirano!T:Z,7,FALSE)/226/5</f>
        <v>502.00530973451322</v>
      </c>
      <c r="D122" s="23">
        <f ca="1">VLOOKUP(B122,Kompilirano!J:P,7,FALSE)/226/5</f>
        <v>1.3274336283185842E-2</v>
      </c>
      <c r="E122" s="24" t="str">
        <f ca="1">VLOOKUP(B122,Kompilirano!AM:AS,7,FALSE)</f>
        <v>0.90 (0.00)</v>
      </c>
      <c r="F122" s="25" t="str">
        <f ca="1">VLOOKUP(B122,Kompilirano!AW:BD,7,FALSE)</f>
        <v>0.93 (0.01)</v>
      </c>
      <c r="G122" s="25" t="str">
        <f ca="1">VLOOKUP(B122,Kompilirano!BG:BM,7,FALSE)</f>
        <v>0.08 (0.00)</v>
      </c>
      <c r="H122" s="25" t="str">
        <f ca="1">VLOOKUP(B122,Kompilirano!BQ:BW,7,FALSE)</f>
        <v>0.08 (0.00)</v>
      </c>
    </row>
    <row r="123" spans="2:8" x14ac:dyDescent="0.25">
      <c r="B123" s="18" t="s">
        <v>180</v>
      </c>
      <c r="C123" s="22">
        <f ca="1">VLOOKUP(B123,Kompilirano!T:Z,7,FALSE)/226/5</f>
        <v>500.37610619469024</v>
      </c>
      <c r="D123" s="23">
        <f ca="1">VLOOKUP(B123,Kompilirano!J:P,7,FALSE)/226/5</f>
        <v>9.3274336283185849E-2</v>
      </c>
      <c r="E123" s="24" t="str">
        <f ca="1">VLOOKUP(B123,Kompilirano!AM:AS,7,FALSE)</f>
        <v>0.60 (0.02)</v>
      </c>
      <c r="F123" s="25" t="str">
        <f ca="1">VLOOKUP(B123,Kompilirano!AW:BD,7,FALSE)</f>
        <v>0.53 (0.02)</v>
      </c>
      <c r="G123" s="25" t="str">
        <f ca="1">VLOOKUP(B123,Kompilirano!BG:BM,7,FALSE)</f>
        <v>0.06 (0.00)</v>
      </c>
      <c r="H123" s="25" t="str">
        <f ca="1">VLOOKUP(B123,Kompilirano!BQ:BW,7,FALSE)</f>
        <v>0.05 (0.00)</v>
      </c>
    </row>
    <row r="124" spans="2:8" x14ac:dyDescent="0.25">
      <c r="B124" s="18" t="s">
        <v>12</v>
      </c>
      <c r="C124" s="22">
        <f ca="1">VLOOKUP(B124,Kompilirano!T:Z,7,FALSE)/226/5</f>
        <v>496.37787610619472</v>
      </c>
      <c r="D124" s="23">
        <f ca="1">VLOOKUP(B124,Kompilirano!J:P,7,FALSE)/226/5</f>
        <v>1.2566371681415927E-2</v>
      </c>
      <c r="E124" s="24" t="str">
        <f ca="1">VLOOKUP(B124,Kompilirano!AM:AS,7,FALSE)</f>
        <v>0.95 (0.00)</v>
      </c>
      <c r="F124" s="25" t="str">
        <f ca="1">VLOOKUP(B124,Kompilirano!AW:BD,7,FALSE)</f>
        <v>0.94 (0.00)</v>
      </c>
      <c r="G124" s="25" t="str">
        <f ca="1">VLOOKUP(B124,Kompilirano!BG:BM,7,FALSE)</f>
        <v>0.09 (0.00)</v>
      </c>
      <c r="H124" s="25" t="str">
        <f ca="1">VLOOKUP(B124,Kompilirano!BQ:BW,7,FALSE)</f>
        <v>0.07 (0.00)</v>
      </c>
    </row>
    <row r="125" spans="2:8" x14ac:dyDescent="0.25">
      <c r="B125" s="18" t="s">
        <v>181</v>
      </c>
      <c r="C125" s="22">
        <f ca="1">VLOOKUP(B125,Kompilirano!T:Z,7,FALSE)/226/5</f>
        <v>496.3557522123894</v>
      </c>
      <c r="D125" s="23">
        <f ca="1">VLOOKUP(B125,Kompilirano!J:P,7,FALSE)/226/5</f>
        <v>7.0265486725663712E-2</v>
      </c>
      <c r="E125" s="24" t="str">
        <f ca="1">VLOOKUP(B125,Kompilirano!AM:AS,7,FALSE)</f>
        <v>0.67 (0.01)</v>
      </c>
      <c r="F125" s="25" t="str">
        <f ca="1">VLOOKUP(B125,Kompilirano!AW:BD,7,FALSE)</f>
        <v>0.65 (0.01)</v>
      </c>
      <c r="G125" s="25" t="str">
        <f ca="1">VLOOKUP(B125,Kompilirano!BG:BM,7,FALSE)</f>
        <v>0.07 (0.00)</v>
      </c>
      <c r="H125" s="25" t="str">
        <f ca="1">VLOOKUP(B125,Kompilirano!BQ:BW,7,FALSE)</f>
        <v>0.05 (0.00)</v>
      </c>
    </row>
    <row r="126" spans="2:8" x14ac:dyDescent="0.25">
      <c r="B126" s="18" t="s">
        <v>182</v>
      </c>
      <c r="C126" s="22">
        <f ca="1">VLOOKUP(B126,Kompilirano!T:Z,7,FALSE)/226/5</f>
        <v>483.9159292035398</v>
      </c>
      <c r="D126" s="23">
        <f ca="1">VLOOKUP(B126,Kompilirano!J:P,7,FALSE)/226/5</f>
        <v>1.1504424778761062E-2</v>
      </c>
      <c r="E126" s="24" t="str">
        <f ca="1">VLOOKUP(B126,Kompilirano!AM:AS,7,FALSE)</f>
        <v>0.94 (0.00)</v>
      </c>
      <c r="F126" s="25" t="str">
        <f ca="1">VLOOKUP(B126,Kompilirano!AW:BD,7,FALSE)</f>
        <v>0.94 (0.00)</v>
      </c>
      <c r="G126" s="25" t="str">
        <f ca="1">VLOOKUP(B126,Kompilirano!BG:BM,7,FALSE)</f>
        <v>0.09 (0.00)</v>
      </c>
      <c r="H126" s="25" t="str">
        <f ca="1">VLOOKUP(B126,Kompilirano!BQ:BW,7,FALSE)</f>
        <v>0.08 (0.00)</v>
      </c>
    </row>
    <row r="127" spans="2:8" x14ac:dyDescent="0.25">
      <c r="B127" s="18" t="s">
        <v>185</v>
      </c>
      <c r="C127" s="22">
        <f ca="1">VLOOKUP(B127,Kompilirano!T:Z,7,FALSE)/226/5</f>
        <v>477.7362831858407</v>
      </c>
      <c r="D127" s="23">
        <f ca="1">VLOOKUP(B127,Kompilirano!J:P,7,FALSE)/226/5</f>
        <v>0</v>
      </c>
      <c r="E127" s="24" t="str">
        <f ca="1">VLOOKUP(B127,Kompilirano!AM:AS,7,FALSE)</f>
        <v>0.96 (0.00)</v>
      </c>
      <c r="F127" s="25" t="str">
        <f ca="1">VLOOKUP(B127,Kompilirano!AW:BD,7,FALSE)</f>
        <v>1.00 (0.00)</v>
      </c>
      <c r="G127" s="25" t="str">
        <f ca="1">VLOOKUP(B127,Kompilirano!BG:BM,7,FALSE)</f>
        <v>0.09 (0.00)</v>
      </c>
      <c r="H127" s="25" t="str">
        <f ca="1">VLOOKUP(B127,Kompilirano!BQ:BW,7,FALSE)</f>
        <v>0.07 (0.00)</v>
      </c>
    </row>
    <row r="128" spans="2:8" x14ac:dyDescent="0.25">
      <c r="B128" s="18" t="s">
        <v>192</v>
      </c>
      <c r="C128" s="22">
        <f ca="1">VLOOKUP(B128,Kompilirano!T:Z,7,FALSE)/226/5</f>
        <v>476.51238938053092</v>
      </c>
      <c r="D128" s="23">
        <f ca="1">VLOOKUP(B128,Kompilirano!J:P,7,FALSE)/226/5</f>
        <v>9.2035398230088487E-3</v>
      </c>
      <c r="E128" s="24" t="str">
        <f ca="1">VLOOKUP(B128,Kompilirano!AM:AS,7,FALSE)</f>
        <v>0.93 (0.01)</v>
      </c>
      <c r="F128" s="25" t="str">
        <f ca="1">VLOOKUP(B128,Kompilirano!AW:BD,7,FALSE)</f>
        <v>0.95 (0.01)</v>
      </c>
      <c r="G128" s="25" t="str">
        <f ca="1">VLOOKUP(B128,Kompilirano!BG:BM,7,FALSE)</f>
        <v>0.09 (0.00)</v>
      </c>
      <c r="H128" s="25" t="str">
        <f ca="1">VLOOKUP(B128,Kompilirano!BQ:BW,7,FALSE)</f>
        <v>0.08 (0.00)</v>
      </c>
    </row>
    <row r="129" spans="2:8" x14ac:dyDescent="0.25">
      <c r="B129" s="18" t="s">
        <v>17</v>
      </c>
      <c r="C129" s="22">
        <f ca="1">VLOOKUP(B129,Kompilirano!T:Z,7,FALSE)/226/5</f>
        <v>475.92831858407078</v>
      </c>
      <c r="D129" s="23">
        <f ca="1">VLOOKUP(B129,Kompilirano!J:P,7,FALSE)/226/5</f>
        <v>9.0973451327433633E-2</v>
      </c>
      <c r="E129" s="24" t="str">
        <f ca="1">VLOOKUP(B129,Kompilirano!AM:AS,7,FALSE)</f>
        <v>0.70 (0.00)</v>
      </c>
      <c r="F129" s="25" t="str">
        <f ca="1">VLOOKUP(B129,Kompilirano!AW:BD,7,FALSE)</f>
        <v>0.55 (0.01)</v>
      </c>
      <c r="G129" s="25" t="str">
        <f ca="1">VLOOKUP(B129,Kompilirano!BG:BM,7,FALSE)</f>
        <v>0.07 (0.00)</v>
      </c>
      <c r="H129" s="25" t="str">
        <f ca="1">VLOOKUP(B129,Kompilirano!BQ:BW,7,FALSE)</f>
        <v>0.05 (0.00)</v>
      </c>
    </row>
    <row r="130" spans="2:8" x14ac:dyDescent="0.25">
      <c r="B130" s="18" t="s">
        <v>187</v>
      </c>
      <c r="C130" s="22">
        <f ca="1">VLOOKUP(B130,Kompilirano!T:Z,7,FALSE)/226/5</f>
        <v>475.67168141592919</v>
      </c>
      <c r="D130" s="23">
        <f ca="1">VLOOKUP(B130,Kompilirano!J:P,7,FALSE)/226/5</f>
        <v>0</v>
      </c>
      <c r="E130" s="24" t="str">
        <f ca="1">VLOOKUP(B130,Kompilirano!AM:AS,7,FALSE)</f>
        <v>0.99 (0.00)</v>
      </c>
      <c r="F130" s="25" t="str">
        <f ca="1">VLOOKUP(B130,Kompilirano!AW:BD,7,FALSE)</f>
        <v>1.00 (0.00)</v>
      </c>
      <c r="G130" s="25" t="str">
        <f ca="1">VLOOKUP(B130,Kompilirano!BG:BM,7,FALSE)</f>
        <v>0.09 (0.00)</v>
      </c>
      <c r="H130" s="25" t="str">
        <f ca="1">VLOOKUP(B130,Kompilirano!BQ:BW,7,FALSE)</f>
        <v>0.08 (0.00)</v>
      </c>
    </row>
    <row r="131" spans="2:8" x14ac:dyDescent="0.25">
      <c r="B131" s="18" t="s">
        <v>184</v>
      </c>
      <c r="C131" s="22">
        <f ca="1">VLOOKUP(B131,Kompilirano!T:Z,7,FALSE)/226/5</f>
        <v>474.39292035398228</v>
      </c>
      <c r="D131" s="23">
        <f ca="1">VLOOKUP(B131,Kompilirano!J:P,7,FALSE)/226/5</f>
        <v>8.1061946902654863E-2</v>
      </c>
      <c r="E131" s="24" t="str">
        <f ca="1">VLOOKUP(B131,Kompilirano!AM:AS,7,FALSE)</f>
        <v>0.43 (0.01)</v>
      </c>
      <c r="F131" s="25" t="str">
        <f ca="1">VLOOKUP(B131,Kompilirano!AW:BD,7,FALSE)</f>
        <v>0.59 (0.01)</v>
      </c>
      <c r="G131" s="25" t="str">
        <f ca="1">VLOOKUP(B131,Kompilirano!BG:BM,7,FALSE)</f>
        <v>0.04 (0.00)</v>
      </c>
      <c r="H131" s="25" t="str">
        <f ca="1">VLOOKUP(B131,Kompilirano!BQ:BW,7,FALSE)</f>
        <v>0.01 (0.00)</v>
      </c>
    </row>
    <row r="132" spans="2:8" x14ac:dyDescent="0.25">
      <c r="B132" s="18" t="s">
        <v>191</v>
      </c>
      <c r="C132" s="22">
        <f ca="1">VLOOKUP(B132,Kompilirano!T:Z,7,FALSE)/226/5</f>
        <v>473.33893805309737</v>
      </c>
      <c r="D132" s="23">
        <f ca="1">VLOOKUP(B132,Kompilirano!J:P,7,FALSE)/226/5</f>
        <v>4.9026548672566374E-2</v>
      </c>
      <c r="E132" s="24" t="str">
        <f ca="1">VLOOKUP(B132,Kompilirano!AM:AS,7,FALSE)</f>
        <v>0.58 (0.00)</v>
      </c>
      <c r="F132" s="25" t="str">
        <f ca="1">VLOOKUP(B132,Kompilirano!AW:BD,7,FALSE)</f>
        <v>0.75 (0.01)</v>
      </c>
      <c r="G132" s="25" t="str">
        <f ca="1">VLOOKUP(B132,Kompilirano!BG:BM,7,FALSE)</f>
        <v>0.06 (0.00)</v>
      </c>
      <c r="H132" s="25" t="str">
        <f ca="1">VLOOKUP(B132,Kompilirano!BQ:BW,7,FALSE)</f>
        <v>0.04 (0.00)</v>
      </c>
    </row>
    <row r="133" spans="2:8" x14ac:dyDescent="0.25">
      <c r="B133" s="18" t="s">
        <v>186</v>
      </c>
      <c r="C133" s="22">
        <f ca="1">VLOOKUP(B133,Kompilirano!T:Z,7,FALSE)/226/5</f>
        <v>473.17522123893804</v>
      </c>
      <c r="D133" s="23">
        <f ca="1">VLOOKUP(B133,Kompilirano!J:P,7,FALSE)/226/5</f>
        <v>2.6548672566371681E-3</v>
      </c>
      <c r="E133" s="24" t="str">
        <f ca="1">VLOOKUP(B133,Kompilirano!AM:AS,7,FALSE)</f>
        <v>0.98 (0.00)</v>
      </c>
      <c r="F133" s="25" t="str">
        <f ca="1">VLOOKUP(B133,Kompilirano!AW:BD,7,FALSE)</f>
        <v>0.99 (0.00)</v>
      </c>
      <c r="G133" s="25" t="str">
        <f ca="1">VLOOKUP(B133,Kompilirano!BG:BM,7,FALSE)</f>
        <v>0.09 (0.00)</v>
      </c>
      <c r="H133" s="25" t="str">
        <f ca="1">VLOOKUP(B133,Kompilirano!BQ:BW,7,FALSE)</f>
        <v>0.08 (0.00)</v>
      </c>
    </row>
    <row r="134" spans="2:8" x14ac:dyDescent="0.25">
      <c r="B134" s="18" t="s">
        <v>190</v>
      </c>
      <c r="C134" s="22">
        <f ca="1">VLOOKUP(B134,Kompilirano!T:Z,7,FALSE)/226/5</f>
        <v>471.66991150442482</v>
      </c>
      <c r="D134" s="23">
        <f ca="1">VLOOKUP(B134,Kompilirano!J:P,7,FALSE)/226/5</f>
        <v>4.8495575221238936E-2</v>
      </c>
      <c r="E134" s="24" t="str">
        <f ca="1">VLOOKUP(B134,Kompilirano!AM:AS,7,FALSE)</f>
        <v>0.57 (0.00)</v>
      </c>
      <c r="F134" s="25" t="str">
        <f ca="1">VLOOKUP(B134,Kompilirano!AW:BD,7,FALSE)</f>
        <v>0.76 (0.01)</v>
      </c>
      <c r="G134" s="25" t="str">
        <f ca="1">VLOOKUP(B134,Kompilirano!BG:BM,7,FALSE)</f>
        <v>0.06 (0.00)</v>
      </c>
      <c r="H134" s="25" t="str">
        <f ca="1">VLOOKUP(B134,Kompilirano!BQ:BW,7,FALSE)</f>
        <v>0.04 (0.00)</v>
      </c>
    </row>
    <row r="135" spans="2:8" x14ac:dyDescent="0.25">
      <c r="B135" s="18" t="s">
        <v>189</v>
      </c>
      <c r="C135" s="22">
        <f ca="1">VLOOKUP(B135,Kompilirano!T:Z,7,FALSE)/226/5</f>
        <v>470.0840707964602</v>
      </c>
      <c r="D135" s="23">
        <f ca="1">VLOOKUP(B135,Kompilirano!J:P,7,FALSE)/226/5</f>
        <v>4.247787610619469E-2</v>
      </c>
      <c r="E135" s="24" t="str">
        <f ca="1">VLOOKUP(B135,Kompilirano!AM:AS,7,FALSE)</f>
        <v>0.77 (0.00)</v>
      </c>
      <c r="F135" s="25" t="str">
        <f ca="1">VLOOKUP(B135,Kompilirano!AW:BD,7,FALSE)</f>
        <v>0.79 (0.01)</v>
      </c>
      <c r="G135" s="25" t="str">
        <f ca="1">VLOOKUP(B135,Kompilirano!BG:BM,7,FALSE)</f>
        <v>0.07 (0.00)</v>
      </c>
      <c r="H135" s="25" t="str">
        <f ca="1">VLOOKUP(B135,Kompilirano!BQ:BW,7,FALSE)</f>
        <v>0.05 (0.00)</v>
      </c>
    </row>
    <row r="136" spans="2:8" x14ac:dyDescent="0.25">
      <c r="B136" s="18" t="s">
        <v>183</v>
      </c>
      <c r="C136" s="22">
        <f ca="1">VLOOKUP(B136,Kompilirano!T:Z,7,FALSE)/226/5</f>
        <v>470.03185840707965</v>
      </c>
      <c r="D136" s="23">
        <f ca="1">VLOOKUP(B136,Kompilirano!J:P,7,FALSE)/226/5</f>
        <v>8.8318584070796458E-2</v>
      </c>
      <c r="E136" s="24" t="str">
        <f ca="1">VLOOKUP(B136,Kompilirano!AM:AS,7,FALSE)</f>
        <v>0.44 (0.01)</v>
      </c>
      <c r="F136" s="25" t="str">
        <f ca="1">VLOOKUP(B136,Kompilirano!AW:BD,7,FALSE)</f>
        <v>0.56 (0.02)</v>
      </c>
      <c r="G136" s="25" t="str">
        <f ca="1">VLOOKUP(B136,Kompilirano!BG:BM,7,FALSE)</f>
        <v>0.04 (0.00)</v>
      </c>
      <c r="H136" s="25" t="str">
        <f ca="1">VLOOKUP(B136,Kompilirano!BQ:BW,7,FALSE)</f>
        <v>0.01 (0.00)</v>
      </c>
    </row>
    <row r="137" spans="2:8" x14ac:dyDescent="0.25">
      <c r="B137" s="18" t="s">
        <v>193</v>
      </c>
      <c r="C137" s="22">
        <f ca="1">VLOOKUP(B137,Kompilirano!T:Z,7,FALSE)/226/5</f>
        <v>468.89734513274334</v>
      </c>
      <c r="D137" s="23">
        <f ca="1">VLOOKUP(B137,Kompilirano!J:P,7,FALSE)/226/5</f>
        <v>5.36283185840708E-2</v>
      </c>
      <c r="E137" s="24" t="str">
        <f ca="1">VLOOKUP(B137,Kompilirano!AM:AS,7,FALSE)</f>
        <v>0.57 (0.00)</v>
      </c>
      <c r="F137" s="25" t="str">
        <f ca="1">VLOOKUP(B137,Kompilirano!AW:BD,7,FALSE)</f>
        <v>0.73 (0.01)</v>
      </c>
      <c r="G137" s="25" t="str">
        <f ca="1">VLOOKUP(B137,Kompilirano!BG:BM,7,FALSE)</f>
        <v>0.06 (0.00)</v>
      </c>
      <c r="H137" s="25" t="str">
        <f ca="1">VLOOKUP(B137,Kompilirano!BQ:BW,7,FALSE)</f>
        <v>0.04 (0.00)</v>
      </c>
    </row>
    <row r="138" spans="2:8" x14ac:dyDescent="0.25">
      <c r="B138" s="18" t="s">
        <v>188</v>
      </c>
      <c r="C138" s="22">
        <f ca="1">VLOOKUP(B138,Kompilirano!T:Z,7,FALSE)/226/5</f>
        <v>467.72389380530979</v>
      </c>
      <c r="D138" s="23">
        <f ca="1">VLOOKUP(B138,Kompilirano!J:P,7,FALSE)/226/5</f>
        <v>5.5398230088495579E-2</v>
      </c>
      <c r="E138" s="24" t="str">
        <f ca="1">VLOOKUP(B138,Kompilirano!AM:AS,7,FALSE)</f>
        <v>0.66 (0.01)</v>
      </c>
      <c r="F138" s="25" t="str">
        <f ca="1">VLOOKUP(B138,Kompilirano!AW:BD,7,FALSE)</f>
        <v>0.72 (0.03)</v>
      </c>
      <c r="G138" s="25" t="str">
        <f ca="1">VLOOKUP(B138,Kompilirano!BG:BM,7,FALSE)</f>
        <v>0.07 (0.00)</v>
      </c>
      <c r="H138" s="25" t="str">
        <f ca="1">VLOOKUP(B138,Kompilirano!BQ:BW,7,FALSE)</f>
        <v>0.06 (0.00)</v>
      </c>
    </row>
    <row r="139" spans="2:8" x14ac:dyDescent="0.25">
      <c r="B139" s="18" t="s">
        <v>197</v>
      </c>
      <c r="C139" s="22">
        <f ca="1">VLOOKUP(B139,Kompilirano!T:Z,7,FALSE)/226/5</f>
        <v>466.83185840707966</v>
      </c>
      <c r="D139" s="23">
        <f ca="1">VLOOKUP(B139,Kompilirano!J:P,7,FALSE)/226/5</f>
        <v>0</v>
      </c>
      <c r="E139" s="24" t="str">
        <f ca="1">VLOOKUP(B139,Kompilirano!AM:AS,7,FALSE)</f>
        <v>1.00 (0.00)</v>
      </c>
      <c r="F139" s="25" t="str">
        <f ca="1">VLOOKUP(B139,Kompilirano!AW:BD,7,FALSE)</f>
        <v>1.00 (0.00)</v>
      </c>
      <c r="G139" s="25" t="str">
        <f ca="1">VLOOKUP(B139,Kompilirano!BG:BM,7,FALSE)</f>
        <v>0.09 (0.00)</v>
      </c>
      <c r="H139" s="25" t="str">
        <f ca="1">VLOOKUP(B139,Kompilirano!BQ:BW,7,FALSE)</f>
        <v>0.08 (0.00)</v>
      </c>
    </row>
    <row r="140" spans="2:8" x14ac:dyDescent="0.25">
      <c r="B140" s="18" t="s">
        <v>194</v>
      </c>
      <c r="C140" s="22">
        <f ca="1">VLOOKUP(B140,Kompilirano!T:Z,7,FALSE)/226/5</f>
        <v>466.63274336283183</v>
      </c>
      <c r="D140" s="23">
        <f ca="1">VLOOKUP(B140,Kompilirano!J:P,7,FALSE)/226/5</f>
        <v>4.8318584070796464E-2</v>
      </c>
      <c r="E140" s="24" t="str">
        <f ca="1">VLOOKUP(B140,Kompilirano!AM:AS,7,FALSE)</f>
        <v>0.71 (0.01)</v>
      </c>
      <c r="F140" s="25" t="str">
        <f ca="1">VLOOKUP(B140,Kompilirano!AW:BD,7,FALSE)</f>
        <v>0.76 (0.00)</v>
      </c>
      <c r="G140" s="25" t="str">
        <f ca="1">VLOOKUP(B140,Kompilirano!BG:BM,7,FALSE)</f>
        <v>0.07 (0.00)</v>
      </c>
      <c r="H140" s="25" t="str">
        <f ca="1">VLOOKUP(B140,Kompilirano!BQ:BW,7,FALSE)</f>
        <v>0.06 (0.00)</v>
      </c>
    </row>
    <row r="141" spans="2:8" x14ac:dyDescent="0.25">
      <c r="B141" s="18" t="s">
        <v>195</v>
      </c>
      <c r="C141" s="22">
        <f ca="1">VLOOKUP(B141,Kompilirano!T:Z,7,FALSE)/226/5</f>
        <v>465.97345132743368</v>
      </c>
      <c r="D141" s="23">
        <f ca="1">VLOOKUP(B141,Kompilirano!J:P,7,FALSE)/226/5</f>
        <v>5.4159292035398231E-2</v>
      </c>
      <c r="E141" s="24" t="str">
        <f ca="1">VLOOKUP(B141,Kompilirano!AM:AS,7,FALSE)</f>
        <v>0.81 (0.00)</v>
      </c>
      <c r="F141" s="25" t="str">
        <f ca="1">VLOOKUP(B141,Kompilirano!AW:BD,7,FALSE)</f>
        <v>0.73 (0.01)</v>
      </c>
      <c r="G141" s="25" t="str">
        <f ca="1">VLOOKUP(B141,Kompilirano!BG:BM,7,FALSE)</f>
        <v>0.08 (0.00)</v>
      </c>
      <c r="H141" s="25" t="str">
        <f ca="1">VLOOKUP(B141,Kompilirano!BQ:BW,7,FALSE)</f>
        <v>0.06 (0.00)</v>
      </c>
    </row>
    <row r="142" spans="2:8" x14ac:dyDescent="0.25">
      <c r="B142" s="18" t="s">
        <v>196</v>
      </c>
      <c r="C142" s="22">
        <f ca="1">VLOOKUP(B142,Kompilirano!T:Z,7,FALSE)/226/5</f>
        <v>464.70973451327438</v>
      </c>
      <c r="D142" s="23">
        <f ca="1">VLOOKUP(B142,Kompilirano!J:P,7,FALSE)/226/5</f>
        <v>7.3982300884955748E-2</v>
      </c>
      <c r="E142" s="24" t="str">
        <f ca="1">VLOOKUP(B142,Kompilirano!AM:AS,7,FALSE)</f>
        <v>0.41 (0.01)</v>
      </c>
      <c r="F142" s="25" t="str">
        <f ca="1">VLOOKUP(B142,Kompilirano!AW:BD,7,FALSE)</f>
        <v>0.63 (0.02)</v>
      </c>
      <c r="G142" s="25" t="str">
        <f ca="1">VLOOKUP(B142,Kompilirano!BG:BM,7,FALSE)</f>
        <v>0.04 (0.00)</v>
      </c>
      <c r="H142" s="25" t="str">
        <f ca="1">VLOOKUP(B142,Kompilirano!BQ:BW,7,FALSE)</f>
        <v>0.00 (0.00)</v>
      </c>
    </row>
    <row r="143" spans="2:8" x14ac:dyDescent="0.25">
      <c r="B143" s="18" t="s">
        <v>18</v>
      </c>
      <c r="C143" s="22">
        <f ca="1">VLOOKUP(B143,Kompilirano!T:Z,7,FALSE)/226/5</f>
        <v>451.58495575221241</v>
      </c>
      <c r="D143" s="23">
        <f ca="1">VLOOKUP(B143,Kompilirano!J:P,7,FALSE)/226/5</f>
        <v>0.10106194690265487</v>
      </c>
      <c r="E143" s="24" t="str">
        <f ca="1">VLOOKUP(B143,Kompilirano!AM:AS,7,FALSE)</f>
        <v>0.30 (0.01)</v>
      </c>
      <c r="F143" s="25" t="str">
        <f ca="1">VLOOKUP(B143,Kompilirano!AW:BD,7,FALSE)</f>
        <v>0.49 (0.01)</v>
      </c>
      <c r="G143" s="25" t="str">
        <f ca="1">VLOOKUP(B143,Kompilirano!BG:BM,7,FALSE)</f>
        <v>0.03 (0.00)</v>
      </c>
      <c r="H143" s="25" t="str">
        <f ca="1">VLOOKUP(B143,Kompilirano!BQ:BW,7,FALSE)</f>
        <v>-0.02 (0.00)</v>
      </c>
    </row>
    <row r="144" spans="2:8" x14ac:dyDescent="0.25">
      <c r="B144" s="18" t="s">
        <v>198</v>
      </c>
      <c r="C144" s="22">
        <f ca="1">VLOOKUP(B144,Kompilirano!T:Z,7,FALSE)/226/5</f>
        <v>450.62743362831861</v>
      </c>
      <c r="D144" s="23">
        <f ca="1">VLOOKUP(B144,Kompilirano!J:P,7,FALSE)/226/5</f>
        <v>1.7876106194690263E-2</v>
      </c>
      <c r="E144" s="24" t="str">
        <f ca="1">VLOOKUP(B144,Kompilirano!AM:AS,7,FALSE)</f>
        <v>0.97 (0.01)</v>
      </c>
      <c r="F144" s="25" t="str">
        <f ca="1">VLOOKUP(B144,Kompilirano!AW:BD,7,FALSE)</f>
        <v>0.91 (0.01)</v>
      </c>
      <c r="G144" s="25" t="str">
        <f ca="1">VLOOKUP(B144,Kompilirano!BG:BM,7,FALSE)</f>
        <v>0.09 (0.00)</v>
      </c>
      <c r="H144" s="25" t="str">
        <f ca="1">VLOOKUP(B144,Kompilirano!BQ:BW,7,FALSE)</f>
        <v>0.08 (0.00)</v>
      </c>
    </row>
    <row r="145" spans="2:8" x14ac:dyDescent="0.25">
      <c r="B145" s="18" t="s">
        <v>199</v>
      </c>
      <c r="C145" s="22">
        <f ca="1">VLOOKUP(B145,Kompilirano!T:Z,7,FALSE)/226/5</f>
        <v>447.16371681415933</v>
      </c>
      <c r="D145" s="23">
        <f ca="1">VLOOKUP(B145,Kompilirano!J:P,7,FALSE)/226/5</f>
        <v>9.0619469026548688E-2</v>
      </c>
      <c r="E145" s="24" t="str">
        <f ca="1">VLOOKUP(B145,Kompilirano!AM:AS,7,FALSE)</f>
        <v>0.51 (0.00)</v>
      </c>
      <c r="F145" s="25" t="str">
        <f ca="1">VLOOKUP(B145,Kompilirano!AW:BD,7,FALSE)</f>
        <v>0.55 (0.01)</v>
      </c>
      <c r="G145" s="25" t="str">
        <f ca="1">VLOOKUP(B145,Kompilirano!BG:BM,7,FALSE)</f>
        <v>0.05 (0.00)</v>
      </c>
      <c r="H145" s="25" t="str">
        <f ca="1">VLOOKUP(B145,Kompilirano!BQ:BW,7,FALSE)</f>
        <v>0.01 (0.00)</v>
      </c>
    </row>
    <row r="146" spans="2:8" x14ac:dyDescent="0.25">
      <c r="B146" s="18" t="s">
        <v>200</v>
      </c>
      <c r="C146" s="22">
        <f ca="1">VLOOKUP(B146,Kompilirano!T:Z,7,FALSE)/226/5</f>
        <v>446.52389380530974</v>
      </c>
      <c r="D146" s="23">
        <f ca="1">VLOOKUP(B146,Kompilirano!J:P,7,FALSE)/226/5</f>
        <v>9.5752212389380531E-2</v>
      </c>
      <c r="E146" s="24" t="str">
        <f ca="1">VLOOKUP(B146,Kompilirano!AM:AS,7,FALSE)</f>
        <v>0.52 (0.01)</v>
      </c>
      <c r="F146" s="25" t="str">
        <f ca="1">VLOOKUP(B146,Kompilirano!AW:BD,7,FALSE)</f>
        <v>0.52 (0.00)</v>
      </c>
      <c r="G146" s="25" t="str">
        <f ca="1">VLOOKUP(B146,Kompilirano!BG:BM,7,FALSE)</f>
        <v>0.05 (0.00)</v>
      </c>
      <c r="H146" s="25" t="str">
        <f ca="1">VLOOKUP(B146,Kompilirano!BQ:BW,7,FALSE)</f>
        <v>0.02 (0.00)</v>
      </c>
    </row>
    <row r="147" spans="2:8" x14ac:dyDescent="0.25">
      <c r="B147" s="18" t="s">
        <v>203</v>
      </c>
      <c r="C147" s="22">
        <f ca="1">VLOOKUP(B147,Kompilirano!T:Z,7,FALSE)/226/5</f>
        <v>442.43274336283184</v>
      </c>
      <c r="D147" s="23">
        <f ca="1">VLOOKUP(B147,Kompilirano!J:P,7,FALSE)/226/5</f>
        <v>6.9557522123893795E-2</v>
      </c>
      <c r="E147" s="24" t="str">
        <f ca="1">VLOOKUP(B147,Kompilirano!AM:AS,7,FALSE)</f>
        <v>0.39 (0.01)</v>
      </c>
      <c r="F147" s="25" t="str">
        <f ca="1">VLOOKUP(B147,Kompilirano!AW:BD,7,FALSE)</f>
        <v>0.65 (0.01)</v>
      </c>
      <c r="G147" s="25" t="str">
        <f ca="1">VLOOKUP(B147,Kompilirano!BG:BM,7,FALSE)</f>
        <v>0.04 (0.00)</v>
      </c>
      <c r="H147" s="25" t="str">
        <f ca="1">VLOOKUP(B147,Kompilirano!BQ:BW,7,FALSE)</f>
        <v>0.00 (0.00)</v>
      </c>
    </row>
    <row r="148" spans="2:8" x14ac:dyDescent="0.25">
      <c r="B148" s="18" t="s">
        <v>204</v>
      </c>
      <c r="C148" s="22">
        <f ca="1">VLOOKUP(B148,Kompilirano!T:Z,7,FALSE)/226/5</f>
        <v>441.55575221238939</v>
      </c>
      <c r="D148" s="23">
        <f ca="1">VLOOKUP(B148,Kompilirano!J:P,7,FALSE)/226/5</f>
        <v>9.5575221238938052E-2</v>
      </c>
      <c r="E148" s="24" t="str">
        <f ca="1">VLOOKUP(B148,Kompilirano!AM:AS,7,FALSE)</f>
        <v>0.54 (0.00)</v>
      </c>
      <c r="F148" s="25" t="str">
        <f ca="1">VLOOKUP(B148,Kompilirano!AW:BD,7,FALSE)</f>
        <v>0.52 (0.01)</v>
      </c>
      <c r="G148" s="25" t="str">
        <f ca="1">VLOOKUP(B148,Kompilirano!BG:BM,7,FALSE)</f>
        <v>0.06 (0.00)</v>
      </c>
      <c r="H148" s="25" t="str">
        <f ca="1">VLOOKUP(B148,Kompilirano!BQ:BW,7,FALSE)</f>
        <v>0.03 (0.00)</v>
      </c>
    </row>
    <row r="149" spans="2:8" x14ac:dyDescent="0.25">
      <c r="B149" s="18" t="s">
        <v>205</v>
      </c>
      <c r="C149" s="22">
        <f ca="1">VLOOKUP(B149,Kompilirano!T:Z,7,FALSE)/226/5</f>
        <v>440.6513274336283</v>
      </c>
      <c r="D149" s="23">
        <f ca="1">VLOOKUP(B149,Kompilirano!J:P,7,FALSE)/226/5</f>
        <v>5.4690265486725662E-2</v>
      </c>
      <c r="E149" s="24" t="str">
        <f ca="1">VLOOKUP(B149,Kompilirano!AM:AS,7,FALSE)</f>
        <v>0.86 (0.00)</v>
      </c>
      <c r="F149" s="25" t="str">
        <f ca="1">VLOOKUP(B149,Kompilirano!AW:BD,7,FALSE)</f>
        <v>0.73 (0.02)</v>
      </c>
      <c r="G149" s="25" t="str">
        <f ca="1">VLOOKUP(B149,Kompilirano!BG:BM,7,FALSE)</f>
        <v>0.08 (0.00)</v>
      </c>
      <c r="H149" s="25" t="str">
        <f ca="1">VLOOKUP(B149,Kompilirano!BQ:BW,7,FALSE)</f>
        <v>0.07 (0.00)</v>
      </c>
    </row>
    <row r="150" spans="2:8" x14ac:dyDescent="0.25">
      <c r="B150" s="18" t="s">
        <v>201</v>
      </c>
      <c r="C150" s="22">
        <f ca="1">VLOOKUP(B150,Kompilirano!T:Z,7,FALSE)/226/5</f>
        <v>440.61681415929206</v>
      </c>
      <c r="D150" s="23">
        <f ca="1">VLOOKUP(B150,Kompilirano!J:P,7,FALSE)/226/5</f>
        <v>0.12654867256637167</v>
      </c>
      <c r="E150" s="24" t="str">
        <f ca="1">VLOOKUP(B150,Kompilirano!AM:AS,7,FALSE)</f>
        <v>0.47 (0.01)</v>
      </c>
      <c r="F150" s="25" t="str">
        <f ca="1">VLOOKUP(B150,Kompilirano!AW:BD,7,FALSE)</f>
        <v>0.37 (0.01)</v>
      </c>
      <c r="G150" s="25" t="str">
        <f ca="1">VLOOKUP(B150,Kompilirano!BG:BM,7,FALSE)</f>
        <v>0.05 (0.00)</v>
      </c>
      <c r="H150" s="25" t="str">
        <f ca="1">VLOOKUP(B150,Kompilirano!BQ:BW,7,FALSE)</f>
        <v>0.01 (0.00)</v>
      </c>
    </row>
    <row r="151" spans="2:8" x14ac:dyDescent="0.25">
      <c r="B151" s="18" t="s">
        <v>206</v>
      </c>
      <c r="C151" s="22">
        <f ca="1">VLOOKUP(B151,Kompilirano!T:Z,7,FALSE)/226/5</f>
        <v>440.20619469026553</v>
      </c>
      <c r="D151" s="23">
        <f ca="1">VLOOKUP(B151,Kompilirano!J:P,7,FALSE)/226/5</f>
        <v>5.8230088495575219E-2</v>
      </c>
      <c r="E151" s="24" t="str">
        <f ca="1">VLOOKUP(B151,Kompilirano!AM:AS,7,FALSE)</f>
        <v>0.43 (0.01)</v>
      </c>
      <c r="F151" s="25" t="str">
        <f ca="1">VLOOKUP(B151,Kompilirano!AW:BD,7,FALSE)</f>
        <v>0.71 (0.00)</v>
      </c>
      <c r="G151" s="25" t="str">
        <f ca="1">VLOOKUP(B151,Kompilirano!BG:BM,7,FALSE)</f>
        <v>0.04 (0.00)</v>
      </c>
      <c r="H151" s="25" t="str">
        <f ca="1">VLOOKUP(B151,Kompilirano!BQ:BW,7,FALSE)</f>
        <v>-0.01 (0.00)</v>
      </c>
    </row>
    <row r="152" spans="2:8" x14ac:dyDescent="0.25">
      <c r="B152" s="18" t="s">
        <v>202</v>
      </c>
      <c r="C152" s="22">
        <f ca="1">VLOOKUP(B152,Kompilirano!T:Z,7,FALSE)/226/5</f>
        <v>437.39734513274334</v>
      </c>
      <c r="D152" s="23">
        <f ca="1">VLOOKUP(B152,Kompilirano!J:P,7,FALSE)/226/5</f>
        <v>5.36283185840708E-2</v>
      </c>
      <c r="E152" s="24" t="str">
        <f ca="1">VLOOKUP(B152,Kompilirano!AM:AS,7,FALSE)</f>
        <v>0.86 (0.01)</v>
      </c>
      <c r="F152" s="25" t="str">
        <f ca="1">VLOOKUP(B152,Kompilirano!AW:BD,7,FALSE)</f>
        <v>0.73 (0.01)</v>
      </c>
      <c r="G152" s="25" t="str">
        <f ca="1">VLOOKUP(B152,Kompilirano!BG:BM,7,FALSE)</f>
        <v>0.08 (0.00)</v>
      </c>
      <c r="H152" s="25" t="str">
        <f ca="1">VLOOKUP(B152,Kompilirano!BQ:BW,7,FALSE)</f>
        <v>0.07 (0.00)</v>
      </c>
    </row>
    <row r="153" spans="2:8" x14ac:dyDescent="0.25">
      <c r="B153" s="18" t="s">
        <v>207</v>
      </c>
      <c r="C153" s="22">
        <f ca="1">VLOOKUP(B153,Kompilirano!T:Z,7,FALSE)/226/5</f>
        <v>436.92123893805308</v>
      </c>
      <c r="D153" s="23">
        <f ca="1">VLOOKUP(B153,Kompilirano!J:P,7,FALSE)/226/5</f>
        <v>5.3097345132743369E-2</v>
      </c>
      <c r="E153" s="24" t="str">
        <f ca="1">VLOOKUP(B153,Kompilirano!AM:AS,7,FALSE)</f>
        <v>0.85 (0.01)</v>
      </c>
      <c r="F153" s="25" t="str">
        <f ca="1">VLOOKUP(B153,Kompilirano!AW:BD,7,FALSE)</f>
        <v>0.73 (0.01)</v>
      </c>
      <c r="G153" s="25" t="str">
        <f ca="1">VLOOKUP(B153,Kompilirano!BG:BM,7,FALSE)</f>
        <v>0.08 (0.00)</v>
      </c>
      <c r="H153" s="25" t="str">
        <f ca="1">VLOOKUP(B153,Kompilirano!BQ:BW,7,FALSE)</f>
        <v>0.07 (0.00)</v>
      </c>
    </row>
    <row r="154" spans="2:8" x14ac:dyDescent="0.25">
      <c r="B154" s="18" t="s">
        <v>209</v>
      </c>
      <c r="C154" s="22">
        <f ca="1">VLOOKUP(B154,Kompilirano!T:Z,7,FALSE)/226/5</f>
        <v>435.82389380530975</v>
      </c>
      <c r="D154" s="23">
        <f ca="1">VLOOKUP(B154,Kompilirano!J:P,7,FALSE)/226/5</f>
        <v>5.3982300884955745E-2</v>
      </c>
      <c r="E154" s="24" t="str">
        <f ca="1">VLOOKUP(B154,Kompilirano!AM:AS,7,FALSE)</f>
        <v>0.86 (0.01)</v>
      </c>
      <c r="F154" s="25" t="str">
        <f ca="1">VLOOKUP(B154,Kompilirano!AW:BD,7,FALSE)</f>
        <v>0.73 (0.01)</v>
      </c>
      <c r="G154" s="25" t="str">
        <f ca="1">VLOOKUP(B154,Kompilirano!BG:BM,7,FALSE)</f>
        <v>0.08 (0.00)</v>
      </c>
      <c r="H154" s="25" t="str">
        <f ca="1">VLOOKUP(B154,Kompilirano!BQ:BW,7,FALSE)</f>
        <v>0.07 (0.00)</v>
      </c>
    </row>
    <row r="155" spans="2:8" x14ac:dyDescent="0.25">
      <c r="B155" s="18" t="s">
        <v>211</v>
      </c>
      <c r="C155" s="22">
        <f ca="1">VLOOKUP(B155,Kompilirano!T:Z,7,FALSE)/226/5</f>
        <v>434.81681415929205</v>
      </c>
      <c r="D155" s="23">
        <f ca="1">VLOOKUP(B155,Kompilirano!J:P,7,FALSE)/226/5</f>
        <v>3.7168141592920353E-2</v>
      </c>
      <c r="E155" s="24" t="str">
        <f ca="1">VLOOKUP(B155,Kompilirano!AM:AS,7,FALSE)</f>
        <v>0.92 (0.00)</v>
      </c>
      <c r="F155" s="25" t="str">
        <f ca="1">VLOOKUP(B155,Kompilirano!AW:BD,7,FALSE)</f>
        <v>0.81 (0.01)</v>
      </c>
      <c r="G155" s="25" t="str">
        <f ca="1">VLOOKUP(B155,Kompilirano!BG:BM,7,FALSE)</f>
        <v>0.08 (0.00)</v>
      </c>
      <c r="H155" s="25" t="str">
        <f ca="1">VLOOKUP(B155,Kompilirano!BQ:BW,7,FALSE)</f>
        <v>0.06 (0.00)</v>
      </c>
    </row>
    <row r="156" spans="2:8" x14ac:dyDescent="0.25">
      <c r="B156" s="18" t="s">
        <v>215</v>
      </c>
      <c r="C156" s="22">
        <f ca="1">VLOOKUP(B156,Kompilirano!T:Z,7,FALSE)/226/5</f>
        <v>432.80707964601771</v>
      </c>
      <c r="D156" s="23">
        <f ca="1">VLOOKUP(B156,Kompilirano!J:P,7,FALSE)/226/5</f>
        <v>7.9646017699115043E-2</v>
      </c>
      <c r="E156" s="24" t="str">
        <f ca="1">VLOOKUP(B156,Kompilirano!AM:AS,7,FALSE)</f>
        <v>0.52 (0.01)</v>
      </c>
      <c r="F156" s="25" t="str">
        <f ca="1">VLOOKUP(B156,Kompilirano!AW:BD,7,FALSE)</f>
        <v>0.60 (0.01)</v>
      </c>
      <c r="G156" s="25" t="str">
        <f ca="1">VLOOKUP(B156,Kompilirano!BG:BM,7,FALSE)</f>
        <v>0.05 (0.00)</v>
      </c>
      <c r="H156" s="25" t="str">
        <f ca="1">VLOOKUP(B156,Kompilirano!BQ:BW,7,FALSE)</f>
        <v>0.01 (0.00)</v>
      </c>
    </row>
    <row r="157" spans="2:8" x14ac:dyDescent="0.25">
      <c r="B157" s="18" t="s">
        <v>212</v>
      </c>
      <c r="C157" s="22">
        <f ca="1">VLOOKUP(B157,Kompilirano!T:Z,7,FALSE)/226/5</f>
        <v>431.92123893805308</v>
      </c>
      <c r="D157" s="23">
        <f ca="1">VLOOKUP(B157,Kompilirano!J:P,7,FALSE)/226/5</f>
        <v>8.9557522123893812E-2</v>
      </c>
      <c r="E157" s="24" t="str">
        <f ca="1">VLOOKUP(B157,Kompilirano!AM:AS,7,FALSE)</f>
        <v>0.57 (0.01)</v>
      </c>
      <c r="F157" s="25" t="str">
        <f ca="1">VLOOKUP(B157,Kompilirano!AW:BD,7,FALSE)</f>
        <v>0.55 (0.02)</v>
      </c>
      <c r="G157" s="25" t="str">
        <f ca="1">VLOOKUP(B157,Kompilirano!BG:BM,7,FALSE)</f>
        <v>0.05 (0.00)</v>
      </c>
      <c r="H157" s="25" t="str">
        <f ca="1">VLOOKUP(B157,Kompilirano!BQ:BW,7,FALSE)</f>
        <v>0.02 (0.00)</v>
      </c>
    </row>
    <row r="158" spans="2:8" x14ac:dyDescent="0.25">
      <c r="B158" s="18" t="s">
        <v>214</v>
      </c>
      <c r="C158" s="22">
        <f ca="1">VLOOKUP(B158,Kompilirano!T:Z,7,FALSE)/226/5</f>
        <v>431.86283185840711</v>
      </c>
      <c r="D158" s="23">
        <f ca="1">VLOOKUP(B158,Kompilirano!J:P,7,FALSE)/226/5</f>
        <v>3.4159292035398234E-2</v>
      </c>
      <c r="E158" s="24" t="str">
        <f ca="1">VLOOKUP(B158,Kompilirano!AM:AS,7,FALSE)</f>
        <v>0.92 (0.00)</v>
      </c>
      <c r="F158" s="25" t="str">
        <f ca="1">VLOOKUP(B158,Kompilirano!AW:BD,7,FALSE)</f>
        <v>0.83 (0.00)</v>
      </c>
      <c r="G158" s="25" t="str">
        <f ca="1">VLOOKUP(B158,Kompilirano!BG:BM,7,FALSE)</f>
        <v>0.08 (0.00)</v>
      </c>
      <c r="H158" s="25" t="str">
        <f ca="1">VLOOKUP(B158,Kompilirano!BQ:BW,7,FALSE)</f>
        <v>0.07 (0.00)</v>
      </c>
    </row>
    <row r="159" spans="2:8" x14ac:dyDescent="0.25">
      <c r="B159" s="18" t="s">
        <v>210</v>
      </c>
      <c r="C159" s="22">
        <f ca="1">VLOOKUP(B159,Kompilirano!T:Z,7,FALSE)/226/5</f>
        <v>431.50353982300885</v>
      </c>
      <c r="D159" s="23">
        <f ca="1">VLOOKUP(B159,Kompilirano!J:P,7,FALSE)/226/5</f>
        <v>0.10389380530973451</v>
      </c>
      <c r="E159" s="24" t="str">
        <f ca="1">VLOOKUP(B159,Kompilirano!AM:AS,7,FALSE)</f>
        <v>0.49 (0.01)</v>
      </c>
      <c r="F159" s="25" t="str">
        <f ca="1">VLOOKUP(B159,Kompilirano!AW:BD,7,FALSE)</f>
        <v>0.48 (0.02)</v>
      </c>
      <c r="G159" s="25" t="str">
        <f ca="1">VLOOKUP(B159,Kompilirano!BG:BM,7,FALSE)</f>
        <v>0.05 (0.00)</v>
      </c>
      <c r="H159" s="25" t="str">
        <f ca="1">VLOOKUP(B159,Kompilirano!BQ:BW,7,FALSE)</f>
        <v>0.01 (0.00)</v>
      </c>
    </row>
    <row r="160" spans="2:8" x14ac:dyDescent="0.25">
      <c r="B160" s="18" t="s">
        <v>213</v>
      </c>
      <c r="C160" s="22">
        <f ca="1">VLOOKUP(B160,Kompilirano!T:Z,7,FALSE)/226/5</f>
        <v>430.47345132743368</v>
      </c>
      <c r="D160" s="23">
        <f ca="1">VLOOKUP(B160,Kompilirano!J:P,7,FALSE)/226/5</f>
        <v>0.10460176991150442</v>
      </c>
      <c r="E160" s="24" t="str">
        <f ca="1">VLOOKUP(B160,Kompilirano!AM:AS,7,FALSE)</f>
        <v>0.31 (0.00)</v>
      </c>
      <c r="F160" s="25" t="str">
        <f ca="1">VLOOKUP(B160,Kompilirano!AW:BD,7,FALSE)</f>
        <v>0.48 (0.01)</v>
      </c>
      <c r="G160" s="25" t="str">
        <f ca="1">VLOOKUP(B160,Kompilirano!BG:BM,7,FALSE)</f>
        <v>0.03 (0.00)</v>
      </c>
      <c r="H160" s="25" t="str">
        <f ca="1">VLOOKUP(B160,Kompilirano!BQ:BW,7,FALSE)</f>
        <v>-0.03 (0.00)</v>
      </c>
    </row>
    <row r="161" spans="2:8" x14ac:dyDescent="0.25">
      <c r="B161" s="18" t="s">
        <v>19</v>
      </c>
      <c r="C161" s="22">
        <f ca="1">VLOOKUP(B161,Kompilirano!T:Z,7,FALSE)/226/5</f>
        <v>430.45309734513273</v>
      </c>
      <c r="D161" s="23">
        <f ca="1">VLOOKUP(B161,Kompilirano!J:P,7,FALSE)/226/5</f>
        <v>0.15398230088495574</v>
      </c>
      <c r="E161" s="24" t="str">
        <f ca="1">VLOOKUP(B161,Kompilirano!AM:AS,7,FALSE)</f>
        <v>0.36 (0.01)</v>
      </c>
      <c r="F161" s="25" t="str">
        <f ca="1">VLOOKUP(B161,Kompilirano!AW:BD,7,FALSE)</f>
        <v>0.23 (0.01)</v>
      </c>
      <c r="G161" s="25" t="str">
        <f ca="1">VLOOKUP(B161,Kompilirano!BG:BM,7,FALSE)</f>
        <v>0.04 (0.00)</v>
      </c>
      <c r="H161" s="25" t="str">
        <f ca="1">VLOOKUP(B161,Kompilirano!BQ:BW,7,FALSE)</f>
        <v>-0.01 (0.00)</v>
      </c>
    </row>
    <row r="162" spans="2:8" x14ac:dyDescent="0.25">
      <c r="B162" s="18" t="s">
        <v>208</v>
      </c>
      <c r="C162" s="22">
        <f ca="1">VLOOKUP(B162,Kompilirano!T:Z,7,FALSE)/226/5</f>
        <v>429.83539823008851</v>
      </c>
      <c r="D162" s="23">
        <f ca="1">VLOOKUP(B162,Kompilirano!J:P,7,FALSE)/226/5</f>
        <v>0.11787610619469024</v>
      </c>
      <c r="E162" s="24" t="str">
        <f ca="1">VLOOKUP(B162,Kompilirano!AM:AS,7,FALSE)</f>
        <v>0.26 (0.01)</v>
      </c>
      <c r="F162" s="25" t="str">
        <f ca="1">VLOOKUP(B162,Kompilirano!AW:BD,7,FALSE)</f>
        <v>0.41 (0.01)</v>
      </c>
      <c r="G162" s="25" t="str">
        <f ca="1">VLOOKUP(B162,Kompilirano!BG:BM,7,FALSE)</f>
        <v>0.03 (0.00)</v>
      </c>
      <c r="H162" s="25" t="str">
        <f ca="1">VLOOKUP(B162,Kompilirano!BQ:BW,7,FALSE)</f>
        <v>-0.03 (0.00)</v>
      </c>
    </row>
    <row r="163" spans="2:8" x14ac:dyDescent="0.25">
      <c r="B163" s="18" t="s">
        <v>218</v>
      </c>
      <c r="C163" s="22">
        <f ca="1">VLOOKUP(B163,Kompilirano!T:Z,7,FALSE)/226/5</f>
        <v>428.19469026548677</v>
      </c>
      <c r="D163" s="23">
        <f ca="1">VLOOKUP(B163,Kompilirano!J:P,7,FALSE)/226/5</f>
        <v>0.11398230088495576</v>
      </c>
      <c r="E163" s="24" t="str">
        <f ca="1">VLOOKUP(B163,Kompilirano!AM:AS,7,FALSE)</f>
        <v>0.22 (0.01)</v>
      </c>
      <c r="F163" s="25" t="str">
        <f ca="1">VLOOKUP(B163,Kompilirano!AW:BD,7,FALSE)</f>
        <v>0.43 (0.01)</v>
      </c>
      <c r="G163" s="25" t="str">
        <f ca="1">VLOOKUP(B163,Kompilirano!BG:BM,7,FALSE)</f>
        <v>0.02 (0.00)</v>
      </c>
      <c r="H163" s="25" t="str">
        <f ca="1">VLOOKUP(B163,Kompilirano!BQ:BW,7,FALSE)</f>
        <v>-0.04 (0.00)</v>
      </c>
    </row>
    <row r="164" spans="2:8" x14ac:dyDescent="0.25">
      <c r="B164" s="18" t="s">
        <v>232</v>
      </c>
      <c r="C164" s="22">
        <f ca="1">VLOOKUP(B164,Kompilirano!T:Z,7,FALSE)/226/5</f>
        <v>427.20442477876105</v>
      </c>
      <c r="D164" s="23">
        <f ca="1">VLOOKUP(B164,Kompilirano!J:P,7,FALSE)/226/5</f>
        <v>7.3097345132743366E-2</v>
      </c>
      <c r="E164" s="24" t="str">
        <f ca="1">VLOOKUP(B164,Kompilirano!AM:AS,7,FALSE)</f>
        <v>0.61 (0.04)</v>
      </c>
      <c r="F164" s="25" t="str">
        <f ca="1">VLOOKUP(B164,Kompilirano!AW:BD,7,FALSE)</f>
        <v>0.63 (0.04)</v>
      </c>
      <c r="G164" s="25" t="str">
        <f ca="1">VLOOKUP(B164,Kompilirano!BG:BM,7,FALSE)</f>
        <v>0.05 (0.00)</v>
      </c>
      <c r="H164" s="25" t="str">
        <f ca="1">VLOOKUP(B164,Kompilirano!BQ:BW,7,FALSE)</f>
        <v>0.01 (0.01)</v>
      </c>
    </row>
    <row r="165" spans="2:8" x14ac:dyDescent="0.25">
      <c r="B165" s="18" t="s">
        <v>216</v>
      </c>
      <c r="C165" s="22">
        <f ca="1">VLOOKUP(B165,Kompilirano!T:Z,7,FALSE)/226/5</f>
        <v>426.70265486725668</v>
      </c>
      <c r="D165" s="23">
        <f ca="1">VLOOKUP(B165,Kompilirano!J:P,7,FALSE)/226/5</f>
        <v>9.5221238938053093E-2</v>
      </c>
      <c r="E165" s="24" t="str">
        <f ca="1">VLOOKUP(B165,Kompilirano!AM:AS,7,FALSE)</f>
        <v>0.50 (0.00)</v>
      </c>
      <c r="F165" s="25" t="str">
        <f ca="1">VLOOKUP(B165,Kompilirano!AW:BD,7,FALSE)</f>
        <v>0.52 (0.01)</v>
      </c>
      <c r="G165" s="25" t="str">
        <f ca="1">VLOOKUP(B165,Kompilirano!BG:BM,7,FALSE)</f>
        <v>0.05 (0.00)</v>
      </c>
      <c r="H165" s="25" t="str">
        <f ca="1">VLOOKUP(B165,Kompilirano!BQ:BW,7,FALSE)</f>
        <v>0.03 (0.00)</v>
      </c>
    </row>
    <row r="166" spans="2:8" x14ac:dyDescent="0.25">
      <c r="B166" s="18" t="s">
        <v>220</v>
      </c>
      <c r="C166" s="22">
        <f ca="1">VLOOKUP(B166,Kompilirano!T:Z,7,FALSE)/226/5</f>
        <v>425.73097345132749</v>
      </c>
      <c r="D166" s="23">
        <f ca="1">VLOOKUP(B166,Kompilirano!J:P,7,FALSE)/226/5</f>
        <v>6.2300884955752221E-2</v>
      </c>
      <c r="E166" s="24" t="str">
        <f ca="1">VLOOKUP(B166,Kompilirano!AM:AS,7,FALSE)</f>
        <v>0.90 (0.00)</v>
      </c>
      <c r="F166" s="25" t="str">
        <f ca="1">VLOOKUP(B166,Kompilirano!AW:BD,7,FALSE)</f>
        <v>0.69 (0.01)</v>
      </c>
      <c r="G166" s="25" t="str">
        <f ca="1">VLOOKUP(B166,Kompilirano!BG:BM,7,FALSE)</f>
        <v>0.08 (0.00)</v>
      </c>
      <c r="H166" s="25" t="str">
        <f ca="1">VLOOKUP(B166,Kompilirano!BQ:BW,7,FALSE)</f>
        <v>0.06 (0.00)</v>
      </c>
    </row>
    <row r="167" spans="2:8" x14ac:dyDescent="0.25">
      <c r="B167" s="18" t="s">
        <v>217</v>
      </c>
      <c r="C167" s="22">
        <f ca="1">VLOOKUP(B167,Kompilirano!T:Z,7,FALSE)/226/5</f>
        <v>425.43539823008848</v>
      </c>
      <c r="D167" s="23">
        <f ca="1">VLOOKUP(B167,Kompilirano!J:P,7,FALSE)/226/5</f>
        <v>9.6814159292035407E-2</v>
      </c>
      <c r="E167" s="24" t="str">
        <f ca="1">VLOOKUP(B167,Kompilirano!AM:AS,7,FALSE)</f>
        <v>0.51 (0.01)</v>
      </c>
      <c r="F167" s="25" t="str">
        <f ca="1">VLOOKUP(B167,Kompilirano!AW:BD,7,FALSE)</f>
        <v>0.52 (0.01)</v>
      </c>
      <c r="G167" s="25" t="str">
        <f ca="1">VLOOKUP(B167,Kompilirano!BG:BM,7,FALSE)</f>
        <v>0.05 (0.00)</v>
      </c>
      <c r="H167" s="25" t="str">
        <f ca="1">VLOOKUP(B167,Kompilirano!BQ:BW,7,FALSE)</f>
        <v>0.03 (0.00)</v>
      </c>
    </row>
    <row r="168" spans="2:8" x14ac:dyDescent="0.25">
      <c r="B168" s="18" t="s">
        <v>219</v>
      </c>
      <c r="C168" s="22">
        <f ca="1">VLOOKUP(B168,Kompilirano!T:Z,7,FALSE)/226/5</f>
        <v>422.20265486725668</v>
      </c>
      <c r="D168" s="23">
        <f ca="1">VLOOKUP(B168,Kompilirano!J:P,7,FALSE)/226/5</f>
        <v>8.5663716814159283E-2</v>
      </c>
      <c r="E168" s="24" t="str">
        <f ca="1">VLOOKUP(B168,Kompilirano!AM:AS,7,FALSE)</f>
        <v>0.50 (0.00)</v>
      </c>
      <c r="F168" s="25" t="str">
        <f ca="1">VLOOKUP(B168,Kompilirano!AW:BD,7,FALSE)</f>
        <v>0.57 (0.02)</v>
      </c>
      <c r="G168" s="25" t="str">
        <f ca="1">VLOOKUP(B168,Kompilirano!BG:BM,7,FALSE)</f>
        <v>0.04 (0.00)</v>
      </c>
      <c r="H168" s="25" t="str">
        <f ca="1">VLOOKUP(B168,Kompilirano!BQ:BW,7,FALSE)</f>
        <v>0.00 (0.00)</v>
      </c>
    </row>
    <row r="169" spans="2:8" x14ac:dyDescent="0.25">
      <c r="B169" s="18" t="s">
        <v>222</v>
      </c>
      <c r="C169" s="22">
        <f ca="1">VLOOKUP(B169,Kompilirano!T:Z,7,FALSE)/226/5</f>
        <v>420.61769911504427</v>
      </c>
      <c r="D169" s="23">
        <f ca="1">VLOOKUP(B169,Kompilirano!J:P,7,FALSE)/226/5</f>
        <v>4.9734513274336284E-2</v>
      </c>
      <c r="E169" s="24" t="str">
        <f ca="1">VLOOKUP(B169,Kompilirano!AM:AS,7,FALSE)</f>
        <v>0.77 (0.00)</v>
      </c>
      <c r="F169" s="25" t="str">
        <f ca="1">VLOOKUP(B169,Kompilirano!AW:BD,7,FALSE)</f>
        <v>0.75 (0.01)</v>
      </c>
      <c r="G169" s="25" t="str">
        <f ca="1">VLOOKUP(B169,Kompilirano!BG:BM,7,FALSE)</f>
        <v>0.07 (0.00)</v>
      </c>
      <c r="H169" s="25" t="str">
        <f ca="1">VLOOKUP(B169,Kompilirano!BQ:BW,7,FALSE)</f>
        <v>0.05 (0.00)</v>
      </c>
    </row>
    <row r="170" spans="2:8" x14ac:dyDescent="0.25">
      <c r="B170" s="18" t="s">
        <v>22</v>
      </c>
      <c r="C170" s="22">
        <f ca="1">VLOOKUP(B170,Kompilirano!T:Z,7,FALSE)/226/5</f>
        <v>420.28141592920355</v>
      </c>
      <c r="D170" s="23">
        <f ca="1">VLOOKUP(B170,Kompilirano!J:P,7,FALSE)/226/5</f>
        <v>0.13256637168141594</v>
      </c>
      <c r="E170" s="24" t="str">
        <f ca="1">VLOOKUP(B170,Kompilirano!AM:AS,7,FALSE)</f>
        <v>0.44 (0.01)</v>
      </c>
      <c r="F170" s="25" t="str">
        <f ca="1">VLOOKUP(B170,Kompilirano!AW:BD,7,FALSE)</f>
        <v>0.34 (0.02)</v>
      </c>
      <c r="G170" s="25" t="str">
        <f ca="1">VLOOKUP(B170,Kompilirano!BG:BM,7,FALSE)</f>
        <v>0.04 (0.00)</v>
      </c>
      <c r="H170" s="25" t="str">
        <f ca="1">VLOOKUP(B170,Kompilirano!BQ:BW,7,FALSE)</f>
        <v>0.01 (0.00)</v>
      </c>
    </row>
    <row r="171" spans="2:8" x14ac:dyDescent="0.25">
      <c r="B171" s="18" t="s">
        <v>226</v>
      </c>
      <c r="C171" s="22">
        <f ca="1">VLOOKUP(B171,Kompilirano!T:Z,7,FALSE)/226/5</f>
        <v>416.90973451327437</v>
      </c>
      <c r="D171" s="23">
        <f ca="1">VLOOKUP(B171,Kompilirano!J:P,7,FALSE)/226/5</f>
        <v>0.12424778761061947</v>
      </c>
      <c r="E171" s="24" t="str">
        <f ca="1">VLOOKUP(B171,Kompilirano!AM:AS,7,FALSE)</f>
        <v>0.49 (0.00)</v>
      </c>
      <c r="F171" s="25" t="str">
        <f ca="1">VLOOKUP(B171,Kompilirano!AW:BD,7,FALSE)</f>
        <v>0.38 (0.02)</v>
      </c>
      <c r="G171" s="25" t="str">
        <f ca="1">VLOOKUP(B171,Kompilirano!BG:BM,7,FALSE)</f>
        <v>0.04 (0.00)</v>
      </c>
      <c r="H171" s="25" t="str">
        <f ca="1">VLOOKUP(B171,Kompilirano!BQ:BW,7,FALSE)</f>
        <v>0.00 (0.00)</v>
      </c>
    </row>
    <row r="172" spans="2:8" x14ac:dyDescent="0.25">
      <c r="B172" s="18" t="s">
        <v>229</v>
      </c>
      <c r="C172" s="22">
        <f ca="1">VLOOKUP(B172,Kompilirano!T:Z,7,FALSE)/226/5</f>
        <v>415.54424778761057</v>
      </c>
      <c r="D172" s="23">
        <f ca="1">VLOOKUP(B172,Kompilirano!J:P,7,FALSE)/226/5</f>
        <v>8.778761061946902E-2</v>
      </c>
      <c r="E172" s="24" t="str">
        <f ca="1">VLOOKUP(B172,Kompilirano!AM:AS,7,FALSE)</f>
        <v>0.33 (0.01)</v>
      </c>
      <c r="F172" s="25" t="str">
        <f ca="1">VLOOKUP(B172,Kompilirano!AW:BD,7,FALSE)</f>
        <v>0.56 (0.02)</v>
      </c>
      <c r="G172" s="25" t="str">
        <f ca="1">VLOOKUP(B172,Kompilirano!BG:BM,7,FALSE)</f>
        <v>0.03 (0.00)</v>
      </c>
      <c r="H172" s="25" t="str">
        <f ca="1">VLOOKUP(B172,Kompilirano!BQ:BW,7,FALSE)</f>
        <v>-0.02 (0.00)</v>
      </c>
    </row>
    <row r="173" spans="2:8" x14ac:dyDescent="0.25">
      <c r="B173" s="18" t="s">
        <v>224</v>
      </c>
      <c r="C173" s="22">
        <f ca="1">VLOOKUP(B173,Kompilirano!T:Z,7,FALSE)/226/5</f>
        <v>414.97699115044253</v>
      </c>
      <c r="D173" s="23">
        <f ca="1">VLOOKUP(B173,Kompilirano!J:P,7,FALSE)/226/5</f>
        <v>9.2566371681415932E-2</v>
      </c>
      <c r="E173" s="24" t="str">
        <f ca="1">VLOOKUP(B173,Kompilirano!AM:AS,7,FALSE)</f>
        <v>0.23 (0.00)</v>
      </c>
      <c r="F173" s="25" t="str">
        <f ca="1">VLOOKUP(B173,Kompilirano!AW:BD,7,FALSE)</f>
        <v>0.54 (0.01)</v>
      </c>
      <c r="G173" s="25" t="str">
        <f ca="1">VLOOKUP(B173,Kompilirano!BG:BM,7,FALSE)</f>
        <v>0.02 (0.00)</v>
      </c>
      <c r="H173" s="25" t="str">
        <f ca="1">VLOOKUP(B173,Kompilirano!BQ:BW,7,FALSE)</f>
        <v>-0.04 (0.00)</v>
      </c>
    </row>
    <row r="174" spans="2:8" x14ac:dyDescent="0.25">
      <c r="B174" s="18" t="s">
        <v>225</v>
      </c>
      <c r="C174" s="22">
        <f ca="1">VLOOKUP(B174,Kompilirano!T:Z,7,FALSE)/226/5</f>
        <v>414.27345132743369</v>
      </c>
      <c r="D174" s="23">
        <f ca="1">VLOOKUP(B174,Kompilirano!J:P,7,FALSE)/226/5</f>
        <v>0.10336283185840707</v>
      </c>
      <c r="E174" s="24" t="str">
        <f ca="1">VLOOKUP(B174,Kompilirano!AM:AS,7,FALSE)</f>
        <v>0.18 (0.00)</v>
      </c>
      <c r="F174" s="25" t="str">
        <f ca="1">VLOOKUP(B174,Kompilirano!AW:BD,7,FALSE)</f>
        <v>0.48 (0.01)</v>
      </c>
      <c r="G174" s="25" t="str">
        <f ca="1">VLOOKUP(B174,Kompilirano!BG:BM,7,FALSE)</f>
        <v>0.02 (0.00)</v>
      </c>
      <c r="H174" s="25" t="str">
        <f ca="1">VLOOKUP(B174,Kompilirano!BQ:BW,7,FALSE)</f>
        <v>-0.05 (0.00)</v>
      </c>
    </row>
    <row r="175" spans="2:8" x14ac:dyDescent="0.25">
      <c r="B175" s="18" t="s">
        <v>221</v>
      </c>
      <c r="C175" s="22">
        <f ca="1">VLOOKUP(B175,Kompilirano!T:Z,7,FALSE)/226/5</f>
        <v>414.01061946902655</v>
      </c>
      <c r="D175" s="23">
        <f ca="1">VLOOKUP(B175,Kompilirano!J:P,7,FALSE)/226/5</f>
        <v>0.11380530973451326</v>
      </c>
      <c r="E175" s="24" t="str">
        <f ca="1">VLOOKUP(B175,Kompilirano!AM:AS,7,FALSE)</f>
        <v>0.46 (0.01)</v>
      </c>
      <c r="F175" s="25" t="str">
        <f ca="1">VLOOKUP(B175,Kompilirano!AW:BD,7,FALSE)</f>
        <v>0.43 (0.01)</v>
      </c>
      <c r="G175" s="25" t="str">
        <f ca="1">VLOOKUP(B175,Kompilirano!BG:BM,7,FALSE)</f>
        <v>0.05 (0.00)</v>
      </c>
      <c r="H175" s="25" t="str">
        <f ca="1">VLOOKUP(B175,Kompilirano!BQ:BW,7,FALSE)</f>
        <v>0.02 (0.00)</v>
      </c>
    </row>
    <row r="176" spans="2:8" x14ac:dyDescent="0.25">
      <c r="B176" s="18" t="s">
        <v>20</v>
      </c>
      <c r="C176" s="22">
        <f ca="1">VLOOKUP(B176,Kompilirano!T:Z,7,FALSE)/226/5</f>
        <v>413.13185840707968</v>
      </c>
      <c r="D176" s="23">
        <f ca="1">VLOOKUP(B176,Kompilirano!J:P,7,FALSE)/226/5</f>
        <v>0.15469026548672565</v>
      </c>
      <c r="E176" s="24" t="str">
        <f ca="1">VLOOKUP(B176,Kompilirano!AM:AS,7,FALSE)</f>
        <v>0.41 (0.01)</v>
      </c>
      <c r="F176" s="25" t="str">
        <f ca="1">VLOOKUP(B176,Kompilirano!AW:BD,7,FALSE)</f>
        <v>0.23 (0.01)</v>
      </c>
      <c r="G176" s="25" t="str">
        <f ca="1">VLOOKUP(B176,Kompilirano!BG:BM,7,FALSE)</f>
        <v>0.04 (0.00)</v>
      </c>
      <c r="H176" s="25" t="str">
        <f ca="1">VLOOKUP(B176,Kompilirano!BQ:BW,7,FALSE)</f>
        <v>0.00 (0.00)</v>
      </c>
    </row>
    <row r="177" spans="2:8" x14ac:dyDescent="0.25">
      <c r="B177" s="18" t="s">
        <v>228</v>
      </c>
      <c r="C177" s="22">
        <f ca="1">VLOOKUP(B177,Kompilirano!T:Z,7,FALSE)/226/5</f>
        <v>411.11858407079643</v>
      </c>
      <c r="D177" s="23">
        <f ca="1">VLOOKUP(B177,Kompilirano!J:P,7,FALSE)/226/5</f>
        <v>0.15292035398230092</v>
      </c>
      <c r="E177" s="24" t="str">
        <f ca="1">VLOOKUP(B177,Kompilirano!AM:AS,7,FALSE)</f>
        <v>0.41 (0.00)</v>
      </c>
      <c r="F177" s="25" t="str">
        <f ca="1">VLOOKUP(B177,Kompilirano!AW:BD,7,FALSE)</f>
        <v>0.24 (0.02)</v>
      </c>
      <c r="G177" s="25" t="str">
        <f ca="1">VLOOKUP(B177,Kompilirano!BG:BM,7,FALSE)</f>
        <v>0.04 (0.00)</v>
      </c>
      <c r="H177" s="25" t="str">
        <f ca="1">VLOOKUP(B177,Kompilirano!BQ:BW,7,FALSE)</f>
        <v>0.00 (0.00)</v>
      </c>
    </row>
    <row r="178" spans="2:8" x14ac:dyDescent="0.25">
      <c r="B178" s="18" t="s">
        <v>230</v>
      </c>
      <c r="C178" s="22">
        <f ca="1">VLOOKUP(B178,Kompilirano!T:Z,7,FALSE)/226/5</f>
        <v>410.64336283185838</v>
      </c>
      <c r="D178" s="23">
        <f ca="1">VLOOKUP(B178,Kompilirano!J:P,7,FALSE)/226/5</f>
        <v>0.11699115044247788</v>
      </c>
      <c r="E178" s="24" t="str">
        <f ca="1">VLOOKUP(B178,Kompilirano!AM:AS,7,FALSE)</f>
        <v>0.45 (0.01)</v>
      </c>
      <c r="F178" s="25" t="str">
        <f ca="1">VLOOKUP(B178,Kompilirano!AW:BD,7,FALSE)</f>
        <v>0.42 (0.01)</v>
      </c>
      <c r="G178" s="25" t="str">
        <f ca="1">VLOOKUP(B178,Kompilirano!BG:BM,7,FALSE)</f>
        <v>0.05 (0.00)</v>
      </c>
      <c r="H178" s="25" t="str">
        <f ca="1">VLOOKUP(B178,Kompilirano!BQ:BW,7,FALSE)</f>
        <v>0.02 (0.00)</v>
      </c>
    </row>
    <row r="179" spans="2:8" x14ac:dyDescent="0.25">
      <c r="B179" s="18" t="s">
        <v>223</v>
      </c>
      <c r="C179" s="22">
        <f ca="1">VLOOKUP(B179,Kompilirano!T:Z,7,FALSE)/226/5</f>
        <v>409.92566371681414</v>
      </c>
      <c r="D179" s="23">
        <f ca="1">VLOOKUP(B179,Kompilirano!J:P,7,FALSE)/226/5</f>
        <v>0.13008849557522123</v>
      </c>
      <c r="E179" s="24" t="str">
        <f ca="1">VLOOKUP(B179,Kompilirano!AM:AS,7,FALSE)</f>
        <v>0.31 (0.02)</v>
      </c>
      <c r="F179" s="25" t="str">
        <f ca="1">VLOOKUP(B179,Kompilirano!AW:BD,7,FALSE)</f>
        <v>0.35 (0.02)</v>
      </c>
      <c r="G179" s="25" t="str">
        <f ca="1">VLOOKUP(B179,Kompilirano!BG:BM,7,FALSE)</f>
        <v>0.03 (0.00)</v>
      </c>
      <c r="H179" s="25" t="str">
        <f ca="1">VLOOKUP(B179,Kompilirano!BQ:BW,7,FALSE)</f>
        <v>-0.02 (0.00)</v>
      </c>
    </row>
    <row r="180" spans="2:8" x14ac:dyDescent="0.25">
      <c r="B180" s="18" t="s">
        <v>227</v>
      </c>
      <c r="C180" s="22">
        <f ca="1">VLOOKUP(B180,Kompilirano!T:Z,7,FALSE)/226/5</f>
        <v>408.89115044247785</v>
      </c>
      <c r="D180" s="23">
        <f ca="1">VLOOKUP(B180,Kompilirano!J:P,7,FALSE)/226/5</f>
        <v>0.15469026548672565</v>
      </c>
      <c r="E180" s="24" t="str">
        <f ca="1">VLOOKUP(B180,Kompilirano!AM:AS,7,FALSE)</f>
        <v>0.40 (0.01)</v>
      </c>
      <c r="F180" s="25" t="str">
        <f ca="1">VLOOKUP(B180,Kompilirano!AW:BD,7,FALSE)</f>
        <v>0.23 (0.01)</v>
      </c>
      <c r="G180" s="25" t="str">
        <f ca="1">VLOOKUP(B180,Kompilirano!BG:BM,7,FALSE)</f>
        <v>0.04 (0.00)</v>
      </c>
      <c r="H180" s="25" t="str">
        <f ca="1">VLOOKUP(B180,Kompilirano!BQ:BW,7,FALSE)</f>
        <v>0.00 (0.00)</v>
      </c>
    </row>
    <row r="181" spans="2:8" x14ac:dyDescent="0.25">
      <c r="B181" s="18" t="s">
        <v>231</v>
      </c>
      <c r="C181" s="22">
        <f ca="1">VLOOKUP(B181,Kompilirano!T:Z,7,FALSE)/226/5</f>
        <v>405.90265486725662</v>
      </c>
      <c r="D181" s="23">
        <f ca="1">VLOOKUP(B181,Kompilirano!J:P,7,FALSE)/226/5</f>
        <v>3.6283185840707964E-2</v>
      </c>
      <c r="E181" s="24" t="str">
        <f ca="1">VLOOKUP(B181,Kompilirano!AM:AS,7,FALSE)</f>
        <v>0.96 (0.00)</v>
      </c>
      <c r="F181" s="25" t="str">
        <f ca="1">VLOOKUP(B181,Kompilirano!AW:BD,7,FALSE)</f>
        <v>0.82 (0.01)</v>
      </c>
      <c r="G181" s="25" t="str">
        <f ca="1">VLOOKUP(B181,Kompilirano!BG:BM,7,FALSE)</f>
        <v>0.08 (0.00)</v>
      </c>
      <c r="H181" s="25" t="str">
        <f ca="1">VLOOKUP(B181,Kompilirano!BQ:BW,7,FALSE)</f>
        <v>0.07 (0.00)</v>
      </c>
    </row>
    <row r="182" spans="2:8" x14ac:dyDescent="0.25">
      <c r="B182" s="18" t="s">
        <v>233</v>
      </c>
      <c r="C182" s="22">
        <f ca="1">VLOOKUP(B182,Kompilirano!T:Z,7,FALSE)/226/5</f>
        <v>403.63982300884953</v>
      </c>
      <c r="D182" s="23">
        <f ca="1">VLOOKUP(B182,Kompilirano!J:P,7,FALSE)/226/5</f>
        <v>0.12088495575221239</v>
      </c>
      <c r="E182" s="24" t="str">
        <f ca="1">VLOOKUP(B182,Kompilirano!AM:AS,7,FALSE)</f>
        <v>0.42 (0.01)</v>
      </c>
      <c r="F182" s="25" t="str">
        <f ca="1">VLOOKUP(B182,Kompilirano!AW:BD,7,FALSE)</f>
        <v>0.40 (0.01)</v>
      </c>
      <c r="G182" s="25" t="str">
        <f ca="1">VLOOKUP(B182,Kompilirano!BG:BM,7,FALSE)</f>
        <v>0.04 (0.00)</v>
      </c>
      <c r="H182" s="25" t="str">
        <f ca="1">VLOOKUP(B182,Kompilirano!BQ:BW,7,FALSE)</f>
        <v>0.01 (0.00)</v>
      </c>
    </row>
    <row r="183" spans="2:8" x14ac:dyDescent="0.25">
      <c r="B183" s="18" t="s">
        <v>239</v>
      </c>
      <c r="C183" s="22">
        <f ca="1">VLOOKUP(B183,Kompilirano!T:Z,7,FALSE)/226/5</f>
        <v>402.9716814159292</v>
      </c>
      <c r="D183" s="23">
        <f ca="1">VLOOKUP(B183,Kompilirano!J:P,7,FALSE)/226/5</f>
        <v>0.15893805309734513</v>
      </c>
      <c r="E183" s="24" t="str">
        <f ca="1">VLOOKUP(B183,Kompilirano!AM:AS,7,FALSE)</f>
        <v>0.20 (0.01)</v>
      </c>
      <c r="F183" s="25" t="str">
        <f ca="1">VLOOKUP(B183,Kompilirano!AW:BD,7,FALSE)</f>
        <v>0.21 (0.01)</v>
      </c>
      <c r="G183" s="25" t="str">
        <f ca="1">VLOOKUP(B183,Kompilirano!BG:BM,7,FALSE)</f>
        <v>0.02 (0.00)</v>
      </c>
      <c r="H183" s="25" t="str">
        <f ca="1">VLOOKUP(B183,Kompilirano!BQ:BW,7,FALSE)</f>
        <v>-0.04 (0.00)</v>
      </c>
    </row>
    <row r="184" spans="2:8" x14ac:dyDescent="0.25">
      <c r="B184" s="18" t="s">
        <v>238</v>
      </c>
      <c r="C184" s="22">
        <f ca="1">VLOOKUP(B184,Kompilirano!T:Z,7,FALSE)/226/5</f>
        <v>402.71858407079645</v>
      </c>
      <c r="D184" s="23">
        <f ca="1">VLOOKUP(B184,Kompilirano!J:P,7,FALSE)/226/5</f>
        <v>0.15929203539823009</v>
      </c>
      <c r="E184" s="24" t="str">
        <f ca="1">VLOOKUP(B184,Kompilirano!AM:AS,7,FALSE)</f>
        <v>0.34 (0.00)</v>
      </c>
      <c r="F184" s="25" t="str">
        <f ca="1">VLOOKUP(B184,Kompilirano!AW:BD,7,FALSE)</f>
        <v>0.20 (0.01)</v>
      </c>
      <c r="G184" s="25" t="str">
        <f ca="1">VLOOKUP(B184,Kompilirano!BG:BM,7,FALSE)</f>
        <v>0.04 (0.00)</v>
      </c>
      <c r="H184" s="25" t="str">
        <f ca="1">VLOOKUP(B184,Kompilirano!BQ:BW,7,FALSE)</f>
        <v>0.00 (0.00)</v>
      </c>
    </row>
    <row r="185" spans="2:8" x14ac:dyDescent="0.25">
      <c r="B185" s="18" t="s">
        <v>240</v>
      </c>
      <c r="C185" s="22">
        <f ca="1">VLOOKUP(B185,Kompilirano!T:Z,7,FALSE)/226/5</f>
        <v>401.85752212389377</v>
      </c>
      <c r="D185" s="23">
        <f ca="1">VLOOKUP(B185,Kompilirano!J:P,7,FALSE)/226/5</f>
        <v>0.14353982300884954</v>
      </c>
      <c r="E185" s="24" t="str">
        <f ca="1">VLOOKUP(B185,Kompilirano!AM:AS,7,FALSE)</f>
        <v>0.39 (0.01)</v>
      </c>
      <c r="F185" s="25" t="str">
        <f ca="1">VLOOKUP(B185,Kompilirano!AW:BD,7,FALSE)</f>
        <v>0.28 (0.01)</v>
      </c>
      <c r="G185" s="25" t="str">
        <f ca="1">VLOOKUP(B185,Kompilirano!BG:BM,7,FALSE)</f>
        <v>0.04 (0.00)</v>
      </c>
      <c r="H185" s="25" t="str">
        <f ca="1">VLOOKUP(B185,Kompilirano!BQ:BW,7,FALSE)</f>
        <v>0.00 (0.00)</v>
      </c>
    </row>
    <row r="186" spans="2:8" x14ac:dyDescent="0.25">
      <c r="B186" s="18" t="s">
        <v>243</v>
      </c>
      <c r="C186" s="22">
        <f ca="1">VLOOKUP(B186,Kompilirano!T:Z,7,FALSE)/226/5</f>
        <v>400.73008849557522</v>
      </c>
      <c r="D186" s="23">
        <f ca="1">VLOOKUP(B186,Kompilirano!J:P,7,FALSE)/226/5</f>
        <v>3.7168141592920353E-2</v>
      </c>
      <c r="E186" s="24" t="str">
        <f ca="1">VLOOKUP(B186,Kompilirano!AM:AS,7,FALSE)</f>
        <v>0.92 (0.00)</v>
      </c>
      <c r="F186" s="25" t="str">
        <f ca="1">VLOOKUP(B186,Kompilirano!AW:BD,7,FALSE)</f>
        <v>0.81 (0.01)</v>
      </c>
      <c r="G186" s="25" t="str">
        <f ca="1">VLOOKUP(B186,Kompilirano!BG:BM,7,FALSE)</f>
        <v>0.08 (0.00)</v>
      </c>
      <c r="H186" s="25" t="str">
        <f ca="1">VLOOKUP(B186,Kompilirano!BQ:BW,7,FALSE)</f>
        <v>0.07 (0.00)</v>
      </c>
    </row>
    <row r="187" spans="2:8" x14ac:dyDescent="0.25">
      <c r="B187" s="18" t="s">
        <v>236</v>
      </c>
      <c r="C187" s="22">
        <f ca="1">VLOOKUP(B187,Kompilirano!T:Z,7,FALSE)/226/5</f>
        <v>400.55752212389382</v>
      </c>
      <c r="D187" s="23">
        <f ca="1">VLOOKUP(B187,Kompilirano!J:P,7,FALSE)/226/5</f>
        <v>7.1858407079646025E-2</v>
      </c>
      <c r="E187" s="24" t="str">
        <f ca="1">VLOOKUP(B187,Kompilirano!AM:AS,7,FALSE)</f>
        <v>0.55 (0.00)</v>
      </c>
      <c r="F187" s="25" t="str">
        <f ca="1">VLOOKUP(B187,Kompilirano!AW:BD,7,FALSE)</f>
        <v>0.64 (0.01)</v>
      </c>
      <c r="G187" s="25" t="str">
        <f ca="1">VLOOKUP(B187,Kompilirano!BG:BM,7,FALSE)</f>
        <v>0.05 (0.00)</v>
      </c>
      <c r="H187" s="25" t="str">
        <f ca="1">VLOOKUP(B187,Kompilirano!BQ:BW,7,FALSE)</f>
        <v>0.01 (0.00)</v>
      </c>
    </row>
    <row r="188" spans="2:8" x14ac:dyDescent="0.25">
      <c r="B188" s="18" t="s">
        <v>235</v>
      </c>
      <c r="C188" s="22">
        <f ca="1">VLOOKUP(B188,Kompilirano!T:Z,7,FALSE)/226/5</f>
        <v>400.38938053097343</v>
      </c>
      <c r="D188" s="23">
        <f ca="1">VLOOKUP(B188,Kompilirano!J:P,7,FALSE)/226/5</f>
        <v>6.920353982300885E-2</v>
      </c>
      <c r="E188" s="24" t="str">
        <f ca="1">VLOOKUP(B188,Kompilirano!AM:AS,7,FALSE)</f>
        <v>0.75 (0.00)</v>
      </c>
      <c r="F188" s="25" t="str">
        <f ca="1">VLOOKUP(B188,Kompilirano!AW:BD,7,FALSE)</f>
        <v>0.65 (0.00)</v>
      </c>
      <c r="G188" s="25" t="str">
        <f ca="1">VLOOKUP(B188,Kompilirano!BG:BM,7,FALSE)</f>
        <v>0.07 (0.00)</v>
      </c>
      <c r="H188" s="25" t="str">
        <f ca="1">VLOOKUP(B188,Kompilirano!BQ:BW,7,FALSE)</f>
        <v>0.04 (0.00)</v>
      </c>
    </row>
    <row r="189" spans="2:8" x14ac:dyDescent="0.25">
      <c r="B189" s="18" t="s">
        <v>237</v>
      </c>
      <c r="C189" s="22">
        <f ca="1">VLOOKUP(B189,Kompilirano!T:Z,7,FALSE)/226/5</f>
        <v>399.38495575221242</v>
      </c>
      <c r="D189" s="23">
        <f ca="1">VLOOKUP(B189,Kompilirano!J:P,7,FALSE)/226/5</f>
        <v>6.3716814159292035E-2</v>
      </c>
      <c r="E189" s="24" t="str">
        <f ca="1">VLOOKUP(B189,Kompilirano!AM:AS,7,FALSE)</f>
        <v>0.67 (0.00)</v>
      </c>
      <c r="F189" s="25" t="str">
        <f ca="1">VLOOKUP(B189,Kompilirano!AW:BD,7,FALSE)</f>
        <v>0.68 (0.00)</v>
      </c>
      <c r="G189" s="25" t="str">
        <f ca="1">VLOOKUP(B189,Kompilirano!BG:BM,7,FALSE)</f>
        <v>0.06 (0.00)</v>
      </c>
      <c r="H189" s="25" t="str">
        <f ca="1">VLOOKUP(B189,Kompilirano!BQ:BW,7,FALSE)</f>
        <v>0.03 (0.00)</v>
      </c>
    </row>
    <row r="190" spans="2:8" x14ac:dyDescent="0.25">
      <c r="B190" s="18" t="s">
        <v>234</v>
      </c>
      <c r="C190" s="22">
        <f ca="1">VLOOKUP(B190,Kompilirano!T:Z,7,FALSE)/226/5</f>
        <v>398.9858407079646</v>
      </c>
      <c r="D190" s="23">
        <f ca="1">VLOOKUP(B190,Kompilirano!J:P,7,FALSE)/226/5</f>
        <v>9.0442477876106195E-2</v>
      </c>
      <c r="E190" s="24" t="str">
        <f ca="1">VLOOKUP(B190,Kompilirano!AM:AS,7,FALSE)</f>
        <v>0.41 (0.00)</v>
      </c>
      <c r="F190" s="25" t="str">
        <f ca="1">VLOOKUP(B190,Kompilirano!AW:BD,7,FALSE)</f>
        <v>0.55 (0.02)</v>
      </c>
      <c r="G190" s="25" t="str">
        <f ca="1">VLOOKUP(B190,Kompilirano!BG:BM,7,FALSE)</f>
        <v>0.04 (0.00)</v>
      </c>
      <c r="H190" s="25" t="str">
        <f ca="1">VLOOKUP(B190,Kompilirano!BQ:BW,7,FALSE)</f>
        <v>-0.01 (0.00)</v>
      </c>
    </row>
    <row r="191" spans="2:8" x14ac:dyDescent="0.25">
      <c r="B191" s="18" t="s">
        <v>241</v>
      </c>
      <c r="C191" s="22">
        <f ca="1">VLOOKUP(B191,Kompilirano!T:Z,7,FALSE)/226/5</f>
        <v>396.51238938053098</v>
      </c>
      <c r="D191" s="23">
        <f ca="1">VLOOKUP(B191,Kompilirano!J:P,7,FALSE)/226/5</f>
        <v>5.6460176991150433E-2</v>
      </c>
      <c r="E191" s="24" t="str">
        <f ca="1">VLOOKUP(B191,Kompilirano!AM:AS,7,FALSE)</f>
        <v>0.84 (0.00)</v>
      </c>
      <c r="F191" s="25" t="str">
        <f ca="1">VLOOKUP(B191,Kompilirano!AW:BD,7,FALSE)</f>
        <v>0.72 (0.01)</v>
      </c>
      <c r="G191" s="25" t="str">
        <f ca="1">VLOOKUP(B191,Kompilirano!BG:BM,7,FALSE)</f>
        <v>0.08 (0.00)</v>
      </c>
      <c r="H191" s="25" t="str">
        <f ca="1">VLOOKUP(B191,Kompilirano!BQ:BW,7,FALSE)</f>
        <v>0.05 (0.00)</v>
      </c>
    </row>
    <row r="192" spans="2:8" x14ac:dyDescent="0.25">
      <c r="B192" s="18" t="s">
        <v>242</v>
      </c>
      <c r="C192" s="22">
        <f ca="1">VLOOKUP(B192,Kompilirano!T:Z,7,FALSE)/226/5</f>
        <v>395.59557522123896</v>
      </c>
      <c r="D192" s="23">
        <f ca="1">VLOOKUP(B192,Kompilirano!J:P,7,FALSE)/226/5</f>
        <v>0.10690265486725663</v>
      </c>
      <c r="E192" s="24" t="str">
        <f ca="1">VLOOKUP(B192,Kompilirano!AM:AS,7,FALSE)</f>
        <v>0.15 (0.02)</v>
      </c>
      <c r="F192" s="25" t="str">
        <f ca="1">VLOOKUP(B192,Kompilirano!AW:BD,7,FALSE)</f>
        <v>0.47 (0.01)</v>
      </c>
      <c r="G192" s="25" t="str">
        <f ca="1">VLOOKUP(B192,Kompilirano!BG:BM,7,FALSE)</f>
        <v>0.01 (0.00)</v>
      </c>
      <c r="H192" s="25" t="str">
        <f ca="1">VLOOKUP(B192,Kompilirano!BQ:BW,7,FALSE)</f>
        <v>-0.05 (0.00)</v>
      </c>
    </row>
    <row r="193" spans="2:8" x14ac:dyDescent="0.25">
      <c r="B193" s="18" t="s">
        <v>244</v>
      </c>
      <c r="C193" s="22">
        <f ca="1">VLOOKUP(B193,Kompilirano!T:Z,7,FALSE)/226/5</f>
        <v>394.94247787610618</v>
      </c>
      <c r="D193" s="23">
        <f ca="1">VLOOKUP(B193,Kompilirano!J:P,7,FALSE)/226/5</f>
        <v>7.2566371681415928E-2</v>
      </c>
      <c r="E193" s="24" t="str">
        <f ca="1">VLOOKUP(B193,Kompilirano!AM:AS,7,FALSE)</f>
        <v>0.47 (0.00)</v>
      </c>
      <c r="F193" s="25" t="str">
        <f ca="1">VLOOKUP(B193,Kompilirano!AW:BD,7,FALSE)</f>
        <v>0.64 (0.01)</v>
      </c>
      <c r="G193" s="25" t="str">
        <f ca="1">VLOOKUP(B193,Kompilirano!BG:BM,7,FALSE)</f>
        <v>0.04 (0.00)</v>
      </c>
      <c r="H193" s="25" t="str">
        <f ca="1">VLOOKUP(B193,Kompilirano!BQ:BW,7,FALSE)</f>
        <v>0.00 (0.00)</v>
      </c>
    </row>
    <row r="194" spans="2:8" x14ac:dyDescent="0.25">
      <c r="B194" s="18" t="s">
        <v>246</v>
      </c>
      <c r="C194" s="22">
        <f ca="1">VLOOKUP(B194,Kompilirano!T:Z,7,FALSE)/226/5</f>
        <v>391.89292035398228</v>
      </c>
      <c r="D194" s="23">
        <f ca="1">VLOOKUP(B194,Kompilirano!J:P,7,FALSE)/226/5</f>
        <v>5.5575221238938058E-2</v>
      </c>
      <c r="E194" s="24" t="str">
        <f ca="1">VLOOKUP(B194,Kompilirano!AM:AS,7,FALSE)</f>
        <v>0.67 (0.00)</v>
      </c>
      <c r="F194" s="25" t="str">
        <f ca="1">VLOOKUP(B194,Kompilirano!AW:BD,7,FALSE)</f>
        <v>0.72 (0.01)</v>
      </c>
      <c r="G194" s="25" t="str">
        <f ca="1">VLOOKUP(B194,Kompilirano!BG:BM,7,FALSE)</f>
        <v>0.06 (0.00)</v>
      </c>
      <c r="H194" s="25" t="str">
        <f ca="1">VLOOKUP(B194,Kompilirano!BQ:BW,7,FALSE)</f>
        <v>0.03 (0.00)</v>
      </c>
    </row>
    <row r="195" spans="2:8" x14ac:dyDescent="0.25">
      <c r="B195" s="18" t="s">
        <v>245</v>
      </c>
      <c r="C195" s="22">
        <f ca="1">VLOOKUP(B195,Kompilirano!T:Z,7,FALSE)/226/5</f>
        <v>391.34778761061949</v>
      </c>
      <c r="D195" s="23">
        <f ca="1">VLOOKUP(B195,Kompilirano!J:P,7,FALSE)/226/5</f>
        <v>0.15946902654867257</v>
      </c>
      <c r="E195" s="24" t="str">
        <f ca="1">VLOOKUP(B195,Kompilirano!AM:AS,7,FALSE)</f>
        <v>0.02 (0.00)</v>
      </c>
      <c r="F195" s="25" t="str">
        <f ca="1">VLOOKUP(B195,Kompilirano!AW:BD,7,FALSE)</f>
        <v>0.20 (0.01)</v>
      </c>
      <c r="G195" s="25" t="str">
        <f ca="1">VLOOKUP(B195,Kompilirano!BG:BM,7,FALSE)</f>
        <v>0.00 (0.00)</v>
      </c>
      <c r="H195" s="25" t="str">
        <f ca="1">VLOOKUP(B195,Kompilirano!BQ:BW,7,FALSE)</f>
        <v>-0.07 (0.00)</v>
      </c>
    </row>
    <row r="196" spans="2:8" x14ac:dyDescent="0.25">
      <c r="B196" s="18" t="s">
        <v>247</v>
      </c>
      <c r="C196" s="22">
        <f ca="1">VLOOKUP(B196,Kompilirano!T:Z,7,FALSE)/226/5</f>
        <v>389.21769911504424</v>
      </c>
      <c r="D196" s="23">
        <f ca="1">VLOOKUP(B196,Kompilirano!J:P,7,FALSE)/226/5</f>
        <v>7.5752212389380527E-2</v>
      </c>
      <c r="E196" s="24" t="str">
        <f ca="1">VLOOKUP(B196,Kompilirano!AM:AS,7,FALSE)</f>
        <v>0.50 (0.00)</v>
      </c>
      <c r="F196" s="25" t="str">
        <f ca="1">VLOOKUP(B196,Kompilirano!AW:BD,7,FALSE)</f>
        <v>0.62 (0.01)</v>
      </c>
      <c r="G196" s="25" t="str">
        <f ca="1">VLOOKUP(B196,Kompilirano!BG:BM,7,FALSE)</f>
        <v>0.04 (0.00)</v>
      </c>
      <c r="H196" s="25" t="str">
        <f ca="1">VLOOKUP(B196,Kompilirano!BQ:BW,7,FALSE)</f>
        <v>0.00 (0.00)</v>
      </c>
    </row>
    <row r="197" spans="2:8" x14ac:dyDescent="0.25">
      <c r="B197" s="18" t="s">
        <v>248</v>
      </c>
      <c r="C197" s="22">
        <f ca="1">VLOOKUP(B197,Kompilirano!T:Z,7,FALSE)/226/5</f>
        <v>388.70973451327433</v>
      </c>
      <c r="D197" s="23">
        <f ca="1">VLOOKUP(B197,Kompilirano!J:P,7,FALSE)/226/5</f>
        <v>6.3539823008849555E-2</v>
      </c>
      <c r="E197" s="24" t="str">
        <f ca="1">VLOOKUP(B197,Kompilirano!AM:AS,7,FALSE)</f>
        <v>0.81 (0.00)</v>
      </c>
      <c r="F197" s="25" t="str">
        <f ca="1">VLOOKUP(B197,Kompilirano!AW:BD,7,FALSE)</f>
        <v>0.68 (0.00)</v>
      </c>
      <c r="G197" s="25" t="str">
        <f ca="1">VLOOKUP(B197,Kompilirano!BG:BM,7,FALSE)</f>
        <v>0.07 (0.00)</v>
      </c>
      <c r="H197" s="25" t="str">
        <f ca="1">VLOOKUP(B197,Kompilirano!BQ:BW,7,FALSE)</f>
        <v>0.04 (0.00)</v>
      </c>
    </row>
    <row r="198" spans="2:8" x14ac:dyDescent="0.25">
      <c r="B198" s="18" t="s">
        <v>249</v>
      </c>
      <c r="C198" s="22">
        <f ca="1">VLOOKUP(B198,Kompilirano!T:Z,7,FALSE)/226/5</f>
        <v>384.1</v>
      </c>
      <c r="D198" s="23">
        <f ca="1">VLOOKUP(B198,Kompilirano!J:P,7,FALSE)/226/5</f>
        <v>0.16690265486725664</v>
      </c>
      <c r="E198" s="24" t="str">
        <f ca="1">VLOOKUP(B198,Kompilirano!AM:AS,7,FALSE)</f>
        <v>0.26 (0.01)</v>
      </c>
      <c r="F198" s="25" t="str">
        <f ca="1">VLOOKUP(B198,Kompilirano!AW:BD,7,FALSE)</f>
        <v>0.17 (0.01)</v>
      </c>
      <c r="G198" s="25" t="str">
        <f ca="1">VLOOKUP(B198,Kompilirano!BG:BM,7,FALSE)</f>
        <v>0.03 (0.00)</v>
      </c>
      <c r="H198" s="25" t="str">
        <f ca="1">VLOOKUP(B198,Kompilirano!BQ:BW,7,FALSE)</f>
        <v>-0.03 (0.00)</v>
      </c>
    </row>
    <row r="199" spans="2:8" x14ac:dyDescent="0.25">
      <c r="B199" s="18" t="s">
        <v>253</v>
      </c>
      <c r="C199" s="22">
        <f ca="1">VLOOKUP(B199,Kompilirano!T:Z,7,FALSE)/226/5</f>
        <v>382.95309734513273</v>
      </c>
      <c r="D199" s="23">
        <f ca="1">VLOOKUP(B199,Kompilirano!J:P,7,FALSE)/226/5</f>
        <v>5.4159292035398231E-2</v>
      </c>
      <c r="E199" s="24" t="str">
        <f ca="1">VLOOKUP(B199,Kompilirano!AM:AS,7,FALSE)</f>
        <v>0.90 (0.00)</v>
      </c>
      <c r="F199" s="25" t="str">
        <f ca="1">VLOOKUP(B199,Kompilirano!AW:BD,7,FALSE)</f>
        <v>0.73 (0.01)</v>
      </c>
      <c r="G199" s="25" t="str">
        <f ca="1">VLOOKUP(B199,Kompilirano!BG:BM,7,FALSE)</f>
        <v>0.08 (0.00)</v>
      </c>
      <c r="H199" s="25" t="str">
        <f ca="1">VLOOKUP(B199,Kompilirano!BQ:BW,7,FALSE)</f>
        <v>0.06 (0.00)</v>
      </c>
    </row>
    <row r="200" spans="2:8" x14ac:dyDescent="0.25">
      <c r="B200" s="18" t="s">
        <v>261</v>
      </c>
      <c r="C200" s="22">
        <f ca="1">VLOOKUP(B200,Kompilirano!T:Z,7,FALSE)/226/5</f>
        <v>381.99734513274336</v>
      </c>
      <c r="D200" s="23">
        <f ca="1">VLOOKUP(B200,Kompilirano!J:P,7,FALSE)/226/5</f>
        <v>6.8141592920353974E-2</v>
      </c>
      <c r="E200" s="24" t="str">
        <f ca="1">VLOOKUP(B200,Kompilirano!AM:AS,7,FALSE)</f>
        <v>0.79 (0.00)</v>
      </c>
      <c r="F200" s="25" t="str">
        <f ca="1">VLOOKUP(B200,Kompilirano!AW:BD,7,FALSE)</f>
        <v>0.66 (0.01)</v>
      </c>
      <c r="G200" s="25" t="str">
        <f ca="1">VLOOKUP(B200,Kompilirano!BG:BM,7,FALSE)</f>
        <v>0.07 (0.00)</v>
      </c>
      <c r="H200" s="25" t="str">
        <f ca="1">VLOOKUP(B200,Kompilirano!BQ:BW,7,FALSE)</f>
        <v>0.04 (0.00)</v>
      </c>
    </row>
    <row r="201" spans="2:8" x14ac:dyDescent="0.25">
      <c r="B201" s="18" t="s">
        <v>254</v>
      </c>
      <c r="C201" s="22">
        <f ca="1">VLOOKUP(B201,Kompilirano!T:Z,7,FALSE)/226/5</f>
        <v>381.88849557522127</v>
      </c>
      <c r="D201" s="23">
        <f ca="1">VLOOKUP(B201,Kompilirano!J:P,7,FALSE)/226/5</f>
        <v>0.18389380530973451</v>
      </c>
      <c r="E201" s="24" t="str">
        <f ca="1">VLOOKUP(B201,Kompilirano!AM:AS,7,FALSE)</f>
        <v>0.01 (0.00)</v>
      </c>
      <c r="F201" s="25" t="str">
        <f ca="1">VLOOKUP(B201,Kompilirano!AW:BD,7,FALSE)</f>
        <v>0.08 (0.01)</v>
      </c>
      <c r="G201" s="25" t="str">
        <f ca="1">VLOOKUP(B201,Kompilirano!BG:BM,7,FALSE)</f>
        <v>0.00 (0.00)</v>
      </c>
      <c r="H201" s="25" t="str">
        <f ca="1">VLOOKUP(B201,Kompilirano!BQ:BW,7,FALSE)</f>
        <v>-0.08 (0.00)</v>
      </c>
    </row>
    <row r="202" spans="2:8" x14ac:dyDescent="0.25">
      <c r="B202" s="18" t="s">
        <v>252</v>
      </c>
      <c r="C202" s="22">
        <f ca="1">VLOOKUP(B202,Kompilirano!T:Z,7,FALSE)/226/5</f>
        <v>381.73539823008849</v>
      </c>
      <c r="D202" s="23">
        <f ca="1">VLOOKUP(B202,Kompilirano!J:P,7,FALSE)/226/5</f>
        <v>7.5044247787610624E-2</v>
      </c>
      <c r="E202" s="24" t="str">
        <f ca="1">VLOOKUP(B202,Kompilirano!AM:AS,7,FALSE)</f>
        <v>0.50 (0.00)</v>
      </c>
      <c r="F202" s="25" t="str">
        <f ca="1">VLOOKUP(B202,Kompilirano!AW:BD,7,FALSE)</f>
        <v>0.62 (0.01)</v>
      </c>
      <c r="G202" s="25" t="str">
        <f ca="1">VLOOKUP(B202,Kompilirano!BG:BM,7,FALSE)</f>
        <v>0.04 (0.00)</v>
      </c>
      <c r="H202" s="25" t="str">
        <f ca="1">VLOOKUP(B202,Kompilirano!BQ:BW,7,FALSE)</f>
        <v>0.00 (0.00)</v>
      </c>
    </row>
    <row r="203" spans="2:8" x14ac:dyDescent="0.25">
      <c r="B203" s="18" t="s">
        <v>251</v>
      </c>
      <c r="C203" s="22">
        <f ca="1">VLOOKUP(B203,Kompilirano!T:Z,7,FALSE)/226/5</f>
        <v>381.03893805309735</v>
      </c>
      <c r="D203" s="23">
        <f ca="1">VLOOKUP(B203,Kompilirano!J:P,7,FALSE)/226/5</f>
        <v>0.10442477876106196</v>
      </c>
      <c r="E203" s="24" t="str">
        <f ca="1">VLOOKUP(B203,Kompilirano!AM:AS,7,FALSE)</f>
        <v>0.10 (0.00)</v>
      </c>
      <c r="F203" s="25" t="str">
        <f ca="1">VLOOKUP(B203,Kompilirano!AW:BD,7,FALSE)</f>
        <v>0.48 (0.01)</v>
      </c>
      <c r="G203" s="25" t="str">
        <f ca="1">VLOOKUP(B203,Kompilirano!BG:BM,7,FALSE)</f>
        <v>0.01 (0.00)</v>
      </c>
      <c r="H203" s="25" t="str">
        <f ca="1">VLOOKUP(B203,Kompilirano!BQ:BW,7,FALSE)</f>
        <v>-0.06 (0.00)</v>
      </c>
    </row>
    <row r="204" spans="2:8" x14ac:dyDescent="0.25">
      <c r="B204" s="18" t="s">
        <v>250</v>
      </c>
      <c r="C204" s="22">
        <f ca="1">VLOOKUP(B204,Kompilirano!T:Z,7,FALSE)/226/5</f>
        <v>378.97699115044247</v>
      </c>
      <c r="D204" s="23">
        <f ca="1">VLOOKUP(B204,Kompilirano!J:P,7,FALSE)/226/5</f>
        <v>6.4424778761061938E-2</v>
      </c>
      <c r="E204" s="24" t="str">
        <f ca="1">VLOOKUP(B204,Kompilirano!AM:AS,7,FALSE)</f>
        <v>0.83 (0.00)</v>
      </c>
      <c r="F204" s="25" t="str">
        <f ca="1">VLOOKUP(B204,Kompilirano!AW:BD,7,FALSE)</f>
        <v>0.68 (0.00)</v>
      </c>
      <c r="G204" s="25" t="str">
        <f ca="1">VLOOKUP(B204,Kompilirano!BG:BM,7,FALSE)</f>
        <v>0.07 (0.00)</v>
      </c>
      <c r="H204" s="25" t="str">
        <f ca="1">VLOOKUP(B204,Kompilirano!BQ:BW,7,FALSE)</f>
        <v>0.04 (0.00)</v>
      </c>
    </row>
    <row r="205" spans="2:8" x14ac:dyDescent="0.25">
      <c r="B205" s="18" t="s">
        <v>256</v>
      </c>
      <c r="C205" s="22">
        <f ca="1">VLOOKUP(B205,Kompilirano!T:Z,7,FALSE)/226/5</f>
        <v>378.83451327433625</v>
      </c>
      <c r="D205" s="23">
        <f ca="1">VLOOKUP(B205,Kompilirano!J:P,7,FALSE)/226/5</f>
        <v>0.1663716814159292</v>
      </c>
      <c r="E205" s="24" t="str">
        <f ca="1">VLOOKUP(B205,Kompilirano!AM:AS,7,FALSE)</f>
        <v>0.26 (0.01)</v>
      </c>
      <c r="F205" s="25" t="str">
        <f ca="1">VLOOKUP(B205,Kompilirano!AW:BD,7,FALSE)</f>
        <v>0.17 (0.01)</v>
      </c>
      <c r="G205" s="25" t="str">
        <f ca="1">VLOOKUP(B205,Kompilirano!BG:BM,7,FALSE)</f>
        <v>0.03 (0.00)</v>
      </c>
      <c r="H205" s="25" t="str">
        <f ca="1">VLOOKUP(B205,Kompilirano!BQ:BW,7,FALSE)</f>
        <v>-0.03 (0.00)</v>
      </c>
    </row>
    <row r="206" spans="2:8" x14ac:dyDescent="0.25">
      <c r="B206" s="18" t="s">
        <v>255</v>
      </c>
      <c r="C206" s="22">
        <f ca="1">VLOOKUP(B206,Kompilirano!T:Z,7,FALSE)/226/5</f>
        <v>378.01858407079646</v>
      </c>
      <c r="D206" s="23">
        <f ca="1">VLOOKUP(B206,Kompilirano!J:P,7,FALSE)/226/5</f>
        <v>6.3716814159292035E-2</v>
      </c>
      <c r="E206" s="24" t="str">
        <f ca="1">VLOOKUP(B206,Kompilirano!AM:AS,7,FALSE)</f>
        <v>0.50 (0.00)</v>
      </c>
      <c r="F206" s="25" t="str">
        <f ca="1">VLOOKUP(B206,Kompilirano!AW:BD,7,FALSE)</f>
        <v>0.68 (0.01)</v>
      </c>
      <c r="G206" s="25" t="str">
        <f ca="1">VLOOKUP(B206,Kompilirano!BG:BM,7,FALSE)</f>
        <v>0.04 (0.00)</v>
      </c>
      <c r="H206" s="25" t="str">
        <f ca="1">VLOOKUP(B206,Kompilirano!BQ:BW,7,FALSE)</f>
        <v>0.00 (0.00)</v>
      </c>
    </row>
    <row r="207" spans="2:8" x14ac:dyDescent="0.25">
      <c r="B207" s="18" t="s">
        <v>270</v>
      </c>
      <c r="C207" s="22">
        <f ca="1">VLOOKUP(B207,Kompilirano!T:Z,7,FALSE)/226/5</f>
        <v>377.84336283185837</v>
      </c>
      <c r="D207" s="23">
        <f ca="1">VLOOKUP(B207,Kompilirano!J:P,7,FALSE)/226/5</f>
        <v>7.8407079646017702E-2</v>
      </c>
      <c r="E207" s="24" t="str">
        <f ca="1">VLOOKUP(B207,Kompilirano!AM:AS,7,FALSE)</f>
        <v>0.36 (0.00)</v>
      </c>
      <c r="F207" s="25" t="str">
        <f ca="1">VLOOKUP(B207,Kompilirano!AW:BD,7,FALSE)</f>
        <v>0.61 (0.01)</v>
      </c>
      <c r="G207" s="25" t="str">
        <f ca="1">VLOOKUP(B207,Kompilirano!BG:BM,7,FALSE)</f>
        <v>0.03 (0.00)</v>
      </c>
      <c r="H207" s="25" t="str">
        <f ca="1">VLOOKUP(B207,Kompilirano!BQ:BW,7,FALSE)</f>
        <v>-0.02 (0.00)</v>
      </c>
    </row>
    <row r="208" spans="2:8" x14ac:dyDescent="0.25">
      <c r="B208" s="18" t="s">
        <v>266</v>
      </c>
      <c r="C208" s="22">
        <f ca="1">VLOOKUP(B208,Kompilirano!T:Z,7,FALSE)/226/5</f>
        <v>377.53185840707965</v>
      </c>
      <c r="D208" s="23">
        <f ca="1">VLOOKUP(B208,Kompilirano!J:P,7,FALSE)/226/5</f>
        <v>6.1946902654867256E-2</v>
      </c>
      <c r="E208" s="24" t="str">
        <f ca="1">VLOOKUP(B208,Kompilirano!AM:AS,7,FALSE)</f>
        <v>0.50 (0.00)</v>
      </c>
      <c r="F208" s="25" t="str">
        <f ca="1">VLOOKUP(B208,Kompilirano!AW:BD,7,FALSE)</f>
        <v>0.69 (0.01)</v>
      </c>
      <c r="G208" s="25" t="str">
        <f ca="1">VLOOKUP(B208,Kompilirano!BG:BM,7,FALSE)</f>
        <v>0.04 (0.00)</v>
      </c>
      <c r="H208" s="25" t="str">
        <f ca="1">VLOOKUP(B208,Kompilirano!BQ:BW,7,FALSE)</f>
        <v>0.00 (0.00)</v>
      </c>
    </row>
    <row r="209" spans="2:8" x14ac:dyDescent="0.25">
      <c r="B209" s="18" t="s">
        <v>21</v>
      </c>
      <c r="C209" s="22">
        <f ca="1">VLOOKUP(B209,Kompilirano!T:Z,7,FALSE)/226/5</f>
        <v>376.25929203539823</v>
      </c>
      <c r="D209" s="23">
        <f ca="1">VLOOKUP(B209,Kompilirano!J:P,7,FALSE)/226/5</f>
        <v>6.9557522123893795E-2</v>
      </c>
      <c r="E209" s="24" t="str">
        <f ca="1">VLOOKUP(B209,Kompilirano!AM:AS,7,FALSE)</f>
        <v>0.50 (0.00)</v>
      </c>
      <c r="F209" s="25" t="str">
        <f ca="1">VLOOKUP(B209,Kompilirano!AW:BD,7,FALSE)</f>
        <v>0.65 (0.01)</v>
      </c>
      <c r="G209" s="25" t="str">
        <f ca="1">VLOOKUP(B209,Kompilirano!BG:BM,7,FALSE)</f>
        <v>0.04 (0.00)</v>
      </c>
      <c r="H209" s="25" t="str">
        <f ca="1">VLOOKUP(B209,Kompilirano!BQ:BW,7,FALSE)</f>
        <v>0.00 (0.00)</v>
      </c>
    </row>
    <row r="210" spans="2:8" x14ac:dyDescent="0.25">
      <c r="B210" s="18" t="s">
        <v>259</v>
      </c>
      <c r="C210" s="22">
        <f ca="1">VLOOKUP(B210,Kompilirano!T:Z,7,FALSE)/226/5</f>
        <v>376.14247787610623</v>
      </c>
      <c r="D210" s="23">
        <f ca="1">VLOOKUP(B210,Kompilirano!J:P,7,FALSE)/226/5</f>
        <v>0.15840707964601769</v>
      </c>
      <c r="E210" s="24" t="str">
        <f ca="1">VLOOKUP(B210,Kompilirano!AM:AS,7,FALSE)</f>
        <v>0.09 (0.00)</v>
      </c>
      <c r="F210" s="25" t="str">
        <f ca="1">VLOOKUP(B210,Kompilirano!AW:BD,7,FALSE)</f>
        <v>0.21 (0.00)</v>
      </c>
      <c r="G210" s="25" t="str">
        <f ca="1">VLOOKUP(B210,Kompilirano!BG:BM,7,FALSE)</f>
        <v>0.01 (0.00)</v>
      </c>
      <c r="H210" s="25" t="str">
        <f ca="1">VLOOKUP(B210,Kompilirano!BQ:BW,7,FALSE)</f>
        <v>-0.06 (0.00)</v>
      </c>
    </row>
    <row r="211" spans="2:8" x14ac:dyDescent="0.25">
      <c r="B211" s="18" t="s">
        <v>257</v>
      </c>
      <c r="C211" s="22">
        <f ca="1">VLOOKUP(B211,Kompilirano!T:Z,7,FALSE)/226/5</f>
        <v>375.96017699115043</v>
      </c>
      <c r="D211" s="23">
        <f ca="1">VLOOKUP(B211,Kompilirano!J:P,7,FALSE)/226/5</f>
        <v>7.3451327433628325E-2</v>
      </c>
      <c r="E211" s="24" t="str">
        <f ca="1">VLOOKUP(B211,Kompilirano!AM:AS,7,FALSE)</f>
        <v>0.58 (0.01)</v>
      </c>
      <c r="F211" s="25" t="str">
        <f ca="1">VLOOKUP(B211,Kompilirano!AW:BD,7,FALSE)</f>
        <v>0.63 (0.01)</v>
      </c>
      <c r="G211" s="25" t="str">
        <f ca="1">VLOOKUP(B211,Kompilirano!BG:BM,7,FALSE)</f>
        <v>0.05 (0.00)</v>
      </c>
      <c r="H211" s="25" t="str">
        <f ca="1">VLOOKUP(B211,Kompilirano!BQ:BW,7,FALSE)</f>
        <v>0.01 (0.00)</v>
      </c>
    </row>
    <row r="212" spans="2:8" x14ac:dyDescent="0.25">
      <c r="B212" s="18" t="s">
        <v>263</v>
      </c>
      <c r="C212" s="22">
        <f ca="1">VLOOKUP(B212,Kompilirano!T:Z,7,FALSE)/226/5</f>
        <v>375.92654867256635</v>
      </c>
      <c r="D212" s="23">
        <f ca="1">VLOOKUP(B212,Kompilirano!J:P,7,FALSE)/226/5</f>
        <v>0.1865486725663717</v>
      </c>
      <c r="E212" s="24" t="str">
        <f ca="1">VLOOKUP(B212,Kompilirano!AM:AS,7,FALSE)</f>
        <v>0.08 (0.00)</v>
      </c>
      <c r="F212" s="25" t="str">
        <f ca="1">VLOOKUP(B212,Kompilirano!AW:BD,7,FALSE)</f>
        <v>0.07 (0.00)</v>
      </c>
      <c r="G212" s="25" t="str">
        <f ca="1">VLOOKUP(B212,Kompilirano!BG:BM,7,FALSE)</f>
        <v>0.01 (0.00)</v>
      </c>
      <c r="H212" s="25" t="str">
        <f ca="1">VLOOKUP(B212,Kompilirano!BQ:BW,7,FALSE)</f>
        <v>-0.06 (0.00)</v>
      </c>
    </row>
    <row r="213" spans="2:8" x14ac:dyDescent="0.25">
      <c r="B213" s="18" t="s">
        <v>269</v>
      </c>
      <c r="C213" s="22">
        <f ca="1">VLOOKUP(B213,Kompilirano!T:Z,7,FALSE)/226/5</f>
        <v>375.34867256637165</v>
      </c>
      <c r="D213" s="23">
        <f ca="1">VLOOKUP(B213,Kompilirano!J:P,7,FALSE)/226/5</f>
        <v>0.15256637168141593</v>
      </c>
      <c r="E213" s="24" t="str">
        <f ca="1">VLOOKUP(B213,Kompilirano!AM:AS,7,FALSE)</f>
        <v>0.09 (0.01)</v>
      </c>
      <c r="F213" s="25" t="str">
        <f ca="1">VLOOKUP(B213,Kompilirano!AW:BD,7,FALSE)</f>
        <v>0.24 (0.01)</v>
      </c>
      <c r="G213" s="25" t="str">
        <f ca="1">VLOOKUP(B213,Kompilirano!BG:BM,7,FALSE)</f>
        <v>0.01 (0.00)</v>
      </c>
      <c r="H213" s="25" t="str">
        <f ca="1">VLOOKUP(B213,Kompilirano!BQ:BW,7,FALSE)</f>
        <v>-0.07 (0.00)</v>
      </c>
    </row>
    <row r="214" spans="2:8" x14ac:dyDescent="0.25">
      <c r="B214" s="18" t="s">
        <v>23</v>
      </c>
      <c r="C214" s="22">
        <f ca="1">VLOOKUP(B214,Kompilirano!T:Z,7,FALSE)/226/5</f>
        <v>374.92920353982299</v>
      </c>
      <c r="D214" s="23">
        <f ca="1">VLOOKUP(B214,Kompilirano!J:P,7,FALSE)/226/5</f>
        <v>6.8849557522123891E-2</v>
      </c>
      <c r="E214" s="24" t="str">
        <f ca="1">VLOOKUP(B214,Kompilirano!AM:AS,7,FALSE)</f>
        <v>0.50 (0.00)</v>
      </c>
      <c r="F214" s="25" t="str">
        <f ca="1">VLOOKUP(B214,Kompilirano!AW:BD,7,FALSE)</f>
        <v>0.66 (0.02)</v>
      </c>
      <c r="G214" s="25" t="str">
        <f ca="1">VLOOKUP(B214,Kompilirano!BG:BM,7,FALSE)</f>
        <v>0.04 (0.00)</v>
      </c>
      <c r="H214" s="25" t="str">
        <f ca="1">VLOOKUP(B214,Kompilirano!BQ:BW,7,FALSE)</f>
        <v>0.00 (0.00)</v>
      </c>
    </row>
    <row r="215" spans="2:8" x14ac:dyDescent="0.25">
      <c r="B215" s="18" t="s">
        <v>258</v>
      </c>
      <c r="C215" s="22">
        <f ca="1">VLOOKUP(B215,Kompilirano!T:Z,7,FALSE)/226/5</f>
        <v>374.82477876106196</v>
      </c>
      <c r="D215" s="23">
        <f ca="1">VLOOKUP(B215,Kompilirano!J:P,7,FALSE)/226/5</f>
        <v>0.17610619469026551</v>
      </c>
      <c r="E215" s="24" t="str">
        <f ca="1">VLOOKUP(B215,Kompilirano!AM:AS,7,FALSE)</f>
        <v>0.16 (0.01)</v>
      </c>
      <c r="F215" s="25" t="str">
        <f ca="1">VLOOKUP(B215,Kompilirano!AW:BD,7,FALSE)</f>
        <v>0.12 (0.02)</v>
      </c>
      <c r="G215" s="25" t="str">
        <f ca="1">VLOOKUP(B215,Kompilirano!BG:BM,7,FALSE)</f>
        <v>0.02 (0.00)</v>
      </c>
      <c r="H215" s="25" t="str">
        <f ca="1">VLOOKUP(B215,Kompilirano!BQ:BW,7,FALSE)</f>
        <v>-0.05 (0.00)</v>
      </c>
    </row>
    <row r="216" spans="2:8" x14ac:dyDescent="0.25">
      <c r="B216" s="18" t="s">
        <v>268</v>
      </c>
      <c r="C216" s="22">
        <f ca="1">VLOOKUP(B216,Kompilirano!T:Z,7,FALSE)/226/5</f>
        <v>374.75752212389381</v>
      </c>
      <c r="D216" s="23">
        <f ca="1">VLOOKUP(B216,Kompilirano!J:P,7,FALSE)/226/5</f>
        <v>9.309734513274337E-2</v>
      </c>
      <c r="E216" s="24" t="str">
        <f ca="1">VLOOKUP(B216,Kompilirano!AM:AS,7,FALSE)</f>
        <v>0.33 (0.00)</v>
      </c>
      <c r="F216" s="25" t="str">
        <f ca="1">VLOOKUP(B216,Kompilirano!AW:BD,7,FALSE)</f>
        <v>0.53 (0.01)</v>
      </c>
      <c r="G216" s="25" t="str">
        <f ca="1">VLOOKUP(B216,Kompilirano!BG:BM,7,FALSE)</f>
        <v>0.03 (0.00)</v>
      </c>
      <c r="H216" s="25" t="str">
        <f ca="1">VLOOKUP(B216,Kompilirano!BQ:BW,7,FALSE)</f>
        <v>-0.03 (0.00)</v>
      </c>
    </row>
    <row r="217" spans="2:8" x14ac:dyDescent="0.25">
      <c r="B217" s="18" t="s">
        <v>265</v>
      </c>
      <c r="C217" s="22">
        <f ca="1">VLOOKUP(B217,Kompilirano!T:Z,7,FALSE)/226/5</f>
        <v>374.54778761061948</v>
      </c>
      <c r="D217" s="23">
        <f ca="1">VLOOKUP(B217,Kompilirano!J:P,7,FALSE)/226/5</f>
        <v>0.13628318584070795</v>
      </c>
      <c r="E217" s="24" t="str">
        <f ca="1">VLOOKUP(B217,Kompilirano!AM:AS,7,FALSE)</f>
        <v>0.07 (0.00)</v>
      </c>
      <c r="F217" s="25" t="str">
        <f ca="1">VLOOKUP(B217,Kompilirano!AW:BD,7,FALSE)</f>
        <v>0.32 (0.01)</v>
      </c>
      <c r="G217" s="25" t="str">
        <f ca="1">VLOOKUP(B217,Kompilirano!BG:BM,7,FALSE)</f>
        <v>0.01 (0.00)</v>
      </c>
      <c r="H217" s="25" t="str">
        <f ca="1">VLOOKUP(B217,Kompilirano!BQ:BW,7,FALSE)</f>
        <v>-0.07 (0.00)</v>
      </c>
    </row>
    <row r="218" spans="2:8" x14ac:dyDescent="0.25">
      <c r="B218" s="18" t="s">
        <v>260</v>
      </c>
      <c r="C218" s="22">
        <f ca="1">VLOOKUP(B218,Kompilirano!T:Z,7,FALSE)/226/5</f>
        <v>374.3309734513274</v>
      </c>
      <c r="D218" s="23">
        <f ca="1">VLOOKUP(B218,Kompilirano!J:P,7,FALSE)/226/5</f>
        <v>7.9469026548672564E-2</v>
      </c>
      <c r="E218" s="24" t="str">
        <f ca="1">VLOOKUP(B218,Kompilirano!AM:AS,7,FALSE)</f>
        <v>0.54 (0.00)</v>
      </c>
      <c r="F218" s="25" t="str">
        <f ca="1">VLOOKUP(B218,Kompilirano!AW:BD,7,FALSE)</f>
        <v>0.60 (0.01)</v>
      </c>
      <c r="G218" s="25" t="str">
        <f ca="1">VLOOKUP(B218,Kompilirano!BG:BM,7,FALSE)</f>
        <v>0.05 (0.00)</v>
      </c>
      <c r="H218" s="25" t="str">
        <f ca="1">VLOOKUP(B218,Kompilirano!BQ:BW,7,FALSE)</f>
        <v>0.02 (0.00)</v>
      </c>
    </row>
    <row r="219" spans="2:8" x14ac:dyDescent="0.25">
      <c r="B219" s="18" t="s">
        <v>264</v>
      </c>
      <c r="C219" s="22">
        <f ca="1">VLOOKUP(B219,Kompilirano!T:Z,7,FALSE)/226/5</f>
        <v>374.16460176991149</v>
      </c>
      <c r="D219" s="23">
        <f ca="1">VLOOKUP(B219,Kompilirano!J:P,7,FALSE)/226/5</f>
        <v>7.2743362831858407E-2</v>
      </c>
      <c r="E219" s="24" t="str">
        <f ca="1">VLOOKUP(B219,Kompilirano!AM:AS,7,FALSE)</f>
        <v>0.60 (0.00)</v>
      </c>
      <c r="F219" s="25" t="str">
        <f ca="1">VLOOKUP(B219,Kompilirano!AW:BD,7,FALSE)</f>
        <v>0.64 (0.01)</v>
      </c>
      <c r="G219" s="25" t="str">
        <f ca="1">VLOOKUP(B219,Kompilirano!BG:BM,7,FALSE)</f>
        <v>0.05 (0.00)</v>
      </c>
      <c r="H219" s="25" t="str">
        <f ca="1">VLOOKUP(B219,Kompilirano!BQ:BW,7,FALSE)</f>
        <v>0.01 (0.00)</v>
      </c>
    </row>
    <row r="220" spans="2:8" x14ac:dyDescent="0.25">
      <c r="B220" s="18" t="s">
        <v>267</v>
      </c>
      <c r="C220" s="22">
        <f ca="1">VLOOKUP(B220,Kompilirano!T:Z,7,FALSE)/226/5</f>
        <v>373.33274336283182</v>
      </c>
      <c r="D220" s="23">
        <f ca="1">VLOOKUP(B220,Kompilirano!J:P,7,FALSE)/226/5</f>
        <v>0.17840707964601771</v>
      </c>
      <c r="E220" s="24" t="str">
        <f ca="1">VLOOKUP(B220,Kompilirano!AM:AS,7,FALSE)</f>
        <v>0.12 (0.00)</v>
      </c>
      <c r="F220" s="25" t="str">
        <f ca="1">VLOOKUP(B220,Kompilirano!AW:BD,7,FALSE)</f>
        <v>0.11 (0.01)</v>
      </c>
      <c r="G220" s="25" t="str">
        <f ca="1">VLOOKUP(B220,Kompilirano!BG:BM,7,FALSE)</f>
        <v>0.01 (0.00)</v>
      </c>
      <c r="H220" s="25" t="str">
        <f ca="1">VLOOKUP(B220,Kompilirano!BQ:BW,7,FALSE)</f>
        <v>-0.06 (0.00)</v>
      </c>
    </row>
    <row r="221" spans="2:8" x14ac:dyDescent="0.25">
      <c r="B221" s="18" t="s">
        <v>262</v>
      </c>
      <c r="C221" s="22">
        <f ca="1">VLOOKUP(B221,Kompilirano!T:Z,7,FALSE)/226/5</f>
        <v>373.26194690265487</v>
      </c>
      <c r="D221" s="23">
        <f ca="1">VLOOKUP(B221,Kompilirano!J:P,7,FALSE)/226/5</f>
        <v>9.6460176991150434E-2</v>
      </c>
      <c r="E221" s="24" t="str">
        <f ca="1">VLOOKUP(B221,Kompilirano!AM:AS,7,FALSE)</f>
        <v>0.30 (0.00)</v>
      </c>
      <c r="F221" s="25" t="str">
        <f ca="1">VLOOKUP(B221,Kompilirano!AW:BD,7,FALSE)</f>
        <v>0.52 (0.01)</v>
      </c>
      <c r="G221" s="25" t="str">
        <f ca="1">VLOOKUP(B221,Kompilirano!BG:BM,7,FALSE)</f>
        <v>0.03 (0.00)</v>
      </c>
      <c r="H221" s="25" t="str">
        <f ca="1">VLOOKUP(B221,Kompilirano!BQ:BW,7,FALSE)</f>
        <v>-0.03 (0.00)</v>
      </c>
    </row>
    <row r="222" spans="2:8" x14ac:dyDescent="0.25">
      <c r="B222" s="18" t="s">
        <v>272</v>
      </c>
      <c r="C222" s="22">
        <f ca="1">VLOOKUP(B222,Kompilirano!T:Z,7,FALSE)/226/5</f>
        <v>372.93716814159291</v>
      </c>
      <c r="D222" s="23">
        <f ca="1">VLOOKUP(B222,Kompilirano!J:P,7,FALSE)/226/5</f>
        <v>0.1695575221238938</v>
      </c>
      <c r="E222" s="24" t="str">
        <f ca="1">VLOOKUP(B222,Kompilirano!AM:AS,7,FALSE)</f>
        <v>0.20 (0.01)</v>
      </c>
      <c r="F222" s="25" t="str">
        <f ca="1">VLOOKUP(B222,Kompilirano!AW:BD,7,FALSE)</f>
        <v>0.15 (0.02)</v>
      </c>
      <c r="G222" s="25" t="str">
        <f ca="1">VLOOKUP(B222,Kompilirano!BG:BM,7,FALSE)</f>
        <v>0.02 (0.00)</v>
      </c>
      <c r="H222" s="25" t="str">
        <f ca="1">VLOOKUP(B222,Kompilirano!BQ:BW,7,FALSE)</f>
        <v>-0.04 (0.00)</v>
      </c>
    </row>
    <row r="223" spans="2:8" x14ac:dyDescent="0.25">
      <c r="B223" s="18" t="s">
        <v>276</v>
      </c>
      <c r="C223" s="22">
        <f ca="1">VLOOKUP(B223,Kompilirano!T:Z,7,FALSE)/226/5</f>
        <v>371.14867256637166</v>
      </c>
      <c r="D223" s="23">
        <f ca="1">VLOOKUP(B223,Kompilirano!J:P,7,FALSE)/226/5</f>
        <v>0.17893805309734512</v>
      </c>
      <c r="E223" s="24" t="str">
        <f ca="1">VLOOKUP(B223,Kompilirano!AM:AS,7,FALSE)</f>
        <v>0.09 (0.00)</v>
      </c>
      <c r="F223" s="25" t="str">
        <f ca="1">VLOOKUP(B223,Kompilirano!AW:BD,7,FALSE)</f>
        <v>0.11 (0.01)</v>
      </c>
      <c r="G223" s="25" t="str">
        <f ca="1">VLOOKUP(B223,Kompilirano!BG:BM,7,FALSE)</f>
        <v>0.01 (0.00)</v>
      </c>
      <c r="H223" s="25" t="str">
        <f ca="1">VLOOKUP(B223,Kompilirano!BQ:BW,7,FALSE)</f>
        <v>-0.06 (0.00)</v>
      </c>
    </row>
    <row r="224" spans="2:8" x14ac:dyDescent="0.25">
      <c r="B224" s="18" t="s">
        <v>271</v>
      </c>
      <c r="C224" s="22">
        <f ca="1">VLOOKUP(B224,Kompilirano!T:Z,7,FALSE)/226/5</f>
        <v>370.56725663716816</v>
      </c>
      <c r="D224" s="23">
        <f ca="1">VLOOKUP(B224,Kompilirano!J:P,7,FALSE)/226/5</f>
        <v>6.6194690265486716E-2</v>
      </c>
      <c r="E224" s="24" t="str">
        <f ca="1">VLOOKUP(B224,Kompilirano!AM:AS,7,FALSE)</f>
        <v>0.60 (0.00)</v>
      </c>
      <c r="F224" s="25" t="str">
        <f ca="1">VLOOKUP(B224,Kompilirano!AW:BD,7,FALSE)</f>
        <v>0.67 (0.01)</v>
      </c>
      <c r="G224" s="25" t="str">
        <f ca="1">VLOOKUP(B224,Kompilirano!BG:BM,7,FALSE)</f>
        <v>0.05 (0.00)</v>
      </c>
      <c r="H224" s="25" t="str">
        <f ca="1">VLOOKUP(B224,Kompilirano!BQ:BW,7,FALSE)</f>
        <v>0.01 (0.00)</v>
      </c>
    </row>
    <row r="225" spans="2:8" x14ac:dyDescent="0.25">
      <c r="B225" s="18" t="s">
        <v>273</v>
      </c>
      <c r="C225" s="22">
        <f ca="1">VLOOKUP(B225,Kompilirano!T:Z,7,FALSE)/226/5</f>
        <v>366.73274336283185</v>
      </c>
      <c r="D225" s="23">
        <f ca="1">VLOOKUP(B225,Kompilirano!J:P,7,FALSE)/226/5</f>
        <v>8.9203539823008854E-2</v>
      </c>
      <c r="E225" s="24" t="str">
        <f ca="1">VLOOKUP(B225,Kompilirano!AM:AS,7,FALSE)</f>
        <v>0.41 (0.00)</v>
      </c>
      <c r="F225" s="25" t="str">
        <f ca="1">VLOOKUP(B225,Kompilirano!AW:BD,7,FALSE)</f>
        <v>0.55 (0.01)</v>
      </c>
      <c r="G225" s="25" t="str">
        <f ca="1">VLOOKUP(B225,Kompilirano!BG:BM,7,FALSE)</f>
        <v>0.04 (0.00)</v>
      </c>
      <c r="H225" s="25" t="str">
        <f ca="1">VLOOKUP(B225,Kompilirano!BQ:BW,7,FALSE)</f>
        <v>-0.01 (0.00)</v>
      </c>
    </row>
    <row r="226" spans="2:8" x14ac:dyDescent="0.25">
      <c r="B226" s="18" t="s">
        <v>274</v>
      </c>
      <c r="C226" s="22">
        <f ca="1">VLOOKUP(B226,Kompilirano!T:Z,7,FALSE)/226/5</f>
        <v>366.51327433628319</v>
      </c>
      <c r="D226" s="23">
        <f ca="1">VLOOKUP(B226,Kompilirano!J:P,7,FALSE)/226/5</f>
        <v>6.3893805309734514E-2</v>
      </c>
      <c r="E226" s="24" t="str">
        <f ca="1">VLOOKUP(B226,Kompilirano!AM:AS,7,FALSE)</f>
        <v>0.75 (0.00)</v>
      </c>
      <c r="F226" s="25" t="str">
        <f ca="1">VLOOKUP(B226,Kompilirano!AW:BD,7,FALSE)</f>
        <v>0.68 (0.01)</v>
      </c>
      <c r="G226" s="25" t="str">
        <f ca="1">VLOOKUP(B226,Kompilirano!BG:BM,7,FALSE)</f>
        <v>0.07 (0.00)</v>
      </c>
      <c r="H226" s="25" t="str">
        <f ca="1">VLOOKUP(B226,Kompilirano!BQ:BW,7,FALSE)</f>
        <v>0.03 (0.00)</v>
      </c>
    </row>
    <row r="227" spans="2:8" x14ac:dyDescent="0.25">
      <c r="B227" s="18" t="s">
        <v>278</v>
      </c>
      <c r="C227" s="22">
        <f ca="1">VLOOKUP(B227,Kompilirano!T:Z,7,FALSE)/226/5</f>
        <v>365.35044247787607</v>
      </c>
      <c r="D227" s="23">
        <f ca="1">VLOOKUP(B227,Kompilirano!J:P,7,FALSE)/226/5</f>
        <v>6.9026548672566371E-2</v>
      </c>
      <c r="E227" s="24" t="str">
        <f ca="1">VLOOKUP(B227,Kompilirano!AM:AS,7,FALSE)</f>
        <v>0.61 (0.00)</v>
      </c>
      <c r="F227" s="25" t="str">
        <f ca="1">VLOOKUP(B227,Kompilirano!AW:BD,7,FALSE)</f>
        <v>0.65 (0.01)</v>
      </c>
      <c r="G227" s="25" t="str">
        <f ca="1">VLOOKUP(B227,Kompilirano!BG:BM,7,FALSE)</f>
        <v>0.05 (0.00)</v>
      </c>
      <c r="H227" s="25" t="str">
        <f ca="1">VLOOKUP(B227,Kompilirano!BQ:BW,7,FALSE)</f>
        <v>0.01 (0.00)</v>
      </c>
    </row>
    <row r="228" spans="2:8" x14ac:dyDescent="0.25">
      <c r="B228" s="18" t="s">
        <v>277</v>
      </c>
      <c r="C228" s="22">
        <f ca="1">VLOOKUP(B228,Kompilirano!T:Z,7,FALSE)/226/5</f>
        <v>365.10353982300887</v>
      </c>
      <c r="D228" s="23">
        <f ca="1">VLOOKUP(B228,Kompilirano!J:P,7,FALSE)/226/5</f>
        <v>5.805309734513274E-2</v>
      </c>
      <c r="E228" s="24" t="str">
        <f ca="1">VLOOKUP(B228,Kompilirano!AM:AS,7,FALSE)</f>
        <v>0.71 (0.00)</v>
      </c>
      <c r="F228" s="25" t="str">
        <f ca="1">VLOOKUP(B228,Kompilirano!AW:BD,7,FALSE)</f>
        <v>0.71 (0.01)</v>
      </c>
      <c r="G228" s="25" t="str">
        <f ca="1">VLOOKUP(B228,Kompilirano!BG:BM,7,FALSE)</f>
        <v>0.06 (0.00)</v>
      </c>
      <c r="H228" s="25" t="str">
        <f ca="1">VLOOKUP(B228,Kompilirano!BQ:BW,7,FALSE)</f>
        <v>0.03 (0.00)</v>
      </c>
    </row>
    <row r="229" spans="2:8" x14ac:dyDescent="0.25">
      <c r="B229" s="18" t="s">
        <v>275</v>
      </c>
      <c r="C229" s="22">
        <f ca="1">VLOOKUP(B229,Kompilirano!T:Z,7,FALSE)/226/5</f>
        <v>361.55840707964603</v>
      </c>
      <c r="D229" s="23">
        <f ca="1">VLOOKUP(B229,Kompilirano!J:P,7,FALSE)/226/5</f>
        <v>0.17345132743362832</v>
      </c>
      <c r="E229" s="24" t="str">
        <f ca="1">VLOOKUP(B229,Kompilirano!AM:AS,7,FALSE)</f>
        <v>0.08 (0.01)</v>
      </c>
      <c r="F229" s="25" t="str">
        <f ca="1">VLOOKUP(B229,Kompilirano!AW:BD,7,FALSE)</f>
        <v>0.13 (0.01)</v>
      </c>
      <c r="G229" s="25" t="str">
        <f ca="1">VLOOKUP(B229,Kompilirano!BG:BM,7,FALSE)</f>
        <v>0.00 (0.00)</v>
      </c>
      <c r="H229" s="25" t="str">
        <f ca="1">VLOOKUP(B229,Kompilirano!BQ:BW,7,FALSE)</f>
        <v>-0.08 (0.00)</v>
      </c>
    </row>
    <row r="230" spans="2:8" x14ac:dyDescent="0.25">
      <c r="B230" s="19" t="s">
        <v>279</v>
      </c>
      <c r="C230" s="22">
        <f ca="1">VLOOKUP(B230,Kompilirano!T:Z,7,FALSE)/226/5</f>
        <v>359.18584070796459</v>
      </c>
      <c r="D230" s="23">
        <f ca="1">VLOOKUP(B230,Kompilirano!J:P,7,FALSE)/226/5</f>
        <v>0.18672566371681415</v>
      </c>
      <c r="E230" s="24" t="str">
        <f ca="1">VLOOKUP(B230,Kompilirano!AM:AS,7,FALSE)</f>
        <v>0.00 (0.00)</v>
      </c>
      <c r="F230" s="25" t="str">
        <f ca="1">VLOOKUP(B230,Kompilirano!AW:BD,7,FALSE)</f>
        <v>0.07 (0.00)</v>
      </c>
      <c r="G230" s="25" t="str">
        <f ca="1">VLOOKUP(B230,Kompilirano!BG:BM,7,FALSE)</f>
        <v>0.00 (0.00)</v>
      </c>
      <c r="H230" s="25" t="str">
        <f ca="1">VLOOKUP(B230,Kompilirano!BQ:BW,7,FALSE)</f>
        <v>-0.08 (0.00)</v>
      </c>
    </row>
  </sheetData>
  <sortState xmlns:xlrd2="http://schemas.microsoft.com/office/spreadsheetml/2017/richdata2" ref="B4:H230">
    <sortCondition descending="1" ref="C4:C230"/>
  </sortState>
  <mergeCells count="2">
    <mergeCell ref="C2:D2"/>
    <mergeCell ref="E2:H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34167-E0BC-4DC8-8A96-EAC9AB9F3F3B}">
  <dimension ref="A2:BY229"/>
  <sheetViews>
    <sheetView topLeftCell="AR1" zoomScale="85" zoomScaleNormal="85" workbookViewId="0">
      <selection activeCell="BW3" sqref="BW3:BW229"/>
    </sheetView>
  </sheetViews>
  <sheetFormatPr defaultRowHeight="15" x14ac:dyDescent="0.25"/>
  <cols>
    <col min="1" max="1" width="28.42578125" bestFit="1" customWidth="1"/>
    <col min="2" max="2" width="10.5703125" bestFit="1" customWidth="1"/>
    <col min="10" max="10" width="28.42578125" bestFit="1" customWidth="1"/>
    <col min="11" max="11" width="11.5703125" bestFit="1" customWidth="1"/>
    <col min="20" max="20" width="28.42578125" bestFit="1" customWidth="1"/>
    <col min="21" max="25" width="12.140625" bestFit="1" customWidth="1"/>
    <col min="26" max="26" width="12.140625" customWidth="1"/>
    <col min="27" max="27" width="9.7109375" bestFit="1" customWidth="1"/>
  </cols>
  <sheetData>
    <row r="2" spans="1:77" x14ac:dyDescent="0.25">
      <c r="A2" s="10" t="s">
        <v>0</v>
      </c>
      <c r="B2" s="10" t="s">
        <v>25</v>
      </c>
      <c r="C2" s="10" t="s">
        <v>26</v>
      </c>
      <c r="D2" s="10" t="s">
        <v>27</v>
      </c>
      <c r="E2" s="10" t="s">
        <v>28</v>
      </c>
      <c r="F2" s="10" t="s">
        <v>29</v>
      </c>
      <c r="G2" s="10" t="s">
        <v>65</v>
      </c>
      <c r="H2" s="14" t="s">
        <v>287</v>
      </c>
      <c r="J2" s="10" t="s">
        <v>0</v>
      </c>
      <c r="K2" s="10" t="s">
        <v>30</v>
      </c>
      <c r="L2" s="10" t="s">
        <v>31</v>
      </c>
      <c r="M2" s="10" t="s">
        <v>32</v>
      </c>
      <c r="N2" s="10" t="s">
        <v>33</v>
      </c>
      <c r="O2" s="10" t="s">
        <v>34</v>
      </c>
      <c r="P2" s="11" t="s">
        <v>65</v>
      </c>
      <c r="Q2" s="14" t="s">
        <v>287</v>
      </c>
      <c r="T2" s="10" t="s">
        <v>0</v>
      </c>
      <c r="U2" s="10" t="s">
        <v>35</v>
      </c>
      <c r="V2" s="10" t="s">
        <v>36</v>
      </c>
      <c r="W2" s="10" t="s">
        <v>37</v>
      </c>
      <c r="X2" s="10" t="s">
        <v>38</v>
      </c>
      <c r="Y2" s="10" t="s">
        <v>39</v>
      </c>
      <c r="Z2" s="10"/>
      <c r="AA2" s="10" t="s">
        <v>65</v>
      </c>
      <c r="AB2" s="14" t="s">
        <v>287</v>
      </c>
      <c r="AD2" s="10" t="s">
        <v>0</v>
      </c>
      <c r="AE2" s="10" t="s">
        <v>40</v>
      </c>
      <c r="AF2" s="10" t="s">
        <v>41</v>
      </c>
      <c r="AG2" s="10" t="s">
        <v>42</v>
      </c>
      <c r="AH2" s="10" t="s">
        <v>43</v>
      </c>
      <c r="AI2" s="10" t="s">
        <v>44</v>
      </c>
      <c r="AJ2" s="10" t="s">
        <v>65</v>
      </c>
      <c r="AK2" s="14" t="s">
        <v>287</v>
      </c>
      <c r="AM2" s="10" t="s">
        <v>0</v>
      </c>
      <c r="AN2" s="10" t="s">
        <v>45</v>
      </c>
      <c r="AO2" s="10" t="s">
        <v>46</v>
      </c>
      <c r="AP2" s="10" t="s">
        <v>47</v>
      </c>
      <c r="AQ2" s="10" t="s">
        <v>48</v>
      </c>
      <c r="AR2" s="10" t="s">
        <v>49</v>
      </c>
      <c r="AS2" s="10"/>
      <c r="AT2" s="10" t="s">
        <v>65</v>
      </c>
      <c r="AU2" s="14" t="s">
        <v>287</v>
      </c>
      <c r="AW2" s="10" t="s">
        <v>0</v>
      </c>
      <c r="AX2" s="10" t="s">
        <v>50</v>
      </c>
      <c r="AY2" s="10" t="s">
        <v>51</v>
      </c>
      <c r="AZ2" s="10" t="s">
        <v>52</v>
      </c>
      <c r="BA2" s="10" t="s">
        <v>53</v>
      </c>
      <c r="BB2" s="10" t="s">
        <v>54</v>
      </c>
      <c r="BC2" s="10"/>
      <c r="BD2" s="10" t="s">
        <v>65</v>
      </c>
      <c r="BE2" s="14" t="s">
        <v>287</v>
      </c>
      <c r="BG2" s="10" t="s">
        <v>0</v>
      </c>
      <c r="BH2" s="10" t="s">
        <v>55</v>
      </c>
      <c r="BI2" s="10" t="s">
        <v>56</v>
      </c>
      <c r="BJ2" s="10" t="s">
        <v>57</v>
      </c>
      <c r="BK2" s="10" t="s">
        <v>58</v>
      </c>
      <c r="BL2" s="10" t="s">
        <v>59</v>
      </c>
      <c r="BM2" s="10"/>
      <c r="BN2" s="10" t="s">
        <v>65</v>
      </c>
      <c r="BO2" s="14" t="s">
        <v>287</v>
      </c>
      <c r="BQ2" s="10" t="s">
        <v>0</v>
      </c>
      <c r="BR2" s="10" t="s">
        <v>60</v>
      </c>
      <c r="BS2" s="10" t="s">
        <v>61</v>
      </c>
      <c r="BT2" s="10" t="s">
        <v>62</v>
      </c>
      <c r="BU2" s="10" t="s">
        <v>63</v>
      </c>
      <c r="BV2" s="10" t="s">
        <v>64</v>
      </c>
      <c r="BW2" s="10"/>
      <c r="BX2" s="10" t="s">
        <v>65</v>
      </c>
      <c r="BY2" s="14" t="s">
        <v>287</v>
      </c>
    </row>
    <row r="3" spans="1:77" x14ac:dyDescent="0.25">
      <c r="A3" t="s">
        <v>69</v>
      </c>
      <c r="B3" s="12">
        <f ca="1">+VLOOKUP($A3,INDIRECT(Adrese!B$2),2,FALSE)</f>
        <v>1</v>
      </c>
      <c r="C3" s="12">
        <f ca="1">+VLOOKUP($A3,INDIRECT(Adrese!C$2),2,FALSE)</f>
        <v>1</v>
      </c>
      <c r="D3" s="12">
        <f ca="1">+VLOOKUP($A3,INDIRECT(Adrese!D$2),2,FALSE)</f>
        <v>3</v>
      </c>
      <c r="E3" s="12">
        <f ca="1">+VLOOKUP($A3,INDIRECT(Adrese!E$2),2,FALSE)</f>
        <v>1</v>
      </c>
      <c r="F3" s="12">
        <f ca="1">+VLOOKUP($A3,INDIRECT(Adrese!F$2),2,FALSE)</f>
        <v>1</v>
      </c>
      <c r="G3" s="5">
        <f ca="1">AVERAGE(B3:F3)</f>
        <v>1.4</v>
      </c>
      <c r="H3" s="5">
        <f ca="1">+_xlfn.STDEV.S(B3:F3)</f>
        <v>0.89442719099991574</v>
      </c>
      <c r="J3" t="s">
        <v>69</v>
      </c>
      <c r="K3">
        <f ca="1">+VLOOKUP($A3,INDIRECT(Adrese!B$2),3,FALSE)</f>
        <v>39</v>
      </c>
      <c r="L3">
        <f ca="1">+VLOOKUP($A3,INDIRECT(Adrese!C$2),3,FALSE)</f>
        <v>40</v>
      </c>
      <c r="M3">
        <f ca="1">+VLOOKUP($A3,INDIRECT(Adrese!D$2),3,FALSE)</f>
        <v>38</v>
      </c>
      <c r="N3">
        <f ca="1">+VLOOKUP($A3,INDIRECT(Adrese!E$2),3,FALSE)</f>
        <v>38</v>
      </c>
      <c r="O3">
        <f ca="1">+VLOOKUP($A3,INDIRECT(Adrese!F$2),3,FALSE)</f>
        <v>40</v>
      </c>
      <c r="P3" s="5">
        <f ca="1">AVERAGE(K3:O3)</f>
        <v>39</v>
      </c>
      <c r="Q3" s="5">
        <f ca="1">+_xlfn.STDEV.S(K3:O3)</f>
        <v>1</v>
      </c>
      <c r="T3" t="s">
        <v>69</v>
      </c>
      <c r="U3">
        <f ca="1">+VLOOKUP($T3,INDIRECT(Adrese!B$2),4,FALSE)</f>
        <v>130681</v>
      </c>
      <c r="V3">
        <f ca="1">+VLOOKUP($T3,INDIRECT(Adrese!C$2),4,FALSE)</f>
        <v>130763</v>
      </c>
      <c r="W3">
        <f ca="1">+VLOOKUP($T3,INDIRECT(Adrese!D$2),4,FALSE)</f>
        <v>130318</v>
      </c>
      <c r="X3">
        <f ca="1">+VLOOKUP($T3,INDIRECT(Adrese!E$2),4,FALSE)</f>
        <v>130483</v>
      </c>
      <c r="Y3">
        <f ca="1">+VLOOKUP($T3,INDIRECT(Adrese!F$2),4,FALSE)</f>
        <v>129851</v>
      </c>
      <c r="Z3">
        <f ca="1">SUM(U3:Y3)</f>
        <v>652096</v>
      </c>
      <c r="AA3" s="5">
        <f ca="1">AVERAGE(U3:Y3)</f>
        <v>130419.2</v>
      </c>
      <c r="AB3" s="5">
        <f ca="1">+_xlfn.STDEV.S(U3:Y3)</f>
        <v>361.9049598996952</v>
      </c>
      <c r="AD3" t="s">
        <v>69</v>
      </c>
      <c r="AE3">
        <f ca="1">+VLOOKUP($A3,INDIRECT(Adrese!B$2),5,FALSE)</f>
        <v>36331</v>
      </c>
      <c r="AF3">
        <f ca="1">+VLOOKUP($A3,INDIRECT(Adrese!C$2),5,FALSE)</f>
        <v>36067</v>
      </c>
      <c r="AG3">
        <f ca="1">+VLOOKUP($A3,INDIRECT(Adrese!D$2),5,FALSE)</f>
        <v>36177</v>
      </c>
      <c r="AH3">
        <f ca="1">+VLOOKUP($A3,INDIRECT(Adrese!E$2),5,FALSE)</f>
        <v>35976</v>
      </c>
      <c r="AI3">
        <f ca="1">+VLOOKUP($A3,INDIRECT(Adrese!F$2),5,FALSE)</f>
        <v>36095</v>
      </c>
      <c r="AJ3" s="5">
        <f ca="1">AVERAGE(AE3:AI3)</f>
        <v>36129.199999999997</v>
      </c>
      <c r="AK3" s="5">
        <f ca="1">+_xlfn.STDEV.S(AE3:AI3)</f>
        <v>133.71312575809452</v>
      </c>
      <c r="AM3" t="s">
        <v>69</v>
      </c>
      <c r="AN3" s="5">
        <f ca="1">+VLOOKUP($A3,INDIRECT(Adrese!B$2),6,FALSE)</f>
        <v>0.79935840707964601</v>
      </c>
      <c r="AO3" s="5">
        <f ca="1">+VLOOKUP($A3,INDIRECT(Adrese!C$2),6,FALSE)</f>
        <v>0.79351769900000002</v>
      </c>
      <c r="AP3" s="5">
        <f ca="1">+VLOOKUP($A3,INDIRECT(Adrese!D$2),6,FALSE)</f>
        <v>0.79595132700000004</v>
      </c>
      <c r="AQ3" s="5">
        <f ca="1">+VLOOKUP($A3,INDIRECT(Adrese!E$2),6,FALSE)</f>
        <v>0.79150442499999996</v>
      </c>
      <c r="AR3" s="5">
        <f ca="1">+VLOOKUP($A3,INDIRECT(Adrese!F$2),6,FALSE)</f>
        <v>0.794137168</v>
      </c>
      <c r="AS3" s="5" t="str">
        <f ca="1">TEXT(AT3,"0.00")&amp;" ("&amp;TEXT(AU3,"0.00")&amp;")"</f>
        <v>0.79 (0.00)</v>
      </c>
      <c r="AT3" s="5">
        <f ca="1">AVERAGE(AN3:AR3)</f>
        <v>0.79489380521592923</v>
      </c>
      <c r="AU3" s="5">
        <f ca="1">+_xlfn.STDEV.S(AN3:AR3)</f>
        <v>2.9582549149569804E-3</v>
      </c>
      <c r="AW3" t="s">
        <v>69</v>
      </c>
      <c r="AX3" s="5">
        <f ca="1">+VLOOKUP($A3,INDIRECT(Adrese!B$2),7,FALSE)</f>
        <v>0.82743362831858402</v>
      </c>
      <c r="AY3" s="5">
        <f ca="1">+VLOOKUP($A3,INDIRECT(Adrese!C$2),7,FALSE)</f>
        <v>0.82300885000000001</v>
      </c>
      <c r="AZ3" s="5">
        <f ca="1">+VLOOKUP($A3,INDIRECT(Adrese!D$2),7,FALSE)</f>
        <v>0.83185840700000002</v>
      </c>
      <c r="BA3" s="5">
        <f ca="1">+VLOOKUP($A3,INDIRECT(Adrese!E$2),7,FALSE)</f>
        <v>0.83185840700000002</v>
      </c>
      <c r="BB3" s="5">
        <f ca="1">+VLOOKUP($A3,INDIRECT(Adrese!F$2),7,FALSE)</f>
        <v>0.82300885000000001</v>
      </c>
      <c r="BC3" s="5" t="str">
        <f ca="1">TEXT(BD3,"0.00")&amp;" ("&amp;TEXT(BE3,"0.00")&amp;")"</f>
        <v>0.83 (0.00)</v>
      </c>
      <c r="BD3">
        <f ca="1">AVERAGE(AX3:BB3)</f>
        <v>0.82743362846371693</v>
      </c>
      <c r="BE3" s="5">
        <f ca="1">+_xlfn.STDEV.S(AX3:BB3)</f>
        <v>4.4247785000000048E-3</v>
      </c>
      <c r="BG3" t="s">
        <v>69</v>
      </c>
      <c r="BH3" s="5">
        <f ca="1">+VLOOKUP($BG3,INDIRECT(Adrese!B$2),8,FALSE)</f>
        <v>7.7202708379944418E-2</v>
      </c>
      <c r="BI3" s="5">
        <f ca="1">+VLOOKUP($BG3,INDIRECT(Adrese!C$2),8,FALSE)</f>
        <v>7.6545564999999996E-2</v>
      </c>
      <c r="BJ3" s="5">
        <f ca="1">+VLOOKUP($BG3,INDIRECT(Adrese!D$2),8,FALSE)</f>
        <v>7.6963271E-2</v>
      </c>
      <c r="BK3" s="5">
        <f ca="1">+VLOOKUP($BG3,INDIRECT(Adrese!E$2),8,FALSE)</f>
        <v>7.6409529000000004E-2</v>
      </c>
      <c r="BL3" s="5">
        <f ca="1">+VLOOKUP($BG3,INDIRECT(Adrese!F$2),8,FALSE)</f>
        <v>7.6995127999999996E-2</v>
      </c>
      <c r="BM3" s="5" t="str">
        <f ca="1">TEXT(BN3,"0.00")&amp;" ("&amp;TEXT(BO3,"0.00")&amp;")"</f>
        <v>0.08 (0.00)</v>
      </c>
      <c r="BN3" s="5">
        <f ca="1">AVERAGE(BH3:BL3)</f>
        <v>7.6823240275988885E-2</v>
      </c>
      <c r="BO3" s="5">
        <f ca="1">+_xlfn.STDEV.S(BH3:BL3)</f>
        <v>3.3219369877688E-4</v>
      </c>
      <c r="BQ3" t="s">
        <v>69</v>
      </c>
      <c r="BR3" s="5">
        <f ca="1">+VLOOKUP($BG3,INDIRECT(Adrese!B$2),9,FALSE)</f>
        <v>7.6680845881938631E-2</v>
      </c>
      <c r="BS3" s="5">
        <f ca="1">+VLOOKUP($BG3,INDIRECT(Adrese!C$2),9,FALSE)</f>
        <v>7.5418539000000007E-2</v>
      </c>
      <c r="BT3" s="5">
        <f ca="1">+VLOOKUP($BG3,INDIRECT(Adrese!D$2),9,FALSE)</f>
        <v>7.6136472999999996E-2</v>
      </c>
      <c r="BU3" s="5">
        <f ca="1">+VLOOKUP($BG3,INDIRECT(Adrese!E$2),9,FALSE)</f>
        <v>7.5411405000000001E-2</v>
      </c>
      <c r="BV3" s="5">
        <f ca="1">+VLOOKUP($BG3,INDIRECT(Adrese!F$2),9,FALSE)</f>
        <v>7.6904710000000001E-2</v>
      </c>
      <c r="BW3" s="5" t="str">
        <f ca="1">TEXT(BX3,"0.00")&amp;" ("&amp;TEXT(BY3,"0.00")&amp;")"</f>
        <v>0.08 (0.00)</v>
      </c>
      <c r="BX3" s="5">
        <f ca="1">AVERAGE(BR3:BV3)</f>
        <v>7.6110394576387713E-2</v>
      </c>
      <c r="BY3" s="5">
        <f ca="1">+_xlfn.STDEV.S(BR3:BV3)</f>
        <v>6.9359251993671601E-4</v>
      </c>
    </row>
    <row r="4" spans="1:77" x14ac:dyDescent="0.25">
      <c r="A4" t="s">
        <v>70</v>
      </c>
      <c r="B4" s="12">
        <f ca="1">+VLOOKUP($A4,INDIRECT(Adrese!B$2),2,FALSE)</f>
        <v>3</v>
      </c>
      <c r="C4" s="12">
        <f ca="1">+VLOOKUP($A4,INDIRECT(Adrese!C$2),2,FALSE)</f>
        <v>2</v>
      </c>
      <c r="D4" s="12">
        <f ca="1">+VLOOKUP($A4,INDIRECT(Adrese!D$2),2,FALSE)</f>
        <v>1</v>
      </c>
      <c r="E4" s="12">
        <f ca="1">+VLOOKUP($A4,INDIRECT(Adrese!E$2),2,FALSE)</f>
        <v>4</v>
      </c>
      <c r="F4" s="12">
        <f ca="1">+VLOOKUP($A4,INDIRECT(Adrese!F$2),2,FALSE)</f>
        <v>2</v>
      </c>
      <c r="G4" s="5">
        <f t="shared" ref="G4:G19" ca="1" si="0">AVERAGE(B4:F4)</f>
        <v>2.4</v>
      </c>
      <c r="H4" s="5">
        <f t="shared" ref="H4:H67" ca="1" si="1">+_xlfn.STDEV.S(B4:F4)</f>
        <v>1.1401754250991378</v>
      </c>
      <c r="J4" t="s">
        <v>70</v>
      </c>
      <c r="K4">
        <f ca="1">+VLOOKUP($A4,INDIRECT(Adrese!B$2),3,FALSE)</f>
        <v>46</v>
      </c>
      <c r="L4">
        <f ca="1">+VLOOKUP($A4,INDIRECT(Adrese!C$2),3,FALSE)</f>
        <v>50</v>
      </c>
      <c r="M4">
        <f ca="1">+VLOOKUP($A4,INDIRECT(Adrese!D$2),3,FALSE)</f>
        <v>49</v>
      </c>
      <c r="N4">
        <f ca="1">+VLOOKUP($A4,INDIRECT(Adrese!E$2),3,FALSE)</f>
        <v>51</v>
      </c>
      <c r="O4">
        <f ca="1">+VLOOKUP($A4,INDIRECT(Adrese!F$2),3,FALSE)</f>
        <v>50</v>
      </c>
      <c r="P4" s="5">
        <f t="shared" ref="P4:P19" ca="1" si="2">AVERAGE(K4:O4)</f>
        <v>49.2</v>
      </c>
      <c r="Q4" s="5">
        <f t="shared" ref="Q4:Q67" ca="1" si="3">+_xlfn.STDEV.S(K4:O4)</f>
        <v>1.9235384061671343</v>
      </c>
      <c r="T4" t="s">
        <v>70</v>
      </c>
      <c r="U4">
        <f ca="1">+VLOOKUP($T4,INDIRECT(Adrese!B$2),4,FALSE)</f>
        <v>130248</v>
      </c>
      <c r="V4">
        <f ca="1">+VLOOKUP($T4,INDIRECT(Adrese!C$2),4,FALSE)</f>
        <v>130131</v>
      </c>
      <c r="W4">
        <f ca="1">+VLOOKUP($T4,INDIRECT(Adrese!D$2),4,FALSE)</f>
        <v>130631</v>
      </c>
      <c r="X4">
        <f ca="1">+VLOOKUP($T4,INDIRECT(Adrese!E$2),4,FALSE)</f>
        <v>130042</v>
      </c>
      <c r="Y4">
        <f ca="1">+VLOOKUP($T4,INDIRECT(Adrese!F$2),4,FALSE)</f>
        <v>129750</v>
      </c>
      <c r="Z4">
        <f t="shared" ref="Z4:Z67" ca="1" si="4">SUM(U4:Y4)</f>
        <v>650802</v>
      </c>
      <c r="AA4" s="5">
        <f t="shared" ref="AA4:AA19" ca="1" si="5">AVERAGE(U4:Y4)</f>
        <v>130160.4</v>
      </c>
      <c r="AB4" s="5">
        <f t="shared" ref="AB4:AB67" ca="1" si="6">+_xlfn.STDEV.S(U4:Y4)</f>
        <v>321.1110399846134</v>
      </c>
      <c r="AD4" t="s">
        <v>70</v>
      </c>
      <c r="AE4">
        <f ca="1">+VLOOKUP($A4,INDIRECT(Adrese!B$2),5,FALSE)</f>
        <v>34404</v>
      </c>
      <c r="AF4">
        <f ca="1">+VLOOKUP($A4,INDIRECT(Adrese!C$2),5,FALSE)</f>
        <v>33876</v>
      </c>
      <c r="AG4">
        <f ca="1">+VLOOKUP($A4,INDIRECT(Adrese!D$2),5,FALSE)</f>
        <v>34206</v>
      </c>
      <c r="AH4">
        <f ca="1">+VLOOKUP($A4,INDIRECT(Adrese!E$2),5,FALSE)</f>
        <v>33518</v>
      </c>
      <c r="AI4">
        <f ca="1">+VLOOKUP($A4,INDIRECT(Adrese!F$2),5,FALSE)</f>
        <v>33871</v>
      </c>
      <c r="AJ4" s="5">
        <f t="shared" ref="AJ4:AJ19" ca="1" si="7">AVERAGE(AE4:AI4)</f>
        <v>33975</v>
      </c>
      <c r="AK4" s="5">
        <f t="shared" ref="AK4:AK67" ca="1" si="8">+_xlfn.STDEV.S(AE4:AI4)</f>
        <v>341.63869804224464</v>
      </c>
      <c r="AM4" t="s">
        <v>70</v>
      </c>
      <c r="AN4" s="5">
        <f ca="1">+VLOOKUP($A4,INDIRECT(Adrese!B$2),6,FALSE)</f>
        <v>0.75672566371681416</v>
      </c>
      <c r="AO4" s="5">
        <f ca="1">+VLOOKUP($A4,INDIRECT(Adrese!C$2),6,FALSE)</f>
        <v>0.74504424800000002</v>
      </c>
      <c r="AP4" s="5">
        <f ca="1">+VLOOKUP($A4,INDIRECT(Adrese!D$2),6,FALSE)</f>
        <v>0.75234513300000005</v>
      </c>
      <c r="AQ4" s="5">
        <f ca="1">+VLOOKUP($A4,INDIRECT(Adrese!E$2),6,FALSE)</f>
        <v>0.737123894</v>
      </c>
      <c r="AR4" s="5">
        <f ca="1">+VLOOKUP($A4,INDIRECT(Adrese!F$2),6,FALSE)</f>
        <v>0.74493362799999996</v>
      </c>
      <c r="AS4" s="5" t="str">
        <f t="shared" ref="AS4:AS67" ca="1" si="9">TEXT(AT4,"0.00")&amp;" ("&amp;TEXT(AU4,"0.00")&amp;")"</f>
        <v>0.75 (0.01)</v>
      </c>
      <c r="AT4" s="5">
        <f t="shared" ref="AT4:AT19" ca="1" si="10">AVERAGE(AN4:AR4)</f>
        <v>0.74723451334336288</v>
      </c>
      <c r="AU4" s="5">
        <f t="shared" ref="AU4:AU67" ca="1" si="11">+_xlfn.STDEV.S(AN4:AR4)</f>
        <v>7.5583782624034654E-3</v>
      </c>
      <c r="AW4" t="s">
        <v>70</v>
      </c>
      <c r="AX4" s="5">
        <f ca="1">+VLOOKUP($A4,INDIRECT(Adrese!B$2),7,FALSE)</f>
        <v>0.79646017699115046</v>
      </c>
      <c r="AY4" s="5">
        <f ca="1">+VLOOKUP($A4,INDIRECT(Adrese!C$2),7,FALSE)</f>
        <v>0.77876106199999995</v>
      </c>
      <c r="AZ4" s="5">
        <f ca="1">+VLOOKUP($A4,INDIRECT(Adrese!D$2),7,FALSE)</f>
        <v>0.78318584099999999</v>
      </c>
      <c r="BA4" s="5">
        <f ca="1">+VLOOKUP($A4,INDIRECT(Adrese!E$2),7,FALSE)</f>
        <v>0.77433628300000001</v>
      </c>
      <c r="BB4" s="5">
        <f ca="1">+VLOOKUP($A4,INDIRECT(Adrese!F$2),7,FALSE)</f>
        <v>0.77876106199999995</v>
      </c>
      <c r="BC4" s="5" t="str">
        <f t="shared" ref="BC4:BC67" ca="1" si="12">TEXT(BD4,"0.00")&amp;" ("&amp;TEXT(BE4,"0.00")&amp;")"</f>
        <v>0.78 (0.01)</v>
      </c>
      <c r="BD4">
        <f t="shared" ref="BD4:BD19" ca="1" si="13">AVERAGE(AX4:BB4)</f>
        <v>0.78230088499823014</v>
      </c>
      <c r="BE4" s="5">
        <f t="shared" ref="BE4:BE67" ca="1" si="14">+_xlfn.STDEV.S(AX4:BB4)</f>
        <v>8.5112319257210946E-3</v>
      </c>
      <c r="BG4" t="s">
        <v>70</v>
      </c>
      <c r="BH4" s="5">
        <f ca="1">+VLOOKUP($BG4,INDIRECT(Adrese!B$2),8,FALSE)</f>
        <v>7.3698666827020143E-2</v>
      </c>
      <c r="BI4" s="5">
        <f ca="1">+VLOOKUP($BG4,INDIRECT(Adrese!C$2),8,FALSE)</f>
        <v>7.2603384000000007E-2</v>
      </c>
      <c r="BJ4" s="5">
        <f ca="1">+VLOOKUP($BG4,INDIRECT(Adrese!D$2),8,FALSE)</f>
        <v>7.3274058000000003E-2</v>
      </c>
      <c r="BK4" s="5">
        <f ca="1">+VLOOKUP($BG4,INDIRECT(Adrese!E$2),8,FALSE)</f>
        <v>7.2419427999999994E-2</v>
      </c>
      <c r="BL4" s="5">
        <f ca="1">+VLOOKUP($BG4,INDIRECT(Adrese!F$2),8,FALSE)</f>
        <v>7.3113830000000005E-2</v>
      </c>
      <c r="BM4" s="5" t="str">
        <f t="shared" ref="BM4:BM67" ca="1" si="15">TEXT(BN4,"0.00")&amp;" ("&amp;TEXT(BO4,"0.00")&amp;")"</f>
        <v>0.07 (0.00)</v>
      </c>
      <c r="BN4" s="5">
        <f t="shared" ref="BN4:BN19" ca="1" si="16">AVERAGE(BH4:BL4)</f>
        <v>7.3021873365404028E-2</v>
      </c>
      <c r="BO4" s="5">
        <f t="shared" ref="BO4:BO67" ca="1" si="17">+_xlfn.STDEV.S(BH4:BL4)</f>
        <v>5.1676306696393922E-4</v>
      </c>
      <c r="BQ4" t="s">
        <v>70</v>
      </c>
      <c r="BR4" s="5">
        <f ca="1">+VLOOKUP($BG4,INDIRECT(Adrese!B$2),9,FALSE)</f>
        <v>7.2413107324563825E-2</v>
      </c>
      <c r="BS4" s="5">
        <f ca="1">+VLOOKUP($BG4,INDIRECT(Adrese!C$2),9,FALSE)</f>
        <v>7.0961915E-2</v>
      </c>
      <c r="BT4" s="5">
        <f ca="1">+VLOOKUP($BG4,INDIRECT(Adrese!D$2),9,FALSE)</f>
        <v>7.1466569999999993E-2</v>
      </c>
      <c r="BU4" s="5">
        <f ca="1">+VLOOKUP($BG4,INDIRECT(Adrese!E$2),9,FALSE)</f>
        <v>7.2007053000000001E-2</v>
      </c>
      <c r="BV4" s="5">
        <f ca="1">+VLOOKUP($BG4,INDIRECT(Adrese!F$2),9,FALSE)</f>
        <v>7.2808787E-2</v>
      </c>
      <c r="BW4" s="5" t="str">
        <f t="shared" ref="BW4:BW67" ca="1" si="18">TEXT(BX4,"0.00")&amp;" ("&amp;TEXT(BY4,"0.00")&amp;")"</f>
        <v>0.07 (0.00)</v>
      </c>
      <c r="BX4" s="5">
        <f t="shared" ref="BX4:BX19" ca="1" si="19">AVERAGE(BR4:BV4)</f>
        <v>7.1931486464912764E-2</v>
      </c>
      <c r="BY4" s="5">
        <f t="shared" ref="BY4:BY67" ca="1" si="20">+_xlfn.STDEV.S(BR4:BV4)</f>
        <v>7.3544906816524992E-4</v>
      </c>
    </row>
    <row r="5" spans="1:77" x14ac:dyDescent="0.25">
      <c r="A5" t="s">
        <v>8</v>
      </c>
      <c r="B5" s="12">
        <f ca="1">+VLOOKUP($A5,INDIRECT(Adrese!B$2),2,FALSE)</f>
        <v>2</v>
      </c>
      <c r="C5" s="12">
        <f ca="1">+VLOOKUP($A5,INDIRECT(Adrese!C$2),2,FALSE)</f>
        <v>3</v>
      </c>
      <c r="D5" s="12">
        <f ca="1">+VLOOKUP($A5,INDIRECT(Adrese!D$2),2,FALSE)</f>
        <v>2</v>
      </c>
      <c r="E5" s="12">
        <f ca="1">+VLOOKUP($A5,INDIRECT(Adrese!E$2),2,FALSE)</f>
        <v>3</v>
      </c>
      <c r="F5" s="12">
        <f ca="1">+VLOOKUP($A5,INDIRECT(Adrese!F$2),2,FALSE)</f>
        <v>3</v>
      </c>
      <c r="G5" s="5">
        <f ca="1">AVERAGE(B5:F5)</f>
        <v>2.6</v>
      </c>
      <c r="H5" s="5">
        <f ca="1">+_xlfn.STDEV.S(B5:F5)</f>
        <v>0.54772255750516674</v>
      </c>
      <c r="J5" t="s">
        <v>8</v>
      </c>
      <c r="K5">
        <f ca="1">+VLOOKUP($A5,INDIRECT(Adrese!B$2),3,FALSE)</f>
        <v>47</v>
      </c>
      <c r="L5">
        <f ca="1">+VLOOKUP($A5,INDIRECT(Adrese!C$2),3,FALSE)</f>
        <v>50</v>
      </c>
      <c r="M5">
        <f ca="1">+VLOOKUP($A5,INDIRECT(Adrese!D$2),3,FALSE)</f>
        <v>47</v>
      </c>
      <c r="N5">
        <f ca="1">+VLOOKUP($A5,INDIRECT(Adrese!E$2),3,FALSE)</f>
        <v>51</v>
      </c>
      <c r="O5">
        <f ca="1">+VLOOKUP($A5,INDIRECT(Adrese!F$2),3,FALSE)</f>
        <v>49</v>
      </c>
      <c r="P5" s="5">
        <f ca="1">AVERAGE(K5:O5)</f>
        <v>48.8</v>
      </c>
      <c r="Q5" s="5">
        <f ca="1">+_xlfn.STDEV.S(K5:O5)</f>
        <v>1.7888543819998317</v>
      </c>
      <c r="T5" t="s">
        <v>8</v>
      </c>
      <c r="U5">
        <f ca="1">+VLOOKUP($T5,INDIRECT(Adrese!B$2),4,FALSE)</f>
        <v>130630</v>
      </c>
      <c r="V5">
        <f ca="1">+VLOOKUP($T5,INDIRECT(Adrese!C$2),4,FALSE)</f>
        <v>129322</v>
      </c>
      <c r="W5">
        <f ca="1">+VLOOKUP($T5,INDIRECT(Adrese!D$2),4,FALSE)</f>
        <v>130591</v>
      </c>
      <c r="X5">
        <f ca="1">+VLOOKUP($T5,INDIRECT(Adrese!E$2),4,FALSE)</f>
        <v>130138</v>
      </c>
      <c r="Y5">
        <f ca="1">+VLOOKUP($T5,INDIRECT(Adrese!F$2),4,FALSE)</f>
        <v>129719</v>
      </c>
      <c r="Z5">
        <f t="shared" ca="1" si="4"/>
        <v>650400</v>
      </c>
      <c r="AA5" s="5">
        <f ca="1">AVERAGE(U5:Y5)</f>
        <v>130080</v>
      </c>
      <c r="AB5" s="5">
        <f ca="1">+_xlfn.STDEV.S(U5:Y5)</f>
        <v>563.88607005316237</v>
      </c>
      <c r="AD5" t="s">
        <v>8</v>
      </c>
      <c r="AE5">
        <f ca="1">+VLOOKUP($A5,INDIRECT(Adrese!B$2),5,FALSE)</f>
        <v>34561</v>
      </c>
      <c r="AF5">
        <f ca="1">+VLOOKUP($A5,INDIRECT(Adrese!C$2),5,FALSE)</f>
        <v>33658</v>
      </c>
      <c r="AG5">
        <f ca="1">+VLOOKUP($A5,INDIRECT(Adrese!D$2),5,FALSE)</f>
        <v>34055</v>
      </c>
      <c r="AH5">
        <f ca="1">+VLOOKUP($A5,INDIRECT(Adrese!E$2),5,FALSE)</f>
        <v>33648</v>
      </c>
      <c r="AI5">
        <f ca="1">+VLOOKUP($A5,INDIRECT(Adrese!F$2),5,FALSE)</f>
        <v>34151</v>
      </c>
      <c r="AJ5" s="5">
        <f ca="1">AVERAGE(AE5:AI5)</f>
        <v>34014.6</v>
      </c>
      <c r="AK5" s="5">
        <f ca="1">+_xlfn.STDEV.S(AE5:AI5)</f>
        <v>380.90326856040497</v>
      </c>
      <c r="AL5" s="15"/>
      <c r="AM5" t="s">
        <v>8</v>
      </c>
      <c r="AN5" s="5">
        <f ca="1">+VLOOKUP($A5,INDIRECT(Adrese!B$2),6,FALSE)</f>
        <v>0.76019911504424775</v>
      </c>
      <c r="AO5" s="5">
        <f ca="1">+VLOOKUP($A5,INDIRECT(Adrese!C$2),6,FALSE)</f>
        <v>0.74022123900000003</v>
      </c>
      <c r="AP5" s="5">
        <f ca="1">+VLOOKUP($A5,INDIRECT(Adrese!D$2),6,FALSE)</f>
        <v>0.74900442499999997</v>
      </c>
      <c r="AQ5" s="5">
        <f ca="1">+VLOOKUP($A5,INDIRECT(Adrese!E$2),6,FALSE)</f>
        <v>0.74</v>
      </c>
      <c r="AR5" s="5">
        <f ca="1">+VLOOKUP($A5,INDIRECT(Adrese!F$2),6,FALSE)</f>
        <v>0.75112831899999999</v>
      </c>
      <c r="AS5" s="5" t="str">
        <f t="shared" ca="1" si="9"/>
        <v>0.75 (0.01)</v>
      </c>
      <c r="AT5" s="5">
        <f ca="1">AVERAGE(AN5:AR5)</f>
        <v>0.7481106196088495</v>
      </c>
      <c r="AU5" s="5">
        <f ca="1">+_xlfn.STDEV.S(AN5:AR5)</f>
        <v>8.4270634923291673E-3</v>
      </c>
      <c r="AW5" t="s">
        <v>8</v>
      </c>
      <c r="AX5" s="5">
        <f ca="1">+VLOOKUP($A5,INDIRECT(Adrese!B$2),7,FALSE)</f>
        <v>0.79203539823008851</v>
      </c>
      <c r="AY5" s="5">
        <f ca="1">+VLOOKUP($A5,INDIRECT(Adrese!C$2),7,FALSE)</f>
        <v>0.77876106199999995</v>
      </c>
      <c r="AZ5" s="5">
        <f ca="1">+VLOOKUP($A5,INDIRECT(Adrese!D$2),7,FALSE)</f>
        <v>0.792035398</v>
      </c>
      <c r="BA5" s="5">
        <f ca="1">+VLOOKUP($A5,INDIRECT(Adrese!E$2),7,FALSE)</f>
        <v>0.77433628300000001</v>
      </c>
      <c r="BB5" s="5">
        <f ca="1">+VLOOKUP($A5,INDIRECT(Adrese!F$2),7,FALSE)</f>
        <v>0.78318584099999999</v>
      </c>
      <c r="BC5" s="5" t="str">
        <f t="shared" ca="1" si="12"/>
        <v>0.78 (0.01)</v>
      </c>
      <c r="BD5">
        <f ca="1">AVERAGE(AX5:BB5)</f>
        <v>0.78407079644601763</v>
      </c>
      <c r="BE5" s="5">
        <f ca="1">+_xlfn.STDEV.S(AX5:BB5)</f>
        <v>7.9152848582960695E-3</v>
      </c>
      <c r="BG5" t="s">
        <v>8</v>
      </c>
      <c r="BH5" s="5">
        <f ca="1">+VLOOKUP($BG5,INDIRECT(Adrese!B$2),8,FALSE)</f>
        <v>7.4616940721368152E-2</v>
      </c>
      <c r="BI5" s="5">
        <f ca="1">+VLOOKUP($BG5,INDIRECT(Adrese!C$2),8,FALSE)</f>
        <v>7.2782783000000004E-2</v>
      </c>
      <c r="BJ5" s="5">
        <f ca="1">+VLOOKUP($BG5,INDIRECT(Adrese!D$2),8,FALSE)</f>
        <v>7.3375040000000002E-2</v>
      </c>
      <c r="BK5" s="5">
        <f ca="1">+VLOOKUP($BG5,INDIRECT(Adrese!E$2),8,FALSE)</f>
        <v>7.2646935999999995E-2</v>
      </c>
      <c r="BL5" s="5">
        <f ca="1">+VLOOKUP($BG5,INDIRECT(Adrese!F$2),8,FALSE)</f>
        <v>7.3348804000000004E-2</v>
      </c>
      <c r="BM5" s="5" t="str">
        <f t="shared" ca="1" si="15"/>
        <v>0.07 (0.00)</v>
      </c>
      <c r="BN5" s="5">
        <f ca="1">AVERAGE(BH5:BL5)</f>
        <v>7.3354100744273634E-2</v>
      </c>
      <c r="BO5" s="5">
        <f ca="1">+_xlfn.STDEV.S(BH5:BL5)</f>
        <v>7.7809338387880352E-4</v>
      </c>
      <c r="BQ5" t="s">
        <v>8</v>
      </c>
      <c r="BR5" s="5">
        <f ca="1">+VLOOKUP($BG5,INDIRECT(Adrese!B$2),9,FALSE)</f>
        <v>7.5916951992802004E-2</v>
      </c>
      <c r="BS5" s="5">
        <f ca="1">+VLOOKUP($BG5,INDIRECT(Adrese!C$2),9,FALSE)</f>
        <v>7.3557862000000002E-2</v>
      </c>
      <c r="BT5" s="5">
        <f ca="1">+VLOOKUP($BG5,INDIRECT(Adrese!D$2),9,FALSE)</f>
        <v>7.3468014999999998E-2</v>
      </c>
      <c r="BU5" s="5">
        <f ca="1">+VLOOKUP($BG5,INDIRECT(Adrese!E$2),9,FALSE)</f>
        <v>7.3133582000000003E-2</v>
      </c>
      <c r="BV5" s="5">
        <f ca="1">+VLOOKUP($BG5,INDIRECT(Adrese!F$2),9,FALSE)</f>
        <v>7.2831141000000002E-2</v>
      </c>
      <c r="BW5" s="5" t="str">
        <f t="shared" ca="1" si="18"/>
        <v>0.07 (0.00)</v>
      </c>
      <c r="BX5" s="5">
        <f ca="1">AVERAGE(BR5:BV5)</f>
        <v>7.3781510398560401E-2</v>
      </c>
      <c r="BY5" s="5">
        <f ca="1">+_xlfn.STDEV.S(BR5:BV5)</f>
        <v>1.2279476756864877E-3</v>
      </c>
    </row>
    <row r="6" spans="1:77" x14ac:dyDescent="0.25">
      <c r="A6" t="s">
        <v>71</v>
      </c>
      <c r="B6" s="12">
        <f ca="1">+VLOOKUP($A6,INDIRECT(Adrese!B$2),2,FALSE)</f>
        <v>4</v>
      </c>
      <c r="C6" s="12">
        <f ca="1">+VLOOKUP($A6,INDIRECT(Adrese!C$2),2,FALSE)</f>
        <v>4</v>
      </c>
      <c r="D6" s="12">
        <f ca="1">+VLOOKUP($A6,INDIRECT(Adrese!D$2),2,FALSE)</f>
        <v>5</v>
      </c>
      <c r="E6" s="12">
        <f ca="1">+VLOOKUP($A6,INDIRECT(Adrese!E$2),2,FALSE)</f>
        <v>2</v>
      </c>
      <c r="F6" s="12">
        <f ca="1">+VLOOKUP($A6,INDIRECT(Adrese!F$2),2,FALSE)</f>
        <v>10</v>
      </c>
      <c r="G6" s="5">
        <f t="shared" ca="1" si="0"/>
        <v>5</v>
      </c>
      <c r="H6" s="5">
        <f t="shared" ca="1" si="1"/>
        <v>3</v>
      </c>
      <c r="J6" t="s">
        <v>71</v>
      </c>
      <c r="K6">
        <f ca="1">+VLOOKUP($A6,INDIRECT(Adrese!B$2),3,FALSE)</f>
        <v>44</v>
      </c>
      <c r="L6">
        <f ca="1">+VLOOKUP($A6,INDIRECT(Adrese!C$2),3,FALSE)</f>
        <v>48</v>
      </c>
      <c r="M6">
        <f ca="1">+VLOOKUP($A6,INDIRECT(Adrese!D$2),3,FALSE)</f>
        <v>44</v>
      </c>
      <c r="N6">
        <f ca="1">+VLOOKUP($A6,INDIRECT(Adrese!E$2),3,FALSE)</f>
        <v>43</v>
      </c>
      <c r="O6">
        <f ca="1">+VLOOKUP($A6,INDIRECT(Adrese!F$2),3,FALSE)</f>
        <v>44</v>
      </c>
      <c r="P6" s="5">
        <f t="shared" ca="1" si="2"/>
        <v>44.6</v>
      </c>
      <c r="Q6" s="5">
        <f t="shared" ca="1" si="3"/>
        <v>1.9493588689617927</v>
      </c>
      <c r="T6" t="s">
        <v>71</v>
      </c>
      <c r="U6">
        <f ca="1">+VLOOKUP($T6,INDIRECT(Adrese!B$2),4,FALSE)</f>
        <v>129913</v>
      </c>
      <c r="V6">
        <f ca="1">+VLOOKUP($T6,INDIRECT(Adrese!C$2),4,FALSE)</f>
        <v>129306</v>
      </c>
      <c r="W6">
        <f ca="1">+VLOOKUP($T6,INDIRECT(Adrese!D$2),4,FALSE)</f>
        <v>128469</v>
      </c>
      <c r="X6">
        <f ca="1">+VLOOKUP($T6,INDIRECT(Adrese!E$2),4,FALSE)</f>
        <v>130151</v>
      </c>
      <c r="Y6">
        <f ca="1">+VLOOKUP($T6,INDIRECT(Adrese!F$2),4,FALSE)</f>
        <v>127471</v>
      </c>
      <c r="Z6">
        <f t="shared" ca="1" si="4"/>
        <v>645310</v>
      </c>
      <c r="AA6" s="5">
        <f t="shared" ca="1" si="5"/>
        <v>129062</v>
      </c>
      <c r="AB6" s="5">
        <f t="shared" ca="1" si="6"/>
        <v>1101.4295256619916</v>
      </c>
      <c r="AD6" t="s">
        <v>71</v>
      </c>
      <c r="AE6">
        <f ca="1">+VLOOKUP($A6,INDIRECT(Adrese!B$2),5,FALSE)</f>
        <v>34485</v>
      </c>
      <c r="AF6">
        <f ca="1">+VLOOKUP($A6,INDIRECT(Adrese!C$2),5,FALSE)</f>
        <v>34017</v>
      </c>
      <c r="AG6">
        <f ca="1">+VLOOKUP($A6,INDIRECT(Adrese!D$2),5,FALSE)</f>
        <v>34437</v>
      </c>
      <c r="AH6">
        <f ca="1">+VLOOKUP($A6,INDIRECT(Adrese!E$2),5,FALSE)</f>
        <v>34767</v>
      </c>
      <c r="AI6">
        <f ca="1">+VLOOKUP($A6,INDIRECT(Adrese!F$2),5,FALSE)</f>
        <v>34165</v>
      </c>
      <c r="AJ6" s="5">
        <f t="shared" ca="1" si="7"/>
        <v>34374.199999999997</v>
      </c>
      <c r="AK6" s="5">
        <f t="shared" ca="1" si="8"/>
        <v>292.34773814756971</v>
      </c>
      <c r="AM6" t="s">
        <v>71</v>
      </c>
      <c r="AN6" s="5">
        <f ca="1">+VLOOKUP($A6,INDIRECT(Adrese!B$2),6,FALSE)</f>
        <v>0.7585176991150443</v>
      </c>
      <c r="AO6" s="5">
        <f ca="1">+VLOOKUP($A6,INDIRECT(Adrese!C$2),6,FALSE)</f>
        <v>0.74816371699999995</v>
      </c>
      <c r="AP6" s="5">
        <f ca="1">+VLOOKUP($A6,INDIRECT(Adrese!D$2),6,FALSE)</f>
        <v>0.75745575200000004</v>
      </c>
      <c r="AQ6" s="5">
        <f ca="1">+VLOOKUP($A6,INDIRECT(Adrese!E$2),6,FALSE)</f>
        <v>0.76475663699999996</v>
      </c>
      <c r="AR6" s="5">
        <f ca="1">+VLOOKUP($A6,INDIRECT(Adrese!F$2),6,FALSE)</f>
        <v>0.75143805299999999</v>
      </c>
      <c r="AS6" s="5" t="str">
        <f t="shared" ca="1" si="9"/>
        <v>0.76 (0.01)</v>
      </c>
      <c r="AT6" s="5">
        <f t="shared" ca="1" si="10"/>
        <v>0.75606637162300883</v>
      </c>
      <c r="AU6" s="5">
        <f t="shared" ca="1" si="11"/>
        <v>6.4678702057625187E-3</v>
      </c>
      <c r="AW6" t="s">
        <v>71</v>
      </c>
      <c r="AX6" s="5">
        <f ca="1">+VLOOKUP($A6,INDIRECT(Adrese!B$2),7,FALSE)</f>
        <v>0.80530973451327437</v>
      </c>
      <c r="AY6" s="5">
        <f ca="1">+VLOOKUP($A6,INDIRECT(Adrese!C$2),7,FALSE)</f>
        <v>0.78761061899999996</v>
      </c>
      <c r="AZ6" s="5">
        <f ca="1">+VLOOKUP($A6,INDIRECT(Adrese!D$2),7,FALSE)</f>
        <v>0.80530973500000003</v>
      </c>
      <c r="BA6" s="5">
        <f ca="1">+VLOOKUP($A6,INDIRECT(Adrese!E$2),7,FALSE)</f>
        <v>0.80973451299999999</v>
      </c>
      <c r="BB6" s="5">
        <f ca="1">+VLOOKUP($A6,INDIRECT(Adrese!F$2),7,FALSE)</f>
        <v>0.80530973500000003</v>
      </c>
      <c r="BC6" s="5" t="str">
        <f t="shared" ca="1" si="12"/>
        <v>0.80 (0.01)</v>
      </c>
      <c r="BD6">
        <f t="shared" ca="1" si="13"/>
        <v>0.80265486730265478</v>
      </c>
      <c r="BE6" s="5">
        <f t="shared" ca="1" si="14"/>
        <v>8.625481944197504E-3</v>
      </c>
      <c r="BG6" t="s">
        <v>71</v>
      </c>
      <c r="BH6" s="5">
        <f ca="1">+VLOOKUP($BG6,INDIRECT(Adrese!B$2),8,FALSE)</f>
        <v>7.4128798180819563E-2</v>
      </c>
      <c r="BI6" s="5">
        <f ca="1">+VLOOKUP($BG6,INDIRECT(Adrese!C$2),8,FALSE)</f>
        <v>7.3469565000000001E-2</v>
      </c>
      <c r="BJ6" s="5">
        <f ca="1">+VLOOKUP($BG6,INDIRECT(Adrese!D$2),8,FALSE)</f>
        <v>7.4360905000000005E-2</v>
      </c>
      <c r="BK6" s="5">
        <f ca="1">+VLOOKUP($BG6,INDIRECT(Adrese!E$2),8,FALSE)</f>
        <v>7.4522092999999998E-2</v>
      </c>
      <c r="BL6" s="5">
        <f ca="1">+VLOOKUP($BG6,INDIRECT(Adrese!F$2),8,FALSE)</f>
        <v>7.3777049999999997E-2</v>
      </c>
      <c r="BM6" s="5" t="str">
        <f t="shared" ca="1" si="15"/>
        <v>0.07 (0.00)</v>
      </c>
      <c r="BN6" s="5">
        <f t="shared" ca="1" si="16"/>
        <v>7.4051682236163915E-2</v>
      </c>
      <c r="BO6" s="5">
        <f t="shared" ca="1" si="17"/>
        <v>4.2928289481032166E-4</v>
      </c>
      <c r="BQ6" t="s">
        <v>71</v>
      </c>
      <c r="BR6" s="5">
        <f ca="1">+VLOOKUP($BG6,INDIRECT(Adrese!B$2),9,FALSE)</f>
        <v>7.4430933635062341E-2</v>
      </c>
      <c r="BS6" s="5">
        <f ca="1">+VLOOKUP($BG6,INDIRECT(Adrese!C$2),9,FALSE)</f>
        <v>7.4426251999999998E-2</v>
      </c>
      <c r="BT6" s="5">
        <f ca="1">+VLOOKUP($BG6,INDIRECT(Adrese!D$2),9,FALSE)</f>
        <v>7.5455245000000004E-2</v>
      </c>
      <c r="BU6" s="5">
        <f ca="1">+VLOOKUP($BG6,INDIRECT(Adrese!E$2),9,FALSE)</f>
        <v>7.4685259000000004E-2</v>
      </c>
      <c r="BV6" s="5">
        <f ca="1">+VLOOKUP($BG6,INDIRECT(Adrese!F$2),9,FALSE)</f>
        <v>7.4520972000000005E-2</v>
      </c>
      <c r="BW6" s="5" t="str">
        <f t="shared" ca="1" si="18"/>
        <v>0.07 (0.00)</v>
      </c>
      <c r="BX6" s="5">
        <f t="shared" ca="1" si="19"/>
        <v>7.4703732327012468E-2</v>
      </c>
      <c r="BY6" s="5">
        <f t="shared" ca="1" si="20"/>
        <v>4.3299201979081866E-4</v>
      </c>
    </row>
    <row r="7" spans="1:77" x14ac:dyDescent="0.25">
      <c r="A7" t="s">
        <v>72</v>
      </c>
      <c r="B7" s="12">
        <f ca="1">+VLOOKUP($A7,INDIRECT(Adrese!B$2),2,FALSE)</f>
        <v>5</v>
      </c>
      <c r="C7" s="12">
        <f ca="1">+VLOOKUP($A7,INDIRECT(Adrese!C$2),2,FALSE)</f>
        <v>6</v>
      </c>
      <c r="D7" s="12">
        <f ca="1">+VLOOKUP($A7,INDIRECT(Adrese!D$2),2,FALSE)</f>
        <v>4</v>
      </c>
      <c r="E7" s="12">
        <f ca="1">+VLOOKUP($A7,INDIRECT(Adrese!E$2),2,FALSE)</f>
        <v>8</v>
      </c>
      <c r="F7" s="12">
        <f ca="1">+VLOOKUP($A7,INDIRECT(Adrese!F$2),2,FALSE)</f>
        <v>4</v>
      </c>
      <c r="G7" s="5">
        <f t="shared" ca="1" si="0"/>
        <v>5.4</v>
      </c>
      <c r="H7" s="5">
        <f t="shared" ca="1" si="1"/>
        <v>1.6733200530681502</v>
      </c>
      <c r="J7" t="s">
        <v>72</v>
      </c>
      <c r="K7">
        <f ca="1">+VLOOKUP($A7,INDIRECT(Adrese!B$2),3,FALSE)</f>
        <v>62</v>
      </c>
      <c r="L7">
        <f ca="1">+VLOOKUP($A7,INDIRECT(Adrese!C$2),3,FALSE)</f>
        <v>62</v>
      </c>
      <c r="M7">
        <f ca="1">+VLOOKUP($A7,INDIRECT(Adrese!D$2),3,FALSE)</f>
        <v>64</v>
      </c>
      <c r="N7">
        <f ca="1">+VLOOKUP($A7,INDIRECT(Adrese!E$2),3,FALSE)</f>
        <v>64</v>
      </c>
      <c r="O7">
        <f ca="1">+VLOOKUP($A7,INDIRECT(Adrese!F$2),3,FALSE)</f>
        <v>65</v>
      </c>
      <c r="P7" s="5">
        <f t="shared" ca="1" si="2"/>
        <v>63.4</v>
      </c>
      <c r="Q7" s="5">
        <f t="shared" ca="1" si="3"/>
        <v>1.3416407864998738</v>
      </c>
      <c r="T7" t="s">
        <v>72</v>
      </c>
      <c r="U7">
        <f ca="1">+VLOOKUP($T7,INDIRECT(Adrese!B$2),4,FALSE)</f>
        <v>129208</v>
      </c>
      <c r="V7">
        <f ca="1">+VLOOKUP($T7,INDIRECT(Adrese!C$2),4,FALSE)</f>
        <v>128662</v>
      </c>
      <c r="W7">
        <f ca="1">+VLOOKUP($T7,INDIRECT(Adrese!D$2),4,FALSE)</f>
        <v>129190</v>
      </c>
      <c r="X7">
        <f ca="1">+VLOOKUP($T7,INDIRECT(Adrese!E$2),4,FALSE)</f>
        <v>128299</v>
      </c>
      <c r="Y7">
        <f ca="1">+VLOOKUP($T7,INDIRECT(Adrese!F$2),4,FALSE)</f>
        <v>128659</v>
      </c>
      <c r="Z7">
        <f t="shared" ca="1" si="4"/>
        <v>644018</v>
      </c>
      <c r="AA7" s="5">
        <f t="shared" ca="1" si="5"/>
        <v>128803.6</v>
      </c>
      <c r="AB7" s="5">
        <f t="shared" ca="1" si="6"/>
        <v>390.00807683944186</v>
      </c>
      <c r="AD7" t="s">
        <v>72</v>
      </c>
      <c r="AE7">
        <f ca="1">+VLOOKUP($A7,INDIRECT(Adrese!B$2),5,FALSE)</f>
        <v>32767</v>
      </c>
      <c r="AF7">
        <f ca="1">+VLOOKUP($A7,INDIRECT(Adrese!C$2),5,FALSE)</f>
        <v>32811</v>
      </c>
      <c r="AG7">
        <f ca="1">+VLOOKUP($A7,INDIRECT(Adrese!D$2),5,FALSE)</f>
        <v>32718</v>
      </c>
      <c r="AH7">
        <f ca="1">+VLOOKUP($A7,INDIRECT(Adrese!E$2),5,FALSE)</f>
        <v>32884</v>
      </c>
      <c r="AI7">
        <f ca="1">+VLOOKUP($A7,INDIRECT(Adrese!F$2),5,FALSE)</f>
        <v>32618</v>
      </c>
      <c r="AJ7" s="5">
        <f t="shared" ca="1" si="7"/>
        <v>32759.599999999999</v>
      </c>
      <c r="AK7" s="5">
        <f t="shared" ca="1" si="8"/>
        <v>99.941482878732586</v>
      </c>
      <c r="AM7" t="s">
        <v>72</v>
      </c>
      <c r="AN7" s="5">
        <f ca="1">+VLOOKUP($A7,INDIRECT(Adrese!B$2),6,FALSE)</f>
        <v>0.72050884955752215</v>
      </c>
      <c r="AO7" s="5">
        <f ca="1">+VLOOKUP($A7,INDIRECT(Adrese!C$2),6,FALSE)</f>
        <v>0.72148230099999999</v>
      </c>
      <c r="AP7" s="5">
        <f ca="1">+VLOOKUP($A7,INDIRECT(Adrese!D$2),6,FALSE)</f>
        <v>0.71942477900000001</v>
      </c>
      <c r="AQ7" s="5">
        <f ca="1">+VLOOKUP($A7,INDIRECT(Adrese!E$2),6,FALSE)</f>
        <v>0.723097345</v>
      </c>
      <c r="AR7" s="5">
        <f ca="1">+VLOOKUP($A7,INDIRECT(Adrese!F$2),6,FALSE)</f>
        <v>0.71721238899999995</v>
      </c>
      <c r="AS7" s="5" t="str">
        <f t="shared" ca="1" si="9"/>
        <v>0.72 (0.00)</v>
      </c>
      <c r="AT7" s="5">
        <f t="shared" ca="1" si="10"/>
        <v>0.72034513271150458</v>
      </c>
      <c r="AU7" s="5">
        <f t="shared" ca="1" si="11"/>
        <v>2.2110948373615033E-3</v>
      </c>
      <c r="AW7" t="s">
        <v>72</v>
      </c>
      <c r="AX7" s="5">
        <f ca="1">+VLOOKUP($A7,INDIRECT(Adrese!B$2),7,FALSE)</f>
        <v>0.72566371681415931</v>
      </c>
      <c r="AY7" s="5">
        <f ca="1">+VLOOKUP($A7,INDIRECT(Adrese!C$2),7,FALSE)</f>
        <v>0.72566371699999999</v>
      </c>
      <c r="AZ7" s="5">
        <f ca="1">+VLOOKUP($A7,INDIRECT(Adrese!D$2),7,FALSE)</f>
        <v>0.71681415900000001</v>
      </c>
      <c r="BA7" s="5">
        <f ca="1">+VLOOKUP($A7,INDIRECT(Adrese!E$2),7,FALSE)</f>
        <v>0.71681415900000001</v>
      </c>
      <c r="BB7" s="5">
        <f ca="1">+VLOOKUP($A7,INDIRECT(Adrese!F$2),7,FALSE)</f>
        <v>0.71238938100000004</v>
      </c>
      <c r="BC7" s="5" t="str">
        <f t="shared" ca="1" si="12"/>
        <v>0.72 (0.01)</v>
      </c>
      <c r="BD7">
        <f t="shared" ca="1" si="13"/>
        <v>0.71946902656283185</v>
      </c>
      <c r="BE7" s="5">
        <f t="shared" ca="1" si="14"/>
        <v>5.9364636310246044E-3</v>
      </c>
      <c r="BG7" t="s">
        <v>72</v>
      </c>
      <c r="BH7" s="5">
        <f ca="1">+VLOOKUP($BG7,INDIRECT(Adrese!B$2),8,FALSE)</f>
        <v>7.0108468673005492E-2</v>
      </c>
      <c r="BI7" s="5">
        <f ca="1">+VLOOKUP($BG7,INDIRECT(Adrese!C$2),8,FALSE)</f>
        <v>7.0181328000000001E-2</v>
      </c>
      <c r="BJ7" s="5">
        <f ca="1">+VLOOKUP($BG7,INDIRECT(Adrese!D$2),8,FALSE)</f>
        <v>7.0090609999999998E-2</v>
      </c>
      <c r="BK7" s="5">
        <f ca="1">+VLOOKUP($BG7,INDIRECT(Adrese!E$2),8,FALSE)</f>
        <v>7.0407924999999996E-2</v>
      </c>
      <c r="BL7" s="5">
        <f ca="1">+VLOOKUP($BG7,INDIRECT(Adrese!F$2),8,FALSE)</f>
        <v>7.0040165000000001E-2</v>
      </c>
      <c r="BM7" s="5" t="str">
        <f t="shared" ca="1" si="15"/>
        <v>0.07 (0.00)</v>
      </c>
      <c r="BN7" s="5">
        <f t="shared" ca="1" si="16"/>
        <v>7.0165699334601095E-2</v>
      </c>
      <c r="BO7" s="5">
        <f t="shared" ca="1" si="17"/>
        <v>1.4455980952648694E-4</v>
      </c>
      <c r="BQ7" t="s">
        <v>72</v>
      </c>
      <c r="BR7" s="5">
        <f ca="1">+VLOOKUP($BG7,INDIRECT(Adrese!B$2),9,FALSE)</f>
        <v>6.6746665579984238E-2</v>
      </c>
      <c r="BS7" s="5">
        <f ca="1">+VLOOKUP($BG7,INDIRECT(Adrese!C$2),9,FALSE)</f>
        <v>6.6772286E-2</v>
      </c>
      <c r="BT7" s="5">
        <f ca="1">+VLOOKUP($BG7,INDIRECT(Adrese!D$2),9,FALSE)</f>
        <v>6.6757733E-2</v>
      </c>
      <c r="BU7" s="5">
        <f ca="1">+VLOOKUP($BG7,INDIRECT(Adrese!E$2),9,FALSE)</f>
        <v>6.7489966999999998E-2</v>
      </c>
      <c r="BV7" s="5">
        <f ca="1">+VLOOKUP($BG7,INDIRECT(Adrese!F$2),9,FALSE)</f>
        <v>6.6914372999999999E-2</v>
      </c>
      <c r="BW7" s="5" t="str">
        <f t="shared" ca="1" si="18"/>
        <v>0.07 (0.00)</v>
      </c>
      <c r="BX7" s="5">
        <f t="shared" ca="1" si="19"/>
        <v>6.6936204915996833E-2</v>
      </c>
      <c r="BY7" s="5">
        <f t="shared" ca="1" si="20"/>
        <v>3.1692896441981838E-4</v>
      </c>
    </row>
    <row r="8" spans="1:77" x14ac:dyDescent="0.25">
      <c r="A8" t="s">
        <v>73</v>
      </c>
      <c r="B8" s="12">
        <f ca="1">+VLOOKUP($A8,INDIRECT(Adrese!B$2),2,FALSE)</f>
        <v>6</v>
      </c>
      <c r="C8" s="12">
        <f ca="1">+VLOOKUP($A8,INDIRECT(Adrese!C$2),2,FALSE)</f>
        <v>8</v>
      </c>
      <c r="D8" s="12">
        <f ca="1">+VLOOKUP($A8,INDIRECT(Adrese!D$2),2,FALSE)</f>
        <v>8</v>
      </c>
      <c r="E8" s="12">
        <f ca="1">+VLOOKUP($A8,INDIRECT(Adrese!E$2),2,FALSE)</f>
        <v>6</v>
      </c>
      <c r="F8" s="12">
        <f ca="1">+VLOOKUP($A8,INDIRECT(Adrese!F$2),2,FALSE)</f>
        <v>5</v>
      </c>
      <c r="G8" s="5">
        <f t="shared" ca="1" si="0"/>
        <v>6.6</v>
      </c>
      <c r="H8" s="5">
        <f t="shared" ca="1" si="1"/>
        <v>1.3416407864998727</v>
      </c>
      <c r="J8" t="s">
        <v>73</v>
      </c>
      <c r="K8">
        <f ca="1">+VLOOKUP($A8,INDIRECT(Adrese!B$2),3,FALSE)</f>
        <v>51</v>
      </c>
      <c r="L8">
        <f ca="1">+VLOOKUP($A8,INDIRECT(Adrese!C$2),3,FALSE)</f>
        <v>52</v>
      </c>
      <c r="M8">
        <f ca="1">+VLOOKUP($A8,INDIRECT(Adrese!D$2),3,FALSE)</f>
        <v>51</v>
      </c>
      <c r="N8">
        <f ca="1">+VLOOKUP($A8,INDIRECT(Adrese!E$2),3,FALSE)</f>
        <v>49</v>
      </c>
      <c r="O8">
        <f ca="1">+VLOOKUP($A8,INDIRECT(Adrese!F$2),3,FALSE)</f>
        <v>52</v>
      </c>
      <c r="P8" s="5">
        <f t="shared" ca="1" si="2"/>
        <v>51</v>
      </c>
      <c r="Q8" s="5">
        <f t="shared" ca="1" si="3"/>
        <v>1.2247448713915889</v>
      </c>
      <c r="T8" t="s">
        <v>73</v>
      </c>
      <c r="U8">
        <f ca="1">+VLOOKUP($T8,INDIRECT(Adrese!B$2),4,FALSE)</f>
        <v>128912</v>
      </c>
      <c r="V8">
        <f ca="1">+VLOOKUP($T8,INDIRECT(Adrese!C$2),4,FALSE)</f>
        <v>128370</v>
      </c>
      <c r="W8">
        <f ca="1">+VLOOKUP($T8,INDIRECT(Adrese!D$2),4,FALSE)</f>
        <v>127740</v>
      </c>
      <c r="X8">
        <f ca="1">+VLOOKUP($T8,INDIRECT(Adrese!E$2),4,FALSE)</f>
        <v>129055</v>
      </c>
      <c r="Y8">
        <f ca="1">+VLOOKUP($T8,INDIRECT(Adrese!F$2),4,FALSE)</f>
        <v>128310</v>
      </c>
      <c r="Z8">
        <f t="shared" ca="1" si="4"/>
        <v>642387</v>
      </c>
      <c r="AA8" s="5">
        <f t="shared" ca="1" si="5"/>
        <v>128477.4</v>
      </c>
      <c r="AB8" s="5">
        <f t="shared" ca="1" si="6"/>
        <v>525.78874084559857</v>
      </c>
      <c r="AD8" t="s">
        <v>73</v>
      </c>
      <c r="AE8">
        <f ca="1">+VLOOKUP($A8,INDIRECT(Adrese!B$2),5,FALSE)</f>
        <v>32603</v>
      </c>
      <c r="AF8">
        <f ca="1">+VLOOKUP($A8,INDIRECT(Adrese!C$2),5,FALSE)</f>
        <v>32789</v>
      </c>
      <c r="AG8">
        <f ca="1">+VLOOKUP($A8,INDIRECT(Adrese!D$2),5,FALSE)</f>
        <v>32092</v>
      </c>
      <c r="AH8">
        <f ca="1">+VLOOKUP($A8,INDIRECT(Adrese!E$2),5,FALSE)</f>
        <v>32821</v>
      </c>
      <c r="AI8">
        <f ca="1">+VLOOKUP($A8,INDIRECT(Adrese!F$2),5,FALSE)</f>
        <v>32542</v>
      </c>
      <c r="AJ8" s="5">
        <f t="shared" ca="1" si="7"/>
        <v>32569.4</v>
      </c>
      <c r="AK8" s="5">
        <f t="shared" ca="1" si="8"/>
        <v>292.11179366810921</v>
      </c>
      <c r="AM8" t="s">
        <v>73</v>
      </c>
      <c r="AN8" s="5">
        <f ca="1">+VLOOKUP($A8,INDIRECT(Adrese!B$2),6,FALSE)</f>
        <v>0.71688053097345128</v>
      </c>
      <c r="AO8" s="5">
        <f ca="1">+VLOOKUP($A8,INDIRECT(Adrese!C$2),6,FALSE)</f>
        <v>0.720995575</v>
      </c>
      <c r="AP8" s="5">
        <f ca="1">+VLOOKUP($A8,INDIRECT(Adrese!D$2),6,FALSE)</f>
        <v>0.70557522100000003</v>
      </c>
      <c r="AQ8" s="5">
        <f ca="1">+VLOOKUP($A8,INDIRECT(Adrese!E$2),6,FALSE)</f>
        <v>0.72170354000000003</v>
      </c>
      <c r="AR8" s="5">
        <f ca="1">+VLOOKUP($A8,INDIRECT(Adrese!F$2),6,FALSE)</f>
        <v>0.71553097300000001</v>
      </c>
      <c r="AS8" s="5" t="str">
        <f t="shared" ca="1" si="9"/>
        <v>0.72 (0.01)</v>
      </c>
      <c r="AT8" s="5">
        <f t="shared" ca="1" si="10"/>
        <v>0.71613716799469018</v>
      </c>
      <c r="AU8" s="5">
        <f t="shared" ca="1" si="11"/>
        <v>6.4626504071310601E-3</v>
      </c>
      <c r="AW8" t="s">
        <v>73</v>
      </c>
      <c r="AX8" s="5">
        <f ca="1">+VLOOKUP($A8,INDIRECT(Adrese!B$2),7,FALSE)</f>
        <v>0.77433628318584069</v>
      </c>
      <c r="AY8" s="5">
        <f ca="1">+VLOOKUP($A8,INDIRECT(Adrese!C$2),7,FALSE)</f>
        <v>0.76991150399999997</v>
      </c>
      <c r="AZ8" s="5">
        <f ca="1">+VLOOKUP($A8,INDIRECT(Adrese!D$2),7,FALSE)</f>
        <v>0.77433628300000001</v>
      </c>
      <c r="BA8" s="5">
        <f ca="1">+VLOOKUP($A8,INDIRECT(Adrese!E$2),7,FALSE)</f>
        <v>0.78318584099999999</v>
      </c>
      <c r="BB8" s="5">
        <f ca="1">+VLOOKUP($A8,INDIRECT(Adrese!F$2),7,FALSE)</f>
        <v>0.76991150399999997</v>
      </c>
      <c r="BC8" s="5" t="str">
        <f t="shared" ca="1" si="12"/>
        <v>0.77 (0.01)</v>
      </c>
      <c r="BD8">
        <f t="shared" ca="1" si="13"/>
        <v>0.77433628303716806</v>
      </c>
      <c r="BE8" s="5">
        <f t="shared" ca="1" si="14"/>
        <v>5.4192253872912153E-3</v>
      </c>
      <c r="BG8" t="s">
        <v>73</v>
      </c>
      <c r="BH8" s="5">
        <f ca="1">+VLOOKUP($BG8,INDIRECT(Adrese!B$2),8,FALSE)</f>
        <v>7.2026930905785241E-2</v>
      </c>
      <c r="BI8" s="5">
        <f ca="1">+VLOOKUP($BG8,INDIRECT(Adrese!C$2),8,FALSE)</f>
        <v>7.2270270999999997E-2</v>
      </c>
      <c r="BJ8" s="5">
        <f ca="1">+VLOOKUP($BG8,INDIRECT(Adrese!D$2),8,FALSE)</f>
        <v>7.1261196999999998E-2</v>
      </c>
      <c r="BK8" s="5">
        <f ca="1">+VLOOKUP($BG8,INDIRECT(Adrese!E$2),8,FALSE)</f>
        <v>7.2017958000000007E-2</v>
      </c>
      <c r="BL8" s="5">
        <f ca="1">+VLOOKUP($BG8,INDIRECT(Adrese!F$2),8,FALSE)</f>
        <v>7.1939300999999997E-2</v>
      </c>
      <c r="BM8" s="5" t="str">
        <f t="shared" ca="1" si="15"/>
        <v>0.07 (0.00)</v>
      </c>
      <c r="BN8" s="5">
        <f t="shared" ca="1" si="16"/>
        <v>7.1903131581157048E-2</v>
      </c>
      <c r="BO8" s="5">
        <f t="shared" ca="1" si="17"/>
        <v>3.7970085773400195E-4</v>
      </c>
      <c r="BQ8" t="s">
        <v>73</v>
      </c>
      <c r="BR8" s="5">
        <f ca="1">+VLOOKUP($BG8,INDIRECT(Adrese!B$2),9,FALSE)</f>
        <v>7.5758040046945779E-2</v>
      </c>
      <c r="BS8" s="5">
        <f ca="1">+VLOOKUP($BG8,INDIRECT(Adrese!C$2),9,FALSE)</f>
        <v>7.5995523999999995E-2</v>
      </c>
      <c r="BT8" s="5">
        <f ca="1">+VLOOKUP($BG8,INDIRECT(Adrese!D$2),9,FALSE)</f>
        <v>7.4812210000000004E-2</v>
      </c>
      <c r="BU8" s="5">
        <f ca="1">+VLOOKUP($BG8,INDIRECT(Adrese!E$2),9,FALSE)</f>
        <v>7.4376339E-2</v>
      </c>
      <c r="BV8" s="5">
        <f ca="1">+VLOOKUP($BG8,INDIRECT(Adrese!F$2),9,FALSE)</f>
        <v>7.5478142999999998E-2</v>
      </c>
      <c r="BW8" s="5" t="str">
        <f t="shared" ca="1" si="18"/>
        <v>0.08 (0.00)</v>
      </c>
      <c r="BX8" s="5">
        <f t="shared" ca="1" si="19"/>
        <v>7.5284051209389163E-2</v>
      </c>
      <c r="BY8" s="5">
        <f t="shared" ca="1" si="20"/>
        <v>6.7362937789305509E-4</v>
      </c>
    </row>
    <row r="9" spans="1:77" x14ac:dyDescent="0.25">
      <c r="A9" t="s">
        <v>74</v>
      </c>
      <c r="B9" s="12">
        <f ca="1">+VLOOKUP($A9,INDIRECT(Adrese!B$2),2,FALSE)</f>
        <v>7</v>
      </c>
      <c r="C9" s="12">
        <f ca="1">+VLOOKUP($A9,INDIRECT(Adrese!C$2),2,FALSE)</f>
        <v>7</v>
      </c>
      <c r="D9" s="12">
        <f ca="1">+VLOOKUP($A9,INDIRECT(Adrese!D$2),2,FALSE)</f>
        <v>7</v>
      </c>
      <c r="E9" s="12">
        <f ca="1">+VLOOKUP($A9,INDIRECT(Adrese!E$2),2,FALSE)</f>
        <v>5</v>
      </c>
      <c r="F9" s="12">
        <f ca="1">+VLOOKUP($A9,INDIRECT(Adrese!F$2),2,FALSE)</f>
        <v>9</v>
      </c>
      <c r="G9" s="5">
        <f t="shared" ca="1" si="0"/>
        <v>7</v>
      </c>
      <c r="H9" s="5">
        <f t="shared" ca="1" si="1"/>
        <v>1.4142135623730951</v>
      </c>
      <c r="J9" t="s">
        <v>74</v>
      </c>
      <c r="K9">
        <f ca="1">+VLOOKUP($A9,INDIRECT(Adrese!B$2),3,FALSE)</f>
        <v>48</v>
      </c>
      <c r="L9">
        <f ca="1">+VLOOKUP($A9,INDIRECT(Adrese!C$2),3,FALSE)</f>
        <v>43</v>
      </c>
      <c r="M9">
        <f ca="1">+VLOOKUP($A9,INDIRECT(Adrese!D$2),3,FALSE)</f>
        <v>46</v>
      </c>
      <c r="N9">
        <f ca="1">+VLOOKUP($A9,INDIRECT(Adrese!E$2),3,FALSE)</f>
        <v>47</v>
      </c>
      <c r="O9">
        <f ca="1">+VLOOKUP($A9,INDIRECT(Adrese!F$2),3,FALSE)</f>
        <v>44</v>
      </c>
      <c r="P9" s="5">
        <f t="shared" ca="1" si="2"/>
        <v>45.6</v>
      </c>
      <c r="Q9" s="5">
        <f t="shared" ca="1" si="3"/>
        <v>2.0736441353327719</v>
      </c>
      <c r="T9" t="s">
        <v>74</v>
      </c>
      <c r="U9">
        <f ca="1">+VLOOKUP($T9,INDIRECT(Adrese!B$2),4,FALSE)</f>
        <v>128227</v>
      </c>
      <c r="V9">
        <f ca="1">+VLOOKUP($T9,INDIRECT(Adrese!C$2),4,FALSE)</f>
        <v>128404</v>
      </c>
      <c r="W9">
        <f ca="1">+VLOOKUP($T9,INDIRECT(Adrese!D$2),4,FALSE)</f>
        <v>127970</v>
      </c>
      <c r="X9">
        <f ca="1">+VLOOKUP($T9,INDIRECT(Adrese!E$2),4,FALSE)</f>
        <v>129237</v>
      </c>
      <c r="Y9">
        <f ca="1">+VLOOKUP($T9,INDIRECT(Adrese!F$2),4,FALSE)</f>
        <v>127835</v>
      </c>
      <c r="Z9">
        <f t="shared" ca="1" si="4"/>
        <v>641673</v>
      </c>
      <c r="AA9" s="5">
        <f t="shared" ca="1" si="5"/>
        <v>128334.6</v>
      </c>
      <c r="AB9" s="5">
        <f t="shared" ca="1" si="6"/>
        <v>550.73886734095674</v>
      </c>
      <c r="AD9" t="s">
        <v>74</v>
      </c>
      <c r="AE9">
        <f ca="1">+VLOOKUP($A9,INDIRECT(Adrese!B$2),5,FALSE)</f>
        <v>33058</v>
      </c>
      <c r="AF9">
        <f ca="1">+VLOOKUP($A9,INDIRECT(Adrese!C$2),5,FALSE)</f>
        <v>33140</v>
      </c>
      <c r="AG9">
        <f ca="1">+VLOOKUP($A9,INDIRECT(Adrese!D$2),5,FALSE)</f>
        <v>33086</v>
      </c>
      <c r="AH9">
        <f ca="1">+VLOOKUP($A9,INDIRECT(Adrese!E$2),5,FALSE)</f>
        <v>33556</v>
      </c>
      <c r="AI9">
        <f ca="1">+VLOOKUP($A9,INDIRECT(Adrese!F$2),5,FALSE)</f>
        <v>33091</v>
      </c>
      <c r="AJ9" s="5">
        <f t="shared" ca="1" si="7"/>
        <v>33186.199999999997</v>
      </c>
      <c r="AK9" s="5">
        <f t="shared" ca="1" si="8"/>
        <v>208.82097595787641</v>
      </c>
      <c r="AM9" t="s">
        <v>74</v>
      </c>
      <c r="AN9" s="5">
        <f ca="1">+VLOOKUP($A9,INDIRECT(Adrese!B$2),6,FALSE)</f>
        <v>0.72694690265486728</v>
      </c>
      <c r="AO9" s="5">
        <f ca="1">+VLOOKUP($A9,INDIRECT(Adrese!C$2),6,FALSE)</f>
        <v>0.72876106200000002</v>
      </c>
      <c r="AP9" s="5">
        <f ca="1">+VLOOKUP($A9,INDIRECT(Adrese!D$2),6,FALSE)</f>
        <v>0.72756637199999996</v>
      </c>
      <c r="AQ9" s="5">
        <f ca="1">+VLOOKUP($A9,INDIRECT(Adrese!E$2),6,FALSE)</f>
        <v>0.73796460200000003</v>
      </c>
      <c r="AR9" s="5">
        <f ca="1">+VLOOKUP($A9,INDIRECT(Adrese!F$2),6,FALSE)</f>
        <v>0.72767699100000005</v>
      </c>
      <c r="AS9" s="5" t="str">
        <f t="shared" ca="1" si="9"/>
        <v>0.73 (0.00)</v>
      </c>
      <c r="AT9" s="5">
        <f t="shared" ca="1" si="10"/>
        <v>0.72978318593097347</v>
      </c>
      <c r="AU9" s="5">
        <f t="shared" ca="1" si="11"/>
        <v>4.6199331742713167E-3</v>
      </c>
      <c r="AW9" t="s">
        <v>74</v>
      </c>
      <c r="AX9" s="5">
        <f ca="1">+VLOOKUP($A9,INDIRECT(Adrese!B$2),7,FALSE)</f>
        <v>0.78761061946902655</v>
      </c>
      <c r="AY9" s="5">
        <f ca="1">+VLOOKUP($A9,INDIRECT(Adrese!C$2),7,FALSE)</f>
        <v>0.80973451299999999</v>
      </c>
      <c r="AZ9" s="5">
        <f ca="1">+VLOOKUP($A9,INDIRECT(Adrese!D$2),7,FALSE)</f>
        <v>0.79646017700000005</v>
      </c>
      <c r="BA9" s="5">
        <f ca="1">+VLOOKUP($A9,INDIRECT(Adrese!E$2),7,FALSE)</f>
        <v>0.792035398</v>
      </c>
      <c r="BB9" s="5">
        <f ca="1">+VLOOKUP($A9,INDIRECT(Adrese!F$2),7,FALSE)</f>
        <v>0.80530973500000003</v>
      </c>
      <c r="BC9" s="5" t="str">
        <f t="shared" ca="1" si="12"/>
        <v>0.80 (0.01)</v>
      </c>
      <c r="BD9">
        <f t="shared" ca="1" si="13"/>
        <v>0.79823008849380539</v>
      </c>
      <c r="BE9" s="5">
        <f t="shared" ca="1" si="14"/>
        <v>9.1754165743249631E-3</v>
      </c>
      <c r="BG9" t="s">
        <v>74</v>
      </c>
      <c r="BH9" s="5">
        <f ca="1">+VLOOKUP($BG9,INDIRECT(Adrese!B$2),8,FALSE)</f>
        <v>7.3902367468486024E-2</v>
      </c>
      <c r="BI9" s="5">
        <f ca="1">+VLOOKUP($BG9,INDIRECT(Adrese!C$2),8,FALSE)</f>
        <v>7.3995284999999994E-2</v>
      </c>
      <c r="BJ9" s="5">
        <f ca="1">+VLOOKUP($BG9,INDIRECT(Adrese!D$2),8,FALSE)</f>
        <v>7.3903969999999999E-2</v>
      </c>
      <c r="BK9" s="5">
        <f ca="1">+VLOOKUP($BG9,INDIRECT(Adrese!E$2),8,FALSE)</f>
        <v>7.4593360999999997E-2</v>
      </c>
      <c r="BL9" s="5">
        <f ca="1">+VLOOKUP($BG9,INDIRECT(Adrese!F$2),8,FALSE)</f>
        <v>7.4211750000000007E-2</v>
      </c>
      <c r="BM9" s="5" t="str">
        <f t="shared" ca="1" si="15"/>
        <v>0.07 (0.00)</v>
      </c>
      <c r="BN9" s="5">
        <f t="shared" ca="1" si="16"/>
        <v>7.4121346693697215E-2</v>
      </c>
      <c r="BO9" s="5">
        <f t="shared" ca="1" si="17"/>
        <v>2.9243218948997874E-4</v>
      </c>
      <c r="BQ9" t="s">
        <v>74</v>
      </c>
      <c r="BR9" s="5">
        <f ca="1">+VLOOKUP($BG9,INDIRECT(Adrese!B$2),9,FALSE)</f>
        <v>8.0896687231745021E-2</v>
      </c>
      <c r="BS9" s="5">
        <f ca="1">+VLOOKUP($BG9,INDIRECT(Adrese!C$2),9,FALSE)</f>
        <v>8.1262780000000007E-2</v>
      </c>
      <c r="BT9" s="5">
        <f ca="1">+VLOOKUP($BG9,INDIRECT(Adrese!D$2),9,FALSE)</f>
        <v>8.0677698000000006E-2</v>
      </c>
      <c r="BU9" s="5">
        <f ca="1">+VLOOKUP($BG9,INDIRECT(Adrese!E$2),9,FALSE)</f>
        <v>8.1333507999999999E-2</v>
      </c>
      <c r="BV9" s="5">
        <f ca="1">+VLOOKUP($BG9,INDIRECT(Adrese!F$2),9,FALSE)</f>
        <v>8.2055922000000003E-2</v>
      </c>
      <c r="BW9" s="5" t="str">
        <f t="shared" ca="1" si="18"/>
        <v>0.08 (0.00)</v>
      </c>
      <c r="BX9" s="5">
        <f t="shared" ca="1" si="19"/>
        <v>8.1245319046349004E-2</v>
      </c>
      <c r="BY9" s="5">
        <f t="shared" ca="1" si="20"/>
        <v>5.2652092060253913E-4</v>
      </c>
    </row>
    <row r="10" spans="1:77" x14ac:dyDescent="0.25">
      <c r="A10" t="s">
        <v>75</v>
      </c>
      <c r="B10" s="12">
        <f ca="1">+VLOOKUP($A10,INDIRECT(Adrese!B$2),2,FALSE)</f>
        <v>8</v>
      </c>
      <c r="C10" s="12">
        <f ca="1">+VLOOKUP($A10,INDIRECT(Adrese!C$2),2,FALSE)</f>
        <v>5</v>
      </c>
      <c r="D10" s="12">
        <f ca="1">+VLOOKUP($A10,INDIRECT(Adrese!D$2),2,FALSE)</f>
        <v>6</v>
      </c>
      <c r="E10" s="12">
        <f ca="1">+VLOOKUP($A10,INDIRECT(Adrese!E$2),2,FALSE)</f>
        <v>7</v>
      </c>
      <c r="F10" s="12">
        <f ca="1">+VLOOKUP($A10,INDIRECT(Adrese!F$2),2,FALSE)</f>
        <v>6</v>
      </c>
      <c r="G10" s="5">
        <f t="shared" ca="1" si="0"/>
        <v>6.4</v>
      </c>
      <c r="H10" s="5">
        <f t="shared" ca="1" si="1"/>
        <v>1.1401754250991367</v>
      </c>
      <c r="J10" t="s">
        <v>75</v>
      </c>
      <c r="K10">
        <f ca="1">+VLOOKUP($A10,INDIRECT(Adrese!B$2),3,FALSE)</f>
        <v>46</v>
      </c>
      <c r="L10">
        <f ca="1">+VLOOKUP($A10,INDIRECT(Adrese!C$2),3,FALSE)</f>
        <v>45</v>
      </c>
      <c r="M10">
        <f ca="1">+VLOOKUP($A10,INDIRECT(Adrese!D$2),3,FALSE)</f>
        <v>45</v>
      </c>
      <c r="N10">
        <f ca="1">+VLOOKUP($A10,INDIRECT(Adrese!E$2),3,FALSE)</f>
        <v>46</v>
      </c>
      <c r="O10">
        <f ca="1">+VLOOKUP($A10,INDIRECT(Adrese!F$2),3,FALSE)</f>
        <v>45</v>
      </c>
      <c r="P10" s="5">
        <f t="shared" ca="1" si="2"/>
        <v>45.4</v>
      </c>
      <c r="Q10" s="5">
        <f t="shared" ca="1" si="3"/>
        <v>0.54772255750516607</v>
      </c>
      <c r="T10" t="s">
        <v>75</v>
      </c>
      <c r="U10">
        <f ca="1">+VLOOKUP($T10,INDIRECT(Adrese!B$2),4,FALSE)</f>
        <v>128023</v>
      </c>
      <c r="V10">
        <f ca="1">+VLOOKUP($T10,INDIRECT(Adrese!C$2),4,FALSE)</f>
        <v>128831</v>
      </c>
      <c r="W10">
        <f ca="1">+VLOOKUP($T10,INDIRECT(Adrese!D$2),4,FALSE)</f>
        <v>128090</v>
      </c>
      <c r="X10">
        <f ca="1">+VLOOKUP($T10,INDIRECT(Adrese!E$2),4,FALSE)</f>
        <v>128940</v>
      </c>
      <c r="Y10">
        <f ca="1">+VLOOKUP($T10,INDIRECT(Adrese!F$2),4,FALSE)</f>
        <v>128224</v>
      </c>
      <c r="Z10">
        <f t="shared" ca="1" si="4"/>
        <v>642108</v>
      </c>
      <c r="AA10" s="5">
        <f t="shared" ca="1" si="5"/>
        <v>128421.6</v>
      </c>
      <c r="AB10" s="5">
        <f t="shared" ca="1" si="6"/>
        <v>431.34475770548084</v>
      </c>
      <c r="AD10" t="s">
        <v>75</v>
      </c>
      <c r="AE10">
        <f ca="1">+VLOOKUP($A10,INDIRECT(Adrese!B$2),5,FALSE)</f>
        <v>33186</v>
      </c>
      <c r="AF10">
        <f ca="1">+VLOOKUP($A10,INDIRECT(Adrese!C$2),5,FALSE)</f>
        <v>33556</v>
      </c>
      <c r="AG10">
        <f ca="1">+VLOOKUP($A10,INDIRECT(Adrese!D$2),5,FALSE)</f>
        <v>33418</v>
      </c>
      <c r="AH10">
        <f ca="1">+VLOOKUP($A10,INDIRECT(Adrese!E$2),5,FALSE)</f>
        <v>33676</v>
      </c>
      <c r="AI10">
        <f ca="1">+VLOOKUP($A10,INDIRECT(Adrese!F$2),5,FALSE)</f>
        <v>33518</v>
      </c>
      <c r="AJ10" s="5">
        <f t="shared" ca="1" si="7"/>
        <v>33470.800000000003</v>
      </c>
      <c r="AK10" s="5">
        <f t="shared" ca="1" si="8"/>
        <v>184.04673319567505</v>
      </c>
      <c r="AM10" t="s">
        <v>75</v>
      </c>
      <c r="AN10" s="5">
        <f ca="1">+VLOOKUP($A10,INDIRECT(Adrese!B$2),6,FALSE)</f>
        <v>0.72977876106194695</v>
      </c>
      <c r="AO10" s="5">
        <f ca="1">+VLOOKUP($A10,INDIRECT(Adrese!C$2),6,FALSE)</f>
        <v>0.73796460200000003</v>
      </c>
      <c r="AP10" s="5">
        <f ca="1">+VLOOKUP($A10,INDIRECT(Adrese!D$2),6,FALSE)</f>
        <v>0.73491150400000005</v>
      </c>
      <c r="AQ10" s="5">
        <f ca="1">+VLOOKUP($A10,INDIRECT(Adrese!E$2),6,FALSE)</f>
        <v>0.74061946899999997</v>
      </c>
      <c r="AR10" s="5">
        <f ca="1">+VLOOKUP($A10,INDIRECT(Adrese!F$2),6,FALSE)</f>
        <v>0.737123894</v>
      </c>
      <c r="AS10" s="5" t="str">
        <f t="shared" ca="1" si="9"/>
        <v>0.74 (0.00)</v>
      </c>
      <c r="AT10" s="5">
        <f t="shared" ca="1" si="10"/>
        <v>0.73607964601238929</v>
      </c>
      <c r="AU10" s="5">
        <f t="shared" ca="1" si="11"/>
        <v>4.0718304426116698E-3</v>
      </c>
      <c r="AW10" t="s">
        <v>75</v>
      </c>
      <c r="AX10" s="5">
        <f ca="1">+VLOOKUP($A10,INDIRECT(Adrese!B$2),7,FALSE)</f>
        <v>0.79646017699115046</v>
      </c>
      <c r="AY10" s="5">
        <f ca="1">+VLOOKUP($A10,INDIRECT(Adrese!C$2),7,FALSE)</f>
        <v>0.80088495599999998</v>
      </c>
      <c r="AZ10" s="5">
        <f ca="1">+VLOOKUP($A10,INDIRECT(Adrese!D$2),7,FALSE)</f>
        <v>0.80088495599999998</v>
      </c>
      <c r="BA10" s="5">
        <f ca="1">+VLOOKUP($A10,INDIRECT(Adrese!E$2),7,FALSE)</f>
        <v>0.79646017700000005</v>
      </c>
      <c r="BB10" s="5">
        <f ca="1">+VLOOKUP($A10,INDIRECT(Adrese!F$2),7,FALSE)</f>
        <v>0.80088495599999998</v>
      </c>
      <c r="BC10" s="5" t="str">
        <f t="shared" ca="1" si="12"/>
        <v>0.80 (0.00)</v>
      </c>
      <c r="BD10">
        <f t="shared" ca="1" si="13"/>
        <v>0.79911504439823011</v>
      </c>
      <c r="BE10" s="5">
        <f t="shared" ca="1" si="14"/>
        <v>2.4235512726986748E-3</v>
      </c>
      <c r="BG10" t="s">
        <v>75</v>
      </c>
      <c r="BH10" s="5">
        <f ca="1">+VLOOKUP($BG10,INDIRECT(Adrese!B$2),8,FALSE)</f>
        <v>7.5123159898718678E-2</v>
      </c>
      <c r="BI10" s="5">
        <f ca="1">+VLOOKUP($BG10,INDIRECT(Adrese!C$2),8,FALSE)</f>
        <v>7.5586354999999994E-2</v>
      </c>
      <c r="BJ10" s="5">
        <f ca="1">+VLOOKUP($BG10,INDIRECT(Adrese!D$2),8,FALSE)</f>
        <v>7.5509794000000005E-2</v>
      </c>
      <c r="BK10" s="5">
        <f ca="1">+VLOOKUP($BG10,INDIRECT(Adrese!E$2),8,FALSE)</f>
        <v>7.5734415999999999E-2</v>
      </c>
      <c r="BL10" s="5">
        <f ca="1">+VLOOKUP($BG10,INDIRECT(Adrese!F$2),8,FALSE)</f>
        <v>7.5698898000000001E-2</v>
      </c>
      <c r="BM10" s="5" t="str">
        <f t="shared" ca="1" si="15"/>
        <v>0.08 (0.00)</v>
      </c>
      <c r="BN10" s="5">
        <f t="shared" ca="1" si="16"/>
        <v>7.5530524579743727E-2</v>
      </c>
      <c r="BO10" s="5">
        <f t="shared" ca="1" si="17"/>
        <v>2.4464979869808688E-4</v>
      </c>
      <c r="BQ10" t="s">
        <v>75</v>
      </c>
      <c r="BR10" s="5">
        <f ca="1">+VLOOKUP($BG10,INDIRECT(Adrese!B$2),9,FALSE)</f>
        <v>8.5277742518690136E-2</v>
      </c>
      <c r="BS10" s="5">
        <f ca="1">+VLOOKUP($BG10,INDIRECT(Adrese!C$2),9,FALSE)</f>
        <v>8.5409572000000003E-2</v>
      </c>
      <c r="BT10" s="5">
        <f ca="1">+VLOOKUP($BG10,INDIRECT(Adrese!D$2),9,FALSE)</f>
        <v>8.5572882000000003E-2</v>
      </c>
      <c r="BU10" s="5">
        <f ca="1">+VLOOKUP($BG10,INDIRECT(Adrese!E$2),9,FALSE)</f>
        <v>8.5222136000000004E-2</v>
      </c>
      <c r="BV10" s="5">
        <f ca="1">+VLOOKUP($BG10,INDIRECT(Adrese!F$2),9,FALSE)</f>
        <v>8.5821031000000006E-2</v>
      </c>
      <c r="BW10" s="5" t="str">
        <f t="shared" ca="1" si="18"/>
        <v>0.09 (0.00)</v>
      </c>
      <c r="BX10" s="5">
        <f t="shared" ca="1" si="19"/>
        <v>8.5460672703738028E-2</v>
      </c>
      <c r="BY10" s="5">
        <f t="shared" ca="1" si="20"/>
        <v>2.4260230904034197E-4</v>
      </c>
    </row>
    <row r="11" spans="1:77" x14ac:dyDescent="0.25">
      <c r="A11" t="s">
        <v>76</v>
      </c>
      <c r="B11" s="12">
        <f ca="1">+VLOOKUP($A11,INDIRECT(Adrese!B$2),2,FALSE)</f>
        <v>9</v>
      </c>
      <c r="C11" s="12">
        <f ca="1">+VLOOKUP($A11,INDIRECT(Adrese!C$2),2,FALSE)</f>
        <v>9</v>
      </c>
      <c r="D11" s="12">
        <f ca="1">+VLOOKUP($A11,INDIRECT(Adrese!D$2),2,FALSE)</f>
        <v>11</v>
      </c>
      <c r="E11" s="12">
        <f ca="1">+VLOOKUP($A11,INDIRECT(Adrese!E$2),2,FALSE)</f>
        <v>9</v>
      </c>
      <c r="F11" s="12">
        <f ca="1">+VLOOKUP($A11,INDIRECT(Adrese!F$2),2,FALSE)</f>
        <v>8</v>
      </c>
      <c r="G11" s="5">
        <f t="shared" ca="1" si="0"/>
        <v>9.1999999999999993</v>
      </c>
      <c r="H11" s="5">
        <f t="shared" ca="1" si="1"/>
        <v>1.0954451150103335</v>
      </c>
      <c r="J11" t="s">
        <v>76</v>
      </c>
      <c r="K11">
        <f ca="1">+VLOOKUP($A11,INDIRECT(Adrese!B$2),3,FALSE)</f>
        <v>42</v>
      </c>
      <c r="L11">
        <f ca="1">+VLOOKUP($A11,INDIRECT(Adrese!C$2),3,FALSE)</f>
        <v>44</v>
      </c>
      <c r="M11">
        <f ca="1">+VLOOKUP($A11,INDIRECT(Adrese!D$2),3,FALSE)</f>
        <v>42</v>
      </c>
      <c r="N11">
        <f ca="1">+VLOOKUP($A11,INDIRECT(Adrese!E$2),3,FALSE)</f>
        <v>47</v>
      </c>
      <c r="O11">
        <f ca="1">+VLOOKUP($A11,INDIRECT(Adrese!F$2),3,FALSE)</f>
        <v>47</v>
      </c>
      <c r="P11" s="5">
        <f t="shared" ca="1" si="2"/>
        <v>44.4</v>
      </c>
      <c r="Q11" s="5">
        <f t="shared" ca="1" si="3"/>
        <v>2.5099800796022267</v>
      </c>
      <c r="T11" t="s">
        <v>76</v>
      </c>
      <c r="U11">
        <f ca="1">+VLOOKUP($T11,INDIRECT(Adrese!B$2),4,FALSE)</f>
        <v>127587</v>
      </c>
      <c r="V11">
        <f ca="1">+VLOOKUP($T11,INDIRECT(Adrese!C$2),4,FALSE)</f>
        <v>128307</v>
      </c>
      <c r="W11">
        <f ca="1">+VLOOKUP($T11,INDIRECT(Adrese!D$2),4,FALSE)</f>
        <v>127363</v>
      </c>
      <c r="X11">
        <f ca="1">+VLOOKUP($T11,INDIRECT(Adrese!E$2),4,FALSE)</f>
        <v>128112</v>
      </c>
      <c r="Y11">
        <f ca="1">+VLOOKUP($T11,INDIRECT(Adrese!F$2),4,FALSE)</f>
        <v>127951</v>
      </c>
      <c r="Z11">
        <f t="shared" ca="1" si="4"/>
        <v>639320</v>
      </c>
      <c r="AA11" s="5">
        <f t="shared" ca="1" si="5"/>
        <v>127864</v>
      </c>
      <c r="AB11" s="5">
        <f t="shared" ca="1" si="6"/>
        <v>385.04934748678642</v>
      </c>
      <c r="AD11" t="s">
        <v>76</v>
      </c>
      <c r="AE11">
        <f ca="1">+VLOOKUP($A11,INDIRECT(Adrese!B$2),5,FALSE)</f>
        <v>33011</v>
      </c>
      <c r="AF11">
        <f ca="1">+VLOOKUP($A11,INDIRECT(Adrese!C$2),5,FALSE)</f>
        <v>33118</v>
      </c>
      <c r="AG11">
        <f ca="1">+VLOOKUP($A11,INDIRECT(Adrese!D$2),5,FALSE)</f>
        <v>32859</v>
      </c>
      <c r="AH11">
        <f ca="1">+VLOOKUP($A11,INDIRECT(Adrese!E$2),5,FALSE)</f>
        <v>32790</v>
      </c>
      <c r="AI11">
        <f ca="1">+VLOOKUP($A11,INDIRECT(Adrese!F$2),5,FALSE)</f>
        <v>32421</v>
      </c>
      <c r="AJ11" s="5">
        <f t="shared" ca="1" si="7"/>
        <v>32839.800000000003</v>
      </c>
      <c r="AK11" s="5">
        <f t="shared" ca="1" si="8"/>
        <v>266.90204195547096</v>
      </c>
      <c r="AM11" t="s">
        <v>76</v>
      </c>
      <c r="AN11" s="5">
        <f ca="1">+VLOOKUP($A11,INDIRECT(Adrese!B$2),6,FALSE)</f>
        <v>0.72590707964601775</v>
      </c>
      <c r="AO11" s="5">
        <f ca="1">+VLOOKUP($A11,INDIRECT(Adrese!C$2),6,FALSE)</f>
        <v>0.72827433600000002</v>
      </c>
      <c r="AP11" s="5">
        <f ca="1">+VLOOKUP($A11,INDIRECT(Adrese!D$2),6,FALSE)</f>
        <v>0.72254424799999994</v>
      </c>
      <c r="AQ11" s="5">
        <f ca="1">+VLOOKUP($A11,INDIRECT(Adrese!E$2),6,FALSE)</f>
        <v>0.72101769900000001</v>
      </c>
      <c r="AR11" s="5">
        <f ca="1">+VLOOKUP($A11,INDIRECT(Adrese!F$2),6,FALSE)</f>
        <v>0.71285398200000005</v>
      </c>
      <c r="AS11" s="5" t="str">
        <f t="shared" ca="1" si="9"/>
        <v>0.72 (0.01)</v>
      </c>
      <c r="AT11" s="5">
        <f t="shared" ca="1" si="10"/>
        <v>0.72211946892920342</v>
      </c>
      <c r="AU11" s="5">
        <f t="shared" ca="1" si="11"/>
        <v>5.9049124860666904E-3</v>
      </c>
      <c r="AW11" t="s">
        <v>76</v>
      </c>
      <c r="AX11" s="5">
        <f ca="1">+VLOOKUP($A11,INDIRECT(Adrese!B$2),7,FALSE)</f>
        <v>0.81415929203539827</v>
      </c>
      <c r="AY11" s="5">
        <f ca="1">+VLOOKUP($A11,INDIRECT(Adrese!C$2),7,FALSE)</f>
        <v>0.80530973500000003</v>
      </c>
      <c r="AZ11" s="5">
        <f ca="1">+VLOOKUP($A11,INDIRECT(Adrese!D$2),7,FALSE)</f>
        <v>0.81415929200000003</v>
      </c>
      <c r="BA11" s="5">
        <f ca="1">+VLOOKUP($A11,INDIRECT(Adrese!E$2),7,FALSE)</f>
        <v>0.792035398</v>
      </c>
      <c r="BB11" s="5">
        <f ca="1">+VLOOKUP($A11,INDIRECT(Adrese!F$2),7,FALSE)</f>
        <v>0.792035398</v>
      </c>
      <c r="BC11" s="5" t="str">
        <f t="shared" ca="1" si="12"/>
        <v>0.80 (0.01)</v>
      </c>
      <c r="BD11">
        <f t="shared" ca="1" si="13"/>
        <v>0.80353982300707971</v>
      </c>
      <c r="BE11" s="5">
        <f t="shared" ca="1" si="14"/>
        <v>1.1106106677012636E-2</v>
      </c>
      <c r="BG11" t="s">
        <v>76</v>
      </c>
      <c r="BH11" s="5">
        <f ca="1">+VLOOKUP($BG11,INDIRECT(Adrese!B$2),8,FALSE)</f>
        <v>7.4337677994965656E-2</v>
      </c>
      <c r="BI11" s="5">
        <f ca="1">+VLOOKUP($BG11,INDIRECT(Adrese!C$2),8,FALSE)</f>
        <v>7.4674701999999996E-2</v>
      </c>
      <c r="BJ11" s="5">
        <f ca="1">+VLOOKUP($BG11,INDIRECT(Adrese!D$2),8,FALSE)</f>
        <v>7.4189344000000004E-2</v>
      </c>
      <c r="BK11" s="5">
        <f ca="1">+VLOOKUP($BG11,INDIRECT(Adrese!E$2),8,FALSE)</f>
        <v>7.3831362999999997E-2</v>
      </c>
      <c r="BL11" s="5">
        <f ca="1">+VLOOKUP($BG11,INDIRECT(Adrese!F$2),8,FALSE)</f>
        <v>7.3224162999999995E-2</v>
      </c>
      <c r="BM11" s="5" t="str">
        <f t="shared" ca="1" si="15"/>
        <v>0.07 (0.00)</v>
      </c>
      <c r="BN11" s="5">
        <f t="shared" ca="1" si="16"/>
        <v>7.405144999899313E-2</v>
      </c>
      <c r="BO11" s="5">
        <f t="shared" ca="1" si="17"/>
        <v>5.527717304141161E-4</v>
      </c>
      <c r="BQ11" t="s">
        <v>76</v>
      </c>
      <c r="BR11" s="5">
        <f ca="1">+VLOOKUP($BG11,INDIRECT(Adrese!B$2),9,FALSE)</f>
        <v>8.3334059823669288E-2</v>
      </c>
      <c r="BS11" s="5">
        <f ca="1">+VLOOKUP($BG11,INDIRECT(Adrese!C$2),9,FALSE)</f>
        <v>8.4279283999999996E-2</v>
      </c>
      <c r="BT11" s="5">
        <f ca="1">+VLOOKUP($BG11,INDIRECT(Adrese!D$2),9,FALSE)</f>
        <v>8.3349243000000003E-2</v>
      </c>
      <c r="BU11" s="5">
        <f ca="1">+VLOOKUP($BG11,INDIRECT(Adrese!E$2),9,FALSE)</f>
        <v>8.248192E-2</v>
      </c>
      <c r="BV11" s="5">
        <f ca="1">+VLOOKUP($BG11,INDIRECT(Adrese!F$2),9,FALSE)</f>
        <v>8.1808475000000005E-2</v>
      </c>
      <c r="BW11" s="5" t="str">
        <f t="shared" ca="1" si="18"/>
        <v>0.08 (0.00)</v>
      </c>
      <c r="BX11" s="5">
        <f t="shared" ca="1" si="19"/>
        <v>8.3050596364733859E-2</v>
      </c>
      <c r="BY11" s="5">
        <f t="shared" ca="1" si="20"/>
        <v>9.4147131433975804E-4</v>
      </c>
    </row>
    <row r="12" spans="1:77" x14ac:dyDescent="0.25">
      <c r="A12" t="s">
        <v>77</v>
      </c>
      <c r="B12" s="12">
        <f ca="1">+VLOOKUP($A12,INDIRECT(Adrese!B$2),2,FALSE)</f>
        <v>10</v>
      </c>
      <c r="C12" s="12">
        <f ca="1">+VLOOKUP($A12,INDIRECT(Adrese!C$2),2,FALSE)</f>
        <v>11</v>
      </c>
      <c r="D12" s="12">
        <f ca="1">+VLOOKUP($A12,INDIRECT(Adrese!D$2),2,FALSE)</f>
        <v>9</v>
      </c>
      <c r="E12" s="12">
        <f ca="1">+VLOOKUP($A12,INDIRECT(Adrese!E$2),2,FALSE)</f>
        <v>11</v>
      </c>
      <c r="F12" s="12">
        <f ca="1">+VLOOKUP($A12,INDIRECT(Adrese!F$2),2,FALSE)</f>
        <v>7</v>
      </c>
      <c r="G12" s="5">
        <f t="shared" ca="1" si="0"/>
        <v>9.6</v>
      </c>
      <c r="H12" s="5">
        <f t="shared" ca="1" si="1"/>
        <v>1.6733200530681502</v>
      </c>
      <c r="J12" t="s">
        <v>77</v>
      </c>
      <c r="K12">
        <f ca="1">+VLOOKUP($A12,INDIRECT(Adrese!B$2),3,FALSE)</f>
        <v>37</v>
      </c>
      <c r="L12">
        <f ca="1">+VLOOKUP($A12,INDIRECT(Adrese!C$2),3,FALSE)</f>
        <v>38</v>
      </c>
      <c r="M12">
        <f ca="1">+VLOOKUP($A12,INDIRECT(Adrese!D$2),3,FALSE)</f>
        <v>37</v>
      </c>
      <c r="N12">
        <f ca="1">+VLOOKUP($A12,INDIRECT(Adrese!E$2),3,FALSE)</f>
        <v>36</v>
      </c>
      <c r="O12">
        <f ca="1">+VLOOKUP($A12,INDIRECT(Adrese!F$2),3,FALSE)</f>
        <v>39</v>
      </c>
      <c r="P12" s="5">
        <f t="shared" ca="1" si="2"/>
        <v>37.4</v>
      </c>
      <c r="Q12" s="5">
        <f t="shared" ca="1" si="3"/>
        <v>1.1401754250991378</v>
      </c>
      <c r="T12" t="s">
        <v>77</v>
      </c>
      <c r="U12">
        <f ca="1">+VLOOKUP($T12,INDIRECT(Adrese!B$2),4,FALSE)</f>
        <v>127572</v>
      </c>
      <c r="V12">
        <f ca="1">+VLOOKUP($T12,INDIRECT(Adrese!C$2),4,FALSE)</f>
        <v>127184</v>
      </c>
      <c r="W12">
        <f ca="1">+VLOOKUP($T12,INDIRECT(Adrese!D$2),4,FALSE)</f>
        <v>127689</v>
      </c>
      <c r="X12">
        <f ca="1">+VLOOKUP($T12,INDIRECT(Adrese!E$2),4,FALSE)</f>
        <v>127169</v>
      </c>
      <c r="Y12">
        <f ca="1">+VLOOKUP($T12,INDIRECT(Adrese!F$2),4,FALSE)</f>
        <v>128001</v>
      </c>
      <c r="Z12">
        <f t="shared" ca="1" si="4"/>
        <v>637615</v>
      </c>
      <c r="AA12" s="5">
        <f t="shared" ca="1" si="5"/>
        <v>127523</v>
      </c>
      <c r="AB12" s="5">
        <f t="shared" ca="1" si="6"/>
        <v>353.08568365199972</v>
      </c>
      <c r="AD12" t="s">
        <v>77</v>
      </c>
      <c r="AE12">
        <f ca="1">+VLOOKUP($A12,INDIRECT(Adrese!B$2),5,FALSE)</f>
        <v>35631</v>
      </c>
      <c r="AF12">
        <f ca="1">+VLOOKUP($A12,INDIRECT(Adrese!C$2),5,FALSE)</f>
        <v>35594</v>
      </c>
      <c r="AG12">
        <f ca="1">+VLOOKUP($A12,INDIRECT(Adrese!D$2),5,FALSE)</f>
        <v>36014</v>
      </c>
      <c r="AH12">
        <f ca="1">+VLOOKUP($A12,INDIRECT(Adrese!E$2),5,FALSE)</f>
        <v>35741</v>
      </c>
      <c r="AI12">
        <f ca="1">+VLOOKUP($A12,INDIRECT(Adrese!F$2),5,FALSE)</f>
        <v>35720</v>
      </c>
      <c r="AJ12" s="5">
        <f t="shared" ca="1" si="7"/>
        <v>35740</v>
      </c>
      <c r="AK12" s="5">
        <f t="shared" ca="1" si="8"/>
        <v>164.82869895743278</v>
      </c>
      <c r="AM12" t="s">
        <v>77</v>
      </c>
      <c r="AN12" s="5">
        <f ca="1">+VLOOKUP($A12,INDIRECT(Adrese!B$2),6,FALSE)</f>
        <v>0.78387168141592922</v>
      </c>
      <c r="AO12" s="5">
        <f ca="1">+VLOOKUP($A12,INDIRECT(Adrese!C$2),6,FALSE)</f>
        <v>0.78305309700000003</v>
      </c>
      <c r="AP12" s="5">
        <f ca="1">+VLOOKUP($A12,INDIRECT(Adrese!D$2),6,FALSE)</f>
        <v>0.79234513299999998</v>
      </c>
      <c r="AQ12" s="5">
        <f ca="1">+VLOOKUP($A12,INDIRECT(Adrese!E$2),6,FALSE)</f>
        <v>0.78630531000000004</v>
      </c>
      <c r="AR12" s="5">
        <f ca="1">+VLOOKUP($A12,INDIRECT(Adrese!F$2),6,FALSE)</f>
        <v>0.78584070800000005</v>
      </c>
      <c r="AS12" s="5" t="str">
        <f t="shared" ca="1" si="9"/>
        <v>0.79 (0.00)</v>
      </c>
      <c r="AT12" s="5">
        <f t="shared" ca="1" si="10"/>
        <v>0.78628318588318591</v>
      </c>
      <c r="AU12" s="5">
        <f t="shared" ca="1" si="11"/>
        <v>3.6466528142114038E-3</v>
      </c>
      <c r="AW12" t="s">
        <v>77</v>
      </c>
      <c r="AX12" s="5">
        <f ca="1">+VLOOKUP($A12,INDIRECT(Adrese!B$2),7,FALSE)</f>
        <v>0.83628318584070793</v>
      </c>
      <c r="AY12" s="5">
        <f ca="1">+VLOOKUP($A12,INDIRECT(Adrese!C$2),7,FALSE)</f>
        <v>0.83185840700000002</v>
      </c>
      <c r="AZ12" s="5">
        <f ca="1">+VLOOKUP($A12,INDIRECT(Adrese!D$2),7,FALSE)</f>
        <v>0.83628318599999996</v>
      </c>
      <c r="BA12" s="5">
        <f ca="1">+VLOOKUP($A12,INDIRECT(Adrese!E$2),7,FALSE)</f>
        <v>0.840707965</v>
      </c>
      <c r="BB12" s="5">
        <f ca="1">+VLOOKUP($A12,INDIRECT(Adrese!F$2),7,FALSE)</f>
        <v>0.82743362799999998</v>
      </c>
      <c r="BC12" s="5" t="str">
        <f t="shared" ca="1" si="12"/>
        <v>0.83 (0.01)</v>
      </c>
      <c r="BD12">
        <f t="shared" ca="1" si="13"/>
        <v>0.83451327436814149</v>
      </c>
      <c r="BE12" s="5">
        <f t="shared" ca="1" si="14"/>
        <v>5.045024263323903E-3</v>
      </c>
      <c r="BG12" t="s">
        <v>77</v>
      </c>
      <c r="BH12" s="5">
        <f ca="1">+VLOOKUP($BG12,INDIRECT(Adrese!B$2),8,FALSE)</f>
        <v>7.3776870727060934E-2</v>
      </c>
      <c r="BI12" s="5">
        <f ca="1">+VLOOKUP($BG12,INDIRECT(Adrese!C$2),8,FALSE)</f>
        <v>7.3636385999999998E-2</v>
      </c>
      <c r="BJ12" s="5">
        <f ca="1">+VLOOKUP($BG12,INDIRECT(Adrese!D$2),8,FALSE)</f>
        <v>7.4642341000000001E-2</v>
      </c>
      <c r="BK12" s="5">
        <f ca="1">+VLOOKUP($BG12,INDIRECT(Adrese!E$2),8,FALSE)</f>
        <v>7.4008514999999997E-2</v>
      </c>
      <c r="BL12" s="5">
        <f ca="1">+VLOOKUP($BG12,INDIRECT(Adrese!F$2),8,FALSE)</f>
        <v>7.3980868000000005E-2</v>
      </c>
      <c r="BM12" s="5" t="str">
        <f t="shared" ca="1" si="15"/>
        <v>0.07 (0.00)</v>
      </c>
      <c r="BN12" s="5">
        <f t="shared" ca="1" si="16"/>
        <v>7.400899614541219E-2</v>
      </c>
      <c r="BO12" s="5">
        <f t="shared" ca="1" si="17"/>
        <v>3.8556376230363396E-4</v>
      </c>
      <c r="BQ12" t="s">
        <v>77</v>
      </c>
      <c r="BR12" s="5">
        <f ca="1">+VLOOKUP($BG12,INDIRECT(Adrese!B$2),9,FALSE)</f>
        <v>6.6555901131224657E-2</v>
      </c>
      <c r="BS12" s="5">
        <f ca="1">+VLOOKUP($BG12,INDIRECT(Adrese!C$2),9,FALSE)</f>
        <v>6.6318780999999993E-2</v>
      </c>
      <c r="BT12" s="5">
        <f ca="1">+VLOOKUP($BG12,INDIRECT(Adrese!D$2),9,FALSE)</f>
        <v>6.7737164000000002E-2</v>
      </c>
      <c r="BU12" s="5">
        <f ca="1">+VLOOKUP($BG12,INDIRECT(Adrese!E$2),9,FALSE)</f>
        <v>6.6920248000000002E-2</v>
      </c>
      <c r="BV12" s="5">
        <f ca="1">+VLOOKUP($BG12,INDIRECT(Adrese!F$2),9,FALSE)</f>
        <v>6.6679811000000005E-2</v>
      </c>
      <c r="BW12" s="5" t="str">
        <f t="shared" ca="1" si="18"/>
        <v>0.07 (0.00)</v>
      </c>
      <c r="BX12" s="5">
        <f t="shared" ca="1" si="19"/>
        <v>6.6842381026244929E-2</v>
      </c>
      <c r="BY12" s="5">
        <f t="shared" ca="1" si="20"/>
        <v>5.4528812725281864E-4</v>
      </c>
    </row>
    <row r="13" spans="1:77" x14ac:dyDescent="0.25">
      <c r="A13" t="s">
        <v>78</v>
      </c>
      <c r="B13" s="12">
        <f ca="1">+VLOOKUP($A13,INDIRECT(Adrese!B$2),2,FALSE)</f>
        <v>11</v>
      </c>
      <c r="C13" s="12">
        <f ca="1">+VLOOKUP($A13,INDIRECT(Adrese!C$2),2,FALSE)</f>
        <v>10</v>
      </c>
      <c r="D13" s="12">
        <f ca="1">+VLOOKUP($A13,INDIRECT(Adrese!D$2),2,FALSE)</f>
        <v>10</v>
      </c>
      <c r="E13" s="12">
        <f ca="1">+VLOOKUP($A13,INDIRECT(Adrese!E$2),2,FALSE)</f>
        <v>12</v>
      </c>
      <c r="F13" s="12">
        <f ca="1">+VLOOKUP($A13,INDIRECT(Adrese!F$2),2,FALSE)</f>
        <v>12</v>
      </c>
      <c r="G13" s="5">
        <f t="shared" ca="1" si="0"/>
        <v>11</v>
      </c>
      <c r="H13" s="5">
        <f t="shared" ca="1" si="1"/>
        <v>1</v>
      </c>
      <c r="J13" t="s">
        <v>78</v>
      </c>
      <c r="K13">
        <f ca="1">+VLOOKUP($A13,INDIRECT(Adrese!B$2),3,FALSE)</f>
        <v>44</v>
      </c>
      <c r="L13">
        <f ca="1">+VLOOKUP($A13,INDIRECT(Adrese!C$2),3,FALSE)</f>
        <v>42</v>
      </c>
      <c r="M13">
        <f ca="1">+VLOOKUP($A13,INDIRECT(Adrese!D$2),3,FALSE)</f>
        <v>42</v>
      </c>
      <c r="N13">
        <f ca="1">+VLOOKUP($A13,INDIRECT(Adrese!E$2),3,FALSE)</f>
        <v>43</v>
      </c>
      <c r="O13">
        <f ca="1">+VLOOKUP($A13,INDIRECT(Adrese!F$2),3,FALSE)</f>
        <v>42</v>
      </c>
      <c r="P13" s="5">
        <f t="shared" ca="1" si="2"/>
        <v>42.6</v>
      </c>
      <c r="Q13" s="5">
        <f t="shared" ca="1" si="3"/>
        <v>0.89442719099991586</v>
      </c>
      <c r="T13" t="s">
        <v>78</v>
      </c>
      <c r="U13">
        <f ca="1">+VLOOKUP($T13,INDIRECT(Adrese!B$2),4,FALSE)</f>
        <v>127313</v>
      </c>
      <c r="V13">
        <f ca="1">+VLOOKUP($T13,INDIRECT(Adrese!C$2),4,FALSE)</f>
        <v>127869</v>
      </c>
      <c r="W13">
        <f ca="1">+VLOOKUP($T13,INDIRECT(Adrese!D$2),4,FALSE)</f>
        <v>127626</v>
      </c>
      <c r="X13">
        <f ca="1">+VLOOKUP($T13,INDIRECT(Adrese!E$2),4,FALSE)</f>
        <v>127164</v>
      </c>
      <c r="Y13">
        <f ca="1">+VLOOKUP($T13,INDIRECT(Adrese!F$2),4,FALSE)</f>
        <v>126851</v>
      </c>
      <c r="Z13">
        <f t="shared" ca="1" si="4"/>
        <v>636823</v>
      </c>
      <c r="AA13" s="5">
        <f t="shared" ca="1" si="5"/>
        <v>127364.6</v>
      </c>
      <c r="AB13" s="5">
        <f t="shared" ca="1" si="6"/>
        <v>396.68539171489539</v>
      </c>
      <c r="AD13" t="s">
        <v>78</v>
      </c>
      <c r="AE13">
        <f ca="1">+VLOOKUP($A13,INDIRECT(Adrese!B$2),5,FALSE)</f>
        <v>31469</v>
      </c>
      <c r="AF13">
        <f ca="1">+VLOOKUP($A13,INDIRECT(Adrese!C$2),5,FALSE)</f>
        <v>32187</v>
      </c>
      <c r="AG13">
        <f ca="1">+VLOOKUP($A13,INDIRECT(Adrese!D$2),5,FALSE)</f>
        <v>31812</v>
      </c>
      <c r="AH13">
        <f ca="1">+VLOOKUP($A13,INDIRECT(Adrese!E$2),5,FALSE)</f>
        <v>31707</v>
      </c>
      <c r="AI13">
        <f ca="1">+VLOOKUP($A13,INDIRECT(Adrese!F$2),5,FALSE)</f>
        <v>31851</v>
      </c>
      <c r="AJ13" s="5">
        <f t="shared" ca="1" si="7"/>
        <v>31805.200000000001</v>
      </c>
      <c r="AK13" s="5">
        <f t="shared" ca="1" si="8"/>
        <v>260.09075339196511</v>
      </c>
      <c r="AM13" t="s">
        <v>78</v>
      </c>
      <c r="AN13" s="5">
        <f ca="1">+VLOOKUP($A13,INDIRECT(Adrese!B$2),6,FALSE)</f>
        <v>0.69179203539823009</v>
      </c>
      <c r="AO13" s="5">
        <f ca="1">+VLOOKUP($A13,INDIRECT(Adrese!C$2),6,FALSE)</f>
        <v>0.70767699100000003</v>
      </c>
      <c r="AP13" s="5">
        <f ca="1">+VLOOKUP($A13,INDIRECT(Adrese!D$2),6,FALSE)</f>
        <v>0.69938053099999997</v>
      </c>
      <c r="AQ13" s="5">
        <f ca="1">+VLOOKUP($A13,INDIRECT(Adrese!E$2),6,FALSE)</f>
        <v>0.69705752200000004</v>
      </c>
      <c r="AR13" s="5">
        <f ca="1">+VLOOKUP($A13,INDIRECT(Adrese!F$2),6,FALSE)</f>
        <v>0.70024336300000001</v>
      </c>
      <c r="AS13" s="5" t="str">
        <f t="shared" ca="1" si="9"/>
        <v>0.70 (0.01)</v>
      </c>
      <c r="AT13" s="5">
        <f t="shared" ca="1" si="10"/>
        <v>0.69923008847964607</v>
      </c>
      <c r="AU13" s="5">
        <f t="shared" ca="1" si="11"/>
        <v>5.7542201718463644E-3</v>
      </c>
      <c r="AW13" t="s">
        <v>78</v>
      </c>
      <c r="AX13" s="5">
        <f ca="1">+VLOOKUP($A13,INDIRECT(Adrese!B$2),7,FALSE)</f>
        <v>0.80530973451327437</v>
      </c>
      <c r="AY13" s="5">
        <f ca="1">+VLOOKUP($A13,INDIRECT(Adrese!C$2),7,FALSE)</f>
        <v>0.81415929200000003</v>
      </c>
      <c r="AZ13" s="5">
        <f ca="1">+VLOOKUP($A13,INDIRECT(Adrese!D$2),7,FALSE)</f>
        <v>0.81415929200000003</v>
      </c>
      <c r="BA13" s="5">
        <f ca="1">+VLOOKUP($A13,INDIRECT(Adrese!E$2),7,FALSE)</f>
        <v>0.80973451299999999</v>
      </c>
      <c r="BB13" s="5">
        <f ca="1">+VLOOKUP($A13,INDIRECT(Adrese!F$2),7,FALSE)</f>
        <v>0.81415929200000003</v>
      </c>
      <c r="BC13" s="5" t="str">
        <f t="shared" ca="1" si="12"/>
        <v>0.81 (0.00)</v>
      </c>
      <c r="BD13">
        <f t="shared" ca="1" si="13"/>
        <v>0.81150442470265483</v>
      </c>
      <c r="BE13" s="5">
        <f t="shared" ca="1" si="14"/>
        <v>3.9576424509150717E-3</v>
      </c>
      <c r="BG13" t="s">
        <v>78</v>
      </c>
      <c r="BH13" s="5">
        <f ca="1">+VLOOKUP($BG13,INDIRECT(Adrese!B$2),8,FALSE)</f>
        <v>6.9699149790158024E-2</v>
      </c>
      <c r="BI13" s="5">
        <f ca="1">+VLOOKUP($BG13,INDIRECT(Adrese!C$2),8,FALSE)</f>
        <v>7.0952589999999996E-2</v>
      </c>
      <c r="BJ13" s="5">
        <f ca="1">+VLOOKUP($BG13,INDIRECT(Adrese!D$2),8,FALSE)</f>
        <v>7.0378176000000001E-2</v>
      </c>
      <c r="BK13" s="5">
        <f ca="1">+VLOOKUP($BG13,INDIRECT(Adrese!E$2),8,FALSE)</f>
        <v>6.9915019999999994E-2</v>
      </c>
      <c r="BL13" s="5">
        <f ca="1">+VLOOKUP($BG13,INDIRECT(Adrese!F$2),8,FALSE)</f>
        <v>7.0311967000000003E-2</v>
      </c>
      <c r="BM13" s="5" t="str">
        <f t="shared" ca="1" si="15"/>
        <v>0.07 (0.00)</v>
      </c>
      <c r="BN13" s="5">
        <f t="shared" ca="1" si="16"/>
        <v>7.0251380558031595E-2</v>
      </c>
      <c r="BO13" s="5">
        <f t="shared" ca="1" si="17"/>
        <v>4.8206320346650452E-4</v>
      </c>
      <c r="BQ13" t="s">
        <v>78</v>
      </c>
      <c r="BR13" s="5">
        <f ca="1">+VLOOKUP($BG13,INDIRECT(Adrese!B$2),9,FALSE)</f>
        <v>7.2303675611152737E-2</v>
      </c>
      <c r="BS13" s="5">
        <f ca="1">+VLOOKUP($BG13,INDIRECT(Adrese!C$2),9,FALSE)</f>
        <v>7.3687379999999997E-2</v>
      </c>
      <c r="BT13" s="5">
        <f ca="1">+VLOOKUP($BG13,INDIRECT(Adrese!D$2),9,FALSE)</f>
        <v>7.3180577999999996E-2</v>
      </c>
      <c r="BU13" s="5">
        <f ca="1">+VLOOKUP($BG13,INDIRECT(Adrese!E$2),9,FALSE)</f>
        <v>7.1882013999999994E-2</v>
      </c>
      <c r="BV13" s="5">
        <f ca="1">+VLOOKUP($BG13,INDIRECT(Adrese!F$2),9,FALSE)</f>
        <v>7.2435171000000007E-2</v>
      </c>
      <c r="BW13" s="5" t="str">
        <f t="shared" ca="1" si="18"/>
        <v>0.07 (0.00)</v>
      </c>
      <c r="BX13" s="5">
        <f t="shared" ca="1" si="19"/>
        <v>7.2697763722230552E-2</v>
      </c>
      <c r="BY13" s="5">
        <f t="shared" ca="1" si="20"/>
        <v>7.249410304336557E-4</v>
      </c>
    </row>
    <row r="14" spans="1:77" x14ac:dyDescent="0.25">
      <c r="A14" t="s">
        <v>79</v>
      </c>
      <c r="B14" s="12">
        <f ca="1">+VLOOKUP($A14,INDIRECT(Adrese!B$2),2,FALSE)</f>
        <v>12</v>
      </c>
      <c r="C14" s="12">
        <f ca="1">+VLOOKUP($A14,INDIRECT(Adrese!C$2),2,FALSE)</f>
        <v>14</v>
      </c>
      <c r="D14" s="12">
        <f ca="1">+VLOOKUP($A14,INDIRECT(Adrese!D$2),2,FALSE)</f>
        <v>17</v>
      </c>
      <c r="E14" s="12">
        <f ca="1">+VLOOKUP($A14,INDIRECT(Adrese!E$2),2,FALSE)</f>
        <v>10</v>
      </c>
      <c r="F14" s="12">
        <f ca="1">+VLOOKUP($A14,INDIRECT(Adrese!F$2),2,FALSE)</f>
        <v>11</v>
      </c>
      <c r="G14" s="5">
        <f t="shared" ca="1" si="0"/>
        <v>12.8</v>
      </c>
      <c r="H14" s="5">
        <f t="shared" ca="1" si="1"/>
        <v>2.7748873851023195</v>
      </c>
      <c r="J14" t="s">
        <v>79</v>
      </c>
      <c r="K14">
        <f ca="1">+VLOOKUP($A14,INDIRECT(Adrese!B$2),3,FALSE)</f>
        <v>47</v>
      </c>
      <c r="L14">
        <f ca="1">+VLOOKUP($A14,INDIRECT(Adrese!C$2),3,FALSE)</f>
        <v>45</v>
      </c>
      <c r="M14">
        <f ca="1">+VLOOKUP($A14,INDIRECT(Adrese!D$2),3,FALSE)</f>
        <v>45</v>
      </c>
      <c r="N14">
        <f ca="1">+VLOOKUP($A14,INDIRECT(Adrese!E$2),3,FALSE)</f>
        <v>49</v>
      </c>
      <c r="O14">
        <f ca="1">+VLOOKUP($A14,INDIRECT(Adrese!F$2),3,FALSE)</f>
        <v>44</v>
      </c>
      <c r="P14" s="5">
        <f t="shared" ca="1" si="2"/>
        <v>46</v>
      </c>
      <c r="Q14" s="5">
        <f t="shared" ca="1" si="3"/>
        <v>2</v>
      </c>
      <c r="T14" t="s">
        <v>79</v>
      </c>
      <c r="U14">
        <f ca="1">+VLOOKUP($T14,INDIRECT(Adrese!B$2),4,FALSE)</f>
        <v>127058</v>
      </c>
      <c r="V14">
        <f ca="1">+VLOOKUP($T14,INDIRECT(Adrese!C$2),4,FALSE)</f>
        <v>126158</v>
      </c>
      <c r="W14">
        <f ca="1">+VLOOKUP($T14,INDIRECT(Adrese!D$2),4,FALSE)</f>
        <v>125358</v>
      </c>
      <c r="X14">
        <f ca="1">+VLOOKUP($T14,INDIRECT(Adrese!E$2),4,FALSE)</f>
        <v>127442</v>
      </c>
      <c r="Y14">
        <f ca="1">+VLOOKUP($T14,INDIRECT(Adrese!F$2),4,FALSE)</f>
        <v>127268</v>
      </c>
      <c r="Z14">
        <f t="shared" ca="1" si="4"/>
        <v>633284</v>
      </c>
      <c r="AA14" s="5">
        <f t="shared" ca="1" si="5"/>
        <v>126656.8</v>
      </c>
      <c r="AB14" s="5">
        <f t="shared" ca="1" si="6"/>
        <v>878.45728410663196</v>
      </c>
      <c r="AD14" t="s">
        <v>79</v>
      </c>
      <c r="AE14">
        <f ca="1">+VLOOKUP($A14,INDIRECT(Adrese!B$2),5,FALSE)</f>
        <v>33395</v>
      </c>
      <c r="AF14">
        <f ca="1">+VLOOKUP($A14,INDIRECT(Adrese!C$2),5,FALSE)</f>
        <v>32929</v>
      </c>
      <c r="AG14">
        <f ca="1">+VLOOKUP($A14,INDIRECT(Adrese!D$2),5,FALSE)</f>
        <v>33670</v>
      </c>
      <c r="AH14">
        <f ca="1">+VLOOKUP($A14,INDIRECT(Adrese!E$2),5,FALSE)</f>
        <v>33280</v>
      </c>
      <c r="AI14">
        <f ca="1">+VLOOKUP($A14,INDIRECT(Adrese!F$2),5,FALSE)</f>
        <v>33869</v>
      </c>
      <c r="AJ14" s="5">
        <f t="shared" ca="1" si="7"/>
        <v>33428.6</v>
      </c>
      <c r="AK14" s="5">
        <f t="shared" ca="1" si="8"/>
        <v>362.29725364678103</v>
      </c>
      <c r="AM14" t="s">
        <v>79</v>
      </c>
      <c r="AN14" s="5">
        <f ca="1">+VLOOKUP($A14,INDIRECT(Adrese!B$2),6,FALSE)</f>
        <v>0.73440265486725664</v>
      </c>
      <c r="AO14" s="5">
        <f ca="1">+VLOOKUP($A14,INDIRECT(Adrese!C$2),6,FALSE)</f>
        <v>0.72409292000000003</v>
      </c>
      <c r="AP14" s="5">
        <f ca="1">+VLOOKUP($A14,INDIRECT(Adrese!D$2),6,FALSE)</f>
        <v>0.74048672599999998</v>
      </c>
      <c r="AQ14" s="5">
        <f ca="1">+VLOOKUP($A14,INDIRECT(Adrese!E$2),6,FALSE)</f>
        <v>0.73185840700000004</v>
      </c>
      <c r="AR14" s="5">
        <f ca="1">+VLOOKUP($A14,INDIRECT(Adrese!F$2),6,FALSE)</f>
        <v>0.74488938100000002</v>
      </c>
      <c r="AS14" s="5" t="str">
        <f t="shared" ca="1" si="9"/>
        <v>0.74 (0.01)</v>
      </c>
      <c r="AT14" s="5">
        <f t="shared" ca="1" si="10"/>
        <v>0.73514601777345123</v>
      </c>
      <c r="AU14" s="5">
        <f t="shared" ca="1" si="11"/>
        <v>8.0154262943882004E-3</v>
      </c>
      <c r="AW14" t="s">
        <v>79</v>
      </c>
      <c r="AX14" s="5">
        <f ca="1">+VLOOKUP($A14,INDIRECT(Adrese!B$2),7,FALSE)</f>
        <v>0.79203539823008851</v>
      </c>
      <c r="AY14" s="5">
        <f ca="1">+VLOOKUP($A14,INDIRECT(Adrese!C$2),7,FALSE)</f>
        <v>0.80088495599999998</v>
      </c>
      <c r="AZ14" s="5">
        <f ca="1">+VLOOKUP($A14,INDIRECT(Adrese!D$2),7,FALSE)</f>
        <v>0.80088495599999998</v>
      </c>
      <c r="BA14" s="5">
        <f ca="1">+VLOOKUP($A14,INDIRECT(Adrese!E$2),7,FALSE)</f>
        <v>0.78318584099999999</v>
      </c>
      <c r="BB14" s="5">
        <f ca="1">+VLOOKUP($A14,INDIRECT(Adrese!F$2),7,FALSE)</f>
        <v>0.80530973500000003</v>
      </c>
      <c r="BC14" s="5" t="str">
        <f t="shared" ca="1" si="12"/>
        <v>0.80 (0.01)</v>
      </c>
      <c r="BD14">
        <f t="shared" ca="1" si="13"/>
        <v>0.79646017724601759</v>
      </c>
      <c r="BE14" s="5">
        <f t="shared" ca="1" si="14"/>
        <v>8.8495575962389428E-3</v>
      </c>
      <c r="BG14" t="s">
        <v>79</v>
      </c>
      <c r="BH14" s="5">
        <f ca="1">+VLOOKUP($BG14,INDIRECT(Adrese!B$2),8,FALSE)</f>
        <v>7.2926550109422214E-2</v>
      </c>
      <c r="BI14" s="5">
        <f ca="1">+VLOOKUP($BG14,INDIRECT(Adrese!C$2),8,FALSE)</f>
        <v>7.2447191999999994E-2</v>
      </c>
      <c r="BJ14" s="5">
        <f ca="1">+VLOOKUP($BG14,INDIRECT(Adrese!D$2),8,FALSE)</f>
        <v>7.3943370999999994E-2</v>
      </c>
      <c r="BK14" s="5">
        <f ca="1">+VLOOKUP($BG14,INDIRECT(Adrese!E$2),8,FALSE)</f>
        <v>7.2517921999999999E-2</v>
      </c>
      <c r="BL14" s="5">
        <f ca="1">+VLOOKUP($BG14,INDIRECT(Adrese!F$2),8,FALSE)</f>
        <v>7.4195193000000007E-2</v>
      </c>
      <c r="BM14" s="5" t="str">
        <f t="shared" ca="1" si="15"/>
        <v>0.07 (0.00)</v>
      </c>
      <c r="BN14" s="5">
        <f t="shared" ca="1" si="16"/>
        <v>7.3206045621884444E-2</v>
      </c>
      <c r="BO14" s="5">
        <f t="shared" ca="1" si="17"/>
        <v>8.1387221490464496E-4</v>
      </c>
      <c r="BQ14" t="s">
        <v>79</v>
      </c>
      <c r="BR14" s="5">
        <f ca="1">+VLOOKUP($BG14,INDIRECT(Adrese!B$2),9,FALSE)</f>
        <v>7.4944550876885008E-2</v>
      </c>
      <c r="BS14" s="5">
        <f ca="1">+VLOOKUP($BG14,INDIRECT(Adrese!C$2),9,FALSE)</f>
        <v>7.5699839000000005E-2</v>
      </c>
      <c r="BT14" s="5">
        <f ca="1">+VLOOKUP($BG14,INDIRECT(Adrese!D$2),9,FALSE)</f>
        <v>7.7401132999999997E-2</v>
      </c>
      <c r="BU14" s="5">
        <f ca="1">+VLOOKUP($BG14,INDIRECT(Adrese!E$2),9,FALSE)</f>
        <v>7.3702843000000004E-2</v>
      </c>
      <c r="BV14" s="5">
        <f ca="1">+VLOOKUP($BG14,INDIRECT(Adrese!F$2),9,FALSE)</f>
        <v>7.7370648E-2</v>
      </c>
      <c r="BW14" s="5" t="str">
        <f t="shared" ca="1" si="18"/>
        <v>0.08 (0.00)</v>
      </c>
      <c r="BX14" s="5">
        <f t="shared" ca="1" si="19"/>
        <v>7.5823802775377008E-2</v>
      </c>
      <c r="BY14" s="5">
        <f t="shared" ca="1" si="20"/>
        <v>1.5943354472806954E-3</v>
      </c>
    </row>
    <row r="15" spans="1:77" x14ac:dyDescent="0.25">
      <c r="A15" t="s">
        <v>80</v>
      </c>
      <c r="B15" s="12">
        <f ca="1">+VLOOKUP($A15,INDIRECT(Adrese!B$2),2,FALSE)</f>
        <v>13</v>
      </c>
      <c r="C15" s="12">
        <f ca="1">+VLOOKUP($A15,INDIRECT(Adrese!C$2),2,FALSE)</f>
        <v>12</v>
      </c>
      <c r="D15" s="12">
        <f ca="1">+VLOOKUP($A15,INDIRECT(Adrese!D$2),2,FALSE)</f>
        <v>13</v>
      </c>
      <c r="E15" s="12">
        <f ca="1">+VLOOKUP($A15,INDIRECT(Adrese!E$2),2,FALSE)</f>
        <v>13</v>
      </c>
      <c r="F15" s="12">
        <f ca="1">+VLOOKUP($A15,INDIRECT(Adrese!F$2),2,FALSE)</f>
        <v>14</v>
      </c>
      <c r="G15" s="5">
        <f t="shared" ca="1" si="0"/>
        <v>13</v>
      </c>
      <c r="H15" s="5">
        <f t="shared" ca="1" si="1"/>
        <v>0.70710678118654757</v>
      </c>
      <c r="J15" t="s">
        <v>80</v>
      </c>
      <c r="K15">
        <f ca="1">+VLOOKUP($A15,INDIRECT(Adrese!B$2),3,FALSE)</f>
        <v>38</v>
      </c>
      <c r="L15">
        <f ca="1">+VLOOKUP($A15,INDIRECT(Adrese!C$2),3,FALSE)</f>
        <v>38</v>
      </c>
      <c r="M15">
        <f ca="1">+VLOOKUP($A15,INDIRECT(Adrese!D$2),3,FALSE)</f>
        <v>37</v>
      </c>
      <c r="N15">
        <f ca="1">+VLOOKUP($A15,INDIRECT(Adrese!E$2),3,FALSE)</f>
        <v>37</v>
      </c>
      <c r="O15">
        <f ca="1">+VLOOKUP($A15,INDIRECT(Adrese!F$2),3,FALSE)</f>
        <v>38</v>
      </c>
      <c r="P15" s="5">
        <f t="shared" ca="1" si="2"/>
        <v>37.6</v>
      </c>
      <c r="Q15" s="5">
        <f t="shared" ca="1" si="3"/>
        <v>0.54772255750516607</v>
      </c>
      <c r="T15" t="s">
        <v>80</v>
      </c>
      <c r="U15">
        <f ca="1">+VLOOKUP($T15,INDIRECT(Adrese!B$2),4,FALSE)</f>
        <v>126427</v>
      </c>
      <c r="V15">
        <f ca="1">+VLOOKUP($T15,INDIRECT(Adrese!C$2),4,FALSE)</f>
        <v>126691</v>
      </c>
      <c r="W15">
        <f ca="1">+VLOOKUP($T15,INDIRECT(Adrese!D$2),4,FALSE)</f>
        <v>126345</v>
      </c>
      <c r="X15">
        <f ca="1">+VLOOKUP($T15,INDIRECT(Adrese!E$2),4,FALSE)</f>
        <v>126611</v>
      </c>
      <c r="Y15">
        <f ca="1">+VLOOKUP($T15,INDIRECT(Adrese!F$2),4,FALSE)</f>
        <v>126164</v>
      </c>
      <c r="Z15">
        <f t="shared" ca="1" si="4"/>
        <v>632238</v>
      </c>
      <c r="AA15" s="5">
        <f t="shared" ca="1" si="5"/>
        <v>126447.6</v>
      </c>
      <c r="AB15" s="5">
        <f t="shared" ca="1" si="6"/>
        <v>210.54880669336504</v>
      </c>
      <c r="AD15" t="s">
        <v>80</v>
      </c>
      <c r="AE15">
        <f ca="1">+VLOOKUP($A15,INDIRECT(Adrese!B$2),5,FALSE)</f>
        <v>33547</v>
      </c>
      <c r="AF15">
        <f ca="1">+VLOOKUP($A15,INDIRECT(Adrese!C$2),5,FALSE)</f>
        <v>33572</v>
      </c>
      <c r="AG15">
        <f ca="1">+VLOOKUP($A15,INDIRECT(Adrese!D$2),5,FALSE)</f>
        <v>33638</v>
      </c>
      <c r="AH15">
        <f ca="1">+VLOOKUP($A15,INDIRECT(Adrese!E$2),5,FALSE)</f>
        <v>33727</v>
      </c>
      <c r="AI15">
        <f ca="1">+VLOOKUP($A15,INDIRECT(Adrese!F$2),5,FALSE)</f>
        <v>33247</v>
      </c>
      <c r="AJ15" s="5">
        <f t="shared" ca="1" si="7"/>
        <v>33546.199999999997</v>
      </c>
      <c r="AK15" s="5">
        <f t="shared" ca="1" si="8"/>
        <v>181.1786411252717</v>
      </c>
      <c r="AM15" t="s">
        <v>80</v>
      </c>
      <c r="AN15" s="5">
        <f ca="1">+VLOOKUP($A15,INDIRECT(Adrese!B$2),6,FALSE)</f>
        <v>0.73776548672566367</v>
      </c>
      <c r="AO15" s="5">
        <f ca="1">+VLOOKUP($A15,INDIRECT(Adrese!C$2),6,FALSE)</f>
        <v>0.73831858399999994</v>
      </c>
      <c r="AP15" s="5">
        <f ca="1">+VLOOKUP($A15,INDIRECT(Adrese!D$2),6,FALSE)</f>
        <v>0.73977876099999995</v>
      </c>
      <c r="AQ15" s="5">
        <f ca="1">+VLOOKUP($A15,INDIRECT(Adrese!E$2),6,FALSE)</f>
        <v>0.74174778799999996</v>
      </c>
      <c r="AR15" s="5">
        <f ca="1">+VLOOKUP($A15,INDIRECT(Adrese!F$2),6,FALSE)</f>
        <v>0.73112831899999997</v>
      </c>
      <c r="AS15" s="5" t="str">
        <f t="shared" ca="1" si="9"/>
        <v>0.74 (0.00)</v>
      </c>
      <c r="AT15" s="5">
        <f t="shared" ca="1" si="10"/>
        <v>0.73774778774513283</v>
      </c>
      <c r="AU15" s="5">
        <f t="shared" ca="1" si="11"/>
        <v>4.0083769311030255E-3</v>
      </c>
      <c r="AW15" t="s">
        <v>80</v>
      </c>
      <c r="AX15" s="5">
        <f ca="1">+VLOOKUP($A15,INDIRECT(Adrese!B$2),7,FALSE)</f>
        <v>0.83185840707964598</v>
      </c>
      <c r="AY15" s="5">
        <f ca="1">+VLOOKUP($A15,INDIRECT(Adrese!C$2),7,FALSE)</f>
        <v>0.83185840700000002</v>
      </c>
      <c r="AZ15" s="5">
        <f ca="1">+VLOOKUP($A15,INDIRECT(Adrese!D$2),7,FALSE)</f>
        <v>0.83628318599999996</v>
      </c>
      <c r="BA15" s="5">
        <f ca="1">+VLOOKUP($A15,INDIRECT(Adrese!E$2),7,FALSE)</f>
        <v>0.83628318599999996</v>
      </c>
      <c r="BB15" s="5">
        <f ca="1">+VLOOKUP($A15,INDIRECT(Adrese!F$2),7,FALSE)</f>
        <v>0.83185840700000002</v>
      </c>
      <c r="BC15" s="5" t="str">
        <f t="shared" ca="1" si="12"/>
        <v>0.83 (0.00)</v>
      </c>
      <c r="BD15">
        <f t="shared" ca="1" si="13"/>
        <v>0.83362831861592923</v>
      </c>
      <c r="BE15" s="5">
        <f t="shared" ca="1" si="14"/>
        <v>2.4235512557338199E-3</v>
      </c>
      <c r="BG15" t="s">
        <v>80</v>
      </c>
      <c r="BH15" s="5">
        <f ca="1">+VLOOKUP($BG15,INDIRECT(Adrese!B$2),8,FALSE)</f>
        <v>7.610030566794744E-2</v>
      </c>
      <c r="BI15" s="5">
        <f ca="1">+VLOOKUP($BG15,INDIRECT(Adrese!C$2),8,FALSE)</f>
        <v>7.6232358E-2</v>
      </c>
      <c r="BJ15" s="5">
        <f ca="1">+VLOOKUP($BG15,INDIRECT(Adrese!D$2),8,FALSE)</f>
        <v>7.6258080000000006E-2</v>
      </c>
      <c r="BK15" s="5">
        <f ca="1">+VLOOKUP($BG15,INDIRECT(Adrese!E$2),8,FALSE)</f>
        <v>7.6550904000000003E-2</v>
      </c>
      <c r="BL15" s="5">
        <f ca="1">+VLOOKUP($BG15,INDIRECT(Adrese!F$2),8,FALSE)</f>
        <v>7.5782888000000007E-2</v>
      </c>
      <c r="BM15" s="5" t="str">
        <f t="shared" ca="1" si="15"/>
        <v>0.08 (0.00)</v>
      </c>
      <c r="BN15" s="5">
        <f t="shared" ca="1" si="16"/>
        <v>7.6184907133589497E-2</v>
      </c>
      <c r="BO15" s="5">
        <f t="shared" ca="1" si="17"/>
        <v>2.7853920329325995E-4</v>
      </c>
      <c r="BQ15" t="s">
        <v>80</v>
      </c>
      <c r="BR15" s="5">
        <f ca="1">+VLOOKUP($BG15,INDIRECT(Adrese!B$2),9,FALSE)</f>
        <v>8.705226510298382E-2</v>
      </c>
      <c r="BS15" s="5">
        <f ca="1">+VLOOKUP($BG15,INDIRECT(Adrese!C$2),9,FALSE)</f>
        <v>8.7387166000000002E-2</v>
      </c>
      <c r="BT15" s="5">
        <f ca="1">+VLOOKUP($BG15,INDIRECT(Adrese!D$2),9,FALSE)</f>
        <v>8.6923502999999999E-2</v>
      </c>
      <c r="BU15" s="5">
        <f ca="1">+VLOOKUP($BG15,INDIRECT(Adrese!E$2),9,FALSE)</f>
        <v>8.8044452999999995E-2</v>
      </c>
      <c r="BV15" s="5">
        <f ca="1">+VLOOKUP($BG15,INDIRECT(Adrese!F$2),9,FALSE)</f>
        <v>8.7221686000000007E-2</v>
      </c>
      <c r="BW15" s="5" t="str">
        <f t="shared" ca="1" si="18"/>
        <v>0.09 (0.00)</v>
      </c>
      <c r="BX15" s="5">
        <f t="shared" ca="1" si="19"/>
        <v>8.732581462059677E-2</v>
      </c>
      <c r="BY15" s="5">
        <f t="shared" ca="1" si="20"/>
        <v>4.3810154655822526E-4</v>
      </c>
    </row>
    <row r="16" spans="1:77" x14ac:dyDescent="0.25">
      <c r="A16" t="s">
        <v>81</v>
      </c>
      <c r="B16" s="12">
        <f ca="1">+VLOOKUP($A16,INDIRECT(Adrese!B$2),2,FALSE)</f>
        <v>14</v>
      </c>
      <c r="C16" s="12">
        <f ca="1">+VLOOKUP($A16,INDIRECT(Adrese!C$2),2,FALSE)</f>
        <v>16</v>
      </c>
      <c r="D16" s="12">
        <f ca="1">+VLOOKUP($A16,INDIRECT(Adrese!D$2),2,FALSE)</f>
        <v>16</v>
      </c>
      <c r="E16" s="12">
        <f ca="1">+VLOOKUP($A16,INDIRECT(Adrese!E$2),2,FALSE)</f>
        <v>19</v>
      </c>
      <c r="F16" s="12">
        <f ca="1">+VLOOKUP($A16,INDIRECT(Adrese!F$2),2,FALSE)</f>
        <v>17</v>
      </c>
      <c r="G16" s="5">
        <f t="shared" ca="1" si="0"/>
        <v>16.399999999999999</v>
      </c>
      <c r="H16" s="5">
        <f t="shared" ca="1" si="1"/>
        <v>1.8165902124584952</v>
      </c>
      <c r="J16" t="s">
        <v>81</v>
      </c>
      <c r="K16">
        <f ca="1">+VLOOKUP($A16,INDIRECT(Adrese!B$2),3,FALSE)</f>
        <v>46</v>
      </c>
      <c r="L16">
        <f ca="1">+VLOOKUP($A16,INDIRECT(Adrese!C$2),3,FALSE)</f>
        <v>44</v>
      </c>
      <c r="M16">
        <f ca="1">+VLOOKUP($A16,INDIRECT(Adrese!D$2),3,FALSE)</f>
        <v>44</v>
      </c>
      <c r="N16">
        <f ca="1">+VLOOKUP($A16,INDIRECT(Adrese!E$2),3,FALSE)</f>
        <v>44</v>
      </c>
      <c r="O16">
        <f ca="1">+VLOOKUP($A16,INDIRECT(Adrese!F$2),3,FALSE)</f>
        <v>44</v>
      </c>
      <c r="P16" s="5">
        <f t="shared" ca="1" si="2"/>
        <v>44.4</v>
      </c>
      <c r="Q16" s="5">
        <f t="shared" ca="1" si="3"/>
        <v>0.89442719099991586</v>
      </c>
      <c r="T16" t="s">
        <v>81</v>
      </c>
      <c r="U16">
        <f ca="1">+VLOOKUP($T16,INDIRECT(Adrese!B$2),4,FALSE)</f>
        <v>126290</v>
      </c>
      <c r="V16">
        <f ca="1">+VLOOKUP($T16,INDIRECT(Adrese!C$2),4,FALSE)</f>
        <v>125479</v>
      </c>
      <c r="W16">
        <f ca="1">+VLOOKUP($T16,INDIRECT(Adrese!D$2),4,FALSE)</f>
        <v>125682</v>
      </c>
      <c r="X16">
        <f ca="1">+VLOOKUP($T16,INDIRECT(Adrese!E$2),4,FALSE)</f>
        <v>125207</v>
      </c>
      <c r="Y16">
        <f ca="1">+VLOOKUP($T16,INDIRECT(Adrese!F$2),4,FALSE)</f>
        <v>125038</v>
      </c>
      <c r="Z16">
        <f t="shared" ca="1" si="4"/>
        <v>627696</v>
      </c>
      <c r="AA16" s="5">
        <f t="shared" ca="1" si="5"/>
        <v>125539.2</v>
      </c>
      <c r="AB16" s="5">
        <f t="shared" ca="1" si="6"/>
        <v>487.15367185314329</v>
      </c>
      <c r="AD16" t="s">
        <v>81</v>
      </c>
      <c r="AE16">
        <f ca="1">+VLOOKUP($A16,INDIRECT(Adrese!B$2),5,FALSE)</f>
        <v>33343</v>
      </c>
      <c r="AF16">
        <f ca="1">+VLOOKUP($A16,INDIRECT(Adrese!C$2),5,FALSE)</f>
        <v>33026</v>
      </c>
      <c r="AG16">
        <f ca="1">+VLOOKUP($A16,INDIRECT(Adrese!D$2),5,FALSE)</f>
        <v>33332</v>
      </c>
      <c r="AH16">
        <f ca="1">+VLOOKUP($A16,INDIRECT(Adrese!E$2),5,FALSE)</f>
        <v>33271</v>
      </c>
      <c r="AI16">
        <f ca="1">+VLOOKUP($A16,INDIRECT(Adrese!F$2),5,FALSE)</f>
        <v>33215</v>
      </c>
      <c r="AJ16" s="5">
        <f t="shared" ca="1" si="7"/>
        <v>33237.4</v>
      </c>
      <c r="AK16" s="5">
        <f t="shared" ca="1" si="8"/>
        <v>128.86155361472251</v>
      </c>
      <c r="AM16" t="s">
        <v>81</v>
      </c>
      <c r="AN16" s="5">
        <f ca="1">+VLOOKUP($A16,INDIRECT(Adrese!B$2),6,FALSE)</f>
        <v>0.73325221238938054</v>
      </c>
      <c r="AO16" s="5">
        <f ca="1">+VLOOKUP($A16,INDIRECT(Adrese!C$2),6,FALSE)</f>
        <v>0.72623893799999995</v>
      </c>
      <c r="AP16" s="5">
        <f ca="1">+VLOOKUP($A16,INDIRECT(Adrese!D$2),6,FALSE)</f>
        <v>0.73300885000000005</v>
      </c>
      <c r="AQ16" s="5">
        <f ca="1">+VLOOKUP($A16,INDIRECT(Adrese!E$2),6,FALSE)</f>
        <v>0.73165929200000002</v>
      </c>
      <c r="AR16" s="5">
        <f ca="1">+VLOOKUP($A16,INDIRECT(Adrese!F$2),6,FALSE)</f>
        <v>0.73042035400000005</v>
      </c>
      <c r="AS16" s="5" t="str">
        <f t="shared" ca="1" si="9"/>
        <v>0.73 (0.00)</v>
      </c>
      <c r="AT16" s="5">
        <f t="shared" ca="1" si="10"/>
        <v>0.73091592927787619</v>
      </c>
      <c r="AU16" s="5">
        <f t="shared" ca="1" si="11"/>
        <v>2.850919427667666E-3</v>
      </c>
      <c r="AW16" t="s">
        <v>81</v>
      </c>
      <c r="AX16" s="5">
        <f ca="1">+VLOOKUP($A16,INDIRECT(Adrese!B$2),7,FALSE)</f>
        <v>0.79646017699115046</v>
      </c>
      <c r="AY16" s="5">
        <f ca="1">+VLOOKUP($A16,INDIRECT(Adrese!C$2),7,FALSE)</f>
        <v>0.80530973500000003</v>
      </c>
      <c r="AZ16" s="5">
        <f ca="1">+VLOOKUP($A16,INDIRECT(Adrese!D$2),7,FALSE)</f>
        <v>0.80530973500000003</v>
      </c>
      <c r="BA16" s="5">
        <f ca="1">+VLOOKUP($A16,INDIRECT(Adrese!E$2),7,FALSE)</f>
        <v>0.80530973500000003</v>
      </c>
      <c r="BB16" s="5">
        <f ca="1">+VLOOKUP($A16,INDIRECT(Adrese!F$2),7,FALSE)</f>
        <v>0.80530973500000003</v>
      </c>
      <c r="BC16" s="5" t="str">
        <f t="shared" ca="1" si="12"/>
        <v>0.80 (0.00)</v>
      </c>
      <c r="BD16">
        <f t="shared" ca="1" si="13"/>
        <v>0.80353982339823005</v>
      </c>
      <c r="BE16" s="5">
        <f t="shared" ca="1" si="14"/>
        <v>3.9576426557230635E-3</v>
      </c>
      <c r="BG16" t="s">
        <v>81</v>
      </c>
      <c r="BH16" s="5">
        <f ca="1">+VLOOKUP($BG16,INDIRECT(Adrese!B$2),8,FALSE)</f>
        <v>7.4433516874107666E-2</v>
      </c>
      <c r="BI16" s="5">
        <f ca="1">+VLOOKUP($BG16,INDIRECT(Adrese!C$2),8,FALSE)</f>
        <v>7.4312296E-2</v>
      </c>
      <c r="BJ16" s="5">
        <f ca="1">+VLOOKUP($BG16,INDIRECT(Adrese!D$2),8,FALSE)</f>
        <v>7.4539026999999994E-2</v>
      </c>
      <c r="BK16" s="5">
        <f ca="1">+VLOOKUP($BG16,INDIRECT(Adrese!E$2),8,FALSE)</f>
        <v>7.4255369000000002E-2</v>
      </c>
      <c r="BL16" s="5">
        <f ca="1">+VLOOKUP($BG16,INDIRECT(Adrese!F$2),8,FALSE)</f>
        <v>7.4469930000000004E-2</v>
      </c>
      <c r="BM16" s="5" t="str">
        <f t="shared" ca="1" si="15"/>
        <v>0.07 (0.00)</v>
      </c>
      <c r="BN16" s="5">
        <f t="shared" ca="1" si="16"/>
        <v>7.4402027774821536E-2</v>
      </c>
      <c r="BO16" s="5">
        <f t="shared" ca="1" si="17"/>
        <v>1.161159451822975E-4</v>
      </c>
      <c r="BQ16" t="s">
        <v>81</v>
      </c>
      <c r="BR16" s="5">
        <f ca="1">+VLOOKUP($BG16,INDIRECT(Adrese!B$2),9,FALSE)</f>
        <v>8.0866873708440534E-2</v>
      </c>
      <c r="BS16" s="5">
        <f ca="1">+VLOOKUP($BG16,INDIRECT(Adrese!C$2),9,FALSE)</f>
        <v>8.2095876999999998E-2</v>
      </c>
      <c r="BT16" s="5">
        <f ca="1">+VLOOKUP($BG16,INDIRECT(Adrese!D$2),9,FALSE)</f>
        <v>8.0938488000000003E-2</v>
      </c>
      <c r="BU16" s="5">
        <f ca="1">+VLOOKUP($BG16,INDIRECT(Adrese!E$2),9,FALSE)</f>
        <v>8.0535723000000004E-2</v>
      </c>
      <c r="BV16" s="5">
        <f ca="1">+VLOOKUP($BG16,INDIRECT(Adrese!F$2),9,FALSE)</f>
        <v>8.1460529000000004E-2</v>
      </c>
      <c r="BW16" s="5" t="str">
        <f t="shared" ca="1" si="18"/>
        <v>0.08 (0.00)</v>
      </c>
      <c r="BX16" s="5">
        <f t="shared" ca="1" si="19"/>
        <v>8.1179498141688095E-2</v>
      </c>
      <c r="BY16" s="5">
        <f t="shared" ca="1" si="20"/>
        <v>6.1012189622237565E-4</v>
      </c>
    </row>
    <row r="17" spans="1:77" x14ac:dyDescent="0.25">
      <c r="A17" t="s">
        <v>82</v>
      </c>
      <c r="B17" s="12">
        <f ca="1">+VLOOKUP($A17,INDIRECT(Adrese!B$2),2,FALSE)</f>
        <v>15</v>
      </c>
      <c r="C17" s="12">
        <f ca="1">+VLOOKUP($A17,INDIRECT(Adrese!C$2),2,FALSE)</f>
        <v>13</v>
      </c>
      <c r="D17" s="12">
        <f ca="1">+VLOOKUP($A17,INDIRECT(Adrese!D$2),2,FALSE)</f>
        <v>12</v>
      </c>
      <c r="E17" s="12">
        <f ca="1">+VLOOKUP($A17,INDIRECT(Adrese!E$2),2,FALSE)</f>
        <v>15</v>
      </c>
      <c r="F17" s="12">
        <f ca="1">+VLOOKUP($A17,INDIRECT(Adrese!F$2),2,FALSE)</f>
        <v>13</v>
      </c>
      <c r="G17" s="5">
        <f t="shared" ca="1" si="0"/>
        <v>13.6</v>
      </c>
      <c r="H17" s="5">
        <f t="shared" ca="1" si="1"/>
        <v>1.3416407864998738</v>
      </c>
      <c r="J17" t="s">
        <v>82</v>
      </c>
      <c r="K17">
        <f ca="1">+VLOOKUP($A17,INDIRECT(Adrese!B$2),3,FALSE)</f>
        <v>39</v>
      </c>
      <c r="L17">
        <f ca="1">+VLOOKUP($A17,INDIRECT(Adrese!C$2),3,FALSE)</f>
        <v>38</v>
      </c>
      <c r="M17">
        <f ca="1">+VLOOKUP($A17,INDIRECT(Adrese!D$2),3,FALSE)</f>
        <v>38</v>
      </c>
      <c r="N17">
        <f ca="1">+VLOOKUP($A17,INDIRECT(Adrese!E$2),3,FALSE)</f>
        <v>39</v>
      </c>
      <c r="O17">
        <f ca="1">+VLOOKUP($A17,INDIRECT(Adrese!F$2),3,FALSE)</f>
        <v>40</v>
      </c>
      <c r="P17" s="5">
        <f t="shared" ca="1" si="2"/>
        <v>38.799999999999997</v>
      </c>
      <c r="Q17" s="5">
        <f t="shared" ca="1" si="3"/>
        <v>0.83666002653407556</v>
      </c>
      <c r="T17" t="s">
        <v>82</v>
      </c>
      <c r="U17">
        <f ca="1">+VLOOKUP($T17,INDIRECT(Adrese!B$2),4,FALSE)</f>
        <v>125929</v>
      </c>
      <c r="V17">
        <f ca="1">+VLOOKUP($T17,INDIRECT(Adrese!C$2),4,FALSE)</f>
        <v>126382</v>
      </c>
      <c r="W17">
        <f ca="1">+VLOOKUP($T17,INDIRECT(Adrese!D$2),4,FALSE)</f>
        <v>126381</v>
      </c>
      <c r="X17">
        <f ca="1">+VLOOKUP($T17,INDIRECT(Adrese!E$2),4,FALSE)</f>
        <v>126079</v>
      </c>
      <c r="Y17">
        <f ca="1">+VLOOKUP($T17,INDIRECT(Adrese!F$2),4,FALSE)</f>
        <v>126273</v>
      </c>
      <c r="Z17">
        <f t="shared" ca="1" si="4"/>
        <v>631044</v>
      </c>
      <c r="AA17" s="5">
        <f t="shared" ca="1" si="5"/>
        <v>126208.8</v>
      </c>
      <c r="AB17" s="5">
        <f t="shared" ca="1" si="6"/>
        <v>199.31683320783523</v>
      </c>
      <c r="AD17" t="s">
        <v>82</v>
      </c>
      <c r="AE17">
        <f ca="1">+VLOOKUP($A17,INDIRECT(Adrese!B$2),5,FALSE)</f>
        <v>36656</v>
      </c>
      <c r="AF17">
        <f ca="1">+VLOOKUP($A17,INDIRECT(Adrese!C$2),5,FALSE)</f>
        <v>36647</v>
      </c>
      <c r="AG17">
        <f ca="1">+VLOOKUP($A17,INDIRECT(Adrese!D$2),5,FALSE)</f>
        <v>36718</v>
      </c>
      <c r="AH17">
        <f ca="1">+VLOOKUP($A17,INDIRECT(Adrese!E$2),5,FALSE)</f>
        <v>36529</v>
      </c>
      <c r="AI17">
        <f ca="1">+VLOOKUP($A17,INDIRECT(Adrese!F$2),5,FALSE)</f>
        <v>36606</v>
      </c>
      <c r="AJ17" s="5">
        <f t="shared" ca="1" si="7"/>
        <v>36631.199999999997</v>
      </c>
      <c r="AK17" s="5">
        <f t="shared" ca="1" si="8"/>
        <v>69.783235809182713</v>
      </c>
      <c r="AM17" t="s">
        <v>82</v>
      </c>
      <c r="AN17" s="5">
        <f ca="1">+VLOOKUP($A17,INDIRECT(Adrese!B$2),6,FALSE)</f>
        <v>0.80654867256637164</v>
      </c>
      <c r="AO17" s="5">
        <f ca="1">+VLOOKUP($A17,INDIRECT(Adrese!C$2),6,FALSE)</f>
        <v>0.80634955799999997</v>
      </c>
      <c r="AP17" s="5">
        <f ca="1">+VLOOKUP($A17,INDIRECT(Adrese!D$2),6,FALSE)</f>
        <v>0.80792035399999995</v>
      </c>
      <c r="AQ17" s="5">
        <f ca="1">+VLOOKUP($A17,INDIRECT(Adrese!E$2),6,FALSE)</f>
        <v>0.80373893799999996</v>
      </c>
      <c r="AR17" s="5">
        <f ca="1">+VLOOKUP($A17,INDIRECT(Adrese!F$2),6,FALSE)</f>
        <v>0.80544247800000002</v>
      </c>
      <c r="AS17" s="5" t="str">
        <f t="shared" ca="1" si="9"/>
        <v>0.81 (0.00)</v>
      </c>
      <c r="AT17" s="5">
        <f t="shared" ca="1" si="10"/>
        <v>0.80600000011327444</v>
      </c>
      <c r="AU17" s="5">
        <f t="shared" ca="1" si="11"/>
        <v>1.5438769392423035E-3</v>
      </c>
      <c r="AW17" t="s">
        <v>82</v>
      </c>
      <c r="AX17" s="5">
        <f ca="1">+VLOOKUP($A17,INDIRECT(Adrese!B$2),7,FALSE)</f>
        <v>0.82743362831858402</v>
      </c>
      <c r="AY17" s="5">
        <f ca="1">+VLOOKUP($A17,INDIRECT(Adrese!C$2),7,FALSE)</f>
        <v>0.83185840700000002</v>
      </c>
      <c r="AZ17" s="5">
        <f ca="1">+VLOOKUP($A17,INDIRECT(Adrese!D$2),7,FALSE)</f>
        <v>0.83185840700000002</v>
      </c>
      <c r="BA17" s="5">
        <f ca="1">+VLOOKUP($A17,INDIRECT(Adrese!E$2),7,FALSE)</f>
        <v>0.82743362799999998</v>
      </c>
      <c r="BB17" s="5">
        <f ca="1">+VLOOKUP($A17,INDIRECT(Adrese!F$2),7,FALSE)</f>
        <v>0.82300885000000001</v>
      </c>
      <c r="BC17" s="5" t="str">
        <f t="shared" ca="1" si="12"/>
        <v>0.83 (0.00)</v>
      </c>
      <c r="BD17">
        <f t="shared" ca="1" si="13"/>
        <v>0.82831858406371683</v>
      </c>
      <c r="BE17" s="5">
        <f t="shared" ca="1" si="14"/>
        <v>3.7020353379398135E-3</v>
      </c>
      <c r="BG17" t="s">
        <v>82</v>
      </c>
      <c r="BH17" s="5">
        <f ca="1">+VLOOKUP($BG17,INDIRECT(Adrese!B$2),8,FALSE)</f>
        <v>7.9587871435302104E-2</v>
      </c>
      <c r="BI17" s="5">
        <f ca="1">+VLOOKUP($BG17,INDIRECT(Adrese!C$2),8,FALSE)</f>
        <v>7.9543823999999999E-2</v>
      </c>
      <c r="BJ17" s="5">
        <f ca="1">+VLOOKUP($BG17,INDIRECT(Adrese!D$2),8,FALSE)</f>
        <v>7.9514715E-2</v>
      </c>
      <c r="BK17" s="5">
        <f ca="1">+VLOOKUP($BG17,INDIRECT(Adrese!E$2),8,FALSE)</f>
        <v>7.8993921999999994E-2</v>
      </c>
      <c r="BL17" s="5">
        <f ca="1">+VLOOKUP($BG17,INDIRECT(Adrese!F$2),8,FALSE)</f>
        <v>7.9452197000000002E-2</v>
      </c>
      <c r="BM17" s="5" t="str">
        <f t="shared" ca="1" si="15"/>
        <v>0.08 (0.00)</v>
      </c>
      <c r="BN17" s="5">
        <f t="shared" ca="1" si="16"/>
        <v>7.9418505887060425E-2</v>
      </c>
      <c r="BO17" s="5">
        <f t="shared" ca="1" si="17"/>
        <v>2.4241084960094727E-4</v>
      </c>
      <c r="BQ17" t="s">
        <v>82</v>
      </c>
      <c r="BR17" s="5">
        <f ca="1">+VLOOKUP($BG17,INDIRECT(Adrese!B$2),9,FALSE)</f>
        <v>8.4149960584087691E-2</v>
      </c>
      <c r="BS17" s="5">
        <f ca="1">+VLOOKUP($BG17,INDIRECT(Adrese!C$2),9,FALSE)</f>
        <v>8.4117093000000004E-2</v>
      </c>
      <c r="BT17" s="5">
        <f ca="1">+VLOOKUP($BG17,INDIRECT(Adrese!D$2),9,FALSE)</f>
        <v>8.3218347999999998E-2</v>
      </c>
      <c r="BU17" s="5">
        <f ca="1">+VLOOKUP($BG17,INDIRECT(Adrese!E$2),9,FALSE)</f>
        <v>8.2504727E-2</v>
      </c>
      <c r="BV17" s="5">
        <f ca="1">+VLOOKUP($BG17,INDIRECT(Adrese!F$2),9,FALSE)</f>
        <v>8.3437815999999998E-2</v>
      </c>
      <c r="BW17" s="5" t="str">
        <f t="shared" ca="1" si="18"/>
        <v>0.08 (0.00)</v>
      </c>
      <c r="BX17" s="5">
        <f t="shared" ca="1" si="19"/>
        <v>8.3485588916817538E-2</v>
      </c>
      <c r="BY17" s="5">
        <f t="shared" ca="1" si="20"/>
        <v>6.8483158119590976E-4</v>
      </c>
    </row>
    <row r="18" spans="1:77" x14ac:dyDescent="0.25">
      <c r="A18" t="s">
        <v>83</v>
      </c>
      <c r="B18" s="12">
        <f ca="1">+VLOOKUP($A18,INDIRECT(Adrese!B$2),2,FALSE)</f>
        <v>16</v>
      </c>
      <c r="C18" s="12">
        <f ca="1">+VLOOKUP($A18,INDIRECT(Adrese!C$2),2,FALSE)</f>
        <v>15</v>
      </c>
      <c r="D18" s="12">
        <f ca="1">+VLOOKUP($A18,INDIRECT(Adrese!D$2),2,FALSE)</f>
        <v>15</v>
      </c>
      <c r="E18" s="12">
        <f ca="1">+VLOOKUP($A18,INDIRECT(Adrese!E$2),2,FALSE)</f>
        <v>14</v>
      </c>
      <c r="F18" s="12">
        <f ca="1">+VLOOKUP($A18,INDIRECT(Adrese!F$2),2,FALSE)</f>
        <v>16</v>
      </c>
      <c r="G18" s="5">
        <f t="shared" ca="1" si="0"/>
        <v>15.2</v>
      </c>
      <c r="H18" s="5">
        <f t="shared" ca="1" si="1"/>
        <v>0.83666002653407556</v>
      </c>
      <c r="J18" t="s">
        <v>83</v>
      </c>
      <c r="K18">
        <f ca="1">+VLOOKUP($A18,INDIRECT(Adrese!B$2),3,FALSE)</f>
        <v>48</v>
      </c>
      <c r="L18">
        <f ca="1">+VLOOKUP($A18,INDIRECT(Adrese!C$2),3,FALSE)</f>
        <v>48</v>
      </c>
      <c r="M18">
        <f ca="1">+VLOOKUP($A18,INDIRECT(Adrese!D$2),3,FALSE)</f>
        <v>46</v>
      </c>
      <c r="N18">
        <f ca="1">+VLOOKUP($A18,INDIRECT(Adrese!E$2),3,FALSE)</f>
        <v>48</v>
      </c>
      <c r="O18">
        <f ca="1">+VLOOKUP($A18,INDIRECT(Adrese!F$2),3,FALSE)</f>
        <v>47</v>
      </c>
      <c r="P18" s="5">
        <f t="shared" ca="1" si="2"/>
        <v>47.4</v>
      </c>
      <c r="Q18" s="5">
        <f t="shared" ca="1" si="3"/>
        <v>0.89442719099991586</v>
      </c>
      <c r="T18" t="s">
        <v>83</v>
      </c>
      <c r="U18">
        <f ca="1">+VLOOKUP($T18,INDIRECT(Adrese!B$2),4,FALSE)</f>
        <v>125435</v>
      </c>
      <c r="V18">
        <f ca="1">+VLOOKUP($T18,INDIRECT(Adrese!C$2),4,FALSE)</f>
        <v>126131</v>
      </c>
      <c r="W18">
        <f ca="1">+VLOOKUP($T18,INDIRECT(Adrese!D$2),4,FALSE)</f>
        <v>125725</v>
      </c>
      <c r="X18">
        <f ca="1">+VLOOKUP($T18,INDIRECT(Adrese!E$2),4,FALSE)</f>
        <v>126124</v>
      </c>
      <c r="Y18">
        <f ca="1">+VLOOKUP($T18,INDIRECT(Adrese!F$2),4,FALSE)</f>
        <v>125524</v>
      </c>
      <c r="Z18">
        <f t="shared" ca="1" si="4"/>
        <v>628939</v>
      </c>
      <c r="AA18" s="5">
        <f t="shared" ca="1" si="5"/>
        <v>125787.8</v>
      </c>
      <c r="AB18" s="5">
        <f t="shared" ca="1" si="6"/>
        <v>327.42128825108483</v>
      </c>
      <c r="AD18" t="s">
        <v>83</v>
      </c>
      <c r="AE18">
        <f ca="1">+VLOOKUP($A18,INDIRECT(Adrese!B$2),5,FALSE)</f>
        <v>31218</v>
      </c>
      <c r="AF18">
        <f ca="1">+VLOOKUP($A18,INDIRECT(Adrese!C$2),5,FALSE)</f>
        <v>31712</v>
      </c>
      <c r="AG18">
        <f ca="1">+VLOOKUP($A18,INDIRECT(Adrese!D$2),5,FALSE)</f>
        <v>31274</v>
      </c>
      <c r="AH18">
        <f ca="1">+VLOOKUP($A18,INDIRECT(Adrese!E$2),5,FALSE)</f>
        <v>31844</v>
      </c>
      <c r="AI18">
        <f ca="1">+VLOOKUP($A18,INDIRECT(Adrese!F$2),5,FALSE)</f>
        <v>31640</v>
      </c>
      <c r="AJ18" s="5">
        <f t="shared" ca="1" si="7"/>
        <v>31537.599999999999</v>
      </c>
      <c r="AK18" s="5">
        <f t="shared" ca="1" si="8"/>
        <v>276.77210842135088</v>
      </c>
      <c r="AM18" t="s">
        <v>83</v>
      </c>
      <c r="AN18" s="5">
        <f ca="1">+VLOOKUP($A18,INDIRECT(Adrese!B$2),6,FALSE)</f>
        <v>0.68623893805309732</v>
      </c>
      <c r="AO18" s="5">
        <f ca="1">+VLOOKUP($A18,INDIRECT(Adrese!C$2),6,FALSE)</f>
        <v>0.69716814199999999</v>
      </c>
      <c r="AP18" s="5">
        <f ca="1">+VLOOKUP($A18,INDIRECT(Adrese!D$2),6,FALSE)</f>
        <v>0.68747787599999999</v>
      </c>
      <c r="AQ18" s="5">
        <f ca="1">+VLOOKUP($A18,INDIRECT(Adrese!E$2),6,FALSE)</f>
        <v>0.700088496</v>
      </c>
      <c r="AR18" s="5">
        <f ca="1">+VLOOKUP($A18,INDIRECT(Adrese!F$2),6,FALSE)</f>
        <v>0.69557522100000002</v>
      </c>
      <c r="AS18" s="5" t="str">
        <f t="shared" ca="1" si="9"/>
        <v>0.69 (0.01)</v>
      </c>
      <c r="AT18" s="5">
        <f t="shared" ca="1" si="10"/>
        <v>0.69330973461061951</v>
      </c>
      <c r="AU18" s="5">
        <f t="shared" ca="1" si="11"/>
        <v>6.1232769198602856E-3</v>
      </c>
      <c r="AW18" t="s">
        <v>83</v>
      </c>
      <c r="AX18" s="5">
        <f ca="1">+VLOOKUP($A18,INDIRECT(Adrese!B$2),7,FALSE)</f>
        <v>0.78761061946902655</v>
      </c>
      <c r="AY18" s="5">
        <f ca="1">+VLOOKUP($A18,INDIRECT(Adrese!C$2),7,FALSE)</f>
        <v>0.78761061899999996</v>
      </c>
      <c r="AZ18" s="5">
        <f ca="1">+VLOOKUP($A18,INDIRECT(Adrese!D$2),7,FALSE)</f>
        <v>0.79646017700000005</v>
      </c>
      <c r="BA18" s="5">
        <f ca="1">+VLOOKUP($A18,INDIRECT(Adrese!E$2),7,FALSE)</f>
        <v>0.78761061899999996</v>
      </c>
      <c r="BB18" s="5">
        <f ca="1">+VLOOKUP($A18,INDIRECT(Adrese!F$2),7,FALSE)</f>
        <v>0.792035398</v>
      </c>
      <c r="BC18" s="5" t="str">
        <f t="shared" ca="1" si="12"/>
        <v>0.79 (0.00)</v>
      </c>
      <c r="BD18">
        <f t="shared" ca="1" si="13"/>
        <v>0.79026548649380524</v>
      </c>
      <c r="BE18" s="5">
        <f t="shared" ca="1" si="14"/>
        <v>3.9576425731073107E-3</v>
      </c>
      <c r="BG18" t="s">
        <v>83</v>
      </c>
      <c r="BH18" s="5">
        <f ca="1">+VLOOKUP($BG18,INDIRECT(Adrese!B$2),8,FALSE)</f>
        <v>7.09005611052098E-2</v>
      </c>
      <c r="BI18" s="5">
        <f ca="1">+VLOOKUP($BG18,INDIRECT(Adrese!C$2),8,FALSE)</f>
        <v>7.1744121999999994E-2</v>
      </c>
      <c r="BJ18" s="5">
        <f ca="1">+VLOOKUP($BG18,INDIRECT(Adrese!D$2),8,FALSE)</f>
        <v>7.1016549999999998E-2</v>
      </c>
      <c r="BK18" s="5">
        <f ca="1">+VLOOKUP($BG18,INDIRECT(Adrese!E$2),8,FALSE)</f>
        <v>7.2044466000000001E-2</v>
      </c>
      <c r="BL18" s="5">
        <f ca="1">+VLOOKUP($BG18,INDIRECT(Adrese!F$2),8,FALSE)</f>
        <v>7.1890377000000005E-2</v>
      </c>
      <c r="BM18" s="5" t="str">
        <f t="shared" ca="1" si="15"/>
        <v>0.07 (0.00)</v>
      </c>
      <c r="BN18" s="5">
        <f t="shared" ca="1" si="16"/>
        <v>7.151921522104196E-2</v>
      </c>
      <c r="BO18" s="5">
        <f t="shared" ca="1" si="17"/>
        <v>5.2431806798398722E-4</v>
      </c>
      <c r="BQ18" t="s">
        <v>83</v>
      </c>
      <c r="BR18" s="5">
        <f ca="1">+VLOOKUP($BG18,INDIRECT(Adrese!B$2),9,FALSE)</f>
        <v>7.801712581174812E-2</v>
      </c>
      <c r="BS18" s="5">
        <f ca="1">+VLOOKUP($BG18,INDIRECT(Adrese!C$2),9,FALSE)</f>
        <v>7.8889938000000007E-2</v>
      </c>
      <c r="BT18" s="5">
        <f ca="1">+VLOOKUP($BG18,INDIRECT(Adrese!D$2),9,FALSE)</f>
        <v>7.7956432000000006E-2</v>
      </c>
      <c r="BU18" s="5">
        <f ca="1">+VLOOKUP($BG18,INDIRECT(Adrese!E$2),9,FALSE)</f>
        <v>7.9432859999999994E-2</v>
      </c>
      <c r="BV18" s="5">
        <f ca="1">+VLOOKUP($BG18,INDIRECT(Adrese!F$2),9,FALSE)</f>
        <v>7.9573691000000002E-2</v>
      </c>
      <c r="BW18" s="5" t="str">
        <f t="shared" ca="1" si="18"/>
        <v>0.08 (0.00)</v>
      </c>
      <c r="BX18" s="5">
        <f t="shared" ca="1" si="19"/>
        <v>7.8774009362349628E-2</v>
      </c>
      <c r="BY18" s="5">
        <f t="shared" ca="1" si="20"/>
        <v>7.6294164028984908E-4</v>
      </c>
    </row>
    <row r="19" spans="1:77" x14ac:dyDescent="0.25">
      <c r="A19" t="s">
        <v>84</v>
      </c>
      <c r="B19" s="12">
        <f ca="1">+VLOOKUP($A19,INDIRECT(Adrese!B$2),2,FALSE)</f>
        <v>17</v>
      </c>
      <c r="C19" s="12">
        <f ca="1">+VLOOKUP($A19,INDIRECT(Adrese!C$2),2,FALSE)</f>
        <v>17</v>
      </c>
      <c r="D19" s="12">
        <f ca="1">+VLOOKUP($A19,INDIRECT(Adrese!D$2),2,FALSE)</f>
        <v>14</v>
      </c>
      <c r="E19" s="12">
        <f ca="1">+VLOOKUP($A19,INDIRECT(Adrese!E$2),2,FALSE)</f>
        <v>17</v>
      </c>
      <c r="F19" s="12">
        <f ca="1">+VLOOKUP($A19,INDIRECT(Adrese!F$2),2,FALSE)</f>
        <v>15</v>
      </c>
      <c r="G19" s="5">
        <f t="shared" ca="1" si="0"/>
        <v>16</v>
      </c>
      <c r="H19" s="5">
        <f t="shared" ca="1" si="1"/>
        <v>1.4142135623730951</v>
      </c>
      <c r="J19" t="s">
        <v>84</v>
      </c>
      <c r="K19">
        <f ca="1">+VLOOKUP($A19,INDIRECT(Adrese!B$2),3,FALSE)</f>
        <v>47</v>
      </c>
      <c r="L19">
        <f ca="1">+VLOOKUP($A19,INDIRECT(Adrese!C$2),3,FALSE)</f>
        <v>47</v>
      </c>
      <c r="M19">
        <f ca="1">+VLOOKUP($A19,INDIRECT(Adrese!D$2),3,FALSE)</f>
        <v>47</v>
      </c>
      <c r="N19">
        <f ca="1">+VLOOKUP($A19,INDIRECT(Adrese!E$2),3,FALSE)</f>
        <v>49</v>
      </c>
      <c r="O19">
        <f ca="1">+VLOOKUP($A19,INDIRECT(Adrese!F$2),3,FALSE)</f>
        <v>49</v>
      </c>
      <c r="P19" s="5">
        <f t="shared" ca="1" si="2"/>
        <v>47.8</v>
      </c>
      <c r="Q19" s="5">
        <f t="shared" ca="1" si="3"/>
        <v>1.0954451150103321</v>
      </c>
      <c r="T19" t="s">
        <v>84</v>
      </c>
      <c r="U19">
        <f ca="1">+VLOOKUP($T19,INDIRECT(Adrese!B$2),4,FALSE)</f>
        <v>125287</v>
      </c>
      <c r="V19">
        <f ca="1">+VLOOKUP($T19,INDIRECT(Adrese!C$2),4,FALSE)</f>
        <v>125403</v>
      </c>
      <c r="W19">
        <f ca="1">+VLOOKUP($T19,INDIRECT(Adrese!D$2),4,FALSE)</f>
        <v>125815</v>
      </c>
      <c r="X19">
        <f ca="1">+VLOOKUP($T19,INDIRECT(Adrese!E$2),4,FALSE)</f>
        <v>125596</v>
      </c>
      <c r="Y19">
        <f ca="1">+VLOOKUP($T19,INDIRECT(Adrese!F$2),4,FALSE)</f>
        <v>125907</v>
      </c>
      <c r="Z19">
        <f t="shared" ca="1" si="4"/>
        <v>628008</v>
      </c>
      <c r="AA19" s="5">
        <f t="shared" ca="1" si="5"/>
        <v>125601.60000000001</v>
      </c>
      <c r="AB19" s="5">
        <f t="shared" ca="1" si="6"/>
        <v>263.27514124960601</v>
      </c>
      <c r="AD19" t="s">
        <v>84</v>
      </c>
      <c r="AE19">
        <f ca="1">+VLOOKUP($A19,INDIRECT(Adrese!B$2),5,FALSE)</f>
        <v>34523</v>
      </c>
      <c r="AF19">
        <f ca="1">+VLOOKUP($A19,INDIRECT(Adrese!C$2),5,FALSE)</f>
        <v>34581</v>
      </c>
      <c r="AG19">
        <f ca="1">+VLOOKUP($A19,INDIRECT(Adrese!D$2),5,FALSE)</f>
        <v>34725</v>
      </c>
      <c r="AH19">
        <f ca="1">+VLOOKUP($A19,INDIRECT(Adrese!E$2),5,FALSE)</f>
        <v>34472</v>
      </c>
      <c r="AI19">
        <f ca="1">+VLOOKUP($A19,INDIRECT(Adrese!F$2),5,FALSE)</f>
        <v>34515</v>
      </c>
      <c r="AJ19" s="5">
        <f t="shared" ca="1" si="7"/>
        <v>34563.199999999997</v>
      </c>
      <c r="AK19" s="5">
        <f t="shared" ca="1" si="8"/>
        <v>98.428654364468485</v>
      </c>
      <c r="AM19" t="s">
        <v>84</v>
      </c>
      <c r="AN19" s="5">
        <f ca="1">+VLOOKUP($A19,INDIRECT(Adrese!B$2),6,FALSE)</f>
        <v>0.75935840707964597</v>
      </c>
      <c r="AO19" s="5">
        <f ca="1">+VLOOKUP($A19,INDIRECT(Adrese!C$2),6,FALSE)</f>
        <v>0.760641593</v>
      </c>
      <c r="AP19" s="5">
        <f ca="1">+VLOOKUP($A19,INDIRECT(Adrese!D$2),6,FALSE)</f>
        <v>0.76382743399999997</v>
      </c>
      <c r="AQ19" s="5">
        <f ca="1">+VLOOKUP($A19,INDIRECT(Adrese!E$2),6,FALSE)</f>
        <v>0.75823008800000002</v>
      </c>
      <c r="AR19" s="5">
        <f ca="1">+VLOOKUP($A19,INDIRECT(Adrese!F$2),6,FALSE)</f>
        <v>0.759181416</v>
      </c>
      <c r="AS19" s="5" t="str">
        <f t="shared" ca="1" si="9"/>
        <v>0.76 (0.00)</v>
      </c>
      <c r="AT19" s="5">
        <f t="shared" ca="1" si="10"/>
        <v>0.76024778761592926</v>
      </c>
      <c r="AU19" s="5">
        <f t="shared" ca="1" si="11"/>
        <v>2.1776253590329625E-3</v>
      </c>
      <c r="AW19" t="s">
        <v>84</v>
      </c>
      <c r="AX19" s="5">
        <f ca="1">+VLOOKUP($A19,INDIRECT(Adrese!B$2),7,FALSE)</f>
        <v>0.79203539823008851</v>
      </c>
      <c r="AY19" s="5">
        <f ca="1">+VLOOKUP($A19,INDIRECT(Adrese!C$2),7,FALSE)</f>
        <v>0.792035398</v>
      </c>
      <c r="AZ19" s="5">
        <f ca="1">+VLOOKUP($A19,INDIRECT(Adrese!D$2),7,FALSE)</f>
        <v>0.792035398</v>
      </c>
      <c r="BA19" s="5">
        <f ca="1">+VLOOKUP($A19,INDIRECT(Adrese!E$2),7,FALSE)</f>
        <v>0.78318584099999999</v>
      </c>
      <c r="BB19" s="5">
        <f ca="1">+VLOOKUP($A19,INDIRECT(Adrese!F$2),7,FALSE)</f>
        <v>0.78318584099999999</v>
      </c>
      <c r="BC19" s="5" t="str">
        <f t="shared" ca="1" si="12"/>
        <v>0.79 (0.00)</v>
      </c>
      <c r="BD19">
        <f t="shared" ca="1" si="13"/>
        <v>0.78849557524601765</v>
      </c>
      <c r="BE19" s="5">
        <f t="shared" ca="1" si="14"/>
        <v>4.8471020348359716E-3</v>
      </c>
      <c r="BG19" t="s">
        <v>84</v>
      </c>
      <c r="BH19" s="5">
        <f ca="1">+VLOOKUP($BG19,INDIRECT(Adrese!B$2),8,FALSE)</f>
        <v>7.7110866797674663E-2</v>
      </c>
      <c r="BI19" s="5">
        <f ca="1">+VLOOKUP($BG19,INDIRECT(Adrese!C$2),8,FALSE)</f>
        <v>7.6877778999999993E-2</v>
      </c>
      <c r="BJ19" s="5">
        <f ca="1">+VLOOKUP($BG19,INDIRECT(Adrese!D$2),8,FALSE)</f>
        <v>7.7290880000000006E-2</v>
      </c>
      <c r="BK19" s="5">
        <f ca="1">+VLOOKUP($BG19,INDIRECT(Adrese!E$2),8,FALSE)</f>
        <v>7.6908708000000006E-2</v>
      </c>
      <c r="BL19" s="5">
        <f ca="1">+VLOOKUP($BG19,INDIRECT(Adrese!F$2),8,FALSE)</f>
        <v>7.7222481999999995E-2</v>
      </c>
      <c r="BM19" s="5" t="str">
        <f t="shared" ca="1" si="15"/>
        <v>0.08 (0.00)</v>
      </c>
      <c r="BN19" s="5">
        <f t="shared" ca="1" si="16"/>
        <v>7.7082143159534933E-2</v>
      </c>
      <c r="BO19" s="5">
        <f t="shared" ca="1" si="17"/>
        <v>1.8434720662633425E-4</v>
      </c>
      <c r="BQ19" t="s">
        <v>84</v>
      </c>
      <c r="BR19" s="5">
        <f ca="1">+VLOOKUP($BG19,INDIRECT(Adrese!B$2),9,FALSE)</f>
        <v>8.5651487101798471E-2</v>
      </c>
      <c r="BS19" s="5">
        <f ca="1">+VLOOKUP($BG19,INDIRECT(Adrese!C$2),9,FALSE)</f>
        <v>8.4401309999999993E-2</v>
      </c>
      <c r="BT19" s="5">
        <f ca="1">+VLOOKUP($BG19,INDIRECT(Adrese!D$2),9,FALSE)</f>
        <v>8.5211781E-2</v>
      </c>
      <c r="BU19" s="5">
        <f ca="1">+VLOOKUP($BG19,INDIRECT(Adrese!E$2),9,FALSE)</f>
        <v>8.5073854000000004E-2</v>
      </c>
      <c r="BV19" s="5">
        <f ca="1">+VLOOKUP($BG19,INDIRECT(Adrese!F$2),9,FALSE)</f>
        <v>8.5871362000000007E-2</v>
      </c>
      <c r="BW19" s="5" t="str">
        <f t="shared" ca="1" si="18"/>
        <v>0.09 (0.00)</v>
      </c>
      <c r="BX19" s="5">
        <f t="shared" ca="1" si="19"/>
        <v>8.5241958820359703E-2</v>
      </c>
      <c r="BY19" s="5">
        <f t="shared" ca="1" si="20"/>
        <v>5.7002678587973288E-4</v>
      </c>
    </row>
    <row r="20" spans="1:77" x14ac:dyDescent="0.25">
      <c r="A20" t="s">
        <v>85</v>
      </c>
      <c r="B20" s="12">
        <f ca="1">+VLOOKUP($A20,INDIRECT(Adrese!B$2),2,FALSE)</f>
        <v>18</v>
      </c>
      <c r="C20" s="12">
        <f ca="1">+VLOOKUP($A20,INDIRECT(Adrese!C$2),2,FALSE)</f>
        <v>22</v>
      </c>
      <c r="D20" s="12">
        <f ca="1">+VLOOKUP($A20,INDIRECT(Adrese!D$2),2,FALSE)</f>
        <v>18</v>
      </c>
      <c r="E20" s="12">
        <f ca="1">+VLOOKUP($A20,INDIRECT(Adrese!E$2),2,FALSE)</f>
        <v>16</v>
      </c>
      <c r="F20" s="12">
        <f ca="1">+VLOOKUP($A20,INDIRECT(Adrese!F$2),2,FALSE)</f>
        <v>18</v>
      </c>
      <c r="G20" s="5">
        <f t="shared" ref="G20:G83" ca="1" si="21">AVERAGE(B20:F20)</f>
        <v>18.399999999999999</v>
      </c>
      <c r="H20" s="5">
        <f t="shared" ca="1" si="1"/>
        <v>2.190890230020667</v>
      </c>
      <c r="J20" t="s">
        <v>85</v>
      </c>
      <c r="K20">
        <f ca="1">+VLOOKUP($A20,INDIRECT(Adrese!B$2),3,FALSE)</f>
        <v>173</v>
      </c>
      <c r="L20">
        <f ca="1">+VLOOKUP($A20,INDIRECT(Adrese!C$2),3,FALSE)</f>
        <v>173</v>
      </c>
      <c r="M20">
        <f ca="1">+VLOOKUP($A20,INDIRECT(Adrese!D$2),3,FALSE)</f>
        <v>171</v>
      </c>
      <c r="N20">
        <f ca="1">+VLOOKUP($A20,INDIRECT(Adrese!E$2),3,FALSE)</f>
        <v>172</v>
      </c>
      <c r="O20">
        <f ca="1">+VLOOKUP($A20,INDIRECT(Adrese!F$2),3,FALSE)</f>
        <v>173</v>
      </c>
      <c r="P20" s="5">
        <f t="shared" ref="P20:P83" ca="1" si="22">AVERAGE(K20:O20)</f>
        <v>172.4</v>
      </c>
      <c r="Q20" s="5">
        <f t="shared" ca="1" si="3"/>
        <v>0.89442719099991586</v>
      </c>
      <c r="T20" t="s">
        <v>85</v>
      </c>
      <c r="U20">
        <f ca="1">+VLOOKUP($T20,INDIRECT(Adrese!B$2),4,FALSE)</f>
        <v>125107</v>
      </c>
      <c r="V20">
        <f ca="1">+VLOOKUP($T20,INDIRECT(Adrese!C$2),4,FALSE)</f>
        <v>124332</v>
      </c>
      <c r="W20">
        <f ca="1">+VLOOKUP($T20,INDIRECT(Adrese!D$2),4,FALSE)</f>
        <v>125296</v>
      </c>
      <c r="X20">
        <f ca="1">+VLOOKUP($T20,INDIRECT(Adrese!E$2),4,FALSE)</f>
        <v>125642</v>
      </c>
      <c r="Y20">
        <f ca="1">+VLOOKUP($T20,INDIRECT(Adrese!F$2),4,FALSE)</f>
        <v>124882</v>
      </c>
      <c r="Z20">
        <f t="shared" ca="1" si="4"/>
        <v>625259</v>
      </c>
      <c r="AA20" s="5">
        <f t="shared" ref="AA20:AA83" ca="1" si="23">AVERAGE(U20:Y20)</f>
        <v>125051.8</v>
      </c>
      <c r="AB20" s="5">
        <f t="shared" ca="1" si="6"/>
        <v>489.37735950899895</v>
      </c>
      <c r="AD20" t="s">
        <v>85</v>
      </c>
      <c r="AE20">
        <f ca="1">+VLOOKUP($A20,INDIRECT(Adrese!B$2),5,FALSE)</f>
        <v>31618</v>
      </c>
      <c r="AF20">
        <f ca="1">+VLOOKUP($A20,INDIRECT(Adrese!C$2),5,FALSE)</f>
        <v>31194</v>
      </c>
      <c r="AG20">
        <f ca="1">+VLOOKUP($A20,INDIRECT(Adrese!D$2),5,FALSE)</f>
        <v>31819</v>
      </c>
      <c r="AH20">
        <f ca="1">+VLOOKUP($A20,INDIRECT(Adrese!E$2),5,FALSE)</f>
        <v>31902</v>
      </c>
      <c r="AI20">
        <f ca="1">+VLOOKUP($A20,INDIRECT(Adrese!F$2),5,FALSE)</f>
        <v>31458</v>
      </c>
      <c r="AJ20" s="5">
        <f t="shared" ref="AJ20:AJ83" ca="1" si="24">AVERAGE(AE20:AI20)</f>
        <v>31598.2</v>
      </c>
      <c r="AK20" s="5">
        <f t="shared" ca="1" si="8"/>
        <v>284.81256994732519</v>
      </c>
      <c r="AM20" t="s">
        <v>85</v>
      </c>
      <c r="AN20" s="5">
        <f ca="1">+VLOOKUP($A20,INDIRECT(Adrese!B$2),6,FALSE)</f>
        <v>0.69513274336283182</v>
      </c>
      <c r="AO20" s="5">
        <f ca="1">+VLOOKUP($A20,INDIRECT(Adrese!C$2),6,FALSE)</f>
        <v>0.68575221200000003</v>
      </c>
      <c r="AP20" s="5">
        <f ca="1">+VLOOKUP($A20,INDIRECT(Adrese!D$2),6,FALSE)</f>
        <v>0.699579646</v>
      </c>
      <c r="AQ20" s="5">
        <f ca="1">+VLOOKUP($A20,INDIRECT(Adrese!E$2),6,FALSE)</f>
        <v>0.70141592900000005</v>
      </c>
      <c r="AR20" s="5">
        <f ca="1">+VLOOKUP($A20,INDIRECT(Adrese!F$2),6,FALSE)</f>
        <v>0.69159292000000006</v>
      </c>
      <c r="AS20" s="5" t="str">
        <f t="shared" ca="1" si="9"/>
        <v>0.69 (0.01)</v>
      </c>
      <c r="AT20" s="5">
        <f t="shared" ref="AT20:AT83" ca="1" si="25">AVERAGE(AN20:AR20)</f>
        <v>0.69469469007256646</v>
      </c>
      <c r="AU20" s="5">
        <f t="shared" ca="1" si="11"/>
        <v>6.3011631759368253E-3</v>
      </c>
      <c r="AW20" t="s">
        <v>85</v>
      </c>
      <c r="AX20" s="5">
        <f ca="1">+VLOOKUP($A20,INDIRECT(Adrese!B$2),7,FALSE)</f>
        <v>0.23451327433628319</v>
      </c>
      <c r="AY20" s="5">
        <f ca="1">+VLOOKUP($A20,INDIRECT(Adrese!C$2),7,FALSE)</f>
        <v>0.23451327399999999</v>
      </c>
      <c r="AZ20" s="5">
        <f ca="1">+VLOOKUP($A20,INDIRECT(Adrese!D$2),7,FALSE)</f>
        <v>0.243362832</v>
      </c>
      <c r="BA20" s="5">
        <f ca="1">+VLOOKUP($A20,INDIRECT(Adrese!E$2),7,FALSE)</f>
        <v>0.23893805300000001</v>
      </c>
      <c r="BB20" s="5">
        <f ca="1">+VLOOKUP($A20,INDIRECT(Adrese!F$2),7,FALSE)</f>
        <v>0.23451327399999999</v>
      </c>
      <c r="BC20" s="5" t="str">
        <f t="shared" ca="1" si="12"/>
        <v>0.24 (0.00)</v>
      </c>
      <c r="BD20">
        <f t="shared" ref="BD20:BD83" ca="1" si="26">AVERAGE(AX20:BB20)</f>
        <v>0.23716814146725662</v>
      </c>
      <c r="BE20" s="5">
        <f t="shared" ca="1" si="14"/>
        <v>3.957642595369017E-3</v>
      </c>
      <c r="BG20" t="s">
        <v>85</v>
      </c>
      <c r="BH20" s="5">
        <f ca="1">+VLOOKUP($BG20,INDIRECT(Adrese!B$2),8,FALSE)</f>
        <v>7.1785862518058033E-2</v>
      </c>
      <c r="BI20" s="5">
        <f ca="1">+VLOOKUP($BG20,INDIRECT(Adrese!C$2),8,FALSE)</f>
        <v>7.1020257000000003E-2</v>
      </c>
      <c r="BJ20" s="5">
        <f ca="1">+VLOOKUP($BG20,INDIRECT(Adrese!D$2),8,FALSE)</f>
        <v>7.2155047999999999E-2</v>
      </c>
      <c r="BK20" s="5">
        <f ca="1">+VLOOKUP($BG20,INDIRECT(Adrese!E$2),8,FALSE)</f>
        <v>7.2143660999999998E-2</v>
      </c>
      <c r="BL20" s="5">
        <f ca="1">+VLOOKUP($BG20,INDIRECT(Adrese!F$2),8,FALSE)</f>
        <v>7.1492533999999996E-2</v>
      </c>
      <c r="BM20" s="5" t="str">
        <f t="shared" ca="1" si="15"/>
        <v>0.07 (0.00)</v>
      </c>
      <c r="BN20" s="5">
        <f t="shared" ref="BN20:BN83" ca="1" si="27">AVERAGE(BH20:BL20)</f>
        <v>7.1719472503611617E-2</v>
      </c>
      <c r="BO20" s="5">
        <f t="shared" ca="1" si="17"/>
        <v>4.781403905896103E-4</v>
      </c>
      <c r="BQ20" t="s">
        <v>85</v>
      </c>
      <c r="BR20" s="5">
        <f ca="1">+VLOOKUP($BG20,INDIRECT(Adrese!B$2),9,FALSE)</f>
        <v>7.9689018262521255E-2</v>
      </c>
      <c r="BS20" s="5">
        <f ca="1">+VLOOKUP($BG20,INDIRECT(Adrese!C$2),9,FALSE)</f>
        <v>7.8961719999999999E-2</v>
      </c>
      <c r="BT20" s="5">
        <f ca="1">+VLOOKUP($BG20,INDIRECT(Adrese!D$2),9,FALSE)</f>
        <v>7.9829181999999999E-2</v>
      </c>
      <c r="BU20" s="5">
        <f ca="1">+VLOOKUP($BG20,INDIRECT(Adrese!E$2),9,FALSE)</f>
        <v>7.9814096000000001E-2</v>
      </c>
      <c r="BV20" s="5">
        <f ca="1">+VLOOKUP($BG20,INDIRECT(Adrese!F$2),9,FALSE)</f>
        <v>7.9457260000000002E-2</v>
      </c>
      <c r="BW20" s="5" t="str">
        <f t="shared" ca="1" si="18"/>
        <v>0.08 (0.00)</v>
      </c>
      <c r="BX20" s="5">
        <f t="shared" ref="BX20:BX83" ca="1" si="28">AVERAGE(BR20:BV20)</f>
        <v>7.9550255252504254E-2</v>
      </c>
      <c r="BY20" s="5">
        <f t="shared" ca="1" si="20"/>
        <v>3.6114024418680633E-4</v>
      </c>
    </row>
    <row r="21" spans="1:77" x14ac:dyDescent="0.25">
      <c r="A21" t="s">
        <v>86</v>
      </c>
      <c r="B21" s="12">
        <f ca="1">+VLOOKUP($A21,INDIRECT(Adrese!B$2),2,FALSE)</f>
        <v>19</v>
      </c>
      <c r="C21" s="12">
        <f ca="1">+VLOOKUP($A21,INDIRECT(Adrese!C$2),2,FALSE)</f>
        <v>21</v>
      </c>
      <c r="D21" s="12">
        <f ca="1">+VLOOKUP($A21,INDIRECT(Adrese!D$2),2,FALSE)</f>
        <v>20</v>
      </c>
      <c r="E21" s="12">
        <f ca="1">+VLOOKUP($A21,INDIRECT(Adrese!E$2),2,FALSE)</f>
        <v>20</v>
      </c>
      <c r="F21" s="12">
        <f ca="1">+VLOOKUP($A21,INDIRECT(Adrese!F$2),2,FALSE)</f>
        <v>20</v>
      </c>
      <c r="G21" s="5">
        <f t="shared" ca="1" si="21"/>
        <v>20</v>
      </c>
      <c r="H21" s="5">
        <f t="shared" ca="1" si="1"/>
        <v>0.70710678118654757</v>
      </c>
      <c r="J21" t="s">
        <v>86</v>
      </c>
      <c r="K21">
        <f ca="1">+VLOOKUP($A21,INDIRECT(Adrese!B$2),3,FALSE)</f>
        <v>18</v>
      </c>
      <c r="L21">
        <f ca="1">+VLOOKUP($A21,INDIRECT(Adrese!C$2),3,FALSE)</f>
        <v>19</v>
      </c>
      <c r="M21">
        <f ca="1">+VLOOKUP($A21,INDIRECT(Adrese!D$2),3,FALSE)</f>
        <v>19</v>
      </c>
      <c r="N21">
        <f ca="1">+VLOOKUP($A21,INDIRECT(Adrese!E$2),3,FALSE)</f>
        <v>19</v>
      </c>
      <c r="O21">
        <f ca="1">+VLOOKUP($A21,INDIRECT(Adrese!F$2),3,FALSE)</f>
        <v>19</v>
      </c>
      <c r="P21" s="5">
        <f t="shared" ca="1" si="22"/>
        <v>18.8</v>
      </c>
      <c r="Q21" s="5">
        <f t="shared" ca="1" si="3"/>
        <v>0.44721359549995793</v>
      </c>
      <c r="T21" t="s">
        <v>86</v>
      </c>
      <c r="U21">
        <f ca="1">+VLOOKUP($T21,INDIRECT(Adrese!B$2),4,FALSE)</f>
        <v>124825</v>
      </c>
      <c r="V21">
        <f ca="1">+VLOOKUP($T21,INDIRECT(Adrese!C$2),4,FALSE)</f>
        <v>124379</v>
      </c>
      <c r="W21">
        <f ca="1">+VLOOKUP($T21,INDIRECT(Adrese!D$2),4,FALSE)</f>
        <v>124426</v>
      </c>
      <c r="X21">
        <f ca="1">+VLOOKUP($T21,INDIRECT(Adrese!E$2),4,FALSE)</f>
        <v>124810</v>
      </c>
      <c r="Y21">
        <f ca="1">+VLOOKUP($T21,INDIRECT(Adrese!F$2),4,FALSE)</f>
        <v>124532</v>
      </c>
      <c r="Z21">
        <f t="shared" ca="1" si="4"/>
        <v>622972</v>
      </c>
      <c r="AA21" s="5">
        <f t="shared" ca="1" si="23"/>
        <v>124594.4</v>
      </c>
      <c r="AB21" s="5">
        <f t="shared" ca="1" si="6"/>
        <v>211.13337017155769</v>
      </c>
      <c r="AD21" t="s">
        <v>86</v>
      </c>
      <c r="AE21">
        <f ca="1">+VLOOKUP($A21,INDIRECT(Adrese!B$2),5,FALSE)</f>
        <v>37469</v>
      </c>
      <c r="AF21">
        <f ca="1">+VLOOKUP($A21,INDIRECT(Adrese!C$2),5,FALSE)</f>
        <v>37201</v>
      </c>
      <c r="AG21">
        <f ca="1">+VLOOKUP($A21,INDIRECT(Adrese!D$2),5,FALSE)</f>
        <v>37211</v>
      </c>
      <c r="AH21">
        <f ca="1">+VLOOKUP($A21,INDIRECT(Adrese!E$2),5,FALSE)</f>
        <v>37466</v>
      </c>
      <c r="AI21">
        <f ca="1">+VLOOKUP($A21,INDIRECT(Adrese!F$2),5,FALSE)</f>
        <v>37365</v>
      </c>
      <c r="AJ21" s="5">
        <f t="shared" ca="1" si="24"/>
        <v>37342.400000000001</v>
      </c>
      <c r="AK21" s="5">
        <f t="shared" ca="1" si="8"/>
        <v>131.41080625275836</v>
      </c>
      <c r="AM21" t="s">
        <v>86</v>
      </c>
      <c r="AN21" s="5">
        <f ca="1">+VLOOKUP($A21,INDIRECT(Adrese!B$2),6,FALSE)</f>
        <v>0.82453539823008848</v>
      </c>
      <c r="AO21" s="5">
        <f ca="1">+VLOOKUP($A21,INDIRECT(Adrese!C$2),6,FALSE)</f>
        <v>0.81860619499999998</v>
      </c>
      <c r="AP21" s="5">
        <f ca="1">+VLOOKUP($A21,INDIRECT(Adrese!D$2),6,FALSE)</f>
        <v>0.81882743400000002</v>
      </c>
      <c r="AQ21" s="5">
        <f ca="1">+VLOOKUP($A21,INDIRECT(Adrese!E$2),6,FALSE)</f>
        <v>0.82446902700000002</v>
      </c>
      <c r="AR21" s="5">
        <f ca="1">+VLOOKUP($A21,INDIRECT(Adrese!F$2),6,FALSE)</f>
        <v>0.82223451299999994</v>
      </c>
      <c r="AS21" s="5" t="str">
        <f t="shared" ca="1" si="9"/>
        <v>0.82 (0.00)</v>
      </c>
      <c r="AT21" s="5">
        <f t="shared" ca="1" si="25"/>
        <v>0.82173451344601778</v>
      </c>
      <c r="AU21" s="5">
        <f t="shared" ca="1" si="11"/>
        <v>2.9073186405039891E-3</v>
      </c>
      <c r="AW21" t="s">
        <v>86</v>
      </c>
      <c r="AX21" s="5">
        <f ca="1">+VLOOKUP($A21,INDIRECT(Adrese!B$2),7,FALSE)</f>
        <v>0.92035398230088494</v>
      </c>
      <c r="AY21" s="5">
        <f ca="1">+VLOOKUP($A21,INDIRECT(Adrese!C$2),7,FALSE)</f>
        <v>0.915929204</v>
      </c>
      <c r="AZ21" s="5">
        <f ca="1">+VLOOKUP($A21,INDIRECT(Adrese!D$2),7,FALSE)</f>
        <v>0.915929204</v>
      </c>
      <c r="BA21" s="5">
        <f ca="1">+VLOOKUP($A21,INDIRECT(Adrese!E$2),7,FALSE)</f>
        <v>0.915929204</v>
      </c>
      <c r="BB21" s="5">
        <f ca="1">+VLOOKUP($A21,INDIRECT(Adrese!F$2),7,FALSE)</f>
        <v>0.915929204</v>
      </c>
      <c r="BC21" s="5" t="str">
        <f t="shared" ca="1" si="12"/>
        <v>0.92 (0.00)</v>
      </c>
      <c r="BD21">
        <f t="shared" ca="1" si="26"/>
        <v>0.9168141596601771</v>
      </c>
      <c r="BE21" s="5">
        <f t="shared" ca="1" si="14"/>
        <v>1.9788210132289518E-3</v>
      </c>
      <c r="BG21" t="s">
        <v>86</v>
      </c>
      <c r="BH21" s="5">
        <f ca="1">+VLOOKUP($BG21,INDIRECT(Adrese!B$2),8,FALSE)</f>
        <v>8.1781156794331622E-2</v>
      </c>
      <c r="BI21" s="5">
        <f ca="1">+VLOOKUP($BG21,INDIRECT(Adrese!C$2),8,FALSE)</f>
        <v>8.1097326999999997E-2</v>
      </c>
      <c r="BJ21" s="5">
        <f ca="1">+VLOOKUP($BG21,INDIRECT(Adrese!D$2),8,FALSE)</f>
        <v>8.1372810000000004E-2</v>
      </c>
      <c r="BK21" s="5">
        <f ca="1">+VLOOKUP($BG21,INDIRECT(Adrese!E$2),8,FALSE)</f>
        <v>8.1674087000000006E-2</v>
      </c>
      <c r="BL21" s="5">
        <f ca="1">+VLOOKUP($BG21,INDIRECT(Adrese!F$2),8,FALSE)</f>
        <v>8.1746258000000002E-2</v>
      </c>
      <c r="BM21" s="5" t="str">
        <f t="shared" ca="1" si="15"/>
        <v>0.08 (0.00)</v>
      </c>
      <c r="BN21" s="5">
        <f t="shared" ca="1" si="27"/>
        <v>8.1534327758866335E-2</v>
      </c>
      <c r="BO21" s="5">
        <f t="shared" ca="1" si="17"/>
        <v>2.9258729253716558E-4</v>
      </c>
      <c r="BQ21" t="s">
        <v>86</v>
      </c>
      <c r="BR21" s="5">
        <f ca="1">+VLOOKUP($BG21,INDIRECT(Adrese!B$2),9,FALSE)</f>
        <v>8.840213863540243E-2</v>
      </c>
      <c r="BS21" s="5">
        <f ca="1">+VLOOKUP($BG21,INDIRECT(Adrese!C$2),9,FALSE)</f>
        <v>8.7039546999999995E-2</v>
      </c>
      <c r="BT21" s="5">
        <f ca="1">+VLOOKUP($BG21,INDIRECT(Adrese!D$2),9,FALSE)</f>
        <v>8.7899921000000006E-2</v>
      </c>
      <c r="BU21" s="5">
        <f ca="1">+VLOOKUP($BG21,INDIRECT(Adrese!E$2),9,FALSE)</f>
        <v>8.8038860999999996E-2</v>
      </c>
      <c r="BV21" s="5">
        <f ca="1">+VLOOKUP($BG21,INDIRECT(Adrese!F$2),9,FALSE)</f>
        <v>8.8515152999999999E-2</v>
      </c>
      <c r="BW21" s="5" t="str">
        <f t="shared" ca="1" si="18"/>
        <v>0.09 (0.00)</v>
      </c>
      <c r="BX21" s="5">
        <f t="shared" ca="1" si="28"/>
        <v>8.7979124127080491E-2</v>
      </c>
      <c r="BY21" s="5">
        <f t="shared" ca="1" si="20"/>
        <v>5.8286255539204471E-4</v>
      </c>
    </row>
    <row r="22" spans="1:77" x14ac:dyDescent="0.25">
      <c r="A22" t="s">
        <v>87</v>
      </c>
      <c r="B22" s="12">
        <f ca="1">+VLOOKUP($A22,INDIRECT(Adrese!B$2),2,FALSE)</f>
        <v>20</v>
      </c>
      <c r="C22" s="12">
        <f ca="1">+VLOOKUP($A22,INDIRECT(Adrese!C$2),2,FALSE)</f>
        <v>19</v>
      </c>
      <c r="D22" s="12">
        <f ca="1">+VLOOKUP($A22,INDIRECT(Adrese!D$2),2,FALSE)</f>
        <v>22</v>
      </c>
      <c r="E22" s="12">
        <f ca="1">+VLOOKUP($A22,INDIRECT(Adrese!E$2),2,FALSE)</f>
        <v>22</v>
      </c>
      <c r="F22" s="12">
        <f ca="1">+VLOOKUP($A22,INDIRECT(Adrese!F$2),2,FALSE)</f>
        <v>22</v>
      </c>
      <c r="G22" s="5">
        <f t="shared" ca="1" si="21"/>
        <v>21</v>
      </c>
      <c r="H22" s="5">
        <f t="shared" ca="1" si="1"/>
        <v>1.4142135623730951</v>
      </c>
      <c r="J22" t="s">
        <v>87</v>
      </c>
      <c r="K22">
        <f ca="1">+VLOOKUP($A22,INDIRECT(Adrese!B$2),3,FALSE)</f>
        <v>40</v>
      </c>
      <c r="L22">
        <f ca="1">+VLOOKUP($A22,INDIRECT(Adrese!C$2),3,FALSE)</f>
        <v>41</v>
      </c>
      <c r="M22">
        <f ca="1">+VLOOKUP($A22,INDIRECT(Adrese!D$2),3,FALSE)</f>
        <v>41</v>
      </c>
      <c r="N22">
        <f ca="1">+VLOOKUP($A22,INDIRECT(Adrese!E$2),3,FALSE)</f>
        <v>38</v>
      </c>
      <c r="O22">
        <f ca="1">+VLOOKUP($A22,INDIRECT(Adrese!F$2),3,FALSE)</f>
        <v>39</v>
      </c>
      <c r="P22" s="5">
        <f t="shared" ca="1" si="22"/>
        <v>39.799999999999997</v>
      </c>
      <c r="Q22" s="5">
        <f t="shared" ca="1" si="3"/>
        <v>1.3038404810405297</v>
      </c>
      <c r="T22" t="s">
        <v>87</v>
      </c>
      <c r="U22">
        <f ca="1">+VLOOKUP($T22,INDIRECT(Adrese!B$2),4,FALSE)</f>
        <v>124688</v>
      </c>
      <c r="V22">
        <f ca="1">+VLOOKUP($T22,INDIRECT(Adrese!C$2),4,FALSE)</f>
        <v>124426</v>
      </c>
      <c r="W22">
        <f ca="1">+VLOOKUP($T22,INDIRECT(Adrese!D$2),4,FALSE)</f>
        <v>123985</v>
      </c>
      <c r="X22">
        <f ca="1">+VLOOKUP($T22,INDIRECT(Adrese!E$2),4,FALSE)</f>
        <v>123883</v>
      </c>
      <c r="Y22">
        <f ca="1">+VLOOKUP($T22,INDIRECT(Adrese!F$2),4,FALSE)</f>
        <v>123995</v>
      </c>
      <c r="Z22">
        <f t="shared" ca="1" si="4"/>
        <v>620977</v>
      </c>
      <c r="AA22" s="5">
        <f t="shared" ca="1" si="23"/>
        <v>124195.4</v>
      </c>
      <c r="AB22" s="5">
        <f t="shared" ca="1" si="6"/>
        <v>345.63463368129067</v>
      </c>
      <c r="AD22" t="s">
        <v>87</v>
      </c>
      <c r="AE22">
        <f ca="1">+VLOOKUP($A22,INDIRECT(Adrese!B$2),5,FALSE)</f>
        <v>34309</v>
      </c>
      <c r="AF22">
        <f ca="1">+VLOOKUP($A22,INDIRECT(Adrese!C$2),5,FALSE)</f>
        <v>33949</v>
      </c>
      <c r="AG22">
        <f ca="1">+VLOOKUP($A22,INDIRECT(Adrese!D$2),5,FALSE)</f>
        <v>33996</v>
      </c>
      <c r="AH22">
        <f ca="1">+VLOOKUP($A22,INDIRECT(Adrese!E$2),5,FALSE)</f>
        <v>33991</v>
      </c>
      <c r="AI22">
        <f ca="1">+VLOOKUP($A22,INDIRECT(Adrese!F$2),5,FALSE)</f>
        <v>33925</v>
      </c>
      <c r="AJ22" s="5">
        <f t="shared" ca="1" si="24"/>
        <v>34034</v>
      </c>
      <c r="AK22" s="5">
        <f t="shared" ca="1" si="8"/>
        <v>156.54392354863219</v>
      </c>
      <c r="AM22" t="s">
        <v>87</v>
      </c>
      <c r="AN22" s="5">
        <f ca="1">+VLOOKUP($A22,INDIRECT(Adrese!B$2),6,FALSE)</f>
        <v>0.7546238938053097</v>
      </c>
      <c r="AO22" s="5">
        <f ca="1">+VLOOKUP($A22,INDIRECT(Adrese!C$2),6,FALSE)</f>
        <v>0.74665929200000003</v>
      </c>
      <c r="AP22" s="5">
        <f ca="1">+VLOOKUP($A22,INDIRECT(Adrese!D$2),6,FALSE)</f>
        <v>0.74769911499999997</v>
      </c>
      <c r="AQ22" s="5">
        <f ca="1">+VLOOKUP($A22,INDIRECT(Adrese!E$2),6,FALSE)</f>
        <v>0.74758849599999999</v>
      </c>
      <c r="AR22" s="5">
        <f ca="1">+VLOOKUP($A22,INDIRECT(Adrese!F$2),6,FALSE)</f>
        <v>0.74612831899999998</v>
      </c>
      <c r="AS22" s="5" t="str">
        <f t="shared" ca="1" si="9"/>
        <v>0.75 (0.00)</v>
      </c>
      <c r="AT22" s="5">
        <f t="shared" ca="1" si="25"/>
        <v>0.74853982316106193</v>
      </c>
      <c r="AU22" s="5">
        <f t="shared" ca="1" si="11"/>
        <v>3.463361046375027E-3</v>
      </c>
      <c r="AW22" t="s">
        <v>87</v>
      </c>
      <c r="AX22" s="5">
        <f ca="1">+VLOOKUP($A22,INDIRECT(Adrese!B$2),7,FALSE)</f>
        <v>0.82300884955752207</v>
      </c>
      <c r="AY22" s="5">
        <f ca="1">+VLOOKUP($A22,INDIRECT(Adrese!C$2),7,FALSE)</f>
        <v>0.81858407099999997</v>
      </c>
      <c r="AZ22" s="5">
        <f ca="1">+VLOOKUP($A22,INDIRECT(Adrese!D$2),7,FALSE)</f>
        <v>0.81858407099999997</v>
      </c>
      <c r="BA22" s="5">
        <f ca="1">+VLOOKUP($A22,INDIRECT(Adrese!E$2),7,FALSE)</f>
        <v>0.83185840700000002</v>
      </c>
      <c r="BB22" s="5">
        <f ca="1">+VLOOKUP($A22,INDIRECT(Adrese!F$2),7,FALSE)</f>
        <v>0.82743362799999998</v>
      </c>
      <c r="BC22" s="5" t="str">
        <f t="shared" ca="1" si="12"/>
        <v>0.82 (0.01)</v>
      </c>
      <c r="BD22">
        <f t="shared" ca="1" si="26"/>
        <v>0.82389380531150436</v>
      </c>
      <c r="BE22" s="5">
        <f t="shared" ca="1" si="14"/>
        <v>5.7692054982990655E-3</v>
      </c>
      <c r="BG22" t="s">
        <v>87</v>
      </c>
      <c r="BH22" s="5">
        <f ca="1">+VLOOKUP($BG22,INDIRECT(Adrese!B$2),8,FALSE)</f>
        <v>7.7425917264913699E-2</v>
      </c>
      <c r="BI22" s="5">
        <f ca="1">+VLOOKUP($BG22,INDIRECT(Adrese!C$2),8,FALSE)</f>
        <v>7.7053915000000001E-2</v>
      </c>
      <c r="BJ22" s="5">
        <f ca="1">+VLOOKUP($BG22,INDIRECT(Adrese!D$2),8,FALSE)</f>
        <v>7.7101520000000007E-2</v>
      </c>
      <c r="BK22" s="5">
        <f ca="1">+VLOOKUP($BG22,INDIRECT(Adrese!E$2),8,FALSE)</f>
        <v>7.7043018000000005E-2</v>
      </c>
      <c r="BL22" s="5">
        <f ca="1">+VLOOKUP($BG22,INDIRECT(Adrese!F$2),8,FALSE)</f>
        <v>7.7094417999999998E-2</v>
      </c>
      <c r="BM22" s="5" t="str">
        <f t="shared" ca="1" si="15"/>
        <v>0.08 (0.00)</v>
      </c>
      <c r="BN22" s="5">
        <f t="shared" ca="1" si="27"/>
        <v>7.7143757652982731E-2</v>
      </c>
      <c r="BO22" s="5">
        <f t="shared" ca="1" si="17"/>
        <v>1.5972840015870333E-4</v>
      </c>
      <c r="BQ22" t="s">
        <v>87</v>
      </c>
      <c r="BR22" s="5">
        <f ca="1">+VLOOKUP($BG22,INDIRECT(Adrese!B$2),9,FALSE)</f>
        <v>8.8003407784059934E-2</v>
      </c>
      <c r="BS22" s="5">
        <f ca="1">+VLOOKUP($BG22,INDIRECT(Adrese!C$2),9,FALSE)</f>
        <v>8.8571391999999999E-2</v>
      </c>
      <c r="BT22" s="5">
        <f ca="1">+VLOOKUP($BG22,INDIRECT(Adrese!D$2),9,FALSE)</f>
        <v>8.8252594000000004E-2</v>
      </c>
      <c r="BU22" s="5">
        <f ca="1">+VLOOKUP($BG22,INDIRECT(Adrese!E$2),9,FALSE)</f>
        <v>8.8350517000000003E-2</v>
      </c>
      <c r="BV22" s="5">
        <f ca="1">+VLOOKUP($BG22,INDIRECT(Adrese!F$2),9,FALSE)</f>
        <v>8.8777096999999999E-2</v>
      </c>
      <c r="BW22" s="5" t="str">
        <f t="shared" ca="1" si="18"/>
        <v>0.09 (0.00)</v>
      </c>
      <c r="BX22" s="5">
        <f t="shared" ca="1" si="28"/>
        <v>8.8391001556811982E-2</v>
      </c>
      <c r="BY22" s="5">
        <f t="shared" ca="1" si="20"/>
        <v>2.969153865342828E-4</v>
      </c>
    </row>
    <row r="23" spans="1:77" x14ac:dyDescent="0.25">
      <c r="A23" t="s">
        <v>88</v>
      </c>
      <c r="B23" s="12">
        <f ca="1">+VLOOKUP($A23,INDIRECT(Adrese!B$2),2,FALSE)</f>
        <v>21</v>
      </c>
      <c r="C23" s="12">
        <f ca="1">+VLOOKUP($A23,INDIRECT(Adrese!C$2),2,FALSE)</f>
        <v>24</v>
      </c>
      <c r="D23" s="12">
        <f ca="1">+VLOOKUP($A23,INDIRECT(Adrese!D$2),2,FALSE)</f>
        <v>28</v>
      </c>
      <c r="E23" s="12">
        <f ca="1">+VLOOKUP($A23,INDIRECT(Adrese!E$2),2,FALSE)</f>
        <v>29</v>
      </c>
      <c r="F23" s="12">
        <f ca="1">+VLOOKUP($A23,INDIRECT(Adrese!F$2),2,FALSE)</f>
        <v>31</v>
      </c>
      <c r="G23" s="5">
        <f t="shared" ca="1" si="21"/>
        <v>26.6</v>
      </c>
      <c r="H23" s="5">
        <f t="shared" ca="1" si="1"/>
        <v>4.0373258476372644</v>
      </c>
      <c r="J23" t="s">
        <v>88</v>
      </c>
      <c r="K23">
        <f ca="1">+VLOOKUP($A23,INDIRECT(Adrese!B$2),3,FALSE)</f>
        <v>48</v>
      </c>
      <c r="L23">
        <f ca="1">+VLOOKUP($A23,INDIRECT(Adrese!C$2),3,FALSE)</f>
        <v>47</v>
      </c>
      <c r="M23">
        <f ca="1">+VLOOKUP($A23,INDIRECT(Adrese!D$2),3,FALSE)</f>
        <v>47</v>
      </c>
      <c r="N23">
        <f ca="1">+VLOOKUP($A23,INDIRECT(Adrese!E$2),3,FALSE)</f>
        <v>45</v>
      </c>
      <c r="O23">
        <f ca="1">+VLOOKUP($A23,INDIRECT(Adrese!F$2),3,FALSE)</f>
        <v>47</v>
      </c>
      <c r="P23" s="5">
        <f t="shared" ca="1" si="22"/>
        <v>46.8</v>
      </c>
      <c r="Q23" s="5">
        <f t="shared" ca="1" si="3"/>
        <v>1.0954451150103321</v>
      </c>
      <c r="T23" t="s">
        <v>88</v>
      </c>
      <c r="U23">
        <f ca="1">+VLOOKUP($T23,INDIRECT(Adrese!B$2),4,FALSE)</f>
        <v>124166</v>
      </c>
      <c r="V23">
        <f ca="1">+VLOOKUP($T23,INDIRECT(Adrese!C$2),4,FALSE)</f>
        <v>123845</v>
      </c>
      <c r="W23">
        <f ca="1">+VLOOKUP($T23,INDIRECT(Adrese!D$2),4,FALSE)</f>
        <v>123509</v>
      </c>
      <c r="X23">
        <f ca="1">+VLOOKUP($T23,INDIRECT(Adrese!E$2),4,FALSE)</f>
        <v>123129</v>
      </c>
      <c r="Y23">
        <f ca="1">+VLOOKUP($T23,INDIRECT(Adrese!F$2),4,FALSE)</f>
        <v>123065</v>
      </c>
      <c r="Z23">
        <f t="shared" ca="1" si="4"/>
        <v>617714</v>
      </c>
      <c r="AA23" s="5">
        <f t="shared" ca="1" si="23"/>
        <v>123542.8</v>
      </c>
      <c r="AB23" s="5">
        <f t="shared" ca="1" si="6"/>
        <v>469.13985121709709</v>
      </c>
      <c r="AD23" t="s">
        <v>88</v>
      </c>
      <c r="AE23">
        <f ca="1">+VLOOKUP($A23,INDIRECT(Adrese!B$2),5,FALSE)</f>
        <v>30877</v>
      </c>
      <c r="AF23">
        <f ca="1">+VLOOKUP($A23,INDIRECT(Adrese!C$2),5,FALSE)</f>
        <v>31193</v>
      </c>
      <c r="AG23">
        <f ca="1">+VLOOKUP($A23,INDIRECT(Adrese!D$2),5,FALSE)</f>
        <v>31019</v>
      </c>
      <c r="AH23">
        <f ca="1">+VLOOKUP($A23,INDIRECT(Adrese!E$2),5,FALSE)</f>
        <v>30873</v>
      </c>
      <c r="AI23">
        <f ca="1">+VLOOKUP($A23,INDIRECT(Adrese!F$2),5,FALSE)</f>
        <v>31068</v>
      </c>
      <c r="AJ23" s="5">
        <f t="shared" ca="1" si="24"/>
        <v>31006</v>
      </c>
      <c r="AK23" s="5">
        <f t="shared" ca="1" si="8"/>
        <v>135.38094400616359</v>
      </c>
      <c r="AM23" t="s">
        <v>88</v>
      </c>
      <c r="AN23" s="5">
        <f ca="1">+VLOOKUP($A23,INDIRECT(Adrese!B$2),6,FALSE)</f>
        <v>0.67869469026548668</v>
      </c>
      <c r="AO23" s="5">
        <f ca="1">+VLOOKUP($A23,INDIRECT(Adrese!C$2),6,FALSE)</f>
        <v>0.68568584099999996</v>
      </c>
      <c r="AP23" s="5">
        <f ca="1">+VLOOKUP($A23,INDIRECT(Adrese!D$2),6,FALSE)</f>
        <v>0.68183628299999999</v>
      </c>
      <c r="AQ23" s="5">
        <f ca="1">+VLOOKUP($A23,INDIRECT(Adrese!E$2),6,FALSE)</f>
        <v>0.67860619499999997</v>
      </c>
      <c r="AR23" s="5">
        <f ca="1">+VLOOKUP($A23,INDIRECT(Adrese!F$2),6,FALSE)</f>
        <v>0.68292035399999995</v>
      </c>
      <c r="AS23" s="5" t="str">
        <f t="shared" ca="1" si="9"/>
        <v>0.68 (0.00)</v>
      </c>
      <c r="AT23" s="5">
        <f t="shared" ca="1" si="25"/>
        <v>0.68154867265309726</v>
      </c>
      <c r="AU23" s="5">
        <f t="shared" ca="1" si="11"/>
        <v>2.9951536507944079E-3</v>
      </c>
      <c r="AW23" t="s">
        <v>88</v>
      </c>
      <c r="AX23" s="5">
        <f ca="1">+VLOOKUP($A23,INDIRECT(Adrese!B$2),7,FALSE)</f>
        <v>0.78761061946902655</v>
      </c>
      <c r="AY23" s="5">
        <f ca="1">+VLOOKUP($A23,INDIRECT(Adrese!C$2),7,FALSE)</f>
        <v>0.792035398</v>
      </c>
      <c r="AZ23" s="5">
        <f ca="1">+VLOOKUP($A23,INDIRECT(Adrese!D$2),7,FALSE)</f>
        <v>0.792035398</v>
      </c>
      <c r="BA23" s="5">
        <f ca="1">+VLOOKUP($A23,INDIRECT(Adrese!E$2),7,FALSE)</f>
        <v>0.80088495599999998</v>
      </c>
      <c r="BB23" s="5">
        <f ca="1">+VLOOKUP($A23,INDIRECT(Adrese!F$2),7,FALSE)</f>
        <v>0.792035398</v>
      </c>
      <c r="BC23" s="5" t="str">
        <f t="shared" ca="1" si="12"/>
        <v>0.79 (0.00)</v>
      </c>
      <c r="BD23">
        <f t="shared" ca="1" si="26"/>
        <v>0.79292035389380522</v>
      </c>
      <c r="BE23" s="5">
        <f t="shared" ca="1" si="14"/>
        <v>4.8471024121020867E-3</v>
      </c>
      <c r="BG23" t="s">
        <v>88</v>
      </c>
      <c r="BH23" s="5">
        <f ca="1">+VLOOKUP($BG23,INDIRECT(Adrese!B$2),8,FALSE)</f>
        <v>6.7615028255490123E-2</v>
      </c>
      <c r="BI23" s="5">
        <f ca="1">+VLOOKUP($BG23,INDIRECT(Adrese!C$2),8,FALSE)</f>
        <v>6.8196132000000007E-2</v>
      </c>
      <c r="BJ23" s="5">
        <f ca="1">+VLOOKUP($BG23,INDIRECT(Adrese!D$2),8,FALSE)</f>
        <v>6.7922412000000001E-2</v>
      </c>
      <c r="BK23" s="5">
        <f ca="1">+VLOOKUP($BG23,INDIRECT(Adrese!E$2),8,FALSE)</f>
        <v>6.7551946000000002E-2</v>
      </c>
      <c r="BL23" s="5">
        <f ca="1">+VLOOKUP($BG23,INDIRECT(Adrese!F$2),8,FALSE)</f>
        <v>6.8092661999999998E-2</v>
      </c>
      <c r="BM23" s="5" t="str">
        <f t="shared" ca="1" si="15"/>
        <v>0.07 (0.00)</v>
      </c>
      <c r="BN23" s="5">
        <f t="shared" ca="1" si="27"/>
        <v>6.7875636051098004E-2</v>
      </c>
      <c r="BO23" s="5">
        <f t="shared" ca="1" si="17"/>
        <v>2.8491120435431938E-4</v>
      </c>
      <c r="BQ23" t="s">
        <v>88</v>
      </c>
      <c r="BR23" s="5">
        <f ca="1">+VLOOKUP($BG23,INDIRECT(Adrese!B$2),9,FALSE)</f>
        <v>6.6344637276470428E-2</v>
      </c>
      <c r="BS23" s="5">
        <f ca="1">+VLOOKUP($BG23,INDIRECT(Adrese!C$2),9,FALSE)</f>
        <v>6.6881642000000005E-2</v>
      </c>
      <c r="BT23" s="5">
        <f ca="1">+VLOOKUP($BG23,INDIRECT(Adrese!D$2),9,FALSE)</f>
        <v>6.6515784999999994E-2</v>
      </c>
      <c r="BU23" s="5">
        <f ca="1">+VLOOKUP($BG23,INDIRECT(Adrese!E$2),9,FALSE)</f>
        <v>6.6022852000000007E-2</v>
      </c>
      <c r="BV23" s="5">
        <f ca="1">+VLOOKUP($BG23,INDIRECT(Adrese!F$2),9,FALSE)</f>
        <v>6.6759478999999997E-2</v>
      </c>
      <c r="BW23" s="5" t="str">
        <f t="shared" ca="1" si="18"/>
        <v>0.07 (0.00)</v>
      </c>
      <c r="BX23" s="5">
        <f t="shared" ca="1" si="28"/>
        <v>6.6504879055294092E-2</v>
      </c>
      <c r="BY23" s="5">
        <f t="shared" ca="1" si="20"/>
        <v>3.4092444092999108E-4</v>
      </c>
    </row>
    <row r="24" spans="1:77" x14ac:dyDescent="0.25">
      <c r="A24" t="s">
        <v>89</v>
      </c>
      <c r="B24" s="12">
        <f ca="1">+VLOOKUP($A24,INDIRECT(Adrese!B$2),2,FALSE)</f>
        <v>22</v>
      </c>
      <c r="C24" s="12">
        <f ca="1">+VLOOKUP($A24,INDIRECT(Adrese!C$2),2,FALSE)</f>
        <v>20</v>
      </c>
      <c r="D24" s="12">
        <f ca="1">+VLOOKUP($A24,INDIRECT(Adrese!D$2),2,FALSE)</f>
        <v>25</v>
      </c>
      <c r="E24" s="12">
        <f ca="1">+VLOOKUP($A24,INDIRECT(Adrese!E$2),2,FALSE)</f>
        <v>25</v>
      </c>
      <c r="F24" s="12">
        <f ca="1">+VLOOKUP($A24,INDIRECT(Adrese!F$2),2,FALSE)</f>
        <v>19</v>
      </c>
      <c r="G24" s="5">
        <f t="shared" ca="1" si="21"/>
        <v>22.2</v>
      </c>
      <c r="H24" s="5">
        <f t="shared" ca="1" si="1"/>
        <v>2.7748873851023297</v>
      </c>
      <c r="J24" t="s">
        <v>89</v>
      </c>
      <c r="K24">
        <f ca="1">+VLOOKUP($A24,INDIRECT(Adrese!B$2),3,FALSE)</f>
        <v>187</v>
      </c>
      <c r="L24">
        <f ca="1">+VLOOKUP($A24,INDIRECT(Adrese!C$2),3,FALSE)</f>
        <v>188</v>
      </c>
      <c r="M24">
        <f ca="1">+VLOOKUP($A24,INDIRECT(Adrese!D$2),3,FALSE)</f>
        <v>188</v>
      </c>
      <c r="N24">
        <f ca="1">+VLOOKUP($A24,INDIRECT(Adrese!E$2),3,FALSE)</f>
        <v>187</v>
      </c>
      <c r="O24">
        <f ca="1">+VLOOKUP($A24,INDIRECT(Adrese!F$2),3,FALSE)</f>
        <v>188</v>
      </c>
      <c r="P24" s="5">
        <f t="shared" ca="1" si="22"/>
        <v>187.6</v>
      </c>
      <c r="Q24" s="5">
        <f t="shared" ca="1" si="3"/>
        <v>0.54772255750516607</v>
      </c>
      <c r="T24" t="s">
        <v>89</v>
      </c>
      <c r="U24">
        <f ca="1">+VLOOKUP($T24,INDIRECT(Adrese!B$2),4,FALSE)</f>
        <v>124162</v>
      </c>
      <c r="V24">
        <f ca="1">+VLOOKUP($T24,INDIRECT(Adrese!C$2),4,FALSE)</f>
        <v>124419</v>
      </c>
      <c r="W24">
        <f ca="1">+VLOOKUP($T24,INDIRECT(Adrese!D$2),4,FALSE)</f>
        <v>123918</v>
      </c>
      <c r="X24">
        <f ca="1">+VLOOKUP($T24,INDIRECT(Adrese!E$2),4,FALSE)</f>
        <v>123753</v>
      </c>
      <c r="Y24">
        <f ca="1">+VLOOKUP($T24,INDIRECT(Adrese!F$2),4,FALSE)</f>
        <v>124567</v>
      </c>
      <c r="Z24">
        <f t="shared" ca="1" si="4"/>
        <v>620819</v>
      </c>
      <c r="AA24" s="5">
        <f t="shared" ca="1" si="23"/>
        <v>124163.8</v>
      </c>
      <c r="AB24" s="5">
        <f t="shared" ca="1" si="6"/>
        <v>337.96257189221416</v>
      </c>
      <c r="AD24" t="s">
        <v>89</v>
      </c>
      <c r="AE24">
        <f ca="1">+VLOOKUP($A24,INDIRECT(Adrese!B$2),5,FALSE)</f>
        <v>30076</v>
      </c>
      <c r="AF24">
        <f ca="1">+VLOOKUP($A24,INDIRECT(Adrese!C$2),5,FALSE)</f>
        <v>30298</v>
      </c>
      <c r="AG24">
        <f ca="1">+VLOOKUP($A24,INDIRECT(Adrese!D$2),5,FALSE)</f>
        <v>30022</v>
      </c>
      <c r="AH24">
        <f ca="1">+VLOOKUP($A24,INDIRECT(Adrese!E$2),5,FALSE)</f>
        <v>29683</v>
      </c>
      <c r="AI24">
        <f ca="1">+VLOOKUP($A24,INDIRECT(Adrese!F$2),5,FALSE)</f>
        <v>30498</v>
      </c>
      <c r="AJ24" s="5">
        <f t="shared" ca="1" si="24"/>
        <v>30115.4</v>
      </c>
      <c r="AK24" s="5">
        <f t="shared" ca="1" si="8"/>
        <v>306.98990211405976</v>
      </c>
      <c r="AM24" t="s">
        <v>89</v>
      </c>
      <c r="AN24" s="5">
        <f ca="1">+VLOOKUP($A24,INDIRECT(Adrese!B$2),6,FALSE)</f>
        <v>0.66099557522123897</v>
      </c>
      <c r="AO24" s="5">
        <f ca="1">+VLOOKUP($A24,INDIRECT(Adrese!C$2),6,FALSE)</f>
        <v>0.66590707999999998</v>
      </c>
      <c r="AP24" s="5">
        <f ca="1">+VLOOKUP($A24,INDIRECT(Adrese!D$2),6,FALSE)</f>
        <v>0.659800885</v>
      </c>
      <c r="AQ24" s="5">
        <f ca="1">+VLOOKUP($A24,INDIRECT(Adrese!E$2),6,FALSE)</f>
        <v>0.65230088500000005</v>
      </c>
      <c r="AR24" s="5">
        <f ca="1">+VLOOKUP($A24,INDIRECT(Adrese!F$2),6,FALSE)</f>
        <v>0.67033185799999995</v>
      </c>
      <c r="AS24" s="5" t="str">
        <f t="shared" ca="1" si="9"/>
        <v>0.66 (0.01)</v>
      </c>
      <c r="AT24" s="5">
        <f t="shared" ca="1" si="25"/>
        <v>0.66186725664424784</v>
      </c>
      <c r="AU24" s="5">
        <f t="shared" ca="1" si="11"/>
        <v>6.7918119005299189E-3</v>
      </c>
      <c r="AW24" t="s">
        <v>89</v>
      </c>
      <c r="AX24" s="5">
        <f ca="1">+VLOOKUP($A24,INDIRECT(Adrese!B$2),7,FALSE)</f>
        <v>0.17256637168141589</v>
      </c>
      <c r="AY24" s="5">
        <f ca="1">+VLOOKUP($A24,INDIRECT(Adrese!C$2),7,FALSE)</f>
        <v>0.16814159300000001</v>
      </c>
      <c r="AZ24" s="5">
        <f ca="1">+VLOOKUP($A24,INDIRECT(Adrese!D$2),7,FALSE)</f>
        <v>0.16814159300000001</v>
      </c>
      <c r="BA24" s="5">
        <f ca="1">+VLOOKUP($A24,INDIRECT(Adrese!E$2),7,FALSE)</f>
        <v>0.172566372</v>
      </c>
      <c r="BB24" s="5">
        <f ca="1">+VLOOKUP($A24,INDIRECT(Adrese!F$2),7,FALSE)</f>
        <v>0.16814159300000001</v>
      </c>
      <c r="BC24" s="5" t="str">
        <f t="shared" ca="1" si="12"/>
        <v>0.17 (0.00)</v>
      </c>
      <c r="BD24">
        <f t="shared" ca="1" si="26"/>
        <v>0.16991150453628318</v>
      </c>
      <c r="BE24" s="5">
        <f t="shared" ca="1" si="14"/>
        <v>2.4235511830272981E-3</v>
      </c>
      <c r="BG24" t="s">
        <v>89</v>
      </c>
      <c r="BH24" s="5">
        <f ca="1">+VLOOKUP($BG24,INDIRECT(Adrese!B$2),8,FALSE)</f>
        <v>6.9988745936239966E-2</v>
      </c>
      <c r="BI24" s="5">
        <f ca="1">+VLOOKUP($BG24,INDIRECT(Adrese!C$2),8,FALSE)</f>
        <v>7.0344111000000001E-2</v>
      </c>
      <c r="BJ24" s="5">
        <f ca="1">+VLOOKUP($BG24,INDIRECT(Adrese!D$2),8,FALSE)</f>
        <v>6.9889352000000002E-2</v>
      </c>
      <c r="BK24" s="5">
        <f ca="1">+VLOOKUP($BG24,INDIRECT(Adrese!E$2),8,FALSE)</f>
        <v>6.9015021999999995E-2</v>
      </c>
      <c r="BL24" s="5">
        <f ca="1">+VLOOKUP($BG24,INDIRECT(Adrese!F$2),8,FALSE)</f>
        <v>7.0710282999999999E-2</v>
      </c>
      <c r="BM24" s="5" t="str">
        <f t="shared" ca="1" si="15"/>
        <v>0.07 (0.00)</v>
      </c>
      <c r="BN24" s="5">
        <f t="shared" ca="1" si="27"/>
        <v>6.9989502787247998E-2</v>
      </c>
      <c r="BO24" s="5">
        <f t="shared" ca="1" si="17"/>
        <v>6.3342613171768459E-4</v>
      </c>
      <c r="BQ24" t="s">
        <v>89</v>
      </c>
      <c r="BR24" s="5">
        <f ca="1">+VLOOKUP($BG24,INDIRECT(Adrese!B$2),9,FALSE)</f>
        <v>8.0125908260944886E-2</v>
      </c>
      <c r="BS24" s="5">
        <f ca="1">+VLOOKUP($BG24,INDIRECT(Adrese!C$2),9,FALSE)</f>
        <v>8.0334111E-2</v>
      </c>
      <c r="BT24" s="5">
        <f ca="1">+VLOOKUP($BG24,INDIRECT(Adrese!D$2),9,FALSE)</f>
        <v>7.9479991999999999E-2</v>
      </c>
      <c r="BU24" s="5">
        <f ca="1">+VLOOKUP($BG24,INDIRECT(Adrese!E$2),9,FALSE)</f>
        <v>7.8285970999999996E-2</v>
      </c>
      <c r="BV24" s="5">
        <f ca="1">+VLOOKUP($BG24,INDIRECT(Adrese!F$2),9,FALSE)</f>
        <v>8.0415922000000001E-2</v>
      </c>
      <c r="BW24" s="5" t="str">
        <f t="shared" ca="1" si="18"/>
        <v>0.08 (0.00)</v>
      </c>
      <c r="BX24" s="5">
        <f t="shared" ca="1" si="28"/>
        <v>7.9728380852188988E-2</v>
      </c>
      <c r="BY24" s="5">
        <f t="shared" ca="1" si="20"/>
        <v>8.8598717346757448E-4</v>
      </c>
    </row>
    <row r="25" spans="1:77" x14ac:dyDescent="0.25">
      <c r="A25" t="s">
        <v>90</v>
      </c>
      <c r="B25" s="12">
        <f ca="1">+VLOOKUP($A25,INDIRECT(Adrese!B$2),2,FALSE)</f>
        <v>23</v>
      </c>
      <c r="C25" s="12">
        <f ca="1">+VLOOKUP($A25,INDIRECT(Adrese!C$2),2,FALSE)</f>
        <v>27</v>
      </c>
      <c r="D25" s="12">
        <f ca="1">+VLOOKUP($A25,INDIRECT(Adrese!D$2),2,FALSE)</f>
        <v>27</v>
      </c>
      <c r="E25" s="12">
        <f ca="1">+VLOOKUP($A25,INDIRECT(Adrese!E$2),2,FALSE)</f>
        <v>27</v>
      </c>
      <c r="F25" s="12">
        <f ca="1">+VLOOKUP($A25,INDIRECT(Adrese!F$2),2,FALSE)</f>
        <v>26</v>
      </c>
      <c r="G25" s="5">
        <f t="shared" ca="1" si="21"/>
        <v>26</v>
      </c>
      <c r="H25" s="5">
        <f t="shared" ca="1" si="1"/>
        <v>1.7320508075688772</v>
      </c>
      <c r="J25" t="s">
        <v>90</v>
      </c>
      <c r="K25">
        <f ca="1">+VLOOKUP($A25,INDIRECT(Adrese!B$2),3,FALSE)</f>
        <v>179</v>
      </c>
      <c r="L25">
        <f ca="1">+VLOOKUP($A25,INDIRECT(Adrese!C$2),3,FALSE)</f>
        <v>181</v>
      </c>
      <c r="M25">
        <f ca="1">+VLOOKUP($A25,INDIRECT(Adrese!D$2),3,FALSE)</f>
        <v>182</v>
      </c>
      <c r="N25">
        <f ca="1">+VLOOKUP($A25,INDIRECT(Adrese!E$2),3,FALSE)</f>
        <v>181</v>
      </c>
      <c r="O25">
        <f ca="1">+VLOOKUP($A25,INDIRECT(Adrese!F$2),3,FALSE)</f>
        <v>181</v>
      </c>
      <c r="P25" s="5">
        <f t="shared" ca="1" si="22"/>
        <v>180.8</v>
      </c>
      <c r="Q25" s="5">
        <f t="shared" ca="1" si="3"/>
        <v>1.0954451150103324</v>
      </c>
      <c r="T25" t="s">
        <v>90</v>
      </c>
      <c r="U25">
        <f ca="1">+VLOOKUP($T25,INDIRECT(Adrese!B$2),4,FALSE)</f>
        <v>124093</v>
      </c>
      <c r="V25">
        <f ca="1">+VLOOKUP($T25,INDIRECT(Adrese!C$2),4,FALSE)</f>
        <v>123475</v>
      </c>
      <c r="W25">
        <f ca="1">+VLOOKUP($T25,INDIRECT(Adrese!D$2),4,FALSE)</f>
        <v>123605</v>
      </c>
      <c r="X25">
        <f ca="1">+VLOOKUP($T25,INDIRECT(Adrese!E$2),4,FALSE)</f>
        <v>123564</v>
      </c>
      <c r="Y25">
        <f ca="1">+VLOOKUP($T25,INDIRECT(Adrese!F$2),4,FALSE)</f>
        <v>123455</v>
      </c>
      <c r="Z25">
        <f t="shared" ca="1" si="4"/>
        <v>618192</v>
      </c>
      <c r="AA25" s="5">
        <f t="shared" ca="1" si="23"/>
        <v>123638.39999999999</v>
      </c>
      <c r="AB25" s="5">
        <f t="shared" ca="1" si="6"/>
        <v>261.55649485340638</v>
      </c>
      <c r="AD25" t="s">
        <v>90</v>
      </c>
      <c r="AE25">
        <f ca="1">+VLOOKUP($A25,INDIRECT(Adrese!B$2),5,FALSE)</f>
        <v>30012</v>
      </c>
      <c r="AF25">
        <f ca="1">+VLOOKUP($A25,INDIRECT(Adrese!C$2),5,FALSE)</f>
        <v>29520</v>
      </c>
      <c r="AG25">
        <f ca="1">+VLOOKUP($A25,INDIRECT(Adrese!D$2),5,FALSE)</f>
        <v>29689</v>
      </c>
      <c r="AH25">
        <f ca="1">+VLOOKUP($A25,INDIRECT(Adrese!E$2),5,FALSE)</f>
        <v>29608</v>
      </c>
      <c r="AI25">
        <f ca="1">+VLOOKUP($A25,INDIRECT(Adrese!F$2),5,FALSE)</f>
        <v>29706</v>
      </c>
      <c r="AJ25" s="5">
        <f t="shared" ca="1" si="24"/>
        <v>29707</v>
      </c>
      <c r="AK25" s="5">
        <f t="shared" ca="1" si="8"/>
        <v>185.82249594707309</v>
      </c>
      <c r="AM25" t="s">
        <v>90</v>
      </c>
      <c r="AN25" s="5">
        <f ca="1">+VLOOKUP($A25,INDIRECT(Adrese!B$2),6,FALSE)</f>
        <v>0.65960176991150443</v>
      </c>
      <c r="AO25" s="5">
        <f ca="1">+VLOOKUP($A25,INDIRECT(Adrese!C$2),6,FALSE)</f>
        <v>0.64871681400000003</v>
      </c>
      <c r="AP25" s="5">
        <f ca="1">+VLOOKUP($A25,INDIRECT(Adrese!D$2),6,FALSE)</f>
        <v>0.65245575200000006</v>
      </c>
      <c r="AQ25" s="5">
        <f ca="1">+VLOOKUP($A25,INDIRECT(Adrese!E$2),6,FALSE)</f>
        <v>0.65066371700000003</v>
      </c>
      <c r="AR25" s="5">
        <f ca="1">+VLOOKUP($A25,INDIRECT(Adrese!F$2),6,FALSE)</f>
        <v>0.65283185799999999</v>
      </c>
      <c r="AS25" s="5" t="str">
        <f t="shared" ca="1" si="9"/>
        <v>0.65 (0.00)</v>
      </c>
      <c r="AT25" s="5">
        <f t="shared" ca="1" si="25"/>
        <v>0.65285398218230084</v>
      </c>
      <c r="AU25" s="5">
        <f t="shared" ca="1" si="11"/>
        <v>4.1111171879846036E-3</v>
      </c>
      <c r="AW25" t="s">
        <v>90</v>
      </c>
      <c r="AX25" s="5">
        <f ca="1">+VLOOKUP($A25,INDIRECT(Adrese!B$2),7,FALSE)</f>
        <v>0.20796460176991149</v>
      </c>
      <c r="AY25" s="5">
        <f ca="1">+VLOOKUP($A25,INDIRECT(Adrese!C$2),7,FALSE)</f>
        <v>0.19911504399999999</v>
      </c>
      <c r="AZ25" s="5">
        <f ca="1">+VLOOKUP($A25,INDIRECT(Adrese!D$2),7,FALSE)</f>
        <v>0.194690265</v>
      </c>
      <c r="BA25" s="5">
        <f ca="1">+VLOOKUP($A25,INDIRECT(Adrese!E$2),7,FALSE)</f>
        <v>0.19911504399999999</v>
      </c>
      <c r="BB25" s="5">
        <f ca="1">+VLOOKUP($A25,INDIRECT(Adrese!F$2),7,FALSE)</f>
        <v>0.19911504399999999</v>
      </c>
      <c r="BC25" s="5" t="str">
        <f t="shared" ca="1" si="12"/>
        <v>0.20 (0.00)</v>
      </c>
      <c r="BD25">
        <f t="shared" ca="1" si="26"/>
        <v>0.1999999997539823</v>
      </c>
      <c r="BE25" s="5">
        <f t="shared" ca="1" si="14"/>
        <v>4.8471024460318051E-3</v>
      </c>
      <c r="BG25" t="s">
        <v>90</v>
      </c>
      <c r="BH25" s="5">
        <f ca="1">+VLOOKUP($BG25,INDIRECT(Adrese!B$2),8,FALSE)</f>
        <v>6.8882280726193804E-2</v>
      </c>
      <c r="BI25" s="5">
        <f ca="1">+VLOOKUP($BG25,INDIRECT(Adrese!C$2),8,FALSE)</f>
        <v>6.7972415999999994E-2</v>
      </c>
      <c r="BJ25" s="5">
        <f ca="1">+VLOOKUP($BG25,INDIRECT(Adrese!D$2),8,FALSE)</f>
        <v>6.8360240000000003E-2</v>
      </c>
      <c r="BK25" s="5">
        <f ca="1">+VLOOKUP($BG25,INDIRECT(Adrese!E$2),8,FALSE)</f>
        <v>6.8028114000000001E-2</v>
      </c>
      <c r="BL25" s="5">
        <f ca="1">+VLOOKUP($BG25,INDIRECT(Adrese!F$2),8,FALSE)</f>
        <v>6.8327032999999995E-2</v>
      </c>
      <c r="BM25" s="5" t="str">
        <f t="shared" ca="1" si="15"/>
        <v>0.07 (0.00)</v>
      </c>
      <c r="BN25" s="5">
        <f t="shared" ca="1" si="27"/>
        <v>6.8314016745238765E-2</v>
      </c>
      <c r="BO25" s="5">
        <f t="shared" ca="1" si="17"/>
        <v>3.6182226752313963E-4</v>
      </c>
      <c r="BQ25" t="s">
        <v>90</v>
      </c>
      <c r="BR25" s="5">
        <f ca="1">+VLOOKUP($BG25,INDIRECT(Adrese!B$2),9,FALSE)</f>
        <v>7.6312431029870273E-2</v>
      </c>
      <c r="BS25" s="5">
        <f ca="1">+VLOOKUP($BG25,INDIRECT(Adrese!C$2),9,FALSE)</f>
        <v>7.5408104000000004E-2</v>
      </c>
      <c r="BT25" s="5">
        <f ca="1">+VLOOKUP($BG25,INDIRECT(Adrese!D$2),9,FALSE)</f>
        <v>7.5795001000000001E-2</v>
      </c>
      <c r="BU25" s="5">
        <f ca="1">+VLOOKUP($BG25,INDIRECT(Adrese!E$2),9,FALSE)</f>
        <v>7.5066305E-2</v>
      </c>
      <c r="BV25" s="5">
        <f ca="1">+VLOOKUP($BG25,INDIRECT(Adrese!F$2),9,FALSE)</f>
        <v>7.5718144000000001E-2</v>
      </c>
      <c r="BW25" s="5" t="str">
        <f t="shared" ca="1" si="18"/>
        <v>0.08 (0.00)</v>
      </c>
      <c r="BX25" s="5">
        <f t="shared" ca="1" si="28"/>
        <v>7.5659997005974061E-2</v>
      </c>
      <c r="BY25" s="5">
        <f t="shared" ca="1" si="20"/>
        <v>4.6454213782787316E-4</v>
      </c>
    </row>
    <row r="26" spans="1:77" x14ac:dyDescent="0.25">
      <c r="A26" t="s">
        <v>91</v>
      </c>
      <c r="B26" s="12">
        <f ca="1">+VLOOKUP($A26,INDIRECT(Adrese!B$2),2,FALSE)</f>
        <v>24</v>
      </c>
      <c r="C26" s="12">
        <f ca="1">+VLOOKUP($A26,INDIRECT(Adrese!C$2),2,FALSE)</f>
        <v>18</v>
      </c>
      <c r="D26" s="12">
        <f ca="1">+VLOOKUP($A26,INDIRECT(Adrese!D$2),2,FALSE)</f>
        <v>19</v>
      </c>
      <c r="E26" s="12">
        <f ca="1">+VLOOKUP($A26,INDIRECT(Adrese!E$2),2,FALSE)</f>
        <v>24</v>
      </c>
      <c r="F26" s="12">
        <f ca="1">+VLOOKUP($A26,INDIRECT(Adrese!F$2),2,FALSE)</f>
        <v>21</v>
      </c>
      <c r="G26" s="5">
        <f t="shared" ca="1" si="21"/>
        <v>21.2</v>
      </c>
      <c r="H26" s="5">
        <f t="shared" ca="1" si="1"/>
        <v>2.7748873851023297</v>
      </c>
      <c r="J26" t="s">
        <v>91</v>
      </c>
      <c r="K26">
        <f ca="1">+VLOOKUP($A26,INDIRECT(Adrese!B$2),3,FALSE)</f>
        <v>57</v>
      </c>
      <c r="L26">
        <f ca="1">+VLOOKUP($A26,INDIRECT(Adrese!C$2),3,FALSE)</f>
        <v>56</v>
      </c>
      <c r="M26">
        <f ca="1">+VLOOKUP($A26,INDIRECT(Adrese!D$2),3,FALSE)</f>
        <v>59</v>
      </c>
      <c r="N26">
        <f ca="1">+VLOOKUP($A26,INDIRECT(Adrese!E$2),3,FALSE)</f>
        <v>56</v>
      </c>
      <c r="O26">
        <f ca="1">+VLOOKUP($A26,INDIRECT(Adrese!F$2),3,FALSE)</f>
        <v>57</v>
      </c>
      <c r="P26" s="5">
        <f t="shared" ca="1" si="22"/>
        <v>57</v>
      </c>
      <c r="Q26" s="5">
        <f t="shared" ca="1" si="3"/>
        <v>1.2247448713915889</v>
      </c>
      <c r="T26" t="s">
        <v>91</v>
      </c>
      <c r="U26">
        <f ca="1">+VLOOKUP($T26,INDIRECT(Adrese!B$2),4,FALSE)</f>
        <v>123946</v>
      </c>
      <c r="V26">
        <f ca="1">+VLOOKUP($T26,INDIRECT(Adrese!C$2),4,FALSE)</f>
        <v>124542</v>
      </c>
      <c r="W26">
        <f ca="1">+VLOOKUP($T26,INDIRECT(Adrese!D$2),4,FALSE)</f>
        <v>124687</v>
      </c>
      <c r="X26">
        <f ca="1">+VLOOKUP($T26,INDIRECT(Adrese!E$2),4,FALSE)</f>
        <v>123858</v>
      </c>
      <c r="Y26">
        <f ca="1">+VLOOKUP($T26,INDIRECT(Adrese!F$2),4,FALSE)</f>
        <v>124310</v>
      </c>
      <c r="Z26">
        <f t="shared" ca="1" si="4"/>
        <v>621343</v>
      </c>
      <c r="AA26" s="5">
        <f t="shared" ca="1" si="23"/>
        <v>124268.6</v>
      </c>
      <c r="AB26" s="5">
        <f t="shared" ca="1" si="6"/>
        <v>362.00248617930788</v>
      </c>
      <c r="AD26" t="s">
        <v>91</v>
      </c>
      <c r="AE26">
        <f ca="1">+VLOOKUP($A26,INDIRECT(Adrese!B$2),5,FALSE)</f>
        <v>28753</v>
      </c>
      <c r="AF26">
        <f ca="1">+VLOOKUP($A26,INDIRECT(Adrese!C$2),5,FALSE)</f>
        <v>29026</v>
      </c>
      <c r="AG26">
        <f ca="1">+VLOOKUP($A26,INDIRECT(Adrese!D$2),5,FALSE)</f>
        <v>28668</v>
      </c>
      <c r="AH26">
        <f ca="1">+VLOOKUP($A26,INDIRECT(Adrese!E$2),5,FALSE)</f>
        <v>28845</v>
      </c>
      <c r="AI26">
        <f ca="1">+VLOOKUP($A26,INDIRECT(Adrese!F$2),5,FALSE)</f>
        <v>28968</v>
      </c>
      <c r="AJ26" s="5">
        <f t="shared" ca="1" si="24"/>
        <v>28852</v>
      </c>
      <c r="AK26" s="5">
        <f t="shared" ca="1" si="8"/>
        <v>147.84958572819878</v>
      </c>
      <c r="AM26" t="s">
        <v>91</v>
      </c>
      <c r="AN26" s="5">
        <f ca="1">+VLOOKUP($A26,INDIRECT(Adrese!B$2),6,FALSE)</f>
        <v>0.63170353982300886</v>
      </c>
      <c r="AO26" s="5">
        <f ca="1">+VLOOKUP($A26,INDIRECT(Adrese!C$2),6,FALSE)</f>
        <v>0.63774336300000001</v>
      </c>
      <c r="AP26" s="5">
        <f ca="1">+VLOOKUP($A26,INDIRECT(Adrese!D$2),6,FALSE)</f>
        <v>0.62982300899999999</v>
      </c>
      <c r="AQ26" s="5">
        <f ca="1">+VLOOKUP($A26,INDIRECT(Adrese!E$2),6,FALSE)</f>
        <v>0.63373893800000003</v>
      </c>
      <c r="AR26" s="5">
        <f ca="1">+VLOOKUP($A26,INDIRECT(Adrese!F$2),6,FALSE)</f>
        <v>0.63646017700000002</v>
      </c>
      <c r="AS26" s="5" t="str">
        <f t="shared" ca="1" si="9"/>
        <v>0.63 (0.00)</v>
      </c>
      <c r="AT26" s="5">
        <f t="shared" ca="1" si="25"/>
        <v>0.63389380536460183</v>
      </c>
      <c r="AU26" s="5">
        <f t="shared" ca="1" si="11"/>
        <v>3.2710085388375464E-3</v>
      </c>
      <c r="AW26" t="s">
        <v>91</v>
      </c>
      <c r="AX26" s="5">
        <f ca="1">+VLOOKUP($A26,INDIRECT(Adrese!B$2),7,FALSE)</f>
        <v>0.74778761061946908</v>
      </c>
      <c r="AY26" s="5">
        <f ca="1">+VLOOKUP($A26,INDIRECT(Adrese!C$2),7,FALSE)</f>
        <v>0.75221238899999998</v>
      </c>
      <c r="AZ26" s="5">
        <f ca="1">+VLOOKUP($A26,INDIRECT(Adrese!D$2),7,FALSE)</f>
        <v>0.73893805300000004</v>
      </c>
      <c r="BA26" s="5">
        <f ca="1">+VLOOKUP($A26,INDIRECT(Adrese!E$2),7,FALSE)</f>
        <v>0.75221238899999998</v>
      </c>
      <c r="BB26" s="5">
        <f ca="1">+VLOOKUP($A26,INDIRECT(Adrese!F$2),7,FALSE)</f>
        <v>0.74778761100000002</v>
      </c>
      <c r="BC26" s="5" t="str">
        <f t="shared" ca="1" si="12"/>
        <v>0.75 (0.01)</v>
      </c>
      <c r="BD26">
        <f t="shared" ca="1" si="26"/>
        <v>0.74778761052389375</v>
      </c>
      <c r="BE26" s="5">
        <f t="shared" ca="1" si="14"/>
        <v>5.4192249790428982E-3</v>
      </c>
      <c r="BG26" t="s">
        <v>91</v>
      </c>
      <c r="BH26" s="5">
        <f ca="1">+VLOOKUP($BG26,INDIRECT(Adrese!B$2),8,FALSE)</f>
        <v>6.6910085969239474E-2</v>
      </c>
      <c r="BI26" s="5">
        <f ca="1">+VLOOKUP($BG26,INDIRECT(Adrese!C$2),8,FALSE)</f>
        <v>6.7455697999999994E-2</v>
      </c>
      <c r="BJ26" s="5">
        <f ca="1">+VLOOKUP($BG26,INDIRECT(Adrese!D$2),8,FALSE)</f>
        <v>6.6840548E-2</v>
      </c>
      <c r="BK26" s="5">
        <f ca="1">+VLOOKUP($BG26,INDIRECT(Adrese!E$2),8,FALSE)</f>
        <v>6.7161489000000005E-2</v>
      </c>
      <c r="BL26" s="5">
        <f ca="1">+VLOOKUP($BG26,INDIRECT(Adrese!F$2),8,FALSE)</f>
        <v>6.7429901E-2</v>
      </c>
      <c r="BM26" s="5" t="str">
        <f t="shared" ca="1" si="15"/>
        <v>0.07 (0.00)</v>
      </c>
      <c r="BN26" s="5">
        <f t="shared" ca="1" si="27"/>
        <v>6.71595443938479E-2</v>
      </c>
      <c r="BO26" s="5">
        <f t="shared" ca="1" si="17"/>
        <v>2.8495246942084084E-4</v>
      </c>
      <c r="BQ26" t="s">
        <v>91</v>
      </c>
      <c r="BR26" s="5">
        <f ca="1">+VLOOKUP($BG26,INDIRECT(Adrese!B$2),9,FALSE)</f>
        <v>7.563891040056285E-2</v>
      </c>
      <c r="BS26" s="5">
        <f ca="1">+VLOOKUP($BG26,INDIRECT(Adrese!C$2),9,FALSE)</f>
        <v>7.6320622000000005E-2</v>
      </c>
      <c r="BT26" s="5">
        <f ca="1">+VLOOKUP($BG26,INDIRECT(Adrese!D$2),9,FALSE)</f>
        <v>7.5572582999999999E-2</v>
      </c>
      <c r="BU26" s="5">
        <f ca="1">+VLOOKUP($BG26,INDIRECT(Adrese!E$2),9,FALSE)</f>
        <v>7.6074554000000003E-2</v>
      </c>
      <c r="BV26" s="5">
        <f ca="1">+VLOOKUP($BG26,INDIRECT(Adrese!F$2),9,FALSE)</f>
        <v>7.6253688999999999E-2</v>
      </c>
      <c r="BW26" s="5" t="str">
        <f t="shared" ca="1" si="18"/>
        <v>0.08 (0.00)</v>
      </c>
      <c r="BX26" s="5">
        <f t="shared" ca="1" si="28"/>
        <v>7.5972071680112579E-2</v>
      </c>
      <c r="BY26" s="5">
        <f t="shared" ca="1" si="20"/>
        <v>3.4709001353143702E-4</v>
      </c>
    </row>
    <row r="27" spans="1:77" x14ac:dyDescent="0.25">
      <c r="A27" t="s">
        <v>92</v>
      </c>
      <c r="B27" s="12">
        <f ca="1">+VLOOKUP($A27,INDIRECT(Adrese!B$2),2,FALSE)</f>
        <v>25</v>
      </c>
      <c r="C27" s="12">
        <f ca="1">+VLOOKUP($A27,INDIRECT(Adrese!C$2),2,FALSE)</f>
        <v>23</v>
      </c>
      <c r="D27" s="12">
        <f ca="1">+VLOOKUP($A27,INDIRECT(Adrese!D$2),2,FALSE)</f>
        <v>24</v>
      </c>
      <c r="E27" s="12">
        <f ca="1">+VLOOKUP($A27,INDIRECT(Adrese!E$2),2,FALSE)</f>
        <v>18</v>
      </c>
      <c r="F27" s="12">
        <f ca="1">+VLOOKUP($A27,INDIRECT(Adrese!F$2),2,FALSE)</f>
        <v>30</v>
      </c>
      <c r="G27" s="5">
        <f t="shared" ca="1" si="21"/>
        <v>24</v>
      </c>
      <c r="H27" s="5">
        <f t="shared" ca="1" si="1"/>
        <v>4.3011626335213133</v>
      </c>
      <c r="J27" t="s">
        <v>92</v>
      </c>
      <c r="K27">
        <f ca="1">+VLOOKUP($A27,INDIRECT(Adrese!B$2),3,FALSE)</f>
        <v>45</v>
      </c>
      <c r="L27">
        <f ca="1">+VLOOKUP($A27,INDIRECT(Adrese!C$2),3,FALSE)</f>
        <v>47</v>
      </c>
      <c r="M27">
        <f ca="1">+VLOOKUP($A27,INDIRECT(Adrese!D$2),3,FALSE)</f>
        <v>49</v>
      </c>
      <c r="N27">
        <f ca="1">+VLOOKUP($A27,INDIRECT(Adrese!E$2),3,FALSE)</f>
        <v>53</v>
      </c>
      <c r="O27">
        <f ca="1">+VLOOKUP($A27,INDIRECT(Adrese!F$2),3,FALSE)</f>
        <v>49</v>
      </c>
      <c r="P27" s="5">
        <f t="shared" ca="1" si="22"/>
        <v>48.6</v>
      </c>
      <c r="Q27" s="5">
        <f t="shared" ca="1" si="3"/>
        <v>2.9664793948382648</v>
      </c>
      <c r="T27" t="s">
        <v>92</v>
      </c>
      <c r="U27">
        <f ca="1">+VLOOKUP($T27,INDIRECT(Adrese!B$2),4,FALSE)</f>
        <v>123697</v>
      </c>
      <c r="V27">
        <f ca="1">+VLOOKUP($T27,INDIRECT(Adrese!C$2),4,FALSE)</f>
        <v>124309</v>
      </c>
      <c r="W27">
        <f ca="1">+VLOOKUP($T27,INDIRECT(Adrese!D$2),4,FALSE)</f>
        <v>123940</v>
      </c>
      <c r="X27">
        <f ca="1">+VLOOKUP($T27,INDIRECT(Adrese!E$2),4,FALSE)</f>
        <v>125382</v>
      </c>
      <c r="Y27">
        <f ca="1">+VLOOKUP($T27,INDIRECT(Adrese!F$2),4,FALSE)</f>
        <v>123212</v>
      </c>
      <c r="Z27">
        <f t="shared" ca="1" si="4"/>
        <v>620540</v>
      </c>
      <c r="AA27" s="5">
        <f t="shared" ca="1" si="23"/>
        <v>124108</v>
      </c>
      <c r="AB27" s="5">
        <f t="shared" ca="1" si="6"/>
        <v>816.00214460502491</v>
      </c>
      <c r="AD27" t="s">
        <v>92</v>
      </c>
      <c r="AE27">
        <f ca="1">+VLOOKUP($A27,INDIRECT(Adrese!B$2),5,FALSE)</f>
        <v>34291</v>
      </c>
      <c r="AF27">
        <f ca="1">+VLOOKUP($A27,INDIRECT(Adrese!C$2),5,FALSE)</f>
        <v>34957</v>
      </c>
      <c r="AG27">
        <f ca="1">+VLOOKUP($A27,INDIRECT(Adrese!D$2),5,FALSE)</f>
        <v>34180</v>
      </c>
      <c r="AH27">
        <f ca="1">+VLOOKUP($A27,INDIRECT(Adrese!E$2),5,FALSE)</f>
        <v>34675</v>
      </c>
      <c r="AI27">
        <f ca="1">+VLOOKUP($A27,INDIRECT(Adrese!F$2),5,FALSE)</f>
        <v>34043</v>
      </c>
      <c r="AJ27" s="5">
        <f t="shared" ca="1" si="24"/>
        <v>34429.199999999997</v>
      </c>
      <c r="AK27" s="5">
        <f t="shared" ca="1" si="8"/>
        <v>377.27337568399918</v>
      </c>
      <c r="AM27" t="s">
        <v>92</v>
      </c>
      <c r="AN27" s="5">
        <f ca="1">+VLOOKUP($A27,INDIRECT(Adrese!B$2),6,FALSE)</f>
        <v>0.75422566371681421</v>
      </c>
      <c r="AO27" s="5">
        <f ca="1">+VLOOKUP($A27,INDIRECT(Adrese!C$2),6,FALSE)</f>
        <v>0.76896017699999997</v>
      </c>
      <c r="AP27" s="5">
        <f ca="1">+VLOOKUP($A27,INDIRECT(Adrese!D$2),6,FALSE)</f>
        <v>0.75176991199999998</v>
      </c>
      <c r="AQ27" s="5">
        <f ca="1">+VLOOKUP($A27,INDIRECT(Adrese!E$2),6,FALSE)</f>
        <v>0.762721239</v>
      </c>
      <c r="AR27" s="5">
        <f ca="1">+VLOOKUP($A27,INDIRECT(Adrese!F$2),6,FALSE)</f>
        <v>0.74873893800000002</v>
      </c>
      <c r="AS27" s="5" t="str">
        <f t="shared" ca="1" si="9"/>
        <v>0.76 (0.01)</v>
      </c>
      <c r="AT27" s="5">
        <f t="shared" ca="1" si="25"/>
        <v>0.75728318594336275</v>
      </c>
      <c r="AU27" s="5">
        <f t="shared" ca="1" si="11"/>
        <v>8.3467560441414391E-3</v>
      </c>
      <c r="AW27" t="s">
        <v>92</v>
      </c>
      <c r="AX27" s="5">
        <f ca="1">+VLOOKUP($A27,INDIRECT(Adrese!B$2),7,FALSE)</f>
        <v>0.80088495575221241</v>
      </c>
      <c r="AY27" s="5">
        <f ca="1">+VLOOKUP($A27,INDIRECT(Adrese!C$2),7,FALSE)</f>
        <v>0.792035398</v>
      </c>
      <c r="AZ27" s="5">
        <f ca="1">+VLOOKUP($A27,INDIRECT(Adrese!D$2),7,FALSE)</f>
        <v>0.78318584099999999</v>
      </c>
      <c r="BA27" s="5">
        <f ca="1">+VLOOKUP($A27,INDIRECT(Adrese!E$2),7,FALSE)</f>
        <v>0.76548672600000001</v>
      </c>
      <c r="BB27" s="5">
        <f ca="1">+VLOOKUP($A27,INDIRECT(Adrese!F$2),7,FALSE)</f>
        <v>0.78318584099999999</v>
      </c>
      <c r="BC27" s="5" t="str">
        <f t="shared" ca="1" si="12"/>
        <v>0.78 (0.01)</v>
      </c>
      <c r="BD27">
        <f t="shared" ca="1" si="26"/>
        <v>0.78495575235044246</v>
      </c>
      <c r="BE27" s="5">
        <f t="shared" ca="1" si="14"/>
        <v>1.3126014845996969E-2</v>
      </c>
      <c r="BG27" t="s">
        <v>92</v>
      </c>
      <c r="BH27" s="5">
        <f ca="1">+VLOOKUP($BG27,INDIRECT(Adrese!B$2),8,FALSE)</f>
        <v>7.6516925315638945E-2</v>
      </c>
      <c r="BI27" s="5">
        <f ca="1">+VLOOKUP($BG27,INDIRECT(Adrese!C$2),8,FALSE)</f>
        <v>7.7549593E-2</v>
      </c>
      <c r="BJ27" s="5">
        <f ca="1">+VLOOKUP($BG27,INDIRECT(Adrese!D$2),8,FALSE)</f>
        <v>7.6340486999999999E-2</v>
      </c>
      <c r="BK27" s="5">
        <f ca="1">+VLOOKUP($BG27,INDIRECT(Adrese!E$2),8,FALSE)</f>
        <v>7.7079970999999997E-2</v>
      </c>
      <c r="BL27" s="5">
        <f ca="1">+VLOOKUP($BG27,INDIRECT(Adrese!F$2),8,FALSE)</f>
        <v>7.6278318999999997E-2</v>
      </c>
      <c r="BM27" s="5" t="str">
        <f t="shared" ca="1" si="15"/>
        <v>0.08 (0.00)</v>
      </c>
      <c r="BN27" s="5">
        <f t="shared" ca="1" si="27"/>
        <v>7.6753059063127779E-2</v>
      </c>
      <c r="BO27" s="5">
        <f t="shared" ca="1" si="17"/>
        <v>5.4605189967939596E-4</v>
      </c>
      <c r="BQ27" t="s">
        <v>92</v>
      </c>
      <c r="BR27" s="5">
        <f ca="1">+VLOOKUP($BG27,INDIRECT(Adrese!B$2),9,FALSE)</f>
        <v>8.444193125415321E-2</v>
      </c>
      <c r="BS27" s="5">
        <f ca="1">+VLOOKUP($BG27,INDIRECT(Adrese!C$2),9,FALSE)</f>
        <v>8.5226370999999995E-2</v>
      </c>
      <c r="BT27" s="5">
        <f ca="1">+VLOOKUP($BG27,INDIRECT(Adrese!D$2),9,FALSE)</f>
        <v>8.4305274999999999E-2</v>
      </c>
      <c r="BU27" s="5">
        <f ca="1">+VLOOKUP($BG27,INDIRECT(Adrese!E$2),9,FALSE)</f>
        <v>8.4953101000000003E-2</v>
      </c>
      <c r="BV27" s="5">
        <f ca="1">+VLOOKUP($BG27,INDIRECT(Adrese!F$2),9,FALSE)</f>
        <v>8.4568433999999998E-2</v>
      </c>
      <c r="BW27" s="5" t="str">
        <f t="shared" ca="1" si="18"/>
        <v>0.08 (0.00)</v>
      </c>
      <c r="BX27" s="5">
        <f t="shared" ca="1" si="28"/>
        <v>8.4699022450830649E-2</v>
      </c>
      <c r="BY27" s="5">
        <f t="shared" ca="1" si="20"/>
        <v>3.8106386715157088E-4</v>
      </c>
    </row>
    <row r="28" spans="1:77" x14ac:dyDescent="0.25">
      <c r="A28" t="s">
        <v>93</v>
      </c>
      <c r="B28" s="12">
        <f ca="1">+VLOOKUP($A28,INDIRECT(Adrese!B$2),2,FALSE)</f>
        <v>26</v>
      </c>
      <c r="C28" s="12">
        <f ca="1">+VLOOKUP($A28,INDIRECT(Adrese!C$2),2,FALSE)</f>
        <v>28</v>
      </c>
      <c r="D28" s="12">
        <f ca="1">+VLOOKUP($A28,INDIRECT(Adrese!D$2),2,FALSE)</f>
        <v>31</v>
      </c>
      <c r="E28" s="12">
        <f ca="1">+VLOOKUP($A28,INDIRECT(Adrese!E$2),2,FALSE)</f>
        <v>21</v>
      </c>
      <c r="F28" s="12">
        <f ca="1">+VLOOKUP($A28,INDIRECT(Adrese!F$2),2,FALSE)</f>
        <v>27</v>
      </c>
      <c r="G28" s="5">
        <f t="shared" ca="1" si="21"/>
        <v>26.6</v>
      </c>
      <c r="H28" s="5">
        <f t="shared" ca="1" si="1"/>
        <v>3.6469165057620874</v>
      </c>
      <c r="J28" t="s">
        <v>93</v>
      </c>
      <c r="K28">
        <f ca="1">+VLOOKUP($A28,INDIRECT(Adrese!B$2),3,FALSE)</f>
        <v>42</v>
      </c>
      <c r="L28">
        <f ca="1">+VLOOKUP($A28,INDIRECT(Adrese!C$2),3,FALSE)</f>
        <v>43</v>
      </c>
      <c r="M28">
        <f ca="1">+VLOOKUP($A28,INDIRECT(Adrese!D$2),3,FALSE)</f>
        <v>44</v>
      </c>
      <c r="N28">
        <f ca="1">+VLOOKUP($A28,INDIRECT(Adrese!E$2),3,FALSE)</f>
        <v>41</v>
      </c>
      <c r="O28">
        <f ca="1">+VLOOKUP($A28,INDIRECT(Adrese!F$2),3,FALSE)</f>
        <v>42</v>
      </c>
      <c r="P28" s="5">
        <f t="shared" ca="1" si="22"/>
        <v>42.4</v>
      </c>
      <c r="Q28" s="5">
        <f t="shared" ca="1" si="3"/>
        <v>1.1401754250991381</v>
      </c>
      <c r="T28" t="s">
        <v>93</v>
      </c>
      <c r="U28">
        <f ca="1">+VLOOKUP($T28,INDIRECT(Adrese!B$2),4,FALSE)</f>
        <v>123401</v>
      </c>
      <c r="V28">
        <f ca="1">+VLOOKUP($T28,INDIRECT(Adrese!C$2),4,FALSE)</f>
        <v>123332</v>
      </c>
      <c r="W28">
        <f ca="1">+VLOOKUP($T28,INDIRECT(Adrese!D$2),4,FALSE)</f>
        <v>122915</v>
      </c>
      <c r="X28">
        <f ca="1">+VLOOKUP($T28,INDIRECT(Adrese!E$2),4,FALSE)</f>
        <v>124137</v>
      </c>
      <c r="Y28">
        <f ca="1">+VLOOKUP($T28,INDIRECT(Adrese!F$2),4,FALSE)</f>
        <v>123445</v>
      </c>
      <c r="Z28">
        <f t="shared" ca="1" si="4"/>
        <v>617230</v>
      </c>
      <c r="AA28" s="5">
        <f t="shared" ca="1" si="23"/>
        <v>123446</v>
      </c>
      <c r="AB28" s="5">
        <f t="shared" ca="1" si="6"/>
        <v>440.01818144253991</v>
      </c>
      <c r="AD28" t="s">
        <v>93</v>
      </c>
      <c r="AE28">
        <f ca="1">+VLOOKUP($A28,INDIRECT(Adrese!B$2),5,FALSE)</f>
        <v>30757</v>
      </c>
      <c r="AF28">
        <f ca="1">+VLOOKUP($A28,INDIRECT(Adrese!C$2),5,FALSE)</f>
        <v>30762</v>
      </c>
      <c r="AG28">
        <f ca="1">+VLOOKUP($A28,INDIRECT(Adrese!D$2),5,FALSE)</f>
        <v>30431</v>
      </c>
      <c r="AH28">
        <f ca="1">+VLOOKUP($A28,INDIRECT(Adrese!E$2),5,FALSE)</f>
        <v>31310</v>
      </c>
      <c r="AI28">
        <f ca="1">+VLOOKUP($A28,INDIRECT(Adrese!F$2),5,FALSE)</f>
        <v>30899</v>
      </c>
      <c r="AJ28" s="5">
        <f t="shared" ca="1" si="24"/>
        <v>30831.8</v>
      </c>
      <c r="AK28" s="5">
        <f t="shared" ca="1" si="8"/>
        <v>317.92247482680426</v>
      </c>
      <c r="AM28" t="s">
        <v>93</v>
      </c>
      <c r="AN28" s="5">
        <f ca="1">+VLOOKUP($A28,INDIRECT(Adrese!B$2),6,FALSE)</f>
        <v>0.67603982300884957</v>
      </c>
      <c r="AO28" s="5">
        <f ca="1">+VLOOKUP($A28,INDIRECT(Adrese!C$2),6,FALSE)</f>
        <v>0.67615044199999996</v>
      </c>
      <c r="AP28" s="5">
        <f ca="1">+VLOOKUP($A28,INDIRECT(Adrese!D$2),6,FALSE)</f>
        <v>0.668827434</v>
      </c>
      <c r="AQ28" s="5">
        <f ca="1">+VLOOKUP($A28,INDIRECT(Adrese!E$2),6,FALSE)</f>
        <v>0.68827433599999999</v>
      </c>
      <c r="AR28" s="5">
        <f ca="1">+VLOOKUP($A28,INDIRECT(Adrese!F$2),6,FALSE)</f>
        <v>0.67918141600000004</v>
      </c>
      <c r="AS28" s="5" t="str">
        <f t="shared" ca="1" si="9"/>
        <v>0.68 (0.01)</v>
      </c>
      <c r="AT28" s="5">
        <f t="shared" ca="1" si="25"/>
        <v>0.67769469020176998</v>
      </c>
      <c r="AU28" s="5">
        <f t="shared" ca="1" si="11"/>
        <v>7.0336828777289749E-3</v>
      </c>
      <c r="AW28" t="s">
        <v>93</v>
      </c>
      <c r="AX28" s="5">
        <f ca="1">+VLOOKUP($A28,INDIRECT(Adrese!B$2),7,FALSE)</f>
        <v>0.81415929203539827</v>
      </c>
      <c r="AY28" s="5">
        <f ca="1">+VLOOKUP($A28,INDIRECT(Adrese!C$2),7,FALSE)</f>
        <v>0.80973451299999999</v>
      </c>
      <c r="AZ28" s="5">
        <f ca="1">+VLOOKUP($A28,INDIRECT(Adrese!D$2),7,FALSE)</f>
        <v>0.80530973500000003</v>
      </c>
      <c r="BA28" s="5">
        <f ca="1">+VLOOKUP($A28,INDIRECT(Adrese!E$2),7,FALSE)</f>
        <v>0.81858407099999997</v>
      </c>
      <c r="BB28" s="5">
        <f ca="1">+VLOOKUP($A28,INDIRECT(Adrese!F$2),7,FALSE)</f>
        <v>0.81415929200000003</v>
      </c>
      <c r="BC28" s="5" t="str">
        <f t="shared" ca="1" si="12"/>
        <v>0.81 (0.01)</v>
      </c>
      <c r="BD28">
        <f t="shared" ca="1" si="26"/>
        <v>0.81238938060707966</v>
      </c>
      <c r="BE28" s="5">
        <f t="shared" ca="1" si="14"/>
        <v>5.0450239295761574E-3</v>
      </c>
      <c r="BG28" t="s">
        <v>93</v>
      </c>
      <c r="BH28" s="5">
        <f ca="1">+VLOOKUP($BG28,INDIRECT(Adrese!B$2),8,FALSE)</f>
        <v>7.0972607903567603E-2</v>
      </c>
      <c r="BI28" s="5">
        <f ca="1">+VLOOKUP($BG28,INDIRECT(Adrese!C$2),8,FALSE)</f>
        <v>7.1247240000000003E-2</v>
      </c>
      <c r="BJ28" s="5">
        <f ca="1">+VLOOKUP($BG28,INDIRECT(Adrese!D$2),8,FALSE)</f>
        <v>7.0607609000000002E-2</v>
      </c>
      <c r="BK28" s="5">
        <f ca="1">+VLOOKUP($BG28,INDIRECT(Adrese!E$2),8,FALSE)</f>
        <v>7.2103218999999996E-2</v>
      </c>
      <c r="BL28" s="5">
        <f ca="1">+VLOOKUP($BG28,INDIRECT(Adrese!F$2),8,FALSE)</f>
        <v>7.1593487999999997E-2</v>
      </c>
      <c r="BM28" s="5" t="str">
        <f t="shared" ca="1" si="15"/>
        <v>0.07 (0.00)</v>
      </c>
      <c r="BN28" s="5">
        <f t="shared" ca="1" si="27"/>
        <v>7.130483278071352E-2</v>
      </c>
      <c r="BO28" s="5">
        <f t="shared" ca="1" si="17"/>
        <v>5.7457673302729211E-4</v>
      </c>
      <c r="BQ28" t="s">
        <v>93</v>
      </c>
      <c r="BR28" s="5">
        <f ca="1">+VLOOKUP($BG28,INDIRECT(Adrese!B$2),9,FALSE)</f>
        <v>8.0663943882981967E-2</v>
      </c>
      <c r="BS28" s="5">
        <f ca="1">+VLOOKUP($BG28,INDIRECT(Adrese!C$2),9,FALSE)</f>
        <v>8.1592208999999999E-2</v>
      </c>
      <c r="BT28" s="5">
        <f ca="1">+VLOOKUP($BG28,INDIRECT(Adrese!D$2),9,FALSE)</f>
        <v>8.0707431999999996E-2</v>
      </c>
      <c r="BU28" s="5">
        <f ca="1">+VLOOKUP($BG28,INDIRECT(Adrese!E$2),9,FALSE)</f>
        <v>8.2386122000000006E-2</v>
      </c>
      <c r="BV28" s="5">
        <f ca="1">+VLOOKUP($BG28,INDIRECT(Adrese!F$2),9,FALSE)</f>
        <v>8.2073119E-2</v>
      </c>
      <c r="BW28" s="5" t="str">
        <f t="shared" ca="1" si="18"/>
        <v>0.08 (0.00)</v>
      </c>
      <c r="BX28" s="5">
        <f t="shared" ca="1" si="28"/>
        <v>8.1484565176596385E-2</v>
      </c>
      <c r="BY28" s="5">
        <f t="shared" ca="1" si="20"/>
        <v>7.8232710282940242E-4</v>
      </c>
    </row>
    <row r="29" spans="1:77" x14ac:dyDescent="0.25">
      <c r="A29" t="s">
        <v>94</v>
      </c>
      <c r="B29" s="12">
        <f ca="1">+VLOOKUP($A29,INDIRECT(Adrese!B$2),2,FALSE)</f>
        <v>27</v>
      </c>
      <c r="C29" s="12">
        <f ca="1">+VLOOKUP($A29,INDIRECT(Adrese!C$2),2,FALSE)</f>
        <v>26</v>
      </c>
      <c r="D29" s="12">
        <f ca="1">+VLOOKUP($A29,INDIRECT(Adrese!D$2),2,FALSE)</f>
        <v>26</v>
      </c>
      <c r="E29" s="12">
        <f ca="1">+VLOOKUP($A29,INDIRECT(Adrese!E$2),2,FALSE)</f>
        <v>28</v>
      </c>
      <c r="F29" s="12">
        <f ca="1">+VLOOKUP($A29,INDIRECT(Adrese!F$2),2,FALSE)</f>
        <v>25</v>
      </c>
      <c r="G29" s="5">
        <f t="shared" ca="1" si="21"/>
        <v>26.4</v>
      </c>
      <c r="H29" s="5">
        <f t="shared" ca="1" si="1"/>
        <v>1.1401754250991378</v>
      </c>
      <c r="J29" t="s">
        <v>94</v>
      </c>
      <c r="K29">
        <f ca="1">+VLOOKUP($A29,INDIRECT(Adrese!B$2),3,FALSE)</f>
        <v>45</v>
      </c>
      <c r="L29">
        <f ca="1">+VLOOKUP($A29,INDIRECT(Adrese!C$2),3,FALSE)</f>
        <v>46</v>
      </c>
      <c r="M29">
        <f ca="1">+VLOOKUP($A29,INDIRECT(Adrese!D$2),3,FALSE)</f>
        <v>45</v>
      </c>
      <c r="N29">
        <f ca="1">+VLOOKUP($A29,INDIRECT(Adrese!E$2),3,FALSE)</f>
        <v>47</v>
      </c>
      <c r="O29">
        <f ca="1">+VLOOKUP($A29,INDIRECT(Adrese!F$2),3,FALSE)</f>
        <v>46</v>
      </c>
      <c r="P29" s="5">
        <f t="shared" ca="1" si="22"/>
        <v>45.8</v>
      </c>
      <c r="Q29" s="5">
        <f t="shared" ca="1" si="3"/>
        <v>0.83666002653407556</v>
      </c>
      <c r="T29" t="s">
        <v>94</v>
      </c>
      <c r="U29">
        <f ca="1">+VLOOKUP($T29,INDIRECT(Adrese!B$2),4,FALSE)</f>
        <v>123320</v>
      </c>
      <c r="V29">
        <f ca="1">+VLOOKUP($T29,INDIRECT(Adrese!C$2),4,FALSE)</f>
        <v>123750</v>
      </c>
      <c r="W29">
        <f ca="1">+VLOOKUP($T29,INDIRECT(Adrese!D$2),4,FALSE)</f>
        <v>123762</v>
      </c>
      <c r="X29">
        <f ca="1">+VLOOKUP($T29,INDIRECT(Adrese!E$2),4,FALSE)</f>
        <v>123433</v>
      </c>
      <c r="Y29">
        <f ca="1">+VLOOKUP($T29,INDIRECT(Adrese!F$2),4,FALSE)</f>
        <v>123459</v>
      </c>
      <c r="Z29">
        <f t="shared" ca="1" si="4"/>
        <v>617724</v>
      </c>
      <c r="AA29" s="5">
        <f t="shared" ca="1" si="23"/>
        <v>123544.8</v>
      </c>
      <c r="AB29" s="5">
        <f t="shared" ca="1" si="6"/>
        <v>199.79914914733746</v>
      </c>
      <c r="AD29" t="s">
        <v>94</v>
      </c>
      <c r="AE29">
        <f ca="1">+VLOOKUP($A29,INDIRECT(Adrese!B$2),5,FALSE)</f>
        <v>30709</v>
      </c>
      <c r="AF29">
        <f ca="1">+VLOOKUP($A29,INDIRECT(Adrese!C$2),5,FALSE)</f>
        <v>30918</v>
      </c>
      <c r="AG29">
        <f ca="1">+VLOOKUP($A29,INDIRECT(Adrese!D$2),5,FALSE)</f>
        <v>30836</v>
      </c>
      <c r="AH29">
        <f ca="1">+VLOOKUP($A29,INDIRECT(Adrese!E$2),5,FALSE)</f>
        <v>30607</v>
      </c>
      <c r="AI29">
        <f ca="1">+VLOOKUP($A29,INDIRECT(Adrese!F$2),5,FALSE)</f>
        <v>30700</v>
      </c>
      <c r="AJ29" s="5">
        <f t="shared" ca="1" si="24"/>
        <v>30754</v>
      </c>
      <c r="AK29" s="5">
        <f t="shared" ca="1" si="8"/>
        <v>122.64786993666054</v>
      </c>
      <c r="AM29" t="s">
        <v>94</v>
      </c>
      <c r="AN29" s="5">
        <f ca="1">+VLOOKUP($A29,INDIRECT(Adrese!B$2),6,FALSE)</f>
        <v>0.67497787610619464</v>
      </c>
      <c r="AO29" s="5">
        <f ca="1">+VLOOKUP($A29,INDIRECT(Adrese!C$2),6,FALSE)</f>
        <v>0.67960176999999999</v>
      </c>
      <c r="AP29" s="5">
        <f ca="1">+VLOOKUP($A29,INDIRECT(Adrese!D$2),6,FALSE)</f>
        <v>0.67778761099999996</v>
      </c>
      <c r="AQ29" s="5">
        <f ca="1">+VLOOKUP($A29,INDIRECT(Adrese!E$2),6,FALSE)</f>
        <v>0.67272123900000003</v>
      </c>
      <c r="AR29" s="5">
        <f ca="1">+VLOOKUP($A29,INDIRECT(Adrese!F$2),6,FALSE)</f>
        <v>0.674778761</v>
      </c>
      <c r="AS29" s="5" t="str">
        <f t="shared" ca="1" si="9"/>
        <v>0.68 (0.00)</v>
      </c>
      <c r="AT29" s="5">
        <f t="shared" ca="1" si="25"/>
        <v>0.67597345142123877</v>
      </c>
      <c r="AU29" s="5">
        <f t="shared" ca="1" si="11"/>
        <v>2.7134485313701491E-3</v>
      </c>
      <c r="AW29" t="s">
        <v>94</v>
      </c>
      <c r="AX29" s="5">
        <f ca="1">+VLOOKUP($A29,INDIRECT(Adrese!B$2),7,FALSE)</f>
        <v>0.80088495575221241</v>
      </c>
      <c r="AY29" s="5">
        <f ca="1">+VLOOKUP($A29,INDIRECT(Adrese!C$2),7,FALSE)</f>
        <v>0.79646017700000005</v>
      </c>
      <c r="AZ29" s="5">
        <f ca="1">+VLOOKUP($A29,INDIRECT(Adrese!D$2),7,FALSE)</f>
        <v>0.80088495599999998</v>
      </c>
      <c r="BA29" s="5">
        <f ca="1">+VLOOKUP($A29,INDIRECT(Adrese!E$2),7,FALSE)</f>
        <v>0.792035398</v>
      </c>
      <c r="BB29" s="5">
        <f ca="1">+VLOOKUP($A29,INDIRECT(Adrese!F$2),7,FALSE)</f>
        <v>0.79646017700000005</v>
      </c>
      <c r="BC29" s="5" t="str">
        <f t="shared" ca="1" si="12"/>
        <v>0.80 (0.00)</v>
      </c>
      <c r="BD29">
        <f t="shared" ca="1" si="26"/>
        <v>0.7973451327504425</v>
      </c>
      <c r="BE29" s="5">
        <f t="shared" ca="1" si="14"/>
        <v>3.7020356563148482E-3</v>
      </c>
      <c r="BG29" t="s">
        <v>94</v>
      </c>
      <c r="BH29" s="5">
        <f ca="1">+VLOOKUP($BG29,INDIRECT(Adrese!B$2),8,FALSE)</f>
        <v>7.1510619430765518E-2</v>
      </c>
      <c r="BI29" s="5">
        <f ca="1">+VLOOKUP($BG29,INDIRECT(Adrese!C$2),8,FALSE)</f>
        <v>7.1856745999999999E-2</v>
      </c>
      <c r="BJ29" s="5">
        <f ca="1">+VLOOKUP($BG29,INDIRECT(Adrese!D$2),8,FALSE)</f>
        <v>7.1831432000000001E-2</v>
      </c>
      <c r="BK29" s="5">
        <f ca="1">+VLOOKUP($BG29,INDIRECT(Adrese!E$2),8,FALSE)</f>
        <v>7.1215680000000003E-2</v>
      </c>
      <c r="BL29" s="5">
        <f ca="1">+VLOOKUP($BG29,INDIRECT(Adrese!F$2),8,FALSE)</f>
        <v>7.1471489999999999E-2</v>
      </c>
      <c r="BM29" s="5" t="str">
        <f t="shared" ca="1" si="15"/>
        <v>0.07 (0.00)</v>
      </c>
      <c r="BN29" s="5">
        <f t="shared" ca="1" si="27"/>
        <v>7.1577193486153101E-2</v>
      </c>
      <c r="BO29" s="5">
        <f t="shared" ca="1" si="17"/>
        <v>2.6883273723052884E-4</v>
      </c>
      <c r="BQ29" t="s">
        <v>94</v>
      </c>
      <c r="BR29" s="5">
        <f ca="1">+VLOOKUP($BG29,INDIRECT(Adrese!B$2),9,FALSE)</f>
        <v>8.2995345549359931E-2</v>
      </c>
      <c r="BS29" s="5">
        <f ca="1">+VLOOKUP($BG29,INDIRECT(Adrese!C$2),9,FALSE)</f>
        <v>8.3263663000000002E-2</v>
      </c>
      <c r="BT29" s="5">
        <f ca="1">+VLOOKUP($BG29,INDIRECT(Adrese!D$2),9,FALSE)</f>
        <v>8.3074783999999999E-2</v>
      </c>
      <c r="BU29" s="5">
        <f ca="1">+VLOOKUP($BG29,INDIRECT(Adrese!E$2),9,FALSE)</f>
        <v>8.2110923000000002E-2</v>
      </c>
      <c r="BV29" s="5">
        <f ca="1">+VLOOKUP($BG29,INDIRECT(Adrese!F$2),9,FALSE)</f>
        <v>8.2401674999999994E-2</v>
      </c>
      <c r="BW29" s="5" t="str">
        <f t="shared" ca="1" si="18"/>
        <v>0.08 (0.00)</v>
      </c>
      <c r="BX29" s="5">
        <f t="shared" ca="1" si="28"/>
        <v>8.2769278109871988E-2</v>
      </c>
      <c r="BY29" s="5">
        <f t="shared" ca="1" si="20"/>
        <v>4.8923926987940846E-4</v>
      </c>
    </row>
    <row r="30" spans="1:77" x14ac:dyDescent="0.25">
      <c r="A30" t="s">
        <v>95</v>
      </c>
      <c r="B30" s="12">
        <f ca="1">+VLOOKUP($A30,INDIRECT(Adrese!B$2),2,FALSE)</f>
        <v>28</v>
      </c>
      <c r="C30" s="12">
        <f ca="1">+VLOOKUP($A30,INDIRECT(Adrese!C$2),2,FALSE)</f>
        <v>25</v>
      </c>
      <c r="D30" s="12">
        <f ca="1">+VLOOKUP($A30,INDIRECT(Adrese!D$2),2,FALSE)</f>
        <v>23</v>
      </c>
      <c r="E30" s="12">
        <f ca="1">+VLOOKUP($A30,INDIRECT(Adrese!E$2),2,FALSE)</f>
        <v>23</v>
      </c>
      <c r="F30" s="12">
        <f ca="1">+VLOOKUP($A30,INDIRECT(Adrese!F$2),2,FALSE)</f>
        <v>29</v>
      </c>
      <c r="G30" s="5">
        <f t="shared" ca="1" si="21"/>
        <v>25.6</v>
      </c>
      <c r="H30" s="5">
        <f t="shared" ca="1" si="1"/>
        <v>2.7928480087537886</v>
      </c>
      <c r="J30" t="s">
        <v>95</v>
      </c>
      <c r="K30">
        <f ca="1">+VLOOKUP($A30,INDIRECT(Adrese!B$2),3,FALSE)</f>
        <v>25</v>
      </c>
      <c r="L30">
        <f ca="1">+VLOOKUP($A30,INDIRECT(Adrese!C$2),3,FALSE)</f>
        <v>26</v>
      </c>
      <c r="M30">
        <f ca="1">+VLOOKUP($A30,INDIRECT(Adrese!D$2),3,FALSE)</f>
        <v>28</v>
      </c>
      <c r="N30">
        <f ca="1">+VLOOKUP($A30,INDIRECT(Adrese!E$2),3,FALSE)</f>
        <v>25</v>
      </c>
      <c r="O30">
        <f ca="1">+VLOOKUP($A30,INDIRECT(Adrese!F$2),3,FALSE)</f>
        <v>26</v>
      </c>
      <c r="P30" s="5">
        <f t="shared" ca="1" si="22"/>
        <v>26</v>
      </c>
      <c r="Q30" s="5">
        <f t="shared" ca="1" si="3"/>
        <v>1.2247448713915889</v>
      </c>
      <c r="T30" t="s">
        <v>95</v>
      </c>
      <c r="U30">
        <f ca="1">+VLOOKUP($T30,INDIRECT(Adrese!B$2),4,FALSE)</f>
        <v>123190</v>
      </c>
      <c r="V30">
        <f ca="1">+VLOOKUP($T30,INDIRECT(Adrese!C$2),4,FALSE)</f>
        <v>123803</v>
      </c>
      <c r="W30">
        <f ca="1">+VLOOKUP($T30,INDIRECT(Adrese!D$2),4,FALSE)</f>
        <v>123944</v>
      </c>
      <c r="X30">
        <f ca="1">+VLOOKUP($T30,INDIRECT(Adrese!E$2),4,FALSE)</f>
        <v>123865</v>
      </c>
      <c r="Y30">
        <f ca="1">+VLOOKUP($T30,INDIRECT(Adrese!F$2),4,FALSE)</f>
        <v>123336</v>
      </c>
      <c r="Z30">
        <f t="shared" ca="1" si="4"/>
        <v>618138</v>
      </c>
      <c r="AA30" s="5">
        <f t="shared" ca="1" si="23"/>
        <v>123627.6</v>
      </c>
      <c r="AB30" s="5">
        <f t="shared" ca="1" si="6"/>
        <v>340.49860498980019</v>
      </c>
      <c r="AD30" t="s">
        <v>95</v>
      </c>
      <c r="AE30">
        <f ca="1">+VLOOKUP($A30,INDIRECT(Adrese!B$2),5,FALSE)</f>
        <v>36467</v>
      </c>
      <c r="AF30">
        <f ca="1">+VLOOKUP($A30,INDIRECT(Adrese!C$2),5,FALSE)</f>
        <v>36353</v>
      </c>
      <c r="AG30">
        <f ca="1">+VLOOKUP($A30,INDIRECT(Adrese!D$2),5,FALSE)</f>
        <v>35742</v>
      </c>
      <c r="AH30">
        <f ca="1">+VLOOKUP($A30,INDIRECT(Adrese!E$2),5,FALSE)</f>
        <v>36628</v>
      </c>
      <c r="AI30">
        <f ca="1">+VLOOKUP($A30,INDIRECT(Adrese!F$2),5,FALSE)</f>
        <v>36442</v>
      </c>
      <c r="AJ30" s="5">
        <f t="shared" ca="1" si="24"/>
        <v>36326.400000000001</v>
      </c>
      <c r="AK30" s="5">
        <f t="shared" ca="1" si="8"/>
        <v>341.44003865979158</v>
      </c>
      <c r="AM30" t="s">
        <v>95</v>
      </c>
      <c r="AN30" s="5">
        <f ca="1">+VLOOKUP($A30,INDIRECT(Adrese!B$2),6,FALSE)</f>
        <v>0.80236725663716812</v>
      </c>
      <c r="AO30" s="5">
        <f ca="1">+VLOOKUP($A30,INDIRECT(Adrese!C$2),6,FALSE)</f>
        <v>0.79984513300000004</v>
      </c>
      <c r="AP30" s="5">
        <f ca="1">+VLOOKUP($A30,INDIRECT(Adrese!D$2),6,FALSE)</f>
        <v>0.78632743400000005</v>
      </c>
      <c r="AQ30" s="5">
        <f ca="1">+VLOOKUP($A30,INDIRECT(Adrese!E$2),6,FALSE)</f>
        <v>0.80592920400000001</v>
      </c>
      <c r="AR30" s="5">
        <f ca="1">+VLOOKUP($A30,INDIRECT(Adrese!F$2),6,FALSE)</f>
        <v>0.80181415899999997</v>
      </c>
      <c r="AS30" s="5" t="str">
        <f t="shared" ca="1" si="9"/>
        <v>0.80 (0.01)</v>
      </c>
      <c r="AT30" s="5">
        <f t="shared" ca="1" si="25"/>
        <v>0.79925663732743357</v>
      </c>
      <c r="AU30" s="5">
        <f t="shared" ca="1" si="11"/>
        <v>7.5539830790506178E-3</v>
      </c>
      <c r="AW30" t="s">
        <v>95</v>
      </c>
      <c r="AX30" s="5">
        <f ca="1">+VLOOKUP($A30,INDIRECT(Adrese!B$2),7,FALSE)</f>
        <v>0.88938053097345138</v>
      </c>
      <c r="AY30" s="5">
        <f ca="1">+VLOOKUP($A30,INDIRECT(Adrese!C$2),7,FALSE)</f>
        <v>0.88495575199999998</v>
      </c>
      <c r="AZ30" s="5">
        <f ca="1">+VLOOKUP($A30,INDIRECT(Adrese!D$2),7,FALSE)</f>
        <v>0.87610619499999998</v>
      </c>
      <c r="BA30" s="5">
        <f ca="1">+VLOOKUP($A30,INDIRECT(Adrese!E$2),7,FALSE)</f>
        <v>0.88938053100000003</v>
      </c>
      <c r="BB30" s="5">
        <f ca="1">+VLOOKUP($A30,INDIRECT(Adrese!F$2),7,FALSE)</f>
        <v>0.88495575199999998</v>
      </c>
      <c r="BC30" s="5" t="str">
        <f t="shared" ca="1" si="12"/>
        <v>0.88 (0.01)</v>
      </c>
      <c r="BD30">
        <f t="shared" ca="1" si="26"/>
        <v>0.88495575219469025</v>
      </c>
      <c r="BE30" s="5">
        <f t="shared" ca="1" si="14"/>
        <v>5.4192249736237175E-3</v>
      </c>
      <c r="BG30" t="s">
        <v>95</v>
      </c>
      <c r="BH30" s="5">
        <f ca="1">+VLOOKUP($BG30,INDIRECT(Adrese!B$2),8,FALSE)</f>
        <v>7.9473223068666346E-2</v>
      </c>
      <c r="BI30" s="5">
        <f ca="1">+VLOOKUP($BG30,INDIRECT(Adrese!C$2),8,FALSE)</f>
        <v>7.9381867999999994E-2</v>
      </c>
      <c r="BJ30" s="5">
        <f ca="1">+VLOOKUP($BG30,INDIRECT(Adrese!D$2),8,FALSE)</f>
        <v>7.8290129999999999E-2</v>
      </c>
      <c r="BK30" s="5">
        <f ca="1">+VLOOKUP($BG30,INDIRECT(Adrese!E$2),8,FALSE)</f>
        <v>7.9701962000000001E-2</v>
      </c>
      <c r="BL30" s="5">
        <f ca="1">+VLOOKUP($BG30,INDIRECT(Adrese!F$2),8,FALSE)</f>
        <v>7.9594761E-2</v>
      </c>
      <c r="BM30" s="5" t="str">
        <f t="shared" ca="1" si="15"/>
        <v>0.08 (0.00)</v>
      </c>
      <c r="BN30" s="5">
        <f t="shared" ca="1" si="27"/>
        <v>7.9288388813733277E-2</v>
      </c>
      <c r="BO30" s="5">
        <f t="shared" ca="1" si="17"/>
        <v>5.710362107989701E-4</v>
      </c>
      <c r="BQ30" t="s">
        <v>95</v>
      </c>
      <c r="BR30" s="5">
        <f ca="1">+VLOOKUP($BG30,INDIRECT(Adrese!B$2),9,FALSE)</f>
        <v>8.5097090159153219E-2</v>
      </c>
      <c r="BS30" s="5">
        <f ca="1">+VLOOKUP($BG30,INDIRECT(Adrese!C$2),9,FALSE)</f>
        <v>8.5389583000000005E-2</v>
      </c>
      <c r="BT30" s="5">
        <f ca="1">+VLOOKUP($BG30,INDIRECT(Adrese!D$2),9,FALSE)</f>
        <v>8.4260604000000003E-2</v>
      </c>
      <c r="BU30" s="5">
        <f ca="1">+VLOOKUP($BG30,INDIRECT(Adrese!E$2),9,FALSE)</f>
        <v>8.5167835999999997E-2</v>
      </c>
      <c r="BV30" s="5">
        <f ca="1">+VLOOKUP($BG30,INDIRECT(Adrese!F$2),9,FALSE)</f>
        <v>8.5342976000000001E-2</v>
      </c>
      <c r="BW30" s="5" t="str">
        <f t="shared" ca="1" si="18"/>
        <v>0.09 (0.00)</v>
      </c>
      <c r="BX30" s="5">
        <f t="shared" ca="1" si="28"/>
        <v>8.5051617831830656E-2</v>
      </c>
      <c r="BY30" s="5">
        <f t="shared" ca="1" si="20"/>
        <v>4.5836320597505227E-4</v>
      </c>
    </row>
    <row r="31" spans="1:77" x14ac:dyDescent="0.25">
      <c r="A31" t="s">
        <v>14</v>
      </c>
      <c r="B31" s="12">
        <f ca="1">+VLOOKUP($A31,INDIRECT(Adrese!B$2),2,FALSE)</f>
        <v>29</v>
      </c>
      <c r="C31" s="12">
        <f ca="1">+VLOOKUP($A31,INDIRECT(Adrese!C$2),2,FALSE)</f>
        <v>32</v>
      </c>
      <c r="D31" s="12">
        <f ca="1">+VLOOKUP($A31,INDIRECT(Adrese!D$2),2,FALSE)</f>
        <v>33</v>
      </c>
      <c r="E31" s="12">
        <f ca="1">+VLOOKUP($A31,INDIRECT(Adrese!E$2),2,FALSE)</f>
        <v>34</v>
      </c>
      <c r="F31" s="12">
        <f ca="1">+VLOOKUP($A31,INDIRECT(Adrese!F$2),2,FALSE)</f>
        <v>33</v>
      </c>
      <c r="G31" s="5">
        <f t="shared" ca="1" si="21"/>
        <v>32.200000000000003</v>
      </c>
      <c r="H31" s="5">
        <f t="shared" ca="1" si="1"/>
        <v>1.9235384061671343</v>
      </c>
      <c r="J31" t="s">
        <v>14</v>
      </c>
      <c r="K31">
        <f ca="1">+VLOOKUP($A31,INDIRECT(Adrese!B$2),3,FALSE)</f>
        <v>43</v>
      </c>
      <c r="L31">
        <f ca="1">+VLOOKUP($A31,INDIRECT(Adrese!C$2),3,FALSE)</f>
        <v>43</v>
      </c>
      <c r="M31">
        <f ca="1">+VLOOKUP($A31,INDIRECT(Adrese!D$2),3,FALSE)</f>
        <v>44</v>
      </c>
      <c r="N31">
        <f ca="1">+VLOOKUP($A31,INDIRECT(Adrese!E$2),3,FALSE)</f>
        <v>45</v>
      </c>
      <c r="O31">
        <f ca="1">+VLOOKUP($A31,INDIRECT(Adrese!F$2),3,FALSE)</f>
        <v>45</v>
      </c>
      <c r="P31" s="5">
        <f t="shared" ca="1" si="22"/>
        <v>44</v>
      </c>
      <c r="Q31" s="5">
        <f t="shared" ca="1" si="3"/>
        <v>1</v>
      </c>
      <c r="T31" t="s">
        <v>14</v>
      </c>
      <c r="U31">
        <f ca="1">+VLOOKUP($T31,INDIRECT(Adrese!B$2),4,FALSE)</f>
        <v>123117</v>
      </c>
      <c r="V31">
        <f ca="1">+VLOOKUP($T31,INDIRECT(Adrese!C$2),4,FALSE)</f>
        <v>122913</v>
      </c>
      <c r="W31">
        <f ca="1">+VLOOKUP($T31,INDIRECT(Adrese!D$2),4,FALSE)</f>
        <v>122518</v>
      </c>
      <c r="X31">
        <f ca="1">+VLOOKUP($T31,INDIRECT(Adrese!E$2),4,FALSE)</f>
        <v>122596</v>
      </c>
      <c r="Y31">
        <f ca="1">+VLOOKUP($T31,INDIRECT(Adrese!F$2),4,FALSE)</f>
        <v>122605</v>
      </c>
      <c r="Z31">
        <f t="shared" ca="1" si="4"/>
        <v>613749</v>
      </c>
      <c r="AA31" s="5">
        <f t="shared" ca="1" si="23"/>
        <v>122749.8</v>
      </c>
      <c r="AB31" s="5">
        <f t="shared" ca="1" si="6"/>
        <v>254.8640814238052</v>
      </c>
      <c r="AD31" t="s">
        <v>14</v>
      </c>
      <c r="AE31">
        <f ca="1">+VLOOKUP($A31,INDIRECT(Adrese!B$2),5,FALSE)</f>
        <v>33919</v>
      </c>
      <c r="AF31">
        <f ca="1">+VLOOKUP($A31,INDIRECT(Adrese!C$2),5,FALSE)</f>
        <v>33861</v>
      </c>
      <c r="AG31">
        <f ca="1">+VLOOKUP($A31,INDIRECT(Adrese!D$2),5,FALSE)</f>
        <v>33551</v>
      </c>
      <c r="AH31">
        <f ca="1">+VLOOKUP($A31,INDIRECT(Adrese!E$2),5,FALSE)</f>
        <v>33824</v>
      </c>
      <c r="AI31">
        <f ca="1">+VLOOKUP($A31,INDIRECT(Adrese!F$2),5,FALSE)</f>
        <v>33732</v>
      </c>
      <c r="AJ31" s="5">
        <f t="shared" ca="1" si="24"/>
        <v>33777.4</v>
      </c>
      <c r="AK31" s="5">
        <f t="shared" ca="1" si="8"/>
        <v>143.63947925274584</v>
      </c>
      <c r="AM31" t="s">
        <v>14</v>
      </c>
      <c r="AN31" s="5">
        <f ca="1">+VLOOKUP($A31,INDIRECT(Adrese!B$2),6,FALSE)</f>
        <v>0.74599557522123894</v>
      </c>
      <c r="AO31" s="5">
        <f ca="1">+VLOOKUP($A31,INDIRECT(Adrese!C$2),6,FALSE)</f>
        <v>0.74471238900000003</v>
      </c>
      <c r="AP31" s="5">
        <f ca="1">+VLOOKUP($A31,INDIRECT(Adrese!D$2),6,FALSE)</f>
        <v>0.73785398199999996</v>
      </c>
      <c r="AQ31" s="5">
        <f ca="1">+VLOOKUP($A31,INDIRECT(Adrese!E$2),6,FALSE)</f>
        <v>0.74389380500000002</v>
      </c>
      <c r="AR31" s="5">
        <f ca="1">+VLOOKUP($A31,INDIRECT(Adrese!F$2),6,FALSE)</f>
        <v>0.74185840700000005</v>
      </c>
      <c r="AS31" s="5" t="str">
        <f t="shared" ca="1" si="9"/>
        <v>0.74 (0.00)</v>
      </c>
      <c r="AT31" s="5">
        <f t="shared" ca="1" si="25"/>
        <v>0.74286283164424771</v>
      </c>
      <c r="AU31" s="5">
        <f t="shared" ca="1" si="11"/>
        <v>3.1778646296027656E-3</v>
      </c>
      <c r="AW31" t="s">
        <v>14</v>
      </c>
      <c r="AX31" s="5">
        <f ca="1">+VLOOKUP($A31,INDIRECT(Adrese!B$2),7,FALSE)</f>
        <v>0.80973451327433632</v>
      </c>
      <c r="AY31" s="5">
        <f ca="1">+VLOOKUP($A31,INDIRECT(Adrese!C$2),7,FALSE)</f>
        <v>0.80973451299999999</v>
      </c>
      <c r="AZ31" s="5">
        <f ca="1">+VLOOKUP($A31,INDIRECT(Adrese!D$2),7,FALSE)</f>
        <v>0.80530973500000003</v>
      </c>
      <c r="BA31" s="5">
        <f ca="1">+VLOOKUP($A31,INDIRECT(Adrese!E$2),7,FALSE)</f>
        <v>0.80088495599999998</v>
      </c>
      <c r="BB31" s="5">
        <f ca="1">+VLOOKUP($A31,INDIRECT(Adrese!F$2),7,FALSE)</f>
        <v>0.80088495599999998</v>
      </c>
      <c r="BC31" s="5" t="str">
        <f t="shared" ca="1" si="12"/>
        <v>0.81 (0.00)</v>
      </c>
      <c r="BD31">
        <f t="shared" ca="1" si="26"/>
        <v>0.80530973465486722</v>
      </c>
      <c r="BE31" s="5">
        <f t="shared" ca="1" si="14"/>
        <v>4.424778568584092E-3</v>
      </c>
      <c r="BG31" t="s">
        <v>14</v>
      </c>
      <c r="BH31" s="5">
        <f ca="1">+VLOOKUP($BG31,INDIRECT(Adrese!B$2),8,FALSE)</f>
        <v>7.5675008341901759E-2</v>
      </c>
      <c r="BI31" s="5">
        <f ca="1">+VLOOKUP($BG31,INDIRECT(Adrese!C$2),8,FALSE)</f>
        <v>7.5711273999999995E-2</v>
      </c>
      <c r="BJ31" s="5">
        <f ca="1">+VLOOKUP($BG31,INDIRECT(Adrese!D$2),8,FALSE)</f>
        <v>7.5201012999999997E-2</v>
      </c>
      <c r="BK31" s="5">
        <f ca="1">+VLOOKUP($BG31,INDIRECT(Adrese!E$2),8,FALSE)</f>
        <v>7.5594650999999999E-2</v>
      </c>
      <c r="BL31" s="5">
        <f ca="1">+VLOOKUP($BG31,INDIRECT(Adrese!F$2),8,FALSE)</f>
        <v>7.5338569999999994E-2</v>
      </c>
      <c r="BM31" s="5" t="str">
        <f t="shared" ca="1" si="15"/>
        <v>0.08 (0.00)</v>
      </c>
      <c r="BN31" s="5">
        <f t="shared" ca="1" si="27"/>
        <v>7.5504103268380349E-2</v>
      </c>
      <c r="BO31" s="5">
        <f t="shared" ca="1" si="17"/>
        <v>2.2337867043665928E-4</v>
      </c>
      <c r="BQ31" t="s">
        <v>14</v>
      </c>
      <c r="BR31" s="5">
        <f ca="1">+VLOOKUP($BG31,INDIRECT(Adrese!B$2),9,FALSE)</f>
        <v>8.2178935113383353E-2</v>
      </c>
      <c r="BS31" s="5">
        <f ca="1">+VLOOKUP($BG31,INDIRECT(Adrese!C$2),9,FALSE)</f>
        <v>8.2446220000000001E-2</v>
      </c>
      <c r="BT31" s="5">
        <f ca="1">+VLOOKUP($BG31,INDIRECT(Adrese!D$2),9,FALSE)</f>
        <v>8.1571637000000002E-2</v>
      </c>
      <c r="BU31" s="5">
        <f ca="1">+VLOOKUP($BG31,INDIRECT(Adrese!E$2),9,FALSE)</f>
        <v>8.2201479999999993E-2</v>
      </c>
      <c r="BV31" s="5">
        <f ca="1">+VLOOKUP($BG31,INDIRECT(Adrese!F$2),9,FALSE)</f>
        <v>8.1038800999999994E-2</v>
      </c>
      <c r="BW31" s="5" t="str">
        <f t="shared" ca="1" si="18"/>
        <v>0.08 (0.00)</v>
      </c>
      <c r="BX31" s="5">
        <f t="shared" ca="1" si="28"/>
        <v>8.1887414622676666E-2</v>
      </c>
      <c r="BY31" s="5">
        <f t="shared" ca="1" si="20"/>
        <v>5.7352970608250467E-4</v>
      </c>
    </row>
    <row r="32" spans="1:77" x14ac:dyDescent="0.25">
      <c r="A32" t="s">
        <v>96</v>
      </c>
      <c r="B32" s="12">
        <f ca="1">+VLOOKUP($A32,INDIRECT(Adrese!B$2),2,FALSE)</f>
        <v>30</v>
      </c>
      <c r="C32" s="12">
        <f ca="1">+VLOOKUP($A32,INDIRECT(Adrese!C$2),2,FALSE)</f>
        <v>31</v>
      </c>
      <c r="D32" s="12">
        <f ca="1">+VLOOKUP($A32,INDIRECT(Adrese!D$2),2,FALSE)</f>
        <v>38</v>
      </c>
      <c r="E32" s="12">
        <f ca="1">+VLOOKUP($A32,INDIRECT(Adrese!E$2),2,FALSE)</f>
        <v>30</v>
      </c>
      <c r="F32" s="12">
        <f ca="1">+VLOOKUP($A32,INDIRECT(Adrese!F$2),2,FALSE)</f>
        <v>38</v>
      </c>
      <c r="G32" s="5">
        <f t="shared" ca="1" si="21"/>
        <v>33.4</v>
      </c>
      <c r="H32" s="5">
        <f t="shared" ca="1" si="1"/>
        <v>4.2190046219457917</v>
      </c>
      <c r="J32" t="s">
        <v>96</v>
      </c>
      <c r="K32">
        <f ca="1">+VLOOKUP($A32,INDIRECT(Adrese!B$2),3,FALSE)</f>
        <v>188</v>
      </c>
      <c r="L32">
        <f ca="1">+VLOOKUP($A32,INDIRECT(Adrese!C$2),3,FALSE)</f>
        <v>188</v>
      </c>
      <c r="M32">
        <f ca="1">+VLOOKUP($A32,INDIRECT(Adrese!D$2),3,FALSE)</f>
        <v>188</v>
      </c>
      <c r="N32">
        <f ca="1">+VLOOKUP($A32,INDIRECT(Adrese!E$2),3,FALSE)</f>
        <v>188</v>
      </c>
      <c r="O32">
        <f ca="1">+VLOOKUP($A32,INDIRECT(Adrese!F$2),3,FALSE)</f>
        <v>190</v>
      </c>
      <c r="P32" s="5">
        <f t="shared" ca="1" si="22"/>
        <v>188.4</v>
      </c>
      <c r="Q32" s="5">
        <f t="shared" ca="1" si="3"/>
        <v>0.89442719099991586</v>
      </c>
      <c r="T32" t="s">
        <v>96</v>
      </c>
      <c r="U32">
        <f ca="1">+VLOOKUP($T32,INDIRECT(Adrese!B$2),4,FALSE)</f>
        <v>122661</v>
      </c>
      <c r="V32">
        <f ca="1">+VLOOKUP($T32,INDIRECT(Adrese!C$2),4,FALSE)</f>
        <v>122919</v>
      </c>
      <c r="W32">
        <f ca="1">+VLOOKUP($T32,INDIRECT(Adrese!D$2),4,FALSE)</f>
        <v>121378</v>
      </c>
      <c r="X32">
        <f ca="1">+VLOOKUP($T32,INDIRECT(Adrese!E$2),4,FALSE)</f>
        <v>122919</v>
      </c>
      <c r="Y32">
        <f ca="1">+VLOOKUP($T32,INDIRECT(Adrese!F$2),4,FALSE)</f>
        <v>121655</v>
      </c>
      <c r="Z32">
        <f t="shared" ca="1" si="4"/>
        <v>611532</v>
      </c>
      <c r="AA32" s="5">
        <f t="shared" ca="1" si="23"/>
        <v>122306.4</v>
      </c>
      <c r="AB32" s="5">
        <f t="shared" ca="1" si="6"/>
        <v>735.28008268958297</v>
      </c>
      <c r="AD32" t="s">
        <v>96</v>
      </c>
      <c r="AE32">
        <f ca="1">+VLOOKUP($A32,INDIRECT(Adrese!B$2),5,FALSE)</f>
        <v>27291</v>
      </c>
      <c r="AF32">
        <f ca="1">+VLOOKUP($A32,INDIRECT(Adrese!C$2),5,FALSE)</f>
        <v>28288</v>
      </c>
      <c r="AG32">
        <f ca="1">+VLOOKUP($A32,INDIRECT(Adrese!D$2),5,FALSE)</f>
        <v>27342</v>
      </c>
      <c r="AH32">
        <f ca="1">+VLOOKUP($A32,INDIRECT(Adrese!E$2),5,FALSE)</f>
        <v>27433</v>
      </c>
      <c r="AI32">
        <f ca="1">+VLOOKUP($A32,INDIRECT(Adrese!F$2),5,FALSE)</f>
        <v>27836</v>
      </c>
      <c r="AJ32" s="5">
        <f t="shared" ca="1" si="24"/>
        <v>27638</v>
      </c>
      <c r="AK32" s="5">
        <f t="shared" ca="1" si="8"/>
        <v>421.82757140803398</v>
      </c>
      <c r="AM32" t="s">
        <v>96</v>
      </c>
      <c r="AN32" s="5">
        <f ca="1">+VLOOKUP($A32,INDIRECT(Adrese!B$2),6,FALSE)</f>
        <v>0.59938053097345134</v>
      </c>
      <c r="AO32" s="5">
        <f ca="1">+VLOOKUP($A32,INDIRECT(Adrese!C$2),6,FALSE)</f>
        <v>0.62143805299999999</v>
      </c>
      <c r="AP32" s="5">
        <f ca="1">+VLOOKUP($A32,INDIRECT(Adrese!D$2),6,FALSE)</f>
        <v>0.60050884999999998</v>
      </c>
      <c r="AQ32" s="5">
        <f ca="1">+VLOOKUP($A32,INDIRECT(Adrese!E$2),6,FALSE)</f>
        <v>0.60252212400000005</v>
      </c>
      <c r="AR32" s="5">
        <f ca="1">+VLOOKUP($A32,INDIRECT(Adrese!F$2),6,FALSE)</f>
        <v>0.61143805299999998</v>
      </c>
      <c r="AS32" s="5" t="str">
        <f t="shared" ca="1" si="9"/>
        <v>0.61 (0.01)</v>
      </c>
      <c r="AT32" s="5">
        <f t="shared" ca="1" si="25"/>
        <v>0.60705752219469022</v>
      </c>
      <c r="AU32" s="5">
        <f t="shared" ca="1" si="11"/>
        <v>9.3324682545350476E-3</v>
      </c>
      <c r="AW32" t="s">
        <v>96</v>
      </c>
      <c r="AX32" s="5">
        <f ca="1">+VLOOKUP($A32,INDIRECT(Adrese!B$2),7,FALSE)</f>
        <v>0.16814159292035399</v>
      </c>
      <c r="AY32" s="5">
        <f ca="1">+VLOOKUP($A32,INDIRECT(Adrese!C$2),7,FALSE)</f>
        <v>0.16814159300000001</v>
      </c>
      <c r="AZ32" s="5">
        <f ca="1">+VLOOKUP($A32,INDIRECT(Adrese!D$2),7,FALSE)</f>
        <v>0.16814159300000001</v>
      </c>
      <c r="BA32" s="5">
        <f ca="1">+VLOOKUP($A32,INDIRECT(Adrese!E$2),7,FALSE)</f>
        <v>0.16814159300000001</v>
      </c>
      <c r="BB32" s="5">
        <f ca="1">+VLOOKUP($A32,INDIRECT(Adrese!F$2),7,FALSE)</f>
        <v>0.159292035</v>
      </c>
      <c r="BC32" s="5" t="str">
        <f t="shared" ca="1" si="12"/>
        <v>0.17 (0.00)</v>
      </c>
      <c r="BD32">
        <f t="shared" ca="1" si="26"/>
        <v>0.1663716813840708</v>
      </c>
      <c r="BE32" s="5">
        <f t="shared" ca="1" si="14"/>
        <v>3.9576426428607255E-3</v>
      </c>
      <c r="BG32" t="s">
        <v>96</v>
      </c>
      <c r="BH32" s="5">
        <f ca="1">+VLOOKUP($BG32,INDIRECT(Adrese!B$2),8,FALSE)</f>
        <v>6.3842641752969137E-2</v>
      </c>
      <c r="BI32" s="5">
        <f ca="1">+VLOOKUP($BG32,INDIRECT(Adrese!C$2),8,FALSE)</f>
        <v>6.618156E-2</v>
      </c>
      <c r="BJ32" s="5">
        <f ca="1">+VLOOKUP($BG32,INDIRECT(Adrese!D$2),8,FALSE)</f>
        <v>6.4425716999999993E-2</v>
      </c>
      <c r="BK32" s="5">
        <f ca="1">+VLOOKUP($BG32,INDIRECT(Adrese!E$2),8,FALSE)</f>
        <v>6.4414013000000006E-2</v>
      </c>
      <c r="BL32" s="5">
        <f ca="1">+VLOOKUP($BG32,INDIRECT(Adrese!F$2),8,FALSE)</f>
        <v>6.5408783999999998E-2</v>
      </c>
      <c r="BM32" s="5" t="str">
        <f t="shared" ca="1" si="15"/>
        <v>0.06 (0.00)</v>
      </c>
      <c r="BN32" s="5">
        <f t="shared" ca="1" si="27"/>
        <v>6.485454315059383E-2</v>
      </c>
      <c r="BO32" s="5">
        <f t="shared" ca="1" si="17"/>
        <v>9.3140482032364705E-4</v>
      </c>
      <c r="BQ32" t="s">
        <v>96</v>
      </c>
      <c r="BR32" s="5">
        <f ca="1">+VLOOKUP($BG32,INDIRECT(Adrese!B$2),9,FALSE)</f>
        <v>6.975060839679284E-2</v>
      </c>
      <c r="BS32" s="5">
        <f ca="1">+VLOOKUP($BG32,INDIRECT(Adrese!C$2),9,FALSE)</f>
        <v>7.3623489E-2</v>
      </c>
      <c r="BT32" s="5">
        <f ca="1">+VLOOKUP($BG32,INDIRECT(Adrese!D$2),9,FALSE)</f>
        <v>7.1140460000000003E-2</v>
      </c>
      <c r="BU32" s="5">
        <f ca="1">+VLOOKUP($BG32,INDIRECT(Adrese!E$2),9,FALSE)</f>
        <v>7.1500405000000003E-2</v>
      </c>
      <c r="BV32" s="5">
        <f ca="1">+VLOOKUP($BG32,INDIRECT(Adrese!F$2),9,FALSE)</f>
        <v>7.3180406000000003E-2</v>
      </c>
      <c r="BW32" s="5" t="str">
        <f t="shared" ca="1" si="18"/>
        <v>0.07 (0.00)</v>
      </c>
      <c r="BX32" s="5">
        <f t="shared" ca="1" si="28"/>
        <v>7.1839073679358573E-2</v>
      </c>
      <c r="BY32" s="5">
        <f t="shared" ca="1" si="20"/>
        <v>1.5770031083343601E-3</v>
      </c>
    </row>
    <row r="33" spans="1:77" x14ac:dyDescent="0.25">
      <c r="A33" t="s">
        <v>97</v>
      </c>
      <c r="B33" s="12">
        <f ca="1">+VLOOKUP($A33,INDIRECT(Adrese!B$2),2,FALSE)</f>
        <v>31</v>
      </c>
      <c r="C33" s="12">
        <f ca="1">+VLOOKUP($A33,INDIRECT(Adrese!C$2),2,FALSE)</f>
        <v>35</v>
      </c>
      <c r="D33" s="12">
        <f ca="1">+VLOOKUP($A33,INDIRECT(Adrese!D$2),2,FALSE)</f>
        <v>36</v>
      </c>
      <c r="E33" s="12">
        <f ca="1">+VLOOKUP($A33,INDIRECT(Adrese!E$2),2,FALSE)</f>
        <v>35</v>
      </c>
      <c r="F33" s="12">
        <f ca="1">+VLOOKUP($A33,INDIRECT(Adrese!F$2),2,FALSE)</f>
        <v>28</v>
      </c>
      <c r="G33" s="5">
        <f t="shared" ca="1" si="21"/>
        <v>33</v>
      </c>
      <c r="H33" s="5">
        <f t="shared" ca="1" si="1"/>
        <v>3.3911649915626341</v>
      </c>
      <c r="J33" t="s">
        <v>97</v>
      </c>
      <c r="K33">
        <f ca="1">+VLOOKUP($A33,INDIRECT(Adrese!B$2),3,FALSE)</f>
        <v>49</v>
      </c>
      <c r="L33">
        <f ca="1">+VLOOKUP($A33,INDIRECT(Adrese!C$2),3,FALSE)</f>
        <v>52</v>
      </c>
      <c r="M33">
        <f ca="1">+VLOOKUP($A33,INDIRECT(Adrese!D$2),3,FALSE)</f>
        <v>50</v>
      </c>
      <c r="N33">
        <f ca="1">+VLOOKUP($A33,INDIRECT(Adrese!E$2),3,FALSE)</f>
        <v>51</v>
      </c>
      <c r="O33">
        <f ca="1">+VLOOKUP($A33,INDIRECT(Adrese!F$2),3,FALSE)</f>
        <v>52</v>
      </c>
      <c r="P33" s="5">
        <f t="shared" ca="1" si="22"/>
        <v>50.8</v>
      </c>
      <c r="Q33" s="5">
        <f t="shared" ca="1" si="3"/>
        <v>1.3038404810405297</v>
      </c>
      <c r="T33" t="s">
        <v>97</v>
      </c>
      <c r="U33">
        <f ca="1">+VLOOKUP($T33,INDIRECT(Adrese!B$2),4,FALSE)</f>
        <v>122643</v>
      </c>
      <c r="V33">
        <f ca="1">+VLOOKUP($T33,INDIRECT(Adrese!C$2),4,FALSE)</f>
        <v>122310</v>
      </c>
      <c r="W33">
        <f ca="1">+VLOOKUP($T33,INDIRECT(Adrese!D$2),4,FALSE)</f>
        <v>122211</v>
      </c>
      <c r="X33">
        <f ca="1">+VLOOKUP($T33,INDIRECT(Adrese!E$2),4,FALSE)</f>
        <v>122416</v>
      </c>
      <c r="Y33">
        <f ca="1">+VLOOKUP($T33,INDIRECT(Adrese!F$2),4,FALSE)</f>
        <v>123373</v>
      </c>
      <c r="Z33">
        <f t="shared" ca="1" si="4"/>
        <v>612953</v>
      </c>
      <c r="AA33" s="5">
        <f t="shared" ca="1" si="23"/>
        <v>122590.6</v>
      </c>
      <c r="AB33" s="5">
        <f t="shared" ca="1" si="6"/>
        <v>465.88979383540914</v>
      </c>
      <c r="AD33" t="s">
        <v>97</v>
      </c>
      <c r="AE33">
        <f ca="1">+VLOOKUP($A33,INDIRECT(Adrese!B$2),5,FALSE)</f>
        <v>31099</v>
      </c>
      <c r="AF33">
        <f ca="1">+VLOOKUP($A33,INDIRECT(Adrese!C$2),5,FALSE)</f>
        <v>31084</v>
      </c>
      <c r="AG33">
        <f ca="1">+VLOOKUP($A33,INDIRECT(Adrese!D$2),5,FALSE)</f>
        <v>30962</v>
      </c>
      <c r="AH33">
        <f ca="1">+VLOOKUP($A33,INDIRECT(Adrese!E$2),5,FALSE)</f>
        <v>31038</v>
      </c>
      <c r="AI33">
        <f ca="1">+VLOOKUP($A33,INDIRECT(Adrese!F$2),5,FALSE)</f>
        <v>31270</v>
      </c>
      <c r="AJ33" s="5">
        <f t="shared" ca="1" si="24"/>
        <v>31090.6</v>
      </c>
      <c r="AK33" s="5">
        <f t="shared" ca="1" si="8"/>
        <v>113.58168866503085</v>
      </c>
      <c r="AM33" t="s">
        <v>97</v>
      </c>
      <c r="AN33" s="5">
        <f ca="1">+VLOOKUP($A33,INDIRECT(Adrese!B$2),6,FALSE)</f>
        <v>0.68360619469026551</v>
      </c>
      <c r="AO33" s="5">
        <f ca="1">+VLOOKUP($A33,INDIRECT(Adrese!C$2),6,FALSE)</f>
        <v>0.68327433599999998</v>
      </c>
      <c r="AP33" s="5">
        <f ca="1">+VLOOKUP($A33,INDIRECT(Adrese!D$2),6,FALSE)</f>
        <v>0.68057522100000001</v>
      </c>
      <c r="AQ33" s="5">
        <f ca="1">+VLOOKUP($A33,INDIRECT(Adrese!E$2),6,FALSE)</f>
        <v>0.68225663700000005</v>
      </c>
      <c r="AR33" s="5">
        <f ca="1">+VLOOKUP($A33,INDIRECT(Adrese!F$2),6,FALSE)</f>
        <v>0.68738938100000002</v>
      </c>
      <c r="AS33" s="5" t="str">
        <f t="shared" ca="1" si="9"/>
        <v>0.68 (0.00)</v>
      </c>
      <c r="AT33" s="5">
        <f t="shared" ca="1" si="25"/>
        <v>0.68342035393805323</v>
      </c>
      <c r="AU33" s="5">
        <f t="shared" ca="1" si="11"/>
        <v>2.5128694946708508E-3</v>
      </c>
      <c r="AW33" t="s">
        <v>97</v>
      </c>
      <c r="AX33" s="5">
        <f ca="1">+VLOOKUP($A33,INDIRECT(Adrese!B$2),7,FALSE)</f>
        <v>0.7831858407079646</v>
      </c>
      <c r="AY33" s="5">
        <f ca="1">+VLOOKUP($A33,INDIRECT(Adrese!C$2),7,FALSE)</f>
        <v>0.76991150399999997</v>
      </c>
      <c r="AZ33" s="5">
        <f ca="1">+VLOOKUP($A33,INDIRECT(Adrese!D$2),7,FALSE)</f>
        <v>0.77876106199999995</v>
      </c>
      <c r="BA33" s="5">
        <f ca="1">+VLOOKUP($A33,INDIRECT(Adrese!E$2),7,FALSE)</f>
        <v>0.77433628300000001</v>
      </c>
      <c r="BB33" s="5">
        <f ca="1">+VLOOKUP($A33,INDIRECT(Adrese!F$2),7,FALSE)</f>
        <v>0.76991150399999997</v>
      </c>
      <c r="BC33" s="5" t="str">
        <f t="shared" ca="1" si="12"/>
        <v>0.78 (0.01)</v>
      </c>
      <c r="BD33">
        <f t="shared" ca="1" si="26"/>
        <v>0.77522123874159299</v>
      </c>
      <c r="BE33" s="5">
        <f t="shared" ca="1" si="14"/>
        <v>5.7692058790666228E-3</v>
      </c>
      <c r="BG33" t="s">
        <v>97</v>
      </c>
      <c r="BH33" s="5">
        <f ca="1">+VLOOKUP($BG33,INDIRECT(Adrese!B$2),8,FALSE)</f>
        <v>7.1519622313237344E-2</v>
      </c>
      <c r="BI33" s="5">
        <f ca="1">+VLOOKUP($BG33,INDIRECT(Adrese!C$2),8,FALSE)</f>
        <v>7.1516491000000001E-2</v>
      </c>
      <c r="BJ33" s="5">
        <f ca="1">+VLOOKUP($BG33,INDIRECT(Adrese!D$2),8,FALSE)</f>
        <v>7.1285368000000002E-2</v>
      </c>
      <c r="BK33" s="5">
        <f ca="1">+VLOOKUP($BG33,INDIRECT(Adrese!E$2),8,FALSE)</f>
        <v>7.1335551999999997E-2</v>
      </c>
      <c r="BL33" s="5">
        <f ca="1">+VLOOKUP($BG33,INDIRECT(Adrese!F$2),8,FALSE)</f>
        <v>7.2010507000000001E-2</v>
      </c>
      <c r="BM33" s="5" t="str">
        <f t="shared" ca="1" si="15"/>
        <v>0.07 (0.00)</v>
      </c>
      <c r="BN33" s="5">
        <f t="shared" ca="1" si="27"/>
        <v>7.1533508062647466E-2</v>
      </c>
      <c r="BO33" s="5">
        <f t="shared" ca="1" si="17"/>
        <v>2.866925505322962E-4</v>
      </c>
      <c r="BQ33" t="s">
        <v>97</v>
      </c>
      <c r="BR33" s="5">
        <f ca="1">+VLOOKUP($BG33,INDIRECT(Adrese!B$2),9,FALSE)</f>
        <v>8.1226597884732687E-2</v>
      </c>
      <c r="BS33" s="5">
        <f ca="1">+VLOOKUP($BG33,INDIRECT(Adrese!C$2),9,FALSE)</f>
        <v>8.1188307000000001E-2</v>
      </c>
      <c r="BT33" s="5">
        <f ca="1">+VLOOKUP($BG33,INDIRECT(Adrese!D$2),9,FALSE)</f>
        <v>8.0806763000000004E-2</v>
      </c>
      <c r="BU33" s="5">
        <f ca="1">+VLOOKUP($BG33,INDIRECT(Adrese!E$2),9,FALSE)</f>
        <v>8.0812746000000005E-2</v>
      </c>
      <c r="BV33" s="5">
        <f ca="1">+VLOOKUP($BG33,INDIRECT(Adrese!F$2),9,FALSE)</f>
        <v>8.2068350999999998E-2</v>
      </c>
      <c r="BW33" s="5" t="str">
        <f t="shared" ca="1" si="18"/>
        <v>0.08 (0.00)</v>
      </c>
      <c r="BX33" s="5">
        <f t="shared" ca="1" si="28"/>
        <v>8.1220552976946539E-2</v>
      </c>
      <c r="BY33" s="5">
        <f t="shared" ca="1" si="20"/>
        <v>5.1414164082002202E-4</v>
      </c>
    </row>
    <row r="34" spans="1:77" x14ac:dyDescent="0.25">
      <c r="A34" t="s">
        <v>98</v>
      </c>
      <c r="B34" s="12">
        <f ca="1">+VLOOKUP($A34,INDIRECT(Adrese!B$2),2,FALSE)</f>
        <v>32</v>
      </c>
      <c r="C34" s="12">
        <f ca="1">+VLOOKUP($A34,INDIRECT(Adrese!C$2),2,FALSE)</f>
        <v>38</v>
      </c>
      <c r="D34" s="12">
        <f ca="1">+VLOOKUP($A34,INDIRECT(Adrese!D$2),2,FALSE)</f>
        <v>34</v>
      </c>
      <c r="E34" s="12">
        <f ca="1">+VLOOKUP($A34,INDIRECT(Adrese!E$2),2,FALSE)</f>
        <v>26</v>
      </c>
      <c r="F34" s="12">
        <f ca="1">+VLOOKUP($A34,INDIRECT(Adrese!F$2),2,FALSE)</f>
        <v>32</v>
      </c>
      <c r="G34" s="5">
        <f t="shared" ca="1" si="21"/>
        <v>32.4</v>
      </c>
      <c r="H34" s="5">
        <f t="shared" ca="1" si="1"/>
        <v>4.3358966777357546</v>
      </c>
      <c r="J34" t="s">
        <v>98</v>
      </c>
      <c r="K34">
        <f ca="1">+VLOOKUP($A34,INDIRECT(Adrese!B$2),3,FALSE)</f>
        <v>55</v>
      </c>
      <c r="L34">
        <f ca="1">+VLOOKUP($A34,INDIRECT(Adrese!C$2),3,FALSE)</f>
        <v>55</v>
      </c>
      <c r="M34">
        <f ca="1">+VLOOKUP($A34,INDIRECT(Adrese!D$2),3,FALSE)</f>
        <v>57</v>
      </c>
      <c r="N34">
        <f ca="1">+VLOOKUP($A34,INDIRECT(Adrese!E$2),3,FALSE)</f>
        <v>58</v>
      </c>
      <c r="O34">
        <f ca="1">+VLOOKUP($A34,INDIRECT(Adrese!F$2),3,FALSE)</f>
        <v>58</v>
      </c>
      <c r="P34" s="5">
        <f t="shared" ca="1" si="22"/>
        <v>56.6</v>
      </c>
      <c r="Q34" s="5">
        <f t="shared" ca="1" si="3"/>
        <v>1.51657508881031</v>
      </c>
      <c r="T34" t="s">
        <v>98</v>
      </c>
      <c r="U34">
        <f ca="1">+VLOOKUP($T34,INDIRECT(Adrese!B$2),4,FALSE)</f>
        <v>122525</v>
      </c>
      <c r="V34">
        <f ca="1">+VLOOKUP($T34,INDIRECT(Adrese!C$2),4,FALSE)</f>
        <v>121912</v>
      </c>
      <c r="W34">
        <f ca="1">+VLOOKUP($T34,INDIRECT(Adrese!D$2),4,FALSE)</f>
        <v>122330</v>
      </c>
      <c r="X34">
        <f ca="1">+VLOOKUP($T34,INDIRECT(Adrese!E$2),4,FALSE)</f>
        <v>123702</v>
      </c>
      <c r="Y34">
        <f ca="1">+VLOOKUP($T34,INDIRECT(Adrese!F$2),4,FALSE)</f>
        <v>122610</v>
      </c>
      <c r="Z34">
        <f t="shared" ca="1" si="4"/>
        <v>613079</v>
      </c>
      <c r="AA34" s="5">
        <f t="shared" ca="1" si="23"/>
        <v>122615.8</v>
      </c>
      <c r="AB34" s="5">
        <f t="shared" ca="1" si="6"/>
        <v>664.28999691399838</v>
      </c>
      <c r="AD34" t="s">
        <v>98</v>
      </c>
      <c r="AE34">
        <f ca="1">+VLOOKUP($A34,INDIRECT(Adrese!B$2),5,FALSE)</f>
        <v>28730</v>
      </c>
      <c r="AF34">
        <f ca="1">+VLOOKUP($A34,INDIRECT(Adrese!C$2),5,FALSE)</f>
        <v>28373</v>
      </c>
      <c r="AG34">
        <f ca="1">+VLOOKUP($A34,INDIRECT(Adrese!D$2),5,FALSE)</f>
        <v>28933</v>
      </c>
      <c r="AH34">
        <f ca="1">+VLOOKUP($A34,INDIRECT(Adrese!E$2),5,FALSE)</f>
        <v>28997</v>
      </c>
      <c r="AI34">
        <f ca="1">+VLOOKUP($A34,INDIRECT(Adrese!F$2),5,FALSE)</f>
        <v>28814</v>
      </c>
      <c r="AJ34" s="5">
        <f t="shared" ca="1" si="24"/>
        <v>28769.4</v>
      </c>
      <c r="AK34" s="5">
        <f t="shared" ca="1" si="8"/>
        <v>244.56144422210136</v>
      </c>
      <c r="AM34" t="s">
        <v>98</v>
      </c>
      <c r="AN34" s="5">
        <f ca="1">+VLOOKUP($A34,INDIRECT(Adrese!B$2),6,FALSE)</f>
        <v>0.63119469026548669</v>
      </c>
      <c r="AO34" s="5">
        <f ca="1">+VLOOKUP($A34,INDIRECT(Adrese!C$2),6,FALSE)</f>
        <v>0.62329646000000005</v>
      </c>
      <c r="AP34" s="5">
        <f ca="1">+VLOOKUP($A34,INDIRECT(Adrese!D$2),6,FALSE)</f>
        <v>0.63568584100000003</v>
      </c>
      <c r="AQ34" s="5">
        <f ca="1">+VLOOKUP($A34,INDIRECT(Adrese!E$2),6,FALSE)</f>
        <v>0.63710177000000001</v>
      </c>
      <c r="AR34" s="5">
        <f ca="1">+VLOOKUP($A34,INDIRECT(Adrese!F$2),6,FALSE)</f>
        <v>0.63305309700000001</v>
      </c>
      <c r="AS34" s="5" t="str">
        <f t="shared" ca="1" si="9"/>
        <v>0.63 (0.01)</v>
      </c>
      <c r="AT34" s="5">
        <f t="shared" ca="1" si="25"/>
        <v>0.63206637165309743</v>
      </c>
      <c r="AU34" s="5">
        <f t="shared" ca="1" si="11"/>
        <v>5.410651546256166E-3</v>
      </c>
      <c r="AW34" t="s">
        <v>98</v>
      </c>
      <c r="AX34" s="5">
        <f ca="1">+VLOOKUP($A34,INDIRECT(Adrese!B$2),7,FALSE)</f>
        <v>0.75663716814159288</v>
      </c>
      <c r="AY34" s="5">
        <f ca="1">+VLOOKUP($A34,INDIRECT(Adrese!C$2),7,FALSE)</f>
        <v>0.75663716800000003</v>
      </c>
      <c r="AZ34" s="5">
        <f ca="1">+VLOOKUP($A34,INDIRECT(Adrese!D$2),7,FALSE)</f>
        <v>0.74778761100000002</v>
      </c>
      <c r="BA34" s="5">
        <f ca="1">+VLOOKUP($A34,INDIRECT(Adrese!E$2),7,FALSE)</f>
        <v>0.74336283199999997</v>
      </c>
      <c r="BB34" s="5">
        <f ca="1">+VLOOKUP($A34,INDIRECT(Adrese!F$2),7,FALSE)</f>
        <v>0.74336283199999997</v>
      </c>
      <c r="BC34" s="5" t="str">
        <f t="shared" ca="1" si="12"/>
        <v>0.75 (0.01)</v>
      </c>
      <c r="BD34">
        <f t="shared" ca="1" si="26"/>
        <v>0.74955752222831851</v>
      </c>
      <c r="BE34" s="5">
        <f t="shared" ca="1" si="14"/>
        <v>6.7105091147320675E-3</v>
      </c>
      <c r="BG34" t="s">
        <v>98</v>
      </c>
      <c r="BH34" s="5">
        <f ca="1">+VLOOKUP($BG34,INDIRECT(Adrese!B$2),8,FALSE)</f>
        <v>6.5751211881629038E-2</v>
      </c>
      <c r="BI34" s="5">
        <f ca="1">+VLOOKUP($BG34,INDIRECT(Adrese!C$2),8,FALSE)</f>
        <v>6.4998280000000005E-2</v>
      </c>
      <c r="BJ34" s="5">
        <f ca="1">+VLOOKUP($BG34,INDIRECT(Adrese!D$2),8,FALSE)</f>
        <v>6.6411798999999994E-2</v>
      </c>
      <c r="BK34" s="5">
        <f ca="1">+VLOOKUP($BG34,INDIRECT(Adrese!E$2),8,FALSE)</f>
        <v>6.6298610999999993E-2</v>
      </c>
      <c r="BL34" s="5">
        <f ca="1">+VLOOKUP($BG34,INDIRECT(Adrese!F$2),8,FALSE)</f>
        <v>6.6068989999999994E-2</v>
      </c>
      <c r="BM34" s="5" t="str">
        <f t="shared" ca="1" si="15"/>
        <v>0.07 (0.00)</v>
      </c>
      <c r="BN34" s="5">
        <f t="shared" ca="1" si="27"/>
        <v>6.5905778376325802E-2</v>
      </c>
      <c r="BO34" s="5">
        <f t="shared" ca="1" si="17"/>
        <v>5.6666932161215824E-4</v>
      </c>
      <c r="BQ34" t="s">
        <v>98</v>
      </c>
      <c r="BR34" s="5">
        <f ca="1">+VLOOKUP($BG34,INDIRECT(Adrese!B$2),9,FALSE)</f>
        <v>7.0245926148366042E-2</v>
      </c>
      <c r="BS34" s="5">
        <f ca="1">+VLOOKUP($BG34,INDIRECT(Adrese!C$2),9,FALSE)</f>
        <v>6.8957826999999999E-2</v>
      </c>
      <c r="BT34" s="5">
        <f ca="1">+VLOOKUP($BG34,INDIRECT(Adrese!D$2),9,FALSE)</f>
        <v>7.1689885999999994E-2</v>
      </c>
      <c r="BU34" s="5">
        <f ca="1">+VLOOKUP($BG34,INDIRECT(Adrese!E$2),9,FALSE)</f>
        <v>7.1076582999999999E-2</v>
      </c>
      <c r="BV34" s="5">
        <f ca="1">+VLOOKUP($BG34,INDIRECT(Adrese!F$2),9,FALSE)</f>
        <v>7.0684922999999997E-2</v>
      </c>
      <c r="BW34" s="5" t="str">
        <f t="shared" ca="1" si="18"/>
        <v>0.07 (0.00)</v>
      </c>
      <c r="BX34" s="5">
        <f t="shared" ca="1" si="28"/>
        <v>7.0531029029673203E-2</v>
      </c>
      <c r="BY34" s="5">
        <f t="shared" ca="1" si="20"/>
        <v>1.0271940232272087E-3</v>
      </c>
    </row>
    <row r="35" spans="1:77" x14ac:dyDescent="0.25">
      <c r="A35" t="s">
        <v>99</v>
      </c>
      <c r="B35" s="12">
        <f ca="1">+VLOOKUP($A35,INDIRECT(Adrese!B$2),2,FALSE)</f>
        <v>33</v>
      </c>
      <c r="C35" s="12">
        <f ca="1">+VLOOKUP($A35,INDIRECT(Adrese!C$2),2,FALSE)</f>
        <v>37</v>
      </c>
      <c r="D35" s="12">
        <f ca="1">+VLOOKUP($A35,INDIRECT(Adrese!D$2),2,FALSE)</f>
        <v>35</v>
      </c>
      <c r="E35" s="12">
        <f ca="1">+VLOOKUP($A35,INDIRECT(Adrese!E$2),2,FALSE)</f>
        <v>39</v>
      </c>
      <c r="F35" s="12">
        <f ca="1">+VLOOKUP($A35,INDIRECT(Adrese!F$2),2,FALSE)</f>
        <v>40</v>
      </c>
      <c r="G35" s="5">
        <f t="shared" ca="1" si="21"/>
        <v>36.799999999999997</v>
      </c>
      <c r="H35" s="5">
        <f t="shared" ca="1" si="1"/>
        <v>2.8635642126552705</v>
      </c>
      <c r="J35" t="s">
        <v>99</v>
      </c>
      <c r="K35">
        <f ca="1">+VLOOKUP($A35,INDIRECT(Adrese!B$2),3,FALSE)</f>
        <v>0</v>
      </c>
      <c r="L35">
        <f ca="1">+VLOOKUP($A35,INDIRECT(Adrese!C$2),3,FALSE)</f>
        <v>0</v>
      </c>
      <c r="M35">
        <f ca="1">+VLOOKUP($A35,INDIRECT(Adrese!D$2),3,FALSE)</f>
        <v>0</v>
      </c>
      <c r="N35">
        <f ca="1">+VLOOKUP($A35,INDIRECT(Adrese!E$2),3,FALSE)</f>
        <v>0</v>
      </c>
      <c r="O35">
        <f ca="1">+VLOOKUP($A35,INDIRECT(Adrese!F$2),3,FALSE)</f>
        <v>0</v>
      </c>
      <c r="P35" s="5">
        <f t="shared" ca="1" si="22"/>
        <v>0</v>
      </c>
      <c r="Q35" s="5">
        <f t="shared" ca="1" si="3"/>
        <v>0</v>
      </c>
      <c r="T35" t="s">
        <v>99</v>
      </c>
      <c r="U35">
        <f ca="1">+VLOOKUP($T35,INDIRECT(Adrese!B$2),4,FALSE)</f>
        <v>122392</v>
      </c>
      <c r="V35">
        <f ca="1">+VLOOKUP($T35,INDIRECT(Adrese!C$2),4,FALSE)</f>
        <v>122142</v>
      </c>
      <c r="W35">
        <f ca="1">+VLOOKUP($T35,INDIRECT(Adrese!D$2),4,FALSE)</f>
        <v>122259</v>
      </c>
      <c r="X35">
        <f ca="1">+VLOOKUP($T35,INDIRECT(Adrese!E$2),4,FALSE)</f>
        <v>121857</v>
      </c>
      <c r="Y35">
        <f ca="1">+VLOOKUP($T35,INDIRECT(Adrese!F$2),4,FALSE)</f>
        <v>121309</v>
      </c>
      <c r="Z35">
        <f t="shared" ca="1" si="4"/>
        <v>609959</v>
      </c>
      <c r="AA35" s="5">
        <f t="shared" ca="1" si="23"/>
        <v>121991.8</v>
      </c>
      <c r="AB35" s="5">
        <f t="shared" ca="1" si="6"/>
        <v>429.68092813156136</v>
      </c>
      <c r="AD35" t="s">
        <v>99</v>
      </c>
      <c r="AE35">
        <f ca="1">+VLOOKUP($A35,INDIRECT(Adrese!B$2),5,FALSE)</f>
        <v>39853</v>
      </c>
      <c r="AF35">
        <f ca="1">+VLOOKUP($A35,INDIRECT(Adrese!C$2),5,FALSE)</f>
        <v>39651</v>
      </c>
      <c r="AG35">
        <f ca="1">+VLOOKUP($A35,INDIRECT(Adrese!D$2),5,FALSE)</f>
        <v>39899</v>
      </c>
      <c r="AH35">
        <f ca="1">+VLOOKUP($A35,INDIRECT(Adrese!E$2),5,FALSE)</f>
        <v>39653</v>
      </c>
      <c r="AI35">
        <f ca="1">+VLOOKUP($A35,INDIRECT(Adrese!F$2),5,FALSE)</f>
        <v>39343</v>
      </c>
      <c r="AJ35" s="5">
        <f t="shared" ca="1" si="24"/>
        <v>39679.800000000003</v>
      </c>
      <c r="AK35" s="5">
        <f t="shared" ca="1" si="8"/>
        <v>219.67521480585833</v>
      </c>
      <c r="AM35" t="s">
        <v>99</v>
      </c>
      <c r="AN35" s="5">
        <f ca="1">+VLOOKUP($A35,INDIRECT(Adrese!B$2),6,FALSE)</f>
        <v>0.87727876106194691</v>
      </c>
      <c r="AO35" s="5">
        <f ca="1">+VLOOKUP($A35,INDIRECT(Adrese!C$2),6,FALSE)</f>
        <v>0.87280973500000003</v>
      </c>
      <c r="AP35" s="5">
        <f ca="1">+VLOOKUP($A35,INDIRECT(Adrese!D$2),6,FALSE)</f>
        <v>0.87829645999999995</v>
      </c>
      <c r="AQ35" s="5">
        <f ca="1">+VLOOKUP($A35,INDIRECT(Adrese!E$2),6,FALSE)</f>
        <v>0.87285398199999997</v>
      </c>
      <c r="AR35" s="5">
        <f ca="1">+VLOOKUP($A35,INDIRECT(Adrese!F$2),6,FALSE)</f>
        <v>0.86599557500000002</v>
      </c>
      <c r="AS35" s="5" t="str">
        <f t="shared" ca="1" si="9"/>
        <v>0.87 (0.00)</v>
      </c>
      <c r="AT35" s="5">
        <f t="shared" ca="1" si="25"/>
        <v>0.87344690261238944</v>
      </c>
      <c r="AU35" s="5">
        <f t="shared" ca="1" si="11"/>
        <v>4.8600711578948097E-3</v>
      </c>
      <c r="AW35" t="s">
        <v>99</v>
      </c>
      <c r="AX35" s="5">
        <f ca="1">+VLOOKUP($A35,INDIRECT(Adrese!B$2),7,FALSE)</f>
        <v>1</v>
      </c>
      <c r="AY35" s="5">
        <f ca="1">+VLOOKUP($A35,INDIRECT(Adrese!C$2),7,FALSE)</f>
        <v>1</v>
      </c>
      <c r="AZ35" s="5">
        <f ca="1">+VLOOKUP($A35,INDIRECT(Adrese!D$2),7,FALSE)</f>
        <v>1</v>
      </c>
      <c r="BA35" s="5">
        <f ca="1">+VLOOKUP($A35,INDIRECT(Adrese!E$2),7,FALSE)</f>
        <v>1</v>
      </c>
      <c r="BB35" s="5">
        <f ca="1">+VLOOKUP($A35,INDIRECT(Adrese!F$2),7,FALSE)</f>
        <v>1</v>
      </c>
      <c r="BC35" s="5" t="str">
        <f t="shared" ca="1" si="12"/>
        <v>1.00 (0.00)</v>
      </c>
      <c r="BD35">
        <f t="shared" ca="1" si="26"/>
        <v>1</v>
      </c>
      <c r="BE35" s="5">
        <f t="shared" ca="1" si="14"/>
        <v>0</v>
      </c>
      <c r="BG35" t="s">
        <v>99</v>
      </c>
      <c r="BH35" s="5">
        <f ca="1">+VLOOKUP($BG35,INDIRECT(Adrese!B$2),8,FALSE)</f>
        <v>8.4269225369145398E-2</v>
      </c>
      <c r="BI35" s="5">
        <f ca="1">+VLOOKUP($BG35,INDIRECT(Adrese!C$2),8,FALSE)</f>
        <v>8.3973244000000002E-2</v>
      </c>
      <c r="BJ35" s="5">
        <f ca="1">+VLOOKUP($BG35,INDIRECT(Adrese!D$2),8,FALSE)</f>
        <v>8.4439226000000006E-2</v>
      </c>
      <c r="BK35" s="5">
        <f ca="1">+VLOOKUP($BG35,INDIRECT(Adrese!E$2),8,FALSE)</f>
        <v>8.4035528999999998E-2</v>
      </c>
      <c r="BL35" s="5">
        <f ca="1">+VLOOKUP($BG35,INDIRECT(Adrese!F$2),8,FALSE)</f>
        <v>8.3756029999999995E-2</v>
      </c>
      <c r="BM35" s="5" t="str">
        <f t="shared" ca="1" si="15"/>
        <v>0.08 (0.00)</v>
      </c>
      <c r="BN35" s="5">
        <f t="shared" ca="1" si="27"/>
        <v>8.4094650873829085E-2</v>
      </c>
      <c r="BO35" s="5">
        <f t="shared" ca="1" si="17"/>
        <v>2.6556891439014524E-4</v>
      </c>
      <c r="BQ35" t="s">
        <v>99</v>
      </c>
      <c r="BR35" s="5">
        <f ca="1">+VLOOKUP($BG35,INDIRECT(Adrese!B$2),9,FALSE)</f>
        <v>8.5228248373979604E-2</v>
      </c>
      <c r="BS35" s="5">
        <f ca="1">+VLOOKUP($BG35,INDIRECT(Adrese!C$2),9,FALSE)</f>
        <v>8.4910061999999994E-2</v>
      </c>
      <c r="BT35" s="5">
        <f ca="1">+VLOOKUP($BG35,INDIRECT(Adrese!D$2),9,FALSE)</f>
        <v>8.5146255000000004E-2</v>
      </c>
      <c r="BU35" s="5">
        <f ca="1">+VLOOKUP($BG35,INDIRECT(Adrese!E$2),9,FALSE)</f>
        <v>8.5382274999999994E-2</v>
      </c>
      <c r="BV35" s="5">
        <f ca="1">+VLOOKUP($BG35,INDIRECT(Adrese!F$2),9,FALSE)</f>
        <v>8.5313132E-2</v>
      </c>
      <c r="BW35" s="5" t="str">
        <f t="shared" ca="1" si="18"/>
        <v>0.09 (0.00)</v>
      </c>
      <c r="BX35" s="5">
        <f t="shared" ca="1" si="28"/>
        <v>8.5195994474795922E-2</v>
      </c>
      <c r="BY35" s="5">
        <f t="shared" ca="1" si="20"/>
        <v>1.8282050171526806E-4</v>
      </c>
    </row>
    <row r="36" spans="1:77" x14ac:dyDescent="0.25">
      <c r="A36" t="s">
        <v>100</v>
      </c>
      <c r="B36" s="12">
        <f ca="1">+VLOOKUP($A36,INDIRECT(Adrese!B$2),2,FALSE)</f>
        <v>34</v>
      </c>
      <c r="C36" s="12">
        <f ca="1">+VLOOKUP($A36,INDIRECT(Adrese!C$2),2,FALSE)</f>
        <v>33</v>
      </c>
      <c r="D36" s="12">
        <f ca="1">+VLOOKUP($A36,INDIRECT(Adrese!D$2),2,FALSE)</f>
        <v>48</v>
      </c>
      <c r="E36" s="12">
        <f ca="1">+VLOOKUP($A36,INDIRECT(Adrese!E$2),2,FALSE)</f>
        <v>38</v>
      </c>
      <c r="F36" s="12">
        <f ca="1">+VLOOKUP($A36,INDIRECT(Adrese!F$2),2,FALSE)</f>
        <v>42</v>
      </c>
      <c r="G36" s="5">
        <f t="shared" ca="1" si="21"/>
        <v>39</v>
      </c>
      <c r="H36" s="5">
        <f t="shared" ca="1" si="1"/>
        <v>6.164414002968976</v>
      </c>
      <c r="J36" t="s">
        <v>100</v>
      </c>
      <c r="K36">
        <f ca="1">+VLOOKUP($A36,INDIRECT(Adrese!B$2),3,FALSE)</f>
        <v>106</v>
      </c>
      <c r="L36">
        <f ca="1">+VLOOKUP($A36,INDIRECT(Adrese!C$2),3,FALSE)</f>
        <v>107</v>
      </c>
      <c r="M36">
        <f ca="1">+VLOOKUP($A36,INDIRECT(Adrese!D$2),3,FALSE)</f>
        <v>106</v>
      </c>
      <c r="N36">
        <f ca="1">+VLOOKUP($A36,INDIRECT(Adrese!E$2),3,FALSE)</f>
        <v>107</v>
      </c>
      <c r="O36">
        <f ca="1">+VLOOKUP($A36,INDIRECT(Adrese!F$2),3,FALSE)</f>
        <v>106</v>
      </c>
      <c r="P36" s="5">
        <f t="shared" ca="1" si="22"/>
        <v>106.4</v>
      </c>
      <c r="Q36" s="5">
        <f t="shared" ca="1" si="3"/>
        <v>0.54772255750516607</v>
      </c>
      <c r="T36" t="s">
        <v>100</v>
      </c>
      <c r="U36">
        <f ca="1">+VLOOKUP($T36,INDIRECT(Adrese!B$2),4,FALSE)</f>
        <v>122254</v>
      </c>
      <c r="V36">
        <f ca="1">+VLOOKUP($T36,INDIRECT(Adrese!C$2),4,FALSE)</f>
        <v>122563</v>
      </c>
      <c r="W36">
        <f ca="1">+VLOOKUP($T36,INDIRECT(Adrese!D$2),4,FALSE)</f>
        <v>120541</v>
      </c>
      <c r="X36">
        <f ca="1">+VLOOKUP($T36,INDIRECT(Adrese!E$2),4,FALSE)</f>
        <v>122052</v>
      </c>
      <c r="Y36">
        <f ca="1">+VLOOKUP($T36,INDIRECT(Adrese!F$2),4,FALSE)</f>
        <v>121199</v>
      </c>
      <c r="Z36">
        <f t="shared" ca="1" si="4"/>
        <v>608609</v>
      </c>
      <c r="AA36" s="5">
        <f t="shared" ca="1" si="23"/>
        <v>121721.8</v>
      </c>
      <c r="AB36" s="5">
        <f t="shared" ca="1" si="6"/>
        <v>831.78945653332255</v>
      </c>
      <c r="AD36" t="s">
        <v>100</v>
      </c>
      <c r="AE36">
        <f ca="1">+VLOOKUP($A36,INDIRECT(Adrese!B$2),5,FALSE)</f>
        <v>25879</v>
      </c>
      <c r="AF36">
        <f ca="1">+VLOOKUP($A36,INDIRECT(Adrese!C$2),5,FALSE)</f>
        <v>25912</v>
      </c>
      <c r="AG36">
        <f ca="1">+VLOOKUP($A36,INDIRECT(Adrese!D$2),5,FALSE)</f>
        <v>25005</v>
      </c>
      <c r="AH36">
        <f ca="1">+VLOOKUP($A36,INDIRECT(Adrese!E$2),5,FALSE)</f>
        <v>25306</v>
      </c>
      <c r="AI36">
        <f ca="1">+VLOOKUP($A36,INDIRECT(Adrese!F$2),5,FALSE)</f>
        <v>25594</v>
      </c>
      <c r="AJ36" s="5">
        <f t="shared" ca="1" si="24"/>
        <v>25539.200000000001</v>
      </c>
      <c r="AK36" s="5">
        <f t="shared" ca="1" si="8"/>
        <v>386.39319352183213</v>
      </c>
      <c r="AM36" t="s">
        <v>100</v>
      </c>
      <c r="AN36" s="5">
        <f ca="1">+VLOOKUP($A36,INDIRECT(Adrese!B$2),6,FALSE)</f>
        <v>0.56860619469026552</v>
      </c>
      <c r="AO36" s="5">
        <f ca="1">+VLOOKUP($A36,INDIRECT(Adrese!C$2),6,FALSE)</f>
        <v>0.56933628300000005</v>
      </c>
      <c r="AP36" s="5">
        <f ca="1">+VLOOKUP($A36,INDIRECT(Adrese!D$2),6,FALSE)</f>
        <v>0.54926991199999997</v>
      </c>
      <c r="AQ36" s="5">
        <f ca="1">+VLOOKUP($A36,INDIRECT(Adrese!E$2),6,FALSE)</f>
        <v>0.55592920400000001</v>
      </c>
      <c r="AR36" s="5">
        <f ca="1">+VLOOKUP($A36,INDIRECT(Adrese!F$2),6,FALSE)</f>
        <v>0.56230088499999997</v>
      </c>
      <c r="AS36" s="5" t="str">
        <f t="shared" ca="1" si="9"/>
        <v>0.56 (0.01)</v>
      </c>
      <c r="AT36" s="5">
        <f t="shared" ca="1" si="25"/>
        <v>0.56108849573805308</v>
      </c>
      <c r="AU36" s="5">
        <f t="shared" ca="1" si="11"/>
        <v>8.5485216965951339E-3</v>
      </c>
      <c r="AW36" t="s">
        <v>100</v>
      </c>
      <c r="AX36" s="5">
        <f ca="1">+VLOOKUP($A36,INDIRECT(Adrese!B$2),7,FALSE)</f>
        <v>0.53097345132743368</v>
      </c>
      <c r="AY36" s="5">
        <f ca="1">+VLOOKUP($A36,INDIRECT(Adrese!C$2),7,FALSE)</f>
        <v>0.52654867299999997</v>
      </c>
      <c r="AZ36" s="5">
        <f ca="1">+VLOOKUP($A36,INDIRECT(Adrese!D$2),7,FALSE)</f>
        <v>0.53097345100000004</v>
      </c>
      <c r="BA36" s="5">
        <f ca="1">+VLOOKUP($A36,INDIRECT(Adrese!E$2),7,FALSE)</f>
        <v>0.52654867299999997</v>
      </c>
      <c r="BB36" s="5">
        <f ca="1">+VLOOKUP($A36,INDIRECT(Adrese!F$2),7,FALSE)</f>
        <v>0.53097345100000004</v>
      </c>
      <c r="BC36" s="5" t="str">
        <f t="shared" ca="1" si="12"/>
        <v>0.53 (0.00)</v>
      </c>
      <c r="BD36">
        <f t="shared" ca="1" si="26"/>
        <v>0.52920353986548663</v>
      </c>
      <c r="BE36" s="5">
        <f t="shared" ca="1" si="14"/>
        <v>2.4235507823335673E-3</v>
      </c>
      <c r="BG36" t="s">
        <v>100</v>
      </c>
      <c r="BH36" s="5">
        <f ca="1">+VLOOKUP($BG36,INDIRECT(Adrese!B$2),8,FALSE)</f>
        <v>5.5689001065839093E-2</v>
      </c>
      <c r="BI36" s="5">
        <f ca="1">+VLOOKUP($BG36,INDIRECT(Adrese!C$2),8,FALSE)</f>
        <v>5.5650716000000003E-2</v>
      </c>
      <c r="BJ36" s="5">
        <f ca="1">+VLOOKUP($BG36,INDIRECT(Adrese!D$2),8,FALSE)</f>
        <v>5.4641869000000003E-2</v>
      </c>
      <c r="BK36" s="5">
        <f ca="1">+VLOOKUP($BG36,INDIRECT(Adrese!E$2),8,FALSE)</f>
        <v>5.4823500999999997E-2</v>
      </c>
      <c r="BL36" s="5">
        <f ca="1">+VLOOKUP($BG36,INDIRECT(Adrese!F$2),8,FALSE)</f>
        <v>5.5223144000000002E-2</v>
      </c>
      <c r="BM36" s="5" t="str">
        <f t="shared" ca="1" si="15"/>
        <v>0.06 (0.00)</v>
      </c>
      <c r="BN36" s="5">
        <f t="shared" ca="1" si="27"/>
        <v>5.5205646213167814E-2</v>
      </c>
      <c r="BO36" s="5">
        <f t="shared" ca="1" si="17"/>
        <v>4.7326126804601512E-4</v>
      </c>
      <c r="BQ36" t="s">
        <v>100</v>
      </c>
      <c r="BR36" s="5">
        <f ca="1">+VLOOKUP($BG36,INDIRECT(Adrese!B$2),9,FALSE)</f>
        <v>3.3442578201493302E-2</v>
      </c>
      <c r="BS36" s="5">
        <f ca="1">+VLOOKUP($BG36,INDIRECT(Adrese!C$2),9,FALSE)</f>
        <v>3.3158880000000002E-2</v>
      </c>
      <c r="BT36" s="5">
        <f ca="1">+VLOOKUP($BG36,INDIRECT(Adrese!D$2),9,FALSE)</f>
        <v>3.3749396000000001E-2</v>
      </c>
      <c r="BU36" s="5">
        <f ca="1">+VLOOKUP($BG36,INDIRECT(Adrese!E$2),9,FALSE)</f>
        <v>3.3232756000000002E-2</v>
      </c>
      <c r="BV36" s="5">
        <f ca="1">+VLOOKUP($BG36,INDIRECT(Adrese!F$2),9,FALSE)</f>
        <v>3.2672993999999997E-2</v>
      </c>
      <c r="BW36" s="5" t="str">
        <f t="shared" ca="1" si="18"/>
        <v>0.03 (0.00)</v>
      </c>
      <c r="BX36" s="5">
        <f t="shared" ca="1" si="28"/>
        <v>3.3251320840298658E-2</v>
      </c>
      <c r="BY36" s="5">
        <f t="shared" ca="1" si="20"/>
        <v>3.9623545379702149E-4</v>
      </c>
    </row>
    <row r="37" spans="1:77" x14ac:dyDescent="0.25">
      <c r="A37" t="s">
        <v>101</v>
      </c>
      <c r="B37" s="12">
        <f ca="1">+VLOOKUP($A37,INDIRECT(Adrese!B$2),2,FALSE)</f>
        <v>35</v>
      </c>
      <c r="C37" s="12">
        <f ca="1">+VLOOKUP($A37,INDIRECT(Adrese!C$2),2,FALSE)</f>
        <v>29</v>
      </c>
      <c r="D37" s="12">
        <f ca="1">+VLOOKUP($A37,INDIRECT(Adrese!D$2),2,FALSE)</f>
        <v>32</v>
      </c>
      <c r="E37" s="12">
        <f ca="1">+VLOOKUP($A37,INDIRECT(Adrese!E$2),2,FALSE)</f>
        <v>31</v>
      </c>
      <c r="F37" s="12">
        <f ca="1">+VLOOKUP($A37,INDIRECT(Adrese!F$2),2,FALSE)</f>
        <v>36</v>
      </c>
      <c r="G37" s="5">
        <f t="shared" ca="1" si="21"/>
        <v>32.6</v>
      </c>
      <c r="H37" s="5">
        <f t="shared" ca="1" si="1"/>
        <v>2.8809720581775866</v>
      </c>
      <c r="J37" t="s">
        <v>101</v>
      </c>
      <c r="K37">
        <f ca="1">+VLOOKUP($A37,INDIRECT(Adrese!B$2),3,FALSE)</f>
        <v>70</v>
      </c>
      <c r="L37">
        <f ca="1">+VLOOKUP($A37,INDIRECT(Adrese!C$2),3,FALSE)</f>
        <v>70</v>
      </c>
      <c r="M37">
        <f ca="1">+VLOOKUP($A37,INDIRECT(Adrese!D$2),3,FALSE)</f>
        <v>69</v>
      </c>
      <c r="N37">
        <f ca="1">+VLOOKUP($A37,INDIRECT(Adrese!E$2),3,FALSE)</f>
        <v>67</v>
      </c>
      <c r="O37">
        <f ca="1">+VLOOKUP($A37,INDIRECT(Adrese!F$2),3,FALSE)</f>
        <v>71</v>
      </c>
      <c r="P37" s="5">
        <f t="shared" ca="1" si="22"/>
        <v>69.400000000000006</v>
      </c>
      <c r="Q37" s="5">
        <f t="shared" ca="1" si="3"/>
        <v>1.51657508881031</v>
      </c>
      <c r="T37" t="s">
        <v>101</v>
      </c>
      <c r="U37">
        <f ca="1">+VLOOKUP($T37,INDIRECT(Adrese!B$2),4,FALSE)</f>
        <v>122214</v>
      </c>
      <c r="V37">
        <f ca="1">+VLOOKUP($T37,INDIRECT(Adrese!C$2),4,FALSE)</f>
        <v>123097</v>
      </c>
      <c r="W37">
        <f ca="1">+VLOOKUP($T37,INDIRECT(Adrese!D$2),4,FALSE)</f>
        <v>122856</v>
      </c>
      <c r="X37">
        <f ca="1">+VLOOKUP($T37,INDIRECT(Adrese!E$2),4,FALSE)</f>
        <v>122914</v>
      </c>
      <c r="Y37">
        <f ca="1">+VLOOKUP($T37,INDIRECT(Adrese!F$2),4,FALSE)</f>
        <v>121883</v>
      </c>
      <c r="Z37">
        <f t="shared" ca="1" si="4"/>
        <v>612964</v>
      </c>
      <c r="AA37" s="5">
        <f t="shared" ca="1" si="23"/>
        <v>122592.8</v>
      </c>
      <c r="AB37" s="5">
        <f t="shared" ca="1" si="6"/>
        <v>518.1618473025585</v>
      </c>
      <c r="AD37" t="s">
        <v>101</v>
      </c>
      <c r="AE37">
        <f ca="1">+VLOOKUP($A37,INDIRECT(Adrese!B$2),5,FALSE)</f>
        <v>27396</v>
      </c>
      <c r="AF37">
        <f ca="1">+VLOOKUP($A37,INDIRECT(Adrese!C$2),5,FALSE)</f>
        <v>27494</v>
      </c>
      <c r="AG37">
        <f ca="1">+VLOOKUP($A37,INDIRECT(Adrese!D$2),5,FALSE)</f>
        <v>27381</v>
      </c>
      <c r="AH37">
        <f ca="1">+VLOOKUP($A37,INDIRECT(Adrese!E$2),5,FALSE)</f>
        <v>27714</v>
      </c>
      <c r="AI37">
        <f ca="1">+VLOOKUP($A37,INDIRECT(Adrese!F$2),5,FALSE)</f>
        <v>27166</v>
      </c>
      <c r="AJ37" s="5">
        <f t="shared" ca="1" si="24"/>
        <v>27430.2</v>
      </c>
      <c r="AK37" s="5">
        <f t="shared" ca="1" si="8"/>
        <v>198.74908804822223</v>
      </c>
      <c r="AM37" t="s">
        <v>101</v>
      </c>
      <c r="AN37" s="5">
        <f ca="1">+VLOOKUP($A37,INDIRECT(Adrese!B$2),6,FALSE)</f>
        <v>0.60168141592920354</v>
      </c>
      <c r="AO37" s="5">
        <f ca="1">+VLOOKUP($A37,INDIRECT(Adrese!C$2),6,FALSE)</f>
        <v>0.60384955799999995</v>
      </c>
      <c r="AP37" s="5">
        <f ca="1">+VLOOKUP($A37,INDIRECT(Adrese!D$2),6,FALSE)</f>
        <v>0.60134955800000001</v>
      </c>
      <c r="AQ37" s="5">
        <f ca="1">+VLOOKUP($A37,INDIRECT(Adrese!E$2),6,FALSE)</f>
        <v>0.60871681399999999</v>
      </c>
      <c r="AR37" s="5">
        <f ca="1">+VLOOKUP($A37,INDIRECT(Adrese!F$2),6,FALSE)</f>
        <v>0.59659291999999997</v>
      </c>
      <c r="AS37" s="5" t="str">
        <f t="shared" ca="1" si="9"/>
        <v>0.60 (0.00)</v>
      </c>
      <c r="AT37" s="5">
        <f t="shared" ca="1" si="25"/>
        <v>0.60243805318584065</v>
      </c>
      <c r="AU37" s="5">
        <f t="shared" ca="1" si="11"/>
        <v>4.397103787431092E-3</v>
      </c>
      <c r="AW37" t="s">
        <v>101</v>
      </c>
      <c r="AX37" s="5">
        <f ca="1">+VLOOKUP($A37,INDIRECT(Adrese!B$2),7,FALSE)</f>
        <v>0.69026548672566368</v>
      </c>
      <c r="AY37" s="5">
        <f ca="1">+VLOOKUP($A37,INDIRECT(Adrese!C$2),7,FALSE)</f>
        <v>0.69026548700000001</v>
      </c>
      <c r="AZ37" s="5">
        <f ca="1">+VLOOKUP($A37,INDIRECT(Adrese!D$2),7,FALSE)</f>
        <v>0.69469026499999997</v>
      </c>
      <c r="BA37" s="5">
        <f ca="1">+VLOOKUP($A37,INDIRECT(Adrese!E$2),7,FALSE)</f>
        <v>0.70353982299999995</v>
      </c>
      <c r="BB37" s="5">
        <f ca="1">+VLOOKUP($A37,INDIRECT(Adrese!F$2),7,FALSE)</f>
        <v>0.68584070799999997</v>
      </c>
      <c r="BC37" s="5" t="str">
        <f t="shared" ca="1" si="12"/>
        <v>0.69 (0.01)</v>
      </c>
      <c r="BD37">
        <f t="shared" ca="1" si="26"/>
        <v>0.69292035394513274</v>
      </c>
      <c r="BE37" s="5">
        <f t="shared" ca="1" si="14"/>
        <v>6.7105091704584589E-3</v>
      </c>
      <c r="BG37" t="s">
        <v>101</v>
      </c>
      <c r="BH37" s="5">
        <f ca="1">+VLOOKUP($BG37,INDIRECT(Adrese!B$2),8,FALSE)</f>
        <v>6.4737932986943872E-2</v>
      </c>
      <c r="BI37" s="5">
        <f ca="1">+VLOOKUP($BG37,INDIRECT(Adrese!C$2),8,FALSE)</f>
        <v>6.4877380999999998E-2</v>
      </c>
      <c r="BJ37" s="5">
        <f ca="1">+VLOOKUP($BG37,INDIRECT(Adrese!D$2),8,FALSE)</f>
        <v>6.4849993999999994E-2</v>
      </c>
      <c r="BK37" s="5">
        <f ca="1">+VLOOKUP($BG37,INDIRECT(Adrese!E$2),8,FALSE)</f>
        <v>6.5409075999999997E-2</v>
      </c>
      <c r="BL37" s="5">
        <f ca="1">+VLOOKUP($BG37,INDIRECT(Adrese!F$2),8,FALSE)</f>
        <v>6.4506744000000005E-2</v>
      </c>
      <c r="BM37" s="5" t="str">
        <f t="shared" ca="1" si="15"/>
        <v>0.06 (0.00)</v>
      </c>
      <c r="BN37" s="5">
        <f t="shared" ca="1" si="27"/>
        <v>6.4876225597388773E-2</v>
      </c>
      <c r="BO37" s="5">
        <f t="shared" ca="1" si="17"/>
        <v>3.3176063665402085E-4</v>
      </c>
      <c r="BQ37" t="s">
        <v>101</v>
      </c>
      <c r="BR37" s="5">
        <f ca="1">+VLOOKUP($BG37,INDIRECT(Adrese!B$2),9,FALSE)</f>
        <v>7.3138524108374389E-2</v>
      </c>
      <c r="BS37" s="5">
        <f ca="1">+VLOOKUP($BG37,INDIRECT(Adrese!C$2),9,FALSE)</f>
        <v>7.3474012000000005E-2</v>
      </c>
      <c r="BT37" s="5">
        <f ca="1">+VLOOKUP($BG37,INDIRECT(Adrese!D$2),9,FALSE)</f>
        <v>7.3901204999999998E-2</v>
      </c>
      <c r="BU37" s="5">
        <f ca="1">+VLOOKUP($BG37,INDIRECT(Adrese!E$2),9,FALSE)</f>
        <v>7.4569992000000002E-2</v>
      </c>
      <c r="BV37" s="5">
        <f ca="1">+VLOOKUP($BG37,INDIRECT(Adrese!F$2),9,FALSE)</f>
        <v>7.3575608000000001E-2</v>
      </c>
      <c r="BW37" s="5" t="str">
        <f t="shared" ca="1" si="18"/>
        <v>0.07 (0.00)</v>
      </c>
      <c r="BX37" s="5">
        <f t="shared" ca="1" si="28"/>
        <v>7.3731868221674879E-2</v>
      </c>
      <c r="BY37" s="5">
        <f t="shared" ca="1" si="20"/>
        <v>5.4177733826041904E-4</v>
      </c>
    </row>
    <row r="38" spans="1:77" x14ac:dyDescent="0.25">
      <c r="A38" t="s">
        <v>102</v>
      </c>
      <c r="B38" s="12">
        <f ca="1">+VLOOKUP($A38,INDIRECT(Adrese!B$2),2,FALSE)</f>
        <v>36</v>
      </c>
      <c r="C38" s="12">
        <f ca="1">+VLOOKUP($A38,INDIRECT(Adrese!C$2),2,FALSE)</f>
        <v>30</v>
      </c>
      <c r="D38" s="12">
        <f ca="1">+VLOOKUP($A38,INDIRECT(Adrese!D$2),2,FALSE)</f>
        <v>30</v>
      </c>
      <c r="E38" s="12">
        <f ca="1">+VLOOKUP($A38,INDIRECT(Adrese!E$2),2,FALSE)</f>
        <v>33</v>
      </c>
      <c r="F38" s="12">
        <f ca="1">+VLOOKUP($A38,INDIRECT(Adrese!F$2),2,FALSE)</f>
        <v>23</v>
      </c>
      <c r="G38" s="5">
        <f t="shared" ca="1" si="21"/>
        <v>30.4</v>
      </c>
      <c r="H38" s="5">
        <f t="shared" ca="1" si="1"/>
        <v>4.8270073544588632</v>
      </c>
      <c r="J38" t="s">
        <v>102</v>
      </c>
      <c r="K38">
        <f ca="1">+VLOOKUP($A38,INDIRECT(Adrese!B$2),3,FALSE)</f>
        <v>22</v>
      </c>
      <c r="L38">
        <f ca="1">+VLOOKUP($A38,INDIRECT(Adrese!C$2),3,FALSE)</f>
        <v>22</v>
      </c>
      <c r="M38">
        <f ca="1">+VLOOKUP($A38,INDIRECT(Adrese!D$2),3,FALSE)</f>
        <v>20</v>
      </c>
      <c r="N38">
        <f ca="1">+VLOOKUP($A38,INDIRECT(Adrese!E$2),3,FALSE)</f>
        <v>21</v>
      </c>
      <c r="O38">
        <f ca="1">+VLOOKUP($A38,INDIRECT(Adrese!F$2),3,FALSE)</f>
        <v>22</v>
      </c>
      <c r="P38" s="5">
        <f t="shared" ca="1" si="22"/>
        <v>21.4</v>
      </c>
      <c r="Q38" s="5">
        <f t="shared" ca="1" si="3"/>
        <v>0.89442719099991586</v>
      </c>
      <c r="T38" t="s">
        <v>102</v>
      </c>
      <c r="U38">
        <f ca="1">+VLOOKUP($T38,INDIRECT(Adrese!B$2),4,FALSE)</f>
        <v>122036</v>
      </c>
      <c r="V38">
        <f ca="1">+VLOOKUP($T38,INDIRECT(Adrese!C$2),4,FALSE)</f>
        <v>122937</v>
      </c>
      <c r="W38">
        <f ca="1">+VLOOKUP($T38,INDIRECT(Adrese!D$2),4,FALSE)</f>
        <v>123112</v>
      </c>
      <c r="X38">
        <f ca="1">+VLOOKUP($T38,INDIRECT(Adrese!E$2),4,FALSE)</f>
        <v>122615</v>
      </c>
      <c r="Y38">
        <f ca="1">+VLOOKUP($T38,INDIRECT(Adrese!F$2),4,FALSE)</f>
        <v>123712</v>
      </c>
      <c r="Z38">
        <f t="shared" ca="1" si="4"/>
        <v>614412</v>
      </c>
      <c r="AA38" s="5">
        <f t="shared" ca="1" si="23"/>
        <v>122882.4</v>
      </c>
      <c r="AB38" s="5">
        <f t="shared" ca="1" si="6"/>
        <v>618.83543854566062</v>
      </c>
      <c r="AD38" t="s">
        <v>102</v>
      </c>
      <c r="AE38">
        <f ca="1">+VLOOKUP($A38,INDIRECT(Adrese!B$2),5,FALSE)</f>
        <v>36683</v>
      </c>
      <c r="AF38">
        <f ca="1">+VLOOKUP($A38,INDIRECT(Adrese!C$2),5,FALSE)</f>
        <v>37134</v>
      </c>
      <c r="AG38">
        <f ca="1">+VLOOKUP($A38,INDIRECT(Adrese!D$2),5,FALSE)</f>
        <v>37343</v>
      </c>
      <c r="AH38">
        <f ca="1">+VLOOKUP($A38,INDIRECT(Adrese!E$2),5,FALSE)</f>
        <v>37013</v>
      </c>
      <c r="AI38">
        <f ca="1">+VLOOKUP($A38,INDIRECT(Adrese!F$2),5,FALSE)</f>
        <v>37536</v>
      </c>
      <c r="AJ38" s="5">
        <f t="shared" ca="1" si="24"/>
        <v>37141.800000000003</v>
      </c>
      <c r="AK38" s="5">
        <f t="shared" ca="1" si="8"/>
        <v>325.20101475856438</v>
      </c>
      <c r="AM38" t="s">
        <v>102</v>
      </c>
      <c r="AN38" s="5">
        <f ca="1">+VLOOKUP($A38,INDIRECT(Adrese!B$2),6,FALSE)</f>
        <v>0.80714601769911509</v>
      </c>
      <c r="AO38" s="5">
        <f ca="1">+VLOOKUP($A38,INDIRECT(Adrese!C$2),6,FALSE)</f>
        <v>0.81712389399999996</v>
      </c>
      <c r="AP38" s="5">
        <f ca="1">+VLOOKUP($A38,INDIRECT(Adrese!D$2),6,FALSE)</f>
        <v>0.82174778800000003</v>
      </c>
      <c r="AQ38" s="5">
        <f ca="1">+VLOOKUP($A38,INDIRECT(Adrese!E$2),6,FALSE)</f>
        <v>0.814446903</v>
      </c>
      <c r="AR38" s="5">
        <f ca="1">+VLOOKUP($A38,INDIRECT(Adrese!F$2),6,FALSE)</f>
        <v>0.82601769899999999</v>
      </c>
      <c r="AS38" s="5" t="str">
        <f t="shared" ca="1" si="9"/>
        <v>0.82 (0.01)</v>
      </c>
      <c r="AT38" s="5">
        <f t="shared" ca="1" si="25"/>
        <v>0.81729646033982295</v>
      </c>
      <c r="AU38" s="5">
        <f t="shared" ca="1" si="11"/>
        <v>7.1947127059199412E-3</v>
      </c>
      <c r="AW38" t="s">
        <v>102</v>
      </c>
      <c r="AX38" s="5">
        <f ca="1">+VLOOKUP($A38,INDIRECT(Adrese!B$2),7,FALSE)</f>
        <v>0.90265486725663713</v>
      </c>
      <c r="AY38" s="5">
        <f ca="1">+VLOOKUP($A38,INDIRECT(Adrese!C$2),7,FALSE)</f>
        <v>0.90265486699999997</v>
      </c>
      <c r="AZ38" s="5">
        <f ca="1">+VLOOKUP($A38,INDIRECT(Adrese!D$2),7,FALSE)</f>
        <v>0.91150442499999995</v>
      </c>
      <c r="BA38" s="5">
        <f ca="1">+VLOOKUP($A38,INDIRECT(Adrese!E$2),7,FALSE)</f>
        <v>0.90707964600000002</v>
      </c>
      <c r="BB38" s="5">
        <f ca="1">+VLOOKUP($A38,INDIRECT(Adrese!F$2),7,FALSE)</f>
        <v>0.90265486699999997</v>
      </c>
      <c r="BC38" s="5" t="str">
        <f t="shared" ca="1" si="12"/>
        <v>0.91 (0.00)</v>
      </c>
      <c r="BD38">
        <f t="shared" ca="1" si="26"/>
        <v>0.90530973445132745</v>
      </c>
      <c r="BE38" s="5">
        <f t="shared" ca="1" si="14"/>
        <v>3.9576426087260556E-3</v>
      </c>
      <c r="BG38" t="s">
        <v>102</v>
      </c>
      <c r="BH38" s="5">
        <f ca="1">+VLOOKUP($BG38,INDIRECT(Adrese!B$2),8,FALSE)</f>
        <v>8.12148182486334E-2</v>
      </c>
      <c r="BI38" s="5">
        <f ca="1">+VLOOKUP($BG38,INDIRECT(Adrese!C$2),8,FALSE)</f>
        <v>8.1413395999999999E-2</v>
      </c>
      <c r="BJ38" s="5">
        <f ca="1">+VLOOKUP($BG38,INDIRECT(Adrese!D$2),8,FALSE)</f>
        <v>8.1602556000000007E-2</v>
      </c>
      <c r="BK38" s="5">
        <f ca="1">+VLOOKUP($BG38,INDIRECT(Adrese!E$2),8,FALSE)</f>
        <v>8.1606245999999993E-2</v>
      </c>
      <c r="BL38" s="5">
        <f ca="1">+VLOOKUP($BG38,INDIRECT(Adrese!F$2),8,FALSE)</f>
        <v>8.2199338999999996E-2</v>
      </c>
      <c r="BM38" s="5" t="str">
        <f t="shared" ca="1" si="15"/>
        <v>0.08 (0.00)</v>
      </c>
      <c r="BN38" s="5">
        <f t="shared" ca="1" si="27"/>
        <v>8.1607271049726676E-2</v>
      </c>
      <c r="BO38" s="5">
        <f t="shared" ca="1" si="17"/>
        <v>3.6816248999395573E-4</v>
      </c>
      <c r="BQ38" t="s">
        <v>102</v>
      </c>
      <c r="BR38" s="5">
        <f ca="1">+VLOOKUP($BG38,INDIRECT(Adrese!B$2),9,FALSE)</f>
        <v>8.9928825858308317E-2</v>
      </c>
      <c r="BS38" s="5">
        <f ca="1">+VLOOKUP($BG38,INDIRECT(Adrese!C$2),9,FALSE)</f>
        <v>8.825115E-2</v>
      </c>
      <c r="BT38" s="5">
        <f ca="1">+VLOOKUP($BG38,INDIRECT(Adrese!D$2),9,FALSE)</f>
        <v>8.8026999999999994E-2</v>
      </c>
      <c r="BU38" s="5">
        <f ca="1">+VLOOKUP($BG38,INDIRECT(Adrese!E$2),9,FALSE)</f>
        <v>9.0067121E-2</v>
      </c>
      <c r="BV38" s="5">
        <f ca="1">+VLOOKUP($BG38,INDIRECT(Adrese!F$2),9,FALSE)</f>
        <v>8.9401417999999996E-2</v>
      </c>
      <c r="BW38" s="5" t="str">
        <f t="shared" ca="1" si="18"/>
        <v>0.09 (0.00)</v>
      </c>
      <c r="BX38" s="5">
        <f t="shared" ca="1" si="28"/>
        <v>8.9135102971661676E-2</v>
      </c>
      <c r="BY38" s="5">
        <f t="shared" ca="1" si="20"/>
        <v>9.4589142772415105E-4</v>
      </c>
    </row>
    <row r="39" spans="1:77" x14ac:dyDescent="0.25">
      <c r="A39" t="s">
        <v>103</v>
      </c>
      <c r="B39" s="12">
        <f ca="1">+VLOOKUP($A39,INDIRECT(Adrese!B$2),2,FALSE)</f>
        <v>37</v>
      </c>
      <c r="C39" s="12">
        <f ca="1">+VLOOKUP($A39,INDIRECT(Adrese!C$2),2,FALSE)</f>
        <v>36</v>
      </c>
      <c r="D39" s="12">
        <f ca="1">+VLOOKUP($A39,INDIRECT(Adrese!D$2),2,FALSE)</f>
        <v>21</v>
      </c>
      <c r="E39" s="12">
        <f ca="1">+VLOOKUP($A39,INDIRECT(Adrese!E$2),2,FALSE)</f>
        <v>37</v>
      </c>
      <c r="F39" s="12">
        <f ca="1">+VLOOKUP($A39,INDIRECT(Adrese!F$2),2,FALSE)</f>
        <v>24</v>
      </c>
      <c r="G39" s="5">
        <f t="shared" ca="1" si="21"/>
        <v>31</v>
      </c>
      <c r="H39" s="5">
        <f t="shared" ca="1" si="1"/>
        <v>7.8421935706790613</v>
      </c>
      <c r="J39" t="s">
        <v>103</v>
      </c>
      <c r="K39">
        <f ca="1">+VLOOKUP($A39,INDIRECT(Adrese!B$2),3,FALSE)</f>
        <v>27</v>
      </c>
      <c r="L39">
        <f ca="1">+VLOOKUP($A39,INDIRECT(Adrese!C$2),3,FALSE)</f>
        <v>22</v>
      </c>
      <c r="M39">
        <f ca="1">+VLOOKUP($A39,INDIRECT(Adrese!D$2),3,FALSE)</f>
        <v>32</v>
      </c>
      <c r="N39">
        <f ca="1">+VLOOKUP($A39,INDIRECT(Adrese!E$2),3,FALSE)</f>
        <v>28</v>
      </c>
      <c r="O39">
        <f ca="1">+VLOOKUP($A39,INDIRECT(Adrese!F$2),3,FALSE)</f>
        <v>31</v>
      </c>
      <c r="P39" s="5">
        <f t="shared" ca="1" si="22"/>
        <v>28</v>
      </c>
      <c r="Q39" s="5">
        <f t="shared" ca="1" si="3"/>
        <v>3.9370039370059056</v>
      </c>
      <c r="T39" t="s">
        <v>103</v>
      </c>
      <c r="U39">
        <f ca="1">+VLOOKUP($T39,INDIRECT(Adrese!B$2),4,FALSE)</f>
        <v>121980</v>
      </c>
      <c r="V39">
        <f ca="1">+VLOOKUP($T39,INDIRECT(Adrese!C$2),4,FALSE)</f>
        <v>122236</v>
      </c>
      <c r="W39">
        <f ca="1">+VLOOKUP($T39,INDIRECT(Adrese!D$2),4,FALSE)</f>
        <v>124140</v>
      </c>
      <c r="X39">
        <f ca="1">+VLOOKUP($T39,INDIRECT(Adrese!E$2),4,FALSE)</f>
        <v>122068</v>
      </c>
      <c r="Y39">
        <f ca="1">+VLOOKUP($T39,INDIRECT(Adrese!F$2),4,FALSE)</f>
        <v>123584</v>
      </c>
      <c r="Z39">
        <f t="shared" ca="1" si="4"/>
        <v>614008</v>
      </c>
      <c r="AA39" s="5">
        <f t="shared" ca="1" si="23"/>
        <v>122801.60000000001</v>
      </c>
      <c r="AB39" s="5">
        <f t="shared" ca="1" si="6"/>
        <v>992.03870892218708</v>
      </c>
      <c r="AD39" t="s">
        <v>103</v>
      </c>
      <c r="AE39">
        <f ca="1">+VLOOKUP($A39,INDIRECT(Adrese!B$2),5,FALSE)</f>
        <v>34221</v>
      </c>
      <c r="AF39">
        <f ca="1">+VLOOKUP($A39,INDIRECT(Adrese!C$2),5,FALSE)</f>
        <v>34760</v>
      </c>
      <c r="AG39">
        <f ca="1">+VLOOKUP($A39,INDIRECT(Adrese!D$2),5,FALSE)</f>
        <v>34667</v>
      </c>
      <c r="AH39">
        <f ca="1">+VLOOKUP($A39,INDIRECT(Adrese!E$2),5,FALSE)</f>
        <v>34407</v>
      </c>
      <c r="AI39">
        <f ca="1">+VLOOKUP($A39,INDIRECT(Adrese!F$2),5,FALSE)</f>
        <v>34987</v>
      </c>
      <c r="AJ39" s="5">
        <f t="shared" ca="1" si="24"/>
        <v>34608.400000000001</v>
      </c>
      <c r="AK39" s="5">
        <f t="shared" ca="1" si="8"/>
        <v>300.16462149960307</v>
      </c>
      <c r="AM39" t="s">
        <v>103</v>
      </c>
      <c r="AN39" s="5">
        <f ca="1">+VLOOKUP($A39,INDIRECT(Adrese!B$2),6,FALSE)</f>
        <v>0.75267699115044251</v>
      </c>
      <c r="AO39" s="5">
        <f ca="1">+VLOOKUP($A39,INDIRECT(Adrese!C$2),6,FALSE)</f>
        <v>0.76460176999999996</v>
      </c>
      <c r="AP39" s="5">
        <f ca="1">+VLOOKUP($A39,INDIRECT(Adrese!D$2),6,FALSE)</f>
        <v>0.76254424799999998</v>
      </c>
      <c r="AQ39" s="5">
        <f ca="1">+VLOOKUP($A39,INDIRECT(Adrese!E$2),6,FALSE)</f>
        <v>0.75679203500000003</v>
      </c>
      <c r="AR39" s="5">
        <f ca="1">+VLOOKUP($A39,INDIRECT(Adrese!F$2),6,FALSE)</f>
        <v>0.76962389399999998</v>
      </c>
      <c r="AS39" s="5" t="str">
        <f t="shared" ca="1" si="9"/>
        <v>0.76 (0.01)</v>
      </c>
      <c r="AT39" s="5">
        <f t="shared" ca="1" si="25"/>
        <v>0.76124778763008849</v>
      </c>
      <c r="AU39" s="5">
        <f t="shared" ca="1" si="11"/>
        <v>6.6408103598987059E-3</v>
      </c>
      <c r="AW39" t="s">
        <v>103</v>
      </c>
      <c r="AX39" s="5">
        <f ca="1">+VLOOKUP($A39,INDIRECT(Adrese!B$2),7,FALSE)</f>
        <v>0.88053097345132747</v>
      </c>
      <c r="AY39" s="5">
        <f ca="1">+VLOOKUP($A39,INDIRECT(Adrese!C$2),7,FALSE)</f>
        <v>0.90265486699999997</v>
      </c>
      <c r="AZ39" s="5">
        <f ca="1">+VLOOKUP($A39,INDIRECT(Adrese!D$2),7,FALSE)</f>
        <v>0.85840707999999999</v>
      </c>
      <c r="BA39" s="5">
        <f ca="1">+VLOOKUP($A39,INDIRECT(Adrese!E$2),7,FALSE)</f>
        <v>0.87610619499999998</v>
      </c>
      <c r="BB39" s="5">
        <f ca="1">+VLOOKUP($A39,INDIRECT(Adrese!F$2),7,FALSE)</f>
        <v>0.86283185799999995</v>
      </c>
      <c r="BC39" s="5" t="str">
        <f t="shared" ca="1" si="12"/>
        <v>0.88 (0.02)</v>
      </c>
      <c r="BD39">
        <f t="shared" ca="1" si="26"/>
        <v>0.87610619469026541</v>
      </c>
      <c r="BE39" s="5">
        <f t="shared" ca="1" si="14"/>
        <v>1.7420371292539302E-2</v>
      </c>
      <c r="BG39" t="s">
        <v>103</v>
      </c>
      <c r="BH39" s="5">
        <f ca="1">+VLOOKUP($BG39,INDIRECT(Adrese!B$2),8,FALSE)</f>
        <v>7.7289695525693369E-2</v>
      </c>
      <c r="BI39" s="5">
        <f ca="1">+VLOOKUP($BG39,INDIRECT(Adrese!C$2),8,FALSE)</f>
        <v>7.8336956999999999E-2</v>
      </c>
      <c r="BJ39" s="5">
        <f ca="1">+VLOOKUP($BG39,INDIRECT(Adrese!D$2),8,FALSE)</f>
        <v>7.7996807000000001E-2</v>
      </c>
      <c r="BK39" s="5">
        <f ca="1">+VLOOKUP($BG39,INDIRECT(Adrese!E$2),8,FALSE)</f>
        <v>7.7235162999999996E-2</v>
      </c>
      <c r="BL39" s="5">
        <f ca="1">+VLOOKUP($BG39,INDIRECT(Adrese!F$2),8,FALSE)</f>
        <v>7.8389818E-2</v>
      </c>
      <c r="BM39" s="5" t="str">
        <f t="shared" ca="1" si="15"/>
        <v>0.08 (0.00)</v>
      </c>
      <c r="BN39" s="5">
        <f t="shared" ca="1" si="27"/>
        <v>7.7849688105138676E-2</v>
      </c>
      <c r="BO39" s="5">
        <f t="shared" ca="1" si="17"/>
        <v>5.5723604565906628E-4</v>
      </c>
      <c r="BQ39" t="s">
        <v>103</v>
      </c>
      <c r="BR39" s="5">
        <f ca="1">+VLOOKUP($BG39,INDIRECT(Adrese!B$2),9,FALSE)</f>
        <v>8.7203341193164113E-2</v>
      </c>
      <c r="BS39" s="5">
        <f ca="1">+VLOOKUP($BG39,INDIRECT(Adrese!C$2),9,FALSE)</f>
        <v>8.8752626000000001E-2</v>
      </c>
      <c r="BT39" s="5">
        <f ca="1">+VLOOKUP($BG39,INDIRECT(Adrese!D$2),9,FALSE)</f>
        <v>8.8107275999999998E-2</v>
      </c>
      <c r="BU39" s="5">
        <f ca="1">+VLOOKUP($BG39,INDIRECT(Adrese!E$2),9,FALSE)</f>
        <v>8.5926716E-2</v>
      </c>
      <c r="BV39" s="5">
        <f ca="1">+VLOOKUP($BG39,INDIRECT(Adrese!F$2),9,FALSE)</f>
        <v>8.7130093000000006E-2</v>
      </c>
      <c r="BW39" s="5" t="str">
        <f t="shared" ca="1" si="18"/>
        <v>0.09 (0.00)</v>
      </c>
      <c r="BX39" s="5">
        <f t="shared" ca="1" si="28"/>
        <v>8.7424010438632821E-2</v>
      </c>
      <c r="BY39" s="5">
        <f t="shared" ca="1" si="20"/>
        <v>1.0734342259596543E-3</v>
      </c>
    </row>
    <row r="40" spans="1:77" x14ac:dyDescent="0.25">
      <c r="A40" t="s">
        <v>104</v>
      </c>
      <c r="B40" s="12">
        <f ca="1">+VLOOKUP($A40,INDIRECT(Adrese!B$2),2,FALSE)</f>
        <v>38</v>
      </c>
      <c r="C40" s="12">
        <f ca="1">+VLOOKUP($A40,INDIRECT(Adrese!C$2),2,FALSE)</f>
        <v>34</v>
      </c>
      <c r="D40" s="12">
        <f ca="1">+VLOOKUP($A40,INDIRECT(Adrese!D$2),2,FALSE)</f>
        <v>40</v>
      </c>
      <c r="E40" s="12">
        <f ca="1">+VLOOKUP($A40,INDIRECT(Adrese!E$2),2,FALSE)</f>
        <v>36</v>
      </c>
      <c r="F40" s="12">
        <f ca="1">+VLOOKUP($A40,INDIRECT(Adrese!F$2),2,FALSE)</f>
        <v>34</v>
      </c>
      <c r="G40" s="5">
        <f t="shared" ca="1" si="21"/>
        <v>36.4</v>
      </c>
      <c r="H40" s="5">
        <f t="shared" ca="1" si="1"/>
        <v>2.6076809620810595</v>
      </c>
      <c r="J40" t="s">
        <v>104</v>
      </c>
      <c r="K40">
        <f ca="1">+VLOOKUP($A40,INDIRECT(Adrese!B$2),3,FALSE)</f>
        <v>36</v>
      </c>
      <c r="L40">
        <f ca="1">+VLOOKUP($A40,INDIRECT(Adrese!C$2),3,FALSE)</f>
        <v>34</v>
      </c>
      <c r="M40">
        <f ca="1">+VLOOKUP($A40,INDIRECT(Adrese!D$2),3,FALSE)</f>
        <v>34</v>
      </c>
      <c r="N40">
        <f ca="1">+VLOOKUP($A40,INDIRECT(Adrese!E$2),3,FALSE)</f>
        <v>32</v>
      </c>
      <c r="O40">
        <f ca="1">+VLOOKUP($A40,INDIRECT(Adrese!F$2),3,FALSE)</f>
        <v>35</v>
      </c>
      <c r="P40" s="5">
        <f t="shared" ca="1" si="22"/>
        <v>34.200000000000003</v>
      </c>
      <c r="Q40" s="5">
        <f t="shared" ca="1" si="3"/>
        <v>1.4832396974191324</v>
      </c>
      <c r="T40" t="s">
        <v>104</v>
      </c>
      <c r="U40">
        <f ca="1">+VLOOKUP($T40,INDIRECT(Adrese!B$2),4,FALSE)</f>
        <v>121952</v>
      </c>
      <c r="V40">
        <f ca="1">+VLOOKUP($T40,INDIRECT(Adrese!C$2),4,FALSE)</f>
        <v>122398</v>
      </c>
      <c r="W40">
        <f ca="1">+VLOOKUP($T40,INDIRECT(Adrese!D$2),4,FALSE)</f>
        <v>121224</v>
      </c>
      <c r="X40">
        <f ca="1">+VLOOKUP($T40,INDIRECT(Adrese!E$2),4,FALSE)</f>
        <v>122228</v>
      </c>
      <c r="Y40">
        <f ca="1">+VLOOKUP($T40,INDIRECT(Adrese!F$2),4,FALSE)</f>
        <v>122139</v>
      </c>
      <c r="Z40">
        <f t="shared" ca="1" si="4"/>
        <v>609941</v>
      </c>
      <c r="AA40" s="5">
        <f t="shared" ca="1" si="23"/>
        <v>121988.2</v>
      </c>
      <c r="AB40" s="5">
        <f t="shared" ca="1" si="6"/>
        <v>456.47913424383376</v>
      </c>
      <c r="AD40" t="s">
        <v>104</v>
      </c>
      <c r="AE40">
        <f ca="1">+VLOOKUP($A40,INDIRECT(Adrese!B$2),5,FALSE)</f>
        <v>34940</v>
      </c>
      <c r="AF40">
        <f ca="1">+VLOOKUP($A40,INDIRECT(Adrese!C$2),5,FALSE)</f>
        <v>35387</v>
      </c>
      <c r="AG40">
        <f ca="1">+VLOOKUP($A40,INDIRECT(Adrese!D$2),5,FALSE)</f>
        <v>34806</v>
      </c>
      <c r="AH40">
        <f ca="1">+VLOOKUP($A40,INDIRECT(Adrese!E$2),5,FALSE)</f>
        <v>35325</v>
      </c>
      <c r="AI40">
        <f ca="1">+VLOOKUP($A40,INDIRECT(Adrese!F$2),5,FALSE)</f>
        <v>35086</v>
      </c>
      <c r="AJ40" s="5">
        <f t="shared" ca="1" si="24"/>
        <v>35108.800000000003</v>
      </c>
      <c r="AK40" s="5">
        <f t="shared" ca="1" si="8"/>
        <v>247.40594172331433</v>
      </c>
      <c r="AM40" t="s">
        <v>104</v>
      </c>
      <c r="AN40" s="5">
        <f ca="1">+VLOOKUP($A40,INDIRECT(Adrese!B$2),6,FALSE)</f>
        <v>0.76858407079646018</v>
      </c>
      <c r="AO40" s="5">
        <f ca="1">+VLOOKUP($A40,INDIRECT(Adrese!C$2),6,FALSE)</f>
        <v>0.77847345099999998</v>
      </c>
      <c r="AP40" s="5">
        <f ca="1">+VLOOKUP($A40,INDIRECT(Adrese!D$2),6,FALSE)</f>
        <v>0.765619469</v>
      </c>
      <c r="AQ40" s="5">
        <f ca="1">+VLOOKUP($A40,INDIRECT(Adrese!E$2),6,FALSE)</f>
        <v>0.77710177000000003</v>
      </c>
      <c r="AR40" s="5">
        <f ca="1">+VLOOKUP($A40,INDIRECT(Adrese!F$2),6,FALSE)</f>
        <v>0.77181415900000006</v>
      </c>
      <c r="AS40" s="5" t="str">
        <f t="shared" ca="1" si="9"/>
        <v>0.77 (0.01)</v>
      </c>
      <c r="AT40" s="5">
        <f t="shared" ca="1" si="25"/>
        <v>0.77231858395929209</v>
      </c>
      <c r="AU40" s="5">
        <f t="shared" ca="1" si="11"/>
        <v>5.4735827236269165E-3</v>
      </c>
      <c r="AW40" t="s">
        <v>104</v>
      </c>
      <c r="AX40" s="5">
        <f ca="1">+VLOOKUP($A40,INDIRECT(Adrese!B$2),7,FALSE)</f>
        <v>0.84070796460176989</v>
      </c>
      <c r="AY40" s="5">
        <f ca="1">+VLOOKUP($A40,INDIRECT(Adrese!C$2),7,FALSE)</f>
        <v>0.84955752200000001</v>
      </c>
      <c r="AZ40" s="5">
        <f ca="1">+VLOOKUP($A40,INDIRECT(Adrese!D$2),7,FALSE)</f>
        <v>0.84955752200000001</v>
      </c>
      <c r="BA40" s="5">
        <f ca="1">+VLOOKUP($A40,INDIRECT(Adrese!E$2),7,FALSE)</f>
        <v>0.85840707999999999</v>
      </c>
      <c r="BB40" s="5">
        <f ca="1">+VLOOKUP($A40,INDIRECT(Adrese!F$2),7,FALSE)</f>
        <v>0.84513274299999996</v>
      </c>
      <c r="BC40" s="5" t="str">
        <f t="shared" ca="1" si="12"/>
        <v>0.85 (0.01)</v>
      </c>
      <c r="BD40">
        <f t="shared" ca="1" si="26"/>
        <v>0.84867256632035404</v>
      </c>
      <c r="BE40" s="5">
        <f t="shared" ca="1" si="14"/>
        <v>6.5630076825356079E-3</v>
      </c>
      <c r="BG40" t="s">
        <v>104</v>
      </c>
      <c r="BH40" s="5">
        <f ca="1">+VLOOKUP($BG40,INDIRECT(Adrese!B$2),8,FALSE)</f>
        <v>7.8762301067648449E-2</v>
      </c>
      <c r="BI40" s="5">
        <f ca="1">+VLOOKUP($BG40,INDIRECT(Adrese!C$2),8,FALSE)</f>
        <v>7.9629668000000001E-2</v>
      </c>
      <c r="BJ40" s="5">
        <f ca="1">+VLOOKUP($BG40,INDIRECT(Adrese!D$2),8,FALSE)</f>
        <v>7.8736726000000007E-2</v>
      </c>
      <c r="BK40" s="5">
        <f ca="1">+VLOOKUP($BG40,INDIRECT(Adrese!E$2),8,FALSE)</f>
        <v>7.9342087000000006E-2</v>
      </c>
      <c r="BL40" s="5">
        <f ca="1">+VLOOKUP($BG40,INDIRECT(Adrese!F$2),8,FALSE)</f>
        <v>7.9146422999999994E-2</v>
      </c>
      <c r="BM40" s="5" t="str">
        <f t="shared" ca="1" si="15"/>
        <v>0.08 (0.00)</v>
      </c>
      <c r="BN40" s="5">
        <f t="shared" ca="1" si="27"/>
        <v>7.912344101352968E-2</v>
      </c>
      <c r="BO40" s="5">
        <f t="shared" ca="1" si="17"/>
        <v>3.8228607191894895E-4</v>
      </c>
      <c r="BQ40" t="s">
        <v>104</v>
      </c>
      <c r="BR40" s="5">
        <f ca="1">+VLOOKUP($BG40,INDIRECT(Adrese!B$2),9,FALSE)</f>
        <v>8.955644968536651E-2</v>
      </c>
      <c r="BS40" s="5">
        <f ca="1">+VLOOKUP($BG40,INDIRECT(Adrese!C$2),9,FALSE)</f>
        <v>9.1096394999999997E-2</v>
      </c>
      <c r="BT40" s="5">
        <f ca="1">+VLOOKUP($BG40,INDIRECT(Adrese!D$2),9,FALSE)</f>
        <v>9.0299636000000003E-2</v>
      </c>
      <c r="BU40" s="5">
        <f ca="1">+VLOOKUP($BG40,INDIRECT(Adrese!E$2),9,FALSE)</f>
        <v>9.0326180000000006E-2</v>
      </c>
      <c r="BV40" s="5">
        <f ca="1">+VLOOKUP($BG40,INDIRECT(Adrese!F$2),9,FALSE)</f>
        <v>9.0383196999999998E-2</v>
      </c>
      <c r="BW40" s="5" t="str">
        <f t="shared" ca="1" si="18"/>
        <v>0.09 (0.00)</v>
      </c>
      <c r="BX40" s="5">
        <f t="shared" ca="1" si="28"/>
        <v>9.0332371537073297E-2</v>
      </c>
      <c r="BY40" s="5">
        <f t="shared" ca="1" si="20"/>
        <v>5.4531636461303725E-4</v>
      </c>
    </row>
    <row r="41" spans="1:77" x14ac:dyDescent="0.25">
      <c r="A41" t="s">
        <v>105</v>
      </c>
      <c r="B41" s="12">
        <f ca="1">+VLOOKUP($A41,INDIRECT(Adrese!B$2),2,FALSE)</f>
        <v>39</v>
      </c>
      <c r="C41" s="12">
        <f ca="1">+VLOOKUP($A41,INDIRECT(Adrese!C$2),2,FALSE)</f>
        <v>43</v>
      </c>
      <c r="D41" s="12">
        <f ca="1">+VLOOKUP($A41,INDIRECT(Adrese!D$2),2,FALSE)</f>
        <v>52</v>
      </c>
      <c r="E41" s="12">
        <f ca="1">+VLOOKUP($A41,INDIRECT(Adrese!E$2),2,FALSE)</f>
        <v>47</v>
      </c>
      <c r="F41" s="12">
        <f ca="1">+VLOOKUP($A41,INDIRECT(Adrese!F$2),2,FALSE)</f>
        <v>45</v>
      </c>
      <c r="G41" s="5">
        <f t="shared" ca="1" si="21"/>
        <v>45.2</v>
      </c>
      <c r="H41" s="5">
        <f t="shared" ca="1" si="1"/>
        <v>4.8166378315169185</v>
      </c>
      <c r="J41" t="s">
        <v>105</v>
      </c>
      <c r="K41">
        <f ca="1">+VLOOKUP($A41,INDIRECT(Adrese!B$2),3,FALSE)</f>
        <v>15</v>
      </c>
      <c r="L41">
        <f ca="1">+VLOOKUP($A41,INDIRECT(Adrese!C$2),3,FALSE)</f>
        <v>15</v>
      </c>
      <c r="M41">
        <f ca="1">+VLOOKUP($A41,INDIRECT(Adrese!D$2),3,FALSE)</f>
        <v>14</v>
      </c>
      <c r="N41">
        <f ca="1">+VLOOKUP($A41,INDIRECT(Adrese!E$2),3,FALSE)</f>
        <v>14</v>
      </c>
      <c r="O41">
        <f ca="1">+VLOOKUP($A41,INDIRECT(Adrese!F$2),3,FALSE)</f>
        <v>15</v>
      </c>
      <c r="P41" s="5">
        <f t="shared" ca="1" si="22"/>
        <v>14.6</v>
      </c>
      <c r="Q41" s="5">
        <f t="shared" ca="1" si="3"/>
        <v>0.54772255750516619</v>
      </c>
      <c r="T41" t="s">
        <v>105</v>
      </c>
      <c r="U41">
        <f ca="1">+VLOOKUP($T41,INDIRECT(Adrese!B$2),4,FALSE)</f>
        <v>121777</v>
      </c>
      <c r="V41">
        <f ca="1">+VLOOKUP($T41,INDIRECT(Adrese!C$2),4,FALSE)</f>
        <v>121154</v>
      </c>
      <c r="W41">
        <f ca="1">+VLOOKUP($T41,INDIRECT(Adrese!D$2),4,FALSE)</f>
        <v>120198</v>
      </c>
      <c r="X41">
        <f ca="1">+VLOOKUP($T41,INDIRECT(Adrese!E$2),4,FALSE)</f>
        <v>120978</v>
      </c>
      <c r="Y41">
        <f ca="1">+VLOOKUP($T41,INDIRECT(Adrese!F$2),4,FALSE)</f>
        <v>120874</v>
      </c>
      <c r="Z41">
        <f t="shared" ca="1" si="4"/>
        <v>604981</v>
      </c>
      <c r="AA41" s="5">
        <f t="shared" ca="1" si="23"/>
        <v>120996.2</v>
      </c>
      <c r="AB41" s="5">
        <f t="shared" ca="1" si="6"/>
        <v>567.21618453637234</v>
      </c>
      <c r="AD41" t="s">
        <v>105</v>
      </c>
      <c r="AE41">
        <f ca="1">+VLOOKUP($A41,INDIRECT(Adrese!B$2),5,FALSE)</f>
        <v>36008</v>
      </c>
      <c r="AF41">
        <f ca="1">+VLOOKUP($A41,INDIRECT(Adrese!C$2),5,FALSE)</f>
        <v>35843</v>
      </c>
      <c r="AG41">
        <f ca="1">+VLOOKUP($A41,INDIRECT(Adrese!D$2),5,FALSE)</f>
        <v>35671</v>
      </c>
      <c r="AH41">
        <f ca="1">+VLOOKUP($A41,INDIRECT(Adrese!E$2),5,FALSE)</f>
        <v>35525</v>
      </c>
      <c r="AI41">
        <f ca="1">+VLOOKUP($A41,INDIRECT(Adrese!F$2),5,FALSE)</f>
        <v>35684</v>
      </c>
      <c r="AJ41" s="5">
        <f t="shared" ca="1" si="24"/>
        <v>35746.199999999997</v>
      </c>
      <c r="AK41" s="5">
        <f t="shared" ca="1" si="8"/>
        <v>184.63667024727238</v>
      </c>
      <c r="AM41" t="s">
        <v>105</v>
      </c>
      <c r="AN41" s="5">
        <f ca="1">+VLOOKUP($A41,INDIRECT(Adrese!B$2),6,FALSE)</f>
        <v>0.79221238938053096</v>
      </c>
      <c r="AO41" s="5">
        <f ca="1">+VLOOKUP($A41,INDIRECT(Adrese!C$2),6,FALSE)</f>
        <v>0.78856194700000004</v>
      </c>
      <c r="AP41" s="5">
        <f ca="1">+VLOOKUP($A41,INDIRECT(Adrese!D$2),6,FALSE)</f>
        <v>0.78475663699999998</v>
      </c>
      <c r="AQ41" s="5">
        <f ca="1">+VLOOKUP($A41,INDIRECT(Adrese!E$2),6,FALSE)</f>
        <v>0.78152654899999996</v>
      </c>
      <c r="AR41" s="5">
        <f ca="1">+VLOOKUP($A41,INDIRECT(Adrese!F$2),6,FALSE)</f>
        <v>0.78504424799999994</v>
      </c>
      <c r="AS41" s="5" t="str">
        <f t="shared" ca="1" si="9"/>
        <v>0.79 (0.00)</v>
      </c>
      <c r="AT41" s="5">
        <f t="shared" ca="1" si="25"/>
        <v>0.78642035407610622</v>
      </c>
      <c r="AU41" s="5">
        <f t="shared" ca="1" si="11"/>
        <v>4.0848819990399405E-3</v>
      </c>
      <c r="AW41" t="s">
        <v>105</v>
      </c>
      <c r="AX41" s="5">
        <f ca="1">+VLOOKUP($A41,INDIRECT(Adrese!B$2),7,FALSE)</f>
        <v>0.9336283185840708</v>
      </c>
      <c r="AY41" s="5">
        <f ca="1">+VLOOKUP($A41,INDIRECT(Adrese!C$2),7,FALSE)</f>
        <v>0.93362831899999998</v>
      </c>
      <c r="AZ41" s="5">
        <f ca="1">+VLOOKUP($A41,INDIRECT(Adrese!D$2),7,FALSE)</f>
        <v>0.93805309699999995</v>
      </c>
      <c r="BA41" s="5">
        <f ca="1">+VLOOKUP($A41,INDIRECT(Adrese!E$2),7,FALSE)</f>
        <v>0.93805309699999995</v>
      </c>
      <c r="BB41" s="5">
        <f ca="1">+VLOOKUP($A41,INDIRECT(Adrese!F$2),7,FALSE)</f>
        <v>0.93362831899999998</v>
      </c>
      <c r="BC41" s="5" t="str">
        <f t="shared" ca="1" si="12"/>
        <v>0.94 (0.00)</v>
      </c>
      <c r="BD41">
        <f t="shared" ca="1" si="26"/>
        <v>0.93539823011681411</v>
      </c>
      <c r="BE41" s="5">
        <f t="shared" ca="1" si="14"/>
        <v>2.4235507984905107E-3</v>
      </c>
      <c r="BG41" t="s">
        <v>105</v>
      </c>
      <c r="BH41" s="5">
        <f ca="1">+VLOOKUP($BG41,INDIRECT(Adrese!B$2),8,FALSE)</f>
        <v>7.9355783179144296E-2</v>
      </c>
      <c r="BI41" s="5">
        <f ca="1">+VLOOKUP($BG41,INDIRECT(Adrese!C$2),8,FALSE)</f>
        <v>7.9282195999999999E-2</v>
      </c>
      <c r="BJ41" s="5">
        <f ca="1">+VLOOKUP($BG41,INDIRECT(Adrese!D$2),8,FALSE)</f>
        <v>7.8956714999999997E-2</v>
      </c>
      <c r="BK41" s="5">
        <f ca="1">+VLOOKUP($BG41,INDIRECT(Adrese!E$2),8,FALSE)</f>
        <v>7.8600029000000002E-2</v>
      </c>
      <c r="BL41" s="5">
        <f ca="1">+VLOOKUP($BG41,INDIRECT(Adrese!F$2),8,FALSE)</f>
        <v>7.9155445000000005E-2</v>
      </c>
      <c r="BM41" s="5" t="str">
        <f t="shared" ca="1" si="15"/>
        <v>0.08 (0.00)</v>
      </c>
      <c r="BN41" s="5">
        <f t="shared" ca="1" si="27"/>
        <v>7.907003363582886E-2</v>
      </c>
      <c r="BO41" s="5">
        <f t="shared" ca="1" si="17"/>
        <v>3.0319393229910429E-4</v>
      </c>
      <c r="BQ41" t="s">
        <v>105</v>
      </c>
      <c r="BR41" s="5">
        <f ca="1">+VLOOKUP($BG41,INDIRECT(Adrese!B$2),9,FALSE)</f>
        <v>8.6289231696577415E-2</v>
      </c>
      <c r="BS41" s="5">
        <f ca="1">+VLOOKUP($BG41,INDIRECT(Adrese!C$2),9,FALSE)</f>
        <v>8.6943830999999999E-2</v>
      </c>
      <c r="BT41" s="5">
        <f ca="1">+VLOOKUP($BG41,INDIRECT(Adrese!D$2),9,FALSE)</f>
        <v>8.6372666000000001E-2</v>
      </c>
      <c r="BU41" s="5">
        <f ca="1">+VLOOKUP($BG41,INDIRECT(Adrese!E$2),9,FALSE)</f>
        <v>8.590159E-2</v>
      </c>
      <c r="BV41" s="5">
        <f ca="1">+VLOOKUP($BG41,INDIRECT(Adrese!F$2),9,FALSE)</f>
        <v>8.7079149999999994E-2</v>
      </c>
      <c r="BW41" s="5" t="str">
        <f t="shared" ca="1" si="18"/>
        <v>0.09 (0.00)</v>
      </c>
      <c r="BX41" s="5">
        <f t="shared" ca="1" si="28"/>
        <v>8.6517293739315465E-2</v>
      </c>
      <c r="BY41" s="5">
        <f t="shared" ca="1" si="20"/>
        <v>4.8724661757344918E-4</v>
      </c>
    </row>
    <row r="42" spans="1:77" x14ac:dyDescent="0.25">
      <c r="A42" t="s">
        <v>106</v>
      </c>
      <c r="B42" s="12">
        <f ca="1">+VLOOKUP($A42,INDIRECT(Adrese!B$2),2,FALSE)</f>
        <v>40</v>
      </c>
      <c r="C42" s="12">
        <f ca="1">+VLOOKUP($A42,INDIRECT(Adrese!C$2),2,FALSE)</f>
        <v>40</v>
      </c>
      <c r="D42" s="12">
        <f ca="1">+VLOOKUP($A42,INDIRECT(Adrese!D$2),2,FALSE)</f>
        <v>39</v>
      </c>
      <c r="E42" s="12">
        <f ca="1">+VLOOKUP($A42,INDIRECT(Adrese!E$2),2,FALSE)</f>
        <v>42</v>
      </c>
      <c r="F42" s="12">
        <f ca="1">+VLOOKUP($A42,INDIRECT(Adrese!F$2),2,FALSE)</f>
        <v>37</v>
      </c>
      <c r="G42" s="5">
        <f t="shared" ca="1" si="21"/>
        <v>39.6</v>
      </c>
      <c r="H42" s="5">
        <f t="shared" ca="1" si="1"/>
        <v>1.8165902124584952</v>
      </c>
      <c r="J42" t="s">
        <v>106</v>
      </c>
      <c r="K42">
        <f ca="1">+VLOOKUP($A42,INDIRECT(Adrese!B$2),3,FALSE)</f>
        <v>65</v>
      </c>
      <c r="L42">
        <f ca="1">+VLOOKUP($A42,INDIRECT(Adrese!C$2),3,FALSE)</f>
        <v>63</v>
      </c>
      <c r="M42">
        <f ca="1">+VLOOKUP($A42,INDIRECT(Adrese!D$2),3,FALSE)</f>
        <v>64</v>
      </c>
      <c r="N42">
        <f ca="1">+VLOOKUP($A42,INDIRECT(Adrese!E$2),3,FALSE)</f>
        <v>63</v>
      </c>
      <c r="O42">
        <f ca="1">+VLOOKUP($A42,INDIRECT(Adrese!F$2),3,FALSE)</f>
        <v>64</v>
      </c>
      <c r="P42" s="5">
        <f t="shared" ca="1" si="22"/>
        <v>63.8</v>
      </c>
      <c r="Q42" s="5">
        <f t="shared" ca="1" si="3"/>
        <v>0.83666002653407556</v>
      </c>
      <c r="T42" t="s">
        <v>106</v>
      </c>
      <c r="U42">
        <f ca="1">+VLOOKUP($T42,INDIRECT(Adrese!B$2),4,FALSE)</f>
        <v>121743</v>
      </c>
      <c r="V42">
        <f ca="1">+VLOOKUP($T42,INDIRECT(Adrese!C$2),4,FALSE)</f>
        <v>121747</v>
      </c>
      <c r="W42">
        <f ca="1">+VLOOKUP($T42,INDIRECT(Adrese!D$2),4,FALSE)</f>
        <v>121341</v>
      </c>
      <c r="X42">
        <f ca="1">+VLOOKUP($T42,INDIRECT(Adrese!E$2),4,FALSE)</f>
        <v>121286</v>
      </c>
      <c r="Y42">
        <f ca="1">+VLOOKUP($T42,INDIRECT(Adrese!F$2),4,FALSE)</f>
        <v>121691</v>
      </c>
      <c r="Z42">
        <f t="shared" ca="1" si="4"/>
        <v>607808</v>
      </c>
      <c r="AA42" s="5">
        <f t="shared" ca="1" si="23"/>
        <v>121561.60000000001</v>
      </c>
      <c r="AB42" s="5">
        <f t="shared" ca="1" si="6"/>
        <v>228.3873901948179</v>
      </c>
      <c r="AD42" t="s">
        <v>106</v>
      </c>
      <c r="AE42">
        <f ca="1">+VLOOKUP($A42,INDIRECT(Adrese!B$2),5,FALSE)</f>
        <v>28537</v>
      </c>
      <c r="AF42">
        <f ca="1">+VLOOKUP($A42,INDIRECT(Adrese!C$2),5,FALSE)</f>
        <v>28279</v>
      </c>
      <c r="AG42">
        <f ca="1">+VLOOKUP($A42,INDIRECT(Adrese!D$2),5,FALSE)</f>
        <v>28160</v>
      </c>
      <c r="AH42">
        <f ca="1">+VLOOKUP($A42,INDIRECT(Adrese!E$2),5,FALSE)</f>
        <v>28113</v>
      </c>
      <c r="AI42">
        <f ca="1">+VLOOKUP($A42,INDIRECT(Adrese!F$2),5,FALSE)</f>
        <v>28577</v>
      </c>
      <c r="AJ42" s="5">
        <f t="shared" ca="1" si="24"/>
        <v>28333.200000000001</v>
      </c>
      <c r="AK42" s="5">
        <f t="shared" ca="1" si="8"/>
        <v>213.53969186078734</v>
      </c>
      <c r="AM42" t="s">
        <v>106</v>
      </c>
      <c r="AN42" s="5">
        <f ca="1">+VLOOKUP($A42,INDIRECT(Adrese!B$2),6,FALSE)</f>
        <v>0.6269247787610619</v>
      </c>
      <c r="AO42" s="5">
        <f ca="1">+VLOOKUP($A42,INDIRECT(Adrese!C$2),6,FALSE)</f>
        <v>0.62121681399999995</v>
      </c>
      <c r="AP42" s="5">
        <f ca="1">+VLOOKUP($A42,INDIRECT(Adrese!D$2),6,FALSE)</f>
        <v>0.61858407100000001</v>
      </c>
      <c r="AQ42" s="5">
        <f ca="1">+VLOOKUP($A42,INDIRECT(Adrese!E$2),6,FALSE)</f>
        <v>0.61754424799999996</v>
      </c>
      <c r="AR42" s="5">
        <f ca="1">+VLOOKUP($A42,INDIRECT(Adrese!F$2),6,FALSE)</f>
        <v>0.62780973500000004</v>
      </c>
      <c r="AS42" s="5" t="str">
        <f t="shared" ca="1" si="9"/>
        <v>0.62 (0.00)</v>
      </c>
      <c r="AT42" s="5">
        <f t="shared" ca="1" si="25"/>
        <v>0.62241592935221235</v>
      </c>
      <c r="AU42" s="5">
        <f t="shared" ca="1" si="11"/>
        <v>4.7243295189532998E-3</v>
      </c>
      <c r="AW42" t="s">
        <v>106</v>
      </c>
      <c r="AX42" s="5">
        <f ca="1">+VLOOKUP($A42,INDIRECT(Adrese!B$2),7,FALSE)</f>
        <v>0.71238938053097345</v>
      </c>
      <c r="AY42" s="5">
        <f ca="1">+VLOOKUP($A42,INDIRECT(Adrese!C$2),7,FALSE)</f>
        <v>0.72123893800000005</v>
      </c>
      <c r="AZ42" s="5">
        <f ca="1">+VLOOKUP($A42,INDIRECT(Adrese!D$2),7,FALSE)</f>
        <v>0.71681415900000001</v>
      </c>
      <c r="BA42" s="5">
        <f ca="1">+VLOOKUP($A42,INDIRECT(Adrese!E$2),7,FALSE)</f>
        <v>0.72123893800000005</v>
      </c>
      <c r="BB42" s="5">
        <f ca="1">+VLOOKUP($A42,INDIRECT(Adrese!F$2),7,FALSE)</f>
        <v>0.71681415900000001</v>
      </c>
      <c r="BC42" s="5" t="str">
        <f t="shared" ca="1" si="12"/>
        <v>0.72 (0.00)</v>
      </c>
      <c r="BD42">
        <f t="shared" ca="1" si="26"/>
        <v>0.71769911490619465</v>
      </c>
      <c r="BE42" s="5">
        <f t="shared" ca="1" si="14"/>
        <v>3.70203552515705E-3</v>
      </c>
      <c r="BG42" t="s">
        <v>106</v>
      </c>
      <c r="BH42" s="5">
        <f ca="1">+VLOOKUP($BG42,INDIRECT(Adrese!B$2),8,FALSE)</f>
        <v>6.6124947221391353E-2</v>
      </c>
      <c r="BI42" s="5">
        <f ca="1">+VLOOKUP($BG42,INDIRECT(Adrese!C$2),8,FALSE)</f>
        <v>6.5730644000000005E-2</v>
      </c>
      <c r="BJ42" s="5">
        <f ca="1">+VLOOKUP($BG42,INDIRECT(Adrese!D$2),8,FALSE)</f>
        <v>6.5523875999999995E-2</v>
      </c>
      <c r="BK42" s="5">
        <f ca="1">+VLOOKUP($BG42,INDIRECT(Adrese!E$2),8,FALSE)</f>
        <v>6.5367931000000004E-2</v>
      </c>
      <c r="BL42" s="5">
        <f ca="1">+VLOOKUP($BG42,INDIRECT(Adrese!F$2),8,FALSE)</f>
        <v>6.6265862999999994E-2</v>
      </c>
      <c r="BM42" s="5" t="str">
        <f t="shared" ca="1" si="15"/>
        <v>0.07 (0.00)</v>
      </c>
      <c r="BN42" s="5">
        <f t="shared" ca="1" si="27"/>
        <v>6.5802652244278254E-2</v>
      </c>
      <c r="BO42" s="5">
        <f t="shared" ca="1" si="17"/>
        <v>3.8416213970581361E-4</v>
      </c>
      <c r="BQ42" t="s">
        <v>106</v>
      </c>
      <c r="BR42" s="5">
        <f ca="1">+VLOOKUP($BG42,INDIRECT(Adrese!B$2),9,FALSE)</f>
        <v>7.2382367660633815E-2</v>
      </c>
      <c r="BS42" s="5">
        <f ca="1">+VLOOKUP($BG42,INDIRECT(Adrese!C$2),9,FALSE)</f>
        <v>7.2266708999999998E-2</v>
      </c>
      <c r="BT42" s="5">
        <f ca="1">+VLOOKUP($BG42,INDIRECT(Adrese!D$2),9,FALSE)</f>
        <v>7.2151028000000006E-2</v>
      </c>
      <c r="BU42" s="5">
        <f ca="1">+VLOOKUP($BG42,INDIRECT(Adrese!E$2),9,FALSE)</f>
        <v>7.1791935000000001E-2</v>
      </c>
      <c r="BV42" s="5">
        <f ca="1">+VLOOKUP($BG42,INDIRECT(Adrese!F$2),9,FALSE)</f>
        <v>7.2723114000000005E-2</v>
      </c>
      <c r="BW42" s="5" t="str">
        <f t="shared" ca="1" si="18"/>
        <v>0.07 (0.00)</v>
      </c>
      <c r="BX42" s="5">
        <f t="shared" ca="1" si="28"/>
        <v>7.2263030732126768E-2</v>
      </c>
      <c r="BY42" s="5">
        <f t="shared" ca="1" si="20"/>
        <v>3.3926657894967858E-4</v>
      </c>
    </row>
    <row r="43" spans="1:77" x14ac:dyDescent="0.25">
      <c r="A43" t="s">
        <v>107</v>
      </c>
      <c r="B43" s="12">
        <f ca="1">+VLOOKUP($A43,INDIRECT(Adrese!B$2),2,FALSE)</f>
        <v>41</v>
      </c>
      <c r="C43" s="12">
        <f ca="1">+VLOOKUP($A43,INDIRECT(Adrese!C$2),2,FALSE)</f>
        <v>46</v>
      </c>
      <c r="D43" s="12">
        <f ca="1">+VLOOKUP($A43,INDIRECT(Adrese!D$2),2,FALSE)</f>
        <v>42</v>
      </c>
      <c r="E43" s="12">
        <f ca="1">+VLOOKUP($A43,INDIRECT(Adrese!E$2),2,FALSE)</f>
        <v>40</v>
      </c>
      <c r="F43" s="12">
        <f ca="1">+VLOOKUP($A43,INDIRECT(Adrese!F$2),2,FALSE)</f>
        <v>39</v>
      </c>
      <c r="G43" s="5">
        <f t="shared" ca="1" si="21"/>
        <v>41.6</v>
      </c>
      <c r="H43" s="5">
        <f t="shared" ca="1" si="1"/>
        <v>2.7018512172212596</v>
      </c>
      <c r="J43" t="s">
        <v>107</v>
      </c>
      <c r="K43">
        <f ca="1">+VLOOKUP($A43,INDIRECT(Adrese!B$2),3,FALSE)</f>
        <v>46</v>
      </c>
      <c r="L43">
        <f ca="1">+VLOOKUP($A43,INDIRECT(Adrese!C$2),3,FALSE)</f>
        <v>45</v>
      </c>
      <c r="M43">
        <f ca="1">+VLOOKUP($A43,INDIRECT(Adrese!D$2),3,FALSE)</f>
        <v>44</v>
      </c>
      <c r="N43">
        <f ca="1">+VLOOKUP($A43,INDIRECT(Adrese!E$2),3,FALSE)</f>
        <v>45</v>
      </c>
      <c r="O43">
        <f ca="1">+VLOOKUP($A43,INDIRECT(Adrese!F$2),3,FALSE)</f>
        <v>47</v>
      </c>
      <c r="P43" s="5">
        <f t="shared" ca="1" si="22"/>
        <v>45.4</v>
      </c>
      <c r="Q43" s="5">
        <f t="shared" ca="1" si="3"/>
        <v>1.1401754250991378</v>
      </c>
      <c r="T43" t="s">
        <v>107</v>
      </c>
      <c r="U43">
        <f ca="1">+VLOOKUP($T43,INDIRECT(Adrese!B$2),4,FALSE)</f>
        <v>121631</v>
      </c>
      <c r="V43">
        <f ca="1">+VLOOKUP($T43,INDIRECT(Adrese!C$2),4,FALSE)</f>
        <v>120809</v>
      </c>
      <c r="W43">
        <f ca="1">+VLOOKUP($T43,INDIRECT(Adrese!D$2),4,FALSE)</f>
        <v>120822</v>
      </c>
      <c r="X43">
        <f ca="1">+VLOOKUP($T43,INDIRECT(Adrese!E$2),4,FALSE)</f>
        <v>121738</v>
      </c>
      <c r="Y43">
        <f ca="1">+VLOOKUP($T43,INDIRECT(Adrese!F$2),4,FALSE)</f>
        <v>121395</v>
      </c>
      <c r="Z43">
        <f t="shared" ca="1" si="4"/>
        <v>606395</v>
      </c>
      <c r="AA43" s="5">
        <f t="shared" ca="1" si="23"/>
        <v>121279</v>
      </c>
      <c r="AB43" s="5">
        <f t="shared" ca="1" si="6"/>
        <v>440.96201650482323</v>
      </c>
      <c r="AD43" t="s">
        <v>107</v>
      </c>
      <c r="AE43">
        <f ca="1">+VLOOKUP($A43,INDIRECT(Adrese!B$2),5,FALSE)</f>
        <v>31370</v>
      </c>
      <c r="AF43">
        <f ca="1">+VLOOKUP($A43,INDIRECT(Adrese!C$2),5,FALSE)</f>
        <v>30979</v>
      </c>
      <c r="AG43">
        <f ca="1">+VLOOKUP($A43,INDIRECT(Adrese!D$2),5,FALSE)</f>
        <v>31016</v>
      </c>
      <c r="AH43">
        <f ca="1">+VLOOKUP($A43,INDIRECT(Adrese!E$2),5,FALSE)</f>
        <v>31171</v>
      </c>
      <c r="AI43">
        <f ca="1">+VLOOKUP($A43,INDIRECT(Adrese!F$2),5,FALSE)</f>
        <v>31038</v>
      </c>
      <c r="AJ43" s="5">
        <f t="shared" ca="1" si="24"/>
        <v>31114.799999999999</v>
      </c>
      <c r="AK43" s="5">
        <f t="shared" ca="1" si="8"/>
        <v>159.98968716764213</v>
      </c>
      <c r="AM43" t="s">
        <v>107</v>
      </c>
      <c r="AN43" s="5">
        <f ca="1">+VLOOKUP($A43,INDIRECT(Adrese!B$2),6,FALSE)</f>
        <v>0.68960176991150446</v>
      </c>
      <c r="AO43" s="5">
        <f ca="1">+VLOOKUP($A43,INDIRECT(Adrese!C$2),6,FALSE)</f>
        <v>0.68095132700000005</v>
      </c>
      <c r="AP43" s="5">
        <f ca="1">+VLOOKUP($A43,INDIRECT(Adrese!D$2),6,FALSE)</f>
        <v>0.68176991200000003</v>
      </c>
      <c r="AQ43" s="5">
        <f ca="1">+VLOOKUP($A43,INDIRECT(Adrese!E$2),6,FALSE)</f>
        <v>0.68519911499999997</v>
      </c>
      <c r="AR43" s="5">
        <f ca="1">+VLOOKUP($A43,INDIRECT(Adrese!F$2),6,FALSE)</f>
        <v>0.68225663700000005</v>
      </c>
      <c r="AS43" s="5" t="str">
        <f t="shared" ca="1" si="9"/>
        <v>0.68 (0.00)</v>
      </c>
      <c r="AT43" s="5">
        <f t="shared" ca="1" si="25"/>
        <v>0.68395575218230098</v>
      </c>
      <c r="AU43" s="5">
        <f t="shared" ca="1" si="11"/>
        <v>3.5395948806412609E-3</v>
      </c>
      <c r="AW43" t="s">
        <v>107</v>
      </c>
      <c r="AX43" s="5">
        <f ca="1">+VLOOKUP($A43,INDIRECT(Adrese!B$2),7,FALSE)</f>
        <v>0.79646017699115046</v>
      </c>
      <c r="AY43" s="5">
        <f ca="1">+VLOOKUP($A43,INDIRECT(Adrese!C$2),7,FALSE)</f>
        <v>0.80088495599999998</v>
      </c>
      <c r="AZ43" s="5">
        <f ca="1">+VLOOKUP($A43,INDIRECT(Adrese!D$2),7,FALSE)</f>
        <v>0.80530973500000003</v>
      </c>
      <c r="BA43" s="5">
        <f ca="1">+VLOOKUP($A43,INDIRECT(Adrese!E$2),7,FALSE)</f>
        <v>0.80088495599999998</v>
      </c>
      <c r="BB43" s="5">
        <f ca="1">+VLOOKUP($A43,INDIRECT(Adrese!F$2),7,FALSE)</f>
        <v>0.792035398</v>
      </c>
      <c r="BC43" s="5" t="str">
        <f t="shared" ca="1" si="12"/>
        <v>0.80 (0.01)</v>
      </c>
      <c r="BD43">
        <f t="shared" ca="1" si="26"/>
        <v>0.79911504439823</v>
      </c>
      <c r="BE43" s="5">
        <f t="shared" ca="1" si="14"/>
        <v>5.0450242784589767E-3</v>
      </c>
      <c r="BG43" t="s">
        <v>107</v>
      </c>
      <c r="BH43" s="5">
        <f ca="1">+VLOOKUP($BG43,INDIRECT(Adrese!B$2),8,FALSE)</f>
        <v>7.2059560540409739E-2</v>
      </c>
      <c r="BI43" s="5">
        <f ca="1">+VLOOKUP($BG43,INDIRECT(Adrese!C$2),8,FALSE)</f>
        <v>7.1233581000000004E-2</v>
      </c>
      <c r="BJ43" s="5">
        <f ca="1">+VLOOKUP($BG43,INDIRECT(Adrese!D$2),8,FALSE)</f>
        <v>7.1445943999999997E-2</v>
      </c>
      <c r="BK43" s="5">
        <f ca="1">+VLOOKUP($BG43,INDIRECT(Adrese!E$2),8,FALSE)</f>
        <v>7.1685737999999999E-2</v>
      </c>
      <c r="BL43" s="5">
        <f ca="1">+VLOOKUP($BG43,INDIRECT(Adrese!F$2),8,FALSE)</f>
        <v>7.1501074999999997E-2</v>
      </c>
      <c r="BM43" s="5" t="str">
        <f t="shared" ca="1" si="15"/>
        <v>0.07 (0.00)</v>
      </c>
      <c r="BN43" s="5">
        <f t="shared" ca="1" si="27"/>
        <v>7.1585179708081939E-2</v>
      </c>
      <c r="BO43" s="5">
        <f t="shared" ca="1" si="17"/>
        <v>3.1033489169162418E-4</v>
      </c>
      <c r="BQ43" t="s">
        <v>107</v>
      </c>
      <c r="BR43" s="5">
        <f ca="1">+VLOOKUP($BG43,INDIRECT(Adrese!B$2),9,FALSE)</f>
        <v>8.1318090858814737E-2</v>
      </c>
      <c r="BS43" s="5">
        <f ca="1">+VLOOKUP($BG43,INDIRECT(Adrese!C$2),9,FALSE)</f>
        <v>8.0131275000000002E-2</v>
      </c>
      <c r="BT43" s="5">
        <f ca="1">+VLOOKUP($BG43,INDIRECT(Adrese!D$2),9,FALSE)</f>
        <v>8.0579978999999996E-2</v>
      </c>
      <c r="BU43" s="5">
        <f ca="1">+VLOOKUP($BG43,INDIRECT(Adrese!E$2),9,FALSE)</f>
        <v>8.1086335999999995E-2</v>
      </c>
      <c r="BV43" s="5">
        <f ca="1">+VLOOKUP($BG43,INDIRECT(Adrese!F$2),9,FALSE)</f>
        <v>8.0685621999999999E-2</v>
      </c>
      <c r="BW43" s="5" t="str">
        <f t="shared" ca="1" si="18"/>
        <v>0.08 (0.00)</v>
      </c>
      <c r="BX43" s="5">
        <f t="shared" ca="1" si="28"/>
        <v>8.0760260571762957E-2</v>
      </c>
      <c r="BY43" s="5">
        <f t="shared" ca="1" si="20"/>
        <v>4.6130115571347446E-4</v>
      </c>
    </row>
    <row r="44" spans="1:77" x14ac:dyDescent="0.25">
      <c r="A44" t="s">
        <v>108</v>
      </c>
      <c r="B44" s="12">
        <f ca="1">+VLOOKUP($A44,INDIRECT(Adrese!B$2),2,FALSE)</f>
        <v>42</v>
      </c>
      <c r="C44" s="12">
        <f ca="1">+VLOOKUP($A44,INDIRECT(Adrese!C$2),2,FALSE)</f>
        <v>44</v>
      </c>
      <c r="D44" s="12">
        <f ca="1">+VLOOKUP($A44,INDIRECT(Adrese!D$2),2,FALSE)</f>
        <v>45</v>
      </c>
      <c r="E44" s="12">
        <f ca="1">+VLOOKUP($A44,INDIRECT(Adrese!E$2),2,FALSE)</f>
        <v>45</v>
      </c>
      <c r="F44" s="12">
        <f ca="1">+VLOOKUP($A44,INDIRECT(Adrese!F$2),2,FALSE)</f>
        <v>49</v>
      </c>
      <c r="G44" s="5">
        <f t="shared" ca="1" si="21"/>
        <v>45</v>
      </c>
      <c r="H44" s="5">
        <f t="shared" ca="1" si="1"/>
        <v>2.5495097567963922</v>
      </c>
      <c r="J44" t="s">
        <v>108</v>
      </c>
      <c r="K44">
        <f ca="1">+VLOOKUP($A44,INDIRECT(Adrese!B$2),3,FALSE)</f>
        <v>37</v>
      </c>
      <c r="L44">
        <f ca="1">+VLOOKUP($A44,INDIRECT(Adrese!C$2),3,FALSE)</f>
        <v>38</v>
      </c>
      <c r="M44">
        <f ca="1">+VLOOKUP($A44,INDIRECT(Adrese!D$2),3,FALSE)</f>
        <v>34</v>
      </c>
      <c r="N44">
        <f ca="1">+VLOOKUP($A44,INDIRECT(Adrese!E$2),3,FALSE)</f>
        <v>34</v>
      </c>
      <c r="O44">
        <f ca="1">+VLOOKUP($A44,INDIRECT(Adrese!F$2),3,FALSE)</f>
        <v>33</v>
      </c>
      <c r="P44" s="5">
        <f t="shared" ca="1" si="22"/>
        <v>35.200000000000003</v>
      </c>
      <c r="Q44" s="5">
        <f t="shared" ca="1" si="3"/>
        <v>2.16794833886788</v>
      </c>
      <c r="T44" t="s">
        <v>108</v>
      </c>
      <c r="U44">
        <f ca="1">+VLOOKUP($T44,INDIRECT(Adrese!B$2),4,FALSE)</f>
        <v>121451</v>
      </c>
      <c r="V44">
        <f ca="1">+VLOOKUP($T44,INDIRECT(Adrese!C$2),4,FALSE)</f>
        <v>121139</v>
      </c>
      <c r="W44">
        <f ca="1">+VLOOKUP($T44,INDIRECT(Adrese!D$2),4,FALSE)</f>
        <v>120631</v>
      </c>
      <c r="X44">
        <f ca="1">+VLOOKUP($T44,INDIRECT(Adrese!E$2),4,FALSE)</f>
        <v>121026</v>
      </c>
      <c r="Y44">
        <f ca="1">+VLOOKUP($T44,INDIRECT(Adrese!F$2),4,FALSE)</f>
        <v>120545</v>
      </c>
      <c r="Z44">
        <f t="shared" ca="1" si="4"/>
        <v>604792</v>
      </c>
      <c r="AA44" s="5">
        <f t="shared" ca="1" si="23"/>
        <v>120958.39999999999</v>
      </c>
      <c r="AB44" s="5">
        <f t="shared" ca="1" si="6"/>
        <v>373.47396160910603</v>
      </c>
      <c r="AD44" t="s">
        <v>108</v>
      </c>
      <c r="AE44">
        <f ca="1">+VLOOKUP($A44,INDIRECT(Adrese!B$2),5,FALSE)</f>
        <v>35830</v>
      </c>
      <c r="AF44">
        <f ca="1">+VLOOKUP($A44,INDIRECT(Adrese!C$2),5,FALSE)</f>
        <v>35766</v>
      </c>
      <c r="AG44">
        <f ca="1">+VLOOKUP($A44,INDIRECT(Adrese!D$2),5,FALSE)</f>
        <v>35804</v>
      </c>
      <c r="AH44">
        <f ca="1">+VLOOKUP($A44,INDIRECT(Adrese!E$2),5,FALSE)</f>
        <v>36011</v>
      </c>
      <c r="AI44">
        <f ca="1">+VLOOKUP($A44,INDIRECT(Adrese!F$2),5,FALSE)</f>
        <v>35687</v>
      </c>
      <c r="AJ44" s="5">
        <f t="shared" ca="1" si="24"/>
        <v>35819.599999999999</v>
      </c>
      <c r="AK44" s="5">
        <f t="shared" ca="1" si="8"/>
        <v>119.83446916476076</v>
      </c>
      <c r="AM44" t="s">
        <v>108</v>
      </c>
      <c r="AN44" s="5">
        <f ca="1">+VLOOKUP($A44,INDIRECT(Adrese!B$2),6,FALSE)</f>
        <v>0.78827433628318588</v>
      </c>
      <c r="AO44" s="5">
        <f ca="1">+VLOOKUP($A44,INDIRECT(Adrese!C$2),6,FALSE)</f>
        <v>0.78685840699999998</v>
      </c>
      <c r="AP44" s="5">
        <f ca="1">+VLOOKUP($A44,INDIRECT(Adrese!D$2),6,FALSE)</f>
        <v>0.78769911500000001</v>
      </c>
      <c r="AQ44" s="5">
        <f ca="1">+VLOOKUP($A44,INDIRECT(Adrese!E$2),6,FALSE)</f>
        <v>0.79227876100000005</v>
      </c>
      <c r="AR44" s="5">
        <f ca="1">+VLOOKUP($A44,INDIRECT(Adrese!F$2),6,FALSE)</f>
        <v>0.78511061900000001</v>
      </c>
      <c r="AS44" s="5" t="str">
        <f t="shared" ca="1" si="9"/>
        <v>0.79 (0.00)</v>
      </c>
      <c r="AT44" s="5">
        <f t="shared" ca="1" si="25"/>
        <v>0.78804424765663716</v>
      </c>
      <c r="AU44" s="5">
        <f t="shared" ca="1" si="11"/>
        <v>2.6512051853751E-3</v>
      </c>
      <c r="AW44" t="s">
        <v>108</v>
      </c>
      <c r="AX44" s="5">
        <f ca="1">+VLOOKUP($A44,INDIRECT(Adrese!B$2),7,FALSE)</f>
        <v>0.83628318584070793</v>
      </c>
      <c r="AY44" s="5">
        <f ca="1">+VLOOKUP($A44,INDIRECT(Adrese!C$2),7,FALSE)</f>
        <v>0.83185840700000002</v>
      </c>
      <c r="AZ44" s="5">
        <f ca="1">+VLOOKUP($A44,INDIRECT(Adrese!D$2),7,FALSE)</f>
        <v>0.84955752200000001</v>
      </c>
      <c r="BA44" s="5">
        <f ca="1">+VLOOKUP($A44,INDIRECT(Adrese!E$2),7,FALSE)</f>
        <v>0.84955752200000001</v>
      </c>
      <c r="BB44" s="5">
        <f ca="1">+VLOOKUP($A44,INDIRECT(Adrese!F$2),7,FALSE)</f>
        <v>0.85398230100000005</v>
      </c>
      <c r="BC44" s="5" t="str">
        <f t="shared" ca="1" si="12"/>
        <v>0.84 (0.01)</v>
      </c>
      <c r="BD44">
        <f t="shared" ca="1" si="26"/>
        <v>0.84424778756814156</v>
      </c>
      <c r="BE44" s="5">
        <f t="shared" ca="1" si="14"/>
        <v>9.5926917855162219E-3</v>
      </c>
      <c r="BG44" t="s">
        <v>108</v>
      </c>
      <c r="BH44" s="5">
        <f ca="1">+VLOOKUP($BG44,INDIRECT(Adrese!B$2),8,FALSE)</f>
        <v>7.8733761339529668E-2</v>
      </c>
      <c r="BI44" s="5">
        <f ca="1">+VLOOKUP($BG44,INDIRECT(Adrese!C$2),8,FALSE)</f>
        <v>7.8625026000000001E-2</v>
      </c>
      <c r="BJ44" s="5">
        <f ca="1">+VLOOKUP($BG44,INDIRECT(Adrese!D$2),8,FALSE)</f>
        <v>7.8942032999999995E-2</v>
      </c>
      <c r="BK44" s="5">
        <f ca="1">+VLOOKUP($BG44,INDIRECT(Adrese!E$2),8,FALSE)</f>
        <v>7.9085227999999994E-2</v>
      </c>
      <c r="BL44" s="5">
        <f ca="1">+VLOOKUP($BG44,INDIRECT(Adrese!F$2),8,FALSE)</f>
        <v>7.8762767999999997E-2</v>
      </c>
      <c r="BM44" s="5" t="str">
        <f t="shared" ca="1" si="15"/>
        <v>0.08 (0.00)</v>
      </c>
      <c r="BN44" s="5">
        <f t="shared" ca="1" si="27"/>
        <v>7.8829763267905931E-2</v>
      </c>
      <c r="BO44" s="5">
        <f t="shared" ca="1" si="17"/>
        <v>1.8268060045588982E-4</v>
      </c>
      <c r="BQ44" t="s">
        <v>108</v>
      </c>
      <c r="BR44" s="5">
        <f ca="1">+VLOOKUP($BG44,INDIRECT(Adrese!B$2),9,FALSE)</f>
        <v>8.4354527398064455E-2</v>
      </c>
      <c r="BS44" s="5">
        <f ca="1">+VLOOKUP($BG44,INDIRECT(Adrese!C$2),9,FALSE)</f>
        <v>8.3927601000000004E-2</v>
      </c>
      <c r="BT44" s="5">
        <f ca="1">+VLOOKUP($BG44,INDIRECT(Adrese!D$2),9,FALSE)</f>
        <v>8.4863260999999995E-2</v>
      </c>
      <c r="BU44" s="5">
        <f ca="1">+VLOOKUP($BG44,INDIRECT(Adrese!E$2),9,FALSE)</f>
        <v>8.4791276999999998E-2</v>
      </c>
      <c r="BV44" s="5">
        <f ca="1">+VLOOKUP($BG44,INDIRECT(Adrese!F$2),9,FALSE)</f>
        <v>8.4680730999999995E-2</v>
      </c>
      <c r="BW44" s="5" t="str">
        <f t="shared" ca="1" si="18"/>
        <v>0.08 (0.00)</v>
      </c>
      <c r="BX44" s="5">
        <f t="shared" ca="1" si="28"/>
        <v>8.452347947961289E-2</v>
      </c>
      <c r="BY44" s="5">
        <f t="shared" ca="1" si="20"/>
        <v>3.8584679683503455E-4</v>
      </c>
    </row>
    <row r="45" spans="1:77" x14ac:dyDescent="0.25">
      <c r="A45" t="s">
        <v>109</v>
      </c>
      <c r="B45" s="12">
        <f ca="1">+VLOOKUP($A45,INDIRECT(Adrese!B$2),2,FALSE)</f>
        <v>43</v>
      </c>
      <c r="C45" s="12">
        <f ca="1">+VLOOKUP($A45,INDIRECT(Adrese!C$2),2,FALSE)</f>
        <v>49</v>
      </c>
      <c r="D45" s="12">
        <f ca="1">+VLOOKUP($A45,INDIRECT(Adrese!D$2),2,FALSE)</f>
        <v>49</v>
      </c>
      <c r="E45" s="12">
        <f ca="1">+VLOOKUP($A45,INDIRECT(Adrese!E$2),2,FALSE)</f>
        <v>43</v>
      </c>
      <c r="F45" s="12">
        <f ca="1">+VLOOKUP($A45,INDIRECT(Adrese!F$2),2,FALSE)</f>
        <v>51</v>
      </c>
      <c r="G45" s="5">
        <f t="shared" ca="1" si="21"/>
        <v>47</v>
      </c>
      <c r="H45" s="5">
        <f t="shared" ca="1" si="1"/>
        <v>3.7416573867739413</v>
      </c>
      <c r="J45" t="s">
        <v>109</v>
      </c>
      <c r="K45">
        <f ca="1">+VLOOKUP($A45,INDIRECT(Adrese!B$2),3,FALSE)</f>
        <v>40</v>
      </c>
      <c r="L45">
        <f ca="1">+VLOOKUP($A45,INDIRECT(Adrese!C$2),3,FALSE)</f>
        <v>41</v>
      </c>
      <c r="M45">
        <f ca="1">+VLOOKUP($A45,INDIRECT(Adrese!D$2),3,FALSE)</f>
        <v>43</v>
      </c>
      <c r="N45">
        <f ca="1">+VLOOKUP($A45,INDIRECT(Adrese!E$2),3,FALSE)</f>
        <v>42</v>
      </c>
      <c r="O45">
        <f ca="1">+VLOOKUP($A45,INDIRECT(Adrese!F$2),3,FALSE)</f>
        <v>41</v>
      </c>
      <c r="P45" s="5">
        <f t="shared" ca="1" si="22"/>
        <v>41.4</v>
      </c>
      <c r="Q45" s="5">
        <f t="shared" ca="1" si="3"/>
        <v>1.1401754250991381</v>
      </c>
      <c r="T45" t="s">
        <v>109</v>
      </c>
      <c r="U45">
        <f ca="1">+VLOOKUP($T45,INDIRECT(Adrese!B$2),4,FALSE)</f>
        <v>121248</v>
      </c>
      <c r="V45">
        <f ca="1">+VLOOKUP($T45,INDIRECT(Adrese!C$2),4,FALSE)</f>
        <v>120659</v>
      </c>
      <c r="W45">
        <f ca="1">+VLOOKUP($T45,INDIRECT(Adrese!D$2),4,FALSE)</f>
        <v>120398</v>
      </c>
      <c r="X45">
        <f ca="1">+VLOOKUP($T45,INDIRECT(Adrese!E$2),4,FALSE)</f>
        <v>121215</v>
      </c>
      <c r="Y45">
        <f ca="1">+VLOOKUP($T45,INDIRECT(Adrese!F$2),4,FALSE)</f>
        <v>120358</v>
      </c>
      <c r="Z45">
        <f t="shared" ca="1" si="4"/>
        <v>603878</v>
      </c>
      <c r="AA45" s="5">
        <f t="shared" ca="1" si="23"/>
        <v>120775.6</v>
      </c>
      <c r="AB45" s="5">
        <f t="shared" ca="1" si="6"/>
        <v>432.08830116076973</v>
      </c>
      <c r="AD45" t="s">
        <v>109</v>
      </c>
      <c r="AE45">
        <f ca="1">+VLOOKUP($A45,INDIRECT(Adrese!B$2),5,FALSE)</f>
        <v>34651</v>
      </c>
      <c r="AF45">
        <f ca="1">+VLOOKUP($A45,INDIRECT(Adrese!C$2),5,FALSE)</f>
        <v>34333</v>
      </c>
      <c r="AG45">
        <f ca="1">+VLOOKUP($A45,INDIRECT(Adrese!D$2),5,FALSE)</f>
        <v>34142</v>
      </c>
      <c r="AH45">
        <f ca="1">+VLOOKUP($A45,INDIRECT(Adrese!E$2),5,FALSE)</f>
        <v>34566</v>
      </c>
      <c r="AI45">
        <f ca="1">+VLOOKUP($A45,INDIRECT(Adrese!F$2),5,FALSE)</f>
        <v>34122</v>
      </c>
      <c r="AJ45" s="5">
        <f t="shared" ca="1" si="24"/>
        <v>34362.800000000003</v>
      </c>
      <c r="AK45" s="5">
        <f t="shared" ca="1" si="8"/>
        <v>240.81881155756915</v>
      </c>
      <c r="AM45" t="s">
        <v>109</v>
      </c>
      <c r="AN45" s="5">
        <f ca="1">+VLOOKUP($A45,INDIRECT(Adrese!B$2),6,FALSE)</f>
        <v>0.76219026548672564</v>
      </c>
      <c r="AO45" s="5">
        <f ca="1">+VLOOKUP($A45,INDIRECT(Adrese!C$2),6,FALSE)</f>
        <v>0.75515486700000001</v>
      </c>
      <c r="AP45" s="5">
        <f ca="1">+VLOOKUP($A45,INDIRECT(Adrese!D$2),6,FALSE)</f>
        <v>0.75092920399999996</v>
      </c>
      <c r="AQ45" s="5">
        <f ca="1">+VLOOKUP($A45,INDIRECT(Adrese!E$2),6,FALSE)</f>
        <v>0.76030973499999999</v>
      </c>
      <c r="AR45" s="5">
        <f ca="1">+VLOOKUP($A45,INDIRECT(Adrese!F$2),6,FALSE)</f>
        <v>0.75048672599999999</v>
      </c>
      <c r="AS45" s="5" t="str">
        <f t="shared" ca="1" si="9"/>
        <v>0.76 (0.01)</v>
      </c>
      <c r="AT45" s="5">
        <f t="shared" ca="1" si="25"/>
        <v>0.75581415949734509</v>
      </c>
      <c r="AU45" s="5">
        <f t="shared" ca="1" si="11"/>
        <v>5.3278497342881641E-3</v>
      </c>
      <c r="AW45" t="s">
        <v>109</v>
      </c>
      <c r="AX45" s="5">
        <f ca="1">+VLOOKUP($A45,INDIRECT(Adrese!B$2),7,FALSE)</f>
        <v>0.82300884955752207</v>
      </c>
      <c r="AY45" s="5">
        <f ca="1">+VLOOKUP($A45,INDIRECT(Adrese!C$2),7,FALSE)</f>
        <v>0.81858407099999997</v>
      </c>
      <c r="AZ45" s="5">
        <f ca="1">+VLOOKUP($A45,INDIRECT(Adrese!D$2),7,FALSE)</f>
        <v>0.80973451299999999</v>
      </c>
      <c r="BA45" s="5">
        <f ca="1">+VLOOKUP($A45,INDIRECT(Adrese!E$2),7,FALSE)</f>
        <v>0.81415929200000003</v>
      </c>
      <c r="BB45" s="5">
        <f ca="1">+VLOOKUP($A45,INDIRECT(Adrese!F$2),7,FALSE)</f>
        <v>0.81858407099999997</v>
      </c>
      <c r="BC45" s="5" t="str">
        <f t="shared" ca="1" si="12"/>
        <v>0.82 (0.01)</v>
      </c>
      <c r="BD45">
        <f t="shared" ca="1" si="26"/>
        <v>0.81681415931150436</v>
      </c>
      <c r="BE45" s="5">
        <f t="shared" ca="1" si="14"/>
        <v>5.0450241414671491E-3</v>
      </c>
      <c r="BG45" t="s">
        <v>109</v>
      </c>
      <c r="BH45" s="5">
        <f ca="1">+VLOOKUP($BG45,INDIRECT(Adrese!B$2),8,FALSE)</f>
        <v>7.8661705599198661E-2</v>
      </c>
      <c r="BI45" s="5">
        <f ca="1">+VLOOKUP($BG45,INDIRECT(Adrese!C$2),8,FALSE)</f>
        <v>7.8182554000000001E-2</v>
      </c>
      <c r="BJ45" s="5">
        <f ca="1">+VLOOKUP($BG45,INDIRECT(Adrese!D$2),8,FALSE)</f>
        <v>7.7820739E-2</v>
      </c>
      <c r="BK45" s="5">
        <f ca="1">+VLOOKUP($BG45,INDIRECT(Adrese!E$2),8,FALSE)</f>
        <v>7.8525223000000005E-2</v>
      </c>
      <c r="BL45" s="5">
        <f ca="1">+VLOOKUP($BG45,INDIRECT(Adrese!F$2),8,FALSE)</f>
        <v>7.7939972999999996E-2</v>
      </c>
      <c r="BM45" s="5" t="str">
        <f t="shared" ca="1" si="15"/>
        <v>0.08 (0.00)</v>
      </c>
      <c r="BN45" s="5">
        <f t="shared" ca="1" si="27"/>
        <v>7.822603891983973E-2</v>
      </c>
      <c r="BO45" s="5">
        <f t="shared" ca="1" si="17"/>
        <v>3.630803089862835E-4</v>
      </c>
      <c r="BQ45" t="s">
        <v>109</v>
      </c>
      <c r="BR45" s="5">
        <f ca="1">+VLOOKUP($BG45,INDIRECT(Adrese!B$2),9,FALSE)</f>
        <v>9.068812404753869E-2</v>
      </c>
      <c r="BS45" s="5">
        <f ca="1">+VLOOKUP($BG45,INDIRECT(Adrese!C$2),9,FALSE)</f>
        <v>9.0563002000000004E-2</v>
      </c>
      <c r="BT45" s="5">
        <f ca="1">+VLOOKUP($BG45,INDIRECT(Adrese!D$2),9,FALSE)</f>
        <v>8.9665202999999999E-2</v>
      </c>
      <c r="BU45" s="5">
        <f ca="1">+VLOOKUP($BG45,INDIRECT(Adrese!E$2),9,FALSE)</f>
        <v>9.0762345999999994E-2</v>
      </c>
      <c r="BV45" s="5">
        <f ca="1">+VLOOKUP($BG45,INDIRECT(Adrese!F$2),9,FALSE)</f>
        <v>9.0294827999999994E-2</v>
      </c>
      <c r="BW45" s="5" t="str">
        <f t="shared" ca="1" si="18"/>
        <v>0.09 (0.00)</v>
      </c>
      <c r="BX45" s="5">
        <f t="shared" ca="1" si="28"/>
        <v>9.0394700609507744E-2</v>
      </c>
      <c r="BY45" s="5">
        <f t="shared" ca="1" si="20"/>
        <v>4.4489524204725138E-4</v>
      </c>
    </row>
    <row r="46" spans="1:77" x14ac:dyDescent="0.25">
      <c r="A46" t="s">
        <v>110</v>
      </c>
      <c r="B46" s="12">
        <f ca="1">+VLOOKUP($A46,INDIRECT(Adrese!B$2),2,FALSE)</f>
        <v>44</v>
      </c>
      <c r="C46" s="12">
        <f ca="1">+VLOOKUP($A46,INDIRECT(Adrese!C$2),2,FALSE)</f>
        <v>41</v>
      </c>
      <c r="D46" s="12">
        <f ca="1">+VLOOKUP($A46,INDIRECT(Adrese!D$2),2,FALSE)</f>
        <v>29</v>
      </c>
      <c r="E46" s="12">
        <f ca="1">+VLOOKUP($A46,INDIRECT(Adrese!E$2),2,FALSE)</f>
        <v>32</v>
      </c>
      <c r="F46" s="12">
        <f ca="1">+VLOOKUP($A46,INDIRECT(Adrese!F$2),2,FALSE)</f>
        <v>35</v>
      </c>
      <c r="G46" s="5">
        <f t="shared" ca="1" si="21"/>
        <v>36.200000000000003</v>
      </c>
      <c r="H46" s="5">
        <f t="shared" ca="1" si="1"/>
        <v>6.2209324059983198</v>
      </c>
      <c r="J46" t="s">
        <v>110</v>
      </c>
      <c r="K46">
        <f ca="1">+VLOOKUP($A46,INDIRECT(Adrese!B$2),3,FALSE)</f>
        <v>69</v>
      </c>
      <c r="L46">
        <f ca="1">+VLOOKUP($A46,INDIRECT(Adrese!C$2),3,FALSE)</f>
        <v>70</v>
      </c>
      <c r="M46">
        <f ca="1">+VLOOKUP($A46,INDIRECT(Adrese!D$2),3,FALSE)</f>
        <v>71</v>
      </c>
      <c r="N46">
        <f ca="1">+VLOOKUP($A46,INDIRECT(Adrese!E$2),3,FALSE)</f>
        <v>72</v>
      </c>
      <c r="O46">
        <f ca="1">+VLOOKUP($A46,INDIRECT(Adrese!F$2),3,FALSE)</f>
        <v>67</v>
      </c>
      <c r="P46" s="5">
        <f t="shared" ca="1" si="22"/>
        <v>69.8</v>
      </c>
      <c r="Q46" s="5">
        <f t="shared" ca="1" si="3"/>
        <v>1.9235384061671346</v>
      </c>
      <c r="T46" t="s">
        <v>110</v>
      </c>
      <c r="U46">
        <f ca="1">+VLOOKUP($T46,INDIRECT(Adrese!B$2),4,FALSE)</f>
        <v>121095</v>
      </c>
      <c r="V46">
        <f ca="1">+VLOOKUP($T46,INDIRECT(Adrese!C$2),4,FALSE)</f>
        <v>121343</v>
      </c>
      <c r="W46">
        <f ca="1">+VLOOKUP($T46,INDIRECT(Adrese!D$2),4,FALSE)</f>
        <v>123125</v>
      </c>
      <c r="X46">
        <f ca="1">+VLOOKUP($T46,INDIRECT(Adrese!E$2),4,FALSE)</f>
        <v>122684</v>
      </c>
      <c r="Y46">
        <f ca="1">+VLOOKUP($T46,INDIRECT(Adrese!F$2),4,FALSE)</f>
        <v>121984</v>
      </c>
      <c r="Z46">
        <f t="shared" ca="1" si="4"/>
        <v>610231</v>
      </c>
      <c r="AA46" s="5">
        <f t="shared" ca="1" si="23"/>
        <v>122046.2</v>
      </c>
      <c r="AB46" s="5">
        <f t="shared" ca="1" si="6"/>
        <v>862.22659434744878</v>
      </c>
      <c r="AD46" t="s">
        <v>110</v>
      </c>
      <c r="AE46">
        <f ca="1">+VLOOKUP($A46,INDIRECT(Adrese!B$2),5,FALSE)</f>
        <v>26377</v>
      </c>
      <c r="AF46">
        <f ca="1">+VLOOKUP($A46,INDIRECT(Adrese!C$2),5,FALSE)</f>
        <v>25986</v>
      </c>
      <c r="AG46">
        <f ca="1">+VLOOKUP($A46,INDIRECT(Adrese!D$2),5,FALSE)</f>
        <v>26385</v>
      </c>
      <c r="AH46">
        <f ca="1">+VLOOKUP($A46,INDIRECT(Adrese!E$2),5,FALSE)</f>
        <v>26080</v>
      </c>
      <c r="AI46">
        <f ca="1">+VLOOKUP($A46,INDIRECT(Adrese!F$2),5,FALSE)</f>
        <v>26300</v>
      </c>
      <c r="AJ46" s="5">
        <f t="shared" ca="1" si="24"/>
        <v>26225.599999999999</v>
      </c>
      <c r="AK46" s="5">
        <f t="shared" ca="1" si="8"/>
        <v>181.98433998561526</v>
      </c>
      <c r="AM46" t="s">
        <v>110</v>
      </c>
      <c r="AN46" s="5">
        <f ca="1">+VLOOKUP($A46,INDIRECT(Adrese!B$2),6,FALSE)</f>
        <v>0.57913716814159288</v>
      </c>
      <c r="AO46" s="5">
        <f ca="1">+VLOOKUP($A46,INDIRECT(Adrese!C$2),6,FALSE)</f>
        <v>0.57048672600000006</v>
      </c>
      <c r="AP46" s="5">
        <f ca="1">+VLOOKUP($A46,INDIRECT(Adrese!D$2),6,FALSE)</f>
        <v>0.57931415900000005</v>
      </c>
      <c r="AQ46" s="5">
        <f ca="1">+VLOOKUP($A46,INDIRECT(Adrese!E$2),6,FALSE)</f>
        <v>0.57256637200000005</v>
      </c>
      <c r="AR46" s="5">
        <f ca="1">+VLOOKUP($A46,INDIRECT(Adrese!F$2),6,FALSE)</f>
        <v>0.57743362799999998</v>
      </c>
      <c r="AS46" s="5" t="str">
        <f t="shared" ca="1" si="9"/>
        <v>0.58 (0.00)</v>
      </c>
      <c r="AT46" s="5">
        <f t="shared" ca="1" si="25"/>
        <v>0.57578761062831851</v>
      </c>
      <c r="AU46" s="5">
        <f t="shared" ca="1" si="11"/>
        <v>4.026201941151661E-3</v>
      </c>
      <c r="AW46" t="s">
        <v>110</v>
      </c>
      <c r="AX46" s="5">
        <f ca="1">+VLOOKUP($A46,INDIRECT(Adrese!B$2),7,FALSE)</f>
        <v>0.69469026548672563</v>
      </c>
      <c r="AY46" s="5">
        <f ca="1">+VLOOKUP($A46,INDIRECT(Adrese!C$2),7,FALSE)</f>
        <v>0.69026548700000001</v>
      </c>
      <c r="AZ46" s="5">
        <f ca="1">+VLOOKUP($A46,INDIRECT(Adrese!D$2),7,FALSE)</f>
        <v>0.68584070799999997</v>
      </c>
      <c r="BA46" s="5">
        <f ca="1">+VLOOKUP($A46,INDIRECT(Adrese!E$2),7,FALSE)</f>
        <v>0.68141592900000003</v>
      </c>
      <c r="BB46" s="5">
        <f ca="1">+VLOOKUP($A46,INDIRECT(Adrese!F$2),7,FALSE)</f>
        <v>0.70353982299999995</v>
      </c>
      <c r="BC46" s="5" t="str">
        <f t="shared" ca="1" si="12"/>
        <v>0.69 (0.01)</v>
      </c>
      <c r="BD46">
        <f t="shared" ca="1" si="26"/>
        <v>0.69115044249734514</v>
      </c>
      <c r="BE46" s="5">
        <f t="shared" ca="1" si="14"/>
        <v>8.5112319280213882E-3</v>
      </c>
      <c r="BG46" t="s">
        <v>110</v>
      </c>
      <c r="BH46" s="5">
        <f ca="1">+VLOOKUP($BG46,INDIRECT(Adrese!B$2),8,FALSE)</f>
        <v>6.2590468926051551E-2</v>
      </c>
      <c r="BI46" s="5">
        <f ca="1">+VLOOKUP($BG46,INDIRECT(Adrese!C$2),8,FALSE)</f>
        <v>6.1688553E-2</v>
      </c>
      <c r="BJ46" s="5">
        <f ca="1">+VLOOKUP($BG46,INDIRECT(Adrese!D$2),8,FALSE)</f>
        <v>6.2489072999999999E-2</v>
      </c>
      <c r="BK46" s="5">
        <f ca="1">+VLOOKUP($BG46,INDIRECT(Adrese!E$2),8,FALSE)</f>
        <v>6.1860737999999998E-2</v>
      </c>
      <c r="BL46" s="5">
        <f ca="1">+VLOOKUP($BG46,INDIRECT(Adrese!F$2),8,FALSE)</f>
        <v>6.2587475000000004E-2</v>
      </c>
      <c r="BM46" s="5" t="str">
        <f t="shared" ca="1" si="15"/>
        <v>0.06 (0.00)</v>
      </c>
      <c r="BN46" s="5">
        <f t="shared" ca="1" si="27"/>
        <v>6.2243261585210319E-2</v>
      </c>
      <c r="BO46" s="5">
        <f t="shared" ca="1" si="17"/>
        <v>4.3401756065979352E-4</v>
      </c>
      <c r="BQ46" t="s">
        <v>110</v>
      </c>
      <c r="BR46" s="5">
        <f ca="1">+VLOOKUP($BG46,INDIRECT(Adrese!B$2),9,FALSE)</f>
        <v>6.9392313310713619E-2</v>
      </c>
      <c r="BS46" s="5">
        <f ca="1">+VLOOKUP($BG46,INDIRECT(Adrese!C$2),9,FALSE)</f>
        <v>6.7960432000000001E-2</v>
      </c>
      <c r="BT46" s="5">
        <f ca="1">+VLOOKUP($BG46,INDIRECT(Adrese!D$2),9,FALSE)</f>
        <v>6.9401948000000005E-2</v>
      </c>
      <c r="BU46" s="5">
        <f ca="1">+VLOOKUP($BG46,INDIRECT(Adrese!E$2),9,FALSE)</f>
        <v>6.8170261999999995E-2</v>
      </c>
      <c r="BV46" s="5">
        <f ca="1">+VLOOKUP($BG46,INDIRECT(Adrese!F$2),9,FALSE)</f>
        <v>6.9626256999999997E-2</v>
      </c>
      <c r="BW46" s="5" t="str">
        <f t="shared" ca="1" si="18"/>
        <v>0.07 (0.00)</v>
      </c>
      <c r="BX46" s="5">
        <f t="shared" ca="1" si="28"/>
        <v>6.8910242462142723E-2</v>
      </c>
      <c r="BY46" s="5">
        <f t="shared" ca="1" si="20"/>
        <v>7.8047332686214895E-4</v>
      </c>
    </row>
    <row r="47" spans="1:77" x14ac:dyDescent="0.25">
      <c r="A47" t="s">
        <v>111</v>
      </c>
      <c r="B47" s="12">
        <f ca="1">+VLOOKUP($A47,INDIRECT(Adrese!B$2),2,FALSE)</f>
        <v>45</v>
      </c>
      <c r="C47" s="12">
        <f ca="1">+VLOOKUP($A47,INDIRECT(Adrese!C$2),2,FALSE)</f>
        <v>45</v>
      </c>
      <c r="D47" s="12">
        <f ca="1">+VLOOKUP($A47,INDIRECT(Adrese!D$2),2,FALSE)</f>
        <v>51</v>
      </c>
      <c r="E47" s="12">
        <f ca="1">+VLOOKUP($A47,INDIRECT(Adrese!E$2),2,FALSE)</f>
        <v>54</v>
      </c>
      <c r="F47" s="12">
        <f ca="1">+VLOOKUP($A47,INDIRECT(Adrese!F$2),2,FALSE)</f>
        <v>43</v>
      </c>
      <c r="G47" s="5">
        <f t="shared" ca="1" si="21"/>
        <v>47.6</v>
      </c>
      <c r="H47" s="5">
        <f t="shared" ca="1" si="1"/>
        <v>4.6690470119715011</v>
      </c>
      <c r="J47" t="s">
        <v>111</v>
      </c>
      <c r="K47">
        <f ca="1">+VLOOKUP($A47,INDIRECT(Adrese!B$2),3,FALSE)</f>
        <v>36</v>
      </c>
      <c r="L47">
        <f ca="1">+VLOOKUP($A47,INDIRECT(Adrese!C$2),3,FALSE)</f>
        <v>35</v>
      </c>
      <c r="M47">
        <f ca="1">+VLOOKUP($A47,INDIRECT(Adrese!D$2),3,FALSE)</f>
        <v>36</v>
      </c>
      <c r="N47">
        <f ca="1">+VLOOKUP($A47,INDIRECT(Adrese!E$2),3,FALSE)</f>
        <v>37</v>
      </c>
      <c r="O47">
        <f ca="1">+VLOOKUP($A47,INDIRECT(Adrese!F$2),3,FALSE)</f>
        <v>39</v>
      </c>
      <c r="P47" s="5">
        <f t="shared" ca="1" si="22"/>
        <v>36.6</v>
      </c>
      <c r="Q47" s="5">
        <f t="shared" ca="1" si="3"/>
        <v>1.51657508881031</v>
      </c>
      <c r="T47" t="s">
        <v>111</v>
      </c>
      <c r="U47">
        <f ca="1">+VLOOKUP($T47,INDIRECT(Adrese!B$2),4,FALSE)</f>
        <v>120921</v>
      </c>
      <c r="V47">
        <f ca="1">+VLOOKUP($T47,INDIRECT(Adrese!C$2),4,FALSE)</f>
        <v>121027</v>
      </c>
      <c r="W47">
        <f ca="1">+VLOOKUP($T47,INDIRECT(Adrese!D$2),4,FALSE)</f>
        <v>120331</v>
      </c>
      <c r="X47">
        <f ca="1">+VLOOKUP($T47,INDIRECT(Adrese!E$2),4,FALSE)</f>
        <v>120212</v>
      </c>
      <c r="Y47">
        <f ca="1">+VLOOKUP($T47,INDIRECT(Adrese!F$2),4,FALSE)</f>
        <v>121161</v>
      </c>
      <c r="Z47">
        <f t="shared" ca="1" si="4"/>
        <v>603652</v>
      </c>
      <c r="AA47" s="5">
        <f t="shared" ca="1" si="23"/>
        <v>120730.4</v>
      </c>
      <c r="AB47" s="5">
        <f t="shared" ca="1" si="6"/>
        <v>429.52741472460173</v>
      </c>
      <c r="AD47" t="s">
        <v>111</v>
      </c>
      <c r="AE47">
        <f ca="1">+VLOOKUP($A47,INDIRECT(Adrese!B$2),5,FALSE)</f>
        <v>37474</v>
      </c>
      <c r="AF47">
        <f ca="1">+VLOOKUP($A47,INDIRECT(Adrese!C$2),5,FALSE)</f>
        <v>37511</v>
      </c>
      <c r="AG47">
        <f ca="1">+VLOOKUP($A47,INDIRECT(Adrese!D$2),5,FALSE)</f>
        <v>37220</v>
      </c>
      <c r="AH47">
        <f ca="1">+VLOOKUP($A47,INDIRECT(Adrese!E$2),5,FALSE)</f>
        <v>37134</v>
      </c>
      <c r="AI47">
        <f ca="1">+VLOOKUP($A47,INDIRECT(Adrese!F$2),5,FALSE)</f>
        <v>37524</v>
      </c>
      <c r="AJ47" s="5">
        <f t="shared" ca="1" si="24"/>
        <v>37372.6</v>
      </c>
      <c r="AK47" s="5">
        <f t="shared" ca="1" si="8"/>
        <v>182.0543874780281</v>
      </c>
      <c r="AM47" t="s">
        <v>111</v>
      </c>
      <c r="AN47" s="5">
        <f ca="1">+VLOOKUP($A47,INDIRECT(Adrese!B$2),6,FALSE)</f>
        <v>0.82464601769911505</v>
      </c>
      <c r="AO47" s="5">
        <f ca="1">+VLOOKUP($A47,INDIRECT(Adrese!C$2),6,FALSE)</f>
        <v>0.82546460200000005</v>
      </c>
      <c r="AP47" s="5">
        <f ca="1">+VLOOKUP($A47,INDIRECT(Adrese!D$2),6,FALSE)</f>
        <v>0.81902654900000005</v>
      </c>
      <c r="AQ47" s="5">
        <f ca="1">+VLOOKUP($A47,INDIRECT(Adrese!E$2),6,FALSE)</f>
        <v>0.81712389399999996</v>
      </c>
      <c r="AR47" s="5">
        <f ca="1">+VLOOKUP($A47,INDIRECT(Adrese!F$2),6,FALSE)</f>
        <v>0.82575221200000004</v>
      </c>
      <c r="AS47" s="5" t="str">
        <f t="shared" ca="1" si="9"/>
        <v>0.82 (0.00)</v>
      </c>
      <c r="AT47" s="5">
        <f t="shared" ca="1" si="25"/>
        <v>0.82240265493982301</v>
      </c>
      <c r="AU47" s="5">
        <f t="shared" ca="1" si="11"/>
        <v>4.0277517657247817E-3</v>
      </c>
      <c r="AW47" t="s">
        <v>111</v>
      </c>
      <c r="AX47" s="5">
        <f ca="1">+VLOOKUP($A47,INDIRECT(Adrese!B$2),7,FALSE)</f>
        <v>0.84070796460176989</v>
      </c>
      <c r="AY47" s="5">
        <f ca="1">+VLOOKUP($A47,INDIRECT(Adrese!C$2),7,FALSE)</f>
        <v>0.84513274299999996</v>
      </c>
      <c r="AZ47" s="5">
        <f ca="1">+VLOOKUP($A47,INDIRECT(Adrese!D$2),7,FALSE)</f>
        <v>0.840707965</v>
      </c>
      <c r="BA47" s="5">
        <f ca="1">+VLOOKUP($A47,INDIRECT(Adrese!E$2),7,FALSE)</f>
        <v>0.83628318599999996</v>
      </c>
      <c r="BB47" s="5">
        <f ca="1">+VLOOKUP($A47,INDIRECT(Adrese!F$2),7,FALSE)</f>
        <v>0.82743362799999998</v>
      </c>
      <c r="BC47" s="5" t="str">
        <f t="shared" ca="1" si="12"/>
        <v>0.84 (0.01)</v>
      </c>
      <c r="BD47">
        <f t="shared" ca="1" si="26"/>
        <v>0.83805309732035393</v>
      </c>
      <c r="BE47" s="5">
        <f t="shared" ca="1" si="14"/>
        <v>6.7105093017510416E-3</v>
      </c>
      <c r="BG47" t="s">
        <v>111</v>
      </c>
      <c r="BH47" s="5">
        <f ca="1">+VLOOKUP($BG47,INDIRECT(Adrese!B$2),8,FALSE)</f>
        <v>8.0215127067429975E-2</v>
      </c>
      <c r="BI47" s="5">
        <f ca="1">+VLOOKUP($BG47,INDIRECT(Adrese!C$2),8,FALSE)</f>
        <v>8.0317556999999998E-2</v>
      </c>
      <c r="BJ47" s="5">
        <f ca="1">+VLOOKUP($BG47,INDIRECT(Adrese!D$2),8,FALSE)</f>
        <v>7.9878949000000005E-2</v>
      </c>
      <c r="BK47" s="5">
        <f ca="1">+VLOOKUP($BG47,INDIRECT(Adrese!E$2),8,FALSE)</f>
        <v>7.9718519000000002E-2</v>
      </c>
      <c r="BL47" s="5">
        <f ca="1">+VLOOKUP($BG47,INDIRECT(Adrese!F$2),8,FALSE)</f>
        <v>8.0407898000000005E-2</v>
      </c>
      <c r="BM47" s="5" t="str">
        <f t="shared" ca="1" si="15"/>
        <v>0.08 (0.00)</v>
      </c>
      <c r="BN47" s="5">
        <f t="shared" ca="1" si="27"/>
        <v>8.0107610013486014E-2</v>
      </c>
      <c r="BO47" s="5">
        <f t="shared" ca="1" si="17"/>
        <v>2.9558763706544796E-4</v>
      </c>
      <c r="BQ47" t="s">
        <v>111</v>
      </c>
      <c r="BR47" s="5">
        <f ca="1">+VLOOKUP($BG47,INDIRECT(Adrese!B$2),9,FALSE)</f>
        <v>8.1292930844953301E-2</v>
      </c>
      <c r="BS47" s="5">
        <f ca="1">+VLOOKUP($BG47,INDIRECT(Adrese!C$2),9,FALSE)</f>
        <v>8.1617127999999997E-2</v>
      </c>
      <c r="BT47" s="5">
        <f ca="1">+VLOOKUP($BG47,INDIRECT(Adrese!D$2),9,FALSE)</f>
        <v>8.1119257E-2</v>
      </c>
      <c r="BU47" s="5">
        <f ca="1">+VLOOKUP($BG47,INDIRECT(Adrese!E$2),9,FALSE)</f>
        <v>8.1347579000000003E-2</v>
      </c>
      <c r="BV47" s="5">
        <f ca="1">+VLOOKUP($BG47,INDIRECT(Adrese!F$2),9,FALSE)</f>
        <v>8.1450374000000006E-2</v>
      </c>
      <c r="BW47" s="5" t="str">
        <f t="shared" ca="1" si="18"/>
        <v>0.08 (0.00)</v>
      </c>
      <c r="BX47" s="5">
        <f t="shared" ca="1" si="28"/>
        <v>8.1365453768990653E-2</v>
      </c>
      <c r="BY47" s="5">
        <f t="shared" ca="1" si="20"/>
        <v>1.8489408801234021E-4</v>
      </c>
    </row>
    <row r="48" spans="1:77" x14ac:dyDescent="0.25">
      <c r="A48" t="s">
        <v>112</v>
      </c>
      <c r="B48" s="12">
        <f ca="1">+VLOOKUP($A48,INDIRECT(Adrese!B$2),2,FALSE)</f>
        <v>46</v>
      </c>
      <c r="C48" s="12">
        <f ca="1">+VLOOKUP($A48,INDIRECT(Adrese!C$2),2,FALSE)</f>
        <v>39</v>
      </c>
      <c r="D48" s="12">
        <f ca="1">+VLOOKUP($A48,INDIRECT(Adrese!D$2),2,FALSE)</f>
        <v>37</v>
      </c>
      <c r="E48" s="12">
        <f ca="1">+VLOOKUP($A48,INDIRECT(Adrese!E$2),2,FALSE)</f>
        <v>57</v>
      </c>
      <c r="F48" s="12">
        <f ca="1">+VLOOKUP($A48,INDIRECT(Adrese!F$2),2,FALSE)</f>
        <v>47</v>
      </c>
      <c r="G48" s="5">
        <f t="shared" ca="1" si="21"/>
        <v>45.2</v>
      </c>
      <c r="H48" s="5">
        <f t="shared" ca="1" si="1"/>
        <v>7.8866976612521302</v>
      </c>
      <c r="J48" t="s">
        <v>112</v>
      </c>
      <c r="K48">
        <f ca="1">+VLOOKUP($A48,INDIRECT(Adrese!B$2),3,FALSE)</f>
        <v>0</v>
      </c>
      <c r="L48">
        <f ca="1">+VLOOKUP($A48,INDIRECT(Adrese!C$2),3,FALSE)</f>
        <v>0</v>
      </c>
      <c r="M48">
        <f ca="1">+VLOOKUP($A48,INDIRECT(Adrese!D$2),3,FALSE)</f>
        <v>0</v>
      </c>
      <c r="N48">
        <f ca="1">+VLOOKUP($A48,INDIRECT(Adrese!E$2),3,FALSE)</f>
        <v>0</v>
      </c>
      <c r="O48">
        <f ca="1">+VLOOKUP($A48,INDIRECT(Adrese!F$2),3,FALSE)</f>
        <v>0</v>
      </c>
      <c r="P48" s="5">
        <f t="shared" ca="1" si="22"/>
        <v>0</v>
      </c>
      <c r="Q48" s="5">
        <f t="shared" ca="1" si="3"/>
        <v>0</v>
      </c>
      <c r="T48" t="s">
        <v>112</v>
      </c>
      <c r="U48">
        <f ca="1">+VLOOKUP($T48,INDIRECT(Adrese!B$2),4,FALSE)</f>
        <v>120915</v>
      </c>
      <c r="V48">
        <f ca="1">+VLOOKUP($T48,INDIRECT(Adrese!C$2),4,FALSE)</f>
        <v>121853</v>
      </c>
      <c r="W48">
        <f ca="1">+VLOOKUP($T48,INDIRECT(Adrese!D$2),4,FALSE)</f>
        <v>121664</v>
      </c>
      <c r="X48">
        <f ca="1">+VLOOKUP($T48,INDIRECT(Adrese!E$2),4,FALSE)</f>
        <v>120139</v>
      </c>
      <c r="Y48">
        <f ca="1">+VLOOKUP($T48,INDIRECT(Adrese!F$2),4,FALSE)</f>
        <v>120817</v>
      </c>
      <c r="Z48">
        <f t="shared" ca="1" si="4"/>
        <v>605388</v>
      </c>
      <c r="AA48" s="5">
        <f t="shared" ca="1" si="23"/>
        <v>121077.6</v>
      </c>
      <c r="AB48" s="5">
        <f t="shared" ca="1" si="6"/>
        <v>692.89811660878399</v>
      </c>
      <c r="AD48" t="s">
        <v>112</v>
      </c>
      <c r="AE48">
        <f ca="1">+VLOOKUP($A48,INDIRECT(Adrese!B$2),5,FALSE)</f>
        <v>38191</v>
      </c>
      <c r="AF48">
        <f ca="1">+VLOOKUP($A48,INDIRECT(Adrese!C$2),5,FALSE)</f>
        <v>38677</v>
      </c>
      <c r="AG48">
        <f ca="1">+VLOOKUP($A48,INDIRECT(Adrese!D$2),5,FALSE)</f>
        <v>38594</v>
      </c>
      <c r="AH48">
        <f ca="1">+VLOOKUP($A48,INDIRECT(Adrese!E$2),5,FALSE)</f>
        <v>37881</v>
      </c>
      <c r="AI48">
        <f ca="1">+VLOOKUP($A48,INDIRECT(Adrese!F$2),5,FALSE)</f>
        <v>38234</v>
      </c>
      <c r="AJ48" s="5">
        <f t="shared" ca="1" si="24"/>
        <v>38315.4</v>
      </c>
      <c r="AK48" s="5">
        <f t="shared" ca="1" si="8"/>
        <v>323.7194773256623</v>
      </c>
      <c r="AM48" t="s">
        <v>112</v>
      </c>
      <c r="AN48" s="5">
        <f ca="1">+VLOOKUP($A48,INDIRECT(Adrese!B$2),6,FALSE)</f>
        <v>0.84050884955752214</v>
      </c>
      <c r="AO48" s="5">
        <f ca="1">+VLOOKUP($A48,INDIRECT(Adrese!C$2),6,FALSE)</f>
        <v>0.85126106199999996</v>
      </c>
      <c r="AP48" s="5">
        <f ca="1">+VLOOKUP($A48,INDIRECT(Adrese!D$2),6,FALSE)</f>
        <v>0.84942477900000002</v>
      </c>
      <c r="AQ48" s="5">
        <f ca="1">+VLOOKUP($A48,INDIRECT(Adrese!E$2),6,FALSE)</f>
        <v>0.83365044200000005</v>
      </c>
      <c r="AR48" s="5">
        <f ca="1">+VLOOKUP($A48,INDIRECT(Adrese!F$2),6,FALSE)</f>
        <v>0.84146017699999998</v>
      </c>
      <c r="AS48" s="5" t="str">
        <f t="shared" ca="1" si="9"/>
        <v>0.84 (0.01)</v>
      </c>
      <c r="AT48" s="5">
        <f t="shared" ca="1" si="25"/>
        <v>0.84326106191150441</v>
      </c>
      <c r="AU48" s="5">
        <f t="shared" ca="1" si="11"/>
        <v>7.1619355650592567E-3</v>
      </c>
      <c r="AW48" t="s">
        <v>112</v>
      </c>
      <c r="AX48" s="5">
        <f ca="1">+VLOOKUP($A48,INDIRECT(Adrese!B$2),7,FALSE)</f>
        <v>1</v>
      </c>
      <c r="AY48" s="5">
        <f ca="1">+VLOOKUP($A48,INDIRECT(Adrese!C$2),7,FALSE)</f>
        <v>1</v>
      </c>
      <c r="AZ48" s="5">
        <f ca="1">+VLOOKUP($A48,INDIRECT(Adrese!D$2),7,FALSE)</f>
        <v>1</v>
      </c>
      <c r="BA48" s="5">
        <f ca="1">+VLOOKUP($A48,INDIRECT(Adrese!E$2),7,FALSE)</f>
        <v>1</v>
      </c>
      <c r="BB48" s="5">
        <f ca="1">+VLOOKUP($A48,INDIRECT(Adrese!F$2),7,FALSE)</f>
        <v>1</v>
      </c>
      <c r="BC48" s="5" t="str">
        <f t="shared" ca="1" si="12"/>
        <v>1.00 (0.00)</v>
      </c>
      <c r="BD48">
        <f t="shared" ca="1" si="26"/>
        <v>1</v>
      </c>
      <c r="BE48" s="5">
        <f t="shared" ca="1" si="14"/>
        <v>0</v>
      </c>
      <c r="BG48" t="s">
        <v>112</v>
      </c>
      <c r="BH48" s="5">
        <f ca="1">+VLOOKUP($BG48,INDIRECT(Adrese!B$2),8,FALSE)</f>
        <v>8.2565543386259266E-2</v>
      </c>
      <c r="BI48" s="5">
        <f ca="1">+VLOOKUP($BG48,INDIRECT(Adrese!C$2),8,FALSE)</f>
        <v>8.3244760000000001E-2</v>
      </c>
      <c r="BJ48" s="5">
        <f ca="1">+VLOOKUP($BG48,INDIRECT(Adrese!D$2),8,FALSE)</f>
        <v>8.3278759999999993E-2</v>
      </c>
      <c r="BK48" s="5">
        <f ca="1">+VLOOKUP($BG48,INDIRECT(Adrese!E$2),8,FALSE)</f>
        <v>8.2308731999999996E-2</v>
      </c>
      <c r="BL48" s="5">
        <f ca="1">+VLOOKUP($BG48,INDIRECT(Adrese!F$2),8,FALSE)</f>
        <v>8.282465E-2</v>
      </c>
      <c r="BM48" s="5" t="str">
        <f t="shared" ca="1" si="15"/>
        <v>0.08 (0.00)</v>
      </c>
      <c r="BN48" s="5">
        <f t="shared" ca="1" si="27"/>
        <v>8.2844489077251851E-2</v>
      </c>
      <c r="BO48" s="5">
        <f t="shared" ca="1" si="17"/>
        <v>4.2250679854801294E-4</v>
      </c>
      <c r="BQ48" t="s">
        <v>112</v>
      </c>
      <c r="BR48" s="5">
        <f ca="1">+VLOOKUP($BG48,INDIRECT(Adrese!B$2),9,FALSE)</f>
        <v>8.6983726776868886E-2</v>
      </c>
      <c r="BS48" s="5">
        <f ca="1">+VLOOKUP($BG48,INDIRECT(Adrese!C$2),9,FALSE)</f>
        <v>8.7401740000000006E-2</v>
      </c>
      <c r="BT48" s="5">
        <f ca="1">+VLOOKUP($BG48,INDIRECT(Adrese!D$2),9,FALSE)</f>
        <v>8.7438557E-2</v>
      </c>
      <c r="BU48" s="5">
        <f ca="1">+VLOOKUP($BG48,INDIRECT(Adrese!E$2),9,FALSE)</f>
        <v>8.7907814000000001E-2</v>
      </c>
      <c r="BV48" s="5">
        <f ca="1">+VLOOKUP($BG48,INDIRECT(Adrese!F$2),9,FALSE)</f>
        <v>8.7622619999999998E-2</v>
      </c>
      <c r="BW48" s="5" t="str">
        <f t="shared" ca="1" si="18"/>
        <v>0.09 (0.00)</v>
      </c>
      <c r="BX48" s="5">
        <f t="shared" ca="1" si="28"/>
        <v>8.747089155537377E-2</v>
      </c>
      <c r="BY48" s="5">
        <f t="shared" ca="1" si="20"/>
        <v>3.3803835803958662E-4</v>
      </c>
    </row>
    <row r="49" spans="1:77" x14ac:dyDescent="0.25">
      <c r="A49" t="s">
        <v>113</v>
      </c>
      <c r="B49" s="12">
        <f ca="1">+VLOOKUP($A49,INDIRECT(Adrese!B$2),2,FALSE)</f>
        <v>47</v>
      </c>
      <c r="C49" s="12">
        <f ca="1">+VLOOKUP($A49,INDIRECT(Adrese!C$2),2,FALSE)</f>
        <v>53</v>
      </c>
      <c r="D49" s="12">
        <f ca="1">+VLOOKUP($A49,INDIRECT(Adrese!D$2),2,FALSE)</f>
        <v>50</v>
      </c>
      <c r="E49" s="12">
        <f ca="1">+VLOOKUP($A49,INDIRECT(Adrese!E$2),2,FALSE)</f>
        <v>56</v>
      </c>
      <c r="F49" s="12">
        <f ca="1">+VLOOKUP($A49,INDIRECT(Adrese!F$2),2,FALSE)</f>
        <v>59</v>
      </c>
      <c r="G49" s="5">
        <f t="shared" ca="1" si="21"/>
        <v>53</v>
      </c>
      <c r="H49" s="5">
        <f t="shared" ca="1" si="1"/>
        <v>4.7434164902525691</v>
      </c>
      <c r="J49" t="s">
        <v>113</v>
      </c>
      <c r="K49">
        <f ca="1">+VLOOKUP($A49,INDIRECT(Adrese!B$2),3,FALSE)</f>
        <v>119</v>
      </c>
      <c r="L49">
        <f ca="1">+VLOOKUP($A49,INDIRECT(Adrese!C$2),3,FALSE)</f>
        <v>121</v>
      </c>
      <c r="M49">
        <f ca="1">+VLOOKUP($A49,INDIRECT(Adrese!D$2),3,FALSE)</f>
        <v>124</v>
      </c>
      <c r="N49">
        <f ca="1">+VLOOKUP($A49,INDIRECT(Adrese!E$2),3,FALSE)</f>
        <v>119</v>
      </c>
      <c r="O49">
        <f ca="1">+VLOOKUP($A49,INDIRECT(Adrese!F$2),3,FALSE)</f>
        <v>119</v>
      </c>
      <c r="P49" s="5">
        <f t="shared" ca="1" si="22"/>
        <v>120.4</v>
      </c>
      <c r="Q49" s="5">
        <f t="shared" ca="1" si="3"/>
        <v>2.1908902300206643</v>
      </c>
      <c r="T49" t="s">
        <v>113</v>
      </c>
      <c r="U49">
        <f ca="1">+VLOOKUP($T49,INDIRECT(Adrese!B$2),4,FALSE)</f>
        <v>120886</v>
      </c>
      <c r="V49">
        <f ca="1">+VLOOKUP($T49,INDIRECT(Adrese!C$2),4,FALSE)</f>
        <v>120434</v>
      </c>
      <c r="W49">
        <f ca="1">+VLOOKUP($T49,INDIRECT(Adrese!D$2),4,FALSE)</f>
        <v>120378</v>
      </c>
      <c r="X49">
        <f ca="1">+VLOOKUP($T49,INDIRECT(Adrese!E$2),4,FALSE)</f>
        <v>120167</v>
      </c>
      <c r="Y49">
        <f ca="1">+VLOOKUP($T49,INDIRECT(Adrese!F$2),4,FALSE)</f>
        <v>119595</v>
      </c>
      <c r="Z49">
        <f t="shared" ca="1" si="4"/>
        <v>601460</v>
      </c>
      <c r="AA49" s="5">
        <f t="shared" ca="1" si="23"/>
        <v>120292</v>
      </c>
      <c r="AB49" s="5">
        <f t="shared" ca="1" si="6"/>
        <v>469.5290193374633</v>
      </c>
      <c r="AD49" t="s">
        <v>113</v>
      </c>
      <c r="AE49">
        <f ca="1">+VLOOKUP($A49,INDIRECT(Adrese!B$2),5,FALSE)</f>
        <v>26242</v>
      </c>
      <c r="AF49">
        <f ca="1">+VLOOKUP($A49,INDIRECT(Adrese!C$2),5,FALSE)</f>
        <v>26150</v>
      </c>
      <c r="AG49">
        <f ca="1">+VLOOKUP($A49,INDIRECT(Adrese!D$2),5,FALSE)</f>
        <v>26499</v>
      </c>
      <c r="AH49">
        <f ca="1">+VLOOKUP($A49,INDIRECT(Adrese!E$2),5,FALSE)</f>
        <v>26510</v>
      </c>
      <c r="AI49">
        <f ca="1">+VLOOKUP($A49,INDIRECT(Adrese!F$2),5,FALSE)</f>
        <v>25874</v>
      </c>
      <c r="AJ49" s="5">
        <f t="shared" ca="1" si="24"/>
        <v>26255</v>
      </c>
      <c r="AK49" s="5">
        <f t="shared" ca="1" si="8"/>
        <v>265.00754706234312</v>
      </c>
      <c r="AM49" t="s">
        <v>113</v>
      </c>
      <c r="AN49" s="5">
        <f ca="1">+VLOOKUP($A49,INDIRECT(Adrese!B$2),6,FALSE)</f>
        <v>0.57632743362831862</v>
      </c>
      <c r="AO49" s="5">
        <f ca="1">+VLOOKUP($A49,INDIRECT(Adrese!C$2),6,FALSE)</f>
        <v>0.57429203500000003</v>
      </c>
      <c r="AP49" s="5">
        <f ca="1">+VLOOKUP($A49,INDIRECT(Adrese!D$2),6,FALSE)</f>
        <v>0.58201327400000002</v>
      </c>
      <c r="AQ49" s="5">
        <f ca="1">+VLOOKUP($A49,INDIRECT(Adrese!E$2),6,FALSE)</f>
        <v>0.58225663699999997</v>
      </c>
      <c r="AR49" s="5">
        <f ca="1">+VLOOKUP($A49,INDIRECT(Adrese!F$2),6,FALSE)</f>
        <v>0.56818584100000002</v>
      </c>
      <c r="AS49" s="5" t="str">
        <f t="shared" ca="1" si="9"/>
        <v>0.58 (0.01)</v>
      </c>
      <c r="AT49" s="5">
        <f t="shared" ca="1" si="25"/>
        <v>0.57661504412566367</v>
      </c>
      <c r="AU49" s="5">
        <f t="shared" ca="1" si="11"/>
        <v>5.8629986454402519E-3</v>
      </c>
      <c r="AW49" t="s">
        <v>113</v>
      </c>
      <c r="AX49" s="5">
        <f ca="1">+VLOOKUP($A49,INDIRECT(Adrese!B$2),7,FALSE)</f>
        <v>0.47345132743362828</v>
      </c>
      <c r="AY49" s="5">
        <f ca="1">+VLOOKUP($A49,INDIRECT(Adrese!C$2),7,FALSE)</f>
        <v>0.46460177000000003</v>
      </c>
      <c r="AZ49" s="5">
        <f ca="1">+VLOOKUP($A49,INDIRECT(Adrese!D$2),7,FALSE)</f>
        <v>0.45132743400000003</v>
      </c>
      <c r="BA49" s="5">
        <f ca="1">+VLOOKUP($A49,INDIRECT(Adrese!E$2),7,FALSE)</f>
        <v>0.47345132699999998</v>
      </c>
      <c r="BB49" s="5">
        <f ca="1">+VLOOKUP($A49,INDIRECT(Adrese!F$2),7,FALSE)</f>
        <v>0.47345132699999998</v>
      </c>
      <c r="BC49" s="5" t="str">
        <f t="shared" ca="1" si="12"/>
        <v>0.47 (0.01)</v>
      </c>
      <c r="BD49">
        <f t="shared" ca="1" si="26"/>
        <v>0.46725663708672566</v>
      </c>
      <c r="BE49" s="5">
        <f t="shared" ca="1" si="14"/>
        <v>9.6942042603245949E-3</v>
      </c>
      <c r="BG49" t="s">
        <v>113</v>
      </c>
      <c r="BH49" s="5">
        <f ca="1">+VLOOKUP($BG49,INDIRECT(Adrese!B$2),8,FALSE)</f>
        <v>5.7237624108476923E-2</v>
      </c>
      <c r="BI49" s="5">
        <f ca="1">+VLOOKUP($BG49,INDIRECT(Adrese!C$2),8,FALSE)</f>
        <v>5.7225558000000003E-2</v>
      </c>
      <c r="BJ49" s="5">
        <f ca="1">+VLOOKUP($BG49,INDIRECT(Adrese!D$2),8,FALSE)</f>
        <v>5.7856645999999998E-2</v>
      </c>
      <c r="BK49" s="5">
        <f ca="1">+VLOOKUP($BG49,INDIRECT(Adrese!E$2),8,FALSE)</f>
        <v>5.7916670000000003E-2</v>
      </c>
      <c r="BL49" s="5">
        <f ca="1">+VLOOKUP($BG49,INDIRECT(Adrese!F$2),8,FALSE)</f>
        <v>5.6532846999999997E-2</v>
      </c>
      <c r="BM49" s="5" t="str">
        <f t="shared" ca="1" si="15"/>
        <v>0.06 (0.00)</v>
      </c>
      <c r="BN49" s="5">
        <f t="shared" ca="1" si="27"/>
        <v>5.7353869021695383E-2</v>
      </c>
      <c r="BO49" s="5">
        <f t="shared" ca="1" si="17"/>
        <v>5.6426575949197364E-4</v>
      </c>
      <c r="BQ49" t="s">
        <v>113</v>
      </c>
      <c r="BR49" s="5">
        <f ca="1">+VLOOKUP($BG49,INDIRECT(Adrese!B$2),9,FALSE)</f>
        <v>3.7588673160073E-2</v>
      </c>
      <c r="BS49" s="5">
        <f ca="1">+VLOOKUP($BG49,INDIRECT(Adrese!C$2),9,FALSE)</f>
        <v>3.7777294000000003E-2</v>
      </c>
      <c r="BT49" s="5">
        <f ca="1">+VLOOKUP($BG49,INDIRECT(Adrese!D$2),9,FALSE)</f>
        <v>3.7971402000000001E-2</v>
      </c>
      <c r="BU49" s="5">
        <f ca="1">+VLOOKUP($BG49,INDIRECT(Adrese!E$2),9,FALSE)</f>
        <v>3.8749919000000001E-2</v>
      </c>
      <c r="BV49" s="5">
        <f ca="1">+VLOOKUP($BG49,INDIRECT(Adrese!F$2),9,FALSE)</f>
        <v>3.5787601000000002E-2</v>
      </c>
      <c r="BW49" s="5" t="str">
        <f t="shared" ca="1" si="18"/>
        <v>0.04 (0.00)</v>
      </c>
      <c r="BX49" s="5">
        <f t="shared" ca="1" si="28"/>
        <v>3.7574977832014599E-2</v>
      </c>
      <c r="BY49" s="5">
        <f t="shared" ca="1" si="20"/>
        <v>1.0924140930356125E-3</v>
      </c>
    </row>
    <row r="50" spans="1:77" x14ac:dyDescent="0.25">
      <c r="A50" t="s">
        <v>114</v>
      </c>
      <c r="B50" s="12">
        <f ca="1">+VLOOKUP($A50,INDIRECT(Adrese!B$2),2,FALSE)</f>
        <v>48</v>
      </c>
      <c r="C50" s="12">
        <f ca="1">+VLOOKUP($A50,INDIRECT(Adrese!C$2),2,FALSE)</f>
        <v>47</v>
      </c>
      <c r="D50" s="12">
        <f ca="1">+VLOOKUP($A50,INDIRECT(Adrese!D$2),2,FALSE)</f>
        <v>41</v>
      </c>
      <c r="E50" s="12">
        <f ca="1">+VLOOKUP($A50,INDIRECT(Adrese!E$2),2,FALSE)</f>
        <v>52</v>
      </c>
      <c r="F50" s="12">
        <f ca="1">+VLOOKUP($A50,INDIRECT(Adrese!F$2),2,FALSE)</f>
        <v>55</v>
      </c>
      <c r="G50" s="5">
        <f t="shared" ca="1" si="21"/>
        <v>48.6</v>
      </c>
      <c r="H50" s="5">
        <f t="shared" ca="1" si="1"/>
        <v>5.3197744313081543</v>
      </c>
      <c r="J50" t="s">
        <v>114</v>
      </c>
      <c r="K50">
        <f ca="1">+VLOOKUP($A50,INDIRECT(Adrese!B$2),3,FALSE)</f>
        <v>66</v>
      </c>
      <c r="L50">
        <f ca="1">+VLOOKUP($A50,INDIRECT(Adrese!C$2),3,FALSE)</f>
        <v>68</v>
      </c>
      <c r="M50">
        <f ca="1">+VLOOKUP($A50,INDIRECT(Adrese!D$2),3,FALSE)</f>
        <v>68</v>
      </c>
      <c r="N50">
        <f ca="1">+VLOOKUP($A50,INDIRECT(Adrese!E$2),3,FALSE)</f>
        <v>66</v>
      </c>
      <c r="O50">
        <f ca="1">+VLOOKUP($A50,INDIRECT(Adrese!F$2),3,FALSE)</f>
        <v>67</v>
      </c>
      <c r="P50" s="5">
        <f t="shared" ca="1" si="22"/>
        <v>67</v>
      </c>
      <c r="Q50" s="5">
        <f t="shared" ca="1" si="3"/>
        <v>1</v>
      </c>
      <c r="T50" t="s">
        <v>114</v>
      </c>
      <c r="U50">
        <f ca="1">+VLOOKUP($T50,INDIRECT(Adrese!B$2),4,FALSE)</f>
        <v>120846</v>
      </c>
      <c r="V50">
        <f ca="1">+VLOOKUP($T50,INDIRECT(Adrese!C$2),4,FALSE)</f>
        <v>120802</v>
      </c>
      <c r="W50">
        <f ca="1">+VLOOKUP($T50,INDIRECT(Adrese!D$2),4,FALSE)</f>
        <v>120838</v>
      </c>
      <c r="X50">
        <f ca="1">+VLOOKUP($T50,INDIRECT(Adrese!E$2),4,FALSE)</f>
        <v>120498</v>
      </c>
      <c r="Y50">
        <f ca="1">+VLOOKUP($T50,INDIRECT(Adrese!F$2),4,FALSE)</f>
        <v>119802</v>
      </c>
      <c r="Z50">
        <f t="shared" ca="1" si="4"/>
        <v>602786</v>
      </c>
      <c r="AA50" s="5">
        <f t="shared" ca="1" si="23"/>
        <v>120557.2</v>
      </c>
      <c r="AB50" s="5">
        <f t="shared" ca="1" si="6"/>
        <v>446.09774713620783</v>
      </c>
      <c r="AD50" t="s">
        <v>114</v>
      </c>
      <c r="AE50">
        <f ca="1">+VLOOKUP($A50,INDIRECT(Adrese!B$2),5,FALSE)</f>
        <v>26741</v>
      </c>
      <c r="AF50">
        <f ca="1">+VLOOKUP($A50,INDIRECT(Adrese!C$2),5,FALSE)</f>
        <v>26476</v>
      </c>
      <c r="AG50">
        <f ca="1">+VLOOKUP($A50,INDIRECT(Adrese!D$2),5,FALSE)</f>
        <v>26669</v>
      </c>
      <c r="AH50">
        <f ca="1">+VLOOKUP($A50,INDIRECT(Adrese!E$2),5,FALSE)</f>
        <v>26492</v>
      </c>
      <c r="AI50">
        <f ca="1">+VLOOKUP($A50,INDIRECT(Adrese!F$2),5,FALSE)</f>
        <v>26389</v>
      </c>
      <c r="AJ50" s="5">
        <f t="shared" ca="1" si="24"/>
        <v>26553.4</v>
      </c>
      <c r="AK50" s="5">
        <f t="shared" ca="1" si="8"/>
        <v>146.06950400408704</v>
      </c>
      <c r="AM50" t="s">
        <v>114</v>
      </c>
      <c r="AN50" s="5">
        <f ca="1">+VLOOKUP($A50,INDIRECT(Adrese!B$2),6,FALSE)</f>
        <v>0.5871902654867257</v>
      </c>
      <c r="AO50" s="5">
        <f ca="1">+VLOOKUP($A50,INDIRECT(Adrese!C$2),6,FALSE)</f>
        <v>0.58132743399999998</v>
      </c>
      <c r="AP50" s="5">
        <f ca="1">+VLOOKUP($A50,INDIRECT(Adrese!D$2),6,FALSE)</f>
        <v>0.58559734500000005</v>
      </c>
      <c r="AQ50" s="5">
        <f ca="1">+VLOOKUP($A50,INDIRECT(Adrese!E$2),6,FALSE)</f>
        <v>0.58168141600000001</v>
      </c>
      <c r="AR50" s="5">
        <f ca="1">+VLOOKUP($A50,INDIRECT(Adrese!F$2),6,FALSE)</f>
        <v>0.57940265499999999</v>
      </c>
      <c r="AS50" s="5" t="str">
        <f t="shared" ca="1" si="9"/>
        <v>0.58 (0.00)</v>
      </c>
      <c r="AT50" s="5">
        <f t="shared" ca="1" si="25"/>
        <v>0.58303982309734514</v>
      </c>
      <c r="AU50" s="5">
        <f t="shared" ca="1" si="11"/>
        <v>3.2316260744900617E-3</v>
      </c>
      <c r="AW50" t="s">
        <v>114</v>
      </c>
      <c r="AX50" s="5">
        <f ca="1">+VLOOKUP($A50,INDIRECT(Adrese!B$2),7,FALSE)</f>
        <v>0.70796460176991149</v>
      </c>
      <c r="AY50" s="5">
        <f ca="1">+VLOOKUP($A50,INDIRECT(Adrese!C$2),7,FALSE)</f>
        <v>0.69911504400000002</v>
      </c>
      <c r="AZ50" s="5">
        <f ca="1">+VLOOKUP($A50,INDIRECT(Adrese!D$2),7,FALSE)</f>
        <v>0.69911504400000002</v>
      </c>
      <c r="BA50" s="5">
        <f ca="1">+VLOOKUP($A50,INDIRECT(Adrese!E$2),7,FALSE)</f>
        <v>0.707964602</v>
      </c>
      <c r="BB50" s="5">
        <f ca="1">+VLOOKUP($A50,INDIRECT(Adrese!F$2),7,FALSE)</f>
        <v>0.70353982299999995</v>
      </c>
      <c r="BC50" s="5" t="str">
        <f t="shared" ca="1" si="12"/>
        <v>0.70 (0.00)</v>
      </c>
      <c r="BD50">
        <f t="shared" ca="1" si="26"/>
        <v>0.70353982295398232</v>
      </c>
      <c r="BE50" s="5">
        <f t="shared" ca="1" si="14"/>
        <v>4.4247789424778647E-3</v>
      </c>
      <c r="BG50" t="s">
        <v>114</v>
      </c>
      <c r="BH50" s="5">
        <f ca="1">+VLOOKUP($BG50,INDIRECT(Adrese!B$2),8,FALSE)</f>
        <v>6.3319556188679585E-2</v>
      </c>
      <c r="BI50" s="5">
        <f ca="1">+VLOOKUP($BG50,INDIRECT(Adrese!C$2),8,FALSE)</f>
        <v>6.2730850000000005E-2</v>
      </c>
      <c r="BJ50" s="5">
        <f ca="1">+VLOOKUP($BG50,INDIRECT(Adrese!D$2),8,FALSE)</f>
        <v>6.3512945000000001E-2</v>
      </c>
      <c r="BK50" s="5">
        <f ca="1">+VLOOKUP($BG50,INDIRECT(Adrese!E$2),8,FALSE)</f>
        <v>6.2967095000000001E-2</v>
      </c>
      <c r="BL50" s="5">
        <f ca="1">+VLOOKUP($BG50,INDIRECT(Adrese!F$2),8,FALSE)</f>
        <v>6.2892645999999996E-2</v>
      </c>
      <c r="BM50" s="5" t="str">
        <f t="shared" ca="1" si="15"/>
        <v>0.06 (0.00)</v>
      </c>
      <c r="BN50" s="5">
        <f t="shared" ca="1" si="27"/>
        <v>6.3084618437735912E-2</v>
      </c>
      <c r="BO50" s="5">
        <f t="shared" ca="1" si="17"/>
        <v>3.2189931405840439E-4</v>
      </c>
      <c r="BQ50" t="s">
        <v>114</v>
      </c>
      <c r="BR50" s="5">
        <f ca="1">+VLOOKUP($BG50,INDIRECT(Adrese!B$2),9,FALSE)</f>
        <v>7.0758640625200125E-2</v>
      </c>
      <c r="BS50" s="5">
        <f ca="1">+VLOOKUP($BG50,INDIRECT(Adrese!C$2),9,FALSE)</f>
        <v>6.9710214000000006E-2</v>
      </c>
      <c r="BT50" s="5">
        <f ca="1">+VLOOKUP($BG50,INDIRECT(Adrese!D$2),9,FALSE)</f>
        <v>7.1921573000000003E-2</v>
      </c>
      <c r="BU50" s="5">
        <f ca="1">+VLOOKUP($BG50,INDIRECT(Adrese!E$2),9,FALSE)</f>
        <v>7.0218696999999997E-2</v>
      </c>
      <c r="BV50" s="5">
        <f ca="1">+VLOOKUP($BG50,INDIRECT(Adrese!F$2),9,FALSE)</f>
        <v>7.0462099E-2</v>
      </c>
      <c r="BW50" s="5" t="str">
        <f t="shared" ca="1" si="18"/>
        <v>0.07 (0.00)</v>
      </c>
      <c r="BX50" s="5">
        <f t="shared" ca="1" si="28"/>
        <v>7.0614244725040035E-2</v>
      </c>
      <c r="BY50" s="5">
        <f t="shared" ca="1" si="20"/>
        <v>8.2565659791791692E-4</v>
      </c>
    </row>
    <row r="51" spans="1:77" x14ac:dyDescent="0.25">
      <c r="A51" t="s">
        <v>115</v>
      </c>
      <c r="B51" s="12">
        <f ca="1">+VLOOKUP($A51,INDIRECT(Adrese!B$2),2,FALSE)</f>
        <v>49</v>
      </c>
      <c r="C51" s="12">
        <f ca="1">+VLOOKUP($A51,INDIRECT(Adrese!C$2),2,FALSE)</f>
        <v>54</v>
      </c>
      <c r="D51" s="12">
        <f ca="1">+VLOOKUP($A51,INDIRECT(Adrese!D$2),2,FALSE)</f>
        <v>57</v>
      </c>
      <c r="E51" s="12">
        <f ca="1">+VLOOKUP($A51,INDIRECT(Adrese!E$2),2,FALSE)</f>
        <v>51</v>
      </c>
      <c r="F51" s="12">
        <f ca="1">+VLOOKUP($A51,INDIRECT(Adrese!F$2),2,FALSE)</f>
        <v>50</v>
      </c>
      <c r="G51" s="5">
        <f t="shared" ca="1" si="21"/>
        <v>52.2</v>
      </c>
      <c r="H51" s="5">
        <f t="shared" ca="1" si="1"/>
        <v>3.271085446759225</v>
      </c>
      <c r="J51" t="s">
        <v>115</v>
      </c>
      <c r="K51">
        <f ca="1">+VLOOKUP($A51,INDIRECT(Adrese!B$2),3,FALSE)</f>
        <v>24</v>
      </c>
      <c r="L51">
        <f ca="1">+VLOOKUP($A51,INDIRECT(Adrese!C$2),3,FALSE)</f>
        <v>23</v>
      </c>
      <c r="M51">
        <f ca="1">+VLOOKUP($A51,INDIRECT(Adrese!D$2),3,FALSE)</f>
        <v>23</v>
      </c>
      <c r="N51">
        <f ca="1">+VLOOKUP($A51,INDIRECT(Adrese!E$2),3,FALSE)</f>
        <v>23</v>
      </c>
      <c r="O51">
        <f ca="1">+VLOOKUP($A51,INDIRECT(Adrese!F$2),3,FALSE)</f>
        <v>23</v>
      </c>
      <c r="P51" s="5">
        <f t="shared" ca="1" si="22"/>
        <v>23.2</v>
      </c>
      <c r="Q51" s="5">
        <f t="shared" ca="1" si="3"/>
        <v>0.44721359549995793</v>
      </c>
      <c r="T51" t="s">
        <v>115</v>
      </c>
      <c r="U51">
        <f ca="1">+VLOOKUP($T51,INDIRECT(Adrese!B$2),4,FALSE)</f>
        <v>120693</v>
      </c>
      <c r="V51">
        <f ca="1">+VLOOKUP($T51,INDIRECT(Adrese!C$2),4,FALSE)</f>
        <v>120418</v>
      </c>
      <c r="W51">
        <f ca="1">+VLOOKUP($T51,INDIRECT(Adrese!D$2),4,FALSE)</f>
        <v>119862</v>
      </c>
      <c r="X51">
        <f ca="1">+VLOOKUP($T51,INDIRECT(Adrese!E$2),4,FALSE)</f>
        <v>120655</v>
      </c>
      <c r="Y51">
        <f ca="1">+VLOOKUP($T51,INDIRECT(Adrese!F$2),4,FALSE)</f>
        <v>120544</v>
      </c>
      <c r="Z51">
        <f t="shared" ca="1" si="4"/>
        <v>602172</v>
      </c>
      <c r="AA51" s="5">
        <f t="shared" ca="1" si="23"/>
        <v>120434.4</v>
      </c>
      <c r="AB51" s="5">
        <f t="shared" ca="1" si="6"/>
        <v>337.43932787984266</v>
      </c>
      <c r="AD51" t="s">
        <v>115</v>
      </c>
      <c r="AE51">
        <f ca="1">+VLOOKUP($A51,INDIRECT(Adrese!B$2),5,FALSE)</f>
        <v>36595</v>
      </c>
      <c r="AF51">
        <f ca="1">+VLOOKUP($A51,INDIRECT(Adrese!C$2),5,FALSE)</f>
        <v>36530</v>
      </c>
      <c r="AG51">
        <f ca="1">+VLOOKUP($A51,INDIRECT(Adrese!D$2),5,FALSE)</f>
        <v>36348</v>
      </c>
      <c r="AH51">
        <f ca="1">+VLOOKUP($A51,INDIRECT(Adrese!E$2),5,FALSE)</f>
        <v>36762</v>
      </c>
      <c r="AI51">
        <f ca="1">+VLOOKUP($A51,INDIRECT(Adrese!F$2),5,FALSE)</f>
        <v>36643</v>
      </c>
      <c r="AJ51" s="5">
        <f t="shared" ca="1" si="24"/>
        <v>36575.599999999999</v>
      </c>
      <c r="AK51" s="5">
        <f t="shared" ca="1" si="8"/>
        <v>152.92579900069182</v>
      </c>
      <c r="AM51" t="s">
        <v>115</v>
      </c>
      <c r="AN51" s="5">
        <f ca="1">+VLOOKUP($A51,INDIRECT(Adrese!B$2),6,FALSE)</f>
        <v>0.80519911504424779</v>
      </c>
      <c r="AO51" s="5">
        <f ca="1">+VLOOKUP($A51,INDIRECT(Adrese!C$2),6,FALSE)</f>
        <v>0.80376106199999997</v>
      </c>
      <c r="AP51" s="5">
        <f ca="1">+VLOOKUP($A51,INDIRECT(Adrese!D$2),6,FALSE)</f>
        <v>0.79973451299999998</v>
      </c>
      <c r="AQ51" s="5">
        <f ca="1">+VLOOKUP($A51,INDIRECT(Adrese!E$2),6,FALSE)</f>
        <v>0.80889380499999997</v>
      </c>
      <c r="AR51" s="5">
        <f ca="1">+VLOOKUP($A51,INDIRECT(Adrese!F$2),6,FALSE)</f>
        <v>0.80626106200000003</v>
      </c>
      <c r="AS51" s="5" t="str">
        <f t="shared" ca="1" si="9"/>
        <v>0.80 (0.00)</v>
      </c>
      <c r="AT51" s="5">
        <f t="shared" ca="1" si="25"/>
        <v>0.80476991140884968</v>
      </c>
      <c r="AU51" s="5">
        <f t="shared" ca="1" si="11"/>
        <v>3.3833141467664472E-3</v>
      </c>
      <c r="AW51" t="s">
        <v>115</v>
      </c>
      <c r="AX51" s="5">
        <f ca="1">+VLOOKUP($A51,INDIRECT(Adrese!B$2),7,FALSE)</f>
        <v>0.89380530973451322</v>
      </c>
      <c r="AY51" s="5">
        <f ca="1">+VLOOKUP($A51,INDIRECT(Adrese!C$2),7,FALSE)</f>
        <v>0.89823008800000004</v>
      </c>
      <c r="AZ51" s="5">
        <f ca="1">+VLOOKUP($A51,INDIRECT(Adrese!D$2),7,FALSE)</f>
        <v>0.89823008800000004</v>
      </c>
      <c r="BA51" s="5">
        <f ca="1">+VLOOKUP($A51,INDIRECT(Adrese!E$2),7,FALSE)</f>
        <v>0.89823008800000004</v>
      </c>
      <c r="BB51" s="5">
        <f ca="1">+VLOOKUP($A51,INDIRECT(Adrese!F$2),7,FALSE)</f>
        <v>0.89823008800000004</v>
      </c>
      <c r="BC51" s="5" t="str">
        <f t="shared" ca="1" si="12"/>
        <v>0.90 (0.00)</v>
      </c>
      <c r="BD51">
        <f t="shared" ca="1" si="26"/>
        <v>0.89734513234690261</v>
      </c>
      <c r="BE51" s="5">
        <f t="shared" ca="1" si="14"/>
        <v>1.9788209973984269E-3</v>
      </c>
      <c r="BG51" t="s">
        <v>115</v>
      </c>
      <c r="BH51" s="5">
        <f ca="1">+VLOOKUP($BG51,INDIRECT(Adrese!B$2),8,FALSE)</f>
        <v>8.1345092502884339E-2</v>
      </c>
      <c r="BI51" s="5">
        <f ca="1">+VLOOKUP($BG51,INDIRECT(Adrese!C$2),8,FALSE)</f>
        <v>8.1407189000000005E-2</v>
      </c>
      <c r="BJ51" s="5">
        <f ca="1">+VLOOKUP($BG51,INDIRECT(Adrese!D$2),8,FALSE)</f>
        <v>8.1123942000000004E-2</v>
      </c>
      <c r="BK51" s="5">
        <f ca="1">+VLOOKUP($BG51,INDIRECT(Adrese!E$2),8,FALSE)</f>
        <v>8.1597052000000003E-2</v>
      </c>
      <c r="BL51" s="5">
        <f ca="1">+VLOOKUP($BG51,INDIRECT(Adrese!F$2),8,FALSE)</f>
        <v>8.1667693E-2</v>
      </c>
      <c r="BM51" s="5" t="str">
        <f t="shared" ca="1" si="15"/>
        <v>0.08 (0.00)</v>
      </c>
      <c r="BN51" s="5">
        <f t="shared" ca="1" si="27"/>
        <v>8.142819370057687E-2</v>
      </c>
      <c r="BO51" s="5">
        <f t="shared" ca="1" si="17"/>
        <v>2.1551632392722244E-4</v>
      </c>
      <c r="BQ51" t="s">
        <v>115</v>
      </c>
      <c r="BR51" s="5">
        <f ca="1">+VLOOKUP($BG51,INDIRECT(Adrese!B$2),9,FALSE)</f>
        <v>9.0971850072973606E-2</v>
      </c>
      <c r="BS51" s="5">
        <f ca="1">+VLOOKUP($BG51,INDIRECT(Adrese!C$2),9,FALSE)</f>
        <v>9.1605365999999994E-2</v>
      </c>
      <c r="BT51" s="5">
        <f ca="1">+VLOOKUP($BG51,INDIRECT(Adrese!D$2),9,FALSE)</f>
        <v>9.1345470999999998E-2</v>
      </c>
      <c r="BU51" s="5">
        <f ca="1">+VLOOKUP($BG51,INDIRECT(Adrese!E$2),9,FALSE)</f>
        <v>9.1188746000000001E-2</v>
      </c>
      <c r="BV51" s="5">
        <f ca="1">+VLOOKUP($BG51,INDIRECT(Adrese!F$2),9,FALSE)</f>
        <v>9.1731104999999993E-2</v>
      </c>
      <c r="BW51" s="5" t="str">
        <f t="shared" ca="1" si="18"/>
        <v>0.09 (0.00)</v>
      </c>
      <c r="BX51" s="5">
        <f t="shared" ca="1" si="28"/>
        <v>9.1368507614594724E-2</v>
      </c>
      <c r="BY51" s="5">
        <f t="shared" ca="1" si="20"/>
        <v>3.073112785345362E-4</v>
      </c>
    </row>
    <row r="52" spans="1:77" x14ac:dyDescent="0.25">
      <c r="A52" t="s">
        <v>116</v>
      </c>
      <c r="B52" s="12">
        <f ca="1">+VLOOKUP($A52,INDIRECT(Adrese!B$2),2,FALSE)</f>
        <v>50</v>
      </c>
      <c r="C52" s="12">
        <f ca="1">+VLOOKUP($A52,INDIRECT(Adrese!C$2),2,FALSE)</f>
        <v>51</v>
      </c>
      <c r="D52" s="12">
        <f ca="1">+VLOOKUP($A52,INDIRECT(Adrese!D$2),2,FALSE)</f>
        <v>54</v>
      </c>
      <c r="E52" s="12">
        <f ca="1">+VLOOKUP($A52,INDIRECT(Adrese!E$2),2,FALSE)</f>
        <v>46</v>
      </c>
      <c r="F52" s="12">
        <f ca="1">+VLOOKUP($A52,INDIRECT(Adrese!F$2),2,FALSE)</f>
        <v>57</v>
      </c>
      <c r="G52" s="5">
        <f t="shared" ca="1" si="21"/>
        <v>51.6</v>
      </c>
      <c r="H52" s="5">
        <f t="shared" ca="1" si="1"/>
        <v>4.1593268686170841</v>
      </c>
      <c r="J52" t="s">
        <v>116</v>
      </c>
      <c r="K52">
        <f ca="1">+VLOOKUP($A52,INDIRECT(Adrese!B$2),3,FALSE)</f>
        <v>38</v>
      </c>
      <c r="L52">
        <f ca="1">+VLOOKUP($A52,INDIRECT(Adrese!C$2),3,FALSE)</f>
        <v>38</v>
      </c>
      <c r="M52">
        <f ca="1">+VLOOKUP($A52,INDIRECT(Adrese!D$2),3,FALSE)</f>
        <v>38</v>
      </c>
      <c r="N52">
        <f ca="1">+VLOOKUP($A52,INDIRECT(Adrese!E$2),3,FALSE)</f>
        <v>37</v>
      </c>
      <c r="O52">
        <f ca="1">+VLOOKUP($A52,INDIRECT(Adrese!F$2),3,FALSE)</f>
        <v>38</v>
      </c>
      <c r="P52" s="5">
        <f t="shared" ca="1" si="22"/>
        <v>37.799999999999997</v>
      </c>
      <c r="Q52" s="5">
        <f t="shared" ca="1" si="3"/>
        <v>0.44721359549995793</v>
      </c>
      <c r="T52" t="s">
        <v>116</v>
      </c>
      <c r="U52">
        <f ca="1">+VLOOKUP($T52,INDIRECT(Adrese!B$2),4,FALSE)</f>
        <v>120678</v>
      </c>
      <c r="V52">
        <f ca="1">+VLOOKUP($T52,INDIRECT(Adrese!C$2),4,FALSE)</f>
        <v>120478</v>
      </c>
      <c r="W52">
        <f ca="1">+VLOOKUP($T52,INDIRECT(Adrese!D$2),4,FALSE)</f>
        <v>120051</v>
      </c>
      <c r="X52">
        <f ca="1">+VLOOKUP($T52,INDIRECT(Adrese!E$2),4,FALSE)</f>
        <v>120998</v>
      </c>
      <c r="Y52">
        <f ca="1">+VLOOKUP($T52,INDIRECT(Adrese!F$2),4,FALSE)</f>
        <v>119707</v>
      </c>
      <c r="Z52">
        <f t="shared" ca="1" si="4"/>
        <v>601912</v>
      </c>
      <c r="AA52" s="5">
        <f t="shared" ca="1" si="23"/>
        <v>120382.39999999999</v>
      </c>
      <c r="AB52" s="5">
        <f t="shared" ca="1" si="6"/>
        <v>510.26297141767986</v>
      </c>
      <c r="AD52" t="s">
        <v>116</v>
      </c>
      <c r="AE52">
        <f ca="1">+VLOOKUP($A52,INDIRECT(Adrese!B$2),5,FALSE)</f>
        <v>37295</v>
      </c>
      <c r="AF52">
        <f ca="1">+VLOOKUP($A52,INDIRECT(Adrese!C$2),5,FALSE)</f>
        <v>37340</v>
      </c>
      <c r="AG52">
        <f ca="1">+VLOOKUP($A52,INDIRECT(Adrese!D$2),5,FALSE)</f>
        <v>37130</v>
      </c>
      <c r="AH52">
        <f ca="1">+VLOOKUP($A52,INDIRECT(Adrese!E$2),5,FALSE)</f>
        <v>37480</v>
      </c>
      <c r="AI52">
        <f ca="1">+VLOOKUP($A52,INDIRECT(Adrese!F$2),5,FALSE)</f>
        <v>37064</v>
      </c>
      <c r="AJ52" s="5">
        <f t="shared" ca="1" si="24"/>
        <v>37261.800000000003</v>
      </c>
      <c r="AK52" s="5">
        <f t="shared" ca="1" si="8"/>
        <v>166.82685635112833</v>
      </c>
      <c r="AM52" t="s">
        <v>116</v>
      </c>
      <c r="AN52" s="5">
        <f ca="1">+VLOOKUP($A52,INDIRECT(Adrese!B$2),6,FALSE)</f>
        <v>0.82068584070796458</v>
      </c>
      <c r="AO52" s="5">
        <f ca="1">+VLOOKUP($A52,INDIRECT(Adrese!C$2),6,FALSE)</f>
        <v>0.821681416</v>
      </c>
      <c r="AP52" s="5">
        <f ca="1">+VLOOKUP($A52,INDIRECT(Adrese!D$2),6,FALSE)</f>
        <v>0.81703539800000002</v>
      </c>
      <c r="AQ52" s="5">
        <f ca="1">+VLOOKUP($A52,INDIRECT(Adrese!E$2),6,FALSE)</f>
        <v>0.82477876100000003</v>
      </c>
      <c r="AR52" s="5">
        <f ca="1">+VLOOKUP($A52,INDIRECT(Adrese!F$2),6,FALSE)</f>
        <v>0.81557522100000002</v>
      </c>
      <c r="AS52" s="5" t="str">
        <f t="shared" ca="1" si="9"/>
        <v>0.82 (0.00)</v>
      </c>
      <c r="AT52" s="5">
        <f t="shared" ca="1" si="25"/>
        <v>0.81995132734159293</v>
      </c>
      <c r="AU52" s="5">
        <f t="shared" ca="1" si="11"/>
        <v>3.6908597580963859E-3</v>
      </c>
      <c r="AW52" t="s">
        <v>116</v>
      </c>
      <c r="AX52" s="5">
        <f ca="1">+VLOOKUP($A52,INDIRECT(Adrese!B$2),7,FALSE)</f>
        <v>0.83185840707964598</v>
      </c>
      <c r="AY52" s="5">
        <f ca="1">+VLOOKUP($A52,INDIRECT(Adrese!C$2),7,FALSE)</f>
        <v>0.83185840700000002</v>
      </c>
      <c r="AZ52" s="5">
        <f ca="1">+VLOOKUP($A52,INDIRECT(Adrese!D$2),7,FALSE)</f>
        <v>0.83185840700000002</v>
      </c>
      <c r="BA52" s="5">
        <f ca="1">+VLOOKUP($A52,INDIRECT(Adrese!E$2),7,FALSE)</f>
        <v>0.83628318599999996</v>
      </c>
      <c r="BB52" s="5">
        <f ca="1">+VLOOKUP($A52,INDIRECT(Adrese!F$2),7,FALSE)</f>
        <v>0.83185840700000002</v>
      </c>
      <c r="BC52" s="5" t="str">
        <f t="shared" ca="1" si="12"/>
        <v>0.83 (0.00)</v>
      </c>
      <c r="BD52">
        <f t="shared" ca="1" si="26"/>
        <v>0.83274336281592931</v>
      </c>
      <c r="BE52" s="5">
        <f t="shared" ca="1" si="14"/>
        <v>1.9788213169779907E-3</v>
      </c>
      <c r="BG52" t="s">
        <v>116</v>
      </c>
      <c r="BH52" s="5">
        <f ca="1">+VLOOKUP($BG52,INDIRECT(Adrese!B$2),8,FALSE)</f>
        <v>7.996870112459542E-2</v>
      </c>
      <c r="BI52" s="5">
        <f ca="1">+VLOOKUP($BG52,INDIRECT(Adrese!C$2),8,FALSE)</f>
        <v>8.0198140000000001E-2</v>
      </c>
      <c r="BJ52" s="5">
        <f ca="1">+VLOOKUP($BG52,INDIRECT(Adrese!D$2),8,FALSE)</f>
        <v>7.9670122999999995E-2</v>
      </c>
      <c r="BK52" s="5">
        <f ca="1">+VLOOKUP($BG52,INDIRECT(Adrese!E$2),8,FALSE)</f>
        <v>8.0288212999999997E-2</v>
      </c>
      <c r="BL52" s="5">
        <f ca="1">+VLOOKUP($BG52,INDIRECT(Adrese!F$2),8,FALSE)</f>
        <v>7.9892293000000003E-2</v>
      </c>
      <c r="BM52" s="5" t="str">
        <f t="shared" ca="1" si="15"/>
        <v>0.08 (0.00)</v>
      </c>
      <c r="BN52" s="5">
        <f t="shared" ca="1" si="27"/>
        <v>8.0003494024919089E-2</v>
      </c>
      <c r="BO52" s="5">
        <f t="shared" ca="1" si="17"/>
        <v>2.4681187395358262E-4</v>
      </c>
      <c r="BQ52" t="s">
        <v>116</v>
      </c>
      <c r="BR52" s="5">
        <f ca="1">+VLOOKUP($BG52,INDIRECT(Adrese!B$2),9,FALSE)</f>
        <v>8.1166496382776857E-2</v>
      </c>
      <c r="BS52" s="5">
        <f ca="1">+VLOOKUP($BG52,INDIRECT(Adrese!C$2),9,FALSE)</f>
        <v>8.2080562999999995E-2</v>
      </c>
      <c r="BT52" s="5">
        <f ca="1">+VLOOKUP($BG52,INDIRECT(Adrese!D$2),9,FALSE)</f>
        <v>8.0726083000000004E-2</v>
      </c>
      <c r="BU52" s="5">
        <f ca="1">+VLOOKUP($BG52,INDIRECT(Adrese!E$2),9,FALSE)</f>
        <v>8.1741620000000001E-2</v>
      </c>
      <c r="BV52" s="5">
        <f ca="1">+VLOOKUP($BG52,INDIRECT(Adrese!F$2),9,FALSE)</f>
        <v>8.1985526000000003E-2</v>
      </c>
      <c r="BW52" s="5" t="str">
        <f t="shared" ca="1" si="18"/>
        <v>0.08 (0.00)</v>
      </c>
      <c r="BX52" s="5">
        <f t="shared" ca="1" si="28"/>
        <v>8.1540057676555366E-2</v>
      </c>
      <c r="BY52" s="5">
        <f t="shared" ca="1" si="20"/>
        <v>5.773469962639103E-4</v>
      </c>
    </row>
    <row r="53" spans="1:77" x14ac:dyDescent="0.25">
      <c r="A53" t="s">
        <v>117</v>
      </c>
      <c r="B53" s="12">
        <f ca="1">+VLOOKUP($A53,INDIRECT(Adrese!B$2),2,FALSE)</f>
        <v>51</v>
      </c>
      <c r="C53" s="12">
        <f ca="1">+VLOOKUP($A53,INDIRECT(Adrese!C$2),2,FALSE)</f>
        <v>59</v>
      </c>
      <c r="D53" s="12">
        <f ca="1">+VLOOKUP($A53,INDIRECT(Adrese!D$2),2,FALSE)</f>
        <v>55</v>
      </c>
      <c r="E53" s="12">
        <f ca="1">+VLOOKUP($A53,INDIRECT(Adrese!E$2),2,FALSE)</f>
        <v>41</v>
      </c>
      <c r="F53" s="12">
        <f ca="1">+VLOOKUP($A53,INDIRECT(Adrese!F$2),2,FALSE)</f>
        <v>41</v>
      </c>
      <c r="G53" s="5">
        <f t="shared" ca="1" si="21"/>
        <v>49.4</v>
      </c>
      <c r="H53" s="5">
        <f t="shared" ca="1" si="1"/>
        <v>8.173126696681031</v>
      </c>
      <c r="J53" t="s">
        <v>117</v>
      </c>
      <c r="K53">
        <f ca="1">+VLOOKUP($A53,INDIRECT(Adrese!B$2),3,FALSE)</f>
        <v>38</v>
      </c>
      <c r="L53">
        <f ca="1">+VLOOKUP($A53,INDIRECT(Adrese!C$2),3,FALSE)</f>
        <v>38</v>
      </c>
      <c r="M53">
        <f ca="1">+VLOOKUP($A53,INDIRECT(Adrese!D$2),3,FALSE)</f>
        <v>37</v>
      </c>
      <c r="N53">
        <f ca="1">+VLOOKUP($A53,INDIRECT(Adrese!E$2),3,FALSE)</f>
        <v>37</v>
      </c>
      <c r="O53">
        <f ca="1">+VLOOKUP($A53,INDIRECT(Adrese!F$2),3,FALSE)</f>
        <v>38</v>
      </c>
      <c r="P53" s="5">
        <f t="shared" ca="1" si="22"/>
        <v>37.6</v>
      </c>
      <c r="Q53" s="5">
        <f t="shared" ca="1" si="3"/>
        <v>0.54772255750516607</v>
      </c>
      <c r="T53" t="s">
        <v>117</v>
      </c>
      <c r="U53">
        <f ca="1">+VLOOKUP($T53,INDIRECT(Adrese!B$2),4,FALSE)</f>
        <v>120632</v>
      </c>
      <c r="V53">
        <f ca="1">+VLOOKUP($T53,INDIRECT(Adrese!C$2),4,FALSE)</f>
        <v>119808</v>
      </c>
      <c r="W53">
        <f ca="1">+VLOOKUP($T53,INDIRECT(Adrese!D$2),4,FALSE)</f>
        <v>120050</v>
      </c>
      <c r="X53">
        <f ca="1">+VLOOKUP($T53,INDIRECT(Adrese!E$2),4,FALSE)</f>
        <v>121437</v>
      </c>
      <c r="Y53">
        <f ca="1">+VLOOKUP($T53,INDIRECT(Adrese!F$2),4,FALSE)</f>
        <v>121253</v>
      </c>
      <c r="Z53">
        <f t="shared" ca="1" si="4"/>
        <v>603180</v>
      </c>
      <c r="AA53" s="5">
        <f t="shared" ca="1" si="23"/>
        <v>120636</v>
      </c>
      <c r="AB53" s="5">
        <f t="shared" ca="1" si="6"/>
        <v>716.11556329966743</v>
      </c>
      <c r="AD53" t="s">
        <v>117</v>
      </c>
      <c r="AE53">
        <f ca="1">+VLOOKUP($A53,INDIRECT(Adrese!B$2),5,FALSE)</f>
        <v>33589</v>
      </c>
      <c r="AF53">
        <f ca="1">+VLOOKUP($A53,INDIRECT(Adrese!C$2),5,FALSE)</f>
        <v>33285</v>
      </c>
      <c r="AG53">
        <f ca="1">+VLOOKUP($A53,INDIRECT(Adrese!D$2),5,FALSE)</f>
        <v>33478</v>
      </c>
      <c r="AH53">
        <f ca="1">+VLOOKUP($A53,INDIRECT(Adrese!E$2),5,FALSE)</f>
        <v>34215</v>
      </c>
      <c r="AI53">
        <f ca="1">+VLOOKUP($A53,INDIRECT(Adrese!F$2),5,FALSE)</f>
        <v>33802</v>
      </c>
      <c r="AJ53" s="5">
        <f t="shared" ca="1" si="24"/>
        <v>33673.800000000003</v>
      </c>
      <c r="AK53" s="5">
        <f t="shared" ca="1" si="8"/>
        <v>355.67780363694328</v>
      </c>
      <c r="AM53" t="s">
        <v>117</v>
      </c>
      <c r="AN53" s="5">
        <f ca="1">+VLOOKUP($A53,INDIRECT(Adrese!B$2),6,FALSE)</f>
        <v>0.73869469026548673</v>
      </c>
      <c r="AO53" s="5">
        <f ca="1">+VLOOKUP($A53,INDIRECT(Adrese!C$2),6,FALSE)</f>
        <v>0.73196902699999999</v>
      </c>
      <c r="AP53" s="5">
        <f ca="1">+VLOOKUP($A53,INDIRECT(Adrese!D$2),6,FALSE)</f>
        <v>0.73623893799999995</v>
      </c>
      <c r="AQ53" s="5">
        <f ca="1">+VLOOKUP($A53,INDIRECT(Adrese!E$2),6,FALSE)</f>
        <v>0.75254424799999997</v>
      </c>
      <c r="AR53" s="5">
        <f ca="1">+VLOOKUP($A53,INDIRECT(Adrese!F$2),6,FALSE)</f>
        <v>0.74340708</v>
      </c>
      <c r="AS53" s="5" t="str">
        <f t="shared" ca="1" si="9"/>
        <v>0.74 (0.01)</v>
      </c>
      <c r="AT53" s="5">
        <f t="shared" ca="1" si="25"/>
        <v>0.74057079665309733</v>
      </c>
      <c r="AU53" s="5">
        <f t="shared" ca="1" si="11"/>
        <v>7.8689779532280478E-3</v>
      </c>
      <c r="AW53" t="s">
        <v>117</v>
      </c>
      <c r="AX53" s="5">
        <f ca="1">+VLOOKUP($A53,INDIRECT(Adrese!B$2),7,FALSE)</f>
        <v>0.83185840707964598</v>
      </c>
      <c r="AY53" s="5">
        <f ca="1">+VLOOKUP($A53,INDIRECT(Adrese!C$2),7,FALSE)</f>
        <v>0.83185840700000002</v>
      </c>
      <c r="AZ53" s="5">
        <f ca="1">+VLOOKUP($A53,INDIRECT(Adrese!D$2),7,FALSE)</f>
        <v>0.83628318599999996</v>
      </c>
      <c r="BA53" s="5">
        <f ca="1">+VLOOKUP($A53,INDIRECT(Adrese!E$2),7,FALSE)</f>
        <v>0.83628318599999996</v>
      </c>
      <c r="BB53" s="5">
        <f ca="1">+VLOOKUP($A53,INDIRECT(Adrese!F$2),7,FALSE)</f>
        <v>0.83185840700000002</v>
      </c>
      <c r="BC53" s="5" t="str">
        <f t="shared" ca="1" si="12"/>
        <v>0.83 (0.00)</v>
      </c>
      <c r="BD53">
        <f t="shared" ca="1" si="26"/>
        <v>0.83362831861592923</v>
      </c>
      <c r="BE53" s="5">
        <f t="shared" ca="1" si="14"/>
        <v>2.4235512557338199E-3</v>
      </c>
      <c r="BG53" t="s">
        <v>117</v>
      </c>
      <c r="BH53" s="5">
        <f ca="1">+VLOOKUP($BG53,INDIRECT(Adrese!B$2),8,FALSE)</f>
        <v>7.6171029855226308E-2</v>
      </c>
      <c r="BI53" s="5">
        <f ca="1">+VLOOKUP($BG53,INDIRECT(Adrese!C$2),8,FALSE)</f>
        <v>7.5777971999999999E-2</v>
      </c>
      <c r="BJ53" s="5">
        <f ca="1">+VLOOKUP($BG53,INDIRECT(Adrese!D$2),8,FALSE)</f>
        <v>7.6174108000000004E-2</v>
      </c>
      <c r="BK53" s="5">
        <f ca="1">+VLOOKUP($BG53,INDIRECT(Adrese!E$2),8,FALSE)</f>
        <v>7.7341233999999995E-2</v>
      </c>
      <c r="BL53" s="5">
        <f ca="1">+VLOOKUP($BG53,INDIRECT(Adrese!F$2),8,FALSE)</f>
        <v>7.6793216999999997E-2</v>
      </c>
      <c r="BM53" s="5" t="str">
        <f t="shared" ca="1" si="15"/>
        <v>0.08 (0.00)</v>
      </c>
      <c r="BN53" s="5">
        <f t="shared" ca="1" si="27"/>
        <v>7.6451512171045261E-2</v>
      </c>
      <c r="BO53" s="5">
        <f t="shared" ca="1" si="17"/>
        <v>6.1596405915071296E-4</v>
      </c>
      <c r="BQ53" t="s">
        <v>117</v>
      </c>
      <c r="BR53" s="5">
        <f ca="1">+VLOOKUP($BG53,INDIRECT(Adrese!B$2),9,FALSE)</f>
        <v>8.6187438841000136E-2</v>
      </c>
      <c r="BS53" s="5">
        <f ca="1">+VLOOKUP($BG53,INDIRECT(Adrese!C$2),9,FALSE)</f>
        <v>8.6426303999999995E-2</v>
      </c>
      <c r="BT53" s="5">
        <f ca="1">+VLOOKUP($BG53,INDIRECT(Adrese!D$2),9,FALSE)</f>
        <v>8.6861516E-2</v>
      </c>
      <c r="BU53" s="5">
        <f ca="1">+VLOOKUP($BG53,INDIRECT(Adrese!E$2),9,FALSE)</f>
        <v>8.7834488000000002E-2</v>
      </c>
      <c r="BV53" s="5">
        <f ca="1">+VLOOKUP($BG53,INDIRECT(Adrese!F$2),9,FALSE)</f>
        <v>8.7477444000000001E-2</v>
      </c>
      <c r="BW53" s="5" t="str">
        <f t="shared" ca="1" si="18"/>
        <v>0.09 (0.00)</v>
      </c>
      <c r="BX53" s="5">
        <f t="shared" ca="1" si="28"/>
        <v>8.6957438168200021E-2</v>
      </c>
      <c r="BY53" s="5">
        <f t="shared" ca="1" si="20"/>
        <v>6.9351027451588034E-4</v>
      </c>
    </row>
    <row r="54" spans="1:77" x14ac:dyDescent="0.25">
      <c r="A54" t="s">
        <v>15</v>
      </c>
      <c r="B54" s="12">
        <f ca="1">+VLOOKUP($A54,INDIRECT(Adrese!B$2),2,FALSE)</f>
        <v>52</v>
      </c>
      <c r="C54" s="12">
        <f ca="1">+VLOOKUP($A54,INDIRECT(Adrese!C$2),2,FALSE)</f>
        <v>58</v>
      </c>
      <c r="D54" s="12">
        <f ca="1">+VLOOKUP($A54,INDIRECT(Adrese!D$2),2,FALSE)</f>
        <v>56</v>
      </c>
      <c r="E54" s="12">
        <f ca="1">+VLOOKUP($A54,INDIRECT(Adrese!E$2),2,FALSE)</f>
        <v>53</v>
      </c>
      <c r="F54" s="12">
        <f ca="1">+VLOOKUP($A54,INDIRECT(Adrese!F$2),2,FALSE)</f>
        <v>44</v>
      </c>
      <c r="G54" s="5">
        <f t="shared" ca="1" si="21"/>
        <v>52.6</v>
      </c>
      <c r="H54" s="5">
        <f t="shared" ca="1" si="1"/>
        <v>5.3665631459994954</v>
      </c>
      <c r="J54" t="s">
        <v>15</v>
      </c>
      <c r="K54">
        <f ca="1">+VLOOKUP($A54,INDIRECT(Adrese!B$2),3,FALSE)</f>
        <v>73</v>
      </c>
      <c r="L54">
        <f ca="1">+VLOOKUP($A54,INDIRECT(Adrese!C$2),3,FALSE)</f>
        <v>73</v>
      </c>
      <c r="M54">
        <f ca="1">+VLOOKUP($A54,INDIRECT(Adrese!D$2),3,FALSE)</f>
        <v>71</v>
      </c>
      <c r="N54">
        <f ca="1">+VLOOKUP($A54,INDIRECT(Adrese!E$2),3,FALSE)</f>
        <v>70</v>
      </c>
      <c r="O54">
        <f ca="1">+VLOOKUP($A54,INDIRECT(Adrese!F$2),3,FALSE)</f>
        <v>72</v>
      </c>
      <c r="P54" s="5">
        <f t="shared" ca="1" si="22"/>
        <v>71.8</v>
      </c>
      <c r="Q54" s="5">
        <f t="shared" ca="1" si="3"/>
        <v>1.3038404810405297</v>
      </c>
      <c r="T54" t="s">
        <v>15</v>
      </c>
      <c r="U54">
        <f ca="1">+VLOOKUP($T54,INDIRECT(Adrese!B$2),4,FALSE)</f>
        <v>120482</v>
      </c>
      <c r="V54">
        <f ca="1">+VLOOKUP($T54,INDIRECT(Adrese!C$2),4,FALSE)</f>
        <v>120099</v>
      </c>
      <c r="W54">
        <f ca="1">+VLOOKUP($T54,INDIRECT(Adrese!D$2),4,FALSE)</f>
        <v>119952</v>
      </c>
      <c r="X54">
        <f ca="1">+VLOOKUP($T54,INDIRECT(Adrese!E$2),4,FALSE)</f>
        <v>120392</v>
      </c>
      <c r="Y54">
        <f ca="1">+VLOOKUP($T54,INDIRECT(Adrese!F$2),4,FALSE)</f>
        <v>121045</v>
      </c>
      <c r="Z54">
        <f t="shared" ca="1" si="4"/>
        <v>601970</v>
      </c>
      <c r="AA54" s="5">
        <f t="shared" ca="1" si="23"/>
        <v>120394</v>
      </c>
      <c r="AB54" s="5">
        <f t="shared" ca="1" si="6"/>
        <v>422.47425957092344</v>
      </c>
      <c r="AD54" t="s">
        <v>15</v>
      </c>
      <c r="AE54">
        <f ca="1">+VLOOKUP($A54,INDIRECT(Adrese!B$2),5,FALSE)</f>
        <v>25836</v>
      </c>
      <c r="AF54">
        <f ca="1">+VLOOKUP($A54,INDIRECT(Adrese!C$2),5,FALSE)</f>
        <v>25978</v>
      </c>
      <c r="AG54">
        <f ca="1">+VLOOKUP($A54,INDIRECT(Adrese!D$2),5,FALSE)</f>
        <v>25847</v>
      </c>
      <c r="AH54">
        <f ca="1">+VLOOKUP($A54,INDIRECT(Adrese!E$2),5,FALSE)</f>
        <v>25971</v>
      </c>
      <c r="AI54">
        <f ca="1">+VLOOKUP($A54,INDIRECT(Adrese!F$2),5,FALSE)</f>
        <v>26198</v>
      </c>
      <c r="AJ54" s="5">
        <f t="shared" ca="1" si="24"/>
        <v>25966</v>
      </c>
      <c r="AK54" s="5">
        <f t="shared" ca="1" si="8"/>
        <v>145.82009463719328</v>
      </c>
      <c r="AM54" t="s">
        <v>15</v>
      </c>
      <c r="AN54" s="5">
        <f ca="1">+VLOOKUP($A54,INDIRECT(Adrese!B$2),6,FALSE)</f>
        <v>0.56716814159292039</v>
      </c>
      <c r="AO54" s="5">
        <f ca="1">+VLOOKUP($A54,INDIRECT(Adrese!C$2),6,FALSE)</f>
        <v>0.57030973500000004</v>
      </c>
      <c r="AP54" s="5">
        <f ca="1">+VLOOKUP($A54,INDIRECT(Adrese!D$2),6,FALSE)</f>
        <v>0.56741150399999996</v>
      </c>
      <c r="AQ54" s="5">
        <f ca="1">+VLOOKUP($A54,INDIRECT(Adrese!E$2),6,FALSE)</f>
        <v>0.57015486699999995</v>
      </c>
      <c r="AR54" s="5">
        <f ca="1">+VLOOKUP($A54,INDIRECT(Adrese!F$2),6,FALSE)</f>
        <v>0.57517699099999997</v>
      </c>
      <c r="AS54" s="5" t="str">
        <f t="shared" ca="1" si="9"/>
        <v>0.57 (0.00)</v>
      </c>
      <c r="AT54" s="5">
        <f t="shared" ca="1" si="25"/>
        <v>0.57004424771858397</v>
      </c>
      <c r="AU54" s="5">
        <f t="shared" ca="1" si="11"/>
        <v>3.2261083230712708E-3</v>
      </c>
      <c r="AW54" t="s">
        <v>15</v>
      </c>
      <c r="AX54" s="5">
        <f ca="1">+VLOOKUP($A54,INDIRECT(Adrese!B$2),7,FALSE)</f>
        <v>0.67699115044247793</v>
      </c>
      <c r="AY54" s="5">
        <f ca="1">+VLOOKUP($A54,INDIRECT(Adrese!C$2),7,FALSE)</f>
        <v>0.67699114999999999</v>
      </c>
      <c r="AZ54" s="5">
        <f ca="1">+VLOOKUP($A54,INDIRECT(Adrese!D$2),7,FALSE)</f>
        <v>0.68584070799999997</v>
      </c>
      <c r="BA54" s="5">
        <f ca="1">+VLOOKUP($A54,INDIRECT(Adrese!E$2),7,FALSE)</f>
        <v>0.69026548700000001</v>
      </c>
      <c r="BB54" s="5">
        <f ca="1">+VLOOKUP($A54,INDIRECT(Adrese!F$2),7,FALSE)</f>
        <v>0.68141592900000003</v>
      </c>
      <c r="BC54" s="5" t="str">
        <f t="shared" ca="1" si="12"/>
        <v>0.68 (0.01)</v>
      </c>
      <c r="BD54">
        <f t="shared" ca="1" si="26"/>
        <v>0.68230088488849561</v>
      </c>
      <c r="BE54" s="5">
        <f t="shared" ca="1" si="14"/>
        <v>5.7692058780485127E-3</v>
      </c>
      <c r="BG54" t="s">
        <v>15</v>
      </c>
      <c r="BH54" s="5">
        <f ca="1">+VLOOKUP($BG54,INDIRECT(Adrese!B$2),8,FALSE)</f>
        <v>6.1564851142300842E-2</v>
      </c>
      <c r="BI54" s="5">
        <f ca="1">+VLOOKUP($BG54,INDIRECT(Adrese!C$2),8,FALSE)</f>
        <v>6.1884415999999998E-2</v>
      </c>
      <c r="BJ54" s="5">
        <f ca="1">+VLOOKUP($BG54,INDIRECT(Adrese!D$2),8,FALSE)</f>
        <v>6.1748149000000002E-2</v>
      </c>
      <c r="BK54" s="5">
        <f ca="1">+VLOOKUP($BG54,INDIRECT(Adrese!E$2),8,FALSE)</f>
        <v>6.1808414999999998E-2</v>
      </c>
      <c r="BL54" s="5">
        <f ca="1">+VLOOKUP($BG54,INDIRECT(Adrese!F$2),8,FALSE)</f>
        <v>6.2498878000000001E-2</v>
      </c>
      <c r="BM54" s="5" t="str">
        <f t="shared" ca="1" si="15"/>
        <v>0.06 (0.00)</v>
      </c>
      <c r="BN54" s="5">
        <f t="shared" ca="1" si="27"/>
        <v>6.1900941828460163E-2</v>
      </c>
      <c r="BO54" s="5">
        <f t="shared" ca="1" si="17"/>
        <v>3.5449421010039413E-4</v>
      </c>
      <c r="BQ54" t="s">
        <v>15</v>
      </c>
      <c r="BR54" s="5">
        <f ca="1">+VLOOKUP($BG54,INDIRECT(Adrese!B$2),9,FALSE)</f>
        <v>6.8260980701701737E-2</v>
      </c>
      <c r="BS54" s="5">
        <f ca="1">+VLOOKUP($BG54,INDIRECT(Adrese!C$2),9,FALSE)</f>
        <v>6.8658969E-2</v>
      </c>
      <c r="BT54" s="5">
        <f ca="1">+VLOOKUP($BG54,INDIRECT(Adrese!D$2),9,FALSE)</f>
        <v>6.8637206000000006E-2</v>
      </c>
      <c r="BU54" s="5">
        <f ca="1">+VLOOKUP($BG54,INDIRECT(Adrese!E$2),9,FALSE)</f>
        <v>6.8496086999999997E-2</v>
      </c>
      <c r="BV54" s="5">
        <f ca="1">+VLOOKUP($BG54,INDIRECT(Adrese!F$2),9,FALSE)</f>
        <v>7.0018405000000006E-2</v>
      </c>
      <c r="BW54" s="5" t="str">
        <f t="shared" ca="1" si="18"/>
        <v>0.07 (0.00)</v>
      </c>
      <c r="BX54" s="5">
        <f t="shared" ca="1" si="28"/>
        <v>6.8814329540340349E-2</v>
      </c>
      <c r="BY54" s="5">
        <f t="shared" ca="1" si="20"/>
        <v>6.9151655986988785E-4</v>
      </c>
    </row>
    <row r="55" spans="1:77" x14ac:dyDescent="0.25">
      <c r="A55" t="s">
        <v>118</v>
      </c>
      <c r="B55" s="12">
        <f ca="1">+VLOOKUP($A55,INDIRECT(Adrese!B$2),2,FALSE)</f>
        <v>53</v>
      </c>
      <c r="C55" s="12">
        <f ca="1">+VLOOKUP($A55,INDIRECT(Adrese!C$2),2,FALSE)</f>
        <v>48</v>
      </c>
      <c r="D55" s="12">
        <f ca="1">+VLOOKUP($A55,INDIRECT(Adrese!D$2),2,FALSE)</f>
        <v>46</v>
      </c>
      <c r="E55" s="12">
        <f ca="1">+VLOOKUP($A55,INDIRECT(Adrese!E$2),2,FALSE)</f>
        <v>48</v>
      </c>
      <c r="F55" s="12">
        <f ca="1">+VLOOKUP($A55,INDIRECT(Adrese!F$2),2,FALSE)</f>
        <v>48</v>
      </c>
      <c r="G55" s="5">
        <f t="shared" ca="1" si="21"/>
        <v>48.6</v>
      </c>
      <c r="H55" s="5">
        <f t="shared" ca="1" si="1"/>
        <v>2.6076809620810599</v>
      </c>
      <c r="J55" t="s">
        <v>118</v>
      </c>
      <c r="K55">
        <f ca="1">+VLOOKUP($A55,INDIRECT(Adrese!B$2),3,FALSE)</f>
        <v>51</v>
      </c>
      <c r="L55">
        <f ca="1">+VLOOKUP($A55,INDIRECT(Adrese!C$2),3,FALSE)</f>
        <v>51</v>
      </c>
      <c r="M55">
        <f ca="1">+VLOOKUP($A55,INDIRECT(Adrese!D$2),3,FALSE)</f>
        <v>52</v>
      </c>
      <c r="N55">
        <f ca="1">+VLOOKUP($A55,INDIRECT(Adrese!E$2),3,FALSE)</f>
        <v>51</v>
      </c>
      <c r="O55">
        <f ca="1">+VLOOKUP($A55,INDIRECT(Adrese!F$2),3,FALSE)</f>
        <v>50</v>
      </c>
      <c r="P55" s="5">
        <f t="shared" ca="1" si="22"/>
        <v>51</v>
      </c>
      <c r="Q55" s="5">
        <f t="shared" ca="1" si="3"/>
        <v>0.70710678118654757</v>
      </c>
      <c r="T55" t="s">
        <v>118</v>
      </c>
      <c r="U55">
        <f ca="1">+VLOOKUP($T55,INDIRECT(Adrese!B$2),4,FALSE)</f>
        <v>120449</v>
      </c>
      <c r="V55">
        <f ca="1">+VLOOKUP($T55,INDIRECT(Adrese!C$2),4,FALSE)</f>
        <v>120708</v>
      </c>
      <c r="W55">
        <f ca="1">+VLOOKUP($T55,INDIRECT(Adrese!D$2),4,FALSE)</f>
        <v>120582</v>
      </c>
      <c r="X55">
        <f ca="1">+VLOOKUP($T55,INDIRECT(Adrese!E$2),4,FALSE)</f>
        <v>120841</v>
      </c>
      <c r="Y55">
        <f ca="1">+VLOOKUP($T55,INDIRECT(Adrese!F$2),4,FALSE)</f>
        <v>120806</v>
      </c>
      <c r="Z55">
        <f t="shared" ca="1" si="4"/>
        <v>603386</v>
      </c>
      <c r="AA55" s="5">
        <f t="shared" ca="1" si="23"/>
        <v>120677.2</v>
      </c>
      <c r="AB55" s="5">
        <f t="shared" ca="1" si="6"/>
        <v>162.40905147189304</v>
      </c>
      <c r="AD55" t="s">
        <v>118</v>
      </c>
      <c r="AE55">
        <f ca="1">+VLOOKUP($A55,INDIRECT(Adrese!B$2),5,FALSE)</f>
        <v>31137</v>
      </c>
      <c r="AF55">
        <f ca="1">+VLOOKUP($A55,INDIRECT(Adrese!C$2),5,FALSE)</f>
        <v>31194</v>
      </c>
      <c r="AG55">
        <f ca="1">+VLOOKUP($A55,INDIRECT(Adrese!D$2),5,FALSE)</f>
        <v>31273</v>
      </c>
      <c r="AH55">
        <f ca="1">+VLOOKUP($A55,INDIRECT(Adrese!E$2),5,FALSE)</f>
        <v>31591</v>
      </c>
      <c r="AI55">
        <f ca="1">+VLOOKUP($A55,INDIRECT(Adrese!F$2),5,FALSE)</f>
        <v>31453</v>
      </c>
      <c r="AJ55" s="5">
        <f t="shared" ca="1" si="24"/>
        <v>31329.599999999999</v>
      </c>
      <c r="AK55" s="5">
        <f t="shared" ca="1" si="8"/>
        <v>188.5757142370141</v>
      </c>
      <c r="AM55" t="s">
        <v>118</v>
      </c>
      <c r="AN55" s="5">
        <f ca="1">+VLOOKUP($A55,INDIRECT(Adrese!B$2),6,FALSE)</f>
        <v>0.6844469026548673</v>
      </c>
      <c r="AO55" s="5">
        <f ca="1">+VLOOKUP($A55,INDIRECT(Adrese!C$2),6,FALSE)</f>
        <v>0.68570796499999997</v>
      </c>
      <c r="AP55" s="5">
        <f ca="1">+VLOOKUP($A55,INDIRECT(Adrese!D$2),6,FALSE)</f>
        <v>0.68745575199999998</v>
      </c>
      <c r="AQ55" s="5">
        <f ca="1">+VLOOKUP($A55,INDIRECT(Adrese!E$2),6,FALSE)</f>
        <v>0.69449114999999995</v>
      </c>
      <c r="AR55" s="5">
        <f ca="1">+VLOOKUP($A55,INDIRECT(Adrese!F$2),6,FALSE)</f>
        <v>0.69143805300000005</v>
      </c>
      <c r="AS55" s="5" t="str">
        <f t="shared" ca="1" si="9"/>
        <v>0.69 (0.00)</v>
      </c>
      <c r="AT55" s="5">
        <f t="shared" ca="1" si="25"/>
        <v>0.68870796453097349</v>
      </c>
      <c r="AU55" s="5">
        <f t="shared" ca="1" si="11"/>
        <v>4.1720288511240128E-3</v>
      </c>
      <c r="AW55" t="s">
        <v>118</v>
      </c>
      <c r="AX55" s="5">
        <f ca="1">+VLOOKUP($A55,INDIRECT(Adrese!B$2),7,FALSE)</f>
        <v>0.77433628318584069</v>
      </c>
      <c r="AY55" s="5">
        <f ca="1">+VLOOKUP($A55,INDIRECT(Adrese!C$2),7,FALSE)</f>
        <v>0.77433628300000001</v>
      </c>
      <c r="AZ55" s="5">
        <f ca="1">+VLOOKUP($A55,INDIRECT(Adrese!D$2),7,FALSE)</f>
        <v>0.76991150399999997</v>
      </c>
      <c r="BA55" s="5">
        <f ca="1">+VLOOKUP($A55,INDIRECT(Adrese!E$2),7,FALSE)</f>
        <v>0.77433628300000001</v>
      </c>
      <c r="BB55" s="5">
        <f ca="1">+VLOOKUP($A55,INDIRECT(Adrese!F$2),7,FALSE)</f>
        <v>0.77876106199999995</v>
      </c>
      <c r="BC55" s="5" t="str">
        <f t="shared" ca="1" si="12"/>
        <v>0.77 (0.00)</v>
      </c>
      <c r="BD55">
        <f t="shared" ca="1" si="26"/>
        <v>0.77433628303716817</v>
      </c>
      <c r="BE55" s="5">
        <f t="shared" ca="1" si="14"/>
        <v>3.1287912361518243E-3</v>
      </c>
      <c r="BG55" t="s">
        <v>118</v>
      </c>
      <c r="BH55" s="5">
        <f ca="1">+VLOOKUP($BG55,INDIRECT(Adrese!B$2),8,FALSE)</f>
        <v>7.1718275030227402E-2</v>
      </c>
      <c r="BI55" s="5">
        <f ca="1">+VLOOKUP($BG55,INDIRECT(Adrese!C$2),8,FALSE)</f>
        <v>7.1843087E-2</v>
      </c>
      <c r="BJ55" s="5">
        <f ca="1">+VLOOKUP($BG55,INDIRECT(Adrese!D$2),8,FALSE)</f>
        <v>7.1878863000000001E-2</v>
      </c>
      <c r="BK55" s="5">
        <f ca="1">+VLOOKUP($BG55,INDIRECT(Adrese!E$2),8,FALSE)</f>
        <v>7.2509680000000007E-2</v>
      </c>
      <c r="BL55" s="5">
        <f ca="1">+VLOOKUP($BG55,INDIRECT(Adrese!F$2),8,FALSE)</f>
        <v>7.2367534999999997E-2</v>
      </c>
      <c r="BM55" s="5" t="str">
        <f t="shared" ca="1" si="15"/>
        <v>0.07 (0.00)</v>
      </c>
      <c r="BN55" s="5">
        <f t="shared" ca="1" si="27"/>
        <v>7.2063488006045479E-2</v>
      </c>
      <c r="BO55" s="5">
        <f t="shared" ca="1" si="17"/>
        <v>3.5120039329356549E-4</v>
      </c>
      <c r="BQ55" t="s">
        <v>118</v>
      </c>
      <c r="BR55" s="5">
        <f ca="1">+VLOOKUP($BG55,INDIRECT(Adrese!B$2),9,FALSE)</f>
        <v>8.0932888580135642E-2</v>
      </c>
      <c r="BS55" s="5">
        <f ca="1">+VLOOKUP($BG55,INDIRECT(Adrese!C$2),9,FALSE)</f>
        <v>8.1239270000000002E-2</v>
      </c>
      <c r="BT55" s="5">
        <f ca="1">+VLOOKUP($BG55,INDIRECT(Adrese!D$2),9,FALSE)</f>
        <v>8.0381445999999995E-2</v>
      </c>
      <c r="BU55" s="5">
        <f ca="1">+VLOOKUP($BG55,INDIRECT(Adrese!E$2),9,FALSE)</f>
        <v>8.1623640999999997E-2</v>
      </c>
      <c r="BV55" s="5">
        <f ca="1">+VLOOKUP($BG55,INDIRECT(Adrese!F$2),9,FALSE)</f>
        <v>8.1595976000000001E-2</v>
      </c>
      <c r="BW55" s="5" t="str">
        <f t="shared" ca="1" si="18"/>
        <v>0.08 (0.00)</v>
      </c>
      <c r="BX55" s="5">
        <f t="shared" ca="1" si="28"/>
        <v>8.1154644316027119E-2</v>
      </c>
      <c r="BY55" s="5">
        <f t="shared" ca="1" si="20"/>
        <v>5.1693913895925004E-4</v>
      </c>
    </row>
    <row r="56" spans="1:77" x14ac:dyDescent="0.25">
      <c r="A56" t="s">
        <v>9</v>
      </c>
      <c r="B56" s="12">
        <f ca="1">+VLOOKUP($A56,INDIRECT(Adrese!B$2),2,FALSE)</f>
        <v>54</v>
      </c>
      <c r="C56" s="12">
        <f ca="1">+VLOOKUP($A56,INDIRECT(Adrese!C$2),2,FALSE)</f>
        <v>57</v>
      </c>
      <c r="D56" s="12">
        <f ca="1">+VLOOKUP($A56,INDIRECT(Adrese!D$2),2,FALSE)</f>
        <v>47</v>
      </c>
      <c r="E56" s="12">
        <f ca="1">+VLOOKUP($A56,INDIRECT(Adrese!E$2),2,FALSE)</f>
        <v>44</v>
      </c>
      <c r="F56" s="12">
        <f ca="1">+VLOOKUP($A56,INDIRECT(Adrese!F$2),2,FALSE)</f>
        <v>52</v>
      </c>
      <c r="G56" s="5">
        <f t="shared" ca="1" si="21"/>
        <v>50.8</v>
      </c>
      <c r="H56" s="5">
        <f t="shared" ca="1" si="1"/>
        <v>5.2630789467763073</v>
      </c>
      <c r="J56" t="s">
        <v>9</v>
      </c>
      <c r="K56">
        <f ca="1">+VLOOKUP($A56,INDIRECT(Adrese!B$2),3,FALSE)</f>
        <v>180</v>
      </c>
      <c r="L56">
        <f ca="1">+VLOOKUP($A56,INDIRECT(Adrese!C$2),3,FALSE)</f>
        <v>175</v>
      </c>
      <c r="M56">
        <f ca="1">+VLOOKUP($A56,INDIRECT(Adrese!D$2),3,FALSE)</f>
        <v>179</v>
      </c>
      <c r="N56">
        <f ca="1">+VLOOKUP($A56,INDIRECT(Adrese!E$2),3,FALSE)</f>
        <v>178</v>
      </c>
      <c r="O56">
        <f ca="1">+VLOOKUP($A56,INDIRECT(Adrese!F$2),3,FALSE)</f>
        <v>175</v>
      </c>
      <c r="P56" s="5">
        <f t="shared" ca="1" si="22"/>
        <v>177.4</v>
      </c>
      <c r="Q56" s="5">
        <f t="shared" ca="1" si="3"/>
        <v>2.3021728866442674</v>
      </c>
      <c r="T56" t="s">
        <v>9</v>
      </c>
      <c r="U56">
        <f ca="1">+VLOOKUP($T56,INDIRECT(Adrese!B$2),4,FALSE)</f>
        <v>120329</v>
      </c>
      <c r="V56">
        <f ca="1">+VLOOKUP($T56,INDIRECT(Adrese!C$2),4,FALSE)</f>
        <v>120119</v>
      </c>
      <c r="W56">
        <f ca="1">+VLOOKUP($T56,INDIRECT(Adrese!D$2),4,FALSE)</f>
        <v>120577</v>
      </c>
      <c r="X56">
        <f ca="1">+VLOOKUP($T56,INDIRECT(Adrese!E$2),4,FALSE)</f>
        <v>121114</v>
      </c>
      <c r="Y56">
        <f ca="1">+VLOOKUP($T56,INDIRECT(Adrese!F$2),4,FALSE)</f>
        <v>120334</v>
      </c>
      <c r="Z56">
        <f t="shared" ca="1" si="4"/>
        <v>602473</v>
      </c>
      <c r="AA56" s="5">
        <f t="shared" ca="1" si="23"/>
        <v>120494.6</v>
      </c>
      <c r="AB56" s="5">
        <f t="shared" ca="1" si="6"/>
        <v>382.34055500299729</v>
      </c>
      <c r="AD56" t="s">
        <v>9</v>
      </c>
      <c r="AE56">
        <f ca="1">+VLOOKUP($A56,INDIRECT(Adrese!B$2),5,FALSE)</f>
        <v>34488</v>
      </c>
      <c r="AF56">
        <f ca="1">+VLOOKUP($A56,INDIRECT(Adrese!C$2),5,FALSE)</f>
        <v>34359</v>
      </c>
      <c r="AG56">
        <f ca="1">+VLOOKUP($A56,INDIRECT(Adrese!D$2),5,FALSE)</f>
        <v>34445</v>
      </c>
      <c r="AH56">
        <f ca="1">+VLOOKUP($A56,INDIRECT(Adrese!E$2),5,FALSE)</f>
        <v>34699</v>
      </c>
      <c r="AI56">
        <f ca="1">+VLOOKUP($A56,INDIRECT(Adrese!F$2),5,FALSE)</f>
        <v>34442</v>
      </c>
      <c r="AJ56" s="5">
        <f t="shared" ca="1" si="24"/>
        <v>34486.6</v>
      </c>
      <c r="AK56" s="5">
        <f t="shared" ca="1" si="8"/>
        <v>127.59036013743358</v>
      </c>
      <c r="AM56" t="s">
        <v>9</v>
      </c>
      <c r="AN56" s="5">
        <f ca="1">+VLOOKUP($A56,INDIRECT(Adrese!B$2),6,FALSE)</f>
        <v>0.75862831858407076</v>
      </c>
      <c r="AO56" s="5">
        <f ca="1">+VLOOKUP($A56,INDIRECT(Adrese!C$2),6,FALSE)</f>
        <v>0.75577433599999999</v>
      </c>
      <c r="AP56" s="5">
        <f ca="1">+VLOOKUP($A56,INDIRECT(Adrese!D$2),6,FALSE)</f>
        <v>0.75767699099999997</v>
      </c>
      <c r="AQ56" s="5">
        <f ca="1">+VLOOKUP($A56,INDIRECT(Adrese!E$2),6,FALSE)</f>
        <v>0.76329645999999995</v>
      </c>
      <c r="AR56" s="5">
        <f ca="1">+VLOOKUP($A56,INDIRECT(Adrese!F$2),6,FALSE)</f>
        <v>0.75761061900000004</v>
      </c>
      <c r="AS56" s="5" t="str">
        <f t="shared" ca="1" si="9"/>
        <v>0.76 (0.00)</v>
      </c>
      <c r="AT56" s="5">
        <f t="shared" ca="1" si="25"/>
        <v>0.75859734491681419</v>
      </c>
      <c r="AU56" s="5">
        <f t="shared" ca="1" si="11"/>
        <v>2.8227956286546747E-3</v>
      </c>
      <c r="AW56" t="s">
        <v>9</v>
      </c>
      <c r="AX56" s="5">
        <f ca="1">+VLOOKUP($A56,INDIRECT(Adrese!B$2),7,FALSE)</f>
        <v>0.2035398230088496</v>
      </c>
      <c r="AY56" s="5">
        <f ca="1">+VLOOKUP($A56,INDIRECT(Adrese!C$2),7,FALSE)</f>
        <v>0.22566371700000001</v>
      </c>
      <c r="AZ56" s="5">
        <f ca="1">+VLOOKUP($A56,INDIRECT(Adrese!D$2),7,FALSE)</f>
        <v>0.207964602</v>
      </c>
      <c r="BA56" s="5">
        <f ca="1">+VLOOKUP($A56,INDIRECT(Adrese!E$2),7,FALSE)</f>
        <v>0.21238938099999999</v>
      </c>
      <c r="BB56" s="5">
        <f ca="1">+VLOOKUP($A56,INDIRECT(Adrese!F$2),7,FALSE)</f>
        <v>0.22566371700000001</v>
      </c>
      <c r="BC56" s="5" t="str">
        <f t="shared" ca="1" si="12"/>
        <v>0.22 (0.01)</v>
      </c>
      <c r="BD56">
        <f t="shared" ca="1" si="26"/>
        <v>0.21504424800176994</v>
      </c>
      <c r="BE56" s="5">
        <f t="shared" ca="1" si="14"/>
        <v>1.0186605719447643E-2</v>
      </c>
      <c r="BG56" t="s">
        <v>9</v>
      </c>
      <c r="BH56" s="5">
        <f ca="1">+VLOOKUP($BG56,INDIRECT(Adrese!B$2),8,FALSE)</f>
        <v>7.7887137491773631E-2</v>
      </c>
      <c r="BI56" s="5">
        <f ca="1">+VLOOKUP($BG56,INDIRECT(Adrese!C$2),8,FALSE)</f>
        <v>7.7549455000000003E-2</v>
      </c>
      <c r="BJ56" s="5">
        <f ca="1">+VLOOKUP($BG56,INDIRECT(Adrese!D$2),8,FALSE)</f>
        <v>7.7875805000000006E-2</v>
      </c>
      <c r="BK56" s="5">
        <f ca="1">+VLOOKUP($BG56,INDIRECT(Adrese!E$2),8,FALSE)</f>
        <v>7.8182814000000003E-2</v>
      </c>
      <c r="BL56" s="5">
        <f ca="1">+VLOOKUP($BG56,INDIRECT(Adrese!F$2),8,FALSE)</f>
        <v>7.7855163000000005E-2</v>
      </c>
      <c r="BM56" s="5" t="str">
        <f t="shared" ca="1" si="15"/>
        <v>0.08 (0.00)</v>
      </c>
      <c r="BN56" s="5">
        <f t="shared" ca="1" si="27"/>
        <v>7.7870074898354721E-2</v>
      </c>
      <c r="BO56" s="5">
        <f t="shared" ca="1" si="17"/>
        <v>2.2424829753560751E-4</v>
      </c>
      <c r="BQ56" t="s">
        <v>9</v>
      </c>
      <c r="BR56" s="5">
        <f ca="1">+VLOOKUP($BG56,INDIRECT(Adrese!B$2),9,FALSE)</f>
        <v>8.7937084740280447E-2</v>
      </c>
      <c r="BS56" s="5">
        <f ca="1">+VLOOKUP($BG56,INDIRECT(Adrese!C$2),9,FALSE)</f>
        <v>8.7468980000000002E-2</v>
      </c>
      <c r="BT56" s="5">
        <f ca="1">+VLOOKUP($BG56,INDIRECT(Adrese!D$2),9,FALSE)</f>
        <v>8.8141773000000007E-2</v>
      </c>
      <c r="BU56" s="5">
        <f ca="1">+VLOOKUP($BG56,INDIRECT(Adrese!E$2),9,FALSE)</f>
        <v>8.8141681E-2</v>
      </c>
      <c r="BV56" s="5">
        <f ca="1">+VLOOKUP($BG56,INDIRECT(Adrese!F$2),9,FALSE)</f>
        <v>8.8117977E-2</v>
      </c>
      <c r="BW56" s="5" t="str">
        <f t="shared" ca="1" si="18"/>
        <v>0.09 (0.00)</v>
      </c>
      <c r="BX56" s="5">
        <f t="shared" ca="1" si="28"/>
        <v>8.7961499148056094E-2</v>
      </c>
      <c r="BY56" s="5">
        <f t="shared" ca="1" si="20"/>
        <v>2.8836637031844786E-4</v>
      </c>
    </row>
    <row r="57" spans="1:77" x14ac:dyDescent="0.25">
      <c r="A57" t="s">
        <v>119</v>
      </c>
      <c r="B57" s="12">
        <f ca="1">+VLOOKUP($A57,INDIRECT(Adrese!B$2),2,FALSE)</f>
        <v>55</v>
      </c>
      <c r="C57" s="12">
        <f ca="1">+VLOOKUP($A57,INDIRECT(Adrese!C$2),2,FALSE)</f>
        <v>56</v>
      </c>
      <c r="D57" s="12">
        <f ca="1">+VLOOKUP($A57,INDIRECT(Adrese!D$2),2,FALSE)</f>
        <v>44</v>
      </c>
      <c r="E57" s="12">
        <f ca="1">+VLOOKUP($A57,INDIRECT(Adrese!E$2),2,FALSE)</f>
        <v>58</v>
      </c>
      <c r="F57" s="12">
        <f ca="1">+VLOOKUP($A57,INDIRECT(Adrese!F$2),2,FALSE)</f>
        <v>56</v>
      </c>
      <c r="G57" s="5">
        <f t="shared" ca="1" si="21"/>
        <v>53.8</v>
      </c>
      <c r="H57" s="5">
        <f t="shared" ca="1" si="1"/>
        <v>5.5856960175075772</v>
      </c>
      <c r="J57" t="s">
        <v>119</v>
      </c>
      <c r="K57">
        <f ca="1">+VLOOKUP($A57,INDIRECT(Adrese!B$2),3,FALSE)</f>
        <v>69</v>
      </c>
      <c r="L57">
        <f ca="1">+VLOOKUP($A57,INDIRECT(Adrese!C$2),3,FALSE)</f>
        <v>71</v>
      </c>
      <c r="M57">
        <f ca="1">+VLOOKUP($A57,INDIRECT(Adrese!D$2),3,FALSE)</f>
        <v>69</v>
      </c>
      <c r="N57">
        <f ca="1">+VLOOKUP($A57,INDIRECT(Adrese!E$2),3,FALSE)</f>
        <v>70</v>
      </c>
      <c r="O57">
        <f ca="1">+VLOOKUP($A57,INDIRECT(Adrese!F$2),3,FALSE)</f>
        <v>69</v>
      </c>
      <c r="P57" s="5">
        <f t="shared" ca="1" si="22"/>
        <v>69.599999999999994</v>
      </c>
      <c r="Q57" s="5">
        <f t="shared" ca="1" si="3"/>
        <v>0.89442719099991586</v>
      </c>
      <c r="T57" t="s">
        <v>119</v>
      </c>
      <c r="U57">
        <f ca="1">+VLOOKUP($T57,INDIRECT(Adrese!B$2),4,FALSE)</f>
        <v>120318</v>
      </c>
      <c r="V57">
        <f ca="1">+VLOOKUP($T57,INDIRECT(Adrese!C$2),4,FALSE)</f>
        <v>120182</v>
      </c>
      <c r="W57">
        <f ca="1">+VLOOKUP($T57,INDIRECT(Adrese!D$2),4,FALSE)</f>
        <v>120725</v>
      </c>
      <c r="X57">
        <f ca="1">+VLOOKUP($T57,INDIRECT(Adrese!E$2),4,FALSE)</f>
        <v>119930</v>
      </c>
      <c r="Y57">
        <f ca="1">+VLOOKUP($T57,INDIRECT(Adrese!F$2),4,FALSE)</f>
        <v>119750</v>
      </c>
      <c r="Z57">
        <f t="shared" ca="1" si="4"/>
        <v>600905</v>
      </c>
      <c r="AA57" s="5">
        <f t="shared" ca="1" si="23"/>
        <v>120181</v>
      </c>
      <c r="AB57" s="5">
        <f t="shared" ca="1" si="6"/>
        <v>375.3225279676135</v>
      </c>
      <c r="AD57" t="s">
        <v>119</v>
      </c>
      <c r="AE57">
        <f ca="1">+VLOOKUP($A57,INDIRECT(Adrese!B$2),5,FALSE)</f>
        <v>25782</v>
      </c>
      <c r="AF57">
        <f ca="1">+VLOOKUP($A57,INDIRECT(Adrese!C$2),5,FALSE)</f>
        <v>25586</v>
      </c>
      <c r="AG57">
        <f ca="1">+VLOOKUP($A57,INDIRECT(Adrese!D$2),5,FALSE)</f>
        <v>25934</v>
      </c>
      <c r="AH57">
        <f ca="1">+VLOOKUP($A57,INDIRECT(Adrese!E$2),5,FALSE)</f>
        <v>25735</v>
      </c>
      <c r="AI57">
        <f ca="1">+VLOOKUP($A57,INDIRECT(Adrese!F$2),5,FALSE)</f>
        <v>25757</v>
      </c>
      <c r="AJ57" s="5">
        <f t="shared" ca="1" si="24"/>
        <v>25758.799999999999</v>
      </c>
      <c r="AK57" s="5">
        <f t="shared" ca="1" si="8"/>
        <v>124.15997744845156</v>
      </c>
      <c r="AM57" t="s">
        <v>119</v>
      </c>
      <c r="AN57" s="5">
        <f ca="1">+VLOOKUP($A57,INDIRECT(Adrese!B$2),6,FALSE)</f>
        <v>0.5659734513274336</v>
      </c>
      <c r="AO57" s="5">
        <f ca="1">+VLOOKUP($A57,INDIRECT(Adrese!C$2),6,FALSE)</f>
        <v>0.56163716799999996</v>
      </c>
      <c r="AP57" s="5">
        <f ca="1">+VLOOKUP($A57,INDIRECT(Adrese!D$2),6,FALSE)</f>
        <v>0.56933628300000005</v>
      </c>
      <c r="AQ57" s="5">
        <f ca="1">+VLOOKUP($A57,INDIRECT(Adrese!E$2),6,FALSE)</f>
        <v>0.56493362800000002</v>
      </c>
      <c r="AR57" s="5">
        <f ca="1">+VLOOKUP($A57,INDIRECT(Adrese!F$2),6,FALSE)</f>
        <v>0.56542035400000001</v>
      </c>
      <c r="AS57" s="5" t="str">
        <f t="shared" ca="1" si="9"/>
        <v>0.57 (0.00)</v>
      </c>
      <c r="AT57" s="5">
        <f t="shared" ca="1" si="25"/>
        <v>0.56546017686548677</v>
      </c>
      <c r="AU57" s="5">
        <f t="shared" ca="1" si="11"/>
        <v>2.7469021548487118E-3</v>
      </c>
      <c r="AW57" t="s">
        <v>119</v>
      </c>
      <c r="AX57" s="5">
        <f ca="1">+VLOOKUP($A57,INDIRECT(Adrese!B$2),7,FALSE)</f>
        <v>0.69469026548672563</v>
      </c>
      <c r="AY57" s="5">
        <f ca="1">+VLOOKUP($A57,INDIRECT(Adrese!C$2),7,FALSE)</f>
        <v>0.68584070799999997</v>
      </c>
      <c r="AZ57" s="5">
        <f ca="1">+VLOOKUP($A57,INDIRECT(Adrese!D$2),7,FALSE)</f>
        <v>0.69469026499999997</v>
      </c>
      <c r="BA57" s="5">
        <f ca="1">+VLOOKUP($A57,INDIRECT(Adrese!E$2),7,FALSE)</f>
        <v>0.69026548700000001</v>
      </c>
      <c r="BB57" s="5">
        <f ca="1">+VLOOKUP($A57,INDIRECT(Adrese!F$2),7,FALSE)</f>
        <v>0.69469026499999997</v>
      </c>
      <c r="BC57" s="5" t="str">
        <f t="shared" ca="1" si="12"/>
        <v>0.69 (0.00)</v>
      </c>
      <c r="BD57">
        <f t="shared" ca="1" si="26"/>
        <v>0.69203539809734504</v>
      </c>
      <c r="BE57" s="5">
        <f t="shared" ca="1" si="14"/>
        <v>3.9576422302765044E-3</v>
      </c>
      <c r="BG57" t="s">
        <v>119</v>
      </c>
      <c r="BH57" s="5">
        <f ca="1">+VLOOKUP($BG57,INDIRECT(Adrese!B$2),8,FALSE)</f>
        <v>6.1362841663181462E-2</v>
      </c>
      <c r="BI57" s="5">
        <f ca="1">+VLOOKUP($BG57,INDIRECT(Adrese!C$2),8,FALSE)</f>
        <v>6.0989471000000003E-2</v>
      </c>
      <c r="BJ57" s="5">
        <f ca="1">+VLOOKUP($BG57,INDIRECT(Adrese!D$2),8,FALSE)</f>
        <v>6.1693746000000001E-2</v>
      </c>
      <c r="BK57" s="5">
        <f ca="1">+VLOOKUP($BG57,INDIRECT(Adrese!E$2),8,FALSE)</f>
        <v>6.1453380000000002E-2</v>
      </c>
      <c r="BL57" s="5">
        <f ca="1">+VLOOKUP($BG57,INDIRECT(Adrese!F$2),8,FALSE)</f>
        <v>6.1607939E-2</v>
      </c>
      <c r="BM57" s="5" t="str">
        <f t="shared" ca="1" si="15"/>
        <v>0.06 (0.00)</v>
      </c>
      <c r="BN57" s="5">
        <f t="shared" ca="1" si="27"/>
        <v>6.1421475532636292E-2</v>
      </c>
      <c r="BO57" s="5">
        <f t="shared" ca="1" si="17"/>
        <v>2.7385378122414853E-4</v>
      </c>
      <c r="BQ57" t="s">
        <v>119</v>
      </c>
      <c r="BR57" s="5">
        <f ca="1">+VLOOKUP($BG57,INDIRECT(Adrese!B$2),9,FALSE)</f>
        <v>6.7966611671334748E-2</v>
      </c>
      <c r="BS57" s="5">
        <f ca="1">+VLOOKUP($BG57,INDIRECT(Adrese!C$2),9,FALSE)</f>
        <v>6.7384131E-2</v>
      </c>
      <c r="BT57" s="5">
        <f ca="1">+VLOOKUP($BG57,INDIRECT(Adrese!D$2),9,FALSE)</f>
        <v>6.8374779999999996E-2</v>
      </c>
      <c r="BU57" s="5">
        <f ca="1">+VLOOKUP($BG57,INDIRECT(Adrese!E$2),9,FALSE)</f>
        <v>6.8347951000000004E-2</v>
      </c>
      <c r="BV57" s="5">
        <f ca="1">+VLOOKUP($BG57,INDIRECT(Adrese!F$2),9,FALSE)</f>
        <v>6.8783188999999995E-2</v>
      </c>
      <c r="BW57" s="5" t="str">
        <f t="shared" ca="1" si="18"/>
        <v>0.07 (0.00)</v>
      </c>
      <c r="BX57" s="5">
        <f t="shared" ca="1" si="28"/>
        <v>6.8171332534266951E-2</v>
      </c>
      <c r="BY57" s="5">
        <f t="shared" ca="1" si="20"/>
        <v>5.2643854714543253E-4</v>
      </c>
    </row>
    <row r="58" spans="1:77" x14ac:dyDescent="0.25">
      <c r="A58" t="s">
        <v>120</v>
      </c>
      <c r="B58" s="12">
        <f ca="1">+VLOOKUP($A58,INDIRECT(Adrese!B$2),2,FALSE)</f>
        <v>56</v>
      </c>
      <c r="C58" s="12">
        <f ca="1">+VLOOKUP($A58,INDIRECT(Adrese!C$2),2,FALSE)</f>
        <v>42</v>
      </c>
      <c r="D58" s="12">
        <f ca="1">+VLOOKUP($A58,INDIRECT(Adrese!D$2),2,FALSE)</f>
        <v>68</v>
      </c>
      <c r="E58" s="12">
        <f ca="1">+VLOOKUP($A58,INDIRECT(Adrese!E$2),2,FALSE)</f>
        <v>49</v>
      </c>
      <c r="F58" s="12">
        <f ca="1">+VLOOKUP($A58,INDIRECT(Adrese!F$2),2,FALSE)</f>
        <v>60</v>
      </c>
      <c r="G58" s="5">
        <f t="shared" ca="1" si="21"/>
        <v>55</v>
      </c>
      <c r="H58" s="5">
        <f t="shared" ca="1" si="1"/>
        <v>10</v>
      </c>
      <c r="J58" t="s">
        <v>120</v>
      </c>
      <c r="K58">
        <f ca="1">+VLOOKUP($A58,INDIRECT(Adrese!B$2),3,FALSE)</f>
        <v>17</v>
      </c>
      <c r="L58">
        <f ca="1">+VLOOKUP($A58,INDIRECT(Adrese!C$2),3,FALSE)</f>
        <v>16</v>
      </c>
      <c r="M58">
        <f ca="1">+VLOOKUP($A58,INDIRECT(Adrese!D$2),3,FALSE)</f>
        <v>17</v>
      </c>
      <c r="N58">
        <f ca="1">+VLOOKUP($A58,INDIRECT(Adrese!E$2),3,FALSE)</f>
        <v>16</v>
      </c>
      <c r="O58">
        <f ca="1">+VLOOKUP($A58,INDIRECT(Adrese!F$2),3,FALSE)</f>
        <v>19</v>
      </c>
      <c r="P58" s="5">
        <f t="shared" ca="1" si="22"/>
        <v>17</v>
      </c>
      <c r="Q58" s="5">
        <f t="shared" ca="1" si="3"/>
        <v>1.2247448713915889</v>
      </c>
      <c r="T58" t="s">
        <v>120</v>
      </c>
      <c r="U58">
        <f ca="1">+VLOOKUP($T58,INDIRECT(Adrese!B$2),4,FALSE)</f>
        <v>120143</v>
      </c>
      <c r="V58">
        <f ca="1">+VLOOKUP($T58,INDIRECT(Adrese!C$2),4,FALSE)</f>
        <v>121319</v>
      </c>
      <c r="W58">
        <f ca="1">+VLOOKUP($T58,INDIRECT(Adrese!D$2),4,FALSE)</f>
        <v>118956</v>
      </c>
      <c r="X58">
        <f ca="1">+VLOOKUP($T58,INDIRECT(Adrese!E$2),4,FALSE)</f>
        <v>120786</v>
      </c>
      <c r="Y58">
        <f ca="1">+VLOOKUP($T58,INDIRECT(Adrese!F$2),4,FALSE)</f>
        <v>119492</v>
      </c>
      <c r="Z58">
        <f t="shared" ca="1" si="4"/>
        <v>600696</v>
      </c>
      <c r="AA58" s="5">
        <f t="shared" ca="1" si="23"/>
        <v>120139.2</v>
      </c>
      <c r="AB58" s="5">
        <f t="shared" ca="1" si="6"/>
        <v>952.51283455919895</v>
      </c>
      <c r="AD58" t="s">
        <v>120</v>
      </c>
      <c r="AE58">
        <f ca="1">+VLOOKUP($A58,INDIRECT(Adrese!B$2),5,FALSE)</f>
        <v>39301</v>
      </c>
      <c r="AF58">
        <f ca="1">+VLOOKUP($A58,INDIRECT(Adrese!C$2),5,FALSE)</f>
        <v>39671</v>
      </c>
      <c r="AG58">
        <f ca="1">+VLOOKUP($A58,INDIRECT(Adrese!D$2),5,FALSE)</f>
        <v>38990</v>
      </c>
      <c r="AH58">
        <f ca="1">+VLOOKUP($A58,INDIRECT(Adrese!E$2),5,FALSE)</f>
        <v>39514</v>
      </c>
      <c r="AI58">
        <f ca="1">+VLOOKUP($A58,INDIRECT(Adrese!F$2),5,FALSE)</f>
        <v>39120</v>
      </c>
      <c r="AJ58" s="5">
        <f t="shared" ca="1" si="24"/>
        <v>39319.199999999997</v>
      </c>
      <c r="AK58" s="5">
        <f t="shared" ca="1" si="8"/>
        <v>278.43078134430465</v>
      </c>
      <c r="AM58" t="s">
        <v>120</v>
      </c>
      <c r="AN58" s="5">
        <f ca="1">+VLOOKUP($A58,INDIRECT(Adrese!B$2),6,FALSE)</f>
        <v>0.86506637168141598</v>
      </c>
      <c r="AO58" s="5">
        <f ca="1">+VLOOKUP($A58,INDIRECT(Adrese!C$2),6,FALSE)</f>
        <v>0.87325221200000003</v>
      </c>
      <c r="AP58" s="5">
        <f ca="1">+VLOOKUP($A58,INDIRECT(Adrese!D$2),6,FALSE)</f>
        <v>0.85818584099999995</v>
      </c>
      <c r="AQ58" s="5">
        <f ca="1">+VLOOKUP($A58,INDIRECT(Adrese!E$2),6,FALSE)</f>
        <v>0.86977876099999996</v>
      </c>
      <c r="AR58" s="5">
        <f ca="1">+VLOOKUP($A58,INDIRECT(Adrese!F$2),6,FALSE)</f>
        <v>0.86106194700000005</v>
      </c>
      <c r="AS58" s="5" t="str">
        <f t="shared" ca="1" si="9"/>
        <v>0.87 (0.01)</v>
      </c>
      <c r="AT58" s="5">
        <f t="shared" ca="1" si="25"/>
        <v>0.86546902653628321</v>
      </c>
      <c r="AU58" s="5">
        <f t="shared" ca="1" si="11"/>
        <v>6.1599728010268088E-3</v>
      </c>
      <c r="AW58" t="s">
        <v>120</v>
      </c>
      <c r="AX58" s="5">
        <f ca="1">+VLOOKUP($A58,INDIRECT(Adrese!B$2),7,FALSE)</f>
        <v>0.9247787610619469</v>
      </c>
      <c r="AY58" s="5">
        <f ca="1">+VLOOKUP($A58,INDIRECT(Adrese!C$2),7,FALSE)</f>
        <v>0.92920354000000005</v>
      </c>
      <c r="AZ58" s="5">
        <f ca="1">+VLOOKUP($A58,INDIRECT(Adrese!D$2),7,FALSE)</f>
        <v>0.924778761</v>
      </c>
      <c r="BA58" s="5">
        <f ca="1">+VLOOKUP($A58,INDIRECT(Adrese!E$2),7,FALSE)</f>
        <v>0.92920354000000005</v>
      </c>
      <c r="BB58" s="5">
        <f ca="1">+VLOOKUP($A58,INDIRECT(Adrese!F$2),7,FALSE)</f>
        <v>0.915929204</v>
      </c>
      <c r="BC58" s="5" t="str">
        <f t="shared" ca="1" si="12"/>
        <v>0.92 (0.01)</v>
      </c>
      <c r="BD58">
        <f t="shared" ca="1" si="26"/>
        <v>0.92477876121238933</v>
      </c>
      <c r="BE58" s="5">
        <f t="shared" ca="1" si="14"/>
        <v>5.4192249790429381E-3</v>
      </c>
      <c r="BG58" t="s">
        <v>120</v>
      </c>
      <c r="BH58" s="5">
        <f ca="1">+VLOOKUP($BG58,INDIRECT(Adrese!B$2),8,FALSE)</f>
        <v>8.3269850235614451E-2</v>
      </c>
      <c r="BI58" s="5">
        <f ca="1">+VLOOKUP($BG58,INDIRECT(Adrese!C$2),8,FALSE)</f>
        <v>8.3424388000000002E-2</v>
      </c>
      <c r="BJ58" s="5">
        <f ca="1">+VLOOKUP($BG58,INDIRECT(Adrese!D$2),8,FALSE)</f>
        <v>8.2859821E-2</v>
      </c>
      <c r="BK58" s="5">
        <f ca="1">+VLOOKUP($BG58,INDIRECT(Adrese!E$2),8,FALSE)</f>
        <v>8.3380912000000001E-2</v>
      </c>
      <c r="BL58" s="5">
        <f ca="1">+VLOOKUP($BG58,INDIRECT(Adrese!F$2),8,FALSE)</f>
        <v>8.2970195999999996E-2</v>
      </c>
      <c r="BM58" s="5" t="str">
        <f t="shared" ca="1" si="15"/>
        <v>0.08 (0.00)</v>
      </c>
      <c r="BN58" s="5">
        <f t="shared" ca="1" si="27"/>
        <v>8.3181033447122882E-2</v>
      </c>
      <c r="BO58" s="5">
        <f t="shared" ca="1" si="17"/>
        <v>2.5233467930518215E-4</v>
      </c>
      <c r="BQ58" t="s">
        <v>120</v>
      </c>
      <c r="BR58" s="5">
        <f ca="1">+VLOOKUP($BG58,INDIRECT(Adrese!B$2),9,FALSE)</f>
        <v>8.385876885796506E-2</v>
      </c>
      <c r="BS58" s="5">
        <f ca="1">+VLOOKUP($BG58,INDIRECT(Adrese!C$2),9,FALSE)</f>
        <v>8.2751661000000004E-2</v>
      </c>
      <c r="BT58" s="5">
        <f ca="1">+VLOOKUP($BG58,INDIRECT(Adrese!D$2),9,FALSE)</f>
        <v>8.3452835000000003E-2</v>
      </c>
      <c r="BU58" s="5">
        <f ca="1">+VLOOKUP($BG58,INDIRECT(Adrese!E$2),9,FALSE)</f>
        <v>8.3305694E-2</v>
      </c>
      <c r="BV58" s="5">
        <f ca="1">+VLOOKUP($BG58,INDIRECT(Adrese!F$2),9,FALSE)</f>
        <v>8.3114055000000006E-2</v>
      </c>
      <c r="BW58" s="5" t="str">
        <f t="shared" ca="1" si="18"/>
        <v>0.08 (0.00)</v>
      </c>
      <c r="BX58" s="5">
        <f t="shared" ca="1" si="28"/>
        <v>8.3296602771593009E-2</v>
      </c>
      <c r="BY58" s="5">
        <f t="shared" ca="1" si="20"/>
        <v>4.0951406924375801E-4</v>
      </c>
    </row>
    <row r="59" spans="1:77" x14ac:dyDescent="0.25">
      <c r="A59" t="s">
        <v>121</v>
      </c>
      <c r="B59" s="12">
        <f ca="1">+VLOOKUP($A59,INDIRECT(Adrese!B$2),2,FALSE)</f>
        <v>57</v>
      </c>
      <c r="C59" s="12">
        <f ca="1">+VLOOKUP($A59,INDIRECT(Adrese!C$2),2,FALSE)</f>
        <v>50</v>
      </c>
      <c r="D59" s="12">
        <f ca="1">+VLOOKUP($A59,INDIRECT(Adrese!D$2),2,FALSE)</f>
        <v>53</v>
      </c>
      <c r="E59" s="12">
        <f ca="1">+VLOOKUP($A59,INDIRECT(Adrese!E$2),2,FALSE)</f>
        <v>50</v>
      </c>
      <c r="F59" s="12">
        <f ca="1">+VLOOKUP($A59,INDIRECT(Adrese!F$2),2,FALSE)</f>
        <v>46</v>
      </c>
      <c r="G59" s="5">
        <f t="shared" ca="1" si="21"/>
        <v>51.2</v>
      </c>
      <c r="H59" s="5">
        <f t="shared" ca="1" si="1"/>
        <v>4.0865633483405102</v>
      </c>
      <c r="J59" t="s">
        <v>121</v>
      </c>
      <c r="K59">
        <f ca="1">+VLOOKUP($A59,INDIRECT(Adrese!B$2),3,FALSE)</f>
        <v>0</v>
      </c>
      <c r="L59">
        <f ca="1">+VLOOKUP($A59,INDIRECT(Adrese!C$2),3,FALSE)</f>
        <v>0</v>
      </c>
      <c r="M59">
        <f ca="1">+VLOOKUP($A59,INDIRECT(Adrese!D$2),3,FALSE)</f>
        <v>0</v>
      </c>
      <c r="N59">
        <f ca="1">+VLOOKUP($A59,INDIRECT(Adrese!E$2),3,FALSE)</f>
        <v>0</v>
      </c>
      <c r="O59">
        <f ca="1">+VLOOKUP($A59,INDIRECT(Adrese!F$2),3,FALSE)</f>
        <v>0</v>
      </c>
      <c r="P59" s="5">
        <f t="shared" ca="1" si="22"/>
        <v>0</v>
      </c>
      <c r="Q59" s="5">
        <f t="shared" ca="1" si="3"/>
        <v>0</v>
      </c>
      <c r="T59" t="s">
        <v>121</v>
      </c>
      <c r="U59">
        <f ca="1">+VLOOKUP($T59,INDIRECT(Adrese!B$2),4,FALSE)</f>
        <v>120140</v>
      </c>
      <c r="V59">
        <f ca="1">+VLOOKUP($T59,INDIRECT(Adrese!C$2),4,FALSE)</f>
        <v>120609</v>
      </c>
      <c r="W59">
        <f ca="1">+VLOOKUP($T59,INDIRECT(Adrese!D$2),4,FALSE)</f>
        <v>120059</v>
      </c>
      <c r="X59">
        <f ca="1">+VLOOKUP($T59,INDIRECT(Adrese!E$2),4,FALSE)</f>
        <v>120733</v>
      </c>
      <c r="Y59">
        <f ca="1">+VLOOKUP($T59,INDIRECT(Adrese!F$2),4,FALSE)</f>
        <v>120854</v>
      </c>
      <c r="Z59">
        <f t="shared" ca="1" si="4"/>
        <v>602395</v>
      </c>
      <c r="AA59" s="5">
        <f t="shared" ca="1" si="23"/>
        <v>120479</v>
      </c>
      <c r="AB59" s="5">
        <f t="shared" ca="1" si="6"/>
        <v>358.24642356902882</v>
      </c>
      <c r="AD59" t="s">
        <v>121</v>
      </c>
      <c r="AE59">
        <f ca="1">+VLOOKUP($A59,INDIRECT(Adrese!B$2),5,FALSE)</f>
        <v>40616</v>
      </c>
      <c r="AF59">
        <f ca="1">+VLOOKUP($A59,INDIRECT(Adrese!C$2),5,FALSE)</f>
        <v>40838</v>
      </c>
      <c r="AG59">
        <f ca="1">+VLOOKUP($A59,INDIRECT(Adrese!D$2),5,FALSE)</f>
        <v>40608</v>
      </c>
      <c r="AH59">
        <f ca="1">+VLOOKUP($A59,INDIRECT(Adrese!E$2),5,FALSE)</f>
        <v>40786</v>
      </c>
      <c r="AI59">
        <f ca="1">+VLOOKUP($A59,INDIRECT(Adrese!F$2),5,FALSE)</f>
        <v>40780</v>
      </c>
      <c r="AJ59" s="5">
        <f t="shared" ca="1" si="24"/>
        <v>40725.599999999999</v>
      </c>
      <c r="AK59" s="5">
        <f t="shared" ca="1" si="8"/>
        <v>106.16402403827767</v>
      </c>
      <c r="AM59" t="s">
        <v>121</v>
      </c>
      <c r="AN59" s="5">
        <f ca="1">+VLOOKUP($A59,INDIRECT(Adrese!B$2),6,FALSE)</f>
        <v>0.89415929203539823</v>
      </c>
      <c r="AO59" s="5">
        <f ca="1">+VLOOKUP($A59,INDIRECT(Adrese!C$2),6,FALSE)</f>
        <v>0.89907079599999995</v>
      </c>
      <c r="AP59" s="5">
        <f ca="1">+VLOOKUP($A59,INDIRECT(Adrese!D$2),6,FALSE)</f>
        <v>0.89398230099999998</v>
      </c>
      <c r="AQ59" s="5">
        <f ca="1">+VLOOKUP($A59,INDIRECT(Adrese!E$2),6,FALSE)</f>
        <v>0.89792035400000003</v>
      </c>
      <c r="AR59" s="5">
        <f ca="1">+VLOOKUP($A59,INDIRECT(Adrese!F$2),6,FALSE)</f>
        <v>0.89778761100000004</v>
      </c>
      <c r="AS59" s="5" t="str">
        <f t="shared" ca="1" si="9"/>
        <v>0.90 (0.00)</v>
      </c>
      <c r="AT59" s="5">
        <f t="shared" ca="1" si="25"/>
        <v>0.89658407080707969</v>
      </c>
      <c r="AU59" s="5">
        <f t="shared" ca="1" si="11"/>
        <v>2.3487614913709877E-3</v>
      </c>
      <c r="AW59" t="s">
        <v>121</v>
      </c>
      <c r="AX59" s="5">
        <f ca="1">+VLOOKUP($A59,INDIRECT(Adrese!B$2),7,FALSE)</f>
        <v>1</v>
      </c>
      <c r="AY59" s="5">
        <f ca="1">+VLOOKUP($A59,INDIRECT(Adrese!C$2),7,FALSE)</f>
        <v>1</v>
      </c>
      <c r="AZ59" s="5">
        <f ca="1">+VLOOKUP($A59,INDIRECT(Adrese!D$2),7,FALSE)</f>
        <v>1</v>
      </c>
      <c r="BA59" s="5">
        <f ca="1">+VLOOKUP($A59,INDIRECT(Adrese!E$2),7,FALSE)</f>
        <v>1</v>
      </c>
      <c r="BB59" s="5">
        <f ca="1">+VLOOKUP($A59,INDIRECT(Adrese!F$2),7,FALSE)</f>
        <v>1</v>
      </c>
      <c r="BC59" s="5" t="str">
        <f t="shared" ca="1" si="12"/>
        <v>1.00 (0.00)</v>
      </c>
      <c r="BD59">
        <f t="shared" ca="1" si="26"/>
        <v>1</v>
      </c>
      <c r="BE59" s="5">
        <f t="shared" ca="1" si="14"/>
        <v>0</v>
      </c>
      <c r="BG59" t="s">
        <v>121</v>
      </c>
      <c r="BH59" s="5">
        <f ca="1">+VLOOKUP($BG59,INDIRECT(Adrese!B$2),8,FALSE)</f>
        <v>8.5115299221253798E-2</v>
      </c>
      <c r="BI59" s="5">
        <f ca="1">+VLOOKUP($BG59,INDIRECT(Adrese!C$2),8,FALSE)</f>
        <v>8.5305540999999999E-2</v>
      </c>
      <c r="BJ59" s="5">
        <f ca="1">+VLOOKUP($BG59,INDIRECT(Adrese!D$2),8,FALSE)</f>
        <v>8.4975738999999995E-2</v>
      </c>
      <c r="BK59" s="5">
        <f ca="1">+VLOOKUP($BG59,INDIRECT(Adrese!E$2),8,FALSE)</f>
        <v>8.5253517000000001E-2</v>
      </c>
      <c r="BL59" s="5">
        <f ca="1">+VLOOKUP($BG59,INDIRECT(Adrese!F$2),8,FALSE)</f>
        <v>8.5366826000000007E-2</v>
      </c>
      <c r="BM59" s="5" t="str">
        <f t="shared" ca="1" si="15"/>
        <v>0.09 (0.00)</v>
      </c>
      <c r="BN59" s="5">
        <f t="shared" ca="1" si="27"/>
        <v>8.5203384444250768E-2</v>
      </c>
      <c r="BO59" s="5">
        <f t="shared" ca="1" si="17"/>
        <v>1.5751494530106102E-4</v>
      </c>
      <c r="BQ59" t="s">
        <v>121</v>
      </c>
      <c r="BR59" s="5">
        <f ca="1">+VLOOKUP($BG59,INDIRECT(Adrese!B$2),9,FALSE)</f>
        <v>8.4350178895035516E-2</v>
      </c>
      <c r="BS59" s="5">
        <f ca="1">+VLOOKUP($BG59,INDIRECT(Adrese!C$2),9,FALSE)</f>
        <v>8.4008347999999997E-2</v>
      </c>
      <c r="BT59" s="5">
        <f ca="1">+VLOOKUP($BG59,INDIRECT(Adrese!D$2),9,FALSE)</f>
        <v>8.3327535999999994E-2</v>
      </c>
      <c r="BU59" s="5">
        <f ca="1">+VLOOKUP($BG59,INDIRECT(Adrese!E$2),9,FALSE)</f>
        <v>8.3995007999999996E-2</v>
      </c>
      <c r="BV59" s="5">
        <f ca="1">+VLOOKUP($BG59,INDIRECT(Adrese!F$2),9,FALSE)</f>
        <v>8.4080721999999997E-2</v>
      </c>
      <c r="BW59" s="5" t="str">
        <f t="shared" ca="1" si="18"/>
        <v>0.08 (0.00)</v>
      </c>
      <c r="BX59" s="5">
        <f t="shared" ca="1" si="28"/>
        <v>8.3952358579007097E-2</v>
      </c>
      <c r="BY59" s="5">
        <f t="shared" ca="1" si="20"/>
        <v>3.7752324938511699E-4</v>
      </c>
    </row>
    <row r="60" spans="1:77" x14ac:dyDescent="0.25">
      <c r="A60" t="s">
        <v>122</v>
      </c>
      <c r="B60" s="12">
        <f ca="1">+VLOOKUP($A60,INDIRECT(Adrese!B$2),2,FALSE)</f>
        <v>58</v>
      </c>
      <c r="C60" s="12">
        <f ca="1">+VLOOKUP($A60,INDIRECT(Adrese!C$2),2,FALSE)</f>
        <v>85</v>
      </c>
      <c r="D60" s="12">
        <f ca="1">+VLOOKUP($A60,INDIRECT(Adrese!D$2),2,FALSE)</f>
        <v>70</v>
      </c>
      <c r="E60" s="12">
        <f ca="1">+VLOOKUP($A60,INDIRECT(Adrese!E$2),2,FALSE)</f>
        <v>74</v>
      </c>
      <c r="F60" s="12">
        <f ca="1">+VLOOKUP($A60,INDIRECT(Adrese!F$2),2,FALSE)</f>
        <v>93</v>
      </c>
      <c r="G60" s="5">
        <f t="shared" ca="1" si="21"/>
        <v>76</v>
      </c>
      <c r="H60" s="5">
        <f t="shared" ca="1" si="1"/>
        <v>13.546217184144066</v>
      </c>
      <c r="J60" t="s">
        <v>122</v>
      </c>
      <c r="K60">
        <f ca="1">+VLOOKUP($A60,INDIRECT(Adrese!B$2),3,FALSE)</f>
        <v>46</v>
      </c>
      <c r="L60">
        <f ca="1">+VLOOKUP($A60,INDIRECT(Adrese!C$2),3,FALSE)</f>
        <v>42</v>
      </c>
      <c r="M60">
        <f ca="1">+VLOOKUP($A60,INDIRECT(Adrese!D$2),3,FALSE)</f>
        <v>45</v>
      </c>
      <c r="N60">
        <f ca="1">+VLOOKUP($A60,INDIRECT(Adrese!E$2),3,FALSE)</f>
        <v>44</v>
      </c>
      <c r="O60">
        <f ca="1">+VLOOKUP($A60,INDIRECT(Adrese!F$2),3,FALSE)</f>
        <v>43</v>
      </c>
      <c r="P60" s="5">
        <f t="shared" ca="1" si="22"/>
        <v>44</v>
      </c>
      <c r="Q60" s="5">
        <f t="shared" ca="1" si="3"/>
        <v>1.5811388300841898</v>
      </c>
      <c r="T60" t="s">
        <v>122</v>
      </c>
      <c r="U60">
        <f ca="1">+VLOOKUP($T60,INDIRECT(Adrese!B$2),4,FALSE)</f>
        <v>119696</v>
      </c>
      <c r="V60">
        <f ca="1">+VLOOKUP($T60,INDIRECT(Adrese!C$2),4,FALSE)</f>
        <v>117825</v>
      </c>
      <c r="W60">
        <f ca="1">+VLOOKUP($T60,INDIRECT(Adrese!D$2),4,FALSE)</f>
        <v>118915</v>
      </c>
      <c r="X60">
        <f ca="1">+VLOOKUP($T60,INDIRECT(Adrese!E$2),4,FALSE)</f>
        <v>118460</v>
      </c>
      <c r="Y60">
        <f ca="1">+VLOOKUP($T60,INDIRECT(Adrese!F$2),4,FALSE)</f>
        <v>117580</v>
      </c>
      <c r="Z60">
        <f t="shared" ca="1" si="4"/>
        <v>592476</v>
      </c>
      <c r="AA60" s="5">
        <f t="shared" ca="1" si="23"/>
        <v>118495.2</v>
      </c>
      <c r="AB60" s="5">
        <f t="shared" ca="1" si="6"/>
        <v>852.37180854366602</v>
      </c>
      <c r="AD60" t="s">
        <v>122</v>
      </c>
      <c r="AE60">
        <f ca="1">+VLOOKUP($A60,INDIRECT(Adrese!B$2),5,FALSE)</f>
        <v>34096</v>
      </c>
      <c r="AF60">
        <f ca="1">+VLOOKUP($A60,INDIRECT(Adrese!C$2),5,FALSE)</f>
        <v>34309</v>
      </c>
      <c r="AG60">
        <f ca="1">+VLOOKUP($A60,INDIRECT(Adrese!D$2),5,FALSE)</f>
        <v>34121</v>
      </c>
      <c r="AH60">
        <f ca="1">+VLOOKUP($A60,INDIRECT(Adrese!E$2),5,FALSE)</f>
        <v>34089</v>
      </c>
      <c r="AI60">
        <f ca="1">+VLOOKUP($A60,INDIRECT(Adrese!F$2),5,FALSE)</f>
        <v>34689</v>
      </c>
      <c r="AJ60" s="5">
        <f t="shared" ca="1" si="24"/>
        <v>34260.800000000003</v>
      </c>
      <c r="AK60" s="5">
        <f t="shared" ca="1" si="8"/>
        <v>255.87926840601995</v>
      </c>
      <c r="AM60" t="s">
        <v>122</v>
      </c>
      <c r="AN60" s="5">
        <f ca="1">+VLOOKUP($A60,INDIRECT(Adrese!B$2),6,FALSE)</f>
        <v>0.74991150442477872</v>
      </c>
      <c r="AO60" s="5">
        <f ca="1">+VLOOKUP($A60,INDIRECT(Adrese!C$2),6,FALSE)</f>
        <v>0.75462389399999996</v>
      </c>
      <c r="AP60" s="5">
        <f ca="1">+VLOOKUP($A60,INDIRECT(Adrese!D$2),6,FALSE)</f>
        <v>0.75046460199999998</v>
      </c>
      <c r="AQ60" s="5">
        <f ca="1">+VLOOKUP($A60,INDIRECT(Adrese!E$2),6,FALSE)</f>
        <v>0.74975663699999995</v>
      </c>
      <c r="AR60" s="5">
        <f ca="1">+VLOOKUP($A60,INDIRECT(Adrese!F$2),6,FALSE)</f>
        <v>0.763030973</v>
      </c>
      <c r="AS60" s="5" t="str">
        <f t="shared" ca="1" si="9"/>
        <v>0.75 (0.01)</v>
      </c>
      <c r="AT60" s="5">
        <f t="shared" ca="1" si="25"/>
        <v>0.75355752208495574</v>
      </c>
      <c r="AU60" s="5">
        <f t="shared" ca="1" si="11"/>
        <v>5.6610455783413565E-3</v>
      </c>
      <c r="AW60" t="s">
        <v>122</v>
      </c>
      <c r="AX60" s="5">
        <f ca="1">+VLOOKUP($A60,INDIRECT(Adrese!B$2),7,FALSE)</f>
        <v>0.79646017699115046</v>
      </c>
      <c r="AY60" s="5">
        <f ca="1">+VLOOKUP($A60,INDIRECT(Adrese!C$2),7,FALSE)</f>
        <v>0.81415929200000003</v>
      </c>
      <c r="AZ60" s="5">
        <f ca="1">+VLOOKUP($A60,INDIRECT(Adrese!D$2),7,FALSE)</f>
        <v>0.80088495599999998</v>
      </c>
      <c r="BA60" s="5">
        <f ca="1">+VLOOKUP($A60,INDIRECT(Adrese!E$2),7,FALSE)</f>
        <v>0.80530973500000003</v>
      </c>
      <c r="BB60" s="5">
        <f ca="1">+VLOOKUP($A60,INDIRECT(Adrese!F$2),7,FALSE)</f>
        <v>0.80973451299999999</v>
      </c>
      <c r="BC60" s="5" t="str">
        <f t="shared" ca="1" si="12"/>
        <v>0.81 (0.01)</v>
      </c>
      <c r="BD60">
        <f t="shared" ca="1" si="26"/>
        <v>0.80530973459823019</v>
      </c>
      <c r="BE60" s="5">
        <f t="shared" ca="1" si="14"/>
        <v>6.9961894198979297E-3</v>
      </c>
      <c r="BG60" t="s">
        <v>122</v>
      </c>
      <c r="BH60" s="5">
        <f ca="1">+VLOOKUP($BG60,INDIRECT(Adrese!B$2),8,FALSE)</f>
        <v>7.2550083957557313E-2</v>
      </c>
      <c r="BI60" s="5">
        <f ca="1">+VLOOKUP($BG60,INDIRECT(Adrese!C$2),8,FALSE)</f>
        <v>7.2707171000000001E-2</v>
      </c>
      <c r="BJ60" s="5">
        <f ca="1">+VLOOKUP($BG60,INDIRECT(Adrese!D$2),8,FALSE)</f>
        <v>7.2594108000000004E-2</v>
      </c>
      <c r="BK60" s="5">
        <f ca="1">+VLOOKUP($BG60,INDIRECT(Adrese!E$2),8,FALSE)</f>
        <v>7.2307050999999997E-2</v>
      </c>
      <c r="BL60" s="5">
        <f ca="1">+VLOOKUP($BG60,INDIRECT(Adrese!F$2),8,FALSE)</f>
        <v>7.3541325000000005E-2</v>
      </c>
      <c r="BM60" s="5" t="str">
        <f t="shared" ca="1" si="15"/>
        <v>0.07 (0.00)</v>
      </c>
      <c r="BN60" s="5">
        <f t="shared" ca="1" si="27"/>
        <v>7.2739947791511467E-2</v>
      </c>
      <c r="BO60" s="5">
        <f t="shared" ca="1" si="17"/>
        <v>4.7116793733218673E-4</v>
      </c>
      <c r="BQ60" t="s">
        <v>122</v>
      </c>
      <c r="BR60" s="5">
        <f ca="1">+VLOOKUP($BG60,INDIRECT(Adrese!B$2),9,FALSE)</f>
        <v>6.908340536435463E-2</v>
      </c>
      <c r="BS60" s="5">
        <f ca="1">+VLOOKUP($BG60,INDIRECT(Adrese!C$2),9,FALSE)</f>
        <v>6.8547035000000006E-2</v>
      </c>
      <c r="BT60" s="5">
        <f ca="1">+VLOOKUP($BG60,INDIRECT(Adrese!D$2),9,FALSE)</f>
        <v>6.8873895000000004E-2</v>
      </c>
      <c r="BU60" s="5">
        <f ca="1">+VLOOKUP($BG60,INDIRECT(Adrese!E$2),9,FALSE)</f>
        <v>6.8291692000000001E-2</v>
      </c>
      <c r="BV60" s="5">
        <f ca="1">+VLOOKUP($BG60,INDIRECT(Adrese!F$2),9,FALSE)</f>
        <v>6.9563766999999999E-2</v>
      </c>
      <c r="BW60" s="5" t="str">
        <f t="shared" ca="1" si="18"/>
        <v>0.07 (0.00)</v>
      </c>
      <c r="BX60" s="5">
        <f t="shared" ca="1" si="28"/>
        <v>6.8871958872870925E-2</v>
      </c>
      <c r="BY60" s="5">
        <f t="shared" ca="1" si="20"/>
        <v>4.9132398145818794E-4</v>
      </c>
    </row>
    <row r="61" spans="1:77" x14ac:dyDescent="0.25">
      <c r="A61" t="s">
        <v>123</v>
      </c>
      <c r="B61" s="12">
        <f ca="1">+VLOOKUP($A61,INDIRECT(Adrese!B$2),2,FALSE)</f>
        <v>59</v>
      </c>
      <c r="C61" s="12">
        <f ca="1">+VLOOKUP($A61,INDIRECT(Adrese!C$2),2,FALSE)</f>
        <v>68</v>
      </c>
      <c r="D61" s="12">
        <f ca="1">+VLOOKUP($A61,INDIRECT(Adrese!D$2),2,FALSE)</f>
        <v>73</v>
      </c>
      <c r="E61" s="12">
        <f ca="1">+VLOOKUP($A61,INDIRECT(Adrese!E$2),2,FALSE)</f>
        <v>64</v>
      </c>
      <c r="F61" s="12">
        <f ca="1">+VLOOKUP($A61,INDIRECT(Adrese!F$2),2,FALSE)</f>
        <v>71</v>
      </c>
      <c r="G61" s="5">
        <f t="shared" ca="1" si="21"/>
        <v>67</v>
      </c>
      <c r="H61" s="5">
        <f t="shared" ca="1" si="1"/>
        <v>5.6124860801609122</v>
      </c>
      <c r="J61" t="s">
        <v>123</v>
      </c>
      <c r="K61">
        <f ca="1">+VLOOKUP($A61,INDIRECT(Adrese!B$2),3,FALSE)</f>
        <v>0</v>
      </c>
      <c r="L61">
        <f ca="1">+VLOOKUP($A61,INDIRECT(Adrese!C$2),3,FALSE)</f>
        <v>0</v>
      </c>
      <c r="M61">
        <f ca="1">+VLOOKUP($A61,INDIRECT(Adrese!D$2),3,FALSE)</f>
        <v>0</v>
      </c>
      <c r="N61">
        <f ca="1">+VLOOKUP($A61,INDIRECT(Adrese!E$2),3,FALSE)</f>
        <v>0</v>
      </c>
      <c r="O61">
        <f ca="1">+VLOOKUP($A61,INDIRECT(Adrese!F$2),3,FALSE)</f>
        <v>0</v>
      </c>
      <c r="P61" s="5">
        <f t="shared" ca="1" si="22"/>
        <v>0</v>
      </c>
      <c r="Q61" s="5">
        <f t="shared" ca="1" si="3"/>
        <v>0</v>
      </c>
      <c r="T61" t="s">
        <v>123</v>
      </c>
      <c r="U61">
        <f ca="1">+VLOOKUP($T61,INDIRECT(Adrese!B$2),4,FALSE)</f>
        <v>119685</v>
      </c>
      <c r="V61">
        <f ca="1">+VLOOKUP($T61,INDIRECT(Adrese!C$2),4,FALSE)</f>
        <v>118936</v>
      </c>
      <c r="W61">
        <f ca="1">+VLOOKUP($T61,INDIRECT(Adrese!D$2),4,FALSE)</f>
        <v>118826</v>
      </c>
      <c r="X61">
        <f ca="1">+VLOOKUP($T61,INDIRECT(Adrese!E$2),4,FALSE)</f>
        <v>119164</v>
      </c>
      <c r="Y61">
        <f ca="1">+VLOOKUP($T61,INDIRECT(Adrese!F$2),4,FALSE)</f>
        <v>118604</v>
      </c>
      <c r="Z61">
        <f t="shared" ca="1" si="4"/>
        <v>595215</v>
      </c>
      <c r="AA61" s="5">
        <f t="shared" ca="1" si="23"/>
        <v>119043</v>
      </c>
      <c r="AB61" s="5">
        <f t="shared" ca="1" si="6"/>
        <v>411.72320799294278</v>
      </c>
      <c r="AD61" t="s">
        <v>123</v>
      </c>
      <c r="AE61">
        <f ca="1">+VLOOKUP($A61,INDIRECT(Adrese!B$2),5,FALSE)</f>
        <v>36124</v>
      </c>
      <c r="AF61">
        <f ca="1">+VLOOKUP($A61,INDIRECT(Adrese!C$2),5,FALSE)</f>
        <v>35731</v>
      </c>
      <c r="AG61">
        <f ca="1">+VLOOKUP($A61,INDIRECT(Adrese!D$2),5,FALSE)</f>
        <v>35690</v>
      </c>
      <c r="AH61">
        <f ca="1">+VLOOKUP($A61,INDIRECT(Adrese!E$2),5,FALSE)</f>
        <v>35846</v>
      </c>
      <c r="AI61">
        <f ca="1">+VLOOKUP($A61,INDIRECT(Adrese!F$2),5,FALSE)</f>
        <v>35604</v>
      </c>
      <c r="AJ61" s="5">
        <f t="shared" ca="1" si="24"/>
        <v>35799</v>
      </c>
      <c r="AK61" s="5">
        <f t="shared" ca="1" si="8"/>
        <v>201.47208243327412</v>
      </c>
      <c r="AM61" t="s">
        <v>123</v>
      </c>
      <c r="AN61" s="5">
        <f ca="1">+VLOOKUP($A61,INDIRECT(Adrese!B$2),6,FALSE)</f>
        <v>0.79477876106194689</v>
      </c>
      <c r="AO61" s="5">
        <f ca="1">+VLOOKUP($A61,INDIRECT(Adrese!C$2),6,FALSE)</f>
        <v>0.786084071</v>
      </c>
      <c r="AP61" s="5">
        <f ca="1">+VLOOKUP($A61,INDIRECT(Adrese!D$2),6,FALSE)</f>
        <v>0.78517699100000005</v>
      </c>
      <c r="AQ61" s="5">
        <f ca="1">+VLOOKUP($A61,INDIRECT(Adrese!E$2),6,FALSE)</f>
        <v>0.78862831899999997</v>
      </c>
      <c r="AR61" s="5">
        <f ca="1">+VLOOKUP($A61,INDIRECT(Adrese!F$2),6,FALSE)</f>
        <v>0.78327433599999996</v>
      </c>
      <c r="AS61" s="5" t="str">
        <f t="shared" ca="1" si="9"/>
        <v>0.79 (0.00)</v>
      </c>
      <c r="AT61" s="5">
        <f t="shared" ca="1" si="25"/>
        <v>0.78758849561238931</v>
      </c>
      <c r="AU61" s="5">
        <f t="shared" ca="1" si="11"/>
        <v>4.4573470524414084E-3</v>
      </c>
      <c r="AW61" t="s">
        <v>123</v>
      </c>
      <c r="AX61" s="5">
        <f ca="1">+VLOOKUP($A61,INDIRECT(Adrese!B$2),7,FALSE)</f>
        <v>1</v>
      </c>
      <c r="AY61" s="5">
        <f ca="1">+VLOOKUP($A61,INDIRECT(Adrese!C$2),7,FALSE)</f>
        <v>1</v>
      </c>
      <c r="AZ61" s="5">
        <f ca="1">+VLOOKUP($A61,INDIRECT(Adrese!D$2),7,FALSE)</f>
        <v>1</v>
      </c>
      <c r="BA61" s="5">
        <f ca="1">+VLOOKUP($A61,INDIRECT(Adrese!E$2),7,FALSE)</f>
        <v>1</v>
      </c>
      <c r="BB61" s="5">
        <f ca="1">+VLOOKUP($A61,INDIRECT(Adrese!F$2),7,FALSE)</f>
        <v>1</v>
      </c>
      <c r="BC61" s="5" t="str">
        <f t="shared" ca="1" si="12"/>
        <v>1.00 (0.00)</v>
      </c>
      <c r="BD61">
        <f t="shared" ca="1" si="26"/>
        <v>1</v>
      </c>
      <c r="BE61" s="5">
        <f t="shared" ca="1" si="14"/>
        <v>0</v>
      </c>
      <c r="BG61" t="s">
        <v>123</v>
      </c>
      <c r="BH61" s="5">
        <f ca="1">+VLOOKUP($BG61,INDIRECT(Adrese!B$2),8,FALSE)</f>
        <v>8.0230001169066145E-2</v>
      </c>
      <c r="BI61" s="5">
        <f ca="1">+VLOOKUP($BG61,INDIRECT(Adrese!C$2),8,FALSE)</f>
        <v>7.9562946999999995E-2</v>
      </c>
      <c r="BJ61" s="5">
        <f ca="1">+VLOOKUP($BG61,INDIRECT(Adrese!D$2),8,FALSE)</f>
        <v>7.9637349999999996E-2</v>
      </c>
      <c r="BK61" s="5">
        <f ca="1">+VLOOKUP($BG61,INDIRECT(Adrese!E$2),8,FALSE)</f>
        <v>7.9814816999999996E-2</v>
      </c>
      <c r="BL61" s="5">
        <f ca="1">+VLOOKUP($BG61,INDIRECT(Adrese!F$2),8,FALSE)</f>
        <v>7.9639496000000004E-2</v>
      </c>
      <c r="BM61" s="5" t="str">
        <f t="shared" ca="1" si="15"/>
        <v>0.08 (0.00)</v>
      </c>
      <c r="BN61" s="5">
        <f t="shared" ca="1" si="27"/>
        <v>7.9776922233813233E-2</v>
      </c>
      <c r="BO61" s="5">
        <f t="shared" ca="1" si="17"/>
        <v>2.6966104360446523E-4</v>
      </c>
      <c r="BQ61" t="s">
        <v>123</v>
      </c>
      <c r="BR61" s="5">
        <f ca="1">+VLOOKUP($BG61,INDIRECT(Adrese!B$2),9,FALSE)</f>
        <v>8.8173838619412637E-2</v>
      </c>
      <c r="BS61" s="5">
        <f ca="1">+VLOOKUP($BG61,INDIRECT(Adrese!C$2),9,FALSE)</f>
        <v>8.7770873999999999E-2</v>
      </c>
      <c r="BT61" s="5">
        <f ca="1">+VLOOKUP($BG61,INDIRECT(Adrese!D$2),9,FALSE)</f>
        <v>8.7791445999999995E-2</v>
      </c>
      <c r="BU61" s="5">
        <f ca="1">+VLOOKUP($BG61,INDIRECT(Adrese!E$2),9,FALSE)</f>
        <v>8.8032901999999996E-2</v>
      </c>
      <c r="BV61" s="5">
        <f ca="1">+VLOOKUP($BG61,INDIRECT(Adrese!F$2),9,FALSE)</f>
        <v>8.8288965999999997E-2</v>
      </c>
      <c r="BW61" s="5" t="str">
        <f t="shared" ca="1" si="18"/>
        <v>0.09 (0.00)</v>
      </c>
      <c r="BX61" s="5">
        <f t="shared" ca="1" si="28"/>
        <v>8.8011605323882525E-2</v>
      </c>
      <c r="BY61" s="5">
        <f t="shared" ca="1" si="20"/>
        <v>2.2919633147107764E-4</v>
      </c>
    </row>
    <row r="62" spans="1:77" x14ac:dyDescent="0.25">
      <c r="A62" t="s">
        <v>124</v>
      </c>
      <c r="B62" s="12">
        <f ca="1">+VLOOKUP($A62,INDIRECT(Adrese!B$2),2,FALSE)</f>
        <v>60</v>
      </c>
      <c r="C62" s="12">
        <f ca="1">+VLOOKUP($A62,INDIRECT(Adrese!C$2),2,FALSE)</f>
        <v>55</v>
      </c>
      <c r="D62" s="12">
        <f ca="1">+VLOOKUP($A62,INDIRECT(Adrese!D$2),2,FALSE)</f>
        <v>43</v>
      </c>
      <c r="E62" s="12">
        <f ca="1">+VLOOKUP($A62,INDIRECT(Adrese!E$2),2,FALSE)</f>
        <v>55</v>
      </c>
      <c r="F62" s="12">
        <f ca="1">+VLOOKUP($A62,INDIRECT(Adrese!F$2),2,FALSE)</f>
        <v>69</v>
      </c>
      <c r="G62" s="5">
        <f t="shared" ca="1" si="21"/>
        <v>56.4</v>
      </c>
      <c r="H62" s="5">
        <f t="shared" ca="1" si="1"/>
        <v>9.4233751915118074</v>
      </c>
      <c r="J62" t="s">
        <v>124</v>
      </c>
      <c r="K62">
        <f ca="1">+VLOOKUP($A62,INDIRECT(Adrese!B$2),3,FALSE)</f>
        <v>8</v>
      </c>
      <c r="L62">
        <f ca="1">+VLOOKUP($A62,INDIRECT(Adrese!C$2),3,FALSE)</f>
        <v>4</v>
      </c>
      <c r="M62">
        <f ca="1">+VLOOKUP($A62,INDIRECT(Adrese!D$2),3,FALSE)</f>
        <v>7</v>
      </c>
      <c r="N62">
        <f ca="1">+VLOOKUP($A62,INDIRECT(Adrese!E$2),3,FALSE)</f>
        <v>5</v>
      </c>
      <c r="O62">
        <f ca="1">+VLOOKUP($A62,INDIRECT(Adrese!F$2),3,FALSE)</f>
        <v>5</v>
      </c>
      <c r="P62" s="5">
        <f t="shared" ca="1" si="22"/>
        <v>5.8</v>
      </c>
      <c r="Q62" s="5">
        <f t="shared" ca="1" si="3"/>
        <v>1.6431676725154991</v>
      </c>
      <c r="T62" t="s">
        <v>124</v>
      </c>
      <c r="U62">
        <f ca="1">+VLOOKUP($T62,INDIRECT(Adrese!B$2),4,FALSE)</f>
        <v>119523</v>
      </c>
      <c r="V62">
        <f ca="1">+VLOOKUP($T62,INDIRECT(Adrese!C$2),4,FALSE)</f>
        <v>120211</v>
      </c>
      <c r="W62">
        <f ca="1">+VLOOKUP($T62,INDIRECT(Adrese!D$2),4,FALSE)</f>
        <v>120776</v>
      </c>
      <c r="X62">
        <f ca="1">+VLOOKUP($T62,INDIRECT(Adrese!E$2),4,FALSE)</f>
        <v>120168</v>
      </c>
      <c r="Y62">
        <f ca="1">+VLOOKUP($T62,INDIRECT(Adrese!F$2),4,FALSE)</f>
        <v>118702</v>
      </c>
      <c r="Z62">
        <f t="shared" ca="1" si="4"/>
        <v>599380</v>
      </c>
      <c r="AA62" s="5">
        <f t="shared" ca="1" si="23"/>
        <v>119876</v>
      </c>
      <c r="AB62" s="5">
        <f t="shared" ca="1" si="6"/>
        <v>792.20799036616643</v>
      </c>
      <c r="AD62" t="s">
        <v>124</v>
      </c>
      <c r="AE62">
        <f ca="1">+VLOOKUP($A62,INDIRECT(Adrese!B$2),5,FALSE)</f>
        <v>39041</v>
      </c>
      <c r="AF62">
        <f ca="1">+VLOOKUP($A62,INDIRECT(Adrese!C$2),5,FALSE)</f>
        <v>39408</v>
      </c>
      <c r="AG62">
        <f ca="1">+VLOOKUP($A62,INDIRECT(Adrese!D$2),5,FALSE)</f>
        <v>39416</v>
      </c>
      <c r="AH62">
        <f ca="1">+VLOOKUP($A62,INDIRECT(Adrese!E$2),5,FALSE)</f>
        <v>39354</v>
      </c>
      <c r="AI62">
        <f ca="1">+VLOOKUP($A62,INDIRECT(Adrese!F$2),5,FALSE)</f>
        <v>38876</v>
      </c>
      <c r="AJ62" s="5">
        <f t="shared" ca="1" si="24"/>
        <v>39219</v>
      </c>
      <c r="AK62" s="5">
        <f t="shared" ca="1" si="8"/>
        <v>246.01219481968775</v>
      </c>
      <c r="AM62" t="s">
        <v>124</v>
      </c>
      <c r="AN62" s="5">
        <f ca="1">+VLOOKUP($A62,INDIRECT(Adrese!B$2),6,FALSE)</f>
        <v>0.85931415929203536</v>
      </c>
      <c r="AO62" s="5">
        <f ca="1">+VLOOKUP($A62,INDIRECT(Adrese!C$2),6,FALSE)</f>
        <v>0.86743362800000001</v>
      </c>
      <c r="AP62" s="5">
        <f ca="1">+VLOOKUP($A62,INDIRECT(Adrese!D$2),6,FALSE)</f>
        <v>0.86761061900000003</v>
      </c>
      <c r="AQ62" s="5">
        <f ca="1">+VLOOKUP($A62,INDIRECT(Adrese!E$2),6,FALSE)</f>
        <v>0.86623893799999996</v>
      </c>
      <c r="AR62" s="5">
        <f ca="1">+VLOOKUP($A62,INDIRECT(Adrese!F$2),6,FALSE)</f>
        <v>0.85566371699999999</v>
      </c>
      <c r="AS62" s="5" t="str">
        <f t="shared" ca="1" si="9"/>
        <v>0.86 (0.01)</v>
      </c>
      <c r="AT62" s="5">
        <f t="shared" ca="1" si="25"/>
        <v>0.86325221225840709</v>
      </c>
      <c r="AU62" s="5">
        <f t="shared" ca="1" si="11"/>
        <v>5.4427474458565847E-3</v>
      </c>
      <c r="AW62" t="s">
        <v>124</v>
      </c>
      <c r="AX62" s="5">
        <f ca="1">+VLOOKUP($A62,INDIRECT(Adrese!B$2),7,FALSE)</f>
        <v>0.96460176991150437</v>
      </c>
      <c r="AY62" s="5">
        <f ca="1">+VLOOKUP($A62,INDIRECT(Adrese!C$2),7,FALSE)</f>
        <v>0.98230088500000001</v>
      </c>
      <c r="AZ62" s="5">
        <f ca="1">+VLOOKUP($A62,INDIRECT(Adrese!D$2),7,FALSE)</f>
        <v>0.96902654899999996</v>
      </c>
      <c r="BA62" s="5">
        <f ca="1">+VLOOKUP($A62,INDIRECT(Adrese!E$2),7,FALSE)</f>
        <v>0.97787610599999997</v>
      </c>
      <c r="BB62" s="5">
        <f ca="1">+VLOOKUP($A62,INDIRECT(Adrese!F$2),7,FALSE)</f>
        <v>0.97787610599999997</v>
      </c>
      <c r="BC62" s="5" t="str">
        <f t="shared" ca="1" si="12"/>
        <v>0.97 (0.01)</v>
      </c>
      <c r="BD62">
        <f t="shared" ca="1" si="26"/>
        <v>0.97433628318230081</v>
      </c>
      <c r="BE62" s="5">
        <f t="shared" ca="1" si="14"/>
        <v>7.2706533231531312E-3</v>
      </c>
      <c r="BG62" t="s">
        <v>124</v>
      </c>
      <c r="BH62" s="5">
        <f ca="1">+VLOOKUP($BG62,INDIRECT(Adrese!B$2),8,FALSE)</f>
        <v>8.3089240171199702E-2</v>
      </c>
      <c r="BI62" s="5">
        <f ca="1">+VLOOKUP($BG62,INDIRECT(Adrese!C$2),8,FALSE)</f>
        <v>8.3697083000000005E-2</v>
      </c>
      <c r="BJ62" s="5">
        <f ca="1">+VLOOKUP($BG62,INDIRECT(Adrese!D$2),8,FALSE)</f>
        <v>8.3882382000000005E-2</v>
      </c>
      <c r="BK62" s="5">
        <f ca="1">+VLOOKUP($BG62,INDIRECT(Adrese!E$2),8,FALSE)</f>
        <v>8.3710576999999994E-2</v>
      </c>
      <c r="BL62" s="5">
        <f ca="1">+VLOOKUP($BG62,INDIRECT(Adrese!F$2),8,FALSE)</f>
        <v>8.3084361999999995E-2</v>
      </c>
      <c r="BM62" s="5" t="str">
        <f t="shared" ca="1" si="15"/>
        <v>0.08 (0.00)</v>
      </c>
      <c r="BN62" s="5">
        <f t="shared" ca="1" si="27"/>
        <v>8.3492728834239943E-2</v>
      </c>
      <c r="BO62" s="5">
        <f t="shared" ca="1" si="17"/>
        <v>3.7769518480002722E-4</v>
      </c>
      <c r="BQ62" t="s">
        <v>124</v>
      </c>
      <c r="BR62" s="5">
        <f ca="1">+VLOOKUP($BG62,INDIRECT(Adrese!B$2),9,FALSE)</f>
        <v>8.4376280054168362E-2</v>
      </c>
      <c r="BS62" s="5">
        <f ca="1">+VLOOKUP($BG62,INDIRECT(Adrese!C$2),9,FALSE)</f>
        <v>8.5327845999999999E-2</v>
      </c>
      <c r="BT62" s="5">
        <f ca="1">+VLOOKUP($BG62,INDIRECT(Adrese!D$2),9,FALSE)</f>
        <v>8.5578153000000004E-2</v>
      </c>
      <c r="BU62" s="5">
        <f ca="1">+VLOOKUP($BG62,INDIRECT(Adrese!E$2),9,FALSE)</f>
        <v>8.5801224999999995E-2</v>
      </c>
      <c r="BV62" s="5">
        <f ca="1">+VLOOKUP($BG62,INDIRECT(Adrese!F$2),9,FALSE)</f>
        <v>8.5232163E-2</v>
      </c>
      <c r="BW62" s="5" t="str">
        <f t="shared" ca="1" si="18"/>
        <v>0.09 (0.00)</v>
      </c>
      <c r="BX62" s="5">
        <f t="shared" ca="1" si="28"/>
        <v>8.5263133410833664E-2</v>
      </c>
      <c r="BY62" s="5">
        <f t="shared" ca="1" si="20"/>
        <v>5.4323928007426136E-4</v>
      </c>
    </row>
    <row r="63" spans="1:77" x14ac:dyDescent="0.25">
      <c r="A63" t="s">
        <v>125</v>
      </c>
      <c r="B63" s="12">
        <f ca="1">+VLOOKUP($A63,INDIRECT(Adrese!B$2),2,FALSE)</f>
        <v>61</v>
      </c>
      <c r="C63" s="12">
        <f ca="1">+VLOOKUP($A63,INDIRECT(Adrese!C$2),2,FALSE)</f>
        <v>67</v>
      </c>
      <c r="D63" s="12">
        <f ca="1">+VLOOKUP($A63,INDIRECT(Adrese!D$2),2,FALSE)</f>
        <v>60</v>
      </c>
      <c r="E63" s="12">
        <f ca="1">+VLOOKUP($A63,INDIRECT(Adrese!E$2),2,FALSE)</f>
        <v>79</v>
      </c>
      <c r="F63" s="12">
        <f ca="1">+VLOOKUP($A63,INDIRECT(Adrese!F$2),2,FALSE)</f>
        <v>62</v>
      </c>
      <c r="G63" s="5">
        <f t="shared" ca="1" si="21"/>
        <v>65.8</v>
      </c>
      <c r="H63" s="5">
        <f t="shared" ca="1" si="1"/>
        <v>7.8549347546621808</v>
      </c>
      <c r="J63" t="s">
        <v>125</v>
      </c>
      <c r="K63">
        <f ca="1">+VLOOKUP($A63,INDIRECT(Adrese!B$2),3,FALSE)</f>
        <v>0</v>
      </c>
      <c r="L63">
        <f ca="1">+VLOOKUP($A63,INDIRECT(Adrese!C$2),3,FALSE)</f>
        <v>0</v>
      </c>
      <c r="M63">
        <f ca="1">+VLOOKUP($A63,INDIRECT(Adrese!D$2),3,FALSE)</f>
        <v>0</v>
      </c>
      <c r="N63">
        <f ca="1">+VLOOKUP($A63,INDIRECT(Adrese!E$2),3,FALSE)</f>
        <v>0</v>
      </c>
      <c r="O63">
        <f ca="1">+VLOOKUP($A63,INDIRECT(Adrese!F$2),3,FALSE)</f>
        <v>0</v>
      </c>
      <c r="P63" s="5">
        <f t="shared" ca="1" si="22"/>
        <v>0</v>
      </c>
      <c r="Q63" s="5">
        <f t="shared" ca="1" si="3"/>
        <v>0</v>
      </c>
      <c r="T63" t="s">
        <v>125</v>
      </c>
      <c r="U63">
        <f ca="1">+VLOOKUP($T63,INDIRECT(Adrese!B$2),4,FALSE)</f>
        <v>119511</v>
      </c>
      <c r="V63">
        <f ca="1">+VLOOKUP($T63,INDIRECT(Adrese!C$2),4,FALSE)</f>
        <v>119106</v>
      </c>
      <c r="W63">
        <f ca="1">+VLOOKUP($T63,INDIRECT(Adrese!D$2),4,FALSE)</f>
        <v>119436</v>
      </c>
      <c r="X63">
        <f ca="1">+VLOOKUP($T63,INDIRECT(Adrese!E$2),4,FALSE)</f>
        <v>118364</v>
      </c>
      <c r="Y63">
        <f ca="1">+VLOOKUP($T63,INDIRECT(Adrese!F$2),4,FALSE)</f>
        <v>119415</v>
      </c>
      <c r="Z63">
        <f t="shared" ca="1" si="4"/>
        <v>595832</v>
      </c>
      <c r="AA63" s="5">
        <f t="shared" ca="1" si="23"/>
        <v>119166.39999999999</v>
      </c>
      <c r="AB63" s="5">
        <f t="shared" ca="1" si="6"/>
        <v>474.53377119020729</v>
      </c>
      <c r="AD63" t="s">
        <v>125</v>
      </c>
      <c r="AE63">
        <f ca="1">+VLOOKUP($A63,INDIRECT(Adrese!B$2),5,FALSE)</f>
        <v>36383</v>
      </c>
      <c r="AF63">
        <f ca="1">+VLOOKUP($A63,INDIRECT(Adrese!C$2),5,FALSE)</f>
        <v>36140</v>
      </c>
      <c r="AG63">
        <f ca="1">+VLOOKUP($A63,INDIRECT(Adrese!D$2),5,FALSE)</f>
        <v>36369</v>
      </c>
      <c r="AH63">
        <f ca="1">+VLOOKUP($A63,INDIRECT(Adrese!E$2),5,FALSE)</f>
        <v>35672</v>
      </c>
      <c r="AI63">
        <f ca="1">+VLOOKUP($A63,INDIRECT(Adrese!F$2),5,FALSE)</f>
        <v>36259</v>
      </c>
      <c r="AJ63" s="5">
        <f t="shared" ca="1" si="24"/>
        <v>36164.6</v>
      </c>
      <c r="AK63" s="5">
        <f t="shared" ca="1" si="8"/>
        <v>292.25382803309867</v>
      </c>
      <c r="AM63" t="s">
        <v>125</v>
      </c>
      <c r="AN63" s="5">
        <f ca="1">+VLOOKUP($A63,INDIRECT(Adrese!B$2),6,FALSE)</f>
        <v>0.80050884955752211</v>
      </c>
      <c r="AO63" s="5">
        <f ca="1">+VLOOKUP($A63,INDIRECT(Adrese!C$2),6,FALSE)</f>
        <v>0.79513274300000003</v>
      </c>
      <c r="AP63" s="5">
        <f ca="1">+VLOOKUP($A63,INDIRECT(Adrese!D$2),6,FALSE)</f>
        <v>0.80019911499999996</v>
      </c>
      <c r="AQ63" s="5">
        <f ca="1">+VLOOKUP($A63,INDIRECT(Adrese!E$2),6,FALSE)</f>
        <v>0.78477876099999999</v>
      </c>
      <c r="AR63" s="5">
        <f ca="1">+VLOOKUP($A63,INDIRECT(Adrese!F$2),6,FALSE)</f>
        <v>0.79776548700000005</v>
      </c>
      <c r="AS63" s="5" t="str">
        <f t="shared" ca="1" si="9"/>
        <v>0.80 (0.01)</v>
      </c>
      <c r="AT63" s="5">
        <f t="shared" ca="1" si="25"/>
        <v>0.79567699111150447</v>
      </c>
      <c r="AU63" s="5">
        <f t="shared" ca="1" si="11"/>
        <v>6.4657927037544199E-3</v>
      </c>
      <c r="AW63" t="s">
        <v>125</v>
      </c>
      <c r="AX63" s="5">
        <f ca="1">+VLOOKUP($A63,INDIRECT(Adrese!B$2),7,FALSE)</f>
        <v>1</v>
      </c>
      <c r="AY63" s="5">
        <f ca="1">+VLOOKUP($A63,INDIRECT(Adrese!C$2),7,FALSE)</f>
        <v>1</v>
      </c>
      <c r="AZ63" s="5">
        <f ca="1">+VLOOKUP($A63,INDIRECT(Adrese!D$2),7,FALSE)</f>
        <v>1</v>
      </c>
      <c r="BA63" s="5">
        <f ca="1">+VLOOKUP($A63,INDIRECT(Adrese!E$2),7,FALSE)</f>
        <v>1</v>
      </c>
      <c r="BB63" s="5">
        <f ca="1">+VLOOKUP($A63,INDIRECT(Adrese!F$2),7,FALSE)</f>
        <v>1</v>
      </c>
      <c r="BC63" s="5" t="str">
        <f t="shared" ca="1" si="12"/>
        <v>1.00 (0.00)</v>
      </c>
      <c r="BD63">
        <f t="shared" ca="1" si="26"/>
        <v>1</v>
      </c>
      <c r="BE63" s="5">
        <f t="shared" ca="1" si="14"/>
        <v>0</v>
      </c>
      <c r="BG63" t="s">
        <v>125</v>
      </c>
      <c r="BH63" s="5">
        <f ca="1">+VLOOKUP($BG63,INDIRECT(Adrese!B$2),8,FALSE)</f>
        <v>8.0620230479698171E-2</v>
      </c>
      <c r="BI63" s="5">
        <f ca="1">+VLOOKUP($BG63,INDIRECT(Adrese!C$2),8,FALSE)</f>
        <v>8.0355837999999999E-2</v>
      </c>
      <c r="BJ63" s="5">
        <f ca="1">+VLOOKUP($BG63,INDIRECT(Adrese!D$2),8,FALSE)</f>
        <v>8.0681448000000003E-2</v>
      </c>
      <c r="BK63" s="5">
        <f ca="1">+VLOOKUP($BG63,INDIRECT(Adrese!E$2),8,FALSE)</f>
        <v>7.9505724999999999E-2</v>
      </c>
      <c r="BL63" s="5">
        <f ca="1">+VLOOKUP($BG63,INDIRECT(Adrese!F$2),8,FALSE)</f>
        <v>8.0625230000000006E-2</v>
      </c>
      <c r="BM63" s="5" t="str">
        <f t="shared" ca="1" si="15"/>
        <v>0.08 (0.00)</v>
      </c>
      <c r="BN63" s="5">
        <f t="shared" ca="1" si="27"/>
        <v>8.0357694295939641E-2</v>
      </c>
      <c r="BO63" s="5">
        <f t="shared" ca="1" si="17"/>
        <v>4.9274034457330487E-4</v>
      </c>
      <c r="BQ63" t="s">
        <v>125</v>
      </c>
      <c r="BR63" s="5">
        <f ca="1">+VLOOKUP($BG63,INDIRECT(Adrese!B$2),9,FALSE)</f>
        <v>8.8355239796246279E-2</v>
      </c>
      <c r="BS63" s="5">
        <f ca="1">+VLOOKUP($BG63,INDIRECT(Adrese!C$2),9,FALSE)</f>
        <v>8.8597029999999993E-2</v>
      </c>
      <c r="BT63" s="5">
        <f ca="1">+VLOOKUP($BG63,INDIRECT(Adrese!D$2),9,FALSE)</f>
        <v>8.8448214999999997E-2</v>
      </c>
      <c r="BU63" s="5">
        <f ca="1">+VLOOKUP($BG63,INDIRECT(Adrese!E$2),9,FALSE)</f>
        <v>8.7706587000000003E-2</v>
      </c>
      <c r="BV63" s="5">
        <f ca="1">+VLOOKUP($BG63,INDIRECT(Adrese!F$2),9,FALSE)</f>
        <v>8.8793923999999996E-2</v>
      </c>
      <c r="BW63" s="5" t="str">
        <f t="shared" ca="1" si="18"/>
        <v>0.09 (0.00)</v>
      </c>
      <c r="BX63" s="5">
        <f t="shared" ca="1" si="28"/>
        <v>8.8380199159249259E-2</v>
      </c>
      <c r="BY63" s="5">
        <f t="shared" ca="1" si="20"/>
        <v>4.1145665714564735E-4</v>
      </c>
    </row>
    <row r="64" spans="1:77" x14ac:dyDescent="0.25">
      <c r="A64" t="s">
        <v>11</v>
      </c>
      <c r="B64" s="12">
        <f ca="1">+VLOOKUP($A64,INDIRECT(Adrese!B$2),2,FALSE)</f>
        <v>62</v>
      </c>
      <c r="C64" s="12">
        <f ca="1">+VLOOKUP($A64,INDIRECT(Adrese!C$2),2,FALSE)</f>
        <v>61</v>
      </c>
      <c r="D64" s="12">
        <f ca="1">+VLOOKUP($A64,INDIRECT(Adrese!D$2),2,FALSE)</f>
        <v>59</v>
      </c>
      <c r="E64" s="12">
        <f ca="1">+VLOOKUP($A64,INDIRECT(Adrese!E$2),2,FALSE)</f>
        <v>66</v>
      </c>
      <c r="F64" s="12">
        <f ca="1">+VLOOKUP($A64,INDIRECT(Adrese!F$2),2,FALSE)</f>
        <v>64</v>
      </c>
      <c r="G64" s="5">
        <f t="shared" ca="1" si="21"/>
        <v>62.4</v>
      </c>
      <c r="H64" s="5">
        <f t="shared" ca="1" si="1"/>
        <v>2.7018512172212592</v>
      </c>
      <c r="J64" t="s">
        <v>11</v>
      </c>
      <c r="K64">
        <f ca="1">+VLOOKUP($A64,INDIRECT(Adrese!B$2),3,FALSE)</f>
        <v>0</v>
      </c>
      <c r="L64">
        <f ca="1">+VLOOKUP($A64,INDIRECT(Adrese!C$2),3,FALSE)</f>
        <v>0</v>
      </c>
      <c r="M64">
        <f ca="1">+VLOOKUP($A64,INDIRECT(Adrese!D$2),3,FALSE)</f>
        <v>0</v>
      </c>
      <c r="N64">
        <f ca="1">+VLOOKUP($A64,INDIRECT(Adrese!E$2),3,FALSE)</f>
        <v>0</v>
      </c>
      <c r="O64">
        <f ca="1">+VLOOKUP($A64,INDIRECT(Adrese!F$2),3,FALSE)</f>
        <v>0</v>
      </c>
      <c r="P64" s="5">
        <f t="shared" ca="1" si="22"/>
        <v>0</v>
      </c>
      <c r="Q64" s="5">
        <f t="shared" ca="1" si="3"/>
        <v>0</v>
      </c>
      <c r="T64" t="s">
        <v>11</v>
      </c>
      <c r="U64">
        <f ca="1">+VLOOKUP($T64,INDIRECT(Adrese!B$2),4,FALSE)</f>
        <v>119383</v>
      </c>
      <c r="V64">
        <f ca="1">+VLOOKUP($T64,INDIRECT(Adrese!C$2),4,FALSE)</f>
        <v>119487</v>
      </c>
      <c r="W64">
        <f ca="1">+VLOOKUP($T64,INDIRECT(Adrese!D$2),4,FALSE)</f>
        <v>119473</v>
      </c>
      <c r="X64">
        <f ca="1">+VLOOKUP($T64,INDIRECT(Adrese!E$2),4,FALSE)</f>
        <v>119031</v>
      </c>
      <c r="Y64">
        <f ca="1">+VLOOKUP($T64,INDIRECT(Adrese!F$2),4,FALSE)</f>
        <v>119080</v>
      </c>
      <c r="Z64">
        <f t="shared" ca="1" si="4"/>
        <v>596454</v>
      </c>
      <c r="AA64" s="5">
        <f t="shared" ca="1" si="23"/>
        <v>119290.8</v>
      </c>
      <c r="AB64" s="5">
        <f t="shared" ca="1" si="6"/>
        <v>219.160215367662</v>
      </c>
      <c r="AD64" t="s">
        <v>11</v>
      </c>
      <c r="AE64">
        <f ca="1">+VLOOKUP($A64,INDIRECT(Adrese!B$2),5,FALSE)</f>
        <v>35905</v>
      </c>
      <c r="AF64">
        <f ca="1">+VLOOKUP($A64,INDIRECT(Adrese!C$2),5,FALSE)</f>
        <v>36023</v>
      </c>
      <c r="AG64">
        <f ca="1">+VLOOKUP($A64,INDIRECT(Adrese!D$2),5,FALSE)</f>
        <v>35962</v>
      </c>
      <c r="AH64">
        <f ca="1">+VLOOKUP($A64,INDIRECT(Adrese!E$2),5,FALSE)</f>
        <v>35754</v>
      </c>
      <c r="AI64">
        <f ca="1">+VLOOKUP($A64,INDIRECT(Adrese!F$2),5,FALSE)</f>
        <v>35787</v>
      </c>
      <c r="AJ64" s="5">
        <f t="shared" ca="1" si="24"/>
        <v>35886.199999999997</v>
      </c>
      <c r="AK64" s="5">
        <f t="shared" ca="1" si="8"/>
        <v>114.16085143340513</v>
      </c>
      <c r="AM64" t="s">
        <v>11</v>
      </c>
      <c r="AN64" s="5">
        <f ca="1">+VLOOKUP($A64,INDIRECT(Adrese!B$2),6,FALSE)</f>
        <v>0.78993362831858405</v>
      </c>
      <c r="AO64" s="5">
        <f ca="1">+VLOOKUP($A64,INDIRECT(Adrese!C$2),6,FALSE)</f>
        <v>0.79254424800000001</v>
      </c>
      <c r="AP64" s="5">
        <f ca="1">+VLOOKUP($A64,INDIRECT(Adrese!D$2),6,FALSE)</f>
        <v>0.79119468999999998</v>
      </c>
      <c r="AQ64" s="5">
        <f ca="1">+VLOOKUP($A64,INDIRECT(Adrese!E$2),6,FALSE)</f>
        <v>0.78659292000000003</v>
      </c>
      <c r="AR64" s="5">
        <f ca="1">+VLOOKUP($A64,INDIRECT(Adrese!F$2),6,FALSE)</f>
        <v>0.78732300899999996</v>
      </c>
      <c r="AS64" s="5" t="str">
        <f t="shared" ca="1" si="9"/>
        <v>0.79 (0.00)</v>
      </c>
      <c r="AT64" s="5">
        <f t="shared" ca="1" si="25"/>
        <v>0.78951769906371683</v>
      </c>
      <c r="AU64" s="5">
        <f t="shared" ca="1" si="11"/>
        <v>2.5256826431917733E-3</v>
      </c>
      <c r="AW64" t="s">
        <v>11</v>
      </c>
      <c r="AX64" s="5">
        <f ca="1">+VLOOKUP($A64,INDIRECT(Adrese!B$2),7,FALSE)</f>
        <v>1</v>
      </c>
      <c r="AY64" s="5">
        <f ca="1">+VLOOKUP($A64,INDIRECT(Adrese!C$2),7,FALSE)</f>
        <v>1</v>
      </c>
      <c r="AZ64" s="5">
        <f ca="1">+VLOOKUP($A64,INDIRECT(Adrese!D$2),7,FALSE)</f>
        <v>1</v>
      </c>
      <c r="BA64" s="5">
        <f ca="1">+VLOOKUP($A64,INDIRECT(Adrese!E$2),7,FALSE)</f>
        <v>1</v>
      </c>
      <c r="BB64" s="5">
        <f ca="1">+VLOOKUP($A64,INDIRECT(Adrese!F$2),7,FALSE)</f>
        <v>1</v>
      </c>
      <c r="BC64" s="5" t="str">
        <f t="shared" ca="1" si="12"/>
        <v>1.00 (0.00)</v>
      </c>
      <c r="BD64">
        <f t="shared" ca="1" si="26"/>
        <v>1</v>
      </c>
      <c r="BE64" s="5">
        <f t="shared" ca="1" si="14"/>
        <v>0</v>
      </c>
      <c r="BG64" t="s">
        <v>11</v>
      </c>
      <c r="BH64" s="5">
        <f ca="1">+VLOOKUP($BG64,INDIRECT(Adrese!B$2),8,FALSE)</f>
        <v>7.9823051144479754E-2</v>
      </c>
      <c r="BI64" s="5">
        <f ca="1">+VLOOKUP($BG64,INDIRECT(Adrese!C$2),8,FALSE)</f>
        <v>8.0054724999999993E-2</v>
      </c>
      <c r="BJ64" s="5">
        <f ca="1">+VLOOKUP($BG64,INDIRECT(Adrese!D$2),8,FALSE)</f>
        <v>7.9946059999999999E-2</v>
      </c>
      <c r="BK64" s="5">
        <f ca="1">+VLOOKUP($BG64,INDIRECT(Adrese!E$2),8,FALSE)</f>
        <v>7.9558057000000001E-2</v>
      </c>
      <c r="BL64" s="5">
        <f ca="1">+VLOOKUP($BG64,INDIRECT(Adrese!F$2),8,FALSE)</f>
        <v>7.9834081000000001E-2</v>
      </c>
      <c r="BM64" s="5" t="str">
        <f t="shared" ca="1" si="15"/>
        <v>0.08 (0.00)</v>
      </c>
      <c r="BN64" s="5">
        <f t="shared" ca="1" si="27"/>
        <v>7.9843194828895944E-2</v>
      </c>
      <c r="BO64" s="5">
        <f t="shared" ca="1" si="17"/>
        <v>1.8514768975068951E-4</v>
      </c>
      <c r="BQ64" t="s">
        <v>11</v>
      </c>
      <c r="BR64" s="5">
        <f ca="1">+VLOOKUP($BG64,INDIRECT(Adrese!B$2),9,FALSE)</f>
        <v>8.7587688017080459E-2</v>
      </c>
      <c r="BS64" s="5">
        <f ca="1">+VLOOKUP($BG64,INDIRECT(Adrese!C$2),9,FALSE)</f>
        <v>8.8042033000000006E-2</v>
      </c>
      <c r="BT64" s="5">
        <f ca="1">+VLOOKUP($BG64,INDIRECT(Adrese!D$2),9,FALSE)</f>
        <v>8.7522834999999993E-2</v>
      </c>
      <c r="BU64" s="5">
        <f ca="1">+VLOOKUP($BG64,INDIRECT(Adrese!E$2),9,FALSE)</f>
        <v>8.7502172000000003E-2</v>
      </c>
      <c r="BV64" s="5">
        <f ca="1">+VLOOKUP($BG64,INDIRECT(Adrese!F$2),9,FALSE)</f>
        <v>8.7967170999999997E-2</v>
      </c>
      <c r="BW64" s="5" t="str">
        <f t="shared" ca="1" si="18"/>
        <v>0.09 (0.00)</v>
      </c>
      <c r="BX64" s="5">
        <f t="shared" ca="1" si="28"/>
        <v>8.7724379803416089E-2</v>
      </c>
      <c r="BY64" s="5">
        <f t="shared" ca="1" si="20"/>
        <v>2.5910054929181755E-4</v>
      </c>
    </row>
    <row r="65" spans="1:77" x14ac:dyDescent="0.25">
      <c r="A65" t="s">
        <v>126</v>
      </c>
      <c r="B65" s="12">
        <f ca="1">+VLOOKUP($A65,INDIRECT(Adrese!B$2),2,FALSE)</f>
        <v>63</v>
      </c>
      <c r="C65" s="12">
        <f ca="1">+VLOOKUP($A65,INDIRECT(Adrese!C$2),2,FALSE)</f>
        <v>62</v>
      </c>
      <c r="D65" s="12">
        <f ca="1">+VLOOKUP($A65,INDIRECT(Adrese!D$2),2,FALSE)</f>
        <v>76</v>
      </c>
      <c r="E65" s="12">
        <f ca="1">+VLOOKUP($A65,INDIRECT(Adrese!E$2),2,FALSE)</f>
        <v>75</v>
      </c>
      <c r="F65" s="12">
        <f ca="1">+VLOOKUP($A65,INDIRECT(Adrese!F$2),2,FALSE)</f>
        <v>54</v>
      </c>
      <c r="G65" s="5">
        <f t="shared" ca="1" si="21"/>
        <v>66</v>
      </c>
      <c r="H65" s="5">
        <f t="shared" ca="1" si="1"/>
        <v>9.354143466934854</v>
      </c>
      <c r="J65" t="s">
        <v>126</v>
      </c>
      <c r="K65">
        <f ca="1">+VLOOKUP($A65,INDIRECT(Adrese!B$2),3,FALSE)</f>
        <v>33</v>
      </c>
      <c r="L65">
        <f ca="1">+VLOOKUP($A65,INDIRECT(Adrese!C$2),3,FALSE)</f>
        <v>32</v>
      </c>
      <c r="M65">
        <f ca="1">+VLOOKUP($A65,INDIRECT(Adrese!D$2),3,FALSE)</f>
        <v>30</v>
      </c>
      <c r="N65">
        <f ca="1">+VLOOKUP($A65,INDIRECT(Adrese!E$2),3,FALSE)</f>
        <v>30</v>
      </c>
      <c r="O65">
        <f ca="1">+VLOOKUP($A65,INDIRECT(Adrese!F$2),3,FALSE)</f>
        <v>29</v>
      </c>
      <c r="P65" s="5">
        <f t="shared" ca="1" si="22"/>
        <v>30.8</v>
      </c>
      <c r="Q65" s="5">
        <f t="shared" ca="1" si="3"/>
        <v>1.6431676725154984</v>
      </c>
      <c r="T65" t="s">
        <v>126</v>
      </c>
      <c r="U65">
        <f ca="1">+VLOOKUP($T65,INDIRECT(Adrese!B$2),4,FALSE)</f>
        <v>119330</v>
      </c>
      <c r="V65">
        <f ca="1">+VLOOKUP($T65,INDIRECT(Adrese!C$2),4,FALSE)</f>
        <v>119449</v>
      </c>
      <c r="W65">
        <f ca="1">+VLOOKUP($T65,INDIRECT(Adrese!D$2),4,FALSE)</f>
        <v>118615</v>
      </c>
      <c r="X65">
        <f ca="1">+VLOOKUP($T65,INDIRECT(Adrese!E$2),4,FALSE)</f>
        <v>118458</v>
      </c>
      <c r="Y65">
        <f ca="1">+VLOOKUP($T65,INDIRECT(Adrese!F$2),4,FALSE)</f>
        <v>119991</v>
      </c>
      <c r="Z65">
        <f t="shared" ca="1" si="4"/>
        <v>595843</v>
      </c>
      <c r="AA65" s="5">
        <f t="shared" ca="1" si="23"/>
        <v>119168.6</v>
      </c>
      <c r="AB65" s="5">
        <f t="shared" ca="1" si="6"/>
        <v>630.95982439454895</v>
      </c>
      <c r="AD65" t="s">
        <v>126</v>
      </c>
      <c r="AE65">
        <f ca="1">+VLOOKUP($A65,INDIRECT(Adrese!B$2),5,FALSE)</f>
        <v>34340</v>
      </c>
      <c r="AF65">
        <f ca="1">+VLOOKUP($A65,INDIRECT(Adrese!C$2),5,FALSE)</f>
        <v>34488</v>
      </c>
      <c r="AG65">
        <f ca="1">+VLOOKUP($A65,INDIRECT(Adrese!D$2),5,FALSE)</f>
        <v>34192</v>
      </c>
      <c r="AH65">
        <f ca="1">+VLOOKUP($A65,INDIRECT(Adrese!E$2),5,FALSE)</f>
        <v>34062</v>
      </c>
      <c r="AI65">
        <f ca="1">+VLOOKUP($A65,INDIRECT(Adrese!F$2),5,FALSE)</f>
        <v>34845</v>
      </c>
      <c r="AJ65" s="5">
        <f t="shared" ca="1" si="24"/>
        <v>34385.4</v>
      </c>
      <c r="AK65" s="5">
        <f t="shared" ca="1" si="8"/>
        <v>302.41163998761687</v>
      </c>
      <c r="AM65" t="s">
        <v>126</v>
      </c>
      <c r="AN65" s="5">
        <f ca="1">+VLOOKUP($A65,INDIRECT(Adrese!B$2),6,FALSE)</f>
        <v>0.75530973451327432</v>
      </c>
      <c r="AO65" s="5">
        <f ca="1">+VLOOKUP($A65,INDIRECT(Adrese!C$2),6,FALSE)</f>
        <v>0.75858407100000003</v>
      </c>
      <c r="AP65" s="5">
        <f ca="1">+VLOOKUP($A65,INDIRECT(Adrese!D$2),6,FALSE)</f>
        <v>0.75203539799999997</v>
      </c>
      <c r="AQ65" s="5">
        <f ca="1">+VLOOKUP($A65,INDIRECT(Adrese!E$2),6,FALSE)</f>
        <v>0.74915929199999998</v>
      </c>
      <c r="AR65" s="5">
        <f ca="1">+VLOOKUP($A65,INDIRECT(Adrese!F$2),6,FALSE)</f>
        <v>0.76648230100000003</v>
      </c>
      <c r="AS65" s="5" t="str">
        <f t="shared" ca="1" si="9"/>
        <v>0.76 (0.01)</v>
      </c>
      <c r="AT65" s="5">
        <f t="shared" ca="1" si="25"/>
        <v>0.75631415930265478</v>
      </c>
      <c r="AU65" s="5">
        <f t="shared" ca="1" si="11"/>
        <v>6.6905231158006827E-3</v>
      </c>
      <c r="AW65" t="s">
        <v>126</v>
      </c>
      <c r="AX65" s="5">
        <f ca="1">+VLOOKUP($A65,INDIRECT(Adrese!B$2),7,FALSE)</f>
        <v>0.85398230088495575</v>
      </c>
      <c r="AY65" s="5">
        <f ca="1">+VLOOKUP($A65,INDIRECT(Adrese!C$2),7,FALSE)</f>
        <v>0.85840707999999999</v>
      </c>
      <c r="AZ65" s="5">
        <f ca="1">+VLOOKUP($A65,INDIRECT(Adrese!D$2),7,FALSE)</f>
        <v>0.867256637</v>
      </c>
      <c r="BA65" s="5">
        <f ca="1">+VLOOKUP($A65,INDIRECT(Adrese!E$2),7,FALSE)</f>
        <v>0.867256637</v>
      </c>
      <c r="BB65" s="5">
        <f ca="1">+VLOOKUP($A65,INDIRECT(Adrese!F$2),7,FALSE)</f>
        <v>0.87168141600000004</v>
      </c>
      <c r="BC65" s="5" t="str">
        <f t="shared" ca="1" si="12"/>
        <v>0.86 (0.01)</v>
      </c>
      <c r="BD65">
        <f t="shared" ca="1" si="26"/>
        <v>0.8637168141769912</v>
      </c>
      <c r="BE65" s="5">
        <f t="shared" ca="1" si="14"/>
        <v>7.2706533320394794E-3</v>
      </c>
      <c r="BG65" t="s">
        <v>126</v>
      </c>
      <c r="BH65" s="5">
        <f ca="1">+VLOOKUP($BG65,INDIRECT(Adrese!B$2),8,FALSE)</f>
        <v>7.7909925466584137E-2</v>
      </c>
      <c r="BI65" s="5">
        <f ca="1">+VLOOKUP($BG65,INDIRECT(Adrese!C$2),8,FALSE)</f>
        <v>7.7852230999999994E-2</v>
      </c>
      <c r="BJ65" s="5">
        <f ca="1">+VLOOKUP($BG65,INDIRECT(Adrese!D$2),8,FALSE)</f>
        <v>7.7860237999999998E-2</v>
      </c>
      <c r="BK65" s="5">
        <f ca="1">+VLOOKUP($BG65,INDIRECT(Adrese!E$2),8,FALSE)</f>
        <v>7.7569120000000005E-2</v>
      </c>
      <c r="BL65" s="5">
        <f ca="1">+VLOOKUP($BG65,INDIRECT(Adrese!F$2),8,FALSE)</f>
        <v>7.8652551000000001E-2</v>
      </c>
      <c r="BM65" s="5" t="str">
        <f t="shared" ca="1" si="15"/>
        <v>0.08 (0.00)</v>
      </c>
      <c r="BN65" s="5">
        <f t="shared" ca="1" si="27"/>
        <v>7.7968813093316838E-2</v>
      </c>
      <c r="BO65" s="5">
        <f t="shared" ca="1" si="17"/>
        <v>4.0499993266473512E-4</v>
      </c>
      <c r="BQ65" t="s">
        <v>126</v>
      </c>
      <c r="BR65" s="5">
        <f ca="1">+VLOOKUP($BG65,INDIRECT(Adrese!B$2),9,FALSE)</f>
        <v>8.8513316822292146E-2</v>
      </c>
      <c r="BS65" s="5">
        <f ca="1">+VLOOKUP($BG65,INDIRECT(Adrese!C$2),9,FALSE)</f>
        <v>8.7371773E-2</v>
      </c>
      <c r="BT65" s="5">
        <f ca="1">+VLOOKUP($BG65,INDIRECT(Adrese!D$2),9,FALSE)</f>
        <v>8.8829316000000005E-2</v>
      </c>
      <c r="BU65" s="5">
        <f ca="1">+VLOOKUP($BG65,INDIRECT(Adrese!E$2),9,FALSE)</f>
        <v>8.8778881000000004E-2</v>
      </c>
      <c r="BV65" s="5">
        <f ca="1">+VLOOKUP($BG65,INDIRECT(Adrese!F$2),9,FALSE)</f>
        <v>8.8703165E-2</v>
      </c>
      <c r="BW65" s="5" t="str">
        <f t="shared" ca="1" si="18"/>
        <v>0.09 (0.00)</v>
      </c>
      <c r="BX65" s="5">
        <f t="shared" ca="1" si="28"/>
        <v>8.8439290364458439E-2</v>
      </c>
      <c r="BY65" s="5">
        <f t="shared" ca="1" si="20"/>
        <v>6.0871685932151914E-4</v>
      </c>
    </row>
    <row r="66" spans="1:77" x14ac:dyDescent="0.25">
      <c r="A66" t="s">
        <v>16</v>
      </c>
      <c r="B66" s="12">
        <f ca="1">+VLOOKUP($A66,INDIRECT(Adrese!B$2),2,FALSE)</f>
        <v>64</v>
      </c>
      <c r="C66" s="12">
        <f ca="1">+VLOOKUP($A66,INDIRECT(Adrese!C$2),2,FALSE)</f>
        <v>70</v>
      </c>
      <c r="D66" s="12">
        <f ca="1">+VLOOKUP($A66,INDIRECT(Adrese!D$2),2,FALSE)</f>
        <v>66</v>
      </c>
      <c r="E66" s="12">
        <f ca="1">+VLOOKUP($A66,INDIRECT(Adrese!E$2),2,FALSE)</f>
        <v>61</v>
      </c>
      <c r="F66" s="12">
        <f ca="1">+VLOOKUP($A66,INDIRECT(Adrese!F$2),2,FALSE)</f>
        <v>65</v>
      </c>
      <c r="G66" s="5">
        <f t="shared" ca="1" si="21"/>
        <v>65.2</v>
      </c>
      <c r="H66" s="5">
        <f t="shared" ca="1" si="1"/>
        <v>3.2710854467592254</v>
      </c>
      <c r="J66" t="s">
        <v>16</v>
      </c>
      <c r="K66">
        <f ca="1">+VLOOKUP($A66,INDIRECT(Adrese!B$2),3,FALSE)</f>
        <v>65</v>
      </c>
      <c r="L66">
        <f ca="1">+VLOOKUP($A66,INDIRECT(Adrese!C$2),3,FALSE)</f>
        <v>62</v>
      </c>
      <c r="M66">
        <f ca="1">+VLOOKUP($A66,INDIRECT(Adrese!D$2),3,FALSE)</f>
        <v>64</v>
      </c>
      <c r="N66">
        <f ca="1">+VLOOKUP($A66,INDIRECT(Adrese!E$2),3,FALSE)</f>
        <v>64</v>
      </c>
      <c r="O66">
        <f ca="1">+VLOOKUP($A66,INDIRECT(Adrese!F$2),3,FALSE)</f>
        <v>64</v>
      </c>
      <c r="P66" s="5">
        <f t="shared" ca="1" si="22"/>
        <v>63.8</v>
      </c>
      <c r="Q66" s="5">
        <f t="shared" ca="1" si="3"/>
        <v>1.0954451150103321</v>
      </c>
      <c r="T66" t="s">
        <v>16</v>
      </c>
      <c r="U66">
        <f ca="1">+VLOOKUP($T66,INDIRECT(Adrese!B$2),4,FALSE)</f>
        <v>119328</v>
      </c>
      <c r="V66">
        <f ca="1">+VLOOKUP($T66,INDIRECT(Adrese!C$2),4,FALSE)</f>
        <v>118919</v>
      </c>
      <c r="W66">
        <f ca="1">+VLOOKUP($T66,INDIRECT(Adrese!D$2),4,FALSE)</f>
        <v>118969</v>
      </c>
      <c r="X66">
        <f ca="1">+VLOOKUP($T66,INDIRECT(Adrese!E$2),4,FALSE)</f>
        <v>119414</v>
      </c>
      <c r="Y66">
        <f ca="1">+VLOOKUP($T66,INDIRECT(Adrese!F$2),4,FALSE)</f>
        <v>119054</v>
      </c>
      <c r="Z66">
        <f t="shared" ca="1" si="4"/>
        <v>595684</v>
      </c>
      <c r="AA66" s="5">
        <f t="shared" ca="1" si="23"/>
        <v>119136.8</v>
      </c>
      <c r="AB66" s="5">
        <f t="shared" ca="1" si="6"/>
        <v>221.27290841854091</v>
      </c>
      <c r="AD66" t="s">
        <v>16</v>
      </c>
      <c r="AE66">
        <f ca="1">+VLOOKUP($A66,INDIRECT(Adrese!B$2),5,FALSE)</f>
        <v>26462</v>
      </c>
      <c r="AF66">
        <f ca="1">+VLOOKUP($A66,INDIRECT(Adrese!C$2),5,FALSE)</f>
        <v>26692</v>
      </c>
      <c r="AG66">
        <f ca="1">+VLOOKUP($A66,INDIRECT(Adrese!D$2),5,FALSE)</f>
        <v>26037</v>
      </c>
      <c r="AH66">
        <f ca="1">+VLOOKUP($A66,INDIRECT(Adrese!E$2),5,FALSE)</f>
        <v>26449</v>
      </c>
      <c r="AI66">
        <f ca="1">+VLOOKUP($A66,INDIRECT(Adrese!F$2),5,FALSE)</f>
        <v>26177</v>
      </c>
      <c r="AJ66" s="5">
        <f t="shared" ca="1" si="24"/>
        <v>26363.4</v>
      </c>
      <c r="AK66" s="5">
        <f t="shared" ca="1" si="8"/>
        <v>258.02577390640647</v>
      </c>
      <c r="AM66" t="s">
        <v>16</v>
      </c>
      <c r="AN66" s="5">
        <f ca="1">+VLOOKUP($A66,INDIRECT(Adrese!B$2),6,FALSE)</f>
        <v>0.58101769911504419</v>
      </c>
      <c r="AO66" s="5">
        <f ca="1">+VLOOKUP($A66,INDIRECT(Adrese!C$2),6,FALSE)</f>
        <v>0.58610619500000005</v>
      </c>
      <c r="AP66" s="5">
        <f ca="1">+VLOOKUP($A66,INDIRECT(Adrese!D$2),6,FALSE)</f>
        <v>0.57161504399999996</v>
      </c>
      <c r="AQ66" s="5">
        <f ca="1">+VLOOKUP($A66,INDIRECT(Adrese!E$2),6,FALSE)</f>
        <v>0.58073008800000003</v>
      </c>
      <c r="AR66" s="5">
        <f ca="1">+VLOOKUP($A66,INDIRECT(Adrese!F$2),6,FALSE)</f>
        <v>0.57471238899999999</v>
      </c>
      <c r="AS66" s="5" t="str">
        <f t="shared" ca="1" si="9"/>
        <v>0.58 (0.01)</v>
      </c>
      <c r="AT66" s="5">
        <f t="shared" ca="1" si="25"/>
        <v>0.57883628302300894</v>
      </c>
      <c r="AU66" s="5">
        <f t="shared" ca="1" si="11"/>
        <v>5.7085350255363689E-3</v>
      </c>
      <c r="AW66" t="s">
        <v>16</v>
      </c>
      <c r="AX66" s="5">
        <f ca="1">+VLOOKUP($A66,INDIRECT(Adrese!B$2),7,FALSE)</f>
        <v>0.71238938053097345</v>
      </c>
      <c r="AY66" s="5">
        <f ca="1">+VLOOKUP($A66,INDIRECT(Adrese!C$2),7,FALSE)</f>
        <v>0.72566371699999999</v>
      </c>
      <c r="AZ66" s="5">
        <f ca="1">+VLOOKUP($A66,INDIRECT(Adrese!D$2),7,FALSE)</f>
        <v>0.71681415900000001</v>
      </c>
      <c r="BA66" s="5">
        <f ca="1">+VLOOKUP($A66,INDIRECT(Adrese!E$2),7,FALSE)</f>
        <v>0.71681415900000001</v>
      </c>
      <c r="BB66" s="5">
        <f ca="1">+VLOOKUP($A66,INDIRECT(Adrese!F$2),7,FALSE)</f>
        <v>0.71681415900000001</v>
      </c>
      <c r="BC66" s="5" t="str">
        <f t="shared" ca="1" si="12"/>
        <v>0.72 (0.00)</v>
      </c>
      <c r="BD66">
        <f t="shared" ca="1" si="26"/>
        <v>0.71769911490619476</v>
      </c>
      <c r="BE66" s="5">
        <f t="shared" ca="1" si="14"/>
        <v>4.8471023951372327E-3</v>
      </c>
      <c r="BG66" t="s">
        <v>16</v>
      </c>
      <c r="BH66" s="5">
        <f ca="1">+VLOOKUP($BG66,INDIRECT(Adrese!B$2),8,FALSE)</f>
        <v>6.2320380239840621E-2</v>
      </c>
      <c r="BI66" s="5">
        <f ca="1">+VLOOKUP($BG66,INDIRECT(Adrese!C$2),8,FALSE)</f>
        <v>6.2922353E-2</v>
      </c>
      <c r="BJ66" s="5">
        <f ca="1">+VLOOKUP($BG66,INDIRECT(Adrese!D$2),8,FALSE)</f>
        <v>6.1632136999999997E-2</v>
      </c>
      <c r="BK66" s="5">
        <f ca="1">+VLOOKUP($BG66,INDIRECT(Adrese!E$2),8,FALSE)</f>
        <v>6.2314596E-2</v>
      </c>
      <c r="BL66" s="5">
        <f ca="1">+VLOOKUP($BG66,INDIRECT(Adrese!F$2),8,FALSE)</f>
        <v>6.1955919999999998E-2</v>
      </c>
      <c r="BM66" s="5" t="str">
        <f t="shared" ca="1" si="15"/>
        <v>0.06 (0.00)</v>
      </c>
      <c r="BN66" s="5">
        <f t="shared" ca="1" si="27"/>
        <v>6.2229077247968126E-2</v>
      </c>
      <c r="BO66" s="5">
        <f t="shared" ca="1" si="17"/>
        <v>4.8146482306371362E-4</v>
      </c>
      <c r="BQ66" t="s">
        <v>16</v>
      </c>
      <c r="BR66" s="5">
        <f ca="1">+VLOOKUP($BG66,INDIRECT(Adrese!B$2),9,FALSE)</f>
        <v>6.7858000002264676E-2</v>
      </c>
      <c r="BS66" s="5">
        <f ca="1">+VLOOKUP($BG66,INDIRECT(Adrese!C$2),9,FALSE)</f>
        <v>6.9204125000000005E-2</v>
      </c>
      <c r="BT66" s="5">
        <f ca="1">+VLOOKUP($BG66,INDIRECT(Adrese!D$2),9,FALSE)</f>
        <v>6.7425762E-2</v>
      </c>
      <c r="BU66" s="5">
        <f ca="1">+VLOOKUP($BG66,INDIRECT(Adrese!E$2),9,FALSE)</f>
        <v>6.8001888999999996E-2</v>
      </c>
      <c r="BV66" s="5">
        <f ca="1">+VLOOKUP($BG66,INDIRECT(Adrese!F$2),9,FALSE)</f>
        <v>6.7800432999999993E-2</v>
      </c>
      <c r="BW66" s="5" t="str">
        <f t="shared" ca="1" si="18"/>
        <v>0.07 (0.00)</v>
      </c>
      <c r="BX66" s="5">
        <f t="shared" ca="1" si="28"/>
        <v>6.8058041800452926E-2</v>
      </c>
      <c r="BY66" s="5">
        <f t="shared" ca="1" si="20"/>
        <v>6.7505862679413924E-4</v>
      </c>
    </row>
    <row r="67" spans="1:77" x14ac:dyDescent="0.25">
      <c r="A67" t="s">
        <v>127</v>
      </c>
      <c r="B67" s="12">
        <f ca="1">+VLOOKUP($A67,INDIRECT(Adrese!B$2),2,FALSE)</f>
        <v>65</v>
      </c>
      <c r="C67" s="12">
        <f ca="1">+VLOOKUP($A67,INDIRECT(Adrese!C$2),2,FALSE)</f>
        <v>60</v>
      </c>
      <c r="D67" s="12">
        <f ca="1">+VLOOKUP($A67,INDIRECT(Adrese!D$2),2,FALSE)</f>
        <v>65</v>
      </c>
      <c r="E67" s="12">
        <f ca="1">+VLOOKUP($A67,INDIRECT(Adrese!E$2),2,FALSE)</f>
        <v>62</v>
      </c>
      <c r="F67" s="12">
        <f ca="1">+VLOOKUP($A67,INDIRECT(Adrese!F$2),2,FALSE)</f>
        <v>68</v>
      </c>
      <c r="G67" s="5">
        <f t="shared" ca="1" si="21"/>
        <v>64</v>
      </c>
      <c r="H67" s="5">
        <f t="shared" ca="1" si="1"/>
        <v>3.082207001484488</v>
      </c>
      <c r="J67" t="s">
        <v>127</v>
      </c>
      <c r="K67">
        <f ca="1">+VLOOKUP($A67,INDIRECT(Adrese!B$2),3,FALSE)</f>
        <v>0</v>
      </c>
      <c r="L67">
        <f ca="1">+VLOOKUP($A67,INDIRECT(Adrese!C$2),3,FALSE)</f>
        <v>0</v>
      </c>
      <c r="M67">
        <f ca="1">+VLOOKUP($A67,INDIRECT(Adrese!D$2),3,FALSE)</f>
        <v>0</v>
      </c>
      <c r="N67">
        <f ca="1">+VLOOKUP($A67,INDIRECT(Adrese!E$2),3,FALSE)</f>
        <v>0</v>
      </c>
      <c r="O67">
        <f ca="1">+VLOOKUP($A67,INDIRECT(Adrese!F$2),3,FALSE)</f>
        <v>0</v>
      </c>
      <c r="P67" s="5">
        <f t="shared" ca="1" si="22"/>
        <v>0</v>
      </c>
      <c r="Q67" s="5">
        <f t="shared" ca="1" si="3"/>
        <v>0</v>
      </c>
      <c r="T67" t="s">
        <v>127</v>
      </c>
      <c r="U67">
        <f ca="1">+VLOOKUP($T67,INDIRECT(Adrese!B$2),4,FALSE)</f>
        <v>119292</v>
      </c>
      <c r="V67">
        <f ca="1">+VLOOKUP($T67,INDIRECT(Adrese!C$2),4,FALSE)</f>
        <v>119593</v>
      </c>
      <c r="W67">
        <f ca="1">+VLOOKUP($T67,INDIRECT(Adrese!D$2),4,FALSE)</f>
        <v>118995</v>
      </c>
      <c r="X67">
        <f ca="1">+VLOOKUP($T67,INDIRECT(Adrese!E$2),4,FALSE)</f>
        <v>119406</v>
      </c>
      <c r="Y67">
        <f ca="1">+VLOOKUP($T67,INDIRECT(Adrese!F$2),4,FALSE)</f>
        <v>118779</v>
      </c>
      <c r="Z67">
        <f t="shared" ca="1" si="4"/>
        <v>596065</v>
      </c>
      <c r="AA67" s="5">
        <f t="shared" ca="1" si="23"/>
        <v>119213</v>
      </c>
      <c r="AB67" s="5">
        <f t="shared" ca="1" si="6"/>
        <v>325.48809502038625</v>
      </c>
      <c r="AD67" t="s">
        <v>127</v>
      </c>
      <c r="AE67">
        <f ca="1">+VLOOKUP($A67,INDIRECT(Adrese!B$2),5,FALSE)</f>
        <v>39230</v>
      </c>
      <c r="AF67">
        <f ca="1">+VLOOKUP($A67,INDIRECT(Adrese!C$2),5,FALSE)</f>
        <v>39395</v>
      </c>
      <c r="AG67">
        <f ca="1">+VLOOKUP($A67,INDIRECT(Adrese!D$2),5,FALSE)</f>
        <v>39160</v>
      </c>
      <c r="AH67">
        <f ca="1">+VLOOKUP($A67,INDIRECT(Adrese!E$2),5,FALSE)</f>
        <v>39226</v>
      </c>
      <c r="AI67">
        <f ca="1">+VLOOKUP($A67,INDIRECT(Adrese!F$2),5,FALSE)</f>
        <v>39106</v>
      </c>
      <c r="AJ67" s="5">
        <f t="shared" ca="1" si="24"/>
        <v>39223.4</v>
      </c>
      <c r="AK67" s="5">
        <f t="shared" ca="1" si="8"/>
        <v>108.74189624978958</v>
      </c>
      <c r="AM67" t="s">
        <v>127</v>
      </c>
      <c r="AN67" s="5">
        <f ca="1">+VLOOKUP($A67,INDIRECT(Adrese!B$2),6,FALSE)</f>
        <v>0.86349557522123899</v>
      </c>
      <c r="AO67" s="5">
        <f ca="1">+VLOOKUP($A67,INDIRECT(Adrese!C$2),6,FALSE)</f>
        <v>0.86714601800000002</v>
      </c>
      <c r="AP67" s="5">
        <f ca="1">+VLOOKUP($A67,INDIRECT(Adrese!D$2),6,FALSE)</f>
        <v>0.86194690299999999</v>
      </c>
      <c r="AQ67" s="5">
        <f ca="1">+VLOOKUP($A67,INDIRECT(Adrese!E$2),6,FALSE)</f>
        <v>0.86340707999999999</v>
      </c>
      <c r="AR67" s="5">
        <f ca="1">+VLOOKUP($A67,INDIRECT(Adrese!F$2),6,FALSE)</f>
        <v>0.86075221199999996</v>
      </c>
      <c r="AS67" s="5" t="str">
        <f t="shared" ca="1" si="9"/>
        <v>0.86 (0.00)</v>
      </c>
      <c r="AT67" s="5">
        <f t="shared" ca="1" si="25"/>
        <v>0.86334955764424781</v>
      </c>
      <c r="AU67" s="5">
        <f t="shared" ca="1" si="11"/>
        <v>2.4057943404270396E-3</v>
      </c>
      <c r="AW67" t="s">
        <v>127</v>
      </c>
      <c r="AX67" s="5">
        <f ca="1">+VLOOKUP($A67,INDIRECT(Adrese!B$2),7,FALSE)</f>
        <v>1</v>
      </c>
      <c r="AY67" s="5">
        <f ca="1">+VLOOKUP($A67,INDIRECT(Adrese!C$2),7,FALSE)</f>
        <v>1</v>
      </c>
      <c r="AZ67" s="5">
        <f ca="1">+VLOOKUP($A67,INDIRECT(Adrese!D$2),7,FALSE)</f>
        <v>1</v>
      </c>
      <c r="BA67" s="5">
        <f ca="1">+VLOOKUP($A67,INDIRECT(Adrese!E$2),7,FALSE)</f>
        <v>1</v>
      </c>
      <c r="BB67" s="5">
        <f ca="1">+VLOOKUP($A67,INDIRECT(Adrese!F$2),7,FALSE)</f>
        <v>1</v>
      </c>
      <c r="BC67" s="5" t="str">
        <f t="shared" ca="1" si="12"/>
        <v>1.00 (0.00)</v>
      </c>
      <c r="BD67">
        <f t="shared" ca="1" si="26"/>
        <v>1</v>
      </c>
      <c r="BE67" s="5">
        <f t="shared" ca="1" si="14"/>
        <v>0</v>
      </c>
      <c r="BG67" t="s">
        <v>127</v>
      </c>
      <c r="BH67" s="5">
        <f ca="1">+VLOOKUP($BG67,INDIRECT(Adrese!B$2),8,FALSE)</f>
        <v>8.2583306859353625E-2</v>
      </c>
      <c r="BI67" s="5">
        <f ca="1">+VLOOKUP($BG67,INDIRECT(Adrese!C$2),8,FALSE)</f>
        <v>8.2732392000000002E-2</v>
      </c>
      <c r="BJ67" s="5">
        <f ca="1">+VLOOKUP($BG67,INDIRECT(Adrese!D$2),8,FALSE)</f>
        <v>8.2655514999999999E-2</v>
      </c>
      <c r="BK67" s="5">
        <f ca="1">+VLOOKUP($BG67,INDIRECT(Adrese!E$2),8,FALSE)</f>
        <v>8.2570236000000005E-2</v>
      </c>
      <c r="BL67" s="5">
        <f ca="1">+VLOOKUP($BG67,INDIRECT(Adrese!F$2),8,FALSE)</f>
        <v>8.2709137000000002E-2</v>
      </c>
      <c r="BM67" s="5" t="str">
        <f t="shared" ca="1" si="15"/>
        <v>0.08 (0.00)</v>
      </c>
      <c r="BN67" s="5">
        <f t="shared" ca="1" si="27"/>
        <v>8.2650117371870724E-2</v>
      </c>
      <c r="BO67" s="5">
        <f t="shared" ca="1" si="17"/>
        <v>7.2674348092185612E-5</v>
      </c>
      <c r="BQ67" t="s">
        <v>127</v>
      </c>
      <c r="BR67" s="5">
        <f ca="1">+VLOOKUP($BG67,INDIRECT(Adrese!B$2),9,FALSE)</f>
        <v>8.1012510367786311E-2</v>
      </c>
      <c r="BS67" s="5">
        <f ca="1">+VLOOKUP($BG67,INDIRECT(Adrese!C$2),9,FALSE)</f>
        <v>8.0626014999999995E-2</v>
      </c>
      <c r="BT67" s="5">
        <f ca="1">+VLOOKUP($BG67,INDIRECT(Adrese!D$2),9,FALSE)</f>
        <v>8.1425655999999999E-2</v>
      </c>
      <c r="BU67" s="5">
        <f ca="1">+VLOOKUP($BG67,INDIRECT(Adrese!E$2),9,FALSE)</f>
        <v>8.1009191999999994E-2</v>
      </c>
      <c r="BV67" s="5">
        <f ca="1">+VLOOKUP($BG67,INDIRECT(Adrese!F$2),9,FALSE)</f>
        <v>8.1794411999999997E-2</v>
      </c>
      <c r="BW67" s="5" t="str">
        <f t="shared" ca="1" si="18"/>
        <v>0.08 (0.00)</v>
      </c>
      <c r="BX67" s="5">
        <f t="shared" ca="1" si="28"/>
        <v>8.1173557073557251E-2</v>
      </c>
      <c r="BY67" s="5">
        <f t="shared" ca="1" si="20"/>
        <v>4.4770775891264913E-4</v>
      </c>
    </row>
    <row r="68" spans="1:77" x14ac:dyDescent="0.25">
      <c r="A68" t="s">
        <v>128</v>
      </c>
      <c r="B68" s="12">
        <f ca="1">+VLOOKUP($A68,INDIRECT(Adrese!B$2),2,FALSE)</f>
        <v>66</v>
      </c>
      <c r="C68" s="12">
        <f ca="1">+VLOOKUP($A68,INDIRECT(Adrese!C$2),2,FALSE)</f>
        <v>52</v>
      </c>
      <c r="D68" s="12">
        <f ca="1">+VLOOKUP($A68,INDIRECT(Adrese!D$2),2,FALSE)</f>
        <v>58</v>
      </c>
      <c r="E68" s="12">
        <f ca="1">+VLOOKUP($A68,INDIRECT(Adrese!E$2),2,FALSE)</f>
        <v>59</v>
      </c>
      <c r="F68" s="12">
        <f ca="1">+VLOOKUP($A68,INDIRECT(Adrese!F$2),2,FALSE)</f>
        <v>53</v>
      </c>
      <c r="G68" s="5">
        <f t="shared" ca="1" si="21"/>
        <v>57.6</v>
      </c>
      <c r="H68" s="5">
        <f t="shared" ref="H68:H131" ca="1" si="29">+_xlfn.STDEV.S(B68:F68)</f>
        <v>5.5946402922797454</v>
      </c>
      <c r="J68" t="s">
        <v>128</v>
      </c>
      <c r="K68">
        <f ca="1">+VLOOKUP($A68,INDIRECT(Adrese!B$2),3,FALSE)</f>
        <v>0</v>
      </c>
      <c r="L68">
        <f ca="1">+VLOOKUP($A68,INDIRECT(Adrese!C$2),3,FALSE)</f>
        <v>0</v>
      </c>
      <c r="M68">
        <f ca="1">+VLOOKUP($A68,INDIRECT(Adrese!D$2),3,FALSE)</f>
        <v>0</v>
      </c>
      <c r="N68">
        <f ca="1">+VLOOKUP($A68,INDIRECT(Adrese!E$2),3,FALSE)</f>
        <v>0</v>
      </c>
      <c r="O68">
        <f ca="1">+VLOOKUP($A68,INDIRECT(Adrese!F$2),3,FALSE)</f>
        <v>0</v>
      </c>
      <c r="P68" s="5">
        <f t="shared" ca="1" si="22"/>
        <v>0</v>
      </c>
      <c r="Q68" s="5">
        <f t="shared" ref="Q68:Q131" ca="1" si="30">+_xlfn.STDEV.S(K68:O68)</f>
        <v>0</v>
      </c>
      <c r="T68" t="s">
        <v>128</v>
      </c>
      <c r="U68">
        <f ca="1">+VLOOKUP($T68,INDIRECT(Adrese!B$2),4,FALSE)</f>
        <v>119203</v>
      </c>
      <c r="V68">
        <f ca="1">+VLOOKUP($T68,INDIRECT(Adrese!C$2),4,FALSE)</f>
        <v>120474</v>
      </c>
      <c r="W68">
        <f ca="1">+VLOOKUP($T68,INDIRECT(Adrese!D$2),4,FALSE)</f>
        <v>119594</v>
      </c>
      <c r="X68">
        <f ca="1">+VLOOKUP($T68,INDIRECT(Adrese!E$2),4,FALSE)</f>
        <v>119752</v>
      </c>
      <c r="Y68">
        <f ca="1">+VLOOKUP($T68,INDIRECT(Adrese!F$2),4,FALSE)</f>
        <v>120235</v>
      </c>
      <c r="Z68">
        <f t="shared" ref="Z68:Z131" ca="1" si="31">SUM(U68:Y68)</f>
        <v>599258</v>
      </c>
      <c r="AA68" s="5">
        <f t="shared" ca="1" si="23"/>
        <v>119851.6</v>
      </c>
      <c r="AB68" s="5">
        <f t="shared" ref="AB68:AB131" ca="1" si="32">+_xlfn.STDEV.S(U68:Y68)</f>
        <v>507.77386699199081</v>
      </c>
      <c r="AD68" t="s">
        <v>128</v>
      </c>
      <c r="AE68">
        <f ca="1">+VLOOKUP($A68,INDIRECT(Adrese!B$2),5,FALSE)</f>
        <v>40360</v>
      </c>
      <c r="AF68">
        <f ca="1">+VLOOKUP($A68,INDIRECT(Adrese!C$2),5,FALSE)</f>
        <v>40946</v>
      </c>
      <c r="AG68">
        <f ca="1">+VLOOKUP($A68,INDIRECT(Adrese!D$2),5,FALSE)</f>
        <v>40621</v>
      </c>
      <c r="AH68">
        <f ca="1">+VLOOKUP($A68,INDIRECT(Adrese!E$2),5,FALSE)</f>
        <v>40640</v>
      </c>
      <c r="AI68">
        <f ca="1">+VLOOKUP($A68,INDIRECT(Adrese!F$2),5,FALSE)</f>
        <v>40760</v>
      </c>
      <c r="AJ68" s="5">
        <f t="shared" ca="1" si="24"/>
        <v>40665.4</v>
      </c>
      <c r="AK68" s="5">
        <f t="shared" ref="AK68:AK131" ca="1" si="33">+_xlfn.STDEV.S(AE68:AI68)</f>
        <v>214.22604883627014</v>
      </c>
      <c r="AM68" t="s">
        <v>128</v>
      </c>
      <c r="AN68" s="5">
        <f ca="1">+VLOOKUP($A68,INDIRECT(Adrese!B$2),6,FALSE)</f>
        <v>0.8884955752212389</v>
      </c>
      <c r="AO68" s="5">
        <f ca="1">+VLOOKUP($A68,INDIRECT(Adrese!C$2),6,FALSE)</f>
        <v>0.90146017700000003</v>
      </c>
      <c r="AP68" s="5">
        <f ca="1">+VLOOKUP($A68,INDIRECT(Adrese!D$2),6,FALSE)</f>
        <v>0.89426991199999994</v>
      </c>
      <c r="AQ68" s="5">
        <f ca="1">+VLOOKUP($A68,INDIRECT(Adrese!E$2),6,FALSE)</f>
        <v>0.89469026500000004</v>
      </c>
      <c r="AR68" s="5">
        <f ca="1">+VLOOKUP($A68,INDIRECT(Adrese!F$2),6,FALSE)</f>
        <v>0.89734513299999996</v>
      </c>
      <c r="AS68" s="5" t="str">
        <f t="shared" ref="AS68:AS131" ca="1" si="34">TEXT(AT68,"0.00")&amp;" ("&amp;TEXT(AU68,"0.00")&amp;")"</f>
        <v>0.90 (0.00)</v>
      </c>
      <c r="AT68" s="5">
        <f t="shared" ca="1" si="25"/>
        <v>0.8952522124442478</v>
      </c>
      <c r="AU68" s="5">
        <f t="shared" ref="AU68:AU131" ca="1" si="35">+_xlfn.STDEV.S(AN68:AR68)</f>
        <v>4.739514374764082E-3</v>
      </c>
      <c r="AW68" t="s">
        <v>128</v>
      </c>
      <c r="AX68" s="5">
        <f ca="1">+VLOOKUP($A68,INDIRECT(Adrese!B$2),7,FALSE)</f>
        <v>1</v>
      </c>
      <c r="AY68" s="5">
        <f ca="1">+VLOOKUP($A68,INDIRECT(Adrese!C$2),7,FALSE)</f>
        <v>1</v>
      </c>
      <c r="AZ68" s="5">
        <f ca="1">+VLOOKUP($A68,INDIRECT(Adrese!D$2),7,FALSE)</f>
        <v>1</v>
      </c>
      <c r="BA68" s="5">
        <f ca="1">+VLOOKUP($A68,INDIRECT(Adrese!E$2),7,FALSE)</f>
        <v>1</v>
      </c>
      <c r="BB68" s="5">
        <f ca="1">+VLOOKUP($A68,INDIRECT(Adrese!F$2),7,FALSE)</f>
        <v>1</v>
      </c>
      <c r="BC68" s="5" t="str">
        <f t="shared" ref="BC68:BC131" ca="1" si="36">TEXT(BD68,"0.00")&amp;" ("&amp;TEXT(BE68,"0.00")&amp;")"</f>
        <v>1.00 (0.00)</v>
      </c>
      <c r="BD68">
        <f t="shared" ca="1" si="26"/>
        <v>1</v>
      </c>
      <c r="BE68" s="5">
        <f t="shared" ref="BE68:BE131" ca="1" si="37">+_xlfn.STDEV.S(AX68:BB68)</f>
        <v>0</v>
      </c>
      <c r="BG68" t="s">
        <v>128</v>
      </c>
      <c r="BH68" s="5">
        <f ca="1">+VLOOKUP($BG68,INDIRECT(Adrese!B$2),8,FALSE)</f>
        <v>8.5659723578613955E-2</v>
      </c>
      <c r="BI68" s="5">
        <f ca="1">+VLOOKUP($BG68,INDIRECT(Adrese!C$2),8,FALSE)</f>
        <v>8.6257523000000003E-2</v>
      </c>
      <c r="BJ68" s="5">
        <f ca="1">+VLOOKUP($BG68,INDIRECT(Adrese!D$2),8,FALSE)</f>
        <v>8.6005490000000004E-2</v>
      </c>
      <c r="BK68" s="5">
        <f ca="1">+VLOOKUP($BG68,INDIRECT(Adrese!E$2),8,FALSE)</f>
        <v>8.6010200999999994E-2</v>
      </c>
      <c r="BL68" s="5">
        <f ca="1">+VLOOKUP($BG68,INDIRECT(Adrese!F$2),8,FALSE)</f>
        <v>8.6003228000000001E-2</v>
      </c>
      <c r="BM68" s="5" t="str">
        <f t="shared" ref="BM68:BM131" ca="1" si="38">TEXT(BN68,"0.00")&amp;" ("&amp;TEXT(BO68,"0.00")&amp;")"</f>
        <v>0.09 (0.00)</v>
      </c>
      <c r="BN68" s="5">
        <f t="shared" ca="1" si="27"/>
        <v>8.5987233115722789E-2</v>
      </c>
      <c r="BO68" s="5">
        <f t="shared" ref="BO68:BO131" ca="1" si="39">+_xlfn.STDEV.S(BH68:BL68)</f>
        <v>2.129764026216027E-4</v>
      </c>
      <c r="BQ68" t="s">
        <v>128</v>
      </c>
      <c r="BR68" s="5">
        <f ca="1">+VLOOKUP($BG68,INDIRECT(Adrese!B$2),9,FALSE)</f>
        <v>8.7990539730238959E-2</v>
      </c>
      <c r="BS68" s="5">
        <f ca="1">+VLOOKUP($BG68,INDIRECT(Adrese!C$2),9,FALSE)</f>
        <v>8.7014988000000001E-2</v>
      </c>
      <c r="BT68" s="5">
        <f ca="1">+VLOOKUP($BG68,INDIRECT(Adrese!D$2),9,FALSE)</f>
        <v>8.7330146999999997E-2</v>
      </c>
      <c r="BU68" s="5">
        <f ca="1">+VLOOKUP($BG68,INDIRECT(Adrese!E$2),9,FALSE)</f>
        <v>8.7767154E-2</v>
      </c>
      <c r="BV68" s="5">
        <f ca="1">+VLOOKUP($BG68,INDIRECT(Adrese!F$2),9,FALSE)</f>
        <v>8.6659847999999998E-2</v>
      </c>
      <c r="BW68" s="5" t="str">
        <f t="shared" ref="BW68:BW131" ca="1" si="40">TEXT(BX68,"0.00")&amp;" ("&amp;TEXT(BY68,"0.00")&amp;")"</f>
        <v>0.09 (0.00)</v>
      </c>
      <c r="BX68" s="5">
        <f t="shared" ca="1" si="28"/>
        <v>8.7352535346047797E-2</v>
      </c>
      <c r="BY68" s="5">
        <f t="shared" ref="BY68:BY131" ca="1" si="41">+_xlfn.STDEV.S(BR68:BV68)</f>
        <v>5.4157488648609131E-4</v>
      </c>
    </row>
    <row r="69" spans="1:77" x14ac:dyDescent="0.25">
      <c r="A69" t="s">
        <v>129</v>
      </c>
      <c r="B69" s="12">
        <f ca="1">+VLOOKUP($A69,INDIRECT(Adrese!B$2),2,FALSE)</f>
        <v>67</v>
      </c>
      <c r="C69" s="12">
        <f ca="1">+VLOOKUP($A69,INDIRECT(Adrese!C$2),2,FALSE)</f>
        <v>63</v>
      </c>
      <c r="D69" s="12">
        <f ca="1">+VLOOKUP($A69,INDIRECT(Adrese!D$2),2,FALSE)</f>
        <v>64</v>
      </c>
      <c r="E69" s="12">
        <f ca="1">+VLOOKUP($A69,INDIRECT(Adrese!E$2),2,FALSE)</f>
        <v>63</v>
      </c>
      <c r="F69" s="12">
        <f ca="1">+VLOOKUP($A69,INDIRECT(Adrese!F$2),2,FALSE)</f>
        <v>66</v>
      </c>
      <c r="G69" s="5">
        <f t="shared" ca="1" si="21"/>
        <v>64.599999999999994</v>
      </c>
      <c r="H69" s="5">
        <f t="shared" ca="1" si="29"/>
        <v>1.8165902124584949</v>
      </c>
      <c r="J69" t="s">
        <v>129</v>
      </c>
      <c r="K69">
        <f ca="1">+VLOOKUP($A69,INDIRECT(Adrese!B$2),3,FALSE)</f>
        <v>15</v>
      </c>
      <c r="L69">
        <f ca="1">+VLOOKUP($A69,INDIRECT(Adrese!C$2),3,FALSE)</f>
        <v>15</v>
      </c>
      <c r="M69">
        <f ca="1">+VLOOKUP($A69,INDIRECT(Adrese!D$2),3,FALSE)</f>
        <v>15</v>
      </c>
      <c r="N69">
        <f ca="1">+VLOOKUP($A69,INDIRECT(Adrese!E$2),3,FALSE)</f>
        <v>15</v>
      </c>
      <c r="O69">
        <f ca="1">+VLOOKUP($A69,INDIRECT(Adrese!F$2),3,FALSE)</f>
        <v>15</v>
      </c>
      <c r="P69" s="5">
        <f t="shared" ca="1" si="22"/>
        <v>15</v>
      </c>
      <c r="Q69" s="5">
        <f t="shared" ca="1" si="30"/>
        <v>0</v>
      </c>
      <c r="T69" t="s">
        <v>129</v>
      </c>
      <c r="U69">
        <f ca="1">+VLOOKUP($T69,INDIRECT(Adrese!B$2),4,FALSE)</f>
        <v>119057</v>
      </c>
      <c r="V69">
        <f ca="1">+VLOOKUP($T69,INDIRECT(Adrese!C$2),4,FALSE)</f>
        <v>119415</v>
      </c>
      <c r="W69">
        <f ca="1">+VLOOKUP($T69,INDIRECT(Adrese!D$2),4,FALSE)</f>
        <v>119267</v>
      </c>
      <c r="X69">
        <f ca="1">+VLOOKUP($T69,INDIRECT(Adrese!E$2),4,FALSE)</f>
        <v>119397</v>
      </c>
      <c r="Y69">
        <f ca="1">+VLOOKUP($T69,INDIRECT(Adrese!F$2),4,FALSE)</f>
        <v>118864</v>
      </c>
      <c r="Z69">
        <f t="shared" ca="1" si="31"/>
        <v>596000</v>
      </c>
      <c r="AA69" s="5">
        <f t="shared" ca="1" si="23"/>
        <v>119200</v>
      </c>
      <c r="AB69" s="5">
        <f t="shared" ca="1" si="32"/>
        <v>236.04448733236708</v>
      </c>
      <c r="AD69" t="s">
        <v>129</v>
      </c>
      <c r="AE69">
        <f ca="1">+VLOOKUP($A69,INDIRECT(Adrese!B$2),5,FALSE)</f>
        <v>34386</v>
      </c>
      <c r="AF69">
        <f ca="1">+VLOOKUP($A69,INDIRECT(Adrese!C$2),5,FALSE)</f>
        <v>34680</v>
      </c>
      <c r="AG69">
        <f ca="1">+VLOOKUP($A69,INDIRECT(Adrese!D$2),5,FALSE)</f>
        <v>34619</v>
      </c>
      <c r="AH69">
        <f ca="1">+VLOOKUP($A69,INDIRECT(Adrese!E$2),5,FALSE)</f>
        <v>34707</v>
      </c>
      <c r="AI69">
        <f ca="1">+VLOOKUP($A69,INDIRECT(Adrese!F$2),5,FALSE)</f>
        <v>34439</v>
      </c>
      <c r="AJ69" s="5">
        <f t="shared" ca="1" si="24"/>
        <v>34566.199999999997</v>
      </c>
      <c r="AK69" s="5">
        <f t="shared" ca="1" si="33"/>
        <v>145.09893176726007</v>
      </c>
      <c r="AM69" t="s">
        <v>129</v>
      </c>
      <c r="AN69" s="5">
        <f ca="1">+VLOOKUP($A69,INDIRECT(Adrese!B$2),6,FALSE)</f>
        <v>0.75632743362831856</v>
      </c>
      <c r="AO69" s="5">
        <f ca="1">+VLOOKUP($A69,INDIRECT(Adrese!C$2),6,FALSE)</f>
        <v>0.76283185799999997</v>
      </c>
      <c r="AP69" s="5">
        <f ca="1">+VLOOKUP($A69,INDIRECT(Adrese!D$2),6,FALSE)</f>
        <v>0.76148230100000003</v>
      </c>
      <c r="AQ69" s="5">
        <f ca="1">+VLOOKUP($A69,INDIRECT(Adrese!E$2),6,FALSE)</f>
        <v>0.76342920400000003</v>
      </c>
      <c r="AR69" s="5">
        <f ca="1">+VLOOKUP($A69,INDIRECT(Adrese!F$2),6,FALSE)</f>
        <v>0.75749999999999995</v>
      </c>
      <c r="AS69" s="5" t="str">
        <f t="shared" ca="1" si="34"/>
        <v>0.76 (0.00)</v>
      </c>
      <c r="AT69" s="5">
        <f t="shared" ca="1" si="25"/>
        <v>0.76031415932566371</v>
      </c>
      <c r="AU69" s="5">
        <f t="shared" ca="1" si="35"/>
        <v>3.2101533999670247E-3</v>
      </c>
      <c r="AW69" t="s">
        <v>129</v>
      </c>
      <c r="AX69" s="5">
        <f ca="1">+VLOOKUP($A69,INDIRECT(Adrese!B$2),7,FALSE)</f>
        <v>0.9336283185840708</v>
      </c>
      <c r="AY69" s="5">
        <f ca="1">+VLOOKUP($A69,INDIRECT(Adrese!C$2),7,FALSE)</f>
        <v>0.93362831899999998</v>
      </c>
      <c r="AZ69" s="5">
        <f ca="1">+VLOOKUP($A69,INDIRECT(Adrese!D$2),7,FALSE)</f>
        <v>0.93362831899999998</v>
      </c>
      <c r="BA69" s="5">
        <f ca="1">+VLOOKUP($A69,INDIRECT(Adrese!E$2),7,FALSE)</f>
        <v>0.93362831899999998</v>
      </c>
      <c r="BB69" s="5">
        <f ca="1">+VLOOKUP($A69,INDIRECT(Adrese!F$2),7,FALSE)</f>
        <v>0.93362831899999998</v>
      </c>
      <c r="BC69" s="5" t="str">
        <f t="shared" ca="1" si="36"/>
        <v>0.93 (0.00)</v>
      </c>
      <c r="BD69">
        <f t="shared" ca="1" si="26"/>
        <v>0.93362831891681408</v>
      </c>
      <c r="BE69" s="5">
        <f t="shared" ca="1" si="37"/>
        <v>1.8600918405515478E-10</v>
      </c>
      <c r="BG69" t="s">
        <v>129</v>
      </c>
      <c r="BH69" s="5">
        <f ca="1">+VLOOKUP($BG69,INDIRECT(Adrese!B$2),8,FALSE)</f>
        <v>7.7698591254819635E-2</v>
      </c>
      <c r="BI69" s="5">
        <f ca="1">+VLOOKUP($BG69,INDIRECT(Adrese!C$2),8,FALSE)</f>
        <v>7.8139636999999998E-2</v>
      </c>
      <c r="BJ69" s="5">
        <f ca="1">+VLOOKUP($BG69,INDIRECT(Adrese!D$2),8,FALSE)</f>
        <v>7.8148387E-2</v>
      </c>
      <c r="BK69" s="5">
        <f ca="1">+VLOOKUP($BG69,INDIRECT(Adrese!E$2),8,FALSE)</f>
        <v>7.8220831000000005E-2</v>
      </c>
      <c r="BL69" s="5">
        <f ca="1">+VLOOKUP($BG69,INDIRECT(Adrese!F$2),8,FALSE)</f>
        <v>7.7777635999999997E-2</v>
      </c>
      <c r="BM69" s="5" t="str">
        <f t="shared" ca="1" si="38"/>
        <v>0.08 (0.00)</v>
      </c>
      <c r="BN69" s="5">
        <f t="shared" ca="1" si="27"/>
        <v>7.7997016450963921E-2</v>
      </c>
      <c r="BO69" s="5">
        <f t="shared" ca="1" si="39"/>
        <v>2.4006873830319491E-4</v>
      </c>
      <c r="BQ69" t="s">
        <v>129</v>
      </c>
      <c r="BR69" s="5">
        <f ca="1">+VLOOKUP($BG69,INDIRECT(Adrese!B$2),9,FALSE)</f>
        <v>8.7426759491530392E-2</v>
      </c>
      <c r="BS69" s="5">
        <f ca="1">+VLOOKUP($BG69,INDIRECT(Adrese!C$2),9,FALSE)</f>
        <v>8.7537716000000002E-2</v>
      </c>
      <c r="BT69" s="5">
        <f ca="1">+VLOOKUP($BG69,INDIRECT(Adrese!D$2),9,FALSE)</f>
        <v>8.7676263000000004E-2</v>
      </c>
      <c r="BU69" s="5">
        <f ca="1">+VLOOKUP($BG69,INDIRECT(Adrese!E$2),9,FALSE)</f>
        <v>8.7708533000000005E-2</v>
      </c>
      <c r="BV69" s="5">
        <f ca="1">+VLOOKUP($BG69,INDIRECT(Adrese!F$2),9,FALSE)</f>
        <v>8.6832449000000006E-2</v>
      </c>
      <c r="BW69" s="5" t="str">
        <f t="shared" ca="1" si="40"/>
        <v>0.09 (0.00)</v>
      </c>
      <c r="BX69" s="5">
        <f t="shared" ca="1" si="28"/>
        <v>8.7436344098306071E-2</v>
      </c>
      <c r="BY69" s="5">
        <f t="shared" ca="1" si="41"/>
        <v>3.5591617499544523E-4</v>
      </c>
    </row>
    <row r="70" spans="1:77" x14ac:dyDescent="0.25">
      <c r="A70" t="s">
        <v>130</v>
      </c>
      <c r="B70" s="12">
        <f ca="1">+VLOOKUP($A70,INDIRECT(Adrese!B$2),2,FALSE)</f>
        <v>68</v>
      </c>
      <c r="C70" s="12">
        <f ca="1">+VLOOKUP($A70,INDIRECT(Adrese!C$2),2,FALSE)</f>
        <v>69</v>
      </c>
      <c r="D70" s="12">
        <f ca="1">+VLOOKUP($A70,INDIRECT(Adrese!D$2),2,FALSE)</f>
        <v>69</v>
      </c>
      <c r="E70" s="12">
        <f ca="1">+VLOOKUP($A70,INDIRECT(Adrese!E$2),2,FALSE)</f>
        <v>65</v>
      </c>
      <c r="F70" s="12">
        <f ca="1">+VLOOKUP($A70,INDIRECT(Adrese!F$2),2,FALSE)</f>
        <v>63</v>
      </c>
      <c r="G70" s="5">
        <f t="shared" ca="1" si="21"/>
        <v>66.8</v>
      </c>
      <c r="H70" s="5">
        <f t="shared" ca="1" si="29"/>
        <v>2.6832815729997477</v>
      </c>
      <c r="J70" t="s">
        <v>130</v>
      </c>
      <c r="K70">
        <f ca="1">+VLOOKUP($A70,INDIRECT(Adrese!B$2),3,FALSE)</f>
        <v>154</v>
      </c>
      <c r="L70">
        <f ca="1">+VLOOKUP($A70,INDIRECT(Adrese!C$2),3,FALSE)</f>
        <v>152</v>
      </c>
      <c r="M70">
        <f ca="1">+VLOOKUP($A70,INDIRECT(Adrese!D$2),3,FALSE)</f>
        <v>150</v>
      </c>
      <c r="N70">
        <f ca="1">+VLOOKUP($A70,INDIRECT(Adrese!E$2),3,FALSE)</f>
        <v>151</v>
      </c>
      <c r="O70">
        <f ca="1">+VLOOKUP($A70,INDIRECT(Adrese!F$2),3,FALSE)</f>
        <v>153</v>
      </c>
      <c r="P70" s="5">
        <f t="shared" ca="1" si="22"/>
        <v>152</v>
      </c>
      <c r="Q70" s="5">
        <f t="shared" ca="1" si="30"/>
        <v>1.5811388300841898</v>
      </c>
      <c r="T70" t="s">
        <v>130</v>
      </c>
      <c r="U70">
        <f ca="1">+VLOOKUP($T70,INDIRECT(Adrese!B$2),4,FALSE)</f>
        <v>119046</v>
      </c>
      <c r="V70">
        <f ca="1">+VLOOKUP($T70,INDIRECT(Adrese!C$2),4,FALSE)</f>
        <v>118922</v>
      </c>
      <c r="W70">
        <f ca="1">+VLOOKUP($T70,INDIRECT(Adrese!D$2),4,FALSE)</f>
        <v>118938</v>
      </c>
      <c r="X70">
        <f ca="1">+VLOOKUP($T70,INDIRECT(Adrese!E$2),4,FALSE)</f>
        <v>119126</v>
      </c>
      <c r="Y70">
        <f ca="1">+VLOOKUP($T70,INDIRECT(Adrese!F$2),4,FALSE)</f>
        <v>119157</v>
      </c>
      <c r="Z70">
        <f t="shared" ca="1" si="31"/>
        <v>595189</v>
      </c>
      <c r="AA70" s="5">
        <f t="shared" ca="1" si="23"/>
        <v>119037.8</v>
      </c>
      <c r="AB70" s="5">
        <f t="shared" ca="1" si="32"/>
        <v>106.56547283243293</v>
      </c>
      <c r="AD70" t="s">
        <v>130</v>
      </c>
      <c r="AE70">
        <f ca="1">+VLOOKUP($A70,INDIRECT(Adrese!B$2),5,FALSE)</f>
        <v>35483</v>
      </c>
      <c r="AF70">
        <f ca="1">+VLOOKUP($A70,INDIRECT(Adrese!C$2),5,FALSE)</f>
        <v>35429</v>
      </c>
      <c r="AG70">
        <f ca="1">+VLOOKUP($A70,INDIRECT(Adrese!D$2),5,FALSE)</f>
        <v>35373</v>
      </c>
      <c r="AH70">
        <f ca="1">+VLOOKUP($A70,INDIRECT(Adrese!E$2),5,FALSE)</f>
        <v>35541</v>
      </c>
      <c r="AI70">
        <f ca="1">+VLOOKUP($A70,INDIRECT(Adrese!F$2),5,FALSE)</f>
        <v>35528</v>
      </c>
      <c r="AJ70" s="5">
        <f t="shared" ca="1" si="24"/>
        <v>35470.800000000003</v>
      </c>
      <c r="AK70" s="5">
        <f t="shared" ca="1" si="33"/>
        <v>70.108487360661272</v>
      </c>
      <c r="AM70" t="s">
        <v>130</v>
      </c>
      <c r="AN70" s="5">
        <f ca="1">+VLOOKUP($A70,INDIRECT(Adrese!B$2),6,FALSE)</f>
        <v>0.78061946902654866</v>
      </c>
      <c r="AO70" s="5">
        <f ca="1">+VLOOKUP($A70,INDIRECT(Adrese!C$2),6,FALSE)</f>
        <v>0.77942477899999996</v>
      </c>
      <c r="AP70" s="5">
        <f ca="1">+VLOOKUP($A70,INDIRECT(Adrese!D$2),6,FALSE)</f>
        <v>0.77818584099999999</v>
      </c>
      <c r="AQ70" s="5">
        <f ca="1">+VLOOKUP($A70,INDIRECT(Adrese!E$2),6,FALSE)</f>
        <v>0.781902655</v>
      </c>
      <c r="AR70" s="5">
        <f ca="1">+VLOOKUP($A70,INDIRECT(Adrese!F$2),6,FALSE)</f>
        <v>0.78161504400000004</v>
      </c>
      <c r="AS70" s="5" t="str">
        <f t="shared" ca="1" si="34"/>
        <v>0.78 (0.00)</v>
      </c>
      <c r="AT70" s="5">
        <f t="shared" ca="1" si="25"/>
        <v>0.78034955760530977</v>
      </c>
      <c r="AU70" s="5">
        <f t="shared" ca="1" si="35"/>
        <v>1.5510725744454223E-3</v>
      </c>
      <c r="AW70" t="s">
        <v>130</v>
      </c>
      <c r="AX70" s="5">
        <f ca="1">+VLOOKUP($A70,INDIRECT(Adrese!B$2),7,FALSE)</f>
        <v>0.31858407079646017</v>
      </c>
      <c r="AY70" s="5">
        <f ca="1">+VLOOKUP($A70,INDIRECT(Adrese!C$2),7,FALSE)</f>
        <v>0.32743362799999998</v>
      </c>
      <c r="AZ70" s="5">
        <f ca="1">+VLOOKUP($A70,INDIRECT(Adrese!D$2),7,FALSE)</f>
        <v>0.33628318600000001</v>
      </c>
      <c r="BA70" s="5">
        <f ca="1">+VLOOKUP($A70,INDIRECT(Adrese!E$2),7,FALSE)</f>
        <v>0.33185840700000002</v>
      </c>
      <c r="BB70" s="5">
        <f ca="1">+VLOOKUP($A70,INDIRECT(Adrese!F$2),7,FALSE)</f>
        <v>0.32300885000000001</v>
      </c>
      <c r="BC70" s="5" t="str">
        <f t="shared" ca="1" si="36"/>
        <v>0.33 (0.01)</v>
      </c>
      <c r="BD70">
        <f t="shared" ca="1" si="26"/>
        <v>0.32743362835929196</v>
      </c>
      <c r="BE70" s="5">
        <f t="shared" ca="1" si="37"/>
        <v>6.9961894814643969E-3</v>
      </c>
      <c r="BG70" t="s">
        <v>130</v>
      </c>
      <c r="BH70" s="5">
        <f ca="1">+VLOOKUP($BG70,INDIRECT(Adrese!B$2),8,FALSE)</f>
        <v>7.9116896242038548E-2</v>
      </c>
      <c r="BI70" s="5">
        <f ca="1">+VLOOKUP($BG70,INDIRECT(Adrese!C$2),8,FALSE)</f>
        <v>7.9112640999999997E-2</v>
      </c>
      <c r="BJ70" s="5">
        <f ca="1">+VLOOKUP($BG70,INDIRECT(Adrese!D$2),8,FALSE)</f>
        <v>7.8859390000000001E-2</v>
      </c>
      <c r="BK70" s="5">
        <f ca="1">+VLOOKUP($BG70,INDIRECT(Adrese!E$2),8,FALSE)</f>
        <v>7.9220846999999997E-2</v>
      </c>
      <c r="BL70" s="5">
        <f ca="1">+VLOOKUP($BG70,INDIRECT(Adrese!F$2),8,FALSE)</f>
        <v>7.9377148999999994E-2</v>
      </c>
      <c r="BM70" s="5" t="str">
        <f t="shared" ca="1" si="38"/>
        <v>0.08 (0.00)</v>
      </c>
      <c r="BN70" s="5">
        <f t="shared" ca="1" si="27"/>
        <v>7.9137384648407708E-2</v>
      </c>
      <c r="BO70" s="5">
        <f t="shared" ca="1" si="39"/>
        <v>1.8892191237597405E-4</v>
      </c>
      <c r="BQ70" t="s">
        <v>130</v>
      </c>
      <c r="BR70" s="5">
        <f ca="1">+VLOOKUP($BG70,INDIRECT(Adrese!B$2),9,FALSE)</f>
        <v>8.6983796889903195E-2</v>
      </c>
      <c r="BS70" s="5">
        <f ca="1">+VLOOKUP($BG70,INDIRECT(Adrese!C$2),9,FALSE)</f>
        <v>8.7255122000000004E-2</v>
      </c>
      <c r="BT70" s="5">
        <f ca="1">+VLOOKUP($BG70,INDIRECT(Adrese!D$2),9,FALSE)</f>
        <v>8.6220316000000005E-2</v>
      </c>
      <c r="BU70" s="5">
        <f ca="1">+VLOOKUP($BG70,INDIRECT(Adrese!E$2),9,FALSE)</f>
        <v>8.7127139000000006E-2</v>
      </c>
      <c r="BV70" s="5">
        <f ca="1">+VLOOKUP($BG70,INDIRECT(Adrese!F$2),9,FALSE)</f>
        <v>8.7473182999999996E-2</v>
      </c>
      <c r="BW70" s="5" t="str">
        <f t="shared" ca="1" si="40"/>
        <v>0.09 (0.00)</v>
      </c>
      <c r="BX70" s="5">
        <f t="shared" ca="1" si="28"/>
        <v>8.7011911377980644E-2</v>
      </c>
      <c r="BY70" s="5">
        <f t="shared" ca="1" si="41"/>
        <v>4.7765416037647278E-4</v>
      </c>
    </row>
    <row r="71" spans="1:77" x14ac:dyDescent="0.25">
      <c r="A71" t="s">
        <v>131</v>
      </c>
      <c r="B71" s="12">
        <f ca="1">+VLOOKUP($A71,INDIRECT(Adrese!B$2),2,FALSE)</f>
        <v>69</v>
      </c>
      <c r="C71" s="12">
        <f ca="1">+VLOOKUP($A71,INDIRECT(Adrese!C$2),2,FALSE)</f>
        <v>65</v>
      </c>
      <c r="D71" s="12">
        <f ca="1">+VLOOKUP($A71,INDIRECT(Adrese!D$2),2,FALSE)</f>
        <v>72</v>
      </c>
      <c r="E71" s="12">
        <f ca="1">+VLOOKUP($A71,INDIRECT(Adrese!E$2),2,FALSE)</f>
        <v>60</v>
      </c>
      <c r="F71" s="12">
        <f ca="1">+VLOOKUP($A71,INDIRECT(Adrese!F$2),2,FALSE)</f>
        <v>75</v>
      </c>
      <c r="G71" s="5">
        <f t="shared" ca="1" si="21"/>
        <v>68.2</v>
      </c>
      <c r="H71" s="5">
        <f t="shared" ca="1" si="29"/>
        <v>5.8906705900092566</v>
      </c>
      <c r="J71" t="s">
        <v>131</v>
      </c>
      <c r="K71">
        <f ca="1">+VLOOKUP($A71,INDIRECT(Adrese!B$2),3,FALSE)</f>
        <v>0</v>
      </c>
      <c r="L71">
        <f ca="1">+VLOOKUP($A71,INDIRECT(Adrese!C$2),3,FALSE)</f>
        <v>0</v>
      </c>
      <c r="M71">
        <f ca="1">+VLOOKUP($A71,INDIRECT(Adrese!D$2),3,FALSE)</f>
        <v>0</v>
      </c>
      <c r="N71">
        <f ca="1">+VLOOKUP($A71,INDIRECT(Adrese!E$2),3,FALSE)</f>
        <v>0</v>
      </c>
      <c r="O71">
        <f ca="1">+VLOOKUP($A71,INDIRECT(Adrese!F$2),3,FALSE)</f>
        <v>0</v>
      </c>
      <c r="P71" s="5">
        <f t="shared" ca="1" si="22"/>
        <v>0</v>
      </c>
      <c r="Q71" s="5">
        <f t="shared" ca="1" si="30"/>
        <v>0</v>
      </c>
      <c r="T71" t="s">
        <v>131</v>
      </c>
      <c r="U71">
        <f ca="1">+VLOOKUP($T71,INDIRECT(Adrese!B$2),4,FALSE)</f>
        <v>118973</v>
      </c>
      <c r="V71">
        <f ca="1">+VLOOKUP($T71,INDIRECT(Adrese!C$2),4,FALSE)</f>
        <v>119392</v>
      </c>
      <c r="W71">
        <f ca="1">+VLOOKUP($T71,INDIRECT(Adrese!D$2),4,FALSE)</f>
        <v>118873</v>
      </c>
      <c r="X71">
        <f ca="1">+VLOOKUP($T71,INDIRECT(Adrese!E$2),4,FALSE)</f>
        <v>119649</v>
      </c>
      <c r="Y71">
        <f ca="1">+VLOOKUP($T71,INDIRECT(Adrese!F$2),4,FALSE)</f>
        <v>118293</v>
      </c>
      <c r="Z71">
        <f t="shared" ca="1" si="31"/>
        <v>595180</v>
      </c>
      <c r="AA71" s="5">
        <f t="shared" ca="1" si="23"/>
        <v>119036</v>
      </c>
      <c r="AB71" s="5">
        <f t="shared" ca="1" si="32"/>
        <v>520.83874663853499</v>
      </c>
      <c r="AD71" t="s">
        <v>131</v>
      </c>
      <c r="AE71">
        <f ca="1">+VLOOKUP($A71,INDIRECT(Adrese!B$2),5,FALSE)</f>
        <v>35723</v>
      </c>
      <c r="AF71">
        <f ca="1">+VLOOKUP($A71,INDIRECT(Adrese!C$2),5,FALSE)</f>
        <v>35987</v>
      </c>
      <c r="AG71">
        <f ca="1">+VLOOKUP($A71,INDIRECT(Adrese!D$2),5,FALSE)</f>
        <v>35693</v>
      </c>
      <c r="AH71">
        <f ca="1">+VLOOKUP($A71,INDIRECT(Adrese!E$2),5,FALSE)</f>
        <v>36063</v>
      </c>
      <c r="AI71">
        <f ca="1">+VLOOKUP($A71,INDIRECT(Adrese!F$2),5,FALSE)</f>
        <v>35438</v>
      </c>
      <c r="AJ71" s="5">
        <f t="shared" ca="1" si="24"/>
        <v>35780.800000000003</v>
      </c>
      <c r="AK71" s="5">
        <f t="shared" ca="1" si="33"/>
        <v>250.35814346651478</v>
      </c>
      <c r="AM71" t="s">
        <v>131</v>
      </c>
      <c r="AN71" s="5">
        <f ca="1">+VLOOKUP($A71,INDIRECT(Adrese!B$2),6,FALSE)</f>
        <v>0.78590707964601769</v>
      </c>
      <c r="AO71" s="5">
        <f ca="1">+VLOOKUP($A71,INDIRECT(Adrese!C$2),6,FALSE)</f>
        <v>0.79174778800000001</v>
      </c>
      <c r="AP71" s="5">
        <f ca="1">+VLOOKUP($A71,INDIRECT(Adrese!D$2),6,FALSE)</f>
        <v>0.78524336299999997</v>
      </c>
      <c r="AQ71" s="5">
        <f ca="1">+VLOOKUP($A71,INDIRECT(Adrese!E$2),6,FALSE)</f>
        <v>0.79342920400000005</v>
      </c>
      <c r="AR71" s="5">
        <f ca="1">+VLOOKUP($A71,INDIRECT(Adrese!F$2),6,FALSE)</f>
        <v>0.77960176999999997</v>
      </c>
      <c r="AS71" s="5" t="str">
        <f t="shared" ca="1" si="34"/>
        <v>0.79 (0.01)</v>
      </c>
      <c r="AT71" s="5">
        <f t="shared" ca="1" si="25"/>
        <v>0.78718584092920341</v>
      </c>
      <c r="AU71" s="5">
        <f t="shared" ca="1" si="35"/>
        <v>5.5388971441646881E-3</v>
      </c>
      <c r="AW71" t="s">
        <v>131</v>
      </c>
      <c r="AX71" s="5">
        <f ca="1">+VLOOKUP($A71,INDIRECT(Adrese!B$2),7,FALSE)</f>
        <v>1</v>
      </c>
      <c r="AY71" s="5">
        <f ca="1">+VLOOKUP($A71,INDIRECT(Adrese!C$2),7,FALSE)</f>
        <v>1</v>
      </c>
      <c r="AZ71" s="5">
        <f ca="1">+VLOOKUP($A71,INDIRECT(Adrese!D$2),7,FALSE)</f>
        <v>1</v>
      </c>
      <c r="BA71" s="5">
        <f ca="1">+VLOOKUP($A71,INDIRECT(Adrese!E$2),7,FALSE)</f>
        <v>1</v>
      </c>
      <c r="BB71" s="5">
        <f ca="1">+VLOOKUP($A71,INDIRECT(Adrese!F$2),7,FALSE)</f>
        <v>1</v>
      </c>
      <c r="BC71" s="5" t="str">
        <f t="shared" ca="1" si="36"/>
        <v>1.00 (0.00)</v>
      </c>
      <c r="BD71">
        <f t="shared" ca="1" si="26"/>
        <v>1</v>
      </c>
      <c r="BE71" s="5">
        <f t="shared" ca="1" si="37"/>
        <v>0</v>
      </c>
      <c r="BG71" t="s">
        <v>131</v>
      </c>
      <c r="BH71" s="5">
        <f ca="1">+VLOOKUP($BG71,INDIRECT(Adrese!B$2),8,FALSE)</f>
        <v>7.9552359579755899E-2</v>
      </c>
      <c r="BI71" s="5">
        <f ca="1">+VLOOKUP($BG71,INDIRECT(Adrese!C$2),8,FALSE)</f>
        <v>7.9863030000000002E-2</v>
      </c>
      <c r="BJ71" s="5">
        <f ca="1">+VLOOKUP($BG71,INDIRECT(Adrese!D$2),8,FALSE)</f>
        <v>7.9595695999999994E-2</v>
      </c>
      <c r="BK71" s="5">
        <f ca="1">+VLOOKUP($BG71,INDIRECT(Adrese!E$2),8,FALSE)</f>
        <v>7.9893162000000004E-2</v>
      </c>
      <c r="BL71" s="5">
        <f ca="1">+VLOOKUP($BG71,INDIRECT(Adrese!F$2),8,FALSE)</f>
        <v>7.9354989000000001E-2</v>
      </c>
      <c r="BM71" s="5" t="str">
        <f t="shared" ca="1" si="38"/>
        <v>0.08 (0.00)</v>
      </c>
      <c r="BN71" s="5">
        <f t="shared" ca="1" si="27"/>
        <v>7.965184731595118E-2</v>
      </c>
      <c r="BO71" s="5">
        <f t="shared" ca="1" si="39"/>
        <v>2.2583541709911772E-4</v>
      </c>
      <c r="BQ71" t="s">
        <v>131</v>
      </c>
      <c r="BR71" s="5">
        <f ca="1">+VLOOKUP($BG71,INDIRECT(Adrese!B$2),9,FALSE)</f>
        <v>8.778664165903563E-2</v>
      </c>
      <c r="BS71" s="5">
        <f ca="1">+VLOOKUP($BG71,INDIRECT(Adrese!C$2),9,FALSE)</f>
        <v>8.7491557999999997E-2</v>
      </c>
      <c r="BT71" s="5">
        <f ca="1">+VLOOKUP($BG71,INDIRECT(Adrese!D$2),9,FALSE)</f>
        <v>8.7589873999999998E-2</v>
      </c>
      <c r="BU71" s="5">
        <f ca="1">+VLOOKUP($BG71,INDIRECT(Adrese!E$2),9,FALSE)</f>
        <v>8.7178975000000006E-2</v>
      </c>
      <c r="BV71" s="5">
        <f ca="1">+VLOOKUP($BG71,INDIRECT(Adrese!F$2),9,FALSE)</f>
        <v>8.8132934999999996E-2</v>
      </c>
      <c r="BW71" s="5" t="str">
        <f t="shared" ca="1" si="40"/>
        <v>0.09 (0.00)</v>
      </c>
      <c r="BX71" s="5">
        <f t="shared" ca="1" si="28"/>
        <v>8.7635996731807136E-2</v>
      </c>
      <c r="BY71" s="5">
        <f t="shared" ca="1" si="41"/>
        <v>3.5408341300941821E-4</v>
      </c>
    </row>
    <row r="72" spans="1:77" x14ac:dyDescent="0.25">
      <c r="A72" t="s">
        <v>132</v>
      </c>
      <c r="B72" s="12">
        <f ca="1">+VLOOKUP($A72,INDIRECT(Adrese!B$2),2,FALSE)</f>
        <v>70</v>
      </c>
      <c r="C72" s="12">
        <f ca="1">+VLOOKUP($A72,INDIRECT(Adrese!C$2),2,FALSE)</f>
        <v>64</v>
      </c>
      <c r="D72" s="12">
        <f ca="1">+VLOOKUP($A72,INDIRECT(Adrese!D$2),2,FALSE)</f>
        <v>67</v>
      </c>
      <c r="E72" s="12">
        <f ca="1">+VLOOKUP($A72,INDIRECT(Adrese!E$2),2,FALSE)</f>
        <v>67</v>
      </c>
      <c r="F72" s="12">
        <f ca="1">+VLOOKUP($A72,INDIRECT(Adrese!F$2),2,FALSE)</f>
        <v>58</v>
      </c>
      <c r="G72" s="5">
        <f t="shared" ca="1" si="21"/>
        <v>65.2</v>
      </c>
      <c r="H72" s="5">
        <f t="shared" ca="1" si="29"/>
        <v>4.5497252664309302</v>
      </c>
      <c r="J72" t="s">
        <v>132</v>
      </c>
      <c r="K72">
        <f ca="1">+VLOOKUP($A72,INDIRECT(Adrese!B$2),3,FALSE)</f>
        <v>0</v>
      </c>
      <c r="L72">
        <f ca="1">+VLOOKUP($A72,INDIRECT(Adrese!C$2),3,FALSE)</f>
        <v>0</v>
      </c>
      <c r="M72">
        <f ca="1">+VLOOKUP($A72,INDIRECT(Adrese!D$2),3,FALSE)</f>
        <v>0</v>
      </c>
      <c r="N72">
        <f ca="1">+VLOOKUP($A72,INDIRECT(Adrese!E$2),3,FALSE)</f>
        <v>0</v>
      </c>
      <c r="O72">
        <f ca="1">+VLOOKUP($A72,INDIRECT(Adrese!F$2),3,FALSE)</f>
        <v>0</v>
      </c>
      <c r="P72" s="5">
        <f t="shared" ca="1" si="22"/>
        <v>0</v>
      </c>
      <c r="Q72" s="5">
        <f t="shared" ca="1" si="30"/>
        <v>0</v>
      </c>
      <c r="T72" t="s">
        <v>132</v>
      </c>
      <c r="U72">
        <f ca="1">+VLOOKUP($T72,INDIRECT(Adrese!B$2),4,FALSE)</f>
        <v>118890</v>
      </c>
      <c r="V72">
        <f ca="1">+VLOOKUP($T72,INDIRECT(Adrese!C$2),4,FALSE)</f>
        <v>119395</v>
      </c>
      <c r="W72">
        <f ca="1">+VLOOKUP($T72,INDIRECT(Adrese!D$2),4,FALSE)</f>
        <v>118960</v>
      </c>
      <c r="X72">
        <f ca="1">+VLOOKUP($T72,INDIRECT(Adrese!E$2),4,FALSE)</f>
        <v>118978</v>
      </c>
      <c r="Y72">
        <f ca="1">+VLOOKUP($T72,INDIRECT(Adrese!F$2),4,FALSE)</f>
        <v>119613</v>
      </c>
      <c r="Z72">
        <f t="shared" ca="1" si="31"/>
        <v>595836</v>
      </c>
      <c r="AA72" s="5">
        <f t="shared" ca="1" si="23"/>
        <v>119167.2</v>
      </c>
      <c r="AB72" s="5">
        <f t="shared" ca="1" si="32"/>
        <v>318.66863667452435</v>
      </c>
      <c r="AD72" t="s">
        <v>132</v>
      </c>
      <c r="AE72">
        <f ca="1">+VLOOKUP($A72,INDIRECT(Adrese!B$2),5,FALSE)</f>
        <v>37371</v>
      </c>
      <c r="AF72">
        <f ca="1">+VLOOKUP($A72,INDIRECT(Adrese!C$2),5,FALSE)</f>
        <v>37605</v>
      </c>
      <c r="AG72">
        <f ca="1">+VLOOKUP($A72,INDIRECT(Adrese!D$2),5,FALSE)</f>
        <v>37316</v>
      </c>
      <c r="AH72">
        <f ca="1">+VLOOKUP($A72,INDIRECT(Adrese!E$2),5,FALSE)</f>
        <v>37492</v>
      </c>
      <c r="AI72">
        <f ca="1">+VLOOKUP($A72,INDIRECT(Adrese!F$2),5,FALSE)</f>
        <v>38003</v>
      </c>
      <c r="AJ72" s="5">
        <f t="shared" ca="1" si="24"/>
        <v>37557.4</v>
      </c>
      <c r="AK72" s="5">
        <f t="shared" ca="1" si="33"/>
        <v>273.00238094199841</v>
      </c>
      <c r="AM72" t="s">
        <v>132</v>
      </c>
      <c r="AN72" s="5">
        <f ca="1">+VLOOKUP($A72,INDIRECT(Adrese!B$2),6,FALSE)</f>
        <v>0.82236725663716814</v>
      </c>
      <c r="AO72" s="5">
        <f ca="1">+VLOOKUP($A72,INDIRECT(Adrese!C$2),6,FALSE)</f>
        <v>0.82754424800000004</v>
      </c>
      <c r="AP72" s="5">
        <f ca="1">+VLOOKUP($A72,INDIRECT(Adrese!D$2),6,FALSE)</f>
        <v>0.82115044199999998</v>
      </c>
      <c r="AQ72" s="5">
        <f ca="1">+VLOOKUP($A72,INDIRECT(Adrese!E$2),6,FALSE)</f>
        <v>0.82504424799999998</v>
      </c>
      <c r="AR72" s="5">
        <f ca="1">+VLOOKUP($A72,INDIRECT(Adrese!F$2),6,FALSE)</f>
        <v>0.83634955799999999</v>
      </c>
      <c r="AS72" s="5" t="str">
        <f t="shared" ca="1" si="34"/>
        <v>0.83 (0.01)</v>
      </c>
      <c r="AT72" s="5">
        <f t="shared" ca="1" si="25"/>
        <v>0.82649115052743372</v>
      </c>
      <c r="AU72" s="5">
        <f t="shared" ca="1" si="35"/>
        <v>6.0398759817347127E-3</v>
      </c>
      <c r="AW72" t="s">
        <v>132</v>
      </c>
      <c r="AX72" s="5">
        <f ca="1">+VLOOKUP($A72,INDIRECT(Adrese!B$2),7,FALSE)</f>
        <v>1</v>
      </c>
      <c r="AY72" s="5">
        <f ca="1">+VLOOKUP($A72,INDIRECT(Adrese!C$2),7,FALSE)</f>
        <v>1</v>
      </c>
      <c r="AZ72" s="5">
        <f ca="1">+VLOOKUP($A72,INDIRECT(Adrese!D$2),7,FALSE)</f>
        <v>1</v>
      </c>
      <c r="BA72" s="5">
        <f ca="1">+VLOOKUP($A72,INDIRECT(Adrese!E$2),7,FALSE)</f>
        <v>1</v>
      </c>
      <c r="BB72" s="5">
        <f ca="1">+VLOOKUP($A72,INDIRECT(Adrese!F$2),7,FALSE)</f>
        <v>1</v>
      </c>
      <c r="BC72" s="5" t="str">
        <f t="shared" ca="1" si="36"/>
        <v>1.00 (0.00)</v>
      </c>
      <c r="BD72">
        <f t="shared" ca="1" si="26"/>
        <v>1</v>
      </c>
      <c r="BE72" s="5">
        <f t="shared" ca="1" si="37"/>
        <v>0</v>
      </c>
      <c r="BG72" t="s">
        <v>132</v>
      </c>
      <c r="BH72" s="5">
        <f ca="1">+VLOOKUP($BG72,INDIRECT(Adrese!B$2),8,FALSE)</f>
        <v>8.2015143283731995E-2</v>
      </c>
      <c r="BI72" s="5">
        <f ca="1">+VLOOKUP($BG72,INDIRECT(Adrese!C$2),8,FALSE)</f>
        <v>8.2407254999999999E-2</v>
      </c>
      <c r="BJ72" s="5">
        <f ca="1">+VLOOKUP($BG72,INDIRECT(Adrese!D$2),8,FALSE)</f>
        <v>8.2065812000000002E-2</v>
      </c>
      <c r="BK72" s="5">
        <f ca="1">+VLOOKUP($BG72,INDIRECT(Adrese!E$2),8,FALSE)</f>
        <v>8.2229231E-2</v>
      </c>
      <c r="BL72" s="5">
        <f ca="1">+VLOOKUP($BG72,INDIRECT(Adrese!F$2),8,FALSE)</f>
        <v>8.2876938999999997E-2</v>
      </c>
      <c r="BM72" s="5" t="str">
        <f t="shared" ca="1" si="38"/>
        <v>0.08 (0.00)</v>
      </c>
      <c r="BN72" s="5">
        <f t="shared" ca="1" si="27"/>
        <v>8.2318876056746398E-2</v>
      </c>
      <c r="BO72" s="5">
        <f t="shared" ca="1" si="39"/>
        <v>3.4769826598018847E-4</v>
      </c>
      <c r="BQ72" t="s">
        <v>132</v>
      </c>
      <c r="BR72" s="5">
        <f ca="1">+VLOOKUP($BG72,INDIRECT(Adrese!B$2),9,FALSE)</f>
        <v>8.8876386348275022E-2</v>
      </c>
      <c r="BS72" s="5">
        <f ca="1">+VLOOKUP($BG72,INDIRECT(Adrese!C$2),9,FALSE)</f>
        <v>8.9144928999999998E-2</v>
      </c>
      <c r="BT72" s="5">
        <f ca="1">+VLOOKUP($BG72,INDIRECT(Adrese!D$2),9,FALSE)</f>
        <v>8.8930602999999997E-2</v>
      </c>
      <c r="BU72" s="5">
        <f ca="1">+VLOOKUP($BG72,INDIRECT(Adrese!E$2),9,FALSE)</f>
        <v>8.8990785000000003E-2</v>
      </c>
      <c r="BV72" s="5">
        <f ca="1">+VLOOKUP($BG72,INDIRECT(Adrese!F$2),9,FALSE)</f>
        <v>8.8500392999999997E-2</v>
      </c>
      <c r="BW72" s="5" t="str">
        <f t="shared" ca="1" si="40"/>
        <v>0.09 (0.00)</v>
      </c>
      <c r="BX72" s="5">
        <f t="shared" ca="1" si="28"/>
        <v>8.8888619269655009E-2</v>
      </c>
      <c r="BY72" s="5">
        <f t="shared" ca="1" si="41"/>
        <v>2.3914662278394337E-4</v>
      </c>
    </row>
    <row r="73" spans="1:77" x14ac:dyDescent="0.25">
      <c r="A73" t="s">
        <v>133</v>
      </c>
      <c r="B73" s="12">
        <f ca="1">+VLOOKUP($A73,INDIRECT(Adrese!B$2),2,FALSE)</f>
        <v>71</v>
      </c>
      <c r="C73" s="12">
        <f ca="1">+VLOOKUP($A73,INDIRECT(Adrese!C$2),2,FALSE)</f>
        <v>77</v>
      </c>
      <c r="D73" s="12">
        <f ca="1">+VLOOKUP($A73,INDIRECT(Adrese!D$2),2,FALSE)</f>
        <v>71</v>
      </c>
      <c r="E73" s="12">
        <f ca="1">+VLOOKUP($A73,INDIRECT(Adrese!E$2),2,FALSE)</f>
        <v>77</v>
      </c>
      <c r="F73" s="12">
        <f ca="1">+VLOOKUP($A73,INDIRECT(Adrese!F$2),2,FALSE)</f>
        <v>85</v>
      </c>
      <c r="G73" s="5">
        <f t="shared" ca="1" si="21"/>
        <v>76.2</v>
      </c>
      <c r="H73" s="5">
        <f t="shared" ca="1" si="29"/>
        <v>5.7619441163551732</v>
      </c>
      <c r="J73" t="s">
        <v>133</v>
      </c>
      <c r="K73">
        <f ca="1">+VLOOKUP($A73,INDIRECT(Adrese!B$2),3,FALSE)</f>
        <v>67</v>
      </c>
      <c r="L73">
        <f ca="1">+VLOOKUP($A73,INDIRECT(Adrese!C$2),3,FALSE)</f>
        <v>67</v>
      </c>
      <c r="M73">
        <f ca="1">+VLOOKUP($A73,INDIRECT(Adrese!D$2),3,FALSE)</f>
        <v>66</v>
      </c>
      <c r="N73">
        <f ca="1">+VLOOKUP($A73,INDIRECT(Adrese!E$2),3,FALSE)</f>
        <v>67</v>
      </c>
      <c r="O73">
        <f ca="1">+VLOOKUP($A73,INDIRECT(Adrese!F$2),3,FALSE)</f>
        <v>68</v>
      </c>
      <c r="P73" s="5">
        <f t="shared" ca="1" si="22"/>
        <v>67</v>
      </c>
      <c r="Q73" s="5">
        <f t="shared" ca="1" si="30"/>
        <v>0.70710678118654757</v>
      </c>
      <c r="T73" t="s">
        <v>133</v>
      </c>
      <c r="U73">
        <f ca="1">+VLOOKUP($T73,INDIRECT(Adrese!B$2),4,FALSE)</f>
        <v>118844</v>
      </c>
      <c r="V73">
        <f ca="1">+VLOOKUP($T73,INDIRECT(Adrese!C$2),4,FALSE)</f>
        <v>118152</v>
      </c>
      <c r="W73">
        <f ca="1">+VLOOKUP($T73,INDIRECT(Adrese!D$2),4,FALSE)</f>
        <v>118904</v>
      </c>
      <c r="X73">
        <f ca="1">+VLOOKUP($T73,INDIRECT(Adrese!E$2),4,FALSE)</f>
        <v>118382</v>
      </c>
      <c r="Y73">
        <f ca="1">+VLOOKUP($T73,INDIRECT(Adrese!F$2),4,FALSE)</f>
        <v>117974</v>
      </c>
      <c r="Z73">
        <f t="shared" ca="1" si="31"/>
        <v>592256</v>
      </c>
      <c r="AA73" s="5">
        <f t="shared" ca="1" si="23"/>
        <v>118451.2</v>
      </c>
      <c r="AB73" s="5">
        <f t="shared" ca="1" si="32"/>
        <v>412.71927505266825</v>
      </c>
      <c r="AD73" t="s">
        <v>133</v>
      </c>
      <c r="AE73">
        <f ca="1">+VLOOKUP($A73,INDIRECT(Adrese!B$2),5,FALSE)</f>
        <v>29244</v>
      </c>
      <c r="AF73">
        <f ca="1">+VLOOKUP($A73,INDIRECT(Adrese!C$2),5,FALSE)</f>
        <v>28849</v>
      </c>
      <c r="AG73">
        <f ca="1">+VLOOKUP($A73,INDIRECT(Adrese!D$2),5,FALSE)</f>
        <v>29006</v>
      </c>
      <c r="AH73">
        <f ca="1">+VLOOKUP($A73,INDIRECT(Adrese!E$2),5,FALSE)</f>
        <v>29156</v>
      </c>
      <c r="AI73">
        <f ca="1">+VLOOKUP($A73,INDIRECT(Adrese!F$2),5,FALSE)</f>
        <v>28840</v>
      </c>
      <c r="AJ73" s="5">
        <f t="shared" ca="1" si="24"/>
        <v>29019</v>
      </c>
      <c r="AK73" s="5">
        <f t="shared" ca="1" si="33"/>
        <v>180.62668684333443</v>
      </c>
      <c r="AM73" t="s">
        <v>133</v>
      </c>
      <c r="AN73" s="5">
        <f ca="1">+VLOOKUP($A73,INDIRECT(Adrese!B$2),6,FALSE)</f>
        <v>0.64256637168141595</v>
      </c>
      <c r="AO73" s="5">
        <f ca="1">+VLOOKUP($A73,INDIRECT(Adrese!C$2),6,FALSE)</f>
        <v>0.63382743399999997</v>
      </c>
      <c r="AP73" s="5">
        <f ca="1">+VLOOKUP($A73,INDIRECT(Adrese!D$2),6,FALSE)</f>
        <v>0.63730088500000004</v>
      </c>
      <c r="AQ73" s="5">
        <f ca="1">+VLOOKUP($A73,INDIRECT(Adrese!E$2),6,FALSE)</f>
        <v>0.640619469</v>
      </c>
      <c r="AR73" s="5">
        <f ca="1">+VLOOKUP($A73,INDIRECT(Adrese!F$2),6,FALSE)</f>
        <v>0.63362831900000005</v>
      </c>
      <c r="AS73" s="5" t="str">
        <f t="shared" ca="1" si="34"/>
        <v>0.64 (0.00)</v>
      </c>
      <c r="AT73" s="5">
        <f t="shared" ca="1" si="25"/>
        <v>0.63758849573628329</v>
      </c>
      <c r="AU73" s="5">
        <f t="shared" ca="1" si="35"/>
        <v>3.9961654417971348E-3</v>
      </c>
      <c r="AW73" t="s">
        <v>133</v>
      </c>
      <c r="AX73" s="5">
        <f ca="1">+VLOOKUP($A73,INDIRECT(Adrese!B$2),7,FALSE)</f>
        <v>0.70353982300884954</v>
      </c>
      <c r="AY73" s="5">
        <f ca="1">+VLOOKUP($A73,INDIRECT(Adrese!C$2),7,FALSE)</f>
        <v>0.70353982299999995</v>
      </c>
      <c r="AZ73" s="5">
        <f ca="1">+VLOOKUP($A73,INDIRECT(Adrese!D$2),7,FALSE)</f>
        <v>0.707964602</v>
      </c>
      <c r="BA73" s="5">
        <f ca="1">+VLOOKUP($A73,INDIRECT(Adrese!E$2),7,FALSE)</f>
        <v>0.70353982299999995</v>
      </c>
      <c r="BB73" s="5">
        <f ca="1">+VLOOKUP($A73,INDIRECT(Adrese!F$2),7,FALSE)</f>
        <v>0.69911504400000002</v>
      </c>
      <c r="BC73" s="5" t="str">
        <f t="shared" ca="1" si="36"/>
        <v>0.70 (0.00)</v>
      </c>
      <c r="BD73">
        <f t="shared" ca="1" si="26"/>
        <v>0.70353982300176987</v>
      </c>
      <c r="BE73" s="5">
        <f t="shared" ca="1" si="37"/>
        <v>3.128791236151823E-3</v>
      </c>
      <c r="BG73" t="s">
        <v>133</v>
      </c>
      <c r="BH73" s="5">
        <f ca="1">+VLOOKUP($BG73,INDIRECT(Adrese!B$2),8,FALSE)</f>
        <v>6.8364453000087547E-2</v>
      </c>
      <c r="BI73" s="5">
        <f ca="1">+VLOOKUP($BG73,INDIRECT(Adrese!C$2),8,FALSE)</f>
        <v>6.7656450000000007E-2</v>
      </c>
      <c r="BJ73" s="5">
        <f ca="1">+VLOOKUP($BG73,INDIRECT(Adrese!D$2),8,FALSE)</f>
        <v>6.8024079000000001E-2</v>
      </c>
      <c r="BK73" s="5">
        <f ca="1">+VLOOKUP($BG73,INDIRECT(Adrese!E$2),8,FALSE)</f>
        <v>6.8209443999999994E-2</v>
      </c>
      <c r="BL73" s="5">
        <f ca="1">+VLOOKUP($BG73,INDIRECT(Adrese!F$2),8,FALSE)</f>
        <v>6.7722358999999996E-2</v>
      </c>
      <c r="BM73" s="5" t="str">
        <f t="shared" ca="1" si="38"/>
        <v>0.07 (0.00)</v>
      </c>
      <c r="BN73" s="5">
        <f t="shared" ca="1" si="27"/>
        <v>6.799535700001752E-2</v>
      </c>
      <c r="BO73" s="5">
        <f t="shared" ca="1" si="39"/>
        <v>3.0507208852442622E-4</v>
      </c>
      <c r="BQ73" t="s">
        <v>133</v>
      </c>
      <c r="BR73" s="5">
        <f ca="1">+VLOOKUP($BG73,INDIRECT(Adrese!B$2),9,FALSE)</f>
        <v>7.6784564732223434E-2</v>
      </c>
      <c r="BS73" s="5">
        <f ca="1">+VLOOKUP($BG73,INDIRECT(Adrese!C$2),9,FALSE)</f>
        <v>7.6321633E-2</v>
      </c>
      <c r="BT73" s="5">
        <f ca="1">+VLOOKUP($BG73,INDIRECT(Adrese!D$2),9,FALSE)</f>
        <v>7.6757407E-2</v>
      </c>
      <c r="BU73" s="5">
        <f ca="1">+VLOOKUP($BG73,INDIRECT(Adrese!E$2),9,FALSE)</f>
        <v>7.6560777999999996E-2</v>
      </c>
      <c r="BV73" s="5">
        <f ca="1">+VLOOKUP($BG73,INDIRECT(Adrese!F$2),9,FALSE)</f>
        <v>7.5916411000000003E-2</v>
      </c>
      <c r="BW73" s="5" t="str">
        <f t="shared" ca="1" si="40"/>
        <v>0.08 (0.00)</v>
      </c>
      <c r="BX73" s="5">
        <f t="shared" ca="1" si="28"/>
        <v>7.6468158746444692E-2</v>
      </c>
      <c r="BY73" s="5">
        <f t="shared" ca="1" si="41"/>
        <v>3.5994825886109035E-4</v>
      </c>
    </row>
    <row r="74" spans="1:77" x14ac:dyDescent="0.25">
      <c r="A74" t="s">
        <v>134</v>
      </c>
      <c r="B74" s="12">
        <f ca="1">+VLOOKUP($A74,INDIRECT(Adrese!B$2),2,FALSE)</f>
        <v>72</v>
      </c>
      <c r="C74" s="12">
        <f ca="1">+VLOOKUP($A74,INDIRECT(Adrese!C$2),2,FALSE)</f>
        <v>66</v>
      </c>
      <c r="D74" s="12">
        <f ca="1">+VLOOKUP($A74,INDIRECT(Adrese!D$2),2,FALSE)</f>
        <v>61</v>
      </c>
      <c r="E74" s="12">
        <f ca="1">+VLOOKUP($A74,INDIRECT(Adrese!E$2),2,FALSE)</f>
        <v>86</v>
      </c>
      <c r="F74" s="12">
        <f ca="1">+VLOOKUP($A74,INDIRECT(Adrese!F$2),2,FALSE)</f>
        <v>72</v>
      </c>
      <c r="G74" s="5">
        <f t="shared" ca="1" si="21"/>
        <v>71.400000000000006</v>
      </c>
      <c r="H74" s="5">
        <f t="shared" ca="1" si="29"/>
        <v>9.370165420097992</v>
      </c>
      <c r="J74" t="s">
        <v>134</v>
      </c>
      <c r="K74">
        <f ca="1">+VLOOKUP($A74,INDIRECT(Adrese!B$2),3,FALSE)</f>
        <v>34</v>
      </c>
      <c r="L74">
        <f ca="1">+VLOOKUP($A74,INDIRECT(Adrese!C$2),3,FALSE)</f>
        <v>35</v>
      </c>
      <c r="M74">
        <f ca="1">+VLOOKUP($A74,INDIRECT(Adrese!D$2),3,FALSE)</f>
        <v>33</v>
      </c>
      <c r="N74">
        <f ca="1">+VLOOKUP($A74,INDIRECT(Adrese!E$2),3,FALSE)</f>
        <v>30</v>
      </c>
      <c r="O74">
        <f ca="1">+VLOOKUP($A74,INDIRECT(Adrese!F$2),3,FALSE)</f>
        <v>30</v>
      </c>
      <c r="P74" s="5">
        <f t="shared" ca="1" si="22"/>
        <v>32.4</v>
      </c>
      <c r="Q74" s="5">
        <f t="shared" ca="1" si="30"/>
        <v>2.3021728866442679</v>
      </c>
      <c r="T74" t="s">
        <v>134</v>
      </c>
      <c r="U74">
        <f ca="1">+VLOOKUP($T74,INDIRECT(Adrese!B$2),4,FALSE)</f>
        <v>118795</v>
      </c>
      <c r="V74">
        <f ca="1">+VLOOKUP($T74,INDIRECT(Adrese!C$2),4,FALSE)</f>
        <v>119177</v>
      </c>
      <c r="W74">
        <f ca="1">+VLOOKUP($T74,INDIRECT(Adrese!D$2),4,FALSE)</f>
        <v>119414</v>
      </c>
      <c r="X74">
        <f ca="1">+VLOOKUP($T74,INDIRECT(Adrese!E$2),4,FALSE)</f>
        <v>117977</v>
      </c>
      <c r="Y74">
        <f ca="1">+VLOOKUP($T74,INDIRECT(Adrese!F$2),4,FALSE)</f>
        <v>118496</v>
      </c>
      <c r="Z74">
        <f t="shared" ca="1" si="31"/>
        <v>593859</v>
      </c>
      <c r="AA74" s="5">
        <f t="shared" ca="1" si="23"/>
        <v>118771.8</v>
      </c>
      <c r="AB74" s="5">
        <f t="shared" ca="1" si="32"/>
        <v>566.77129426250929</v>
      </c>
      <c r="AD74" t="s">
        <v>134</v>
      </c>
      <c r="AE74">
        <f ca="1">+VLOOKUP($A74,INDIRECT(Adrese!B$2),5,FALSE)</f>
        <v>35330</v>
      </c>
      <c r="AF74">
        <f ca="1">+VLOOKUP($A74,INDIRECT(Adrese!C$2),5,FALSE)</f>
        <v>35481</v>
      </c>
      <c r="AG74">
        <f ca="1">+VLOOKUP($A74,INDIRECT(Adrese!D$2),5,FALSE)</f>
        <v>35622</v>
      </c>
      <c r="AH74">
        <f ca="1">+VLOOKUP($A74,INDIRECT(Adrese!E$2),5,FALSE)</f>
        <v>35514</v>
      </c>
      <c r="AI74">
        <f ca="1">+VLOOKUP($A74,INDIRECT(Adrese!F$2),5,FALSE)</f>
        <v>35577</v>
      </c>
      <c r="AJ74" s="5">
        <f t="shared" ca="1" si="24"/>
        <v>35504.800000000003</v>
      </c>
      <c r="AK74" s="5">
        <f t="shared" ca="1" si="33"/>
        <v>111.97633678594778</v>
      </c>
      <c r="AM74" t="s">
        <v>134</v>
      </c>
      <c r="AN74" s="5">
        <f ca="1">+VLOOKUP($A74,INDIRECT(Adrese!B$2),6,FALSE)</f>
        <v>0.77721238938053094</v>
      </c>
      <c r="AO74" s="5">
        <f ca="1">+VLOOKUP($A74,INDIRECT(Adrese!C$2),6,FALSE)</f>
        <v>0.78055309699999997</v>
      </c>
      <c r="AP74" s="5">
        <f ca="1">+VLOOKUP($A74,INDIRECT(Adrese!D$2),6,FALSE)</f>
        <v>0.78367256600000001</v>
      </c>
      <c r="AQ74" s="5">
        <f ca="1">+VLOOKUP($A74,INDIRECT(Adrese!E$2),6,FALSE)</f>
        <v>0.78128318600000002</v>
      </c>
      <c r="AR74" s="5">
        <f ca="1">+VLOOKUP($A74,INDIRECT(Adrese!F$2),6,FALSE)</f>
        <v>0.78267699099999999</v>
      </c>
      <c r="AS74" s="5" t="str">
        <f t="shared" ca="1" si="34"/>
        <v>0.78 (0.00)</v>
      </c>
      <c r="AT74" s="5">
        <f t="shared" ca="1" si="25"/>
        <v>0.78107964587610612</v>
      </c>
      <c r="AU74" s="5">
        <f t="shared" ca="1" si="35"/>
        <v>2.4773524838652469E-3</v>
      </c>
      <c r="AW74" t="s">
        <v>134</v>
      </c>
      <c r="AX74" s="5">
        <f ca="1">+VLOOKUP($A74,INDIRECT(Adrese!B$2),7,FALSE)</f>
        <v>0.84955752212389379</v>
      </c>
      <c r="AY74" s="5">
        <f ca="1">+VLOOKUP($A74,INDIRECT(Adrese!C$2),7,FALSE)</f>
        <v>0.84513274299999996</v>
      </c>
      <c r="AZ74" s="5">
        <f ca="1">+VLOOKUP($A74,INDIRECT(Adrese!D$2),7,FALSE)</f>
        <v>0.85398230100000005</v>
      </c>
      <c r="BA74" s="5">
        <f ca="1">+VLOOKUP($A74,INDIRECT(Adrese!E$2),7,FALSE)</f>
        <v>0.867256637</v>
      </c>
      <c r="BB74" s="5">
        <f ca="1">+VLOOKUP($A74,INDIRECT(Adrese!F$2),7,FALSE)</f>
        <v>0.867256637</v>
      </c>
      <c r="BC74" s="5" t="str">
        <f t="shared" ca="1" si="36"/>
        <v>0.86 (0.01)</v>
      </c>
      <c r="BD74">
        <f t="shared" ca="1" si="26"/>
        <v>0.85663716802477874</v>
      </c>
      <c r="BE74" s="5">
        <f t="shared" ca="1" si="37"/>
        <v>1.0186605700419842E-2</v>
      </c>
      <c r="BG74" t="s">
        <v>134</v>
      </c>
      <c r="BH74" s="5">
        <f ca="1">+VLOOKUP($BG74,INDIRECT(Adrese!B$2),8,FALSE)</f>
        <v>7.5157877691200206E-2</v>
      </c>
      <c r="BI74" s="5">
        <f ca="1">+VLOOKUP($BG74,INDIRECT(Adrese!C$2),8,FALSE)</f>
        <v>7.5430816999999997E-2</v>
      </c>
      <c r="BJ74" s="5">
        <f ca="1">+VLOOKUP($BG74,INDIRECT(Adrese!D$2),8,FALSE)</f>
        <v>7.5837478E-2</v>
      </c>
      <c r="BK74" s="5">
        <f ca="1">+VLOOKUP($BG74,INDIRECT(Adrese!E$2),8,FALSE)</f>
        <v>7.5571025999999999E-2</v>
      </c>
      <c r="BL74" s="5">
        <f ca="1">+VLOOKUP($BG74,INDIRECT(Adrese!F$2),8,FALSE)</f>
        <v>7.5852612999999999E-2</v>
      </c>
      <c r="BM74" s="5" t="str">
        <f t="shared" ca="1" si="38"/>
        <v>0.08 (0.00)</v>
      </c>
      <c r="BN74" s="5">
        <f t="shared" ca="1" si="27"/>
        <v>7.5569962338240038E-2</v>
      </c>
      <c r="BO74" s="5">
        <f t="shared" ca="1" si="39"/>
        <v>2.9181858180059067E-4</v>
      </c>
      <c r="BQ74" t="s">
        <v>134</v>
      </c>
      <c r="BR74" s="5">
        <f ca="1">+VLOOKUP($BG74,INDIRECT(Adrese!B$2),9,FALSE)</f>
        <v>7.1924175110079216E-2</v>
      </c>
      <c r="BS74" s="5">
        <f ca="1">+VLOOKUP($BG74,INDIRECT(Adrese!C$2),9,FALSE)</f>
        <v>7.2194272000000004E-2</v>
      </c>
      <c r="BT74" s="5">
        <f ca="1">+VLOOKUP($BG74,INDIRECT(Adrese!D$2),9,FALSE)</f>
        <v>7.2837032999999995E-2</v>
      </c>
      <c r="BU74" s="5">
        <f ca="1">+VLOOKUP($BG74,INDIRECT(Adrese!E$2),9,FALSE)</f>
        <v>7.2689685000000004E-2</v>
      </c>
      <c r="BV74" s="5">
        <f ca="1">+VLOOKUP($BG74,INDIRECT(Adrese!F$2),9,FALSE)</f>
        <v>7.3012202999999998E-2</v>
      </c>
      <c r="BW74" s="5" t="str">
        <f t="shared" ca="1" si="40"/>
        <v>0.07 (0.00)</v>
      </c>
      <c r="BX74" s="5">
        <f t="shared" ca="1" si="28"/>
        <v>7.2531473622015841E-2</v>
      </c>
      <c r="BY74" s="5">
        <f t="shared" ca="1" si="41"/>
        <v>4.5607415102845265E-4</v>
      </c>
    </row>
    <row r="75" spans="1:77" x14ac:dyDescent="0.25">
      <c r="A75" t="s">
        <v>135</v>
      </c>
      <c r="B75" s="12">
        <f ca="1">+VLOOKUP($A75,INDIRECT(Adrese!B$2),2,FALSE)</f>
        <v>73</v>
      </c>
      <c r="C75" s="12">
        <f ca="1">+VLOOKUP($A75,INDIRECT(Adrese!C$2),2,FALSE)</f>
        <v>82</v>
      </c>
      <c r="D75" s="12">
        <f ca="1">+VLOOKUP($A75,INDIRECT(Adrese!D$2),2,FALSE)</f>
        <v>74</v>
      </c>
      <c r="E75" s="12">
        <f ca="1">+VLOOKUP($A75,INDIRECT(Adrese!E$2),2,FALSE)</f>
        <v>68</v>
      </c>
      <c r="F75" s="12">
        <f ca="1">+VLOOKUP($A75,INDIRECT(Adrese!F$2),2,FALSE)</f>
        <v>76</v>
      </c>
      <c r="G75" s="5">
        <f t="shared" ca="1" si="21"/>
        <v>74.599999999999994</v>
      </c>
      <c r="H75" s="5">
        <f t="shared" ca="1" si="29"/>
        <v>5.0793700396801178</v>
      </c>
      <c r="J75" t="s">
        <v>135</v>
      </c>
      <c r="K75">
        <f ca="1">+VLOOKUP($A75,INDIRECT(Adrese!B$2),3,FALSE)</f>
        <v>0</v>
      </c>
      <c r="L75">
        <f ca="1">+VLOOKUP($A75,INDIRECT(Adrese!C$2),3,FALSE)</f>
        <v>0</v>
      </c>
      <c r="M75">
        <f ca="1">+VLOOKUP($A75,INDIRECT(Adrese!D$2),3,FALSE)</f>
        <v>0</v>
      </c>
      <c r="N75">
        <f ca="1">+VLOOKUP($A75,INDIRECT(Adrese!E$2),3,FALSE)</f>
        <v>0</v>
      </c>
      <c r="O75">
        <f ca="1">+VLOOKUP($A75,INDIRECT(Adrese!F$2),3,FALSE)</f>
        <v>0</v>
      </c>
      <c r="P75" s="5">
        <f t="shared" ca="1" si="22"/>
        <v>0</v>
      </c>
      <c r="Q75" s="5">
        <f t="shared" ca="1" si="30"/>
        <v>0</v>
      </c>
      <c r="T75" t="s">
        <v>135</v>
      </c>
      <c r="U75">
        <f ca="1">+VLOOKUP($T75,INDIRECT(Adrese!B$2),4,FALSE)</f>
        <v>118667</v>
      </c>
      <c r="V75">
        <f ca="1">+VLOOKUP($T75,INDIRECT(Adrese!C$2),4,FALSE)</f>
        <v>117879</v>
      </c>
      <c r="W75">
        <f ca="1">+VLOOKUP($T75,INDIRECT(Adrese!D$2),4,FALSE)</f>
        <v>118720</v>
      </c>
      <c r="X75">
        <f ca="1">+VLOOKUP($T75,INDIRECT(Adrese!E$2),4,FALSE)</f>
        <v>118965</v>
      </c>
      <c r="Y75">
        <f ca="1">+VLOOKUP($T75,INDIRECT(Adrese!F$2),4,FALSE)</f>
        <v>118291</v>
      </c>
      <c r="Z75">
        <f t="shared" ca="1" si="31"/>
        <v>592522</v>
      </c>
      <c r="AA75" s="5">
        <f t="shared" ca="1" si="23"/>
        <v>118504.4</v>
      </c>
      <c r="AB75" s="5">
        <f t="shared" ca="1" si="32"/>
        <v>424.77617635644305</v>
      </c>
      <c r="AD75" t="s">
        <v>135</v>
      </c>
      <c r="AE75">
        <f ca="1">+VLOOKUP($A75,INDIRECT(Adrese!B$2),5,FALSE)</f>
        <v>40541</v>
      </c>
      <c r="AF75">
        <f ca="1">+VLOOKUP($A75,INDIRECT(Adrese!C$2),5,FALSE)</f>
        <v>40153</v>
      </c>
      <c r="AG75">
        <f ca="1">+VLOOKUP($A75,INDIRECT(Adrese!D$2),5,FALSE)</f>
        <v>40533</v>
      </c>
      <c r="AH75">
        <f ca="1">+VLOOKUP($A75,INDIRECT(Adrese!E$2),5,FALSE)</f>
        <v>40811</v>
      </c>
      <c r="AI75">
        <f ca="1">+VLOOKUP($A75,INDIRECT(Adrese!F$2),5,FALSE)</f>
        <v>40348</v>
      </c>
      <c r="AJ75" s="5">
        <f t="shared" ca="1" si="24"/>
        <v>40477.199999999997</v>
      </c>
      <c r="AK75" s="5">
        <f t="shared" ca="1" si="33"/>
        <v>245.15546088145783</v>
      </c>
      <c r="AM75" t="s">
        <v>135</v>
      </c>
      <c r="AN75" s="5">
        <f ca="1">+VLOOKUP($A75,INDIRECT(Adrese!B$2),6,FALSE)</f>
        <v>0.89249999999999996</v>
      </c>
      <c r="AO75" s="5">
        <f ca="1">+VLOOKUP($A75,INDIRECT(Adrese!C$2),6,FALSE)</f>
        <v>0.88391592900000004</v>
      </c>
      <c r="AP75" s="5">
        <f ca="1">+VLOOKUP($A75,INDIRECT(Adrese!D$2),6,FALSE)</f>
        <v>0.89232300899999994</v>
      </c>
      <c r="AQ75" s="5">
        <f ca="1">+VLOOKUP($A75,INDIRECT(Adrese!E$2),6,FALSE)</f>
        <v>0.89847345099999998</v>
      </c>
      <c r="AR75" s="5">
        <f ca="1">+VLOOKUP($A75,INDIRECT(Adrese!F$2),6,FALSE)</f>
        <v>0.88823008800000003</v>
      </c>
      <c r="AS75" s="5" t="str">
        <f t="shared" ca="1" si="34"/>
        <v>0.89 (0.01)</v>
      </c>
      <c r="AT75" s="5">
        <f t="shared" ca="1" si="25"/>
        <v>0.89108849540000001</v>
      </c>
      <c r="AU75" s="5">
        <f t="shared" ca="1" si="35"/>
        <v>5.4237934120216968E-3</v>
      </c>
      <c r="AW75" t="s">
        <v>135</v>
      </c>
      <c r="AX75" s="5">
        <f ca="1">+VLOOKUP($A75,INDIRECT(Adrese!B$2),7,FALSE)</f>
        <v>1</v>
      </c>
      <c r="AY75" s="5">
        <f ca="1">+VLOOKUP($A75,INDIRECT(Adrese!C$2),7,FALSE)</f>
        <v>1</v>
      </c>
      <c r="AZ75" s="5">
        <f ca="1">+VLOOKUP($A75,INDIRECT(Adrese!D$2),7,FALSE)</f>
        <v>1</v>
      </c>
      <c r="BA75" s="5">
        <f ca="1">+VLOOKUP($A75,INDIRECT(Adrese!E$2),7,FALSE)</f>
        <v>1</v>
      </c>
      <c r="BB75" s="5">
        <f ca="1">+VLOOKUP($A75,INDIRECT(Adrese!F$2),7,FALSE)</f>
        <v>1</v>
      </c>
      <c r="BC75" s="5" t="str">
        <f t="shared" ca="1" si="36"/>
        <v>1.00 (0.00)</v>
      </c>
      <c r="BD75">
        <f t="shared" ca="1" si="26"/>
        <v>1</v>
      </c>
      <c r="BE75" s="5">
        <f t="shared" ca="1" si="37"/>
        <v>0</v>
      </c>
      <c r="BG75" t="s">
        <v>135</v>
      </c>
      <c r="BH75" s="5">
        <f ca="1">+VLOOKUP($BG75,INDIRECT(Adrese!B$2),8,FALSE)</f>
        <v>8.5756799329589017E-2</v>
      </c>
      <c r="BI75" s="5">
        <f ca="1">+VLOOKUP($BG75,INDIRECT(Adrese!C$2),8,FALSE)</f>
        <v>8.5269954999999995E-2</v>
      </c>
      <c r="BJ75" s="5">
        <f ca="1">+VLOOKUP($BG75,INDIRECT(Adrese!D$2),8,FALSE)</f>
        <v>8.5961618000000004E-2</v>
      </c>
      <c r="BK75" s="5">
        <f ca="1">+VLOOKUP($BG75,INDIRECT(Adrese!E$2),8,FALSE)</f>
        <v>8.6122222999999998E-2</v>
      </c>
      <c r="BL75" s="5">
        <f ca="1">+VLOOKUP($BG75,INDIRECT(Adrese!F$2),8,FALSE)</f>
        <v>8.5708969999999995E-2</v>
      </c>
      <c r="BM75" s="5" t="str">
        <f t="shared" ca="1" si="38"/>
        <v>0.09 (0.00)</v>
      </c>
      <c r="BN75" s="5">
        <f t="shared" ca="1" si="27"/>
        <v>8.576391306591781E-2</v>
      </c>
      <c r="BO75" s="5">
        <f t="shared" ca="1" si="39"/>
        <v>3.2192280380733361E-4</v>
      </c>
      <c r="BQ75" t="s">
        <v>135</v>
      </c>
      <c r="BR75" s="5">
        <f ca="1">+VLOOKUP($BG75,INDIRECT(Adrese!B$2),9,FALSE)</f>
        <v>8.7159593931175033E-2</v>
      </c>
      <c r="BS75" s="5">
        <f ca="1">+VLOOKUP($BG75,INDIRECT(Adrese!C$2),9,FALSE)</f>
        <v>8.7445516000000001E-2</v>
      </c>
      <c r="BT75" s="5">
        <f ca="1">+VLOOKUP($BG75,INDIRECT(Adrese!D$2),9,FALSE)</f>
        <v>8.7760462999999997E-2</v>
      </c>
      <c r="BU75" s="5">
        <f ca="1">+VLOOKUP($BG75,INDIRECT(Adrese!E$2),9,FALSE)</f>
        <v>8.7282367999999999E-2</v>
      </c>
      <c r="BV75" s="5">
        <f ca="1">+VLOOKUP($BG75,INDIRECT(Adrese!F$2),9,FALSE)</f>
        <v>8.7711568000000004E-2</v>
      </c>
      <c r="BW75" s="5" t="str">
        <f t="shared" ca="1" si="40"/>
        <v>0.09 (0.00)</v>
      </c>
      <c r="BX75" s="5">
        <f t="shared" ca="1" si="28"/>
        <v>8.7471901786235012E-2</v>
      </c>
      <c r="BY75" s="5">
        <f t="shared" ca="1" si="41"/>
        <v>2.6213685847375215E-4</v>
      </c>
    </row>
    <row r="76" spans="1:77" x14ac:dyDescent="0.25">
      <c r="A76" t="s">
        <v>136</v>
      </c>
      <c r="B76" s="12">
        <f ca="1">+VLOOKUP($A76,INDIRECT(Adrese!B$2),2,FALSE)</f>
        <v>74</v>
      </c>
      <c r="C76" s="12">
        <f ca="1">+VLOOKUP($A76,INDIRECT(Adrese!C$2),2,FALSE)</f>
        <v>74</v>
      </c>
      <c r="D76" s="12">
        <f ca="1">+VLOOKUP($A76,INDIRECT(Adrese!D$2),2,FALSE)</f>
        <v>84</v>
      </c>
      <c r="E76" s="12">
        <f ca="1">+VLOOKUP($A76,INDIRECT(Adrese!E$2),2,FALSE)</f>
        <v>72</v>
      </c>
      <c r="F76" s="12">
        <f ca="1">+VLOOKUP($A76,INDIRECT(Adrese!F$2),2,FALSE)</f>
        <v>70</v>
      </c>
      <c r="G76" s="5">
        <f t="shared" ca="1" si="21"/>
        <v>74.8</v>
      </c>
      <c r="H76" s="5">
        <f t="shared" ca="1" si="29"/>
        <v>5.4037024344425184</v>
      </c>
      <c r="J76" t="s">
        <v>136</v>
      </c>
      <c r="K76">
        <f ca="1">+VLOOKUP($A76,INDIRECT(Adrese!B$2),3,FALSE)</f>
        <v>36</v>
      </c>
      <c r="L76">
        <f ca="1">+VLOOKUP($A76,INDIRECT(Adrese!C$2),3,FALSE)</f>
        <v>35</v>
      </c>
      <c r="M76">
        <f ca="1">+VLOOKUP($A76,INDIRECT(Adrese!D$2),3,FALSE)</f>
        <v>35</v>
      </c>
      <c r="N76">
        <f ca="1">+VLOOKUP($A76,INDIRECT(Adrese!E$2),3,FALSE)</f>
        <v>38</v>
      </c>
      <c r="O76">
        <f ca="1">+VLOOKUP($A76,INDIRECT(Adrese!F$2),3,FALSE)</f>
        <v>35</v>
      </c>
      <c r="P76" s="5">
        <f t="shared" ca="1" si="22"/>
        <v>35.799999999999997</v>
      </c>
      <c r="Q76" s="5">
        <f t="shared" ca="1" si="30"/>
        <v>1.3038404810405297</v>
      </c>
      <c r="T76" t="s">
        <v>136</v>
      </c>
      <c r="U76">
        <f ca="1">+VLOOKUP($T76,INDIRECT(Adrese!B$2),4,FALSE)</f>
        <v>118600</v>
      </c>
      <c r="V76">
        <f ca="1">+VLOOKUP($T76,INDIRECT(Adrese!C$2),4,FALSE)</f>
        <v>118239</v>
      </c>
      <c r="W76">
        <f ca="1">+VLOOKUP($T76,INDIRECT(Adrese!D$2),4,FALSE)</f>
        <v>117964</v>
      </c>
      <c r="X76">
        <f ca="1">+VLOOKUP($T76,INDIRECT(Adrese!E$2),4,FALSE)</f>
        <v>118540</v>
      </c>
      <c r="Y76">
        <f ca="1">+VLOOKUP($T76,INDIRECT(Adrese!F$2),4,FALSE)</f>
        <v>118664</v>
      </c>
      <c r="Z76">
        <f t="shared" ca="1" si="31"/>
        <v>592007</v>
      </c>
      <c r="AA76" s="5">
        <f t="shared" ca="1" si="23"/>
        <v>118401.4</v>
      </c>
      <c r="AB76" s="5">
        <f t="shared" ca="1" si="32"/>
        <v>293.81252526058176</v>
      </c>
      <c r="AD76" t="s">
        <v>136</v>
      </c>
      <c r="AE76">
        <f ca="1">+VLOOKUP($A76,INDIRECT(Adrese!B$2),5,FALSE)</f>
        <v>36230</v>
      </c>
      <c r="AF76">
        <f ca="1">+VLOOKUP($A76,INDIRECT(Adrese!C$2),5,FALSE)</f>
        <v>36080</v>
      </c>
      <c r="AG76">
        <f ca="1">+VLOOKUP($A76,INDIRECT(Adrese!D$2),5,FALSE)</f>
        <v>35843</v>
      </c>
      <c r="AH76">
        <f ca="1">+VLOOKUP($A76,INDIRECT(Adrese!E$2),5,FALSE)</f>
        <v>36188</v>
      </c>
      <c r="AI76">
        <f ca="1">+VLOOKUP($A76,INDIRECT(Adrese!F$2),5,FALSE)</f>
        <v>36185</v>
      </c>
      <c r="AJ76" s="5">
        <f t="shared" ca="1" si="24"/>
        <v>36105.199999999997</v>
      </c>
      <c r="AK76" s="5">
        <f t="shared" ca="1" si="33"/>
        <v>156.67067370762149</v>
      </c>
      <c r="AM76" t="s">
        <v>136</v>
      </c>
      <c r="AN76" s="5">
        <f ca="1">+VLOOKUP($A76,INDIRECT(Adrese!B$2),6,FALSE)</f>
        <v>0.79712389380530968</v>
      </c>
      <c r="AO76" s="5">
        <f ca="1">+VLOOKUP($A76,INDIRECT(Adrese!C$2),6,FALSE)</f>
        <v>0.79380530999999999</v>
      </c>
      <c r="AP76" s="5">
        <f ca="1">+VLOOKUP($A76,INDIRECT(Adrese!D$2),6,FALSE)</f>
        <v>0.78856194700000004</v>
      </c>
      <c r="AQ76" s="5">
        <f ca="1">+VLOOKUP($A76,INDIRECT(Adrese!E$2),6,FALSE)</f>
        <v>0.79619468999999998</v>
      </c>
      <c r="AR76" s="5">
        <f ca="1">+VLOOKUP($A76,INDIRECT(Adrese!F$2),6,FALSE)</f>
        <v>0.79612831900000003</v>
      </c>
      <c r="AS76" s="5" t="str">
        <f t="shared" ca="1" si="34"/>
        <v>0.79 (0.00)</v>
      </c>
      <c r="AT76" s="5">
        <f t="shared" ca="1" si="25"/>
        <v>0.79436283196106194</v>
      </c>
      <c r="AU76" s="5">
        <f t="shared" ca="1" si="35"/>
        <v>3.4661653139954791E-3</v>
      </c>
      <c r="AW76" t="s">
        <v>136</v>
      </c>
      <c r="AX76" s="5">
        <f ca="1">+VLOOKUP($A76,INDIRECT(Adrese!B$2),7,FALSE)</f>
        <v>0.84070796460176989</v>
      </c>
      <c r="AY76" s="5">
        <f ca="1">+VLOOKUP($A76,INDIRECT(Adrese!C$2),7,FALSE)</f>
        <v>0.84513274299999996</v>
      </c>
      <c r="AZ76" s="5">
        <f ca="1">+VLOOKUP($A76,INDIRECT(Adrese!D$2),7,FALSE)</f>
        <v>0.84513274299999996</v>
      </c>
      <c r="BA76" s="5">
        <f ca="1">+VLOOKUP($A76,INDIRECT(Adrese!E$2),7,FALSE)</f>
        <v>0.83185840700000002</v>
      </c>
      <c r="BB76" s="5">
        <f ca="1">+VLOOKUP($A76,INDIRECT(Adrese!F$2),7,FALSE)</f>
        <v>0.84513274299999996</v>
      </c>
      <c r="BC76" s="5" t="str">
        <f t="shared" ca="1" si="36"/>
        <v>0.84 (0.01)</v>
      </c>
      <c r="BD76">
        <f t="shared" ca="1" si="26"/>
        <v>0.84159292012035392</v>
      </c>
      <c r="BE76" s="5">
        <f t="shared" ca="1" si="37"/>
        <v>5.7692055349504445E-3</v>
      </c>
      <c r="BG76" t="s">
        <v>136</v>
      </c>
      <c r="BH76" s="5">
        <f ca="1">+VLOOKUP($BG76,INDIRECT(Adrese!B$2),8,FALSE)</f>
        <v>8.1007593046667825E-2</v>
      </c>
      <c r="BI76" s="5">
        <f ca="1">+VLOOKUP($BG76,INDIRECT(Adrese!C$2),8,FALSE)</f>
        <v>8.0778024000000004E-2</v>
      </c>
      <c r="BJ76" s="5">
        <f ca="1">+VLOOKUP($BG76,INDIRECT(Adrese!D$2),8,FALSE)</f>
        <v>8.0486565999999996E-2</v>
      </c>
      <c r="BK76" s="5">
        <f ca="1">+VLOOKUP($BG76,INDIRECT(Adrese!E$2),8,FALSE)</f>
        <v>8.0815508999999994E-2</v>
      </c>
      <c r="BL76" s="5">
        <f ca="1">+VLOOKUP($BG76,INDIRECT(Adrese!F$2),8,FALSE)</f>
        <v>8.1129557000000005E-2</v>
      </c>
      <c r="BM76" s="5" t="str">
        <f t="shared" ca="1" si="38"/>
        <v>0.08 (0.00)</v>
      </c>
      <c r="BN76" s="5">
        <f t="shared" ca="1" si="27"/>
        <v>8.084344980933357E-2</v>
      </c>
      <c r="BO76" s="5">
        <f t="shared" ca="1" si="39"/>
        <v>2.4557463510673281E-4</v>
      </c>
      <c r="BQ76" t="s">
        <v>136</v>
      </c>
      <c r="BR76" s="5">
        <f ca="1">+VLOOKUP($BG76,INDIRECT(Adrese!B$2),9,FALSE)</f>
        <v>9.1782875808805744E-2</v>
      </c>
      <c r="BS76" s="5">
        <f ca="1">+VLOOKUP($BG76,INDIRECT(Adrese!C$2),9,FALSE)</f>
        <v>9.1590325E-2</v>
      </c>
      <c r="BT76" s="5">
        <f ca="1">+VLOOKUP($BG76,INDIRECT(Adrese!D$2),9,FALSE)</f>
        <v>9.1341493999999995E-2</v>
      </c>
      <c r="BU76" s="5">
        <f ca="1">+VLOOKUP($BG76,INDIRECT(Adrese!E$2),9,FALSE)</f>
        <v>9.1105027000000005E-2</v>
      </c>
      <c r="BV76" s="5">
        <f ca="1">+VLOOKUP($BG76,INDIRECT(Adrese!F$2),9,FALSE)</f>
        <v>9.2147847000000005E-2</v>
      </c>
      <c r="BW76" s="5" t="str">
        <f t="shared" ca="1" si="40"/>
        <v>0.09 (0.00)</v>
      </c>
      <c r="BX76" s="5">
        <f t="shared" ca="1" si="28"/>
        <v>9.1593513761761142E-2</v>
      </c>
      <c r="BY76" s="5">
        <f t="shared" ca="1" si="41"/>
        <v>4.0164871741762802E-4</v>
      </c>
    </row>
    <row r="77" spans="1:77" x14ac:dyDescent="0.25">
      <c r="A77" t="s">
        <v>137</v>
      </c>
      <c r="B77" s="12">
        <f ca="1">+VLOOKUP($A77,INDIRECT(Adrese!B$2),2,FALSE)</f>
        <v>75</v>
      </c>
      <c r="C77" s="12">
        <f ca="1">+VLOOKUP($A77,INDIRECT(Adrese!C$2),2,FALSE)</f>
        <v>92</v>
      </c>
      <c r="D77" s="12">
        <f ca="1">+VLOOKUP($A77,INDIRECT(Adrese!D$2),2,FALSE)</f>
        <v>103</v>
      </c>
      <c r="E77" s="12">
        <f ca="1">+VLOOKUP($A77,INDIRECT(Adrese!E$2),2,FALSE)</f>
        <v>85</v>
      </c>
      <c r="F77" s="12">
        <f ca="1">+VLOOKUP($A77,INDIRECT(Adrese!F$2),2,FALSE)</f>
        <v>105</v>
      </c>
      <c r="G77" s="5">
        <f t="shared" ca="1" si="21"/>
        <v>92</v>
      </c>
      <c r="H77" s="5">
        <f t="shared" ca="1" si="29"/>
        <v>12.529964086141668</v>
      </c>
      <c r="J77" t="s">
        <v>137</v>
      </c>
      <c r="K77">
        <f ca="1">+VLOOKUP($A77,INDIRECT(Adrese!B$2),3,FALSE)</f>
        <v>140</v>
      </c>
      <c r="L77">
        <f ca="1">+VLOOKUP($A77,INDIRECT(Adrese!C$2),3,FALSE)</f>
        <v>134</v>
      </c>
      <c r="M77">
        <f ca="1">+VLOOKUP($A77,INDIRECT(Adrese!D$2),3,FALSE)</f>
        <v>136</v>
      </c>
      <c r="N77">
        <f ca="1">+VLOOKUP($A77,INDIRECT(Adrese!E$2),3,FALSE)</f>
        <v>136</v>
      </c>
      <c r="O77">
        <f ca="1">+VLOOKUP($A77,INDIRECT(Adrese!F$2),3,FALSE)</f>
        <v>138</v>
      </c>
      <c r="P77" s="5">
        <f t="shared" ca="1" si="22"/>
        <v>136.80000000000001</v>
      </c>
      <c r="Q77" s="5">
        <f t="shared" ca="1" si="30"/>
        <v>2.2803508501982761</v>
      </c>
      <c r="T77" t="s">
        <v>137</v>
      </c>
      <c r="U77">
        <f ca="1">+VLOOKUP($T77,INDIRECT(Adrese!B$2),4,FALSE)</f>
        <v>118464</v>
      </c>
      <c r="V77">
        <f ca="1">+VLOOKUP($T77,INDIRECT(Adrese!C$2),4,FALSE)</f>
        <v>117436</v>
      </c>
      <c r="W77">
        <f ca="1">+VLOOKUP($T77,INDIRECT(Adrese!D$2),4,FALSE)</f>
        <v>116839</v>
      </c>
      <c r="X77">
        <f ca="1">+VLOOKUP($T77,INDIRECT(Adrese!E$2),4,FALSE)</f>
        <v>118134</v>
      </c>
      <c r="Y77">
        <f ca="1">+VLOOKUP($T77,INDIRECT(Adrese!F$2),4,FALSE)</f>
        <v>116427</v>
      </c>
      <c r="Z77">
        <f t="shared" ca="1" si="31"/>
        <v>587300</v>
      </c>
      <c r="AA77" s="5">
        <f t="shared" ca="1" si="23"/>
        <v>117460</v>
      </c>
      <c r="AB77" s="5">
        <f t="shared" ca="1" si="32"/>
        <v>853.75611271603793</v>
      </c>
      <c r="AD77" t="s">
        <v>137</v>
      </c>
      <c r="AE77">
        <f ca="1">+VLOOKUP($A77,INDIRECT(Adrese!B$2),5,FALSE)</f>
        <v>38724</v>
      </c>
      <c r="AF77">
        <f ca="1">+VLOOKUP($A77,INDIRECT(Adrese!C$2),5,FALSE)</f>
        <v>38589</v>
      </c>
      <c r="AG77">
        <f ca="1">+VLOOKUP($A77,INDIRECT(Adrese!D$2),5,FALSE)</f>
        <v>38071</v>
      </c>
      <c r="AH77">
        <f ca="1">+VLOOKUP($A77,INDIRECT(Adrese!E$2),5,FALSE)</f>
        <v>38640</v>
      </c>
      <c r="AI77">
        <f ca="1">+VLOOKUP($A77,INDIRECT(Adrese!F$2),5,FALSE)</f>
        <v>37802</v>
      </c>
      <c r="AJ77" s="5">
        <f t="shared" ca="1" si="24"/>
        <v>38365.199999999997</v>
      </c>
      <c r="AK77" s="5">
        <f t="shared" ca="1" si="33"/>
        <v>405.61274634804073</v>
      </c>
      <c r="AM77" t="s">
        <v>137</v>
      </c>
      <c r="AN77" s="5">
        <f ca="1">+VLOOKUP($A77,INDIRECT(Adrese!B$2),6,FALSE)</f>
        <v>0.85232300884955747</v>
      </c>
      <c r="AO77" s="5">
        <f ca="1">+VLOOKUP($A77,INDIRECT(Adrese!C$2),6,FALSE)</f>
        <v>0.84933628299999997</v>
      </c>
      <c r="AP77" s="5">
        <f ca="1">+VLOOKUP($A77,INDIRECT(Adrese!D$2),6,FALSE)</f>
        <v>0.83787610599999995</v>
      </c>
      <c r="AQ77" s="5">
        <f ca="1">+VLOOKUP($A77,INDIRECT(Adrese!E$2),6,FALSE)</f>
        <v>0.85046460199999996</v>
      </c>
      <c r="AR77" s="5">
        <f ca="1">+VLOOKUP($A77,INDIRECT(Adrese!F$2),6,FALSE)</f>
        <v>0.83192477899999995</v>
      </c>
      <c r="AS77" s="5" t="str">
        <f t="shared" ca="1" si="34"/>
        <v>0.84 (0.01)</v>
      </c>
      <c r="AT77" s="5">
        <f t="shared" ca="1" si="25"/>
        <v>0.84438495576991135</v>
      </c>
      <c r="AU77" s="5">
        <f t="shared" ca="1" si="35"/>
        <v>8.9737332919811348E-3</v>
      </c>
      <c r="AW77" t="s">
        <v>137</v>
      </c>
      <c r="AX77" s="5">
        <f ca="1">+VLOOKUP($A77,INDIRECT(Adrese!B$2),7,FALSE)</f>
        <v>0.38053097345132741</v>
      </c>
      <c r="AY77" s="5">
        <f ca="1">+VLOOKUP($A77,INDIRECT(Adrese!C$2),7,FALSE)</f>
        <v>0.40707964600000002</v>
      </c>
      <c r="AZ77" s="5">
        <f ca="1">+VLOOKUP($A77,INDIRECT(Adrese!D$2),7,FALSE)</f>
        <v>0.39823008799999998</v>
      </c>
      <c r="BA77" s="5">
        <f ca="1">+VLOOKUP($A77,INDIRECT(Adrese!E$2),7,FALSE)</f>
        <v>0.39823008799999998</v>
      </c>
      <c r="BB77" s="5">
        <f ca="1">+VLOOKUP($A77,INDIRECT(Adrese!F$2),7,FALSE)</f>
        <v>0.38938053099999997</v>
      </c>
      <c r="BC77" s="5" t="str">
        <f t="shared" ca="1" si="36"/>
        <v>0.39 (0.01)</v>
      </c>
      <c r="BD77">
        <f t="shared" ca="1" si="26"/>
        <v>0.39469026529026552</v>
      </c>
      <c r="BE77" s="5">
        <f t="shared" ca="1" si="37"/>
        <v>1.0090047913871445E-2</v>
      </c>
      <c r="BG77" t="s">
        <v>137</v>
      </c>
      <c r="BH77" s="5">
        <f ca="1">+VLOOKUP($BG77,INDIRECT(Adrese!B$2),8,FALSE)</f>
        <v>8.3980395583695161E-2</v>
      </c>
      <c r="BI77" s="5">
        <f ca="1">+VLOOKUP($BG77,INDIRECT(Adrese!C$2),8,FALSE)</f>
        <v>8.3629807E-2</v>
      </c>
      <c r="BJ77" s="5">
        <f ca="1">+VLOOKUP($BG77,INDIRECT(Adrese!D$2),8,FALSE)</f>
        <v>8.2928553000000002E-2</v>
      </c>
      <c r="BK77" s="5">
        <f ca="1">+VLOOKUP($BG77,INDIRECT(Adrese!E$2),8,FALSE)</f>
        <v>8.3895238999999996E-2</v>
      </c>
      <c r="BL77" s="5">
        <f ca="1">+VLOOKUP($BG77,INDIRECT(Adrese!F$2),8,FALSE)</f>
        <v>8.2907875000000006E-2</v>
      </c>
      <c r="BM77" s="5" t="str">
        <f t="shared" ca="1" si="38"/>
        <v>0.08 (0.00)</v>
      </c>
      <c r="BN77" s="5">
        <f t="shared" ca="1" si="27"/>
        <v>8.346837391673903E-2</v>
      </c>
      <c r="BO77" s="5">
        <f t="shared" ca="1" si="39"/>
        <v>5.1865361391916821E-4</v>
      </c>
      <c r="BQ77" t="s">
        <v>137</v>
      </c>
      <c r="BR77" s="5">
        <f ca="1">+VLOOKUP($BG77,INDIRECT(Adrese!B$2),9,FALSE)</f>
        <v>8.9775590469395872E-2</v>
      </c>
      <c r="BS77" s="5">
        <f ca="1">+VLOOKUP($BG77,INDIRECT(Adrese!C$2),9,FALSE)</f>
        <v>8.8832207999999996E-2</v>
      </c>
      <c r="BT77" s="5">
        <f ca="1">+VLOOKUP($BG77,INDIRECT(Adrese!D$2),9,FALSE)</f>
        <v>8.8507163E-2</v>
      </c>
      <c r="BU77" s="5">
        <f ca="1">+VLOOKUP($BG77,INDIRECT(Adrese!E$2),9,FALSE)</f>
        <v>8.9641920999999999E-2</v>
      </c>
      <c r="BV77" s="5">
        <f ca="1">+VLOOKUP($BG77,INDIRECT(Adrese!F$2),9,FALSE)</f>
        <v>8.9688346000000002E-2</v>
      </c>
      <c r="BW77" s="5" t="str">
        <f t="shared" ca="1" si="40"/>
        <v>0.09 (0.00)</v>
      </c>
      <c r="BX77" s="5">
        <f t="shared" ca="1" si="28"/>
        <v>8.928904569387916E-2</v>
      </c>
      <c r="BY77" s="5">
        <f t="shared" ca="1" si="41"/>
        <v>5.7894921199040585E-4</v>
      </c>
    </row>
    <row r="78" spans="1:77" x14ac:dyDescent="0.25">
      <c r="A78" t="s">
        <v>138</v>
      </c>
      <c r="B78" s="12">
        <f ca="1">+VLOOKUP($A78,INDIRECT(Adrese!B$2),2,FALSE)</f>
        <v>76</v>
      </c>
      <c r="C78" s="12">
        <f ca="1">+VLOOKUP($A78,INDIRECT(Adrese!C$2),2,FALSE)</f>
        <v>73</v>
      </c>
      <c r="D78" s="12">
        <f ca="1">+VLOOKUP($A78,INDIRECT(Adrese!D$2),2,FALSE)</f>
        <v>79</v>
      </c>
      <c r="E78" s="12">
        <f ca="1">+VLOOKUP($A78,INDIRECT(Adrese!E$2),2,FALSE)</f>
        <v>73</v>
      </c>
      <c r="F78" s="12">
        <f ca="1">+VLOOKUP($A78,INDIRECT(Adrese!F$2),2,FALSE)</f>
        <v>81</v>
      </c>
      <c r="G78" s="5">
        <f t="shared" ca="1" si="21"/>
        <v>76.400000000000006</v>
      </c>
      <c r="H78" s="5">
        <f t="shared" ca="1" si="29"/>
        <v>3.5777087639996634</v>
      </c>
      <c r="J78" t="s">
        <v>138</v>
      </c>
      <c r="K78">
        <f ca="1">+VLOOKUP($A78,INDIRECT(Adrese!B$2),3,FALSE)</f>
        <v>21</v>
      </c>
      <c r="L78">
        <f ca="1">+VLOOKUP($A78,INDIRECT(Adrese!C$2),3,FALSE)</f>
        <v>19</v>
      </c>
      <c r="M78">
        <f ca="1">+VLOOKUP($A78,INDIRECT(Adrese!D$2),3,FALSE)</f>
        <v>21</v>
      </c>
      <c r="N78">
        <f ca="1">+VLOOKUP($A78,INDIRECT(Adrese!E$2),3,FALSE)</f>
        <v>20</v>
      </c>
      <c r="O78">
        <f ca="1">+VLOOKUP($A78,INDIRECT(Adrese!F$2),3,FALSE)</f>
        <v>21</v>
      </c>
      <c r="P78" s="5">
        <f t="shared" ca="1" si="22"/>
        <v>20.399999999999999</v>
      </c>
      <c r="Q78" s="5">
        <f t="shared" ca="1" si="30"/>
        <v>0.89442719099991586</v>
      </c>
      <c r="T78" t="s">
        <v>138</v>
      </c>
      <c r="U78">
        <f ca="1">+VLOOKUP($T78,INDIRECT(Adrese!B$2),4,FALSE)</f>
        <v>118457</v>
      </c>
      <c r="V78">
        <f ca="1">+VLOOKUP($T78,INDIRECT(Adrese!C$2),4,FALSE)</f>
        <v>118398</v>
      </c>
      <c r="W78">
        <f ca="1">+VLOOKUP($T78,INDIRECT(Adrese!D$2),4,FALSE)</f>
        <v>118444</v>
      </c>
      <c r="X78">
        <f ca="1">+VLOOKUP($T78,INDIRECT(Adrese!E$2),4,FALSE)</f>
        <v>118463</v>
      </c>
      <c r="Y78">
        <f ca="1">+VLOOKUP($T78,INDIRECT(Adrese!F$2),4,FALSE)</f>
        <v>118079</v>
      </c>
      <c r="Z78">
        <f t="shared" ca="1" si="31"/>
        <v>591841</v>
      </c>
      <c r="AA78" s="5">
        <f t="shared" ca="1" si="23"/>
        <v>118368.2</v>
      </c>
      <c r="AB78" s="5">
        <f t="shared" ca="1" si="32"/>
        <v>163.66337403341041</v>
      </c>
      <c r="AD78" t="s">
        <v>138</v>
      </c>
      <c r="AE78">
        <f ca="1">+VLOOKUP($A78,INDIRECT(Adrese!B$2),5,FALSE)</f>
        <v>36040</v>
      </c>
      <c r="AF78">
        <f ca="1">+VLOOKUP($A78,INDIRECT(Adrese!C$2),5,FALSE)</f>
        <v>36561</v>
      </c>
      <c r="AG78">
        <f ca="1">+VLOOKUP($A78,INDIRECT(Adrese!D$2),5,FALSE)</f>
        <v>36249</v>
      </c>
      <c r="AH78">
        <f ca="1">+VLOOKUP($A78,INDIRECT(Adrese!E$2),5,FALSE)</f>
        <v>36482</v>
      </c>
      <c r="AI78">
        <f ca="1">+VLOOKUP($A78,INDIRECT(Adrese!F$2),5,FALSE)</f>
        <v>36201</v>
      </c>
      <c r="AJ78" s="5">
        <f t="shared" ca="1" si="24"/>
        <v>36306.6</v>
      </c>
      <c r="AK78" s="5">
        <f t="shared" ca="1" si="33"/>
        <v>212.73763183790498</v>
      </c>
      <c r="AM78" t="s">
        <v>138</v>
      </c>
      <c r="AN78" s="5">
        <f ca="1">+VLOOKUP($A78,INDIRECT(Adrese!B$2),6,FALSE)</f>
        <v>0.79292035398230087</v>
      </c>
      <c r="AO78" s="5">
        <f ca="1">+VLOOKUP($A78,INDIRECT(Adrese!C$2),6,FALSE)</f>
        <v>0.80444690299999999</v>
      </c>
      <c r="AP78" s="5">
        <f ca="1">+VLOOKUP($A78,INDIRECT(Adrese!D$2),6,FALSE)</f>
        <v>0.79754424800000001</v>
      </c>
      <c r="AQ78" s="5">
        <f ca="1">+VLOOKUP($A78,INDIRECT(Adrese!E$2),6,FALSE)</f>
        <v>0.80269911500000002</v>
      </c>
      <c r="AR78" s="5">
        <f ca="1">+VLOOKUP($A78,INDIRECT(Adrese!F$2),6,FALSE)</f>
        <v>0.79648230099999995</v>
      </c>
      <c r="AS78" s="5" t="str">
        <f t="shared" ca="1" si="34"/>
        <v>0.80 (0.00)</v>
      </c>
      <c r="AT78" s="5">
        <f t="shared" ca="1" si="25"/>
        <v>0.79881858419646024</v>
      </c>
      <c r="AU78" s="5">
        <f t="shared" ca="1" si="35"/>
        <v>4.7065848405822381E-3</v>
      </c>
      <c r="AW78" t="s">
        <v>138</v>
      </c>
      <c r="AX78" s="5">
        <f ca="1">+VLOOKUP($A78,INDIRECT(Adrese!B$2),7,FALSE)</f>
        <v>0.90707964601769908</v>
      </c>
      <c r="AY78" s="5">
        <f ca="1">+VLOOKUP($A78,INDIRECT(Adrese!C$2),7,FALSE)</f>
        <v>0.915929204</v>
      </c>
      <c r="AZ78" s="5">
        <f ca="1">+VLOOKUP($A78,INDIRECT(Adrese!D$2),7,FALSE)</f>
        <v>0.90707964600000002</v>
      </c>
      <c r="BA78" s="5">
        <f ca="1">+VLOOKUP($A78,INDIRECT(Adrese!E$2),7,FALSE)</f>
        <v>0.91150442499999995</v>
      </c>
      <c r="BB78" s="5">
        <f ca="1">+VLOOKUP($A78,INDIRECT(Adrese!F$2),7,FALSE)</f>
        <v>0.90707964600000002</v>
      </c>
      <c r="BC78" s="5" t="str">
        <f t="shared" ca="1" si="36"/>
        <v>0.91 (0.00)</v>
      </c>
      <c r="BD78">
        <f t="shared" ca="1" si="26"/>
        <v>0.90973451340353984</v>
      </c>
      <c r="BE78" s="5">
        <f t="shared" ca="1" si="37"/>
        <v>3.9576426487971782E-3</v>
      </c>
      <c r="BG78" t="s">
        <v>138</v>
      </c>
      <c r="BH78" s="5">
        <f ca="1">+VLOOKUP($BG78,INDIRECT(Adrese!B$2),8,FALSE)</f>
        <v>8.0370446328272463E-2</v>
      </c>
      <c r="BI78" s="5">
        <f ca="1">+VLOOKUP($BG78,INDIRECT(Adrese!C$2),8,FALSE)</f>
        <v>8.1183443999999994E-2</v>
      </c>
      <c r="BJ78" s="5">
        <f ca="1">+VLOOKUP($BG78,INDIRECT(Adrese!D$2),8,FALSE)</f>
        <v>8.0688858000000002E-2</v>
      </c>
      <c r="BK78" s="5">
        <f ca="1">+VLOOKUP($BG78,INDIRECT(Adrese!E$2),8,FALSE)</f>
        <v>8.0809193000000001E-2</v>
      </c>
      <c r="BL78" s="5">
        <f ca="1">+VLOOKUP($BG78,INDIRECT(Adrese!F$2),8,FALSE)</f>
        <v>8.0721233000000003E-2</v>
      </c>
      <c r="BM78" s="5" t="str">
        <f t="shared" ca="1" si="38"/>
        <v>0.08 (0.00)</v>
      </c>
      <c r="BN78" s="5">
        <f t="shared" ca="1" si="27"/>
        <v>8.0754634865654484E-2</v>
      </c>
      <c r="BO78" s="5">
        <f t="shared" ca="1" si="39"/>
        <v>2.915034205038052E-4</v>
      </c>
      <c r="BQ78" t="s">
        <v>138</v>
      </c>
      <c r="BR78" s="5">
        <f ca="1">+VLOOKUP($BG78,INDIRECT(Adrese!B$2),9,FALSE)</f>
        <v>8.9810000749953545E-2</v>
      </c>
      <c r="BS78" s="5">
        <f ca="1">+VLOOKUP($BG78,INDIRECT(Adrese!C$2),9,FALSE)</f>
        <v>9.0440514E-2</v>
      </c>
      <c r="BT78" s="5">
        <f ca="1">+VLOOKUP($BG78,INDIRECT(Adrese!D$2),9,FALSE)</f>
        <v>8.9902889999999999E-2</v>
      </c>
      <c r="BU78" s="5">
        <f ca="1">+VLOOKUP($BG78,INDIRECT(Adrese!E$2),9,FALSE)</f>
        <v>8.9408815000000003E-2</v>
      </c>
      <c r="BV78" s="5">
        <f ca="1">+VLOOKUP($BG78,INDIRECT(Adrese!F$2),9,FALSE)</f>
        <v>9.0246699999999999E-2</v>
      </c>
      <c r="BW78" s="5" t="str">
        <f t="shared" ca="1" si="40"/>
        <v>0.09 (0.00)</v>
      </c>
      <c r="BX78" s="5">
        <f t="shared" ca="1" si="28"/>
        <v>8.9961783949990701E-2</v>
      </c>
      <c r="BY78" s="5">
        <f t="shared" ca="1" si="41"/>
        <v>4.0082443574077683E-4</v>
      </c>
    </row>
    <row r="79" spans="1:77" x14ac:dyDescent="0.25">
      <c r="A79" t="s">
        <v>139</v>
      </c>
      <c r="B79" s="12">
        <f ca="1">+VLOOKUP($A79,INDIRECT(Adrese!B$2),2,FALSE)</f>
        <v>77</v>
      </c>
      <c r="C79" s="12">
        <f ca="1">+VLOOKUP($A79,INDIRECT(Adrese!C$2),2,FALSE)</f>
        <v>72</v>
      </c>
      <c r="D79" s="12">
        <f ca="1">+VLOOKUP($A79,INDIRECT(Adrese!D$2),2,FALSE)</f>
        <v>63</v>
      </c>
      <c r="E79" s="12">
        <f ca="1">+VLOOKUP($A79,INDIRECT(Adrese!E$2),2,FALSE)</f>
        <v>71</v>
      </c>
      <c r="F79" s="12">
        <f ca="1">+VLOOKUP($A79,INDIRECT(Adrese!F$2),2,FALSE)</f>
        <v>61</v>
      </c>
      <c r="G79" s="5">
        <f t="shared" ca="1" si="21"/>
        <v>68.8</v>
      </c>
      <c r="H79" s="5">
        <f t="shared" ca="1" si="29"/>
        <v>6.6483080554378651</v>
      </c>
      <c r="J79" t="s">
        <v>139</v>
      </c>
      <c r="K79">
        <f ca="1">+VLOOKUP($A79,INDIRECT(Adrese!B$2),3,FALSE)</f>
        <v>0</v>
      </c>
      <c r="L79">
        <f ca="1">+VLOOKUP($A79,INDIRECT(Adrese!C$2),3,FALSE)</f>
        <v>0</v>
      </c>
      <c r="M79">
        <f ca="1">+VLOOKUP($A79,INDIRECT(Adrese!D$2),3,FALSE)</f>
        <v>0</v>
      </c>
      <c r="N79">
        <f ca="1">+VLOOKUP($A79,INDIRECT(Adrese!E$2),3,FALSE)</f>
        <v>0</v>
      </c>
      <c r="O79">
        <f ca="1">+VLOOKUP($A79,INDIRECT(Adrese!F$2),3,FALSE)</f>
        <v>0</v>
      </c>
      <c r="P79" s="5">
        <f t="shared" ca="1" si="22"/>
        <v>0</v>
      </c>
      <c r="Q79" s="5">
        <f t="shared" ca="1" si="30"/>
        <v>0</v>
      </c>
      <c r="T79" t="s">
        <v>139</v>
      </c>
      <c r="U79">
        <f ca="1">+VLOOKUP($T79,INDIRECT(Adrese!B$2),4,FALSE)</f>
        <v>118372</v>
      </c>
      <c r="V79">
        <f ca="1">+VLOOKUP($T79,INDIRECT(Adrese!C$2),4,FALSE)</f>
        <v>118415</v>
      </c>
      <c r="W79">
        <f ca="1">+VLOOKUP($T79,INDIRECT(Adrese!D$2),4,FALSE)</f>
        <v>119314</v>
      </c>
      <c r="X79">
        <f ca="1">+VLOOKUP($T79,INDIRECT(Adrese!E$2),4,FALSE)</f>
        <v>118583</v>
      </c>
      <c r="Y79">
        <f ca="1">+VLOOKUP($T79,INDIRECT(Adrese!F$2),4,FALSE)</f>
        <v>119447</v>
      </c>
      <c r="Z79">
        <f t="shared" ca="1" si="31"/>
        <v>594131</v>
      </c>
      <c r="AA79" s="5">
        <f t="shared" ca="1" si="23"/>
        <v>118826.2</v>
      </c>
      <c r="AB79" s="5">
        <f t="shared" ca="1" si="32"/>
        <v>514.2642316941749</v>
      </c>
      <c r="AD79" t="s">
        <v>139</v>
      </c>
      <c r="AE79">
        <f ca="1">+VLOOKUP($A79,INDIRECT(Adrese!B$2),5,FALSE)</f>
        <v>37821</v>
      </c>
      <c r="AF79">
        <f ca="1">+VLOOKUP($A79,INDIRECT(Adrese!C$2),5,FALSE)</f>
        <v>37917</v>
      </c>
      <c r="AG79">
        <f ca="1">+VLOOKUP($A79,INDIRECT(Adrese!D$2),5,FALSE)</f>
        <v>38341</v>
      </c>
      <c r="AH79">
        <f ca="1">+VLOOKUP($A79,INDIRECT(Adrese!E$2),5,FALSE)</f>
        <v>37987</v>
      </c>
      <c r="AI79">
        <f ca="1">+VLOOKUP($A79,INDIRECT(Adrese!F$2),5,FALSE)</f>
        <v>38372</v>
      </c>
      <c r="AJ79" s="5">
        <f t="shared" ca="1" si="24"/>
        <v>38087.599999999999</v>
      </c>
      <c r="AK79" s="5">
        <f t="shared" ca="1" si="33"/>
        <v>252.68320086622299</v>
      </c>
      <c r="AM79" t="s">
        <v>139</v>
      </c>
      <c r="AN79" s="5">
        <f ca="1">+VLOOKUP($A79,INDIRECT(Adrese!B$2),6,FALSE)</f>
        <v>0.83232300884955757</v>
      </c>
      <c r="AO79" s="5">
        <f ca="1">+VLOOKUP($A79,INDIRECT(Adrese!C$2),6,FALSE)</f>
        <v>0.83444690300000002</v>
      </c>
      <c r="AP79" s="5">
        <f ca="1">+VLOOKUP($A79,INDIRECT(Adrese!D$2),6,FALSE)</f>
        <v>0.84382743400000004</v>
      </c>
      <c r="AQ79" s="5">
        <f ca="1">+VLOOKUP($A79,INDIRECT(Adrese!E$2),6,FALSE)</f>
        <v>0.83599557499999999</v>
      </c>
      <c r="AR79" s="5">
        <f ca="1">+VLOOKUP($A79,INDIRECT(Adrese!F$2),6,FALSE)</f>
        <v>0.84451327399999998</v>
      </c>
      <c r="AS79" s="5" t="str">
        <f t="shared" ca="1" si="34"/>
        <v>0.84 (0.01)</v>
      </c>
      <c r="AT79" s="5">
        <f t="shared" ca="1" si="25"/>
        <v>0.83822123896991152</v>
      </c>
      <c r="AU79" s="5">
        <f t="shared" ca="1" si="35"/>
        <v>5.5903362646765337E-3</v>
      </c>
      <c r="AW79" t="s">
        <v>139</v>
      </c>
      <c r="AX79" s="5">
        <f ca="1">+VLOOKUP($A79,INDIRECT(Adrese!B$2),7,FALSE)</f>
        <v>1</v>
      </c>
      <c r="AY79" s="5">
        <f ca="1">+VLOOKUP($A79,INDIRECT(Adrese!C$2),7,FALSE)</f>
        <v>1</v>
      </c>
      <c r="AZ79" s="5">
        <f ca="1">+VLOOKUP($A79,INDIRECT(Adrese!D$2),7,FALSE)</f>
        <v>1</v>
      </c>
      <c r="BA79" s="5">
        <f ca="1">+VLOOKUP($A79,INDIRECT(Adrese!E$2),7,FALSE)</f>
        <v>1</v>
      </c>
      <c r="BB79" s="5">
        <f ca="1">+VLOOKUP($A79,INDIRECT(Adrese!F$2),7,FALSE)</f>
        <v>1</v>
      </c>
      <c r="BC79" s="5" t="str">
        <f t="shared" ca="1" si="36"/>
        <v>1.00 (0.00)</v>
      </c>
      <c r="BD79">
        <f t="shared" ca="1" si="26"/>
        <v>1</v>
      </c>
      <c r="BE79" s="5">
        <f t="shared" ca="1" si="37"/>
        <v>0</v>
      </c>
      <c r="BG79" t="s">
        <v>139</v>
      </c>
      <c r="BH79" s="5">
        <f ca="1">+VLOOKUP($BG79,INDIRECT(Adrese!B$2),8,FALSE)</f>
        <v>8.2773891129788293E-2</v>
      </c>
      <c r="BI79" s="5">
        <f ca="1">+VLOOKUP($BG79,INDIRECT(Adrese!C$2),8,FALSE)</f>
        <v>8.2965943E-2</v>
      </c>
      <c r="BJ79" s="5">
        <f ca="1">+VLOOKUP($BG79,INDIRECT(Adrese!D$2),8,FALSE)</f>
        <v>8.3447868999999994E-2</v>
      </c>
      <c r="BK79" s="5">
        <f ca="1">+VLOOKUP($BG79,INDIRECT(Adrese!E$2),8,FALSE)</f>
        <v>8.2862014999999997E-2</v>
      </c>
      <c r="BL79" s="5">
        <f ca="1">+VLOOKUP($BG79,INDIRECT(Adrese!F$2),8,FALSE)</f>
        <v>8.3498833999999994E-2</v>
      </c>
      <c r="BM79" s="5" t="str">
        <f t="shared" ca="1" si="38"/>
        <v>0.08 (0.00)</v>
      </c>
      <c r="BN79" s="5">
        <f t="shared" ca="1" si="27"/>
        <v>8.3109710425957647E-2</v>
      </c>
      <c r="BO79" s="5">
        <f t="shared" ca="1" si="39"/>
        <v>3.3932472410670001E-4</v>
      </c>
      <c r="BQ79" t="s">
        <v>139</v>
      </c>
      <c r="BR79" s="5">
        <f ca="1">+VLOOKUP($BG79,INDIRECT(Adrese!B$2),9,FALSE)</f>
        <v>9.0251328468879122E-2</v>
      </c>
      <c r="BS79" s="5">
        <f ca="1">+VLOOKUP($BG79,INDIRECT(Adrese!C$2),9,FALSE)</f>
        <v>9.0582917999999998E-2</v>
      </c>
      <c r="BT79" s="5">
        <f ca="1">+VLOOKUP($BG79,INDIRECT(Adrese!D$2),9,FALSE)</f>
        <v>8.9859973999999995E-2</v>
      </c>
      <c r="BU79" s="5">
        <f ca="1">+VLOOKUP($BG79,INDIRECT(Adrese!E$2),9,FALSE)</f>
        <v>8.9716639000000001E-2</v>
      </c>
      <c r="BV79" s="5">
        <f ca="1">+VLOOKUP($BG79,INDIRECT(Adrese!F$2),9,FALSE)</f>
        <v>8.9949451999999999E-2</v>
      </c>
      <c r="BW79" s="5" t="str">
        <f t="shared" ca="1" si="40"/>
        <v>0.09 (0.00)</v>
      </c>
      <c r="BX79" s="5">
        <f t="shared" ca="1" si="28"/>
        <v>9.0072062293775818E-2</v>
      </c>
      <c r="BY79" s="5">
        <f t="shared" ca="1" si="41"/>
        <v>3.4621177058736662E-4</v>
      </c>
    </row>
    <row r="80" spans="1:77" x14ac:dyDescent="0.25">
      <c r="A80" t="s">
        <v>140</v>
      </c>
      <c r="B80" s="12">
        <f ca="1">+VLOOKUP($A80,INDIRECT(Adrese!B$2),2,FALSE)</f>
        <v>78</v>
      </c>
      <c r="C80" s="12">
        <f ca="1">+VLOOKUP($A80,INDIRECT(Adrese!C$2),2,FALSE)</f>
        <v>71</v>
      </c>
      <c r="D80" s="12">
        <f ca="1">+VLOOKUP($A80,INDIRECT(Adrese!D$2),2,FALSE)</f>
        <v>75</v>
      </c>
      <c r="E80" s="12">
        <f ca="1">+VLOOKUP($A80,INDIRECT(Adrese!E$2),2,FALSE)</f>
        <v>70</v>
      </c>
      <c r="F80" s="12">
        <f ca="1">+VLOOKUP($A80,INDIRECT(Adrese!F$2),2,FALSE)</f>
        <v>67</v>
      </c>
      <c r="G80" s="5">
        <f t="shared" ca="1" si="21"/>
        <v>72.2</v>
      </c>
      <c r="H80" s="5">
        <f t="shared" ca="1" si="29"/>
        <v>4.3243496620879309</v>
      </c>
      <c r="J80" t="s">
        <v>140</v>
      </c>
      <c r="K80">
        <f ca="1">+VLOOKUP($A80,INDIRECT(Adrese!B$2),3,FALSE)</f>
        <v>65</v>
      </c>
      <c r="L80">
        <f ca="1">+VLOOKUP($A80,INDIRECT(Adrese!C$2),3,FALSE)</f>
        <v>66</v>
      </c>
      <c r="M80">
        <f ca="1">+VLOOKUP($A80,INDIRECT(Adrese!D$2),3,FALSE)</f>
        <v>67</v>
      </c>
      <c r="N80">
        <f ca="1">+VLOOKUP($A80,INDIRECT(Adrese!E$2),3,FALSE)</f>
        <v>65</v>
      </c>
      <c r="O80">
        <f ca="1">+VLOOKUP($A80,INDIRECT(Adrese!F$2),3,FALSE)</f>
        <v>66</v>
      </c>
      <c r="P80" s="5">
        <f t="shared" ca="1" si="22"/>
        <v>65.8</v>
      </c>
      <c r="Q80" s="5">
        <f t="shared" ca="1" si="30"/>
        <v>0.83666002653407556</v>
      </c>
      <c r="T80" t="s">
        <v>140</v>
      </c>
      <c r="U80">
        <f ca="1">+VLOOKUP($T80,INDIRECT(Adrese!B$2),4,FALSE)</f>
        <v>118321</v>
      </c>
      <c r="V80">
        <f ca="1">+VLOOKUP($T80,INDIRECT(Adrese!C$2),4,FALSE)</f>
        <v>118844</v>
      </c>
      <c r="W80">
        <f ca="1">+VLOOKUP($T80,INDIRECT(Adrese!D$2),4,FALSE)</f>
        <v>118646</v>
      </c>
      <c r="X80">
        <f ca="1">+VLOOKUP($T80,INDIRECT(Adrese!E$2),4,FALSE)</f>
        <v>118618</v>
      </c>
      <c r="Y80">
        <f ca="1">+VLOOKUP($T80,INDIRECT(Adrese!F$2),4,FALSE)</f>
        <v>118846</v>
      </c>
      <c r="Z80">
        <f t="shared" ca="1" si="31"/>
        <v>593275</v>
      </c>
      <c r="AA80" s="5">
        <f t="shared" ca="1" si="23"/>
        <v>118655</v>
      </c>
      <c r="AB80" s="5">
        <f t="shared" ca="1" si="32"/>
        <v>215.17899525743678</v>
      </c>
      <c r="AD80" t="s">
        <v>140</v>
      </c>
      <c r="AE80">
        <f ca="1">+VLOOKUP($A80,INDIRECT(Adrese!B$2),5,FALSE)</f>
        <v>28651</v>
      </c>
      <c r="AF80">
        <f ca="1">+VLOOKUP($A80,INDIRECT(Adrese!C$2),5,FALSE)</f>
        <v>28965</v>
      </c>
      <c r="AG80">
        <f ca="1">+VLOOKUP($A80,INDIRECT(Adrese!D$2),5,FALSE)</f>
        <v>28607</v>
      </c>
      <c r="AH80">
        <f ca="1">+VLOOKUP($A80,INDIRECT(Adrese!E$2),5,FALSE)</f>
        <v>28728</v>
      </c>
      <c r="AI80">
        <f ca="1">+VLOOKUP($A80,INDIRECT(Adrese!F$2),5,FALSE)</f>
        <v>28888</v>
      </c>
      <c r="AJ80" s="5">
        <f t="shared" ca="1" si="24"/>
        <v>28767.8</v>
      </c>
      <c r="AK80" s="5">
        <f t="shared" ca="1" si="33"/>
        <v>153.63821139286932</v>
      </c>
      <c r="AM80" t="s">
        <v>140</v>
      </c>
      <c r="AN80" s="5">
        <f ca="1">+VLOOKUP($A80,INDIRECT(Adrese!B$2),6,FALSE)</f>
        <v>0.62944690265486725</v>
      </c>
      <c r="AO80" s="5">
        <f ca="1">+VLOOKUP($A80,INDIRECT(Adrese!C$2),6,FALSE)</f>
        <v>0.63639380499999998</v>
      </c>
      <c r="AP80" s="5">
        <f ca="1">+VLOOKUP($A80,INDIRECT(Adrese!D$2),6,FALSE)</f>
        <v>0.62847345099999996</v>
      </c>
      <c r="AQ80" s="5">
        <f ca="1">+VLOOKUP($A80,INDIRECT(Adrese!E$2),6,FALSE)</f>
        <v>0.63115044200000003</v>
      </c>
      <c r="AR80" s="5">
        <f ca="1">+VLOOKUP($A80,INDIRECT(Adrese!F$2),6,FALSE)</f>
        <v>0.63469026500000003</v>
      </c>
      <c r="AS80" s="5" t="str">
        <f t="shared" ca="1" si="34"/>
        <v>0.63 (0.00)</v>
      </c>
      <c r="AT80" s="5">
        <f t="shared" ca="1" si="25"/>
        <v>0.63203097313097345</v>
      </c>
      <c r="AU80" s="5">
        <f t="shared" ca="1" si="35"/>
        <v>3.3990753953291337E-3</v>
      </c>
      <c r="AW80" t="s">
        <v>140</v>
      </c>
      <c r="AX80" s="5">
        <f ca="1">+VLOOKUP($A80,INDIRECT(Adrese!B$2),7,FALSE)</f>
        <v>0.71238938053097345</v>
      </c>
      <c r="AY80" s="5">
        <f ca="1">+VLOOKUP($A80,INDIRECT(Adrese!C$2),7,FALSE)</f>
        <v>0.707964602</v>
      </c>
      <c r="AZ80" s="5">
        <f ca="1">+VLOOKUP($A80,INDIRECT(Adrese!D$2),7,FALSE)</f>
        <v>0.70353982299999995</v>
      </c>
      <c r="BA80" s="5">
        <f ca="1">+VLOOKUP($A80,INDIRECT(Adrese!E$2),7,FALSE)</f>
        <v>0.71238938100000004</v>
      </c>
      <c r="BB80" s="5">
        <f ca="1">+VLOOKUP($A80,INDIRECT(Adrese!F$2),7,FALSE)</f>
        <v>0.707964602</v>
      </c>
      <c r="BC80" s="5" t="str">
        <f t="shared" ca="1" si="36"/>
        <v>0.71 (0.00)</v>
      </c>
      <c r="BD80">
        <f t="shared" ca="1" si="26"/>
        <v>0.70884955770619462</v>
      </c>
      <c r="BE80" s="5">
        <f t="shared" ca="1" si="37"/>
        <v>3.702035603428661E-3</v>
      </c>
      <c r="BG80" t="s">
        <v>140</v>
      </c>
      <c r="BH80" s="5">
        <f ca="1">+VLOOKUP($BG80,INDIRECT(Adrese!B$2),8,FALSE)</f>
        <v>6.7576367261422382E-2</v>
      </c>
      <c r="BI80" s="5">
        <f ca="1">+VLOOKUP($BG80,INDIRECT(Adrese!C$2),8,FALSE)</f>
        <v>6.7931770000000002E-2</v>
      </c>
      <c r="BJ80" s="5">
        <f ca="1">+VLOOKUP($BG80,INDIRECT(Adrese!D$2),8,FALSE)</f>
        <v>6.7428082E-2</v>
      </c>
      <c r="BK80" s="5">
        <f ca="1">+VLOOKUP($BG80,INDIRECT(Adrese!E$2),8,FALSE)</f>
        <v>6.7529885999999997E-2</v>
      </c>
      <c r="BL80" s="5">
        <f ca="1">+VLOOKUP($BG80,INDIRECT(Adrese!F$2),8,FALSE)</f>
        <v>6.8132348999999995E-2</v>
      </c>
      <c r="BM80" s="5" t="str">
        <f t="shared" ca="1" si="38"/>
        <v>0.07 (0.00)</v>
      </c>
      <c r="BN80" s="5">
        <f t="shared" ca="1" si="27"/>
        <v>6.7719690852284478E-2</v>
      </c>
      <c r="BO80" s="5">
        <f t="shared" ca="1" si="39"/>
        <v>2.9869196848540886E-4</v>
      </c>
      <c r="BQ80" t="s">
        <v>140</v>
      </c>
      <c r="BR80" s="5">
        <f ca="1">+VLOOKUP($BG80,INDIRECT(Adrese!B$2),9,FALSE)</f>
        <v>7.7031151333801007E-2</v>
      </c>
      <c r="BS80" s="5">
        <f ca="1">+VLOOKUP($BG80,INDIRECT(Adrese!C$2),9,FALSE)</f>
        <v>7.6701637000000003E-2</v>
      </c>
      <c r="BT80" s="5">
        <f ca="1">+VLOOKUP($BG80,INDIRECT(Adrese!D$2),9,FALSE)</f>
        <v>7.6267495000000005E-2</v>
      </c>
      <c r="BU80" s="5">
        <f ca="1">+VLOOKUP($BG80,INDIRECT(Adrese!E$2),9,FALSE)</f>
        <v>7.6429379000000006E-2</v>
      </c>
      <c r="BV80" s="5">
        <f ca="1">+VLOOKUP($BG80,INDIRECT(Adrese!F$2),9,FALSE)</f>
        <v>7.7900091000000005E-2</v>
      </c>
      <c r="BW80" s="5" t="str">
        <f t="shared" ca="1" si="40"/>
        <v>0.08 (0.00)</v>
      </c>
      <c r="BX80" s="5">
        <f t="shared" ca="1" si="28"/>
        <v>7.6865950666760205E-2</v>
      </c>
      <c r="BY80" s="5">
        <f t="shared" ca="1" si="41"/>
        <v>6.4662208352394808E-4</v>
      </c>
    </row>
    <row r="81" spans="1:77" x14ac:dyDescent="0.25">
      <c r="A81" t="s">
        <v>141</v>
      </c>
      <c r="B81" s="12">
        <f ca="1">+VLOOKUP($A81,INDIRECT(Adrese!B$2),2,FALSE)</f>
        <v>79</v>
      </c>
      <c r="C81" s="12">
        <f ca="1">+VLOOKUP($A81,INDIRECT(Adrese!C$2),2,FALSE)</f>
        <v>89</v>
      </c>
      <c r="D81" s="12">
        <f ca="1">+VLOOKUP($A81,INDIRECT(Adrese!D$2),2,FALSE)</f>
        <v>92</v>
      </c>
      <c r="E81" s="12">
        <f ca="1">+VLOOKUP($A81,INDIRECT(Adrese!E$2),2,FALSE)</f>
        <v>80</v>
      </c>
      <c r="F81" s="12">
        <f ca="1">+VLOOKUP($A81,INDIRECT(Adrese!F$2),2,FALSE)</f>
        <v>95</v>
      </c>
      <c r="G81" s="5">
        <f t="shared" ca="1" si="21"/>
        <v>87</v>
      </c>
      <c r="H81" s="5">
        <f t="shared" ca="1" si="29"/>
        <v>7.1763500472036617</v>
      </c>
      <c r="J81" t="s">
        <v>141</v>
      </c>
      <c r="K81">
        <f ca="1">+VLOOKUP($A81,INDIRECT(Adrese!B$2),3,FALSE)</f>
        <v>14</v>
      </c>
      <c r="L81">
        <f ca="1">+VLOOKUP($A81,INDIRECT(Adrese!C$2),3,FALSE)</f>
        <v>13</v>
      </c>
      <c r="M81">
        <f ca="1">+VLOOKUP($A81,INDIRECT(Adrese!D$2),3,FALSE)</f>
        <v>13</v>
      </c>
      <c r="N81">
        <f ca="1">+VLOOKUP($A81,INDIRECT(Adrese!E$2),3,FALSE)</f>
        <v>15</v>
      </c>
      <c r="O81">
        <f ca="1">+VLOOKUP($A81,INDIRECT(Adrese!F$2),3,FALSE)</f>
        <v>14</v>
      </c>
      <c r="P81" s="5">
        <f t="shared" ca="1" si="22"/>
        <v>13.8</v>
      </c>
      <c r="Q81" s="5">
        <f t="shared" ca="1" si="30"/>
        <v>0.83666002653407556</v>
      </c>
      <c r="T81" t="s">
        <v>141</v>
      </c>
      <c r="U81">
        <f ca="1">+VLOOKUP($T81,INDIRECT(Adrese!B$2),4,FALSE)</f>
        <v>118294</v>
      </c>
      <c r="V81">
        <f ca="1">+VLOOKUP($T81,INDIRECT(Adrese!C$2),4,FALSE)</f>
        <v>117719</v>
      </c>
      <c r="W81">
        <f ca="1">+VLOOKUP($T81,INDIRECT(Adrese!D$2),4,FALSE)</f>
        <v>117447</v>
      </c>
      <c r="X81">
        <f ca="1">+VLOOKUP($T81,INDIRECT(Adrese!E$2),4,FALSE)</f>
        <v>118339</v>
      </c>
      <c r="Y81">
        <f ca="1">+VLOOKUP($T81,INDIRECT(Adrese!F$2),4,FALSE)</f>
        <v>117422</v>
      </c>
      <c r="Z81">
        <f t="shared" ca="1" si="31"/>
        <v>589221</v>
      </c>
      <c r="AA81" s="5">
        <f t="shared" ca="1" si="23"/>
        <v>117844.2</v>
      </c>
      <c r="AB81" s="5">
        <f t="shared" ca="1" si="32"/>
        <v>446.89003121573433</v>
      </c>
      <c r="AD81" t="s">
        <v>141</v>
      </c>
      <c r="AE81">
        <f ca="1">+VLOOKUP($A81,INDIRECT(Adrese!B$2),5,FALSE)</f>
        <v>38046</v>
      </c>
      <c r="AF81">
        <f ca="1">+VLOOKUP($A81,INDIRECT(Adrese!C$2),5,FALSE)</f>
        <v>38076</v>
      </c>
      <c r="AG81">
        <f ca="1">+VLOOKUP($A81,INDIRECT(Adrese!D$2),5,FALSE)</f>
        <v>37549</v>
      </c>
      <c r="AH81">
        <f ca="1">+VLOOKUP($A81,INDIRECT(Adrese!E$2),5,FALSE)</f>
        <v>37817</v>
      </c>
      <c r="AI81">
        <f ca="1">+VLOOKUP($A81,INDIRECT(Adrese!F$2),5,FALSE)</f>
        <v>37726</v>
      </c>
      <c r="AJ81" s="5">
        <f t="shared" ca="1" si="24"/>
        <v>37842.800000000003</v>
      </c>
      <c r="AK81" s="5">
        <f t="shared" ca="1" si="33"/>
        <v>221.52810205479577</v>
      </c>
      <c r="AM81" t="s">
        <v>141</v>
      </c>
      <c r="AN81" s="5">
        <f ca="1">+VLOOKUP($A81,INDIRECT(Adrese!B$2),6,FALSE)</f>
        <v>0.83730088495575217</v>
      </c>
      <c r="AO81" s="5">
        <f ca="1">+VLOOKUP($A81,INDIRECT(Adrese!C$2),6,FALSE)</f>
        <v>0.837964602</v>
      </c>
      <c r="AP81" s="5">
        <f ca="1">+VLOOKUP($A81,INDIRECT(Adrese!D$2),6,FALSE)</f>
        <v>0.82630530999999996</v>
      </c>
      <c r="AQ81" s="5">
        <f ca="1">+VLOOKUP($A81,INDIRECT(Adrese!E$2),6,FALSE)</f>
        <v>0.83223451299999995</v>
      </c>
      <c r="AR81" s="5">
        <f ca="1">+VLOOKUP($A81,INDIRECT(Adrese!F$2),6,FALSE)</f>
        <v>0.830221239</v>
      </c>
      <c r="AS81" s="5" t="str">
        <f t="shared" ca="1" si="34"/>
        <v>0.83 (0.00)</v>
      </c>
      <c r="AT81" s="5">
        <f t="shared" ca="1" si="25"/>
        <v>0.83280530979115031</v>
      </c>
      <c r="AU81" s="5">
        <f t="shared" ca="1" si="35"/>
        <v>4.901064177102267E-3</v>
      </c>
      <c r="AW81" t="s">
        <v>141</v>
      </c>
      <c r="AX81" s="5">
        <f ca="1">+VLOOKUP($A81,INDIRECT(Adrese!B$2),7,FALSE)</f>
        <v>0.93805309734513276</v>
      </c>
      <c r="AY81" s="5">
        <f ca="1">+VLOOKUP($A81,INDIRECT(Adrese!C$2),7,FALSE)</f>
        <v>0.94247787599999999</v>
      </c>
      <c r="AZ81" s="5">
        <f ca="1">+VLOOKUP($A81,INDIRECT(Adrese!D$2),7,FALSE)</f>
        <v>0.94247787599999999</v>
      </c>
      <c r="BA81" s="5">
        <f ca="1">+VLOOKUP($A81,INDIRECT(Adrese!E$2),7,FALSE)</f>
        <v>0.93362831899999998</v>
      </c>
      <c r="BB81" s="5">
        <f ca="1">+VLOOKUP($A81,INDIRECT(Adrese!F$2),7,FALSE)</f>
        <v>0.93805309699999995</v>
      </c>
      <c r="BC81" s="5" t="str">
        <f t="shared" ca="1" si="36"/>
        <v>0.94 (0.00)</v>
      </c>
      <c r="BD81">
        <f t="shared" ca="1" si="26"/>
        <v>0.93893805306902645</v>
      </c>
      <c r="BE81" s="5">
        <f t="shared" ca="1" si="37"/>
        <v>3.7020353363532215E-3</v>
      </c>
      <c r="BG81" t="s">
        <v>141</v>
      </c>
      <c r="BH81" s="5">
        <f ca="1">+VLOOKUP($BG81,INDIRECT(Adrese!B$2),8,FALSE)</f>
        <v>8.3405188689913839E-2</v>
      </c>
      <c r="BI81" s="5">
        <f ca="1">+VLOOKUP($BG81,INDIRECT(Adrese!C$2),8,FALSE)</f>
        <v>8.3240655999999996E-2</v>
      </c>
      <c r="BJ81" s="5">
        <f ca="1">+VLOOKUP($BG81,INDIRECT(Adrese!D$2),8,FALSE)</f>
        <v>8.2830860000000006E-2</v>
      </c>
      <c r="BK81" s="5">
        <f ca="1">+VLOOKUP($BG81,INDIRECT(Adrese!E$2),8,FALSE)</f>
        <v>8.3198536000000003E-2</v>
      </c>
      <c r="BL81" s="5">
        <f ca="1">+VLOOKUP($BG81,INDIRECT(Adrese!F$2),8,FALSE)</f>
        <v>8.3245751000000007E-2</v>
      </c>
      <c r="BM81" s="5" t="str">
        <f t="shared" ca="1" si="38"/>
        <v>0.08 (0.00)</v>
      </c>
      <c r="BN81" s="5">
        <f t="shared" ca="1" si="27"/>
        <v>8.3184198337982768E-2</v>
      </c>
      <c r="BO81" s="5">
        <f t="shared" ca="1" si="39"/>
        <v>2.1264200143023234E-4</v>
      </c>
      <c r="BQ81" t="s">
        <v>141</v>
      </c>
      <c r="BR81" s="5">
        <f ca="1">+VLOOKUP($BG81,INDIRECT(Adrese!B$2),9,FALSE)</f>
        <v>9.1174842336067513E-2</v>
      </c>
      <c r="BS81" s="5">
        <f ca="1">+VLOOKUP($BG81,INDIRECT(Adrese!C$2),9,FALSE)</f>
        <v>9.0428214000000007E-2</v>
      </c>
      <c r="BT81" s="5">
        <f ca="1">+VLOOKUP($BG81,INDIRECT(Adrese!D$2),9,FALSE)</f>
        <v>9.1461906999999995E-2</v>
      </c>
      <c r="BU81" s="5">
        <f ca="1">+VLOOKUP($BG81,INDIRECT(Adrese!E$2),9,FALSE)</f>
        <v>9.1824490999999994E-2</v>
      </c>
      <c r="BV81" s="5">
        <f ca="1">+VLOOKUP($BG81,INDIRECT(Adrese!F$2),9,FALSE)</f>
        <v>9.1889418E-2</v>
      </c>
      <c r="BW81" s="5" t="str">
        <f t="shared" ca="1" si="40"/>
        <v>0.09 (0.00)</v>
      </c>
      <c r="BX81" s="5">
        <f t="shared" ca="1" si="28"/>
        <v>9.1355774467213505E-2</v>
      </c>
      <c r="BY81" s="5">
        <f t="shared" ca="1" si="41"/>
        <v>5.9347274139724996E-4</v>
      </c>
    </row>
    <row r="82" spans="1:77" x14ac:dyDescent="0.25">
      <c r="A82" t="s">
        <v>142</v>
      </c>
      <c r="B82" s="12">
        <f ca="1">+VLOOKUP($A82,INDIRECT(Adrese!B$2),2,FALSE)</f>
        <v>80</v>
      </c>
      <c r="C82" s="12">
        <f ca="1">+VLOOKUP($A82,INDIRECT(Adrese!C$2),2,FALSE)</f>
        <v>81</v>
      </c>
      <c r="D82" s="12">
        <f ca="1">+VLOOKUP($A82,INDIRECT(Adrese!D$2),2,FALSE)</f>
        <v>86</v>
      </c>
      <c r="E82" s="12">
        <f ca="1">+VLOOKUP($A82,INDIRECT(Adrese!E$2),2,FALSE)</f>
        <v>92</v>
      </c>
      <c r="F82" s="12">
        <f ca="1">+VLOOKUP($A82,INDIRECT(Adrese!F$2),2,FALSE)</f>
        <v>73</v>
      </c>
      <c r="G82" s="5">
        <f t="shared" ca="1" si="21"/>
        <v>82.4</v>
      </c>
      <c r="H82" s="5">
        <f t="shared" ca="1" si="29"/>
        <v>7.0922492905988577</v>
      </c>
      <c r="J82" t="s">
        <v>142</v>
      </c>
      <c r="K82">
        <f ca="1">+VLOOKUP($A82,INDIRECT(Adrese!B$2),3,FALSE)</f>
        <v>51</v>
      </c>
      <c r="L82">
        <f ca="1">+VLOOKUP($A82,INDIRECT(Adrese!C$2),3,FALSE)</f>
        <v>45</v>
      </c>
      <c r="M82">
        <f ca="1">+VLOOKUP($A82,INDIRECT(Adrese!D$2),3,FALSE)</f>
        <v>48</v>
      </c>
      <c r="N82">
        <f ca="1">+VLOOKUP($A82,INDIRECT(Adrese!E$2),3,FALSE)</f>
        <v>49</v>
      </c>
      <c r="O82">
        <f ca="1">+VLOOKUP($A82,INDIRECT(Adrese!F$2),3,FALSE)</f>
        <v>48</v>
      </c>
      <c r="P82" s="5">
        <f t="shared" ca="1" si="22"/>
        <v>48.2</v>
      </c>
      <c r="Q82" s="5">
        <f t="shared" ca="1" si="30"/>
        <v>2.1679483388678804</v>
      </c>
      <c r="T82" t="s">
        <v>142</v>
      </c>
      <c r="U82">
        <f ca="1">+VLOOKUP($T82,INDIRECT(Adrese!B$2),4,FALSE)</f>
        <v>118281</v>
      </c>
      <c r="V82">
        <f ca="1">+VLOOKUP($T82,INDIRECT(Adrese!C$2),4,FALSE)</f>
        <v>117936</v>
      </c>
      <c r="W82">
        <f ca="1">+VLOOKUP($T82,INDIRECT(Adrese!D$2),4,FALSE)</f>
        <v>117835</v>
      </c>
      <c r="X82">
        <f ca="1">+VLOOKUP($T82,INDIRECT(Adrese!E$2),4,FALSE)</f>
        <v>117670</v>
      </c>
      <c r="Y82">
        <f ca="1">+VLOOKUP($T82,INDIRECT(Adrese!F$2),4,FALSE)</f>
        <v>118486</v>
      </c>
      <c r="Z82">
        <f t="shared" ca="1" si="31"/>
        <v>590208</v>
      </c>
      <c r="AA82" s="5">
        <f t="shared" ca="1" si="23"/>
        <v>118041.60000000001</v>
      </c>
      <c r="AB82" s="5">
        <f t="shared" ca="1" si="32"/>
        <v>334.18752220871443</v>
      </c>
      <c r="AD82" t="s">
        <v>142</v>
      </c>
      <c r="AE82">
        <f ca="1">+VLOOKUP($A82,INDIRECT(Adrese!B$2),5,FALSE)</f>
        <v>33665</v>
      </c>
      <c r="AF82">
        <f ca="1">+VLOOKUP($A82,INDIRECT(Adrese!C$2),5,FALSE)</f>
        <v>33742</v>
      </c>
      <c r="AG82">
        <f ca="1">+VLOOKUP($A82,INDIRECT(Adrese!D$2),5,FALSE)</f>
        <v>33606</v>
      </c>
      <c r="AH82">
        <f ca="1">+VLOOKUP($A82,INDIRECT(Adrese!E$2),5,FALSE)</f>
        <v>33659</v>
      </c>
      <c r="AI82">
        <f ca="1">+VLOOKUP($A82,INDIRECT(Adrese!F$2),5,FALSE)</f>
        <v>34041</v>
      </c>
      <c r="AJ82" s="5">
        <f t="shared" ca="1" si="24"/>
        <v>33742.6</v>
      </c>
      <c r="AK82" s="5">
        <f t="shared" ca="1" si="33"/>
        <v>173.71902601615056</v>
      </c>
      <c r="AM82" t="s">
        <v>142</v>
      </c>
      <c r="AN82" s="5">
        <f ca="1">+VLOOKUP($A82,INDIRECT(Adrese!B$2),6,FALSE)</f>
        <v>0.7403761061946903</v>
      </c>
      <c r="AO82" s="5">
        <f ca="1">+VLOOKUP($A82,INDIRECT(Adrese!C$2),6,FALSE)</f>
        <v>0.74207964599999998</v>
      </c>
      <c r="AP82" s="5">
        <f ca="1">+VLOOKUP($A82,INDIRECT(Adrese!D$2),6,FALSE)</f>
        <v>0.73907079600000003</v>
      </c>
      <c r="AQ82" s="5">
        <f ca="1">+VLOOKUP($A82,INDIRECT(Adrese!E$2),6,FALSE)</f>
        <v>0.74024336300000004</v>
      </c>
      <c r="AR82" s="5">
        <f ca="1">+VLOOKUP($A82,INDIRECT(Adrese!F$2),6,FALSE)</f>
        <v>0.74869469</v>
      </c>
      <c r="AS82" s="5" t="str">
        <f t="shared" ca="1" si="34"/>
        <v>0.74 (0.00)</v>
      </c>
      <c r="AT82" s="5">
        <f t="shared" ca="1" si="25"/>
        <v>0.74209292023893814</v>
      </c>
      <c r="AU82" s="5">
        <f t="shared" ca="1" si="35"/>
        <v>3.843341239784151E-3</v>
      </c>
      <c r="AW82" t="s">
        <v>142</v>
      </c>
      <c r="AX82" s="5">
        <f ca="1">+VLOOKUP($A82,INDIRECT(Adrese!B$2),7,FALSE)</f>
        <v>0.77433628318584069</v>
      </c>
      <c r="AY82" s="5">
        <f ca="1">+VLOOKUP($A82,INDIRECT(Adrese!C$2),7,FALSE)</f>
        <v>0.80088495599999998</v>
      </c>
      <c r="AZ82" s="5">
        <f ca="1">+VLOOKUP($A82,INDIRECT(Adrese!D$2),7,FALSE)</f>
        <v>0.78761061899999996</v>
      </c>
      <c r="BA82" s="5">
        <f ca="1">+VLOOKUP($A82,INDIRECT(Adrese!E$2),7,FALSE)</f>
        <v>0.78318584099999999</v>
      </c>
      <c r="BB82" s="5">
        <f ca="1">+VLOOKUP($A82,INDIRECT(Adrese!F$2),7,FALSE)</f>
        <v>0.78761061899999996</v>
      </c>
      <c r="BC82" s="5" t="str">
        <f t="shared" ca="1" si="36"/>
        <v>0.79 (0.01)</v>
      </c>
      <c r="BD82">
        <f t="shared" ca="1" si="26"/>
        <v>0.78672566363716812</v>
      </c>
      <c r="BE82" s="5">
        <f t="shared" ca="1" si="37"/>
        <v>9.5926918077630912E-3</v>
      </c>
      <c r="BG82" t="s">
        <v>142</v>
      </c>
      <c r="BH82" s="5">
        <f ca="1">+VLOOKUP($BG82,INDIRECT(Adrese!B$2),8,FALSE)</f>
        <v>7.6310872101608737E-2</v>
      </c>
      <c r="BI82" s="5">
        <f ca="1">+VLOOKUP($BG82,INDIRECT(Adrese!C$2),8,FALSE)</f>
        <v>7.6566492E-2</v>
      </c>
      <c r="BJ82" s="5">
        <f ca="1">+VLOOKUP($BG82,INDIRECT(Adrese!D$2),8,FALSE)</f>
        <v>7.6430375999999994E-2</v>
      </c>
      <c r="BK82" s="5">
        <f ca="1">+VLOOKUP($BG82,INDIRECT(Adrese!E$2),8,FALSE)</f>
        <v>7.6370682999999995E-2</v>
      </c>
      <c r="BL82" s="5">
        <f ca="1">+VLOOKUP($BG82,INDIRECT(Adrese!F$2),8,FALSE)</f>
        <v>7.7021511000000001E-2</v>
      </c>
      <c r="BM82" s="5" t="str">
        <f t="shared" ca="1" si="38"/>
        <v>0.08 (0.00)</v>
      </c>
      <c r="BN82" s="5">
        <f t="shared" ca="1" si="27"/>
        <v>7.6539986820321745E-2</v>
      </c>
      <c r="BO82" s="5">
        <f t="shared" ca="1" si="39"/>
        <v>2.8536815256904592E-4</v>
      </c>
      <c r="BQ82" t="s">
        <v>142</v>
      </c>
      <c r="BR82" s="5">
        <f ca="1">+VLOOKUP($BG82,INDIRECT(Adrese!B$2),9,FALSE)</f>
        <v>8.579236532821613E-2</v>
      </c>
      <c r="BS82" s="5">
        <f ca="1">+VLOOKUP($BG82,INDIRECT(Adrese!C$2),9,FALSE)</f>
        <v>8.6686672000000006E-2</v>
      </c>
      <c r="BT82" s="5">
        <f ca="1">+VLOOKUP($BG82,INDIRECT(Adrese!D$2),9,FALSE)</f>
        <v>8.6621032000000001E-2</v>
      </c>
      <c r="BU82" s="5">
        <f ca="1">+VLOOKUP($BG82,INDIRECT(Adrese!E$2),9,FALSE)</f>
        <v>8.6500436E-2</v>
      </c>
      <c r="BV82" s="5">
        <f ca="1">+VLOOKUP($BG82,INDIRECT(Adrese!F$2),9,FALSE)</f>
        <v>8.6640527999999994E-2</v>
      </c>
      <c r="BW82" s="5" t="str">
        <f t="shared" ca="1" si="40"/>
        <v>0.09 (0.00)</v>
      </c>
      <c r="BX82" s="5">
        <f t="shared" ca="1" si="28"/>
        <v>8.6448206665643221E-2</v>
      </c>
      <c r="BY82" s="5">
        <f t="shared" ca="1" si="41"/>
        <v>3.7302063306863577E-4</v>
      </c>
    </row>
    <row r="83" spans="1:77" x14ac:dyDescent="0.25">
      <c r="A83" t="s">
        <v>143</v>
      </c>
      <c r="B83" s="12">
        <f ca="1">+VLOOKUP($A83,INDIRECT(Adrese!B$2),2,FALSE)</f>
        <v>81</v>
      </c>
      <c r="C83" s="12">
        <f ca="1">+VLOOKUP($A83,INDIRECT(Adrese!C$2),2,FALSE)</f>
        <v>75</v>
      </c>
      <c r="D83" s="12">
        <f ca="1">+VLOOKUP($A83,INDIRECT(Adrese!D$2),2,FALSE)</f>
        <v>78</v>
      </c>
      <c r="E83" s="12">
        <f ca="1">+VLOOKUP($A83,INDIRECT(Adrese!E$2),2,FALSE)</f>
        <v>82</v>
      </c>
      <c r="F83" s="12">
        <f ca="1">+VLOOKUP($A83,INDIRECT(Adrese!F$2),2,FALSE)</f>
        <v>83</v>
      </c>
      <c r="G83" s="5">
        <f t="shared" ca="1" si="21"/>
        <v>79.8</v>
      </c>
      <c r="H83" s="5">
        <f t="shared" ca="1" si="29"/>
        <v>3.271085446759225</v>
      </c>
      <c r="J83" t="s">
        <v>143</v>
      </c>
      <c r="K83">
        <f ca="1">+VLOOKUP($A83,INDIRECT(Adrese!B$2),3,FALSE)</f>
        <v>64</v>
      </c>
      <c r="L83">
        <f ca="1">+VLOOKUP($A83,INDIRECT(Adrese!C$2),3,FALSE)</f>
        <v>64</v>
      </c>
      <c r="M83">
        <f ca="1">+VLOOKUP($A83,INDIRECT(Adrese!D$2),3,FALSE)</f>
        <v>65</v>
      </c>
      <c r="N83">
        <f ca="1">+VLOOKUP($A83,INDIRECT(Adrese!E$2),3,FALSE)</f>
        <v>67</v>
      </c>
      <c r="O83">
        <f ca="1">+VLOOKUP($A83,INDIRECT(Adrese!F$2),3,FALSE)</f>
        <v>68</v>
      </c>
      <c r="P83" s="5">
        <f t="shared" ca="1" si="22"/>
        <v>65.599999999999994</v>
      </c>
      <c r="Q83" s="5">
        <f t="shared" ca="1" si="30"/>
        <v>1.8165902124584949</v>
      </c>
      <c r="T83" t="s">
        <v>143</v>
      </c>
      <c r="U83">
        <f ca="1">+VLOOKUP($T83,INDIRECT(Adrese!B$2),4,FALSE)</f>
        <v>118257</v>
      </c>
      <c r="V83">
        <f ca="1">+VLOOKUP($T83,INDIRECT(Adrese!C$2),4,FALSE)</f>
        <v>118229</v>
      </c>
      <c r="W83">
        <f ca="1">+VLOOKUP($T83,INDIRECT(Adrese!D$2),4,FALSE)</f>
        <v>118486</v>
      </c>
      <c r="X83">
        <f ca="1">+VLOOKUP($T83,INDIRECT(Adrese!E$2),4,FALSE)</f>
        <v>118189</v>
      </c>
      <c r="Y83">
        <f ca="1">+VLOOKUP($T83,INDIRECT(Adrese!F$2),4,FALSE)</f>
        <v>118009</v>
      </c>
      <c r="Z83">
        <f t="shared" ca="1" si="31"/>
        <v>591170</v>
      </c>
      <c r="AA83" s="5">
        <f t="shared" ca="1" si="23"/>
        <v>118234</v>
      </c>
      <c r="AB83" s="5">
        <f t="shared" ca="1" si="32"/>
        <v>170.8127629891865</v>
      </c>
      <c r="AD83" t="s">
        <v>143</v>
      </c>
      <c r="AE83">
        <f ca="1">+VLOOKUP($A83,INDIRECT(Adrese!B$2),5,FALSE)</f>
        <v>29190</v>
      </c>
      <c r="AF83">
        <f ca="1">+VLOOKUP($A83,INDIRECT(Adrese!C$2),5,FALSE)</f>
        <v>29066</v>
      </c>
      <c r="AG83">
        <f ca="1">+VLOOKUP($A83,INDIRECT(Adrese!D$2),5,FALSE)</f>
        <v>29041</v>
      </c>
      <c r="AH83">
        <f ca="1">+VLOOKUP($A83,INDIRECT(Adrese!E$2),5,FALSE)</f>
        <v>28929</v>
      </c>
      <c r="AI83">
        <f ca="1">+VLOOKUP($A83,INDIRECT(Adrese!F$2),5,FALSE)</f>
        <v>28671</v>
      </c>
      <c r="AJ83" s="5">
        <f t="shared" ca="1" si="24"/>
        <v>28979.4</v>
      </c>
      <c r="AK83" s="5">
        <f t="shared" ca="1" si="33"/>
        <v>195.76593166330039</v>
      </c>
      <c r="AM83" t="s">
        <v>143</v>
      </c>
      <c r="AN83" s="5">
        <f ca="1">+VLOOKUP($A83,INDIRECT(Adrese!B$2),6,FALSE)</f>
        <v>0.64137168141592915</v>
      </c>
      <c r="AO83" s="5">
        <f ca="1">+VLOOKUP($A83,INDIRECT(Adrese!C$2),6,FALSE)</f>
        <v>0.63862831900000006</v>
      </c>
      <c r="AP83" s="5">
        <f ca="1">+VLOOKUP($A83,INDIRECT(Adrese!D$2),6,FALSE)</f>
        <v>0.63807522100000003</v>
      </c>
      <c r="AQ83" s="5">
        <f ca="1">+VLOOKUP($A83,INDIRECT(Adrese!E$2),6,FALSE)</f>
        <v>0.63559734499999998</v>
      </c>
      <c r="AR83" s="5">
        <f ca="1">+VLOOKUP($A83,INDIRECT(Adrese!F$2),6,FALSE)</f>
        <v>0.62988938100000003</v>
      </c>
      <c r="AS83" s="5" t="str">
        <f t="shared" ca="1" si="34"/>
        <v>0.64 (0.00)</v>
      </c>
      <c r="AT83" s="5">
        <f t="shared" ca="1" si="25"/>
        <v>0.63671238948318587</v>
      </c>
      <c r="AU83" s="5">
        <f t="shared" ca="1" si="35"/>
        <v>4.3311045338417344E-3</v>
      </c>
      <c r="AW83" t="s">
        <v>143</v>
      </c>
      <c r="AX83" s="5">
        <f ca="1">+VLOOKUP($A83,INDIRECT(Adrese!B$2),7,FALSE)</f>
        <v>0.7168141592920354</v>
      </c>
      <c r="AY83" s="5">
        <f ca="1">+VLOOKUP($A83,INDIRECT(Adrese!C$2),7,FALSE)</f>
        <v>0.71681415900000001</v>
      </c>
      <c r="AZ83" s="5">
        <f ca="1">+VLOOKUP($A83,INDIRECT(Adrese!D$2),7,FALSE)</f>
        <v>0.71238938100000004</v>
      </c>
      <c r="BA83" s="5">
        <f ca="1">+VLOOKUP($A83,INDIRECT(Adrese!E$2),7,FALSE)</f>
        <v>0.70353982299999995</v>
      </c>
      <c r="BB83" s="5">
        <f ca="1">+VLOOKUP($A83,INDIRECT(Adrese!F$2),7,FALSE)</f>
        <v>0.69911504400000002</v>
      </c>
      <c r="BC83" s="5" t="str">
        <f t="shared" ca="1" si="36"/>
        <v>0.71 (0.01)</v>
      </c>
      <c r="BD83">
        <f t="shared" ca="1" si="26"/>
        <v>0.70973451325840708</v>
      </c>
      <c r="BE83" s="5">
        <f t="shared" ca="1" si="37"/>
        <v>8.0380098476104736E-3</v>
      </c>
      <c r="BG83" t="s">
        <v>143</v>
      </c>
      <c r="BH83" s="5">
        <f ca="1">+VLOOKUP($BG83,INDIRECT(Adrese!B$2),8,FALSE)</f>
        <v>6.8066894457942784E-2</v>
      </c>
      <c r="BI83" s="5">
        <f ca="1">+VLOOKUP($BG83,INDIRECT(Adrese!C$2),8,FALSE)</f>
        <v>6.8160171000000006E-2</v>
      </c>
      <c r="BJ83" s="5">
        <f ca="1">+VLOOKUP($BG83,INDIRECT(Adrese!D$2),8,FALSE)</f>
        <v>6.8179296E-2</v>
      </c>
      <c r="BK83" s="5">
        <f ca="1">+VLOOKUP($BG83,INDIRECT(Adrese!E$2),8,FALSE)</f>
        <v>6.7681714000000004E-2</v>
      </c>
      <c r="BL83" s="5">
        <f ca="1">+VLOOKUP($BG83,INDIRECT(Adrese!F$2),8,FALSE)</f>
        <v>6.7403479000000002E-2</v>
      </c>
      <c r="BM83" s="5" t="str">
        <f t="shared" ca="1" si="38"/>
        <v>0.07 (0.00)</v>
      </c>
      <c r="BN83" s="5">
        <f t="shared" ca="1" si="27"/>
        <v>6.7898310891588556E-2</v>
      </c>
      <c r="BO83" s="5">
        <f t="shared" ca="1" si="39"/>
        <v>3.4194903887490555E-4</v>
      </c>
      <c r="BQ83" t="s">
        <v>143</v>
      </c>
      <c r="BR83" s="5">
        <f ca="1">+VLOOKUP($BG83,INDIRECT(Adrese!B$2),9,FALSE)</f>
        <v>7.6204104289922941E-2</v>
      </c>
      <c r="BS83" s="5">
        <f ca="1">+VLOOKUP($BG83,INDIRECT(Adrese!C$2),9,FALSE)</f>
        <v>7.7443318999999997E-2</v>
      </c>
      <c r="BT83" s="5">
        <f ca="1">+VLOOKUP($BG83,INDIRECT(Adrese!D$2),9,FALSE)</f>
        <v>7.7476165999999999E-2</v>
      </c>
      <c r="BU83" s="5">
        <f ca="1">+VLOOKUP($BG83,INDIRECT(Adrese!E$2),9,FALSE)</f>
        <v>7.5811925000000002E-2</v>
      </c>
      <c r="BV83" s="5">
        <f ca="1">+VLOOKUP($BG83,INDIRECT(Adrese!F$2),9,FALSE)</f>
        <v>7.6028784000000002E-2</v>
      </c>
      <c r="BW83" s="5" t="str">
        <f t="shared" ca="1" si="40"/>
        <v>0.08 (0.00)</v>
      </c>
      <c r="BX83" s="5">
        <f t="shared" ca="1" si="28"/>
        <v>7.6592859657984597E-2</v>
      </c>
      <c r="BY83" s="5">
        <f t="shared" ca="1" si="41"/>
        <v>8.0353627958464329E-4</v>
      </c>
    </row>
    <row r="84" spans="1:77" x14ac:dyDescent="0.25">
      <c r="A84" t="s">
        <v>144</v>
      </c>
      <c r="B84" s="12">
        <f ca="1">+VLOOKUP($A84,INDIRECT(Adrese!B$2),2,FALSE)</f>
        <v>82</v>
      </c>
      <c r="C84" s="12">
        <f ca="1">+VLOOKUP($A84,INDIRECT(Adrese!C$2),2,FALSE)</f>
        <v>94</v>
      </c>
      <c r="D84" s="12">
        <f ca="1">+VLOOKUP($A84,INDIRECT(Adrese!D$2),2,FALSE)</f>
        <v>82</v>
      </c>
      <c r="E84" s="12">
        <f ca="1">+VLOOKUP($A84,INDIRECT(Adrese!E$2),2,FALSE)</f>
        <v>81</v>
      </c>
      <c r="F84" s="12">
        <f ca="1">+VLOOKUP($A84,INDIRECT(Adrese!F$2),2,FALSE)</f>
        <v>78</v>
      </c>
      <c r="G84" s="5">
        <f t="shared" ref="G84:G147" ca="1" si="42">AVERAGE(B84:F84)</f>
        <v>83.4</v>
      </c>
      <c r="H84" s="5">
        <f t="shared" ca="1" si="29"/>
        <v>6.1481704595757591</v>
      </c>
      <c r="J84" t="s">
        <v>144</v>
      </c>
      <c r="K84">
        <f ca="1">+VLOOKUP($A84,INDIRECT(Adrese!B$2),3,FALSE)</f>
        <v>65</v>
      </c>
      <c r="L84">
        <f ca="1">+VLOOKUP($A84,INDIRECT(Adrese!C$2),3,FALSE)</f>
        <v>66</v>
      </c>
      <c r="M84">
        <f ca="1">+VLOOKUP($A84,INDIRECT(Adrese!D$2),3,FALSE)</f>
        <v>67</v>
      </c>
      <c r="N84">
        <f ca="1">+VLOOKUP($A84,INDIRECT(Adrese!E$2),3,FALSE)</f>
        <v>62</v>
      </c>
      <c r="O84">
        <f ca="1">+VLOOKUP($A84,INDIRECT(Adrese!F$2),3,FALSE)</f>
        <v>66</v>
      </c>
      <c r="P84" s="5">
        <f t="shared" ref="P84:P147" ca="1" si="43">AVERAGE(K84:O84)</f>
        <v>65.2</v>
      </c>
      <c r="Q84" s="5">
        <f t="shared" ca="1" si="30"/>
        <v>1.9235384061671343</v>
      </c>
      <c r="T84" t="s">
        <v>144</v>
      </c>
      <c r="U84">
        <f ca="1">+VLOOKUP($T84,INDIRECT(Adrese!B$2),4,FALSE)</f>
        <v>118166</v>
      </c>
      <c r="V84">
        <f ca="1">+VLOOKUP($T84,INDIRECT(Adrese!C$2),4,FALSE)</f>
        <v>117385</v>
      </c>
      <c r="W84">
        <f ca="1">+VLOOKUP($T84,INDIRECT(Adrese!D$2),4,FALSE)</f>
        <v>117997</v>
      </c>
      <c r="X84">
        <f ca="1">+VLOOKUP($T84,INDIRECT(Adrese!E$2),4,FALSE)</f>
        <v>118257</v>
      </c>
      <c r="Y84">
        <f ca="1">+VLOOKUP($T84,INDIRECT(Adrese!F$2),4,FALSE)</f>
        <v>118270</v>
      </c>
      <c r="Z84">
        <f t="shared" ca="1" si="31"/>
        <v>590075</v>
      </c>
      <c r="AA84" s="5">
        <f t="shared" ref="AA84:AA147" ca="1" si="44">AVERAGE(U84:Y84)</f>
        <v>118015</v>
      </c>
      <c r="AB84" s="5">
        <f t="shared" ca="1" si="32"/>
        <v>368.65091889211396</v>
      </c>
      <c r="AD84" t="s">
        <v>144</v>
      </c>
      <c r="AE84">
        <f ca="1">+VLOOKUP($A84,INDIRECT(Adrese!B$2),5,FALSE)</f>
        <v>28811</v>
      </c>
      <c r="AF84">
        <f ca="1">+VLOOKUP($A84,INDIRECT(Adrese!C$2),5,FALSE)</f>
        <v>28620</v>
      </c>
      <c r="AG84">
        <f ca="1">+VLOOKUP($A84,INDIRECT(Adrese!D$2),5,FALSE)</f>
        <v>28610</v>
      </c>
      <c r="AH84">
        <f ca="1">+VLOOKUP($A84,INDIRECT(Adrese!E$2),5,FALSE)</f>
        <v>28997</v>
      </c>
      <c r="AI84">
        <f ca="1">+VLOOKUP($A84,INDIRECT(Adrese!F$2),5,FALSE)</f>
        <v>29133</v>
      </c>
      <c r="AJ84" s="5">
        <f t="shared" ref="AJ84:AJ147" ca="1" si="45">AVERAGE(AE84:AI84)</f>
        <v>28834.2</v>
      </c>
      <c r="AK84" s="5">
        <f t="shared" ca="1" si="33"/>
        <v>230.4727749648535</v>
      </c>
      <c r="AM84" t="s">
        <v>144</v>
      </c>
      <c r="AN84" s="5">
        <f ca="1">+VLOOKUP($A84,INDIRECT(Adrese!B$2),6,FALSE)</f>
        <v>0.63298672566371683</v>
      </c>
      <c r="AO84" s="5">
        <f ca="1">+VLOOKUP($A84,INDIRECT(Adrese!C$2),6,FALSE)</f>
        <v>0.62876106200000004</v>
      </c>
      <c r="AP84" s="5">
        <f ca="1">+VLOOKUP($A84,INDIRECT(Adrese!D$2),6,FALSE)</f>
        <v>0.628539823</v>
      </c>
      <c r="AQ84" s="5">
        <f ca="1">+VLOOKUP($A84,INDIRECT(Adrese!E$2),6,FALSE)</f>
        <v>0.63710177000000001</v>
      </c>
      <c r="AR84" s="5">
        <f ca="1">+VLOOKUP($A84,INDIRECT(Adrese!F$2),6,FALSE)</f>
        <v>0.64011061899999999</v>
      </c>
      <c r="AS84" s="5" t="str">
        <f t="shared" ca="1" si="34"/>
        <v>0.63 (0.01)</v>
      </c>
      <c r="AT84" s="5">
        <f t="shared" ref="AT84:AT147" ca="1" si="46">AVERAGE(AN84:AR84)</f>
        <v>0.63349999993274342</v>
      </c>
      <c r="AU84" s="5">
        <f t="shared" ca="1" si="35"/>
        <v>5.0989550517611098E-3</v>
      </c>
      <c r="AW84" t="s">
        <v>144</v>
      </c>
      <c r="AX84" s="5">
        <f ca="1">+VLOOKUP($A84,INDIRECT(Adrese!B$2),7,FALSE)</f>
        <v>0.71238938053097345</v>
      </c>
      <c r="AY84" s="5">
        <f ca="1">+VLOOKUP($A84,INDIRECT(Adrese!C$2),7,FALSE)</f>
        <v>0.707964602</v>
      </c>
      <c r="AZ84" s="5">
        <f ca="1">+VLOOKUP($A84,INDIRECT(Adrese!D$2),7,FALSE)</f>
        <v>0.70353982299999995</v>
      </c>
      <c r="BA84" s="5">
        <f ca="1">+VLOOKUP($A84,INDIRECT(Adrese!E$2),7,FALSE)</f>
        <v>0.72566371699999999</v>
      </c>
      <c r="BB84" s="5">
        <f ca="1">+VLOOKUP($A84,INDIRECT(Adrese!F$2),7,FALSE)</f>
        <v>0.707964602</v>
      </c>
      <c r="BC84" s="5" t="str">
        <f t="shared" ca="1" si="36"/>
        <v>0.71 (0.01)</v>
      </c>
      <c r="BD84">
        <f t="shared" ref="BD84:BD147" ca="1" si="47">AVERAGE(AX84:BB84)</f>
        <v>0.71150442490619459</v>
      </c>
      <c r="BE84" s="5">
        <f t="shared" ca="1" si="37"/>
        <v>8.5112319172098525E-3</v>
      </c>
      <c r="BG84" t="s">
        <v>144</v>
      </c>
      <c r="BH84" s="5">
        <f ca="1">+VLOOKUP($BG84,INDIRECT(Adrese!B$2),8,FALSE)</f>
        <v>6.8360849863785808E-2</v>
      </c>
      <c r="BI84" s="5">
        <f ca="1">+VLOOKUP($BG84,INDIRECT(Adrese!C$2),8,FALSE)</f>
        <v>6.7943649999999994E-2</v>
      </c>
      <c r="BJ84" s="5">
        <f ca="1">+VLOOKUP($BG84,INDIRECT(Adrese!D$2),8,FALSE)</f>
        <v>6.8082286000000006E-2</v>
      </c>
      <c r="BK84" s="5">
        <f ca="1">+VLOOKUP($BG84,INDIRECT(Adrese!E$2),8,FALSE)</f>
        <v>6.8712420999999996E-2</v>
      </c>
      <c r="BL84" s="5">
        <f ca="1">+VLOOKUP($BG84,INDIRECT(Adrese!F$2),8,FALSE)</f>
        <v>6.885442E-2</v>
      </c>
      <c r="BM84" s="5" t="str">
        <f t="shared" ca="1" si="38"/>
        <v>0.07 (0.00)</v>
      </c>
      <c r="BN84" s="5">
        <f t="shared" ref="BN84:BN147" ca="1" si="48">AVERAGE(BH84:BL84)</f>
        <v>6.8390725372757144E-2</v>
      </c>
      <c r="BO84" s="5">
        <f t="shared" ca="1" si="39"/>
        <v>3.9191981499731552E-4</v>
      </c>
      <c r="BQ84" t="s">
        <v>144</v>
      </c>
      <c r="BR84" s="5">
        <f ca="1">+VLOOKUP($BG84,INDIRECT(Adrese!B$2),9,FALSE)</f>
        <v>7.9490818158509807E-2</v>
      </c>
      <c r="BS84" s="5">
        <f ca="1">+VLOOKUP($BG84,INDIRECT(Adrese!C$2),9,FALSE)</f>
        <v>7.8770556000000005E-2</v>
      </c>
      <c r="BT84" s="5">
        <f ca="1">+VLOOKUP($BG84,INDIRECT(Adrese!D$2),9,FALSE)</f>
        <v>7.9041001E-2</v>
      </c>
      <c r="BU84" s="5">
        <f ca="1">+VLOOKUP($BG84,INDIRECT(Adrese!E$2),9,FALSE)</f>
        <v>7.9873734000000002E-2</v>
      </c>
      <c r="BV84" s="5">
        <f ca="1">+VLOOKUP($BG84,INDIRECT(Adrese!F$2),9,FALSE)</f>
        <v>7.9394777E-2</v>
      </c>
      <c r="BW84" s="5" t="str">
        <f t="shared" ca="1" si="40"/>
        <v>0.08 (0.00)</v>
      </c>
      <c r="BX84" s="5">
        <f t="shared" ref="BX84:BX147" ca="1" si="49">AVERAGE(BR84:BV84)</f>
        <v>7.9314177231701949E-2</v>
      </c>
      <c r="BY84" s="5">
        <f t="shared" ca="1" si="41"/>
        <v>4.2454428913407097E-4</v>
      </c>
    </row>
    <row r="85" spans="1:77" x14ac:dyDescent="0.25">
      <c r="A85" t="s">
        <v>10</v>
      </c>
      <c r="B85" s="12">
        <f ca="1">+VLOOKUP($A85,INDIRECT(Adrese!B$2),2,FALSE)</f>
        <v>83</v>
      </c>
      <c r="C85" s="12">
        <f ca="1">+VLOOKUP($A85,INDIRECT(Adrese!C$2),2,FALSE)</f>
        <v>95</v>
      </c>
      <c r="D85" s="12">
        <f ca="1">+VLOOKUP($A85,INDIRECT(Adrese!D$2),2,FALSE)</f>
        <v>94</v>
      </c>
      <c r="E85" s="12">
        <f ca="1">+VLOOKUP($A85,INDIRECT(Adrese!E$2),2,FALSE)</f>
        <v>90</v>
      </c>
      <c r="F85" s="12">
        <f ca="1">+VLOOKUP($A85,INDIRECT(Adrese!F$2),2,FALSE)</f>
        <v>74</v>
      </c>
      <c r="G85" s="5">
        <f t="shared" ca="1" si="42"/>
        <v>87.2</v>
      </c>
      <c r="H85" s="5">
        <f t="shared" ca="1" si="29"/>
        <v>8.7578536183245266</v>
      </c>
      <c r="J85" t="s">
        <v>10</v>
      </c>
      <c r="K85">
        <f ca="1">+VLOOKUP($A85,INDIRECT(Adrese!B$2),3,FALSE)</f>
        <v>22</v>
      </c>
      <c r="L85">
        <f ca="1">+VLOOKUP($A85,INDIRECT(Adrese!C$2),3,FALSE)</f>
        <v>18</v>
      </c>
      <c r="M85">
        <f ca="1">+VLOOKUP($A85,INDIRECT(Adrese!D$2),3,FALSE)</f>
        <v>17</v>
      </c>
      <c r="N85">
        <f ca="1">+VLOOKUP($A85,INDIRECT(Adrese!E$2),3,FALSE)</f>
        <v>16</v>
      </c>
      <c r="O85">
        <f ca="1">+VLOOKUP($A85,INDIRECT(Adrese!F$2),3,FALSE)</f>
        <v>19</v>
      </c>
      <c r="P85" s="5">
        <f t="shared" ca="1" si="43"/>
        <v>18.399999999999999</v>
      </c>
      <c r="Q85" s="5">
        <f t="shared" ca="1" si="30"/>
        <v>2.3021728866442701</v>
      </c>
      <c r="T85" t="s">
        <v>10</v>
      </c>
      <c r="U85">
        <f ca="1">+VLOOKUP($T85,INDIRECT(Adrese!B$2),4,FALSE)</f>
        <v>118134</v>
      </c>
      <c r="V85">
        <f ca="1">+VLOOKUP($T85,INDIRECT(Adrese!C$2),4,FALSE)</f>
        <v>117290</v>
      </c>
      <c r="W85">
        <f ca="1">+VLOOKUP($T85,INDIRECT(Adrese!D$2),4,FALSE)</f>
        <v>117389</v>
      </c>
      <c r="X85">
        <f ca="1">+VLOOKUP($T85,INDIRECT(Adrese!E$2),4,FALSE)</f>
        <v>117699</v>
      </c>
      <c r="Y85">
        <f ca="1">+VLOOKUP($T85,INDIRECT(Adrese!F$2),4,FALSE)</f>
        <v>118382</v>
      </c>
      <c r="Z85">
        <f t="shared" ca="1" si="31"/>
        <v>588894</v>
      </c>
      <c r="AA85" s="5">
        <f t="shared" ca="1" si="44"/>
        <v>117778.8</v>
      </c>
      <c r="AB85" s="5">
        <f t="shared" ca="1" si="32"/>
        <v>470.97101821662022</v>
      </c>
      <c r="AD85" t="s">
        <v>10</v>
      </c>
      <c r="AE85">
        <f ca="1">+VLOOKUP($A85,INDIRECT(Adrese!B$2),5,FALSE)</f>
        <v>40523</v>
      </c>
      <c r="AF85">
        <f ca="1">+VLOOKUP($A85,INDIRECT(Adrese!C$2),5,FALSE)</f>
        <v>40436</v>
      </c>
      <c r="AG85">
        <f ca="1">+VLOOKUP($A85,INDIRECT(Adrese!D$2),5,FALSE)</f>
        <v>40541</v>
      </c>
      <c r="AH85">
        <f ca="1">+VLOOKUP($A85,INDIRECT(Adrese!E$2),5,FALSE)</f>
        <v>40449</v>
      </c>
      <c r="AI85">
        <f ca="1">+VLOOKUP($A85,INDIRECT(Adrese!F$2),5,FALSE)</f>
        <v>40486</v>
      </c>
      <c r="AJ85" s="5">
        <f t="shared" ca="1" si="45"/>
        <v>40487</v>
      </c>
      <c r="AK85" s="5">
        <f t="shared" ca="1" si="33"/>
        <v>45.436769251345325</v>
      </c>
      <c r="AM85" t="s">
        <v>10</v>
      </c>
      <c r="AN85" s="5">
        <f ca="1">+VLOOKUP($A85,INDIRECT(Adrese!B$2),6,FALSE)</f>
        <v>0.89210176991150447</v>
      </c>
      <c r="AO85" s="5">
        <f ca="1">+VLOOKUP($A85,INDIRECT(Adrese!C$2),6,FALSE)</f>
        <v>0.89017699100000003</v>
      </c>
      <c r="AP85" s="5">
        <f ca="1">+VLOOKUP($A85,INDIRECT(Adrese!D$2),6,FALSE)</f>
        <v>0.89249999999999996</v>
      </c>
      <c r="AQ85" s="5">
        <f ca="1">+VLOOKUP($A85,INDIRECT(Adrese!E$2),6,FALSE)</f>
        <v>0.89046460199999999</v>
      </c>
      <c r="AR85" s="5">
        <f ca="1">+VLOOKUP($A85,INDIRECT(Adrese!F$2),6,FALSE)</f>
        <v>0.89128318600000001</v>
      </c>
      <c r="AS85" s="5" t="str">
        <f t="shared" ca="1" si="34"/>
        <v>0.89 (0.00)</v>
      </c>
      <c r="AT85" s="5">
        <f t="shared" ca="1" si="46"/>
        <v>0.89130530978230083</v>
      </c>
      <c r="AU85" s="5">
        <f t="shared" ca="1" si="35"/>
        <v>1.0052382510049949E-3</v>
      </c>
      <c r="AW85" t="s">
        <v>10</v>
      </c>
      <c r="AX85" s="5">
        <f ca="1">+VLOOKUP($A85,INDIRECT(Adrese!B$2),7,FALSE)</f>
        <v>0.90265486725663713</v>
      </c>
      <c r="AY85" s="5">
        <f ca="1">+VLOOKUP($A85,INDIRECT(Adrese!C$2),7,FALSE)</f>
        <v>0.92035398199999996</v>
      </c>
      <c r="AZ85" s="5">
        <f ca="1">+VLOOKUP($A85,INDIRECT(Adrese!D$2),7,FALSE)</f>
        <v>0.924778761</v>
      </c>
      <c r="BA85" s="5">
        <f ca="1">+VLOOKUP($A85,INDIRECT(Adrese!E$2),7,FALSE)</f>
        <v>0.92920354000000005</v>
      </c>
      <c r="BB85" s="5">
        <f ca="1">+VLOOKUP($A85,INDIRECT(Adrese!F$2),7,FALSE)</f>
        <v>0.915929204</v>
      </c>
      <c r="BC85" s="5" t="str">
        <f t="shared" ca="1" si="36"/>
        <v>0.92 (0.01)</v>
      </c>
      <c r="BD85">
        <f t="shared" ca="1" si="47"/>
        <v>0.91858407085132732</v>
      </c>
      <c r="BE85" s="5">
        <f t="shared" ca="1" si="37"/>
        <v>1.0186605686773657E-2</v>
      </c>
      <c r="BG85" t="s">
        <v>10</v>
      </c>
      <c r="BH85" s="5">
        <f ca="1">+VLOOKUP($BG85,INDIRECT(Adrese!B$2),8,FALSE)</f>
        <v>8.383205681771691E-2</v>
      </c>
      <c r="BI85" s="5">
        <f ca="1">+VLOOKUP($BG85,INDIRECT(Adrese!C$2),8,FALSE)</f>
        <v>8.3991604999999997E-2</v>
      </c>
      <c r="BJ85" s="5">
        <f ca="1">+VLOOKUP($BG85,INDIRECT(Adrese!D$2),8,FALSE)</f>
        <v>8.4072654999999996E-2</v>
      </c>
      <c r="BK85" s="5">
        <f ca="1">+VLOOKUP($BG85,INDIRECT(Adrese!E$2),8,FALSE)</f>
        <v>8.3828191999999996E-2</v>
      </c>
      <c r="BL85" s="5">
        <f ca="1">+VLOOKUP($BG85,INDIRECT(Adrese!F$2),8,FALSE)</f>
        <v>8.4013991999999996E-2</v>
      </c>
      <c r="BM85" s="5" t="str">
        <f t="shared" ca="1" si="38"/>
        <v>0.08 (0.00)</v>
      </c>
      <c r="BN85" s="5">
        <f t="shared" ca="1" si="48"/>
        <v>8.3947700163543373E-2</v>
      </c>
      <c r="BO85" s="5">
        <f t="shared" ca="1" si="39"/>
        <v>1.1134578796077719E-4</v>
      </c>
      <c r="BQ85" t="s">
        <v>10</v>
      </c>
      <c r="BR85" s="5">
        <f ca="1">+VLOOKUP($BG85,INDIRECT(Adrese!B$2),9,FALSE)</f>
        <v>7.9495225191605443E-2</v>
      </c>
      <c r="BS85" s="5">
        <f ca="1">+VLOOKUP($BG85,INDIRECT(Adrese!C$2),9,FALSE)</f>
        <v>8.0589662000000006E-2</v>
      </c>
      <c r="BT85" s="5">
        <f ca="1">+VLOOKUP($BG85,INDIRECT(Adrese!D$2),9,FALSE)</f>
        <v>8.0101321000000003E-2</v>
      </c>
      <c r="BU85" s="5">
        <f ca="1">+VLOOKUP($BG85,INDIRECT(Adrese!E$2),9,FALSE)</f>
        <v>8.0009750000000004E-2</v>
      </c>
      <c r="BV85" s="5">
        <f ca="1">+VLOOKUP($BG85,INDIRECT(Adrese!F$2),9,FALSE)</f>
        <v>8.0050241999999994E-2</v>
      </c>
      <c r="BW85" s="5" t="str">
        <f t="shared" ca="1" si="40"/>
        <v>0.08 (0.00)</v>
      </c>
      <c r="BX85" s="5">
        <f t="shared" ca="1" si="49"/>
        <v>8.004924003832109E-2</v>
      </c>
      <c r="BY85" s="5">
        <f t="shared" ca="1" si="41"/>
        <v>3.8834946912203242E-4</v>
      </c>
    </row>
    <row r="86" spans="1:77" x14ac:dyDescent="0.25">
      <c r="A86" t="s">
        <v>13</v>
      </c>
      <c r="B86" s="12">
        <f ca="1">+VLOOKUP($A86,INDIRECT(Adrese!B$2),2,FALSE)</f>
        <v>84</v>
      </c>
      <c r="C86" s="12">
        <f ca="1">+VLOOKUP($A86,INDIRECT(Adrese!C$2),2,FALSE)</f>
        <v>80</v>
      </c>
      <c r="D86" s="12">
        <f ca="1">+VLOOKUP($A86,INDIRECT(Adrese!D$2),2,FALSE)</f>
        <v>85</v>
      </c>
      <c r="E86" s="12">
        <f ca="1">+VLOOKUP($A86,INDIRECT(Adrese!E$2),2,FALSE)</f>
        <v>87</v>
      </c>
      <c r="F86" s="12">
        <f ca="1">+VLOOKUP($A86,INDIRECT(Adrese!F$2),2,FALSE)</f>
        <v>88</v>
      </c>
      <c r="G86" s="5">
        <f t="shared" ca="1" si="42"/>
        <v>84.8</v>
      </c>
      <c r="H86" s="5">
        <f t="shared" ca="1" si="29"/>
        <v>3.1144823004794877</v>
      </c>
      <c r="J86" t="s">
        <v>13</v>
      </c>
      <c r="K86">
        <f ca="1">+VLOOKUP($A86,INDIRECT(Adrese!B$2),3,FALSE)</f>
        <v>193</v>
      </c>
      <c r="L86">
        <f ca="1">+VLOOKUP($A86,INDIRECT(Adrese!C$2),3,FALSE)</f>
        <v>191</v>
      </c>
      <c r="M86">
        <f ca="1">+VLOOKUP($A86,INDIRECT(Adrese!D$2),3,FALSE)</f>
        <v>190</v>
      </c>
      <c r="N86">
        <f ca="1">+VLOOKUP($A86,INDIRECT(Adrese!E$2),3,FALSE)</f>
        <v>190</v>
      </c>
      <c r="O86">
        <f ca="1">+VLOOKUP($A86,INDIRECT(Adrese!F$2),3,FALSE)</f>
        <v>191</v>
      </c>
      <c r="P86" s="5">
        <f t="shared" ca="1" si="43"/>
        <v>191</v>
      </c>
      <c r="Q86" s="5">
        <f t="shared" ca="1" si="30"/>
        <v>1.2247448713915889</v>
      </c>
      <c r="T86" t="s">
        <v>13</v>
      </c>
      <c r="U86">
        <f ca="1">+VLOOKUP($T86,INDIRECT(Adrese!B$2),4,FALSE)</f>
        <v>118132</v>
      </c>
      <c r="V86">
        <f ca="1">+VLOOKUP($T86,INDIRECT(Adrese!C$2),4,FALSE)</f>
        <v>117979</v>
      </c>
      <c r="W86">
        <f ca="1">+VLOOKUP($T86,INDIRECT(Adrese!D$2),4,FALSE)</f>
        <v>117858</v>
      </c>
      <c r="X86">
        <f ca="1">+VLOOKUP($T86,INDIRECT(Adrese!E$2),4,FALSE)</f>
        <v>117946</v>
      </c>
      <c r="Y86">
        <f ca="1">+VLOOKUP($T86,INDIRECT(Adrese!F$2),4,FALSE)</f>
        <v>117874</v>
      </c>
      <c r="Z86">
        <f t="shared" ca="1" si="31"/>
        <v>589789</v>
      </c>
      <c r="AA86" s="5">
        <f t="shared" ca="1" si="44"/>
        <v>117957.8</v>
      </c>
      <c r="AB86" s="5">
        <f t="shared" ca="1" si="32"/>
        <v>109.44953174865574</v>
      </c>
      <c r="AD86" t="s">
        <v>13</v>
      </c>
      <c r="AE86">
        <f ca="1">+VLOOKUP($A86,INDIRECT(Adrese!B$2),5,FALSE)</f>
        <v>32022</v>
      </c>
      <c r="AF86">
        <f ca="1">+VLOOKUP($A86,INDIRECT(Adrese!C$2),5,FALSE)</f>
        <v>31707</v>
      </c>
      <c r="AG86">
        <f ca="1">+VLOOKUP($A86,INDIRECT(Adrese!D$2),5,FALSE)</f>
        <v>31750</v>
      </c>
      <c r="AH86">
        <f ca="1">+VLOOKUP($A86,INDIRECT(Adrese!E$2),5,FALSE)</f>
        <v>31879</v>
      </c>
      <c r="AI86">
        <f ca="1">+VLOOKUP($A86,INDIRECT(Adrese!F$2),5,FALSE)</f>
        <v>31851</v>
      </c>
      <c r="AJ86" s="5">
        <f t="shared" ca="1" si="45"/>
        <v>31841.8</v>
      </c>
      <c r="AK86" s="5">
        <f t="shared" ca="1" si="33"/>
        <v>123.02316854966791</v>
      </c>
      <c r="AM86" t="s">
        <v>13</v>
      </c>
      <c r="AN86" s="5">
        <f ca="1">+VLOOKUP($A86,INDIRECT(Adrese!B$2),6,FALSE)</f>
        <v>0.70407079646017701</v>
      </c>
      <c r="AO86" s="5">
        <f ca="1">+VLOOKUP($A86,INDIRECT(Adrese!C$2),6,FALSE)</f>
        <v>0.69710176999999995</v>
      </c>
      <c r="AP86" s="5">
        <f ca="1">+VLOOKUP($A86,INDIRECT(Adrese!D$2),6,FALSE)</f>
        <v>0.69805309699999996</v>
      </c>
      <c r="AQ86" s="5">
        <f ca="1">+VLOOKUP($A86,INDIRECT(Adrese!E$2),6,FALSE)</f>
        <v>0.70090708000000002</v>
      </c>
      <c r="AR86" s="5">
        <f ca="1">+VLOOKUP($A86,INDIRECT(Adrese!F$2),6,FALSE)</f>
        <v>0.70028761100000003</v>
      </c>
      <c r="AS86" s="5" t="str">
        <f t="shared" ca="1" si="34"/>
        <v>0.70 (0.00)</v>
      </c>
      <c r="AT86" s="5">
        <f t="shared" ca="1" si="46"/>
        <v>0.70008407089203539</v>
      </c>
      <c r="AU86" s="5">
        <f t="shared" ca="1" si="35"/>
        <v>2.7217515906021806E-3</v>
      </c>
      <c r="AW86" t="s">
        <v>13</v>
      </c>
      <c r="AX86" s="5">
        <f ca="1">+VLOOKUP($A86,INDIRECT(Adrese!B$2),7,FALSE)</f>
        <v>0.14601769911504431</v>
      </c>
      <c r="AY86" s="5">
        <f ca="1">+VLOOKUP($A86,INDIRECT(Adrese!C$2),7,FALSE)</f>
        <v>0.15486725700000001</v>
      </c>
      <c r="AZ86" s="5">
        <f ca="1">+VLOOKUP($A86,INDIRECT(Adrese!D$2),7,FALSE)</f>
        <v>0.159292035</v>
      </c>
      <c r="BA86" s="5">
        <f ca="1">+VLOOKUP($A86,INDIRECT(Adrese!E$2),7,FALSE)</f>
        <v>0.159292035</v>
      </c>
      <c r="BB86" s="5">
        <f ca="1">+VLOOKUP($A86,INDIRECT(Adrese!F$2),7,FALSE)</f>
        <v>0.15486725700000001</v>
      </c>
      <c r="BC86" s="5" t="str">
        <f t="shared" ca="1" si="36"/>
        <v>0.15 (0.01)</v>
      </c>
      <c r="BD86">
        <f t="shared" ca="1" si="47"/>
        <v>0.15486725662300888</v>
      </c>
      <c r="BE86" s="5">
        <f t="shared" ca="1" si="37"/>
        <v>5.419224932076281E-3</v>
      </c>
      <c r="BG86" t="s">
        <v>13</v>
      </c>
      <c r="BH86" s="5">
        <f ca="1">+VLOOKUP($BG86,INDIRECT(Adrese!B$2),8,FALSE)</f>
        <v>7.4034393857884656E-2</v>
      </c>
      <c r="BI86" s="5">
        <f ca="1">+VLOOKUP($BG86,INDIRECT(Adrese!C$2),8,FALSE)</f>
        <v>7.3353231000000005E-2</v>
      </c>
      <c r="BJ86" s="5">
        <f ca="1">+VLOOKUP($BG86,INDIRECT(Adrese!D$2),8,FALSE)</f>
        <v>7.3516665999999994E-2</v>
      </c>
      <c r="BK86" s="5">
        <f ca="1">+VLOOKUP($BG86,INDIRECT(Adrese!E$2),8,FALSE)</f>
        <v>7.3597677E-2</v>
      </c>
      <c r="BL86" s="5">
        <f ca="1">+VLOOKUP($BG86,INDIRECT(Adrese!F$2),8,FALSE)</f>
        <v>7.3739735000000001E-2</v>
      </c>
      <c r="BM86" s="5" t="str">
        <f t="shared" ca="1" si="38"/>
        <v>0.07 (0.00)</v>
      </c>
      <c r="BN86" s="5">
        <f t="shared" ca="1" si="48"/>
        <v>7.3648340571576917E-2</v>
      </c>
      <c r="BO86" s="5">
        <f t="shared" ca="1" si="39"/>
        <v>2.5709177881497468E-4</v>
      </c>
      <c r="BQ86" t="s">
        <v>13</v>
      </c>
      <c r="BR86" s="5">
        <f ca="1">+VLOOKUP($BG86,INDIRECT(Adrese!B$2),9,FALSE)</f>
        <v>8.4744498786120184E-2</v>
      </c>
      <c r="BS86" s="5">
        <f ca="1">+VLOOKUP($BG86,INDIRECT(Adrese!C$2),9,FALSE)</f>
        <v>8.3818100000000006E-2</v>
      </c>
      <c r="BT86" s="5">
        <f ca="1">+VLOOKUP($BG86,INDIRECT(Adrese!D$2),9,FALSE)</f>
        <v>8.3935094000000002E-2</v>
      </c>
      <c r="BU86" s="5">
        <f ca="1">+VLOOKUP($BG86,INDIRECT(Adrese!E$2),9,FALSE)</f>
        <v>8.3756265999999996E-2</v>
      </c>
      <c r="BV86" s="5">
        <f ca="1">+VLOOKUP($BG86,INDIRECT(Adrese!F$2),9,FALSE)</f>
        <v>8.4395473999999998E-2</v>
      </c>
      <c r="BW86" s="5" t="str">
        <f t="shared" ca="1" si="40"/>
        <v>0.08 (0.00)</v>
      </c>
      <c r="BX86" s="5">
        <f t="shared" ca="1" si="49"/>
        <v>8.4129886557224046E-2</v>
      </c>
      <c r="BY86" s="5">
        <f t="shared" ca="1" si="41"/>
        <v>4.2515650061620257E-4</v>
      </c>
    </row>
    <row r="87" spans="1:77" x14ac:dyDescent="0.25">
      <c r="A87" t="s">
        <v>145</v>
      </c>
      <c r="B87" s="12">
        <f ca="1">+VLOOKUP($A87,INDIRECT(Adrese!B$2),2,FALSE)</f>
        <v>85</v>
      </c>
      <c r="C87" s="12">
        <f ca="1">+VLOOKUP($A87,INDIRECT(Adrese!C$2),2,FALSE)</f>
        <v>76</v>
      </c>
      <c r="D87" s="12">
        <f ca="1">+VLOOKUP($A87,INDIRECT(Adrese!D$2),2,FALSE)</f>
        <v>99</v>
      </c>
      <c r="E87" s="12">
        <f ca="1">+VLOOKUP($A87,INDIRECT(Adrese!E$2),2,FALSE)</f>
        <v>101</v>
      </c>
      <c r="F87" s="12">
        <f ca="1">+VLOOKUP($A87,INDIRECT(Adrese!F$2),2,FALSE)</f>
        <v>91</v>
      </c>
      <c r="G87" s="5">
        <f t="shared" ca="1" si="42"/>
        <v>90.4</v>
      </c>
      <c r="H87" s="5">
        <f t="shared" ca="1" si="29"/>
        <v>10.285912696498997</v>
      </c>
      <c r="J87" t="s">
        <v>145</v>
      </c>
      <c r="K87">
        <f ca="1">+VLOOKUP($A87,INDIRECT(Adrese!B$2),3,FALSE)</f>
        <v>0</v>
      </c>
      <c r="L87">
        <f ca="1">+VLOOKUP($A87,INDIRECT(Adrese!C$2),3,FALSE)</f>
        <v>0</v>
      </c>
      <c r="M87">
        <f ca="1">+VLOOKUP($A87,INDIRECT(Adrese!D$2),3,FALSE)</f>
        <v>0</v>
      </c>
      <c r="N87">
        <f ca="1">+VLOOKUP($A87,INDIRECT(Adrese!E$2),3,FALSE)</f>
        <v>0</v>
      </c>
      <c r="O87">
        <f ca="1">+VLOOKUP($A87,INDIRECT(Adrese!F$2),3,FALSE)</f>
        <v>0</v>
      </c>
      <c r="P87" s="5">
        <f t="shared" ca="1" si="43"/>
        <v>0</v>
      </c>
      <c r="Q87" s="5">
        <f t="shared" ca="1" si="30"/>
        <v>0</v>
      </c>
      <c r="T87" t="s">
        <v>145</v>
      </c>
      <c r="U87">
        <f ca="1">+VLOOKUP($T87,INDIRECT(Adrese!B$2),4,FALSE)</f>
        <v>118060</v>
      </c>
      <c r="V87">
        <f ca="1">+VLOOKUP($T87,INDIRECT(Adrese!C$2),4,FALSE)</f>
        <v>118160</v>
      </c>
      <c r="W87">
        <f ca="1">+VLOOKUP($T87,INDIRECT(Adrese!D$2),4,FALSE)</f>
        <v>117082</v>
      </c>
      <c r="X87">
        <f ca="1">+VLOOKUP($T87,INDIRECT(Adrese!E$2),4,FALSE)</f>
        <v>117018</v>
      </c>
      <c r="Y87">
        <f ca="1">+VLOOKUP($T87,INDIRECT(Adrese!F$2),4,FALSE)</f>
        <v>117687</v>
      </c>
      <c r="Z87">
        <f t="shared" ca="1" si="31"/>
        <v>588007</v>
      </c>
      <c r="AA87" s="5">
        <f t="shared" ca="1" si="44"/>
        <v>117601.4</v>
      </c>
      <c r="AB87" s="5">
        <f t="shared" ca="1" si="32"/>
        <v>533.8087672565897</v>
      </c>
      <c r="AD87" t="s">
        <v>145</v>
      </c>
      <c r="AE87">
        <f ca="1">+VLOOKUP($A87,INDIRECT(Adrese!B$2),5,FALSE)</f>
        <v>39543</v>
      </c>
      <c r="AF87">
        <f ca="1">+VLOOKUP($A87,INDIRECT(Adrese!C$2),5,FALSE)</f>
        <v>39592</v>
      </c>
      <c r="AG87">
        <f ca="1">+VLOOKUP($A87,INDIRECT(Adrese!D$2),5,FALSE)</f>
        <v>39025</v>
      </c>
      <c r="AH87">
        <f ca="1">+VLOOKUP($A87,INDIRECT(Adrese!E$2),5,FALSE)</f>
        <v>39027</v>
      </c>
      <c r="AI87">
        <f ca="1">+VLOOKUP($A87,INDIRECT(Adrese!F$2),5,FALSE)</f>
        <v>39492</v>
      </c>
      <c r="AJ87" s="5">
        <f t="shared" ca="1" si="45"/>
        <v>39335.800000000003</v>
      </c>
      <c r="AK87" s="5">
        <f t="shared" ca="1" si="33"/>
        <v>285.00999982456756</v>
      </c>
      <c r="AM87" t="s">
        <v>145</v>
      </c>
      <c r="AN87" s="5">
        <f ca="1">+VLOOKUP($A87,INDIRECT(Adrese!B$2),6,FALSE)</f>
        <v>0.87042035398230089</v>
      </c>
      <c r="AO87" s="5">
        <f ca="1">+VLOOKUP($A87,INDIRECT(Adrese!C$2),6,FALSE)</f>
        <v>0.87150442500000003</v>
      </c>
      <c r="AP87" s="5">
        <f ca="1">+VLOOKUP($A87,INDIRECT(Adrese!D$2),6,FALSE)</f>
        <v>0.85896017700000005</v>
      </c>
      <c r="AQ87" s="5">
        <f ca="1">+VLOOKUP($A87,INDIRECT(Adrese!E$2),6,FALSE)</f>
        <v>0.85900442499999996</v>
      </c>
      <c r="AR87" s="5">
        <f ca="1">+VLOOKUP($A87,INDIRECT(Adrese!F$2),6,FALSE)</f>
        <v>0.86929203499999996</v>
      </c>
      <c r="AS87" s="5" t="str">
        <f t="shared" ca="1" si="34"/>
        <v>0.87 (0.01)</v>
      </c>
      <c r="AT87" s="5">
        <f t="shared" ca="1" si="46"/>
        <v>0.86583628319646022</v>
      </c>
      <c r="AU87" s="5">
        <f t="shared" ca="1" si="35"/>
        <v>6.3055309023872198E-3</v>
      </c>
      <c r="AW87" t="s">
        <v>145</v>
      </c>
      <c r="AX87" s="5">
        <f ca="1">+VLOOKUP($A87,INDIRECT(Adrese!B$2),7,FALSE)</f>
        <v>1</v>
      </c>
      <c r="AY87" s="5">
        <f ca="1">+VLOOKUP($A87,INDIRECT(Adrese!C$2),7,FALSE)</f>
        <v>1</v>
      </c>
      <c r="AZ87" s="5">
        <f ca="1">+VLOOKUP($A87,INDIRECT(Adrese!D$2),7,FALSE)</f>
        <v>1</v>
      </c>
      <c r="BA87" s="5">
        <f ca="1">+VLOOKUP($A87,INDIRECT(Adrese!E$2),7,FALSE)</f>
        <v>1</v>
      </c>
      <c r="BB87" s="5">
        <f ca="1">+VLOOKUP($A87,INDIRECT(Adrese!F$2),7,FALSE)</f>
        <v>1</v>
      </c>
      <c r="BC87" s="5" t="str">
        <f t="shared" ca="1" si="36"/>
        <v>1.00 (0.00)</v>
      </c>
      <c r="BD87">
        <f t="shared" ca="1" si="47"/>
        <v>1</v>
      </c>
      <c r="BE87" s="5">
        <f t="shared" ca="1" si="37"/>
        <v>0</v>
      </c>
      <c r="BG87" t="s">
        <v>145</v>
      </c>
      <c r="BH87" s="5">
        <f ca="1">+VLOOKUP($BG87,INDIRECT(Adrese!B$2),8,FALSE)</f>
        <v>8.4755817954057122E-2</v>
      </c>
      <c r="BI87" s="5">
        <f ca="1">+VLOOKUP($BG87,INDIRECT(Adrese!C$2),8,FALSE)</f>
        <v>8.4966360000000005E-2</v>
      </c>
      <c r="BJ87" s="5">
        <f ca="1">+VLOOKUP($BG87,INDIRECT(Adrese!D$2),8,FALSE)</f>
        <v>8.4578219999999996E-2</v>
      </c>
      <c r="BK87" s="5">
        <f ca="1">+VLOOKUP($BG87,INDIRECT(Adrese!E$2),8,FALSE)</f>
        <v>8.4332426000000002E-2</v>
      </c>
      <c r="BL87" s="5">
        <f ca="1">+VLOOKUP($BG87,INDIRECT(Adrese!F$2),8,FALSE)</f>
        <v>8.4814186E-2</v>
      </c>
      <c r="BM87" s="5" t="str">
        <f t="shared" ca="1" si="38"/>
        <v>0.08 (0.00)</v>
      </c>
      <c r="BN87" s="5">
        <f t="shared" ca="1" si="48"/>
        <v>8.468940199081143E-2</v>
      </c>
      <c r="BO87" s="5">
        <f t="shared" ca="1" si="39"/>
        <v>2.4314664354732485E-4</v>
      </c>
      <c r="BQ87" t="s">
        <v>145</v>
      </c>
      <c r="BR87" s="5">
        <f ca="1">+VLOOKUP($BG87,INDIRECT(Adrese!B$2),9,FALSE)</f>
        <v>8.8699470838785016E-2</v>
      </c>
      <c r="BS87" s="5">
        <f ca="1">+VLOOKUP($BG87,INDIRECT(Adrese!C$2),9,FALSE)</f>
        <v>8.9248411E-2</v>
      </c>
      <c r="BT87" s="5">
        <f ca="1">+VLOOKUP($BG87,INDIRECT(Adrese!D$2),9,FALSE)</f>
        <v>9.0321673000000005E-2</v>
      </c>
      <c r="BU87" s="5">
        <f ca="1">+VLOOKUP($BG87,INDIRECT(Adrese!E$2),9,FALSE)</f>
        <v>8.9799812000000007E-2</v>
      </c>
      <c r="BV87" s="5">
        <f ca="1">+VLOOKUP($BG87,INDIRECT(Adrese!F$2),9,FALSE)</f>
        <v>8.8791495999999998E-2</v>
      </c>
      <c r="BW87" s="5" t="str">
        <f t="shared" ca="1" si="40"/>
        <v>0.09 (0.00)</v>
      </c>
      <c r="BX87" s="5">
        <f t="shared" ca="1" si="49"/>
        <v>8.9372172567757008E-2</v>
      </c>
      <c r="BY87" s="5">
        <f t="shared" ca="1" si="41"/>
        <v>6.8728748951883201E-4</v>
      </c>
    </row>
    <row r="88" spans="1:77" x14ac:dyDescent="0.25">
      <c r="A88" t="s">
        <v>146</v>
      </c>
      <c r="B88" s="12">
        <f ca="1">+VLOOKUP($A88,INDIRECT(Adrese!B$2),2,FALSE)</f>
        <v>86</v>
      </c>
      <c r="C88" s="12">
        <f ca="1">+VLOOKUP($A88,INDIRECT(Adrese!C$2),2,FALSE)</f>
        <v>100</v>
      </c>
      <c r="D88" s="12">
        <f ca="1">+VLOOKUP($A88,INDIRECT(Adrese!D$2),2,FALSE)</f>
        <v>88</v>
      </c>
      <c r="E88" s="12">
        <f ca="1">+VLOOKUP($A88,INDIRECT(Adrese!E$2),2,FALSE)</f>
        <v>83</v>
      </c>
      <c r="F88" s="12">
        <f ca="1">+VLOOKUP($A88,INDIRECT(Adrese!F$2),2,FALSE)</f>
        <v>80</v>
      </c>
      <c r="G88" s="5">
        <f t="shared" ca="1" si="42"/>
        <v>87.4</v>
      </c>
      <c r="H88" s="5">
        <f t="shared" ca="1" si="29"/>
        <v>7.6681158050723246</v>
      </c>
      <c r="J88" t="s">
        <v>146</v>
      </c>
      <c r="K88">
        <f ca="1">+VLOOKUP($A88,INDIRECT(Adrese!B$2),3,FALSE)</f>
        <v>74</v>
      </c>
      <c r="L88">
        <f ca="1">+VLOOKUP($A88,INDIRECT(Adrese!C$2),3,FALSE)</f>
        <v>75</v>
      </c>
      <c r="M88">
        <f ca="1">+VLOOKUP($A88,INDIRECT(Adrese!D$2),3,FALSE)</f>
        <v>72</v>
      </c>
      <c r="N88">
        <f ca="1">+VLOOKUP($A88,INDIRECT(Adrese!E$2),3,FALSE)</f>
        <v>72</v>
      </c>
      <c r="O88">
        <f ca="1">+VLOOKUP($A88,INDIRECT(Adrese!F$2),3,FALSE)</f>
        <v>73</v>
      </c>
      <c r="P88" s="5">
        <f t="shared" ca="1" si="43"/>
        <v>73.2</v>
      </c>
      <c r="Q88" s="5">
        <f t="shared" ca="1" si="30"/>
        <v>1.3038404810405297</v>
      </c>
      <c r="T88" t="s">
        <v>146</v>
      </c>
      <c r="U88">
        <f ca="1">+VLOOKUP($T88,INDIRECT(Adrese!B$2),4,FALSE)</f>
        <v>118021</v>
      </c>
      <c r="V88">
        <f ca="1">+VLOOKUP($T88,INDIRECT(Adrese!C$2),4,FALSE)</f>
        <v>116965</v>
      </c>
      <c r="W88">
        <f ca="1">+VLOOKUP($T88,INDIRECT(Adrese!D$2),4,FALSE)</f>
        <v>117717</v>
      </c>
      <c r="X88">
        <f ca="1">+VLOOKUP($T88,INDIRECT(Adrese!E$2),4,FALSE)</f>
        <v>118180</v>
      </c>
      <c r="Y88">
        <f ca="1">+VLOOKUP($T88,INDIRECT(Adrese!F$2),4,FALSE)</f>
        <v>118163</v>
      </c>
      <c r="Z88">
        <f t="shared" ca="1" si="31"/>
        <v>589046</v>
      </c>
      <c r="AA88" s="5">
        <f t="shared" ca="1" si="44"/>
        <v>117809.2</v>
      </c>
      <c r="AB88" s="5">
        <f t="shared" ca="1" si="32"/>
        <v>507.12444232160613</v>
      </c>
      <c r="AD88" t="s">
        <v>146</v>
      </c>
      <c r="AE88">
        <f ca="1">+VLOOKUP($A88,INDIRECT(Adrese!B$2),5,FALSE)</f>
        <v>27759</v>
      </c>
      <c r="AF88">
        <f ca="1">+VLOOKUP($A88,INDIRECT(Adrese!C$2),5,FALSE)</f>
        <v>27223</v>
      </c>
      <c r="AG88">
        <f ca="1">+VLOOKUP($A88,INDIRECT(Adrese!D$2),5,FALSE)</f>
        <v>27643</v>
      </c>
      <c r="AH88">
        <f ca="1">+VLOOKUP($A88,INDIRECT(Adrese!E$2),5,FALSE)</f>
        <v>27895</v>
      </c>
      <c r="AI88">
        <f ca="1">+VLOOKUP($A88,INDIRECT(Adrese!F$2),5,FALSE)</f>
        <v>27887</v>
      </c>
      <c r="AJ88" s="5">
        <f t="shared" ca="1" si="45"/>
        <v>27681.4</v>
      </c>
      <c r="AK88" s="5">
        <f t="shared" ca="1" si="33"/>
        <v>276.37076545828796</v>
      </c>
      <c r="AM88" t="s">
        <v>146</v>
      </c>
      <c r="AN88" s="5">
        <f ca="1">+VLOOKUP($A88,INDIRECT(Adrese!B$2),6,FALSE)</f>
        <v>0.60971238938053096</v>
      </c>
      <c r="AO88" s="5">
        <f ca="1">+VLOOKUP($A88,INDIRECT(Adrese!C$2),6,FALSE)</f>
        <v>0.59785398199999995</v>
      </c>
      <c r="AP88" s="5">
        <f ca="1">+VLOOKUP($A88,INDIRECT(Adrese!D$2),6,FALSE)</f>
        <v>0.60714601800000001</v>
      </c>
      <c r="AQ88" s="5">
        <f ca="1">+VLOOKUP($A88,INDIRECT(Adrese!E$2),6,FALSE)</f>
        <v>0.61272123899999997</v>
      </c>
      <c r="AR88" s="5">
        <f ca="1">+VLOOKUP($A88,INDIRECT(Adrese!F$2),6,FALSE)</f>
        <v>0.61254424799999996</v>
      </c>
      <c r="AS88" s="5" t="str">
        <f t="shared" ca="1" si="34"/>
        <v>0.61 (0.01)</v>
      </c>
      <c r="AT88" s="5">
        <f t="shared" ca="1" si="46"/>
        <v>0.60799557527610615</v>
      </c>
      <c r="AU88" s="5">
        <f t="shared" ca="1" si="35"/>
        <v>6.1143976316747851E-3</v>
      </c>
      <c r="AW88" t="s">
        <v>146</v>
      </c>
      <c r="AX88" s="5">
        <f ca="1">+VLOOKUP($A88,INDIRECT(Adrese!B$2),7,FALSE)</f>
        <v>0.67256637168141598</v>
      </c>
      <c r="AY88" s="5">
        <f ca="1">+VLOOKUP($A88,INDIRECT(Adrese!C$2),7,FALSE)</f>
        <v>0.66814159299999998</v>
      </c>
      <c r="AZ88" s="5">
        <f ca="1">+VLOOKUP($A88,INDIRECT(Adrese!D$2),7,FALSE)</f>
        <v>0.68141592900000003</v>
      </c>
      <c r="BA88" s="5">
        <f ca="1">+VLOOKUP($A88,INDIRECT(Adrese!E$2),7,FALSE)</f>
        <v>0.68141592900000003</v>
      </c>
      <c r="BB88" s="5">
        <f ca="1">+VLOOKUP($A88,INDIRECT(Adrese!F$2),7,FALSE)</f>
        <v>0.67699114999999999</v>
      </c>
      <c r="BC88" s="5" t="str">
        <f t="shared" ca="1" si="36"/>
        <v>0.68 (0.01)</v>
      </c>
      <c r="BD88">
        <f t="shared" ca="1" si="47"/>
        <v>0.67610619453628318</v>
      </c>
      <c r="BE88" s="5">
        <f t="shared" ca="1" si="37"/>
        <v>5.7692055301993735E-3</v>
      </c>
      <c r="BG88" t="s">
        <v>146</v>
      </c>
      <c r="BH88" s="5">
        <f ca="1">+VLOOKUP($BG88,INDIRECT(Adrese!B$2),8,FALSE)</f>
        <v>6.5791105552848755E-2</v>
      </c>
      <c r="BI88" s="5">
        <f ca="1">+VLOOKUP($BG88,INDIRECT(Adrese!C$2),8,FALSE)</f>
        <v>6.4826980000000006E-2</v>
      </c>
      <c r="BJ88" s="5">
        <f ca="1">+VLOOKUP($BG88,INDIRECT(Adrese!D$2),8,FALSE)</f>
        <v>6.5881176999999999E-2</v>
      </c>
      <c r="BK88" s="5">
        <f ca="1">+VLOOKUP($BG88,INDIRECT(Adrese!E$2),8,FALSE)</f>
        <v>6.6146559999999993E-2</v>
      </c>
      <c r="BL88" s="5">
        <f ca="1">+VLOOKUP($BG88,INDIRECT(Adrese!F$2),8,FALSE)</f>
        <v>6.6390531000000003E-2</v>
      </c>
      <c r="BM88" s="5" t="str">
        <f t="shared" ca="1" si="38"/>
        <v>0.07 (0.00)</v>
      </c>
      <c r="BN88" s="5">
        <f t="shared" ca="1" si="48"/>
        <v>6.5807270710569757E-2</v>
      </c>
      <c r="BO88" s="5">
        <f t="shared" ca="1" si="39"/>
        <v>5.9623886075950438E-4</v>
      </c>
      <c r="BQ88" t="s">
        <v>146</v>
      </c>
      <c r="BR88" s="5">
        <f ca="1">+VLOOKUP($BG88,INDIRECT(Adrese!B$2),9,FALSE)</f>
        <v>7.4295746768957296E-2</v>
      </c>
      <c r="BS88" s="5">
        <f ca="1">+VLOOKUP($BG88,INDIRECT(Adrese!C$2),9,FALSE)</f>
        <v>7.3087628000000002E-2</v>
      </c>
      <c r="BT88" s="5">
        <f ca="1">+VLOOKUP($BG88,INDIRECT(Adrese!D$2),9,FALSE)</f>
        <v>7.5426240000000006E-2</v>
      </c>
      <c r="BU88" s="5">
        <f ca="1">+VLOOKUP($BG88,INDIRECT(Adrese!E$2),9,FALSE)</f>
        <v>7.5017188999999998E-2</v>
      </c>
      <c r="BV88" s="5">
        <f ca="1">+VLOOKUP($BG88,INDIRECT(Adrese!F$2),9,FALSE)</f>
        <v>7.5979178999999994E-2</v>
      </c>
      <c r="BW88" s="5" t="str">
        <f t="shared" ca="1" si="40"/>
        <v>0.07 (0.00)</v>
      </c>
      <c r="BX88" s="5">
        <f t="shared" ca="1" si="49"/>
        <v>7.4761196553791459E-2</v>
      </c>
      <c r="BY88" s="5">
        <f t="shared" ca="1" si="41"/>
        <v>1.1190142272972557E-3</v>
      </c>
    </row>
    <row r="89" spans="1:77" x14ac:dyDescent="0.25">
      <c r="A89" t="s">
        <v>147</v>
      </c>
      <c r="B89" s="12">
        <f ca="1">+VLOOKUP($A89,INDIRECT(Adrese!B$2),2,FALSE)</f>
        <v>87</v>
      </c>
      <c r="C89" s="12">
        <f ca="1">+VLOOKUP($A89,INDIRECT(Adrese!C$2),2,FALSE)</f>
        <v>88</v>
      </c>
      <c r="D89" s="12">
        <f ca="1">+VLOOKUP($A89,INDIRECT(Adrese!D$2),2,FALSE)</f>
        <v>83</v>
      </c>
      <c r="E89" s="12">
        <f ca="1">+VLOOKUP($A89,INDIRECT(Adrese!E$2),2,FALSE)</f>
        <v>98</v>
      </c>
      <c r="F89" s="12">
        <f ca="1">+VLOOKUP($A89,INDIRECT(Adrese!F$2),2,FALSE)</f>
        <v>84</v>
      </c>
      <c r="G89" s="5">
        <f t="shared" ca="1" si="42"/>
        <v>88</v>
      </c>
      <c r="H89" s="5">
        <f t="shared" ca="1" si="29"/>
        <v>5.9581876439064922</v>
      </c>
      <c r="J89" t="s">
        <v>147</v>
      </c>
      <c r="K89">
        <f ca="1">+VLOOKUP($A89,INDIRECT(Adrese!B$2),3,FALSE)</f>
        <v>16</v>
      </c>
      <c r="L89">
        <f ca="1">+VLOOKUP($A89,INDIRECT(Adrese!C$2),3,FALSE)</f>
        <v>16</v>
      </c>
      <c r="M89">
        <f ca="1">+VLOOKUP($A89,INDIRECT(Adrese!D$2),3,FALSE)</f>
        <v>14</v>
      </c>
      <c r="N89">
        <f ca="1">+VLOOKUP($A89,INDIRECT(Adrese!E$2),3,FALSE)</f>
        <v>15</v>
      </c>
      <c r="O89">
        <f ca="1">+VLOOKUP($A89,INDIRECT(Adrese!F$2),3,FALSE)</f>
        <v>15</v>
      </c>
      <c r="P89" s="5">
        <f t="shared" ca="1" si="43"/>
        <v>15.2</v>
      </c>
      <c r="Q89" s="5">
        <f t="shared" ca="1" si="30"/>
        <v>0.83666002653407556</v>
      </c>
      <c r="T89" t="s">
        <v>147</v>
      </c>
      <c r="U89">
        <f ca="1">+VLOOKUP($T89,INDIRECT(Adrese!B$2),4,FALSE)</f>
        <v>117944</v>
      </c>
      <c r="V89">
        <f ca="1">+VLOOKUP($T89,INDIRECT(Adrese!C$2),4,FALSE)</f>
        <v>117743</v>
      </c>
      <c r="W89">
        <f ca="1">+VLOOKUP($T89,INDIRECT(Adrese!D$2),4,FALSE)</f>
        <v>117967</v>
      </c>
      <c r="X89">
        <f ca="1">+VLOOKUP($T89,INDIRECT(Adrese!E$2),4,FALSE)</f>
        <v>117291</v>
      </c>
      <c r="Y89">
        <f ca="1">+VLOOKUP($T89,INDIRECT(Adrese!F$2),4,FALSE)</f>
        <v>117981</v>
      </c>
      <c r="Z89">
        <f t="shared" ca="1" si="31"/>
        <v>588926</v>
      </c>
      <c r="AA89" s="5">
        <f t="shared" ca="1" si="44"/>
        <v>117785.2</v>
      </c>
      <c r="AB89" s="5">
        <f t="shared" ca="1" si="32"/>
        <v>292.66909642119714</v>
      </c>
      <c r="AD89" t="s">
        <v>147</v>
      </c>
      <c r="AE89">
        <f ca="1">+VLOOKUP($A89,INDIRECT(Adrese!B$2),5,FALSE)</f>
        <v>38189</v>
      </c>
      <c r="AF89">
        <f ca="1">+VLOOKUP($A89,INDIRECT(Adrese!C$2),5,FALSE)</f>
        <v>38145</v>
      </c>
      <c r="AG89">
        <f ca="1">+VLOOKUP($A89,INDIRECT(Adrese!D$2),5,FALSE)</f>
        <v>38345</v>
      </c>
      <c r="AH89">
        <f ca="1">+VLOOKUP($A89,INDIRECT(Adrese!E$2),5,FALSE)</f>
        <v>37949</v>
      </c>
      <c r="AI89">
        <f ca="1">+VLOOKUP($A89,INDIRECT(Adrese!F$2),5,FALSE)</f>
        <v>38065</v>
      </c>
      <c r="AJ89" s="5">
        <f t="shared" ca="1" si="45"/>
        <v>38138.6</v>
      </c>
      <c r="AK89" s="5">
        <f t="shared" ca="1" si="33"/>
        <v>147.0945274304928</v>
      </c>
      <c r="AM89" t="s">
        <v>147</v>
      </c>
      <c r="AN89" s="5">
        <f ca="1">+VLOOKUP($A89,INDIRECT(Adrese!B$2),6,FALSE)</f>
        <v>0.84046460176991156</v>
      </c>
      <c r="AO89" s="5">
        <f ca="1">+VLOOKUP($A89,INDIRECT(Adrese!C$2),6,FALSE)</f>
        <v>0.83949114999999996</v>
      </c>
      <c r="AP89" s="5">
        <f ca="1">+VLOOKUP($A89,INDIRECT(Adrese!D$2),6,FALSE)</f>
        <v>0.84391592900000001</v>
      </c>
      <c r="AQ89" s="5">
        <f ca="1">+VLOOKUP($A89,INDIRECT(Adrese!E$2),6,FALSE)</f>
        <v>0.83515486699999997</v>
      </c>
      <c r="AR89" s="5">
        <f ca="1">+VLOOKUP($A89,INDIRECT(Adrese!F$2),6,FALSE)</f>
        <v>0.83772123899999995</v>
      </c>
      <c r="AS89" s="5" t="str">
        <f t="shared" ca="1" si="34"/>
        <v>0.84 (0.00)</v>
      </c>
      <c r="AT89" s="5">
        <f t="shared" ca="1" si="46"/>
        <v>0.83934955735398231</v>
      </c>
      <c r="AU89" s="5">
        <f t="shared" ca="1" si="35"/>
        <v>3.2543037029510624E-3</v>
      </c>
      <c r="AW89" t="s">
        <v>147</v>
      </c>
      <c r="AX89" s="5">
        <f ca="1">+VLOOKUP($A89,INDIRECT(Adrese!B$2),7,FALSE)</f>
        <v>0.92920353982300885</v>
      </c>
      <c r="AY89" s="5">
        <f ca="1">+VLOOKUP($A89,INDIRECT(Adrese!C$2),7,FALSE)</f>
        <v>0.92920354000000005</v>
      </c>
      <c r="AZ89" s="5">
        <f ca="1">+VLOOKUP($A89,INDIRECT(Adrese!D$2),7,FALSE)</f>
        <v>0.93805309699999995</v>
      </c>
      <c r="BA89" s="5">
        <f ca="1">+VLOOKUP($A89,INDIRECT(Adrese!E$2),7,FALSE)</f>
        <v>0.93362831899999998</v>
      </c>
      <c r="BB89" s="5">
        <f ca="1">+VLOOKUP($A89,INDIRECT(Adrese!F$2),7,FALSE)</f>
        <v>0.93362831899999998</v>
      </c>
      <c r="BC89" s="5" t="str">
        <f t="shared" ca="1" si="36"/>
        <v>0.93 (0.00)</v>
      </c>
      <c r="BD89">
        <f t="shared" ca="1" si="47"/>
        <v>0.93274336296460181</v>
      </c>
      <c r="BE89" s="5">
        <f t="shared" ca="1" si="37"/>
        <v>3.702035399287794E-3</v>
      </c>
      <c r="BG89" t="s">
        <v>147</v>
      </c>
      <c r="BH89" s="5">
        <f ca="1">+VLOOKUP($BG89,INDIRECT(Adrese!B$2),8,FALSE)</f>
        <v>8.3573550562684409E-2</v>
      </c>
      <c r="BI89" s="5">
        <f ca="1">+VLOOKUP($BG89,INDIRECT(Adrese!C$2),8,FALSE)</f>
        <v>8.3520318999999996E-2</v>
      </c>
      <c r="BJ89" s="5">
        <f ca="1">+VLOOKUP($BG89,INDIRECT(Adrese!D$2),8,FALSE)</f>
        <v>8.3902200999999996E-2</v>
      </c>
      <c r="BK89" s="5">
        <f ca="1">+VLOOKUP($BG89,INDIRECT(Adrese!E$2),8,FALSE)</f>
        <v>8.3316995000000005E-2</v>
      </c>
      <c r="BL89" s="5">
        <f ca="1">+VLOOKUP($BG89,INDIRECT(Adrese!F$2),8,FALSE)</f>
        <v>8.3558073999999996E-2</v>
      </c>
      <c r="BM89" s="5" t="str">
        <f t="shared" ca="1" si="38"/>
        <v>0.08 (0.00)</v>
      </c>
      <c r="BN89" s="5">
        <f t="shared" ca="1" si="48"/>
        <v>8.357422791253688E-2</v>
      </c>
      <c r="BO89" s="5">
        <f t="shared" ca="1" si="39"/>
        <v>2.1029901089655273E-4</v>
      </c>
      <c r="BQ89" t="s">
        <v>147</v>
      </c>
      <c r="BR89" s="5">
        <f ca="1">+VLOOKUP($BG89,INDIRECT(Adrese!B$2),9,FALSE)</f>
        <v>9.0945636767821664E-2</v>
      </c>
      <c r="BS89" s="5">
        <f ca="1">+VLOOKUP($BG89,INDIRECT(Adrese!C$2),9,FALSE)</f>
        <v>9.1300159000000006E-2</v>
      </c>
      <c r="BT89" s="5">
        <f ca="1">+VLOOKUP($BG89,INDIRECT(Adrese!D$2),9,FALSE)</f>
        <v>9.1302697000000002E-2</v>
      </c>
      <c r="BU89" s="5">
        <f ca="1">+VLOOKUP($BG89,INDIRECT(Adrese!E$2),9,FALSE)</f>
        <v>9.1614262000000002E-2</v>
      </c>
      <c r="BV89" s="5">
        <f ca="1">+VLOOKUP($BG89,INDIRECT(Adrese!F$2),9,FALSE)</f>
        <v>9.1588435999999995E-2</v>
      </c>
      <c r="BW89" s="5" t="str">
        <f t="shared" ca="1" si="40"/>
        <v>0.09 (0.00)</v>
      </c>
      <c r="BX89" s="5">
        <f t="shared" ca="1" si="49"/>
        <v>9.1350238153564328E-2</v>
      </c>
      <c r="BY89" s="5">
        <f t="shared" ca="1" si="41"/>
        <v>2.7153138390529925E-4</v>
      </c>
    </row>
    <row r="90" spans="1:77" x14ac:dyDescent="0.25">
      <c r="A90" t="s">
        <v>148</v>
      </c>
      <c r="B90" s="12">
        <f ca="1">+VLOOKUP($A90,INDIRECT(Adrese!B$2),2,FALSE)</f>
        <v>88</v>
      </c>
      <c r="C90" s="12">
        <f ca="1">+VLOOKUP($A90,INDIRECT(Adrese!C$2),2,FALSE)</f>
        <v>91</v>
      </c>
      <c r="D90" s="12">
        <f ca="1">+VLOOKUP($A90,INDIRECT(Adrese!D$2),2,FALSE)</f>
        <v>89</v>
      </c>
      <c r="E90" s="12">
        <f ca="1">+VLOOKUP($A90,INDIRECT(Adrese!E$2),2,FALSE)</f>
        <v>91</v>
      </c>
      <c r="F90" s="12">
        <f ca="1">+VLOOKUP($A90,INDIRECT(Adrese!F$2),2,FALSE)</f>
        <v>94</v>
      </c>
      <c r="G90" s="5">
        <f t="shared" ca="1" si="42"/>
        <v>90.6</v>
      </c>
      <c r="H90" s="5">
        <f t="shared" ca="1" si="29"/>
        <v>2.3021728866442674</v>
      </c>
      <c r="J90" t="s">
        <v>148</v>
      </c>
      <c r="K90">
        <f ca="1">+VLOOKUP($A90,INDIRECT(Adrese!B$2),3,FALSE)</f>
        <v>73</v>
      </c>
      <c r="L90">
        <f ca="1">+VLOOKUP($A90,INDIRECT(Adrese!C$2),3,FALSE)</f>
        <v>73</v>
      </c>
      <c r="M90">
        <f ca="1">+VLOOKUP($A90,INDIRECT(Adrese!D$2),3,FALSE)</f>
        <v>76</v>
      </c>
      <c r="N90">
        <f ca="1">+VLOOKUP($A90,INDIRECT(Adrese!E$2),3,FALSE)</f>
        <v>75</v>
      </c>
      <c r="O90">
        <f ca="1">+VLOOKUP($A90,INDIRECT(Adrese!F$2),3,FALSE)</f>
        <v>72</v>
      </c>
      <c r="P90" s="5">
        <f t="shared" ca="1" si="43"/>
        <v>73.8</v>
      </c>
      <c r="Q90" s="5">
        <f t="shared" ca="1" si="30"/>
        <v>1.6431676725154982</v>
      </c>
      <c r="T90" t="s">
        <v>148</v>
      </c>
      <c r="U90">
        <f ca="1">+VLOOKUP($T90,INDIRECT(Adrese!B$2),4,FALSE)</f>
        <v>117864</v>
      </c>
      <c r="V90">
        <f ca="1">+VLOOKUP($T90,INDIRECT(Adrese!C$2),4,FALSE)</f>
        <v>117441</v>
      </c>
      <c r="W90">
        <f ca="1">+VLOOKUP($T90,INDIRECT(Adrese!D$2),4,FALSE)</f>
        <v>117692</v>
      </c>
      <c r="X90">
        <f ca="1">+VLOOKUP($T90,INDIRECT(Adrese!E$2),4,FALSE)</f>
        <v>117689</v>
      </c>
      <c r="Y90">
        <f ca="1">+VLOOKUP($T90,INDIRECT(Adrese!F$2),4,FALSE)</f>
        <v>117433</v>
      </c>
      <c r="Z90">
        <f t="shared" ca="1" si="31"/>
        <v>588119</v>
      </c>
      <c r="AA90" s="5">
        <f t="shared" ca="1" si="44"/>
        <v>117623.8</v>
      </c>
      <c r="AB90" s="5">
        <f t="shared" ca="1" si="32"/>
        <v>184.67457865120471</v>
      </c>
      <c r="AD90" t="s">
        <v>148</v>
      </c>
      <c r="AE90">
        <f ca="1">+VLOOKUP($A90,INDIRECT(Adrese!B$2),5,FALSE)</f>
        <v>28727</v>
      </c>
      <c r="AF90">
        <f ca="1">+VLOOKUP($A90,INDIRECT(Adrese!C$2),5,FALSE)</f>
        <v>28447</v>
      </c>
      <c r="AG90">
        <f ca="1">+VLOOKUP($A90,INDIRECT(Adrese!D$2),5,FALSE)</f>
        <v>28514</v>
      </c>
      <c r="AH90">
        <f ca="1">+VLOOKUP($A90,INDIRECT(Adrese!E$2),5,FALSE)</f>
        <v>28615</v>
      </c>
      <c r="AI90">
        <f ca="1">+VLOOKUP($A90,INDIRECT(Adrese!F$2),5,FALSE)</f>
        <v>28647</v>
      </c>
      <c r="AJ90" s="5">
        <f t="shared" ca="1" si="45"/>
        <v>28590</v>
      </c>
      <c r="AK90" s="5">
        <f t="shared" ca="1" si="33"/>
        <v>110.53053876644228</v>
      </c>
      <c r="AM90" t="s">
        <v>148</v>
      </c>
      <c r="AN90" s="5">
        <f ca="1">+VLOOKUP($A90,INDIRECT(Adrese!B$2),6,FALSE)</f>
        <v>0.63112831858407081</v>
      </c>
      <c r="AO90" s="5">
        <f ca="1">+VLOOKUP($A90,INDIRECT(Adrese!C$2),6,FALSE)</f>
        <v>0.62493362799999996</v>
      </c>
      <c r="AP90" s="5">
        <f ca="1">+VLOOKUP($A90,INDIRECT(Adrese!D$2),6,FALSE)</f>
        <v>0.62641592899999998</v>
      </c>
      <c r="AQ90" s="5">
        <f ca="1">+VLOOKUP($A90,INDIRECT(Adrese!E$2),6,FALSE)</f>
        <v>0.62865044199999998</v>
      </c>
      <c r="AR90" s="5">
        <f ca="1">+VLOOKUP($A90,INDIRECT(Adrese!F$2),6,FALSE)</f>
        <v>0.62935840700000001</v>
      </c>
      <c r="AS90" s="5" t="str">
        <f t="shared" ca="1" si="34"/>
        <v>0.63 (0.00)</v>
      </c>
      <c r="AT90" s="5">
        <f t="shared" ca="1" si="46"/>
        <v>0.62809734491681424</v>
      </c>
      <c r="AU90" s="5">
        <f t="shared" ca="1" si="35"/>
        <v>2.4453660026534539E-3</v>
      </c>
      <c r="AW90" t="s">
        <v>148</v>
      </c>
      <c r="AX90" s="5">
        <f ca="1">+VLOOKUP($A90,INDIRECT(Adrese!B$2),7,FALSE)</f>
        <v>0.67699115044247793</v>
      </c>
      <c r="AY90" s="5">
        <f ca="1">+VLOOKUP($A90,INDIRECT(Adrese!C$2),7,FALSE)</f>
        <v>0.67699114999999999</v>
      </c>
      <c r="AZ90" s="5">
        <f ca="1">+VLOOKUP($A90,INDIRECT(Adrese!D$2),7,FALSE)</f>
        <v>0.66371681400000004</v>
      </c>
      <c r="BA90" s="5">
        <f ca="1">+VLOOKUP($A90,INDIRECT(Adrese!E$2),7,FALSE)</f>
        <v>0.66814159299999998</v>
      </c>
      <c r="BB90" s="5">
        <f ca="1">+VLOOKUP($A90,INDIRECT(Adrese!F$2),7,FALSE)</f>
        <v>0.68141592900000003</v>
      </c>
      <c r="BC90" s="5" t="str">
        <f t="shared" ca="1" si="36"/>
        <v>0.67 (0.01)</v>
      </c>
      <c r="BD90">
        <f t="shared" ca="1" si="47"/>
        <v>0.67345132728849566</v>
      </c>
      <c r="BE90" s="5">
        <f t="shared" ca="1" si="37"/>
        <v>7.2706533473886241E-3</v>
      </c>
      <c r="BG90" t="s">
        <v>148</v>
      </c>
      <c r="BH90" s="5">
        <f ca="1">+VLOOKUP($BG90,INDIRECT(Adrese!B$2),8,FALSE)</f>
        <v>6.7878900551771065E-2</v>
      </c>
      <c r="BI90" s="5">
        <f ca="1">+VLOOKUP($BG90,INDIRECT(Adrese!C$2),8,FALSE)</f>
        <v>6.7348780999999996E-2</v>
      </c>
      <c r="BJ90" s="5">
        <f ca="1">+VLOOKUP($BG90,INDIRECT(Adrese!D$2),8,FALSE)</f>
        <v>6.7575749000000004E-2</v>
      </c>
      <c r="BK90" s="5">
        <f ca="1">+VLOOKUP($BG90,INDIRECT(Adrese!E$2),8,FALSE)</f>
        <v>6.7653294000000003E-2</v>
      </c>
      <c r="BL90" s="5">
        <f ca="1">+VLOOKUP($BG90,INDIRECT(Adrese!F$2),8,FALSE)</f>
        <v>6.7906375000000005E-2</v>
      </c>
      <c r="BM90" s="5" t="str">
        <f t="shared" ca="1" si="38"/>
        <v>0.07 (0.00)</v>
      </c>
      <c r="BN90" s="5">
        <f t="shared" ca="1" si="48"/>
        <v>6.7672619910354212E-2</v>
      </c>
      <c r="BO90" s="5">
        <f t="shared" ca="1" si="39"/>
        <v>2.3012075574681363E-4</v>
      </c>
      <c r="BQ90" t="s">
        <v>148</v>
      </c>
      <c r="BR90" s="5">
        <f ca="1">+VLOOKUP($BG90,INDIRECT(Adrese!B$2),9,FALSE)</f>
        <v>7.7836594270611792E-2</v>
      </c>
      <c r="BS90" s="5">
        <f ca="1">+VLOOKUP($BG90,INDIRECT(Adrese!C$2),9,FALSE)</f>
        <v>7.6770096999999995E-2</v>
      </c>
      <c r="BT90" s="5">
        <f ca="1">+VLOOKUP($BG90,INDIRECT(Adrese!D$2),9,FALSE)</f>
        <v>7.7257337999999995E-2</v>
      </c>
      <c r="BU90" s="5">
        <f ca="1">+VLOOKUP($BG90,INDIRECT(Adrese!E$2),9,FALSE)</f>
        <v>7.7418614999999996E-2</v>
      </c>
      <c r="BV90" s="5">
        <f ca="1">+VLOOKUP($BG90,INDIRECT(Adrese!F$2),9,FALSE)</f>
        <v>7.8152828999999993E-2</v>
      </c>
      <c r="BW90" s="5" t="str">
        <f t="shared" ca="1" si="40"/>
        <v>0.08 (0.00)</v>
      </c>
      <c r="BX90" s="5">
        <f t="shared" ca="1" si="49"/>
        <v>7.748709465412236E-2</v>
      </c>
      <c r="BY90" s="5">
        <f t="shared" ca="1" si="41"/>
        <v>5.331311800032372E-4</v>
      </c>
    </row>
    <row r="91" spans="1:77" x14ac:dyDescent="0.25">
      <c r="A91" t="s">
        <v>149</v>
      </c>
      <c r="B91" s="12">
        <f ca="1">+VLOOKUP($A91,INDIRECT(Adrese!B$2),2,FALSE)</f>
        <v>89</v>
      </c>
      <c r="C91" s="12">
        <f ca="1">+VLOOKUP($A91,INDIRECT(Adrese!C$2),2,FALSE)</f>
        <v>79</v>
      </c>
      <c r="D91" s="12">
        <f ca="1">+VLOOKUP($A91,INDIRECT(Adrese!D$2),2,FALSE)</f>
        <v>77</v>
      </c>
      <c r="E91" s="12">
        <f ca="1">+VLOOKUP($A91,INDIRECT(Adrese!E$2),2,FALSE)</f>
        <v>78</v>
      </c>
      <c r="F91" s="12">
        <f ca="1">+VLOOKUP($A91,INDIRECT(Adrese!F$2),2,FALSE)</f>
        <v>82</v>
      </c>
      <c r="G91" s="5">
        <f t="shared" ca="1" si="42"/>
        <v>81</v>
      </c>
      <c r="H91" s="5">
        <f t="shared" ca="1" si="29"/>
        <v>4.8476798574163293</v>
      </c>
      <c r="J91" t="s">
        <v>149</v>
      </c>
      <c r="K91">
        <f ca="1">+VLOOKUP($A91,INDIRECT(Adrese!B$2),3,FALSE)</f>
        <v>11</v>
      </c>
      <c r="L91">
        <f ca="1">+VLOOKUP($A91,INDIRECT(Adrese!C$2),3,FALSE)</f>
        <v>11</v>
      </c>
      <c r="M91">
        <f ca="1">+VLOOKUP($A91,INDIRECT(Adrese!D$2),3,FALSE)</f>
        <v>9</v>
      </c>
      <c r="N91">
        <f ca="1">+VLOOKUP($A91,INDIRECT(Adrese!E$2),3,FALSE)</f>
        <v>11</v>
      </c>
      <c r="O91">
        <f ca="1">+VLOOKUP($A91,INDIRECT(Adrese!F$2),3,FALSE)</f>
        <v>11</v>
      </c>
      <c r="P91" s="5">
        <f t="shared" ca="1" si="43"/>
        <v>10.6</v>
      </c>
      <c r="Q91" s="5">
        <f t="shared" ca="1" si="30"/>
        <v>0.89442719099991586</v>
      </c>
      <c r="T91" t="s">
        <v>149</v>
      </c>
      <c r="U91">
        <f ca="1">+VLOOKUP($T91,INDIRECT(Adrese!B$2),4,FALSE)</f>
        <v>117853</v>
      </c>
      <c r="V91">
        <f ca="1">+VLOOKUP($T91,INDIRECT(Adrese!C$2),4,FALSE)</f>
        <v>118137</v>
      </c>
      <c r="W91">
        <f ca="1">+VLOOKUP($T91,INDIRECT(Adrese!D$2),4,FALSE)</f>
        <v>118600</v>
      </c>
      <c r="X91">
        <f ca="1">+VLOOKUP($T91,INDIRECT(Adrese!E$2),4,FALSE)</f>
        <v>118377</v>
      </c>
      <c r="Y91">
        <f ca="1">+VLOOKUP($T91,INDIRECT(Adrese!F$2),4,FALSE)</f>
        <v>118017</v>
      </c>
      <c r="Z91">
        <f t="shared" ca="1" si="31"/>
        <v>590984</v>
      </c>
      <c r="AA91" s="5">
        <f t="shared" ca="1" si="44"/>
        <v>118196.8</v>
      </c>
      <c r="AB91" s="5">
        <f t="shared" ca="1" si="32"/>
        <v>295.44238016912874</v>
      </c>
      <c r="AD91" t="s">
        <v>149</v>
      </c>
      <c r="AE91">
        <f ca="1">+VLOOKUP($A91,INDIRECT(Adrese!B$2),5,FALSE)</f>
        <v>36879</v>
      </c>
      <c r="AF91">
        <f ca="1">+VLOOKUP($A91,INDIRECT(Adrese!C$2),5,FALSE)</f>
        <v>37055</v>
      </c>
      <c r="AG91">
        <f ca="1">+VLOOKUP($A91,INDIRECT(Adrese!D$2),5,FALSE)</f>
        <v>37277</v>
      </c>
      <c r="AH91">
        <f ca="1">+VLOOKUP($A91,INDIRECT(Adrese!E$2),5,FALSE)</f>
        <v>37145</v>
      </c>
      <c r="AI91">
        <f ca="1">+VLOOKUP($A91,INDIRECT(Adrese!F$2),5,FALSE)</f>
        <v>36954</v>
      </c>
      <c r="AJ91" s="5">
        <f t="shared" ca="1" si="45"/>
        <v>37062</v>
      </c>
      <c r="AK91" s="5">
        <f t="shared" ca="1" si="33"/>
        <v>156.77691156544702</v>
      </c>
      <c r="AM91" t="s">
        <v>149</v>
      </c>
      <c r="AN91" s="5">
        <f ca="1">+VLOOKUP($A91,INDIRECT(Adrese!B$2),6,FALSE)</f>
        <v>0.81148230088495577</v>
      </c>
      <c r="AO91" s="5">
        <f ca="1">+VLOOKUP($A91,INDIRECT(Adrese!C$2),6,FALSE)</f>
        <v>0.81537610599999999</v>
      </c>
      <c r="AP91" s="5">
        <f ca="1">+VLOOKUP($A91,INDIRECT(Adrese!D$2),6,FALSE)</f>
        <v>0.82028761100000003</v>
      </c>
      <c r="AQ91" s="5">
        <f ca="1">+VLOOKUP($A91,INDIRECT(Adrese!E$2),6,FALSE)</f>
        <v>0.81736725700000001</v>
      </c>
      <c r="AR91" s="5">
        <f ca="1">+VLOOKUP($A91,INDIRECT(Adrese!F$2),6,FALSE)</f>
        <v>0.813141593</v>
      </c>
      <c r="AS91" s="5" t="str">
        <f t="shared" ca="1" si="34"/>
        <v>0.82 (0.00)</v>
      </c>
      <c r="AT91" s="5">
        <f t="shared" ca="1" si="46"/>
        <v>0.81553097357699111</v>
      </c>
      <c r="AU91" s="5">
        <f t="shared" ca="1" si="35"/>
        <v>3.4685159095398576E-3</v>
      </c>
      <c r="AW91" t="s">
        <v>149</v>
      </c>
      <c r="AX91" s="5">
        <f ca="1">+VLOOKUP($A91,INDIRECT(Adrese!B$2),7,FALSE)</f>
        <v>0.95132743362831862</v>
      </c>
      <c r="AY91" s="5">
        <f ca="1">+VLOOKUP($A91,INDIRECT(Adrese!C$2),7,FALSE)</f>
        <v>0.95132743399999997</v>
      </c>
      <c r="AZ91" s="5">
        <f ca="1">+VLOOKUP($A91,INDIRECT(Adrese!D$2),7,FALSE)</f>
        <v>0.96017699099999998</v>
      </c>
      <c r="BA91" s="5">
        <f ca="1">+VLOOKUP($A91,INDIRECT(Adrese!E$2),7,FALSE)</f>
        <v>0.95132743399999997</v>
      </c>
      <c r="BB91" s="5">
        <f ca="1">+VLOOKUP($A91,INDIRECT(Adrese!F$2),7,FALSE)</f>
        <v>0.95132743399999997</v>
      </c>
      <c r="BC91" s="5" t="str">
        <f t="shared" ca="1" si="36"/>
        <v>0.95 (0.00)</v>
      </c>
      <c r="BD91">
        <f t="shared" ca="1" si="47"/>
        <v>0.9530973453256637</v>
      </c>
      <c r="BE91" s="5">
        <f t="shared" ca="1" si="37"/>
        <v>3.9576422461070669E-3</v>
      </c>
      <c r="BG91" t="s">
        <v>149</v>
      </c>
      <c r="BH91" s="5">
        <f ca="1">+VLOOKUP($BG91,INDIRECT(Adrese!B$2),8,FALSE)</f>
        <v>8.167422439395193E-2</v>
      </c>
      <c r="BI91" s="5">
        <f ca="1">+VLOOKUP($BG91,INDIRECT(Adrese!C$2),8,FALSE)</f>
        <v>8.2080953999999998E-2</v>
      </c>
      <c r="BJ91" s="5">
        <f ca="1">+VLOOKUP($BG91,INDIRECT(Adrese!D$2),8,FALSE)</f>
        <v>8.2398620000000006E-2</v>
      </c>
      <c r="BK91" s="5">
        <f ca="1">+VLOOKUP($BG91,INDIRECT(Adrese!E$2),8,FALSE)</f>
        <v>8.2158420999999995E-2</v>
      </c>
      <c r="BL91" s="5">
        <f ca="1">+VLOOKUP($BG91,INDIRECT(Adrese!F$2),8,FALSE)</f>
        <v>8.1917702999999994E-2</v>
      </c>
      <c r="BM91" s="5" t="str">
        <f t="shared" ca="1" si="38"/>
        <v>0.08 (0.00)</v>
      </c>
      <c r="BN91" s="5">
        <f t="shared" ca="1" si="48"/>
        <v>8.2045984478790385E-2</v>
      </c>
      <c r="BO91" s="5">
        <f t="shared" ca="1" si="39"/>
        <v>2.7059118057222139E-4</v>
      </c>
      <c r="BQ91" t="s">
        <v>149</v>
      </c>
      <c r="BR91" s="5">
        <f ca="1">+VLOOKUP($BG91,INDIRECT(Adrese!B$2),9,FALSE)</f>
        <v>9.0314073995765187E-2</v>
      </c>
      <c r="BS91" s="5">
        <f ca="1">+VLOOKUP($BG91,INDIRECT(Adrese!C$2),9,FALSE)</f>
        <v>9.1320316999999998E-2</v>
      </c>
      <c r="BT91" s="5">
        <f ca="1">+VLOOKUP($BG91,INDIRECT(Adrese!D$2),9,FALSE)</f>
        <v>9.1088184000000003E-2</v>
      </c>
      <c r="BU91" s="5">
        <f ca="1">+VLOOKUP($BG91,INDIRECT(Adrese!E$2),9,FALSE)</f>
        <v>9.1211614999999996E-2</v>
      </c>
      <c r="BV91" s="5">
        <f ca="1">+VLOOKUP($BG91,INDIRECT(Adrese!F$2),9,FALSE)</f>
        <v>9.0766133999999998E-2</v>
      </c>
      <c r="BW91" s="5" t="str">
        <f t="shared" ca="1" si="40"/>
        <v>0.09 (0.00)</v>
      </c>
      <c r="BX91" s="5">
        <f t="shared" ca="1" si="49"/>
        <v>9.0940064799153036E-2</v>
      </c>
      <c r="BY91" s="5">
        <f t="shared" ca="1" si="41"/>
        <v>4.0693579171311085E-4</v>
      </c>
    </row>
    <row r="92" spans="1:77" x14ac:dyDescent="0.25">
      <c r="A92" t="s">
        <v>150</v>
      </c>
      <c r="B92" s="12">
        <f ca="1">+VLOOKUP($A92,INDIRECT(Adrese!B$2),2,FALSE)</f>
        <v>90</v>
      </c>
      <c r="C92" s="12">
        <f ca="1">+VLOOKUP($A92,INDIRECT(Adrese!C$2),2,FALSE)</f>
        <v>90</v>
      </c>
      <c r="D92" s="12">
        <f ca="1">+VLOOKUP($A92,INDIRECT(Adrese!D$2),2,FALSE)</f>
        <v>104</v>
      </c>
      <c r="E92" s="12">
        <f ca="1">+VLOOKUP($A92,INDIRECT(Adrese!E$2),2,FALSE)</f>
        <v>100</v>
      </c>
      <c r="F92" s="12">
        <f ca="1">+VLOOKUP($A92,INDIRECT(Adrese!F$2),2,FALSE)</f>
        <v>100</v>
      </c>
      <c r="G92" s="5">
        <f t="shared" ca="1" si="42"/>
        <v>96.8</v>
      </c>
      <c r="H92" s="5">
        <f t="shared" ca="1" si="29"/>
        <v>6.4187226143524843</v>
      </c>
      <c r="J92" t="s">
        <v>150</v>
      </c>
      <c r="K92">
        <f ca="1">+VLOOKUP($A92,INDIRECT(Adrese!B$2),3,FALSE)</f>
        <v>26</v>
      </c>
      <c r="L92">
        <f ca="1">+VLOOKUP($A92,INDIRECT(Adrese!C$2),3,FALSE)</f>
        <v>25</v>
      </c>
      <c r="M92">
        <f ca="1">+VLOOKUP($A92,INDIRECT(Adrese!D$2),3,FALSE)</f>
        <v>27</v>
      </c>
      <c r="N92">
        <f ca="1">+VLOOKUP($A92,INDIRECT(Adrese!E$2),3,FALSE)</f>
        <v>25</v>
      </c>
      <c r="O92">
        <f ca="1">+VLOOKUP($A92,INDIRECT(Adrese!F$2),3,FALSE)</f>
        <v>26</v>
      </c>
      <c r="P92" s="5">
        <f t="shared" ca="1" si="43"/>
        <v>25.8</v>
      </c>
      <c r="Q92" s="5">
        <f t="shared" ca="1" si="30"/>
        <v>0.83666002653407556</v>
      </c>
      <c r="T92" t="s">
        <v>150</v>
      </c>
      <c r="U92">
        <f ca="1">+VLOOKUP($T92,INDIRECT(Adrese!B$2),4,FALSE)</f>
        <v>117694</v>
      </c>
      <c r="V92">
        <f ca="1">+VLOOKUP($T92,INDIRECT(Adrese!C$2),4,FALSE)</f>
        <v>117620</v>
      </c>
      <c r="W92">
        <f ca="1">+VLOOKUP($T92,INDIRECT(Adrese!D$2),4,FALSE)</f>
        <v>116749</v>
      </c>
      <c r="X92">
        <f ca="1">+VLOOKUP($T92,INDIRECT(Adrese!E$2),4,FALSE)</f>
        <v>117150</v>
      </c>
      <c r="Y92">
        <f ca="1">+VLOOKUP($T92,INDIRECT(Adrese!F$2),4,FALSE)</f>
        <v>117025</v>
      </c>
      <c r="Z92">
        <f t="shared" ca="1" si="31"/>
        <v>586238</v>
      </c>
      <c r="AA92" s="5">
        <f t="shared" ca="1" si="44"/>
        <v>117247.6</v>
      </c>
      <c r="AB92" s="5">
        <f t="shared" ca="1" si="32"/>
        <v>401.75651830430832</v>
      </c>
      <c r="AD92" t="s">
        <v>150</v>
      </c>
      <c r="AE92">
        <f ca="1">+VLOOKUP($A92,INDIRECT(Adrese!B$2),5,FALSE)</f>
        <v>34948</v>
      </c>
      <c r="AF92">
        <f ca="1">+VLOOKUP($A92,INDIRECT(Adrese!C$2),5,FALSE)</f>
        <v>35124</v>
      </c>
      <c r="AG92">
        <f ca="1">+VLOOKUP($A92,INDIRECT(Adrese!D$2),5,FALSE)</f>
        <v>35077</v>
      </c>
      <c r="AH92">
        <f ca="1">+VLOOKUP($A92,INDIRECT(Adrese!E$2),5,FALSE)</f>
        <v>35331</v>
      </c>
      <c r="AI92">
        <f ca="1">+VLOOKUP($A92,INDIRECT(Adrese!F$2),5,FALSE)</f>
        <v>35177</v>
      </c>
      <c r="AJ92" s="5">
        <f t="shared" ca="1" si="45"/>
        <v>35131.4</v>
      </c>
      <c r="AK92" s="5">
        <f t="shared" ca="1" si="33"/>
        <v>140.15099000720616</v>
      </c>
      <c r="AM92" t="s">
        <v>150</v>
      </c>
      <c r="AN92" s="5">
        <f ca="1">+VLOOKUP($A92,INDIRECT(Adrese!B$2),6,FALSE)</f>
        <v>0.76876106194690264</v>
      </c>
      <c r="AO92" s="5">
        <f ca="1">+VLOOKUP($A92,INDIRECT(Adrese!C$2),6,FALSE)</f>
        <v>0.77265486699999997</v>
      </c>
      <c r="AP92" s="5">
        <f ca="1">+VLOOKUP($A92,INDIRECT(Adrese!D$2),6,FALSE)</f>
        <v>0.77161504400000003</v>
      </c>
      <c r="AQ92" s="5">
        <f ca="1">+VLOOKUP($A92,INDIRECT(Adrese!E$2),6,FALSE)</f>
        <v>0.77723451300000002</v>
      </c>
      <c r="AR92" s="5">
        <f ca="1">+VLOOKUP($A92,INDIRECT(Adrese!F$2),6,FALSE)</f>
        <v>0.77382743399999998</v>
      </c>
      <c r="AS92" s="5" t="str">
        <f t="shared" ca="1" si="34"/>
        <v>0.77 (0.00)</v>
      </c>
      <c r="AT92" s="5">
        <f t="shared" ca="1" si="46"/>
        <v>0.77281858398938064</v>
      </c>
      <c r="AU92" s="5">
        <f t="shared" ca="1" si="35"/>
        <v>3.1006855796178968E-3</v>
      </c>
      <c r="AW92" t="s">
        <v>150</v>
      </c>
      <c r="AX92" s="5">
        <f ca="1">+VLOOKUP($A92,INDIRECT(Adrese!B$2),7,FALSE)</f>
        <v>0.88495575221238942</v>
      </c>
      <c r="AY92" s="5">
        <f ca="1">+VLOOKUP($A92,INDIRECT(Adrese!C$2),7,FALSE)</f>
        <v>0.88938053100000003</v>
      </c>
      <c r="AZ92" s="5">
        <f ca="1">+VLOOKUP($A92,INDIRECT(Adrese!D$2),7,FALSE)</f>
        <v>0.88053097300000005</v>
      </c>
      <c r="BA92" s="5">
        <f ca="1">+VLOOKUP($A92,INDIRECT(Adrese!E$2),7,FALSE)</f>
        <v>0.88938053100000003</v>
      </c>
      <c r="BB92" s="5">
        <f ca="1">+VLOOKUP($A92,INDIRECT(Adrese!F$2),7,FALSE)</f>
        <v>0.88495575199999998</v>
      </c>
      <c r="BC92" s="5" t="str">
        <f t="shared" ca="1" si="36"/>
        <v>0.89 (0.00)</v>
      </c>
      <c r="BD92">
        <f t="shared" ca="1" si="47"/>
        <v>0.88584070784247793</v>
      </c>
      <c r="BE92" s="5">
        <f t="shared" ca="1" si="37"/>
        <v>3.702035702854723E-3</v>
      </c>
      <c r="BG92" t="s">
        <v>150</v>
      </c>
      <c r="BH92" s="5">
        <f ca="1">+VLOOKUP($BG92,INDIRECT(Adrese!B$2),8,FALSE)</f>
        <v>7.4210880566939127E-2</v>
      </c>
      <c r="BI92" s="5">
        <f ca="1">+VLOOKUP($BG92,INDIRECT(Adrese!C$2),8,FALSE)</f>
        <v>7.4815782999999997E-2</v>
      </c>
      <c r="BJ92" s="5">
        <f ca="1">+VLOOKUP($BG92,INDIRECT(Adrese!D$2),8,FALSE)</f>
        <v>7.4868340000000005E-2</v>
      </c>
      <c r="BK92" s="5">
        <f ca="1">+VLOOKUP($BG92,INDIRECT(Adrese!E$2),8,FALSE)</f>
        <v>7.5440849000000004E-2</v>
      </c>
      <c r="BL92" s="5">
        <f ca="1">+VLOOKUP($BG92,INDIRECT(Adrese!F$2),8,FALSE)</f>
        <v>7.5063437999999996E-2</v>
      </c>
      <c r="BM92" s="5" t="str">
        <f t="shared" ca="1" si="38"/>
        <v>0.07 (0.00)</v>
      </c>
      <c r="BN92" s="5">
        <f t="shared" ca="1" si="48"/>
        <v>7.487985811338782E-2</v>
      </c>
      <c r="BO92" s="5">
        <f t="shared" ca="1" si="39"/>
        <v>4.4726434979066177E-4</v>
      </c>
      <c r="BQ92" t="s">
        <v>150</v>
      </c>
      <c r="BR92" s="5">
        <f ca="1">+VLOOKUP($BG92,INDIRECT(Adrese!B$2),9,FALSE)</f>
        <v>6.9930559209385457E-2</v>
      </c>
      <c r="BS92" s="5">
        <f ca="1">+VLOOKUP($BG92,INDIRECT(Adrese!C$2),9,FALSE)</f>
        <v>7.1714219999999995E-2</v>
      </c>
      <c r="BT92" s="5">
        <f ca="1">+VLOOKUP($BG92,INDIRECT(Adrese!D$2),9,FALSE)</f>
        <v>7.1834515000000002E-2</v>
      </c>
      <c r="BU92" s="5">
        <f ca="1">+VLOOKUP($BG92,INDIRECT(Adrese!E$2),9,FALSE)</f>
        <v>7.3048660000000001E-2</v>
      </c>
      <c r="BV92" s="5">
        <f ca="1">+VLOOKUP($BG92,INDIRECT(Adrese!F$2),9,FALSE)</f>
        <v>7.1704304999999996E-2</v>
      </c>
      <c r="BW92" s="5" t="str">
        <f t="shared" ca="1" si="40"/>
        <v>0.07 (0.00)</v>
      </c>
      <c r="BX92" s="5">
        <f t="shared" ca="1" si="49"/>
        <v>7.1646451841877082E-2</v>
      </c>
      <c r="BY92" s="5">
        <f t="shared" ca="1" si="41"/>
        <v>1.1128547195780817E-3</v>
      </c>
    </row>
    <row r="93" spans="1:77" x14ac:dyDescent="0.25">
      <c r="A93" t="s">
        <v>151</v>
      </c>
      <c r="B93" s="12">
        <f ca="1">+VLOOKUP($A93,INDIRECT(Adrese!B$2),2,FALSE)</f>
        <v>91</v>
      </c>
      <c r="C93" s="12">
        <f ca="1">+VLOOKUP($A93,INDIRECT(Adrese!C$2),2,FALSE)</f>
        <v>93</v>
      </c>
      <c r="D93" s="12">
        <f ca="1">+VLOOKUP($A93,INDIRECT(Adrese!D$2),2,FALSE)</f>
        <v>96</v>
      </c>
      <c r="E93" s="12">
        <f ca="1">+VLOOKUP($A93,INDIRECT(Adrese!E$2),2,FALSE)</f>
        <v>76</v>
      </c>
      <c r="F93" s="12">
        <f ca="1">+VLOOKUP($A93,INDIRECT(Adrese!F$2),2,FALSE)</f>
        <v>79</v>
      </c>
      <c r="G93" s="5">
        <f t="shared" ca="1" si="42"/>
        <v>87</v>
      </c>
      <c r="H93" s="5">
        <f t="shared" ca="1" si="29"/>
        <v>8.9162772500635032</v>
      </c>
      <c r="J93" t="s">
        <v>151</v>
      </c>
      <c r="K93">
        <f ca="1">+VLOOKUP($A93,INDIRECT(Adrese!B$2),3,FALSE)</f>
        <v>22</v>
      </c>
      <c r="L93">
        <f ca="1">+VLOOKUP($A93,INDIRECT(Adrese!C$2),3,FALSE)</f>
        <v>20</v>
      </c>
      <c r="M93">
        <f ca="1">+VLOOKUP($A93,INDIRECT(Adrese!D$2),3,FALSE)</f>
        <v>20</v>
      </c>
      <c r="N93">
        <f ca="1">+VLOOKUP($A93,INDIRECT(Adrese!E$2),3,FALSE)</f>
        <v>19</v>
      </c>
      <c r="O93">
        <f ca="1">+VLOOKUP($A93,INDIRECT(Adrese!F$2),3,FALSE)</f>
        <v>17</v>
      </c>
      <c r="P93" s="5">
        <f t="shared" ca="1" si="43"/>
        <v>19.600000000000001</v>
      </c>
      <c r="Q93" s="5">
        <f t="shared" ca="1" si="30"/>
        <v>1.8165902124584952</v>
      </c>
      <c r="T93" t="s">
        <v>151</v>
      </c>
      <c r="U93">
        <f ca="1">+VLOOKUP($T93,INDIRECT(Adrese!B$2),4,FALSE)</f>
        <v>117631</v>
      </c>
      <c r="V93">
        <f ca="1">+VLOOKUP($T93,INDIRECT(Adrese!C$2),4,FALSE)</f>
        <v>117420</v>
      </c>
      <c r="W93">
        <f ca="1">+VLOOKUP($T93,INDIRECT(Adrese!D$2),4,FALSE)</f>
        <v>117173</v>
      </c>
      <c r="X93">
        <f ca="1">+VLOOKUP($T93,INDIRECT(Adrese!E$2),4,FALSE)</f>
        <v>118442</v>
      </c>
      <c r="Y93">
        <f ca="1">+VLOOKUP($T93,INDIRECT(Adrese!F$2),4,FALSE)</f>
        <v>118195</v>
      </c>
      <c r="Z93">
        <f t="shared" ca="1" si="31"/>
        <v>588861</v>
      </c>
      <c r="AA93" s="5">
        <f t="shared" ca="1" si="44"/>
        <v>117772.2</v>
      </c>
      <c r="AB93" s="5">
        <f t="shared" ca="1" si="32"/>
        <v>531.60483444001898</v>
      </c>
      <c r="AD93" t="s">
        <v>151</v>
      </c>
      <c r="AE93">
        <f ca="1">+VLOOKUP($A93,INDIRECT(Adrese!B$2),5,FALSE)</f>
        <v>36154</v>
      </c>
      <c r="AF93">
        <f ca="1">+VLOOKUP($A93,INDIRECT(Adrese!C$2),5,FALSE)</f>
        <v>36016</v>
      </c>
      <c r="AG93">
        <f ca="1">+VLOOKUP($A93,INDIRECT(Adrese!D$2),5,FALSE)</f>
        <v>35817</v>
      </c>
      <c r="AH93">
        <f ca="1">+VLOOKUP($A93,INDIRECT(Adrese!E$2),5,FALSE)</f>
        <v>36606</v>
      </c>
      <c r="AI93">
        <f ca="1">+VLOOKUP($A93,INDIRECT(Adrese!F$2),5,FALSE)</f>
        <v>36624</v>
      </c>
      <c r="AJ93" s="5">
        <f t="shared" ca="1" si="45"/>
        <v>36243.4</v>
      </c>
      <c r="AK93" s="5">
        <f t="shared" ca="1" si="33"/>
        <v>359.81078360716208</v>
      </c>
      <c r="AM93" t="s">
        <v>151</v>
      </c>
      <c r="AN93" s="5">
        <f ca="1">+VLOOKUP($A93,INDIRECT(Adrese!B$2),6,FALSE)</f>
        <v>0.79544247787610622</v>
      </c>
      <c r="AO93" s="5">
        <f ca="1">+VLOOKUP($A93,INDIRECT(Adrese!C$2),6,FALSE)</f>
        <v>0.792389381</v>
      </c>
      <c r="AP93" s="5">
        <f ca="1">+VLOOKUP($A93,INDIRECT(Adrese!D$2),6,FALSE)</f>
        <v>0.78798672599999997</v>
      </c>
      <c r="AQ93" s="5">
        <f ca="1">+VLOOKUP($A93,INDIRECT(Adrese!E$2),6,FALSE)</f>
        <v>0.80544247800000002</v>
      </c>
      <c r="AR93" s="5">
        <f ca="1">+VLOOKUP($A93,INDIRECT(Adrese!F$2),6,FALSE)</f>
        <v>0.80584070799999996</v>
      </c>
      <c r="AS93" s="5" t="str">
        <f t="shared" ca="1" si="34"/>
        <v>0.80 (0.01)</v>
      </c>
      <c r="AT93" s="5">
        <f t="shared" ca="1" si="46"/>
        <v>0.79742035417522117</v>
      </c>
      <c r="AU93" s="5">
        <f t="shared" ca="1" si="35"/>
        <v>7.9604154333689468E-3</v>
      </c>
      <c r="AW93" t="s">
        <v>151</v>
      </c>
      <c r="AX93" s="5">
        <f ca="1">+VLOOKUP($A93,INDIRECT(Adrese!B$2),7,FALSE)</f>
        <v>0.90265486725663713</v>
      </c>
      <c r="AY93" s="5">
        <f ca="1">+VLOOKUP($A93,INDIRECT(Adrese!C$2),7,FALSE)</f>
        <v>0.91150442499999995</v>
      </c>
      <c r="AZ93" s="5">
        <f ca="1">+VLOOKUP($A93,INDIRECT(Adrese!D$2),7,FALSE)</f>
        <v>0.91150442499999995</v>
      </c>
      <c r="BA93" s="5">
        <f ca="1">+VLOOKUP($A93,INDIRECT(Adrese!E$2),7,FALSE)</f>
        <v>0.915929204</v>
      </c>
      <c r="BB93" s="5">
        <f ca="1">+VLOOKUP($A93,INDIRECT(Adrese!F$2),7,FALSE)</f>
        <v>0.924778761</v>
      </c>
      <c r="BC93" s="5" t="str">
        <f t="shared" ca="1" si="36"/>
        <v>0.91 (0.01)</v>
      </c>
      <c r="BD93">
        <f t="shared" ca="1" si="47"/>
        <v>0.91327433645132738</v>
      </c>
      <c r="BE93" s="5">
        <f t="shared" ca="1" si="37"/>
        <v>8.0380097811142189E-3</v>
      </c>
      <c r="BG93" t="s">
        <v>151</v>
      </c>
      <c r="BH93" s="5">
        <f ca="1">+VLOOKUP($BG93,INDIRECT(Adrese!B$2),8,FALSE)</f>
        <v>8.062773933705214E-2</v>
      </c>
      <c r="BI93" s="5">
        <f ca="1">+VLOOKUP($BG93,INDIRECT(Adrese!C$2),8,FALSE)</f>
        <v>8.0361586999999998E-2</v>
      </c>
      <c r="BJ93" s="5">
        <f ca="1">+VLOOKUP($BG93,INDIRECT(Adrese!D$2),8,FALSE)</f>
        <v>8.0127828999999998E-2</v>
      </c>
      <c r="BK93" s="5">
        <f ca="1">+VLOOKUP($BG93,INDIRECT(Adrese!E$2),8,FALSE)</f>
        <v>8.1221869000000002E-2</v>
      </c>
      <c r="BL93" s="5">
        <f ca="1">+VLOOKUP($BG93,INDIRECT(Adrese!F$2),8,FALSE)</f>
        <v>8.1334077000000005E-2</v>
      </c>
      <c r="BM93" s="5" t="str">
        <f t="shared" ca="1" si="38"/>
        <v>0.08 (0.00)</v>
      </c>
      <c r="BN93" s="5">
        <f t="shared" ca="1" si="48"/>
        <v>8.0734620267410434E-2</v>
      </c>
      <c r="BO93" s="5">
        <f t="shared" ca="1" si="39"/>
        <v>5.2809390635847817E-4</v>
      </c>
      <c r="BQ93" t="s">
        <v>151</v>
      </c>
      <c r="BR93" s="5">
        <f ca="1">+VLOOKUP($BG93,INDIRECT(Adrese!B$2),9,FALSE)</f>
        <v>8.9704968581531166E-2</v>
      </c>
      <c r="BS93" s="5">
        <f ca="1">+VLOOKUP($BG93,INDIRECT(Adrese!C$2),9,FALSE)</f>
        <v>8.9694498999999997E-2</v>
      </c>
      <c r="BT93" s="5">
        <f ca="1">+VLOOKUP($BG93,INDIRECT(Adrese!D$2),9,FALSE)</f>
        <v>8.9460967000000002E-2</v>
      </c>
      <c r="BU93" s="5">
        <f ca="1">+VLOOKUP($BG93,INDIRECT(Adrese!E$2),9,FALSE)</f>
        <v>8.9923772999999999E-2</v>
      </c>
      <c r="BV93" s="5">
        <f ca="1">+VLOOKUP($BG93,INDIRECT(Adrese!F$2),9,FALSE)</f>
        <v>8.9998949999999994E-2</v>
      </c>
      <c r="BW93" s="5" t="str">
        <f t="shared" ca="1" si="40"/>
        <v>0.09 (0.00)</v>
      </c>
      <c r="BX93" s="5">
        <f t="shared" ca="1" si="49"/>
        <v>8.9756631516306237E-2</v>
      </c>
      <c r="BY93" s="5">
        <f t="shared" ca="1" si="41"/>
        <v>2.1248619821397324E-4</v>
      </c>
    </row>
    <row r="94" spans="1:77" x14ac:dyDescent="0.25">
      <c r="A94" t="s">
        <v>152</v>
      </c>
      <c r="B94" s="12">
        <f ca="1">+VLOOKUP($A94,INDIRECT(Adrese!B$2),2,FALSE)</f>
        <v>92</v>
      </c>
      <c r="C94" s="12">
        <f ca="1">+VLOOKUP($A94,INDIRECT(Adrese!C$2),2,FALSE)</f>
        <v>87</v>
      </c>
      <c r="D94" s="12">
        <f ca="1">+VLOOKUP($A94,INDIRECT(Adrese!D$2),2,FALSE)</f>
        <v>91</v>
      </c>
      <c r="E94" s="12">
        <f ca="1">+VLOOKUP($A94,INDIRECT(Adrese!E$2),2,FALSE)</f>
        <v>84</v>
      </c>
      <c r="F94" s="12">
        <f ca="1">+VLOOKUP($A94,INDIRECT(Adrese!F$2),2,FALSE)</f>
        <v>86</v>
      </c>
      <c r="G94" s="5">
        <f t="shared" ca="1" si="42"/>
        <v>88</v>
      </c>
      <c r="H94" s="5">
        <f t="shared" ca="1" si="29"/>
        <v>3.3911649915626341</v>
      </c>
      <c r="J94" t="s">
        <v>152</v>
      </c>
      <c r="K94">
        <f ca="1">+VLOOKUP($A94,INDIRECT(Adrese!B$2),3,FALSE)</f>
        <v>10</v>
      </c>
      <c r="L94">
        <f ca="1">+VLOOKUP($A94,INDIRECT(Adrese!C$2),3,FALSE)</f>
        <v>6</v>
      </c>
      <c r="M94">
        <f ca="1">+VLOOKUP($A94,INDIRECT(Adrese!D$2),3,FALSE)</f>
        <v>7</v>
      </c>
      <c r="N94">
        <f ca="1">+VLOOKUP($A94,INDIRECT(Adrese!E$2),3,FALSE)</f>
        <v>9</v>
      </c>
      <c r="O94">
        <f ca="1">+VLOOKUP($A94,INDIRECT(Adrese!F$2),3,FALSE)</f>
        <v>7</v>
      </c>
      <c r="P94" s="5">
        <f t="shared" ca="1" si="43"/>
        <v>7.8</v>
      </c>
      <c r="Q94" s="5">
        <f t="shared" ca="1" si="30"/>
        <v>1.6431676725154991</v>
      </c>
      <c r="T94" t="s">
        <v>152</v>
      </c>
      <c r="U94">
        <f ca="1">+VLOOKUP($T94,INDIRECT(Adrese!B$2),4,FALSE)</f>
        <v>117599</v>
      </c>
      <c r="V94">
        <f ca="1">+VLOOKUP($T94,INDIRECT(Adrese!C$2),4,FALSE)</f>
        <v>117771</v>
      </c>
      <c r="W94">
        <f ca="1">+VLOOKUP($T94,INDIRECT(Adrese!D$2),4,FALSE)</f>
        <v>117554</v>
      </c>
      <c r="X94">
        <f ca="1">+VLOOKUP($T94,INDIRECT(Adrese!E$2),4,FALSE)</f>
        <v>118153</v>
      </c>
      <c r="Y94">
        <f ca="1">+VLOOKUP($T94,INDIRECT(Adrese!F$2),4,FALSE)</f>
        <v>117940</v>
      </c>
      <c r="Z94">
        <f t="shared" ca="1" si="31"/>
        <v>589017</v>
      </c>
      <c r="AA94" s="5">
        <f t="shared" ca="1" si="44"/>
        <v>117803.4</v>
      </c>
      <c r="AB94" s="5">
        <f t="shared" ca="1" si="32"/>
        <v>247.94616351135582</v>
      </c>
      <c r="AD94" t="s">
        <v>152</v>
      </c>
      <c r="AE94">
        <f ca="1">+VLOOKUP($A94,INDIRECT(Adrese!B$2),5,FALSE)</f>
        <v>37984</v>
      </c>
      <c r="AF94">
        <f ca="1">+VLOOKUP($A94,INDIRECT(Adrese!C$2),5,FALSE)</f>
        <v>38145</v>
      </c>
      <c r="AG94">
        <f ca="1">+VLOOKUP($A94,INDIRECT(Adrese!D$2),5,FALSE)</f>
        <v>37947</v>
      </c>
      <c r="AH94">
        <f ca="1">+VLOOKUP($A94,INDIRECT(Adrese!E$2),5,FALSE)</f>
        <v>38284</v>
      </c>
      <c r="AI94">
        <f ca="1">+VLOOKUP($A94,INDIRECT(Adrese!F$2),5,FALSE)</f>
        <v>38143</v>
      </c>
      <c r="AJ94" s="5">
        <f t="shared" ca="1" si="45"/>
        <v>38100.6</v>
      </c>
      <c r="AK94" s="5">
        <f t="shared" ca="1" si="33"/>
        <v>136.55877855341268</v>
      </c>
      <c r="AM94" t="s">
        <v>152</v>
      </c>
      <c r="AN94" s="5">
        <f ca="1">+VLOOKUP($A94,INDIRECT(Adrese!B$2),6,FALSE)</f>
        <v>0.83592920353982303</v>
      </c>
      <c r="AO94" s="5">
        <f ca="1">+VLOOKUP($A94,INDIRECT(Adrese!C$2),6,FALSE)</f>
        <v>0.83949114999999996</v>
      </c>
      <c r="AP94" s="5">
        <f ca="1">+VLOOKUP($A94,INDIRECT(Adrese!D$2),6,FALSE)</f>
        <v>0.83511061900000005</v>
      </c>
      <c r="AQ94" s="5">
        <f ca="1">+VLOOKUP($A94,INDIRECT(Adrese!E$2),6,FALSE)</f>
        <v>0.84256637199999995</v>
      </c>
      <c r="AR94" s="5">
        <f ca="1">+VLOOKUP($A94,INDIRECT(Adrese!F$2),6,FALSE)</f>
        <v>0.83944690300000002</v>
      </c>
      <c r="AS94" s="5" t="str">
        <f t="shared" ca="1" si="34"/>
        <v>0.84 (0.00)</v>
      </c>
      <c r="AT94" s="5">
        <f t="shared" ca="1" si="46"/>
        <v>0.83850884950796467</v>
      </c>
      <c r="AU94" s="5">
        <f t="shared" ca="1" si="35"/>
        <v>3.0212121445768909E-3</v>
      </c>
      <c r="AW94" t="s">
        <v>152</v>
      </c>
      <c r="AX94" s="5">
        <f ca="1">+VLOOKUP($A94,INDIRECT(Adrese!B$2),7,FALSE)</f>
        <v>0.95575221238938057</v>
      </c>
      <c r="AY94" s="5">
        <f ca="1">+VLOOKUP($A94,INDIRECT(Adrese!C$2),7,FALSE)</f>
        <v>0.97345132700000003</v>
      </c>
      <c r="AZ94" s="5">
        <f ca="1">+VLOOKUP($A94,INDIRECT(Adrese!D$2),7,FALSE)</f>
        <v>0.96902654899999996</v>
      </c>
      <c r="BA94" s="5">
        <f ca="1">+VLOOKUP($A94,INDIRECT(Adrese!E$2),7,FALSE)</f>
        <v>0.96017699099999998</v>
      </c>
      <c r="BB94" s="5">
        <f ca="1">+VLOOKUP($A94,INDIRECT(Adrese!F$2),7,FALSE)</f>
        <v>0.96902654899999996</v>
      </c>
      <c r="BC94" s="5" t="str">
        <f t="shared" ca="1" si="36"/>
        <v>0.97 (0.01)</v>
      </c>
      <c r="BD94">
        <f t="shared" ca="1" si="47"/>
        <v>0.96548672567787608</v>
      </c>
      <c r="BE94" s="5">
        <f t="shared" ca="1" si="37"/>
        <v>7.2706534066309765E-3</v>
      </c>
      <c r="BG94" t="s">
        <v>152</v>
      </c>
      <c r="BH94" s="5">
        <f ca="1">+VLOOKUP($BG94,INDIRECT(Adrese!B$2),8,FALSE)</f>
        <v>8.2628205018835915E-2</v>
      </c>
      <c r="BI94" s="5">
        <f ca="1">+VLOOKUP($BG94,INDIRECT(Adrese!C$2),8,FALSE)</f>
        <v>8.2762901E-2</v>
      </c>
      <c r="BJ94" s="5">
        <f ca="1">+VLOOKUP($BG94,INDIRECT(Adrese!D$2),8,FALSE)</f>
        <v>8.2693846000000001E-2</v>
      </c>
      <c r="BK94" s="5">
        <f ca="1">+VLOOKUP($BG94,INDIRECT(Adrese!E$2),8,FALSE)</f>
        <v>8.2939369999999998E-2</v>
      </c>
      <c r="BL94" s="5">
        <f ca="1">+VLOOKUP($BG94,INDIRECT(Adrese!F$2),8,FALSE)</f>
        <v>8.2747398999999999E-2</v>
      </c>
      <c r="BM94" s="5" t="str">
        <f t="shared" ca="1" si="38"/>
        <v>0.08 (0.00)</v>
      </c>
      <c r="BN94" s="5">
        <f t="shared" ca="1" si="48"/>
        <v>8.2754344203767177E-2</v>
      </c>
      <c r="BO94" s="5">
        <f t="shared" ca="1" si="39"/>
        <v>1.161110745395384E-4</v>
      </c>
      <c r="BQ94" t="s">
        <v>152</v>
      </c>
      <c r="BR94" s="5">
        <f ca="1">+VLOOKUP($BG94,INDIRECT(Adrese!B$2),9,FALSE)</f>
        <v>8.8429675792222592E-2</v>
      </c>
      <c r="BS94" s="5">
        <f ca="1">+VLOOKUP($BG94,INDIRECT(Adrese!C$2),9,FALSE)</f>
        <v>8.7950072000000004E-2</v>
      </c>
      <c r="BT94" s="5">
        <f ca="1">+VLOOKUP($BG94,INDIRECT(Adrese!D$2),9,FALSE)</f>
        <v>8.8422138999999997E-2</v>
      </c>
      <c r="BU94" s="5">
        <f ca="1">+VLOOKUP($BG94,INDIRECT(Adrese!E$2),9,FALSE)</f>
        <v>8.8073626000000002E-2</v>
      </c>
      <c r="BV94" s="5">
        <f ca="1">+VLOOKUP($BG94,INDIRECT(Adrese!F$2),9,FALSE)</f>
        <v>8.7676873000000002E-2</v>
      </c>
      <c r="BW94" s="5" t="str">
        <f t="shared" ca="1" si="40"/>
        <v>0.09 (0.00)</v>
      </c>
      <c r="BX94" s="5">
        <f t="shared" ca="1" si="49"/>
        <v>8.8110477158444528E-2</v>
      </c>
      <c r="BY94" s="5">
        <f t="shared" ca="1" si="41"/>
        <v>3.2176127029298856E-4</v>
      </c>
    </row>
    <row r="95" spans="1:77" x14ac:dyDescent="0.25">
      <c r="A95" t="s">
        <v>153</v>
      </c>
      <c r="B95" s="12">
        <f ca="1">+VLOOKUP($A95,INDIRECT(Adrese!B$2),2,FALSE)</f>
        <v>93</v>
      </c>
      <c r="C95" s="12">
        <f ca="1">+VLOOKUP($A95,INDIRECT(Adrese!C$2),2,FALSE)</f>
        <v>98</v>
      </c>
      <c r="D95" s="12">
        <f ca="1">+VLOOKUP($A95,INDIRECT(Adrese!D$2),2,FALSE)</f>
        <v>100</v>
      </c>
      <c r="E95" s="12">
        <f ca="1">+VLOOKUP($A95,INDIRECT(Adrese!E$2),2,FALSE)</f>
        <v>88</v>
      </c>
      <c r="F95" s="12">
        <f ca="1">+VLOOKUP($A95,INDIRECT(Adrese!F$2),2,FALSE)</f>
        <v>96</v>
      </c>
      <c r="G95" s="5">
        <f t="shared" ca="1" si="42"/>
        <v>95</v>
      </c>
      <c r="H95" s="5">
        <f t="shared" ca="1" si="29"/>
        <v>4.6904157598234297</v>
      </c>
      <c r="J95" t="s">
        <v>153</v>
      </c>
      <c r="K95">
        <f ca="1">+VLOOKUP($A95,INDIRECT(Adrese!B$2),3,FALSE)</f>
        <v>72</v>
      </c>
      <c r="L95">
        <f ca="1">+VLOOKUP($A95,INDIRECT(Adrese!C$2),3,FALSE)</f>
        <v>73</v>
      </c>
      <c r="M95">
        <f ca="1">+VLOOKUP($A95,INDIRECT(Adrese!D$2),3,FALSE)</f>
        <v>74</v>
      </c>
      <c r="N95">
        <f ca="1">+VLOOKUP($A95,INDIRECT(Adrese!E$2),3,FALSE)</f>
        <v>72</v>
      </c>
      <c r="O95">
        <f ca="1">+VLOOKUP($A95,INDIRECT(Adrese!F$2),3,FALSE)</f>
        <v>73</v>
      </c>
      <c r="P95" s="5">
        <f t="shared" ca="1" si="43"/>
        <v>72.8</v>
      </c>
      <c r="Q95" s="5">
        <f t="shared" ca="1" si="30"/>
        <v>0.83666002653407556</v>
      </c>
      <c r="T95" t="s">
        <v>153</v>
      </c>
      <c r="U95">
        <f ca="1">+VLOOKUP($T95,INDIRECT(Adrese!B$2),4,FALSE)</f>
        <v>117575</v>
      </c>
      <c r="V95">
        <f ca="1">+VLOOKUP($T95,INDIRECT(Adrese!C$2),4,FALSE)</f>
        <v>117062</v>
      </c>
      <c r="W95">
        <f ca="1">+VLOOKUP($T95,INDIRECT(Adrese!D$2),4,FALSE)</f>
        <v>117013</v>
      </c>
      <c r="X95">
        <f ca="1">+VLOOKUP($T95,INDIRECT(Adrese!E$2),4,FALSE)</f>
        <v>117843</v>
      </c>
      <c r="Y95">
        <f ca="1">+VLOOKUP($T95,INDIRECT(Adrese!F$2),4,FALSE)</f>
        <v>117415</v>
      </c>
      <c r="Z95">
        <f t="shared" ca="1" si="31"/>
        <v>586908</v>
      </c>
      <c r="AA95" s="5">
        <f t="shared" ca="1" si="44"/>
        <v>117381.6</v>
      </c>
      <c r="AB95" s="5">
        <f t="shared" ca="1" si="32"/>
        <v>349.7925099255271</v>
      </c>
      <c r="AD95" t="s">
        <v>153</v>
      </c>
      <c r="AE95">
        <f ca="1">+VLOOKUP($A95,INDIRECT(Adrese!B$2),5,FALSE)</f>
        <v>29030</v>
      </c>
      <c r="AF95">
        <f ca="1">+VLOOKUP($A95,INDIRECT(Adrese!C$2),5,FALSE)</f>
        <v>28818</v>
      </c>
      <c r="AG95">
        <f ca="1">+VLOOKUP($A95,INDIRECT(Adrese!D$2),5,FALSE)</f>
        <v>28894</v>
      </c>
      <c r="AH95">
        <f ca="1">+VLOOKUP($A95,INDIRECT(Adrese!E$2),5,FALSE)</f>
        <v>29235</v>
      </c>
      <c r="AI95">
        <f ca="1">+VLOOKUP($A95,INDIRECT(Adrese!F$2),5,FALSE)</f>
        <v>29196</v>
      </c>
      <c r="AJ95" s="5">
        <f t="shared" ca="1" si="45"/>
        <v>29034.6</v>
      </c>
      <c r="AK95" s="5">
        <f t="shared" ca="1" si="33"/>
        <v>182.28768471841425</v>
      </c>
      <c r="AM95" t="s">
        <v>153</v>
      </c>
      <c r="AN95" s="5">
        <f ca="1">+VLOOKUP($A95,INDIRECT(Adrese!B$2),6,FALSE)</f>
        <v>0.63783185840707968</v>
      </c>
      <c r="AO95" s="5">
        <f ca="1">+VLOOKUP($A95,INDIRECT(Adrese!C$2),6,FALSE)</f>
        <v>0.63314159299999995</v>
      </c>
      <c r="AP95" s="5">
        <f ca="1">+VLOOKUP($A95,INDIRECT(Adrese!D$2),6,FALSE)</f>
        <v>0.63482300899999999</v>
      </c>
      <c r="AQ95" s="5">
        <f ca="1">+VLOOKUP($A95,INDIRECT(Adrese!E$2),6,FALSE)</f>
        <v>0.64236725699999997</v>
      </c>
      <c r="AR95" s="5">
        <f ca="1">+VLOOKUP($A95,INDIRECT(Adrese!F$2),6,FALSE)</f>
        <v>0.64150442500000004</v>
      </c>
      <c r="AS95" s="5" t="str">
        <f t="shared" ca="1" si="34"/>
        <v>0.64 (0.00)</v>
      </c>
      <c r="AT95" s="5">
        <f t="shared" ca="1" si="46"/>
        <v>0.63793362848141588</v>
      </c>
      <c r="AU95" s="5">
        <f t="shared" ca="1" si="35"/>
        <v>4.0329134747499424E-3</v>
      </c>
      <c r="AW95" t="s">
        <v>153</v>
      </c>
      <c r="AX95" s="5">
        <f ca="1">+VLOOKUP($A95,INDIRECT(Adrese!B$2),7,FALSE)</f>
        <v>0.68141592920353977</v>
      </c>
      <c r="AY95" s="5">
        <f ca="1">+VLOOKUP($A95,INDIRECT(Adrese!C$2),7,FALSE)</f>
        <v>0.67699114999999999</v>
      </c>
      <c r="AZ95" s="5">
        <f ca="1">+VLOOKUP($A95,INDIRECT(Adrese!D$2),7,FALSE)</f>
        <v>0.67256637200000002</v>
      </c>
      <c r="BA95" s="5">
        <f ca="1">+VLOOKUP($A95,INDIRECT(Adrese!E$2),7,FALSE)</f>
        <v>0.68141592900000003</v>
      </c>
      <c r="BB95" s="5">
        <f ca="1">+VLOOKUP($A95,INDIRECT(Adrese!F$2),7,FALSE)</f>
        <v>0.67699114999999999</v>
      </c>
      <c r="BC95" s="5" t="str">
        <f t="shared" ca="1" si="36"/>
        <v>0.68 (0.00)</v>
      </c>
      <c r="BD95">
        <f t="shared" ca="1" si="47"/>
        <v>0.67787610604070792</v>
      </c>
      <c r="BE95" s="5">
        <f t="shared" ca="1" si="37"/>
        <v>3.7020354056341628E-3</v>
      </c>
      <c r="BG95" t="s">
        <v>153</v>
      </c>
      <c r="BH95" s="5">
        <f ca="1">+VLOOKUP($BG95,INDIRECT(Adrese!B$2),8,FALSE)</f>
        <v>6.871563806110198E-2</v>
      </c>
      <c r="BI95" s="5">
        <f ca="1">+VLOOKUP($BG95,INDIRECT(Adrese!C$2),8,FALSE)</f>
        <v>6.8228718999999993E-2</v>
      </c>
      <c r="BJ95" s="5">
        <f ca="1">+VLOOKUP($BG95,INDIRECT(Adrese!D$2),8,FALSE)</f>
        <v>6.8434420999999995E-2</v>
      </c>
      <c r="BK95" s="5">
        <f ca="1">+VLOOKUP($BG95,INDIRECT(Adrese!E$2),8,FALSE)</f>
        <v>6.8995260000000003E-2</v>
      </c>
      <c r="BL95" s="5">
        <f ca="1">+VLOOKUP($BG95,INDIRECT(Adrese!F$2),8,FALSE)</f>
        <v>6.9050205000000003E-2</v>
      </c>
      <c r="BM95" s="5" t="str">
        <f t="shared" ca="1" si="38"/>
        <v>0.07 (0.00)</v>
      </c>
      <c r="BN95" s="5">
        <f t="shared" ca="1" si="48"/>
        <v>6.8684848612220392E-2</v>
      </c>
      <c r="BO95" s="5">
        <f t="shared" ca="1" si="39"/>
        <v>3.5410334721088215E-4</v>
      </c>
      <c r="BQ95" t="s">
        <v>153</v>
      </c>
      <c r="BR95" s="5">
        <f ca="1">+VLOOKUP($BG95,INDIRECT(Adrese!B$2),9,FALSE)</f>
        <v>7.944240400457897E-2</v>
      </c>
      <c r="BS95" s="5">
        <f ca="1">+VLOOKUP($BG95,INDIRECT(Adrese!C$2),9,FALSE)</f>
        <v>7.8458264E-2</v>
      </c>
      <c r="BT95" s="5">
        <f ca="1">+VLOOKUP($BG95,INDIRECT(Adrese!D$2),9,FALSE)</f>
        <v>7.8573110000000002E-2</v>
      </c>
      <c r="BU95" s="5">
        <f ca="1">+VLOOKUP($BG95,INDIRECT(Adrese!E$2),9,FALSE)</f>
        <v>7.9594213999999996E-2</v>
      </c>
      <c r="BV95" s="5">
        <f ca="1">+VLOOKUP($BG95,INDIRECT(Adrese!F$2),9,FALSE)</f>
        <v>7.9504020999999994E-2</v>
      </c>
      <c r="BW95" s="5" t="str">
        <f t="shared" ca="1" si="40"/>
        <v>0.08 (0.00)</v>
      </c>
      <c r="BX95" s="5">
        <f t="shared" ca="1" si="49"/>
        <v>7.911440260091579E-2</v>
      </c>
      <c r="BY95" s="5">
        <f t="shared" ca="1" si="41"/>
        <v>5.5070907469802243E-4</v>
      </c>
    </row>
    <row r="96" spans="1:77" x14ac:dyDescent="0.25">
      <c r="A96" t="s">
        <v>154</v>
      </c>
      <c r="B96" s="12">
        <f ca="1">+VLOOKUP($A96,INDIRECT(Adrese!B$2),2,FALSE)</f>
        <v>94</v>
      </c>
      <c r="C96" s="12">
        <f ca="1">+VLOOKUP($A96,INDIRECT(Adrese!C$2),2,FALSE)</f>
        <v>83</v>
      </c>
      <c r="D96" s="12">
        <f ca="1">+VLOOKUP($A96,INDIRECT(Adrese!D$2),2,FALSE)</f>
        <v>87</v>
      </c>
      <c r="E96" s="12">
        <f ca="1">+VLOOKUP($A96,INDIRECT(Adrese!E$2),2,FALSE)</f>
        <v>93</v>
      </c>
      <c r="F96" s="12">
        <f ca="1">+VLOOKUP($A96,INDIRECT(Adrese!F$2),2,FALSE)</f>
        <v>101</v>
      </c>
      <c r="G96" s="5">
        <f t="shared" ca="1" si="42"/>
        <v>91.6</v>
      </c>
      <c r="H96" s="5">
        <f t="shared" ca="1" si="29"/>
        <v>6.9137544069774419</v>
      </c>
      <c r="J96" t="s">
        <v>154</v>
      </c>
      <c r="K96">
        <f ca="1">+VLOOKUP($A96,INDIRECT(Adrese!B$2),3,FALSE)</f>
        <v>74</v>
      </c>
      <c r="L96">
        <f ca="1">+VLOOKUP($A96,INDIRECT(Adrese!C$2),3,FALSE)</f>
        <v>74</v>
      </c>
      <c r="M96">
        <f ca="1">+VLOOKUP($A96,INDIRECT(Adrese!D$2),3,FALSE)</f>
        <v>73</v>
      </c>
      <c r="N96">
        <f ca="1">+VLOOKUP($A96,INDIRECT(Adrese!E$2),3,FALSE)</f>
        <v>71</v>
      </c>
      <c r="O96">
        <f ca="1">+VLOOKUP($A96,INDIRECT(Adrese!F$2),3,FALSE)</f>
        <v>74</v>
      </c>
      <c r="P96" s="5">
        <f t="shared" ca="1" si="43"/>
        <v>73.2</v>
      </c>
      <c r="Q96" s="5">
        <f t="shared" ca="1" si="30"/>
        <v>1.3038404810405297</v>
      </c>
      <c r="T96" t="s">
        <v>154</v>
      </c>
      <c r="U96">
        <f ca="1">+VLOOKUP($T96,INDIRECT(Adrese!B$2),4,FALSE)</f>
        <v>117565</v>
      </c>
      <c r="V96">
        <f ca="1">+VLOOKUP($T96,INDIRECT(Adrese!C$2),4,FALSE)</f>
        <v>117875</v>
      </c>
      <c r="W96">
        <f ca="1">+VLOOKUP($T96,INDIRECT(Adrese!D$2),4,FALSE)</f>
        <v>117739</v>
      </c>
      <c r="X96">
        <f ca="1">+VLOOKUP($T96,INDIRECT(Adrese!E$2),4,FALSE)</f>
        <v>117602</v>
      </c>
      <c r="Y96">
        <f ca="1">+VLOOKUP($T96,INDIRECT(Adrese!F$2),4,FALSE)</f>
        <v>116985</v>
      </c>
      <c r="Z96">
        <f t="shared" ca="1" si="31"/>
        <v>587766</v>
      </c>
      <c r="AA96" s="5">
        <f t="shared" ca="1" si="44"/>
        <v>117553.2</v>
      </c>
      <c r="AB96" s="5">
        <f t="shared" ca="1" si="32"/>
        <v>340.38536983836423</v>
      </c>
      <c r="AD96" t="s">
        <v>154</v>
      </c>
      <c r="AE96">
        <f ca="1">+VLOOKUP($A96,INDIRECT(Adrese!B$2),5,FALSE)</f>
        <v>28486</v>
      </c>
      <c r="AF96">
        <f ca="1">+VLOOKUP($A96,INDIRECT(Adrese!C$2),5,FALSE)</f>
        <v>28735</v>
      </c>
      <c r="AG96">
        <f ca="1">+VLOOKUP($A96,INDIRECT(Adrese!D$2),5,FALSE)</f>
        <v>28538</v>
      </c>
      <c r="AH96">
        <f ca="1">+VLOOKUP($A96,INDIRECT(Adrese!E$2),5,FALSE)</f>
        <v>28419</v>
      </c>
      <c r="AI96">
        <f ca="1">+VLOOKUP($A96,INDIRECT(Adrese!F$2),5,FALSE)</f>
        <v>28126</v>
      </c>
      <c r="AJ96" s="5">
        <f t="shared" ca="1" si="45"/>
        <v>28460.799999999999</v>
      </c>
      <c r="AK96" s="5">
        <f t="shared" ca="1" si="33"/>
        <v>221.1440706869619</v>
      </c>
      <c r="AM96" t="s">
        <v>154</v>
      </c>
      <c r="AN96" s="5">
        <f ca="1">+VLOOKUP($A96,INDIRECT(Adrese!B$2),6,FALSE)</f>
        <v>0.6257964601769912</v>
      </c>
      <c r="AO96" s="5">
        <f ca="1">+VLOOKUP($A96,INDIRECT(Adrese!C$2),6,FALSE)</f>
        <v>0.63130531000000001</v>
      </c>
      <c r="AP96" s="5">
        <f ca="1">+VLOOKUP($A96,INDIRECT(Adrese!D$2),6,FALSE)</f>
        <v>0.626946903</v>
      </c>
      <c r="AQ96" s="5">
        <f ca="1">+VLOOKUP($A96,INDIRECT(Adrese!E$2),6,FALSE)</f>
        <v>0.62431415899999998</v>
      </c>
      <c r="AR96" s="5">
        <f ca="1">+VLOOKUP($A96,INDIRECT(Adrese!F$2),6,FALSE)</f>
        <v>0.61783185799999996</v>
      </c>
      <c r="AS96" s="5" t="str">
        <f t="shared" ca="1" si="34"/>
        <v>0.63 (0.00)</v>
      </c>
      <c r="AT96" s="5">
        <f t="shared" ca="1" si="46"/>
        <v>0.62523893803539821</v>
      </c>
      <c r="AU96" s="5">
        <f t="shared" ca="1" si="35"/>
        <v>4.8925682158424671E-3</v>
      </c>
      <c r="AW96" t="s">
        <v>154</v>
      </c>
      <c r="AX96" s="5">
        <f ca="1">+VLOOKUP($A96,INDIRECT(Adrese!B$2),7,FALSE)</f>
        <v>0.67256637168141598</v>
      </c>
      <c r="AY96" s="5">
        <f ca="1">+VLOOKUP($A96,INDIRECT(Adrese!C$2),7,FALSE)</f>
        <v>0.67256637200000002</v>
      </c>
      <c r="AZ96" s="5">
        <f ca="1">+VLOOKUP($A96,INDIRECT(Adrese!D$2),7,FALSE)</f>
        <v>0.67699114999999999</v>
      </c>
      <c r="BA96" s="5">
        <f ca="1">+VLOOKUP($A96,INDIRECT(Adrese!E$2),7,FALSE)</f>
        <v>0.68584070799999997</v>
      </c>
      <c r="BB96" s="5">
        <f ca="1">+VLOOKUP($A96,INDIRECT(Adrese!F$2),7,FALSE)</f>
        <v>0.67256637200000002</v>
      </c>
      <c r="BC96" s="5" t="str">
        <f t="shared" ca="1" si="36"/>
        <v>0.68 (0.01)</v>
      </c>
      <c r="BD96">
        <f t="shared" ca="1" si="47"/>
        <v>0.67610619473628319</v>
      </c>
      <c r="BE96" s="5">
        <f t="shared" ca="1" si="37"/>
        <v>5.7692055685475844E-3</v>
      </c>
      <c r="BG96" t="s">
        <v>154</v>
      </c>
      <c r="BH96" s="5">
        <f ca="1">+VLOOKUP($BG96,INDIRECT(Adrese!B$2),8,FALSE)</f>
        <v>6.7553675111005421E-2</v>
      </c>
      <c r="BI96" s="5">
        <f ca="1">+VLOOKUP($BG96,INDIRECT(Adrese!C$2),8,FALSE)</f>
        <v>6.8147498000000001E-2</v>
      </c>
      <c r="BJ96" s="5">
        <f ca="1">+VLOOKUP($BG96,INDIRECT(Adrese!D$2),8,FALSE)</f>
        <v>6.7851022999999996E-2</v>
      </c>
      <c r="BK96" s="5">
        <f ca="1">+VLOOKUP($BG96,INDIRECT(Adrese!E$2),8,FALSE)</f>
        <v>6.7538912000000006E-2</v>
      </c>
      <c r="BL96" s="5">
        <f ca="1">+VLOOKUP($BG96,INDIRECT(Adrese!F$2),8,FALSE)</f>
        <v>6.6994655E-2</v>
      </c>
      <c r="BM96" s="5" t="str">
        <f t="shared" ca="1" si="38"/>
        <v>0.07 (0.00)</v>
      </c>
      <c r="BN96" s="5">
        <f t="shared" ca="1" si="48"/>
        <v>6.7617152622201096E-2</v>
      </c>
      <c r="BO96" s="5">
        <f t="shared" ca="1" si="39"/>
        <v>4.282568891449653E-4</v>
      </c>
      <c r="BQ96" t="s">
        <v>154</v>
      </c>
      <c r="BR96" s="5">
        <f ca="1">+VLOOKUP($BG96,INDIRECT(Adrese!B$2),9,FALSE)</f>
        <v>7.7426469315343152E-2</v>
      </c>
      <c r="BS96" s="5">
        <f ca="1">+VLOOKUP($BG96,INDIRECT(Adrese!C$2),9,FALSE)</f>
        <v>7.8670379999999998E-2</v>
      </c>
      <c r="BT96" s="5">
        <f ca="1">+VLOOKUP($BG96,INDIRECT(Adrese!D$2),9,FALSE)</f>
        <v>7.8797238000000006E-2</v>
      </c>
      <c r="BU96" s="5">
        <f ca="1">+VLOOKUP($BG96,INDIRECT(Adrese!E$2),9,FALSE)</f>
        <v>7.8144588000000001E-2</v>
      </c>
      <c r="BV96" s="5">
        <f ca="1">+VLOOKUP($BG96,INDIRECT(Adrese!F$2),9,FALSE)</f>
        <v>7.6829501999999994E-2</v>
      </c>
      <c r="BW96" s="5" t="str">
        <f t="shared" ca="1" si="40"/>
        <v>0.08 (0.00)</v>
      </c>
      <c r="BX96" s="5">
        <f t="shared" ca="1" si="49"/>
        <v>7.7973635463068638E-2</v>
      </c>
      <c r="BY96" s="5">
        <f t="shared" ca="1" si="41"/>
        <v>8.3687380067082784E-4</v>
      </c>
    </row>
    <row r="97" spans="1:77" x14ac:dyDescent="0.25">
      <c r="A97" t="s">
        <v>155</v>
      </c>
      <c r="B97" s="12">
        <f ca="1">+VLOOKUP($A97,INDIRECT(Adrese!B$2),2,FALSE)</f>
        <v>95</v>
      </c>
      <c r="C97" s="12">
        <f ca="1">+VLOOKUP($A97,INDIRECT(Adrese!C$2),2,FALSE)</f>
        <v>99</v>
      </c>
      <c r="D97" s="12">
        <f ca="1">+VLOOKUP($A97,INDIRECT(Adrese!D$2),2,FALSE)</f>
        <v>90</v>
      </c>
      <c r="E97" s="12">
        <f ca="1">+VLOOKUP($A97,INDIRECT(Adrese!E$2),2,FALSE)</f>
        <v>99</v>
      </c>
      <c r="F97" s="12">
        <f ca="1">+VLOOKUP($A97,INDIRECT(Adrese!F$2),2,FALSE)</f>
        <v>90</v>
      </c>
      <c r="G97" s="5">
        <f t="shared" ca="1" si="42"/>
        <v>94.6</v>
      </c>
      <c r="H97" s="5">
        <f t="shared" ca="1" si="29"/>
        <v>4.5055521304275237</v>
      </c>
      <c r="J97" t="s">
        <v>155</v>
      </c>
      <c r="K97">
        <f ca="1">+VLOOKUP($A97,INDIRECT(Adrese!B$2),3,FALSE)</f>
        <v>15</v>
      </c>
      <c r="L97">
        <f ca="1">+VLOOKUP($A97,INDIRECT(Adrese!C$2),3,FALSE)</f>
        <v>16</v>
      </c>
      <c r="M97">
        <f ca="1">+VLOOKUP($A97,INDIRECT(Adrese!D$2),3,FALSE)</f>
        <v>18</v>
      </c>
      <c r="N97">
        <f ca="1">+VLOOKUP($A97,INDIRECT(Adrese!E$2),3,FALSE)</f>
        <v>13</v>
      </c>
      <c r="O97">
        <f ca="1">+VLOOKUP($A97,INDIRECT(Adrese!F$2),3,FALSE)</f>
        <v>14</v>
      </c>
      <c r="P97" s="5">
        <f t="shared" ca="1" si="43"/>
        <v>15.2</v>
      </c>
      <c r="Q97" s="5">
        <f t="shared" ca="1" si="30"/>
        <v>1.9235384061671315</v>
      </c>
      <c r="T97" t="s">
        <v>155</v>
      </c>
      <c r="U97">
        <f ca="1">+VLOOKUP($T97,INDIRECT(Adrese!B$2),4,FALSE)</f>
        <v>117431</v>
      </c>
      <c r="V97">
        <f ca="1">+VLOOKUP($T97,INDIRECT(Adrese!C$2),4,FALSE)</f>
        <v>117039</v>
      </c>
      <c r="W97">
        <f ca="1">+VLOOKUP($T97,INDIRECT(Adrese!D$2),4,FALSE)</f>
        <v>117646</v>
      </c>
      <c r="X97">
        <f ca="1">+VLOOKUP($T97,INDIRECT(Adrese!E$2),4,FALSE)</f>
        <v>117168</v>
      </c>
      <c r="Y97">
        <f ca="1">+VLOOKUP($T97,INDIRECT(Adrese!F$2),4,FALSE)</f>
        <v>117724</v>
      </c>
      <c r="Z97">
        <f t="shared" ca="1" si="31"/>
        <v>587008</v>
      </c>
      <c r="AA97" s="5">
        <f t="shared" ca="1" si="44"/>
        <v>117401.60000000001</v>
      </c>
      <c r="AB97" s="5">
        <f t="shared" ca="1" si="32"/>
        <v>296.05117800812752</v>
      </c>
      <c r="AD97" t="s">
        <v>155</v>
      </c>
      <c r="AE97">
        <f ca="1">+VLOOKUP($A97,INDIRECT(Adrese!B$2),5,FALSE)</f>
        <v>38221</v>
      </c>
      <c r="AF97">
        <f ca="1">+VLOOKUP($A97,INDIRECT(Adrese!C$2),5,FALSE)</f>
        <v>37617</v>
      </c>
      <c r="AG97">
        <f ca="1">+VLOOKUP($A97,INDIRECT(Adrese!D$2),5,FALSE)</f>
        <v>37908</v>
      </c>
      <c r="AH97">
        <f ca="1">+VLOOKUP($A97,INDIRECT(Adrese!E$2),5,FALSE)</f>
        <v>37990</v>
      </c>
      <c r="AI97">
        <f ca="1">+VLOOKUP($A97,INDIRECT(Adrese!F$2),5,FALSE)</f>
        <v>38249</v>
      </c>
      <c r="AJ97" s="5">
        <f t="shared" ca="1" si="45"/>
        <v>37997</v>
      </c>
      <c r="AK97" s="5">
        <f t="shared" ca="1" si="33"/>
        <v>257.90017448617596</v>
      </c>
      <c r="AM97" t="s">
        <v>155</v>
      </c>
      <c r="AN97" s="5">
        <f ca="1">+VLOOKUP($A97,INDIRECT(Adrese!B$2),6,FALSE)</f>
        <v>0.84117256637168136</v>
      </c>
      <c r="AO97" s="5">
        <f ca="1">+VLOOKUP($A97,INDIRECT(Adrese!C$2),6,FALSE)</f>
        <v>0.82780973499999999</v>
      </c>
      <c r="AP97" s="5">
        <f ca="1">+VLOOKUP($A97,INDIRECT(Adrese!D$2),6,FALSE)</f>
        <v>0.83424778799999999</v>
      </c>
      <c r="AQ97" s="5">
        <f ca="1">+VLOOKUP($A97,INDIRECT(Adrese!E$2),6,FALSE)</f>
        <v>0.83606194700000003</v>
      </c>
      <c r="AR97" s="5">
        <f ca="1">+VLOOKUP($A97,INDIRECT(Adrese!F$2),6,FALSE)</f>
        <v>0.84179203499999999</v>
      </c>
      <c r="AS97" s="5" t="str">
        <f t="shared" ca="1" si="34"/>
        <v>0.84 (0.01)</v>
      </c>
      <c r="AT97" s="5">
        <f t="shared" ca="1" si="46"/>
        <v>0.83621681427433625</v>
      </c>
      <c r="AU97" s="5">
        <f t="shared" ca="1" si="35"/>
        <v>5.7057557618792314E-3</v>
      </c>
      <c r="AW97" t="s">
        <v>155</v>
      </c>
      <c r="AX97" s="5">
        <f ca="1">+VLOOKUP($A97,INDIRECT(Adrese!B$2),7,FALSE)</f>
        <v>0.9336283185840708</v>
      </c>
      <c r="AY97" s="5">
        <f ca="1">+VLOOKUP($A97,INDIRECT(Adrese!C$2),7,FALSE)</f>
        <v>0.92920354000000005</v>
      </c>
      <c r="AZ97" s="5">
        <f ca="1">+VLOOKUP($A97,INDIRECT(Adrese!D$2),7,FALSE)</f>
        <v>0.92035398199999996</v>
      </c>
      <c r="BA97" s="5">
        <f ca="1">+VLOOKUP($A97,INDIRECT(Adrese!E$2),7,FALSE)</f>
        <v>0.94247787599999999</v>
      </c>
      <c r="BB97" s="5">
        <f ca="1">+VLOOKUP($A97,INDIRECT(Adrese!F$2),7,FALSE)</f>
        <v>0.93805309699999995</v>
      </c>
      <c r="BC97" s="5" t="str">
        <f t="shared" ca="1" si="36"/>
        <v>0.93 (0.01)</v>
      </c>
      <c r="BD97">
        <f t="shared" ca="1" si="47"/>
        <v>0.93274336271681402</v>
      </c>
      <c r="BE97" s="5">
        <f t="shared" ca="1" si="37"/>
        <v>8.5112318925962861E-3</v>
      </c>
      <c r="BG97" t="s">
        <v>155</v>
      </c>
      <c r="BH97" s="5">
        <f ca="1">+VLOOKUP($BG97,INDIRECT(Adrese!B$2),8,FALSE)</f>
        <v>8.3555358361309395E-2</v>
      </c>
      <c r="BI97" s="5">
        <f ca="1">+VLOOKUP($BG97,INDIRECT(Adrese!C$2),8,FALSE)</f>
        <v>8.2485669999999997E-2</v>
      </c>
      <c r="BJ97" s="5">
        <f ca="1">+VLOOKUP($BG97,INDIRECT(Adrese!D$2),8,FALSE)</f>
        <v>8.2992583999999994E-2</v>
      </c>
      <c r="BK97" s="5">
        <f ca="1">+VLOOKUP($BG97,INDIRECT(Adrese!E$2),8,FALSE)</f>
        <v>8.3168127999999994E-2</v>
      </c>
      <c r="BL97" s="5">
        <f ca="1">+VLOOKUP($BG97,INDIRECT(Adrese!F$2),8,FALSE)</f>
        <v>8.3681333999999996E-2</v>
      </c>
      <c r="BM97" s="5" t="str">
        <f t="shared" ca="1" si="38"/>
        <v>0.08 (0.00)</v>
      </c>
      <c r="BN97" s="5">
        <f t="shared" ca="1" si="48"/>
        <v>8.3176614872261884E-2</v>
      </c>
      <c r="BO97" s="5">
        <f t="shared" ca="1" si="39"/>
        <v>4.7684699691092209E-4</v>
      </c>
      <c r="BQ97" t="s">
        <v>155</v>
      </c>
      <c r="BR97" s="5">
        <f ca="1">+VLOOKUP($BG97,INDIRECT(Adrese!B$2),9,FALSE)</f>
        <v>9.0500569605988221E-2</v>
      </c>
      <c r="BS97" s="5">
        <f ca="1">+VLOOKUP($BG97,INDIRECT(Adrese!C$2),9,FALSE)</f>
        <v>8.9645696999999996E-2</v>
      </c>
      <c r="BT97" s="5">
        <f ca="1">+VLOOKUP($BG97,INDIRECT(Adrese!D$2),9,FALSE)</f>
        <v>8.9807848999999995E-2</v>
      </c>
      <c r="BU97" s="5">
        <f ca="1">+VLOOKUP($BG97,INDIRECT(Adrese!E$2),9,FALSE)</f>
        <v>9.0302587000000004E-2</v>
      </c>
      <c r="BV97" s="5">
        <f ca="1">+VLOOKUP($BG97,INDIRECT(Adrese!F$2),9,FALSE)</f>
        <v>9.0759362999999996E-2</v>
      </c>
      <c r="BW97" s="5" t="str">
        <f t="shared" ca="1" si="40"/>
        <v>0.09 (0.00)</v>
      </c>
      <c r="BX97" s="5">
        <f t="shared" ca="1" si="49"/>
        <v>9.020321312119764E-2</v>
      </c>
      <c r="BY97" s="5">
        <f t="shared" ca="1" si="41"/>
        <v>4.676365437636275E-4</v>
      </c>
    </row>
    <row r="98" spans="1:77" x14ac:dyDescent="0.25">
      <c r="A98" t="s">
        <v>156</v>
      </c>
      <c r="B98" s="12">
        <f ca="1">+VLOOKUP($A98,INDIRECT(Adrese!B$2),2,FALSE)</f>
        <v>96</v>
      </c>
      <c r="C98" s="12">
        <f ca="1">+VLOOKUP($A98,INDIRECT(Adrese!C$2),2,FALSE)</f>
        <v>78</v>
      </c>
      <c r="D98" s="12">
        <f ca="1">+VLOOKUP($A98,INDIRECT(Adrese!D$2),2,FALSE)</f>
        <v>80</v>
      </c>
      <c r="E98" s="12">
        <f ca="1">+VLOOKUP($A98,INDIRECT(Adrese!E$2),2,FALSE)</f>
        <v>94</v>
      </c>
      <c r="F98" s="12">
        <f ca="1">+VLOOKUP($A98,INDIRECT(Adrese!F$2),2,FALSE)</f>
        <v>89</v>
      </c>
      <c r="G98" s="5">
        <f t="shared" ca="1" si="42"/>
        <v>87.4</v>
      </c>
      <c r="H98" s="5">
        <f t="shared" ca="1" si="29"/>
        <v>8.1117199162692994</v>
      </c>
      <c r="J98" t="s">
        <v>156</v>
      </c>
      <c r="K98">
        <f ca="1">+VLOOKUP($A98,INDIRECT(Adrese!B$2),3,FALSE)</f>
        <v>66</v>
      </c>
      <c r="L98">
        <f ca="1">+VLOOKUP($A98,INDIRECT(Adrese!C$2),3,FALSE)</f>
        <v>67</v>
      </c>
      <c r="M98">
        <f ca="1">+VLOOKUP($A98,INDIRECT(Adrese!D$2),3,FALSE)</f>
        <v>67</v>
      </c>
      <c r="N98">
        <f ca="1">+VLOOKUP($A98,INDIRECT(Adrese!E$2),3,FALSE)</f>
        <v>67</v>
      </c>
      <c r="O98">
        <f ca="1">+VLOOKUP($A98,INDIRECT(Adrese!F$2),3,FALSE)</f>
        <v>65</v>
      </c>
      <c r="P98" s="5">
        <f t="shared" ca="1" si="43"/>
        <v>66.400000000000006</v>
      </c>
      <c r="Q98" s="5">
        <f t="shared" ca="1" si="30"/>
        <v>0.89442719099991586</v>
      </c>
      <c r="T98" t="s">
        <v>156</v>
      </c>
      <c r="U98">
        <f ca="1">+VLOOKUP($T98,INDIRECT(Adrese!B$2),4,FALSE)</f>
        <v>117389</v>
      </c>
      <c r="V98">
        <f ca="1">+VLOOKUP($T98,INDIRECT(Adrese!C$2),4,FALSE)</f>
        <v>118150</v>
      </c>
      <c r="W98">
        <f ca="1">+VLOOKUP($T98,INDIRECT(Adrese!D$2),4,FALSE)</f>
        <v>118414</v>
      </c>
      <c r="X98">
        <f ca="1">+VLOOKUP($T98,INDIRECT(Adrese!E$2),4,FALSE)</f>
        <v>117526</v>
      </c>
      <c r="Y98">
        <f ca="1">+VLOOKUP($T98,INDIRECT(Adrese!F$2),4,FALSE)</f>
        <v>117846</v>
      </c>
      <c r="Z98">
        <f t="shared" ca="1" si="31"/>
        <v>589325</v>
      </c>
      <c r="AA98" s="5">
        <f t="shared" ca="1" si="44"/>
        <v>117865</v>
      </c>
      <c r="AB98" s="5">
        <f t="shared" ca="1" si="32"/>
        <v>425.58312936487511</v>
      </c>
      <c r="AD98" t="s">
        <v>156</v>
      </c>
      <c r="AE98">
        <f ca="1">+VLOOKUP($A98,INDIRECT(Adrese!B$2),5,FALSE)</f>
        <v>28703</v>
      </c>
      <c r="AF98">
        <f ca="1">+VLOOKUP($A98,INDIRECT(Adrese!C$2),5,FALSE)</f>
        <v>29046</v>
      </c>
      <c r="AG98">
        <f ca="1">+VLOOKUP($A98,INDIRECT(Adrese!D$2),5,FALSE)</f>
        <v>29188</v>
      </c>
      <c r="AH98">
        <f ca="1">+VLOOKUP($A98,INDIRECT(Adrese!E$2),5,FALSE)</f>
        <v>28630</v>
      </c>
      <c r="AI98">
        <f ca="1">+VLOOKUP($A98,INDIRECT(Adrese!F$2),5,FALSE)</f>
        <v>28952</v>
      </c>
      <c r="AJ98" s="5">
        <f t="shared" ca="1" si="45"/>
        <v>28903.8</v>
      </c>
      <c r="AK98" s="5">
        <f t="shared" ca="1" si="33"/>
        <v>233.7738223155022</v>
      </c>
      <c r="AM98" t="s">
        <v>156</v>
      </c>
      <c r="AN98" s="5">
        <f ca="1">+VLOOKUP($A98,INDIRECT(Adrese!B$2),6,FALSE)</f>
        <v>0.63059734513274335</v>
      </c>
      <c r="AO98" s="5">
        <f ca="1">+VLOOKUP($A98,INDIRECT(Adrese!C$2),6,FALSE)</f>
        <v>0.63818584099999998</v>
      </c>
      <c r="AP98" s="5">
        <f ca="1">+VLOOKUP($A98,INDIRECT(Adrese!D$2),6,FALSE)</f>
        <v>0.64132743400000003</v>
      </c>
      <c r="AQ98" s="5">
        <f ca="1">+VLOOKUP($A98,INDIRECT(Adrese!E$2),6,FALSE)</f>
        <v>0.62898230099999997</v>
      </c>
      <c r="AR98" s="5">
        <f ca="1">+VLOOKUP($A98,INDIRECT(Adrese!F$2),6,FALSE)</f>
        <v>0.63610619499999999</v>
      </c>
      <c r="AS98" s="5" t="str">
        <f t="shared" ca="1" si="34"/>
        <v>0.64 (0.01)</v>
      </c>
      <c r="AT98" s="5">
        <f t="shared" ca="1" si="46"/>
        <v>0.63503982322654873</v>
      </c>
      <c r="AU98" s="5">
        <f t="shared" ca="1" si="35"/>
        <v>5.1719873590230902E-3</v>
      </c>
      <c r="AW98" t="s">
        <v>156</v>
      </c>
      <c r="AX98" s="5">
        <f ca="1">+VLOOKUP($A98,INDIRECT(Adrese!B$2),7,FALSE)</f>
        <v>0.70796460176991149</v>
      </c>
      <c r="AY98" s="5">
        <f ca="1">+VLOOKUP($A98,INDIRECT(Adrese!C$2),7,FALSE)</f>
        <v>0.70353982299999995</v>
      </c>
      <c r="AZ98" s="5">
        <f ca="1">+VLOOKUP($A98,INDIRECT(Adrese!D$2),7,FALSE)</f>
        <v>0.70353982299999995</v>
      </c>
      <c r="BA98" s="5">
        <f ca="1">+VLOOKUP($A98,INDIRECT(Adrese!E$2),7,FALSE)</f>
        <v>0.70353982299999995</v>
      </c>
      <c r="BB98" s="5">
        <f ca="1">+VLOOKUP($A98,INDIRECT(Adrese!F$2),7,FALSE)</f>
        <v>0.71238938100000004</v>
      </c>
      <c r="BC98" s="5" t="str">
        <f t="shared" ca="1" si="36"/>
        <v>0.71 (0.00)</v>
      </c>
      <c r="BD98">
        <f t="shared" ca="1" si="47"/>
        <v>0.70619469035398219</v>
      </c>
      <c r="BE98" s="5">
        <f t="shared" ca="1" si="37"/>
        <v>3.9576426260407816E-3</v>
      </c>
      <c r="BG98" t="s">
        <v>156</v>
      </c>
      <c r="BH98" s="5">
        <f ca="1">+VLOOKUP($BG98,INDIRECT(Adrese!B$2),8,FALSE)</f>
        <v>6.7466664616333036E-2</v>
      </c>
      <c r="BI98" s="5">
        <f ca="1">+VLOOKUP($BG98,INDIRECT(Adrese!C$2),8,FALSE)</f>
        <v>6.8127628999999995E-2</v>
      </c>
      <c r="BJ98" s="5">
        <f ca="1">+VLOOKUP($BG98,INDIRECT(Adrese!D$2),8,FALSE)</f>
        <v>6.8479422999999998E-2</v>
      </c>
      <c r="BK98" s="5">
        <f ca="1">+VLOOKUP($BG98,INDIRECT(Adrese!E$2),8,FALSE)</f>
        <v>6.7398137999999996E-2</v>
      </c>
      <c r="BL98" s="5">
        <f ca="1">+VLOOKUP($BG98,INDIRECT(Adrese!F$2),8,FALSE)</f>
        <v>6.8165127000000006E-2</v>
      </c>
      <c r="BM98" s="5" t="str">
        <f t="shared" ca="1" si="38"/>
        <v>0.07 (0.00)</v>
      </c>
      <c r="BN98" s="5">
        <f t="shared" ca="1" si="48"/>
        <v>6.7927396323266595E-2</v>
      </c>
      <c r="BO98" s="5">
        <f t="shared" ca="1" si="39"/>
        <v>4.7268661125479189E-4</v>
      </c>
      <c r="BQ98" t="s">
        <v>156</v>
      </c>
      <c r="BR98" s="5">
        <f ca="1">+VLOOKUP($BG98,INDIRECT(Adrese!B$2),9,FALSE)</f>
        <v>7.6069034456603082E-2</v>
      </c>
      <c r="BS98" s="5">
        <f ca="1">+VLOOKUP($BG98,INDIRECT(Adrese!C$2),9,FALSE)</f>
        <v>7.7181372999999998E-2</v>
      </c>
      <c r="BT98" s="5">
        <f ca="1">+VLOOKUP($BG98,INDIRECT(Adrese!D$2),9,FALSE)</f>
        <v>7.7354487999999999E-2</v>
      </c>
      <c r="BU98" s="5">
        <f ca="1">+VLOOKUP($BG98,INDIRECT(Adrese!E$2),9,FALSE)</f>
        <v>7.6209368E-2</v>
      </c>
      <c r="BV98" s="5">
        <f ca="1">+VLOOKUP($BG98,INDIRECT(Adrese!F$2),9,FALSE)</f>
        <v>7.7653260000000002E-2</v>
      </c>
      <c r="BW98" s="5" t="str">
        <f t="shared" ca="1" si="40"/>
        <v>0.08 (0.00)</v>
      </c>
      <c r="BX98" s="5">
        <f t="shared" ca="1" si="49"/>
        <v>7.6893504691320613E-2</v>
      </c>
      <c r="BY98" s="5">
        <f t="shared" ca="1" si="41"/>
        <v>7.1070318759587203E-4</v>
      </c>
    </row>
    <row r="99" spans="1:77" x14ac:dyDescent="0.25">
      <c r="A99" t="s">
        <v>157</v>
      </c>
      <c r="B99" s="12">
        <f ca="1">+VLOOKUP($A99,INDIRECT(Adrese!B$2),2,FALSE)</f>
        <v>97</v>
      </c>
      <c r="C99" s="12">
        <f ca="1">+VLOOKUP($A99,INDIRECT(Adrese!C$2),2,FALSE)</f>
        <v>103</v>
      </c>
      <c r="D99" s="12">
        <f ca="1">+VLOOKUP($A99,INDIRECT(Adrese!D$2),2,FALSE)</f>
        <v>62</v>
      </c>
      <c r="E99" s="12">
        <f ca="1">+VLOOKUP($A99,INDIRECT(Adrese!E$2),2,FALSE)</f>
        <v>89</v>
      </c>
      <c r="F99" s="12">
        <f ca="1">+VLOOKUP($A99,INDIRECT(Adrese!F$2),2,FALSE)</f>
        <v>104</v>
      </c>
      <c r="G99" s="5">
        <f t="shared" ca="1" si="42"/>
        <v>91</v>
      </c>
      <c r="H99" s="5">
        <f t="shared" ca="1" si="29"/>
        <v>17.277152543170995</v>
      </c>
      <c r="J99" t="s">
        <v>157</v>
      </c>
      <c r="K99">
        <f ca="1">+VLOOKUP($A99,INDIRECT(Adrese!B$2),3,FALSE)</f>
        <v>31</v>
      </c>
      <c r="L99">
        <f ca="1">+VLOOKUP($A99,INDIRECT(Adrese!C$2),3,FALSE)</f>
        <v>26</v>
      </c>
      <c r="M99">
        <f ca="1">+VLOOKUP($A99,INDIRECT(Adrese!D$2),3,FALSE)</f>
        <v>29</v>
      </c>
      <c r="N99">
        <f ca="1">+VLOOKUP($A99,INDIRECT(Adrese!E$2),3,FALSE)</f>
        <v>34</v>
      </c>
      <c r="O99">
        <f ca="1">+VLOOKUP($A99,INDIRECT(Adrese!F$2),3,FALSE)</f>
        <v>33</v>
      </c>
      <c r="P99" s="5">
        <f t="shared" ca="1" si="43"/>
        <v>30.6</v>
      </c>
      <c r="Q99" s="5">
        <f t="shared" ca="1" si="30"/>
        <v>3.2093613071762426</v>
      </c>
      <c r="T99" t="s">
        <v>157</v>
      </c>
      <c r="U99">
        <f ca="1">+VLOOKUP($T99,INDIRECT(Adrese!B$2),4,FALSE)</f>
        <v>117279</v>
      </c>
      <c r="V99">
        <f ca="1">+VLOOKUP($T99,INDIRECT(Adrese!C$2),4,FALSE)</f>
        <v>116719</v>
      </c>
      <c r="W99">
        <f ca="1">+VLOOKUP($T99,INDIRECT(Adrese!D$2),4,FALSE)</f>
        <v>119343</v>
      </c>
      <c r="X99">
        <f ca="1">+VLOOKUP($T99,INDIRECT(Adrese!E$2),4,FALSE)</f>
        <v>117732</v>
      </c>
      <c r="Y99">
        <f ca="1">+VLOOKUP($T99,INDIRECT(Adrese!F$2),4,FALSE)</f>
        <v>116670</v>
      </c>
      <c r="Z99">
        <f t="shared" ca="1" si="31"/>
        <v>587743</v>
      </c>
      <c r="AA99" s="5">
        <f t="shared" ca="1" si="44"/>
        <v>117548.6</v>
      </c>
      <c r="AB99" s="5">
        <f t="shared" ca="1" si="32"/>
        <v>1093.8881569886382</v>
      </c>
      <c r="AD99" t="s">
        <v>157</v>
      </c>
      <c r="AE99">
        <f ca="1">+VLOOKUP($A99,INDIRECT(Adrese!B$2),5,FALSE)</f>
        <v>36074</v>
      </c>
      <c r="AF99">
        <f ca="1">+VLOOKUP($A99,INDIRECT(Adrese!C$2),5,FALSE)</f>
        <v>35857</v>
      </c>
      <c r="AG99">
        <f ca="1">+VLOOKUP($A99,INDIRECT(Adrese!D$2),5,FALSE)</f>
        <v>37010</v>
      </c>
      <c r="AH99">
        <f ca="1">+VLOOKUP($A99,INDIRECT(Adrese!E$2),5,FALSE)</f>
        <v>36062</v>
      </c>
      <c r="AI99">
        <f ca="1">+VLOOKUP($A99,INDIRECT(Adrese!F$2),5,FALSE)</f>
        <v>35532</v>
      </c>
      <c r="AJ99" s="5">
        <f t="shared" ca="1" si="45"/>
        <v>36107</v>
      </c>
      <c r="AK99" s="5">
        <f t="shared" ca="1" si="33"/>
        <v>550.37441801013972</v>
      </c>
      <c r="AM99" t="s">
        <v>157</v>
      </c>
      <c r="AN99" s="5">
        <f ca="1">+VLOOKUP($A99,INDIRECT(Adrese!B$2),6,FALSE)</f>
        <v>0.79367256637168138</v>
      </c>
      <c r="AO99" s="5">
        <f ca="1">+VLOOKUP($A99,INDIRECT(Adrese!C$2),6,FALSE)</f>
        <v>0.78887168100000005</v>
      </c>
      <c r="AP99" s="5">
        <f ca="1">+VLOOKUP($A99,INDIRECT(Adrese!D$2),6,FALSE)</f>
        <v>0.81438053099999996</v>
      </c>
      <c r="AQ99" s="5">
        <f ca="1">+VLOOKUP($A99,INDIRECT(Adrese!E$2),6,FALSE)</f>
        <v>0.79340708000000004</v>
      </c>
      <c r="AR99" s="5">
        <f ca="1">+VLOOKUP($A99,INDIRECT(Adrese!F$2),6,FALSE)</f>
        <v>0.78168141599999996</v>
      </c>
      <c r="AS99" s="5" t="str">
        <f t="shared" ca="1" si="34"/>
        <v>0.79 (0.01)</v>
      </c>
      <c r="AT99" s="5">
        <f t="shared" ca="1" si="46"/>
        <v>0.79440265487433626</v>
      </c>
      <c r="AU99" s="5">
        <f t="shared" ca="1" si="35"/>
        <v>1.2176425209610958E-2</v>
      </c>
      <c r="AW99" t="s">
        <v>157</v>
      </c>
      <c r="AX99" s="5">
        <f ca="1">+VLOOKUP($A99,INDIRECT(Adrese!B$2),7,FALSE)</f>
        <v>0.86283185840707965</v>
      </c>
      <c r="AY99" s="5">
        <f ca="1">+VLOOKUP($A99,INDIRECT(Adrese!C$2),7,FALSE)</f>
        <v>0.88495575199999998</v>
      </c>
      <c r="AZ99" s="5">
        <f ca="1">+VLOOKUP($A99,INDIRECT(Adrese!D$2),7,FALSE)</f>
        <v>0.87168141600000004</v>
      </c>
      <c r="BA99" s="5">
        <f ca="1">+VLOOKUP($A99,INDIRECT(Adrese!E$2),7,FALSE)</f>
        <v>0.84955752200000001</v>
      </c>
      <c r="BB99" s="5">
        <f ca="1">+VLOOKUP($A99,INDIRECT(Adrese!F$2),7,FALSE)</f>
        <v>0.85398230100000005</v>
      </c>
      <c r="BC99" s="5" t="str">
        <f t="shared" ca="1" si="36"/>
        <v>0.86 (0.01)</v>
      </c>
      <c r="BD99">
        <f t="shared" ca="1" si="47"/>
        <v>0.8646017698814159</v>
      </c>
      <c r="BE99" s="5">
        <f t="shared" ca="1" si="37"/>
        <v>1.4200713692591802E-2</v>
      </c>
      <c r="BG99" t="s">
        <v>157</v>
      </c>
      <c r="BH99" s="5">
        <f ca="1">+VLOOKUP($BG99,INDIRECT(Adrese!B$2),8,FALSE)</f>
        <v>7.9839583818676035E-2</v>
      </c>
      <c r="BI99" s="5">
        <f ca="1">+VLOOKUP($BG99,INDIRECT(Adrese!C$2),8,FALSE)</f>
        <v>7.9218694000000006E-2</v>
      </c>
      <c r="BJ99" s="5">
        <f ca="1">+VLOOKUP($BG99,INDIRECT(Adrese!D$2),8,FALSE)</f>
        <v>8.1023880000000006E-2</v>
      </c>
      <c r="BK99" s="5">
        <f ca="1">+VLOOKUP($BG99,INDIRECT(Adrese!E$2),8,FALSE)</f>
        <v>7.9594459000000006E-2</v>
      </c>
      <c r="BL99" s="5">
        <f ca="1">+VLOOKUP($BG99,INDIRECT(Adrese!F$2),8,FALSE)</f>
        <v>7.8868634000000007E-2</v>
      </c>
      <c r="BM99" s="5" t="str">
        <f t="shared" ca="1" si="38"/>
        <v>0.08 (0.00)</v>
      </c>
      <c r="BN99" s="5">
        <f t="shared" ca="1" si="48"/>
        <v>7.9709050163735209E-2</v>
      </c>
      <c r="BO99" s="5">
        <f t="shared" ca="1" si="39"/>
        <v>8.2245002337391474E-4</v>
      </c>
      <c r="BQ99" t="s">
        <v>157</v>
      </c>
      <c r="BR99" s="5">
        <f ca="1">+VLOOKUP($BG99,INDIRECT(Adrese!B$2),9,FALSE)</f>
        <v>8.6989418299009025E-2</v>
      </c>
      <c r="BS99" s="5">
        <f ca="1">+VLOOKUP($BG99,INDIRECT(Adrese!C$2),9,FALSE)</f>
        <v>8.5462554999999996E-2</v>
      </c>
      <c r="BT99" s="5">
        <f ca="1">+VLOOKUP($BG99,INDIRECT(Adrese!D$2),9,FALSE)</f>
        <v>8.6625009000000003E-2</v>
      </c>
      <c r="BU99" s="5">
        <f ca="1">+VLOOKUP($BG99,INDIRECT(Adrese!E$2),9,FALSE)</f>
        <v>8.6424282000000005E-2</v>
      </c>
      <c r="BV99" s="5">
        <f ca="1">+VLOOKUP($BG99,INDIRECT(Adrese!F$2),9,FALSE)</f>
        <v>8.5164689000000002E-2</v>
      </c>
      <c r="BW99" s="5" t="str">
        <f t="shared" ca="1" si="40"/>
        <v>0.09 (0.00)</v>
      </c>
      <c r="BX99" s="5">
        <f t="shared" ca="1" si="49"/>
        <v>8.6133190659801809E-2</v>
      </c>
      <c r="BY99" s="5">
        <f t="shared" ca="1" si="41"/>
        <v>7.8222325321367157E-4</v>
      </c>
    </row>
    <row r="100" spans="1:77" x14ac:dyDescent="0.25">
      <c r="A100" t="s">
        <v>158</v>
      </c>
      <c r="B100" s="12">
        <f ca="1">+VLOOKUP($A100,INDIRECT(Adrese!B$2),2,FALSE)</f>
        <v>98</v>
      </c>
      <c r="C100" s="12">
        <f ca="1">+VLOOKUP($A100,INDIRECT(Adrese!C$2),2,FALSE)</f>
        <v>109</v>
      </c>
      <c r="D100" s="12">
        <f ca="1">+VLOOKUP($A100,INDIRECT(Adrese!D$2),2,FALSE)</f>
        <v>97</v>
      </c>
      <c r="E100" s="12">
        <f ca="1">+VLOOKUP($A100,INDIRECT(Adrese!E$2),2,FALSE)</f>
        <v>106</v>
      </c>
      <c r="F100" s="12">
        <f ca="1">+VLOOKUP($A100,INDIRECT(Adrese!F$2),2,FALSE)</f>
        <v>107</v>
      </c>
      <c r="G100" s="5">
        <f t="shared" ca="1" si="42"/>
        <v>103.4</v>
      </c>
      <c r="H100" s="5">
        <f t="shared" ca="1" si="29"/>
        <v>5.5045435778091543</v>
      </c>
      <c r="J100" t="s">
        <v>158</v>
      </c>
      <c r="K100">
        <f ca="1">+VLOOKUP($A100,INDIRECT(Adrese!B$2),3,FALSE)</f>
        <v>0</v>
      </c>
      <c r="L100">
        <f ca="1">+VLOOKUP($A100,INDIRECT(Adrese!C$2),3,FALSE)</f>
        <v>0</v>
      </c>
      <c r="M100">
        <f ca="1">+VLOOKUP($A100,INDIRECT(Adrese!D$2),3,FALSE)</f>
        <v>0</v>
      </c>
      <c r="N100">
        <f ca="1">+VLOOKUP($A100,INDIRECT(Adrese!E$2),3,FALSE)</f>
        <v>0</v>
      </c>
      <c r="O100">
        <f ca="1">+VLOOKUP($A100,INDIRECT(Adrese!F$2),3,FALSE)</f>
        <v>0</v>
      </c>
      <c r="P100" s="5">
        <f t="shared" ca="1" si="43"/>
        <v>0</v>
      </c>
      <c r="Q100" s="5">
        <f t="shared" ca="1" si="30"/>
        <v>0</v>
      </c>
      <c r="T100" t="s">
        <v>158</v>
      </c>
      <c r="U100">
        <f ca="1">+VLOOKUP($T100,INDIRECT(Adrese!B$2),4,FALSE)</f>
        <v>117279</v>
      </c>
      <c r="V100">
        <f ca="1">+VLOOKUP($T100,INDIRECT(Adrese!C$2),4,FALSE)</f>
        <v>116167</v>
      </c>
      <c r="W100">
        <f ca="1">+VLOOKUP($T100,INDIRECT(Adrese!D$2),4,FALSE)</f>
        <v>117149</v>
      </c>
      <c r="X100">
        <f ca="1">+VLOOKUP($T100,INDIRECT(Adrese!E$2),4,FALSE)</f>
        <v>116411</v>
      </c>
      <c r="Y100">
        <f ca="1">+VLOOKUP($T100,INDIRECT(Adrese!F$2),4,FALSE)</f>
        <v>116336</v>
      </c>
      <c r="Z100">
        <f t="shared" ca="1" si="31"/>
        <v>583342</v>
      </c>
      <c r="AA100" s="5">
        <f t="shared" ca="1" si="44"/>
        <v>116668.4</v>
      </c>
      <c r="AB100" s="5">
        <f t="shared" ca="1" si="32"/>
        <v>507.92597885912471</v>
      </c>
      <c r="AD100" t="s">
        <v>158</v>
      </c>
      <c r="AE100">
        <f ca="1">+VLOOKUP($A100,INDIRECT(Adrese!B$2),5,FALSE)</f>
        <v>38688</v>
      </c>
      <c r="AF100">
        <f ca="1">+VLOOKUP($A100,INDIRECT(Adrese!C$2),5,FALSE)</f>
        <v>38010</v>
      </c>
      <c r="AG100">
        <f ca="1">+VLOOKUP($A100,INDIRECT(Adrese!D$2),5,FALSE)</f>
        <v>38499</v>
      </c>
      <c r="AH100">
        <f ca="1">+VLOOKUP($A100,INDIRECT(Adrese!E$2),5,FALSE)</f>
        <v>38151</v>
      </c>
      <c r="AI100">
        <f ca="1">+VLOOKUP($A100,INDIRECT(Adrese!F$2),5,FALSE)</f>
        <v>38056</v>
      </c>
      <c r="AJ100" s="5">
        <f t="shared" ca="1" si="45"/>
        <v>38280.800000000003</v>
      </c>
      <c r="AK100" s="5">
        <f t="shared" ca="1" si="33"/>
        <v>297.54781128416994</v>
      </c>
      <c r="AM100" t="s">
        <v>158</v>
      </c>
      <c r="AN100" s="5">
        <f ca="1">+VLOOKUP($A100,INDIRECT(Adrese!B$2),6,FALSE)</f>
        <v>0.85150442477876109</v>
      </c>
      <c r="AO100" s="5">
        <f ca="1">+VLOOKUP($A100,INDIRECT(Adrese!C$2),6,FALSE)</f>
        <v>0.836504425</v>
      </c>
      <c r="AP100" s="5">
        <f ca="1">+VLOOKUP($A100,INDIRECT(Adrese!D$2),6,FALSE)</f>
        <v>0.84732300900000002</v>
      </c>
      <c r="AQ100" s="5">
        <f ca="1">+VLOOKUP($A100,INDIRECT(Adrese!E$2),6,FALSE)</f>
        <v>0.83962389400000004</v>
      </c>
      <c r="AR100" s="5">
        <f ca="1">+VLOOKUP($A100,INDIRECT(Adrese!F$2),6,FALSE)</f>
        <v>0.83752212400000003</v>
      </c>
      <c r="AS100" s="5" t="str">
        <f t="shared" ca="1" si="34"/>
        <v>0.84 (0.01)</v>
      </c>
      <c r="AT100" s="5">
        <f t="shared" ca="1" si="46"/>
        <v>0.84249557535575226</v>
      </c>
      <c r="AU100" s="5">
        <f t="shared" ca="1" si="35"/>
        <v>6.5829161148062039E-3</v>
      </c>
      <c r="AW100" t="s">
        <v>158</v>
      </c>
      <c r="AX100" s="5">
        <f ca="1">+VLOOKUP($A100,INDIRECT(Adrese!B$2),7,FALSE)</f>
        <v>1</v>
      </c>
      <c r="AY100" s="5">
        <f ca="1">+VLOOKUP($A100,INDIRECT(Adrese!C$2),7,FALSE)</f>
        <v>1</v>
      </c>
      <c r="AZ100" s="5">
        <f ca="1">+VLOOKUP($A100,INDIRECT(Adrese!D$2),7,FALSE)</f>
        <v>1</v>
      </c>
      <c r="BA100" s="5">
        <f ca="1">+VLOOKUP($A100,INDIRECT(Adrese!E$2),7,FALSE)</f>
        <v>1</v>
      </c>
      <c r="BB100" s="5">
        <f ca="1">+VLOOKUP($A100,INDIRECT(Adrese!F$2),7,FALSE)</f>
        <v>1</v>
      </c>
      <c r="BC100" s="5" t="str">
        <f t="shared" ca="1" si="36"/>
        <v>1.00 (0.00)</v>
      </c>
      <c r="BD100">
        <f t="shared" ca="1" si="47"/>
        <v>1</v>
      </c>
      <c r="BE100" s="5">
        <f t="shared" ca="1" si="37"/>
        <v>0</v>
      </c>
      <c r="BG100" t="s">
        <v>158</v>
      </c>
      <c r="BH100" s="5">
        <f ca="1">+VLOOKUP($BG100,INDIRECT(Adrese!B$2),8,FALSE)</f>
        <v>8.4489583342970395E-2</v>
      </c>
      <c r="BI100" s="5">
        <f ca="1">+VLOOKUP($BG100,INDIRECT(Adrese!C$2),8,FALSE)</f>
        <v>8.3504985000000004E-2</v>
      </c>
      <c r="BJ100" s="5">
        <f ca="1">+VLOOKUP($BG100,INDIRECT(Adrese!D$2),8,FALSE)</f>
        <v>8.4130883000000004E-2</v>
      </c>
      <c r="BK100" s="5">
        <f ca="1">+VLOOKUP($BG100,INDIRECT(Adrese!E$2),8,FALSE)</f>
        <v>8.3672988000000004E-2</v>
      </c>
      <c r="BL100" s="5">
        <f ca="1">+VLOOKUP($BG100,INDIRECT(Adrese!F$2),8,FALSE)</f>
        <v>8.3776290000000003E-2</v>
      </c>
      <c r="BM100" s="5" t="str">
        <f t="shared" ca="1" si="38"/>
        <v>0.08 (0.00)</v>
      </c>
      <c r="BN100" s="5">
        <f t="shared" ca="1" si="48"/>
        <v>8.3914945868594076E-2</v>
      </c>
      <c r="BO100" s="5">
        <f t="shared" ca="1" si="39"/>
        <v>3.9454849053252789E-4</v>
      </c>
      <c r="BQ100" t="s">
        <v>158</v>
      </c>
      <c r="BR100" s="5">
        <f ca="1">+VLOOKUP($BG100,INDIRECT(Adrese!B$2),9,FALSE)</f>
        <v>9.2374835129516164E-2</v>
      </c>
      <c r="BS100" s="5">
        <f ca="1">+VLOOKUP($BG100,INDIRECT(Adrese!C$2),9,FALSE)</f>
        <v>9.1917140999999994E-2</v>
      </c>
      <c r="BT100" s="5">
        <f ca="1">+VLOOKUP($BG100,INDIRECT(Adrese!D$2),9,FALSE)</f>
        <v>9.1556787000000001E-2</v>
      </c>
      <c r="BU100" s="5">
        <f ca="1">+VLOOKUP($BG100,INDIRECT(Adrese!E$2),9,FALSE)</f>
        <v>9.1933800999999996E-2</v>
      </c>
      <c r="BV100" s="5">
        <f ca="1">+VLOOKUP($BG100,INDIRECT(Adrese!F$2),9,FALSE)</f>
        <v>9.2464188000000003E-2</v>
      </c>
      <c r="BW100" s="5" t="str">
        <f t="shared" ca="1" si="40"/>
        <v>0.09 (0.00)</v>
      </c>
      <c r="BX100" s="5">
        <f t="shared" ca="1" si="49"/>
        <v>9.2049350425903217E-2</v>
      </c>
      <c r="BY100" s="5">
        <f t="shared" ca="1" si="41"/>
        <v>3.7130857646647871E-4</v>
      </c>
    </row>
    <row r="101" spans="1:77" x14ac:dyDescent="0.25">
      <c r="A101" t="s">
        <v>159</v>
      </c>
      <c r="B101" s="12">
        <f ca="1">+VLOOKUP($A101,INDIRECT(Adrese!B$2),2,FALSE)</f>
        <v>99</v>
      </c>
      <c r="C101" s="12">
        <f ca="1">+VLOOKUP($A101,INDIRECT(Adrese!C$2),2,FALSE)</f>
        <v>84</v>
      </c>
      <c r="D101" s="12">
        <f ca="1">+VLOOKUP($A101,INDIRECT(Adrese!D$2),2,FALSE)</f>
        <v>93</v>
      </c>
      <c r="E101" s="12">
        <f ca="1">+VLOOKUP($A101,INDIRECT(Adrese!E$2),2,FALSE)</f>
        <v>95</v>
      </c>
      <c r="F101" s="12">
        <f ca="1">+VLOOKUP($A101,INDIRECT(Adrese!F$2),2,FALSE)</f>
        <v>97</v>
      </c>
      <c r="G101" s="5">
        <f t="shared" ca="1" si="42"/>
        <v>93.6</v>
      </c>
      <c r="H101" s="5">
        <f t="shared" ca="1" si="29"/>
        <v>5.8137767414994537</v>
      </c>
      <c r="J101" t="s">
        <v>159</v>
      </c>
      <c r="K101">
        <f ca="1">+VLOOKUP($A101,INDIRECT(Adrese!B$2),3,FALSE)</f>
        <v>15</v>
      </c>
      <c r="L101">
        <f ca="1">+VLOOKUP($A101,INDIRECT(Adrese!C$2),3,FALSE)</f>
        <v>17</v>
      </c>
      <c r="M101">
        <f ca="1">+VLOOKUP($A101,INDIRECT(Adrese!D$2),3,FALSE)</f>
        <v>19</v>
      </c>
      <c r="N101">
        <f ca="1">+VLOOKUP($A101,INDIRECT(Adrese!E$2),3,FALSE)</f>
        <v>16</v>
      </c>
      <c r="O101">
        <f ca="1">+VLOOKUP($A101,INDIRECT(Adrese!F$2),3,FALSE)</f>
        <v>18</v>
      </c>
      <c r="P101" s="5">
        <f t="shared" ca="1" si="43"/>
        <v>17</v>
      </c>
      <c r="Q101" s="5">
        <f t="shared" ca="1" si="30"/>
        <v>1.5811388300841898</v>
      </c>
      <c r="T101" t="s">
        <v>159</v>
      </c>
      <c r="U101">
        <f ca="1">+VLOOKUP($T101,INDIRECT(Adrese!B$2),4,FALSE)</f>
        <v>117241</v>
      </c>
      <c r="V101">
        <f ca="1">+VLOOKUP($T101,INDIRECT(Adrese!C$2),4,FALSE)</f>
        <v>117840</v>
      </c>
      <c r="W101">
        <f ca="1">+VLOOKUP($T101,INDIRECT(Adrese!D$2),4,FALSE)</f>
        <v>117445</v>
      </c>
      <c r="X101">
        <f ca="1">+VLOOKUP($T101,INDIRECT(Adrese!E$2),4,FALSE)</f>
        <v>117448</v>
      </c>
      <c r="Y101">
        <f ca="1">+VLOOKUP($T101,INDIRECT(Adrese!F$2),4,FALSE)</f>
        <v>117290</v>
      </c>
      <c r="Z101">
        <f t="shared" ca="1" si="31"/>
        <v>587264</v>
      </c>
      <c r="AA101" s="5">
        <f t="shared" ca="1" si="44"/>
        <v>117452.8</v>
      </c>
      <c r="AB101" s="5">
        <f t="shared" ca="1" si="32"/>
        <v>235.25029224211394</v>
      </c>
      <c r="AD101" t="s">
        <v>159</v>
      </c>
      <c r="AE101">
        <f ca="1">+VLOOKUP($A101,INDIRECT(Adrese!B$2),5,FALSE)</f>
        <v>37742</v>
      </c>
      <c r="AF101">
        <f ca="1">+VLOOKUP($A101,INDIRECT(Adrese!C$2),5,FALSE)</f>
        <v>38143</v>
      </c>
      <c r="AG101">
        <f ca="1">+VLOOKUP($A101,INDIRECT(Adrese!D$2),5,FALSE)</f>
        <v>37654</v>
      </c>
      <c r="AH101">
        <f ca="1">+VLOOKUP($A101,INDIRECT(Adrese!E$2),5,FALSE)</f>
        <v>37897</v>
      </c>
      <c r="AI101">
        <f ca="1">+VLOOKUP($A101,INDIRECT(Adrese!F$2),5,FALSE)</f>
        <v>37609</v>
      </c>
      <c r="AJ101" s="5">
        <f t="shared" ca="1" si="45"/>
        <v>37809</v>
      </c>
      <c r="AK101" s="5">
        <f t="shared" ca="1" si="33"/>
        <v>216.68756309488555</v>
      </c>
      <c r="AM101" t="s">
        <v>159</v>
      </c>
      <c r="AN101" s="5">
        <f ca="1">+VLOOKUP($A101,INDIRECT(Adrese!B$2),6,FALSE)</f>
        <v>0.83057522123893801</v>
      </c>
      <c r="AO101" s="5">
        <f ca="1">+VLOOKUP($A101,INDIRECT(Adrese!C$2),6,FALSE)</f>
        <v>0.83944690300000002</v>
      </c>
      <c r="AP101" s="5">
        <f ca="1">+VLOOKUP($A101,INDIRECT(Adrese!D$2),6,FALSE)</f>
        <v>0.828628319</v>
      </c>
      <c r="AQ101" s="5">
        <f ca="1">+VLOOKUP($A101,INDIRECT(Adrese!E$2),6,FALSE)</f>
        <v>0.83400442500000005</v>
      </c>
      <c r="AR101" s="5">
        <f ca="1">+VLOOKUP($A101,INDIRECT(Adrese!F$2),6,FALSE)</f>
        <v>0.827632743</v>
      </c>
      <c r="AS101" s="5" t="str">
        <f t="shared" ca="1" si="34"/>
        <v>0.83 (0.00)</v>
      </c>
      <c r="AT101" s="5">
        <f t="shared" ca="1" si="46"/>
        <v>0.83205752224778762</v>
      </c>
      <c r="AU101" s="5">
        <f t="shared" ca="1" si="35"/>
        <v>4.7939727996429305E-3</v>
      </c>
      <c r="AW101" t="s">
        <v>159</v>
      </c>
      <c r="AX101" s="5">
        <f ca="1">+VLOOKUP($A101,INDIRECT(Adrese!B$2),7,FALSE)</f>
        <v>0.9336283185840708</v>
      </c>
      <c r="AY101" s="5">
        <f ca="1">+VLOOKUP($A101,INDIRECT(Adrese!C$2),7,FALSE)</f>
        <v>0.924778761</v>
      </c>
      <c r="AZ101" s="5">
        <f ca="1">+VLOOKUP($A101,INDIRECT(Adrese!D$2),7,FALSE)</f>
        <v>0.915929204</v>
      </c>
      <c r="BA101" s="5">
        <f ca="1">+VLOOKUP($A101,INDIRECT(Adrese!E$2),7,FALSE)</f>
        <v>0.92920354000000005</v>
      </c>
      <c r="BB101" s="5">
        <f ca="1">+VLOOKUP($A101,INDIRECT(Adrese!F$2),7,FALSE)</f>
        <v>0.92035398199999996</v>
      </c>
      <c r="BC101" s="5" t="str">
        <f t="shared" ca="1" si="36"/>
        <v>0.92 (0.01)</v>
      </c>
      <c r="BD101">
        <f t="shared" ca="1" si="47"/>
        <v>0.92477876111681423</v>
      </c>
      <c r="BE101" s="5">
        <f t="shared" ca="1" si="37"/>
        <v>6.9961894436849853E-3</v>
      </c>
      <c r="BG101" t="s">
        <v>159</v>
      </c>
      <c r="BH101" s="5">
        <f ca="1">+VLOOKUP($BG101,INDIRECT(Adrese!B$2),8,FALSE)</f>
        <v>8.2860065138871383E-2</v>
      </c>
      <c r="BI101" s="5">
        <f ca="1">+VLOOKUP($BG101,INDIRECT(Adrese!C$2),8,FALSE)</f>
        <v>8.3356266999999998E-2</v>
      </c>
      <c r="BJ101" s="5">
        <f ca="1">+VLOOKUP($BG101,INDIRECT(Adrese!D$2),8,FALSE)</f>
        <v>8.2986458999999999E-2</v>
      </c>
      <c r="BK101" s="5">
        <f ca="1">+VLOOKUP($BG101,INDIRECT(Adrese!E$2),8,FALSE)</f>
        <v>8.3194356999999997E-2</v>
      </c>
      <c r="BL101" s="5">
        <f ca="1">+VLOOKUP($BG101,INDIRECT(Adrese!F$2),8,FALSE)</f>
        <v>8.2989794000000006E-2</v>
      </c>
      <c r="BM101" s="5" t="str">
        <f t="shared" ca="1" si="38"/>
        <v>0.08 (0.00)</v>
      </c>
      <c r="BN101" s="5">
        <f t="shared" ca="1" si="48"/>
        <v>8.3077388427774276E-2</v>
      </c>
      <c r="BO101" s="5">
        <f t="shared" ca="1" si="39"/>
        <v>1.9661209363058669E-4</v>
      </c>
      <c r="BQ101" t="s">
        <v>159</v>
      </c>
      <c r="BR101" s="5">
        <f ca="1">+VLOOKUP($BG101,INDIRECT(Adrese!B$2),9,FALSE)</f>
        <v>9.0610739805201582E-2</v>
      </c>
      <c r="BS101" s="5">
        <f ca="1">+VLOOKUP($BG101,INDIRECT(Adrese!C$2),9,FALSE)</f>
        <v>9.0469737999999994E-2</v>
      </c>
      <c r="BT101" s="5">
        <f ca="1">+VLOOKUP($BG101,INDIRECT(Adrese!D$2),9,FALSE)</f>
        <v>9.1260313999999995E-2</v>
      </c>
      <c r="BU101" s="5">
        <f ca="1">+VLOOKUP($BG101,INDIRECT(Adrese!E$2),9,FALSE)</f>
        <v>9.0970934000000003E-2</v>
      </c>
      <c r="BV101" s="5">
        <f ca="1">+VLOOKUP($BG101,INDIRECT(Adrese!F$2),9,FALSE)</f>
        <v>9.1686963999999996E-2</v>
      </c>
      <c r="BW101" s="5" t="str">
        <f t="shared" ca="1" si="40"/>
        <v>0.09 (0.00)</v>
      </c>
      <c r="BX101" s="5">
        <f t="shared" ca="1" si="49"/>
        <v>9.0999737961040314E-2</v>
      </c>
      <c r="BY101" s="5">
        <f t="shared" ca="1" si="41"/>
        <v>4.9326176945523016E-4</v>
      </c>
    </row>
    <row r="102" spans="1:77" x14ac:dyDescent="0.25">
      <c r="A102" t="s">
        <v>160</v>
      </c>
      <c r="B102" s="12">
        <f ca="1">+VLOOKUP($A102,INDIRECT(Adrese!B$2),2,FALSE)</f>
        <v>100</v>
      </c>
      <c r="C102" s="12">
        <f ca="1">+VLOOKUP($A102,INDIRECT(Adrese!C$2),2,FALSE)</f>
        <v>86</v>
      </c>
      <c r="D102" s="12">
        <f ca="1">+VLOOKUP($A102,INDIRECT(Adrese!D$2),2,FALSE)</f>
        <v>81</v>
      </c>
      <c r="E102" s="12">
        <f ca="1">+VLOOKUP($A102,INDIRECT(Adrese!E$2),2,FALSE)</f>
        <v>69</v>
      </c>
      <c r="F102" s="12">
        <f ca="1">+VLOOKUP($A102,INDIRECT(Adrese!F$2),2,FALSE)</f>
        <v>87</v>
      </c>
      <c r="G102" s="5">
        <f t="shared" ca="1" si="42"/>
        <v>84.6</v>
      </c>
      <c r="H102" s="5">
        <f t="shared" ca="1" si="29"/>
        <v>11.193748255164543</v>
      </c>
      <c r="J102" t="s">
        <v>160</v>
      </c>
      <c r="K102">
        <f ca="1">+VLOOKUP($A102,INDIRECT(Adrese!B$2),3,FALSE)</f>
        <v>51</v>
      </c>
      <c r="L102">
        <f ca="1">+VLOOKUP($A102,INDIRECT(Adrese!C$2),3,FALSE)</f>
        <v>51</v>
      </c>
      <c r="M102">
        <f ca="1">+VLOOKUP($A102,INDIRECT(Adrese!D$2),3,FALSE)</f>
        <v>54</v>
      </c>
      <c r="N102">
        <f ca="1">+VLOOKUP($A102,INDIRECT(Adrese!E$2),3,FALSE)</f>
        <v>52</v>
      </c>
      <c r="O102">
        <f ca="1">+VLOOKUP($A102,INDIRECT(Adrese!F$2),3,FALSE)</f>
        <v>52</v>
      </c>
      <c r="P102" s="5">
        <f t="shared" ca="1" si="43"/>
        <v>52</v>
      </c>
      <c r="Q102" s="5">
        <f t="shared" ca="1" si="30"/>
        <v>1.2247448713915889</v>
      </c>
      <c r="T102" t="s">
        <v>160</v>
      </c>
      <c r="U102">
        <f ca="1">+VLOOKUP($T102,INDIRECT(Adrese!B$2),4,FALSE)</f>
        <v>117224</v>
      </c>
      <c r="V102">
        <f ca="1">+VLOOKUP($T102,INDIRECT(Adrese!C$2),4,FALSE)</f>
        <v>117793</v>
      </c>
      <c r="W102">
        <f ca="1">+VLOOKUP($T102,INDIRECT(Adrese!D$2),4,FALSE)</f>
        <v>118078</v>
      </c>
      <c r="X102">
        <f ca="1">+VLOOKUP($T102,INDIRECT(Adrese!E$2),4,FALSE)</f>
        <v>118827</v>
      </c>
      <c r="Y102">
        <f ca="1">+VLOOKUP($T102,INDIRECT(Adrese!F$2),4,FALSE)</f>
        <v>117915</v>
      </c>
      <c r="Z102">
        <f t="shared" ca="1" si="31"/>
        <v>589837</v>
      </c>
      <c r="AA102" s="5">
        <f t="shared" ca="1" si="44"/>
        <v>117967.4</v>
      </c>
      <c r="AB102" s="5">
        <f t="shared" ca="1" si="32"/>
        <v>578.13259724737884</v>
      </c>
      <c r="AD102" t="s">
        <v>160</v>
      </c>
      <c r="AE102">
        <f ca="1">+VLOOKUP($A102,INDIRECT(Adrese!B$2),5,FALSE)</f>
        <v>32825</v>
      </c>
      <c r="AF102">
        <f ca="1">+VLOOKUP($A102,INDIRECT(Adrese!C$2),5,FALSE)</f>
        <v>33303</v>
      </c>
      <c r="AG102">
        <f ca="1">+VLOOKUP($A102,INDIRECT(Adrese!D$2),5,FALSE)</f>
        <v>33076</v>
      </c>
      <c r="AH102">
        <f ca="1">+VLOOKUP($A102,INDIRECT(Adrese!E$2),5,FALSE)</f>
        <v>33615</v>
      </c>
      <c r="AI102">
        <f ca="1">+VLOOKUP($A102,INDIRECT(Adrese!F$2),5,FALSE)</f>
        <v>32951</v>
      </c>
      <c r="AJ102" s="5">
        <f t="shared" ca="1" si="45"/>
        <v>33154</v>
      </c>
      <c r="AK102" s="5">
        <f t="shared" ca="1" si="33"/>
        <v>312.35236512631053</v>
      </c>
      <c r="AM102" t="s">
        <v>160</v>
      </c>
      <c r="AN102" s="5">
        <f ca="1">+VLOOKUP($A102,INDIRECT(Adrese!B$2),6,FALSE)</f>
        <v>0.72179203539823011</v>
      </c>
      <c r="AO102" s="5">
        <f ca="1">+VLOOKUP($A102,INDIRECT(Adrese!C$2),6,FALSE)</f>
        <v>0.73236725700000005</v>
      </c>
      <c r="AP102" s="5">
        <f ca="1">+VLOOKUP($A102,INDIRECT(Adrese!D$2),6,FALSE)</f>
        <v>0.72734513300000003</v>
      </c>
      <c r="AQ102" s="5">
        <f ca="1">+VLOOKUP($A102,INDIRECT(Adrese!E$2),6,FALSE)</f>
        <v>0.73926991200000003</v>
      </c>
      <c r="AR102" s="5">
        <f ca="1">+VLOOKUP($A102,INDIRECT(Adrese!F$2),6,FALSE)</f>
        <v>0.72457964600000002</v>
      </c>
      <c r="AS102" s="5" t="str">
        <f t="shared" ca="1" si="34"/>
        <v>0.73 (0.01)</v>
      </c>
      <c r="AT102" s="5">
        <f t="shared" ca="1" si="46"/>
        <v>0.72907079667964614</v>
      </c>
      <c r="AU102" s="5">
        <f t="shared" ca="1" si="35"/>
        <v>6.9104507688703245E-3</v>
      </c>
      <c r="AW102" t="s">
        <v>160</v>
      </c>
      <c r="AX102" s="5">
        <f ca="1">+VLOOKUP($A102,INDIRECT(Adrese!B$2),7,FALSE)</f>
        <v>0.77433628318584069</v>
      </c>
      <c r="AY102" s="5">
        <f ca="1">+VLOOKUP($A102,INDIRECT(Adrese!C$2),7,FALSE)</f>
        <v>0.77433628300000001</v>
      </c>
      <c r="AZ102" s="5">
        <f ca="1">+VLOOKUP($A102,INDIRECT(Adrese!D$2),7,FALSE)</f>
        <v>0.76106194699999996</v>
      </c>
      <c r="BA102" s="5">
        <f ca="1">+VLOOKUP($A102,INDIRECT(Adrese!E$2),7,FALSE)</f>
        <v>0.76991150399999997</v>
      </c>
      <c r="BB102" s="5">
        <f ca="1">+VLOOKUP($A102,INDIRECT(Adrese!F$2),7,FALSE)</f>
        <v>0.76991150399999997</v>
      </c>
      <c r="BC102" s="5" t="str">
        <f t="shared" ca="1" si="36"/>
        <v>0.77 (0.01)</v>
      </c>
      <c r="BD102">
        <f t="shared" ca="1" si="47"/>
        <v>0.76991150423716814</v>
      </c>
      <c r="BE102" s="5">
        <f t="shared" ca="1" si="37"/>
        <v>5.4192250169775094E-3</v>
      </c>
      <c r="BG102" t="s">
        <v>160</v>
      </c>
      <c r="BH102" s="5">
        <f ca="1">+VLOOKUP($BG102,INDIRECT(Adrese!B$2),8,FALSE)</f>
        <v>7.4656663036645685E-2</v>
      </c>
      <c r="BI102" s="5">
        <f ca="1">+VLOOKUP($BG102,INDIRECT(Adrese!C$2),8,FALSE)</f>
        <v>7.5400626999999998E-2</v>
      </c>
      <c r="BJ102" s="5">
        <f ca="1">+VLOOKUP($BG102,INDIRECT(Adrese!D$2),8,FALSE)</f>
        <v>7.5341567999999998E-2</v>
      </c>
      <c r="BK102" s="5">
        <f ca="1">+VLOOKUP($BG102,INDIRECT(Adrese!E$2),8,FALSE)</f>
        <v>7.6047318000000003E-2</v>
      </c>
      <c r="BL102" s="5">
        <f ca="1">+VLOOKUP($BG102,INDIRECT(Adrese!F$2),8,FALSE)</f>
        <v>7.5180569000000003E-2</v>
      </c>
      <c r="BM102" s="5" t="str">
        <f t="shared" ca="1" si="38"/>
        <v>0.08 (0.00)</v>
      </c>
      <c r="BN102" s="5">
        <f t="shared" ca="1" si="48"/>
        <v>7.5325349007329151E-2</v>
      </c>
      <c r="BO102" s="5">
        <f t="shared" ca="1" si="39"/>
        <v>4.9881640815862584E-4</v>
      </c>
      <c r="BQ102" t="s">
        <v>160</v>
      </c>
      <c r="BR102" s="5">
        <f ca="1">+VLOOKUP($BG102,INDIRECT(Adrese!B$2),9,FALSE)</f>
        <v>8.3891237624586237E-2</v>
      </c>
      <c r="BS102" s="5">
        <f ca="1">+VLOOKUP($BG102,INDIRECT(Adrese!C$2),9,FALSE)</f>
        <v>8.4465618000000006E-2</v>
      </c>
      <c r="BT102" s="5">
        <f ca="1">+VLOOKUP($BG102,INDIRECT(Adrese!D$2),9,FALSE)</f>
        <v>8.5179626999999994E-2</v>
      </c>
      <c r="BU102" s="5">
        <f ca="1">+VLOOKUP($BG102,INDIRECT(Adrese!E$2),9,FALSE)</f>
        <v>8.5598455000000004E-2</v>
      </c>
      <c r="BV102" s="5">
        <f ca="1">+VLOOKUP($BG102,INDIRECT(Adrese!F$2),9,FALSE)</f>
        <v>8.5149747999999997E-2</v>
      </c>
      <c r="BW102" s="5" t="str">
        <f t="shared" ca="1" si="40"/>
        <v>0.08 (0.00)</v>
      </c>
      <c r="BX102" s="5">
        <f t="shared" ca="1" si="49"/>
        <v>8.4856937124917237E-2</v>
      </c>
      <c r="BY102" s="5">
        <f t="shared" ca="1" si="41"/>
        <v>6.7554087692390022E-4</v>
      </c>
    </row>
    <row r="103" spans="1:77" x14ac:dyDescent="0.25">
      <c r="A103" t="s">
        <v>161</v>
      </c>
      <c r="B103" s="12">
        <f ca="1">+VLOOKUP($A103,INDIRECT(Adrese!B$2),2,FALSE)</f>
        <v>101</v>
      </c>
      <c r="C103" s="12">
        <f ca="1">+VLOOKUP($A103,INDIRECT(Adrese!C$2),2,FALSE)</f>
        <v>96</v>
      </c>
      <c r="D103" s="12">
        <f ca="1">+VLOOKUP($A103,INDIRECT(Adrese!D$2),2,FALSE)</f>
        <v>109</v>
      </c>
      <c r="E103" s="12">
        <f ca="1">+VLOOKUP($A103,INDIRECT(Adrese!E$2),2,FALSE)</f>
        <v>97</v>
      </c>
      <c r="F103" s="12">
        <f ca="1">+VLOOKUP($A103,INDIRECT(Adrese!F$2),2,FALSE)</f>
        <v>99</v>
      </c>
      <c r="G103" s="5">
        <f t="shared" ca="1" si="42"/>
        <v>100.4</v>
      </c>
      <c r="H103" s="5">
        <f t="shared" ca="1" si="29"/>
        <v>5.1768716422179137</v>
      </c>
      <c r="J103" t="s">
        <v>161</v>
      </c>
      <c r="K103">
        <f ca="1">+VLOOKUP($A103,INDIRECT(Adrese!B$2),3,FALSE)</f>
        <v>13</v>
      </c>
      <c r="L103">
        <f ca="1">+VLOOKUP($A103,INDIRECT(Adrese!C$2),3,FALSE)</f>
        <v>14</v>
      </c>
      <c r="M103">
        <f ca="1">+VLOOKUP($A103,INDIRECT(Adrese!D$2),3,FALSE)</f>
        <v>14</v>
      </c>
      <c r="N103">
        <f ca="1">+VLOOKUP($A103,INDIRECT(Adrese!E$2),3,FALSE)</f>
        <v>14</v>
      </c>
      <c r="O103">
        <f ca="1">+VLOOKUP($A103,INDIRECT(Adrese!F$2),3,FALSE)</f>
        <v>14</v>
      </c>
      <c r="P103" s="5">
        <f t="shared" ca="1" si="43"/>
        <v>13.8</v>
      </c>
      <c r="Q103" s="5">
        <f t="shared" ca="1" si="30"/>
        <v>0.44721359549995793</v>
      </c>
      <c r="T103" t="s">
        <v>161</v>
      </c>
      <c r="U103">
        <f ca="1">+VLOOKUP($T103,INDIRECT(Adrese!B$2),4,FALSE)</f>
        <v>117122</v>
      </c>
      <c r="V103">
        <f ca="1">+VLOOKUP($T103,INDIRECT(Adrese!C$2),4,FALSE)</f>
        <v>117265</v>
      </c>
      <c r="W103">
        <f ca="1">+VLOOKUP($T103,INDIRECT(Adrese!D$2),4,FALSE)</f>
        <v>116503</v>
      </c>
      <c r="X103">
        <f ca="1">+VLOOKUP($T103,INDIRECT(Adrese!E$2),4,FALSE)</f>
        <v>117341</v>
      </c>
      <c r="Y103">
        <f ca="1">+VLOOKUP($T103,INDIRECT(Adrese!F$2),4,FALSE)</f>
        <v>117123</v>
      </c>
      <c r="Z103">
        <f t="shared" ca="1" si="31"/>
        <v>585354</v>
      </c>
      <c r="AA103" s="5">
        <f t="shared" ca="1" si="44"/>
        <v>117070.8</v>
      </c>
      <c r="AB103" s="5">
        <f t="shared" ca="1" si="32"/>
        <v>331.08337318566754</v>
      </c>
      <c r="AD103" t="s">
        <v>161</v>
      </c>
      <c r="AE103">
        <f ca="1">+VLOOKUP($A103,INDIRECT(Adrese!B$2),5,FALSE)</f>
        <v>37282</v>
      </c>
      <c r="AF103">
        <f ca="1">+VLOOKUP($A103,INDIRECT(Adrese!C$2),5,FALSE)</f>
        <v>37367</v>
      </c>
      <c r="AG103">
        <f ca="1">+VLOOKUP($A103,INDIRECT(Adrese!D$2),5,FALSE)</f>
        <v>36848</v>
      </c>
      <c r="AH103">
        <f ca="1">+VLOOKUP($A103,INDIRECT(Adrese!E$2),5,FALSE)</f>
        <v>37258</v>
      </c>
      <c r="AI103">
        <f ca="1">+VLOOKUP($A103,INDIRECT(Adrese!F$2),5,FALSE)</f>
        <v>37216</v>
      </c>
      <c r="AJ103" s="5">
        <f t="shared" ca="1" si="45"/>
        <v>37194.199999999997</v>
      </c>
      <c r="AK103" s="5">
        <f t="shared" ca="1" si="33"/>
        <v>201.22673778601094</v>
      </c>
      <c r="AM103" t="s">
        <v>161</v>
      </c>
      <c r="AN103" s="5">
        <f ca="1">+VLOOKUP($A103,INDIRECT(Adrese!B$2),6,FALSE)</f>
        <v>0.82039823008849555</v>
      </c>
      <c r="AO103" s="5">
        <f ca="1">+VLOOKUP($A103,INDIRECT(Adrese!C$2),6,FALSE)</f>
        <v>0.82227876099999997</v>
      </c>
      <c r="AP103" s="5">
        <f ca="1">+VLOOKUP($A103,INDIRECT(Adrese!D$2),6,FALSE)</f>
        <v>0.81079646000000005</v>
      </c>
      <c r="AQ103" s="5">
        <f ca="1">+VLOOKUP($A103,INDIRECT(Adrese!E$2),6,FALSE)</f>
        <v>0.81986725699999996</v>
      </c>
      <c r="AR103" s="5">
        <f ca="1">+VLOOKUP($A103,INDIRECT(Adrese!F$2),6,FALSE)</f>
        <v>0.818938053</v>
      </c>
      <c r="AS103" s="5" t="str">
        <f t="shared" ca="1" si="34"/>
        <v>0.82 (0.00)</v>
      </c>
      <c r="AT103" s="5">
        <f t="shared" ca="1" si="46"/>
        <v>0.81845575221769917</v>
      </c>
      <c r="AU103" s="5">
        <f t="shared" ca="1" si="35"/>
        <v>4.4519190665165661E-3</v>
      </c>
      <c r="AW103" t="s">
        <v>161</v>
      </c>
      <c r="AX103" s="5">
        <f ca="1">+VLOOKUP($A103,INDIRECT(Adrese!B$2),7,FALSE)</f>
        <v>0.94247787610619471</v>
      </c>
      <c r="AY103" s="5">
        <f ca="1">+VLOOKUP($A103,INDIRECT(Adrese!C$2),7,FALSE)</f>
        <v>0.93805309699999995</v>
      </c>
      <c r="AZ103" s="5">
        <f ca="1">+VLOOKUP($A103,INDIRECT(Adrese!D$2),7,FALSE)</f>
        <v>0.93805309699999995</v>
      </c>
      <c r="BA103" s="5">
        <f ca="1">+VLOOKUP($A103,INDIRECT(Adrese!E$2),7,FALSE)</f>
        <v>0.93805309699999995</v>
      </c>
      <c r="BB103" s="5">
        <f ca="1">+VLOOKUP($A103,INDIRECT(Adrese!F$2),7,FALSE)</f>
        <v>0.93805309699999995</v>
      </c>
      <c r="BC103" s="5" t="str">
        <f t="shared" ca="1" si="36"/>
        <v>0.94 (0.00)</v>
      </c>
      <c r="BD103">
        <f t="shared" ca="1" si="47"/>
        <v>0.93893805282123888</v>
      </c>
      <c r="BE103" s="5">
        <f t="shared" ca="1" si="37"/>
        <v>1.9788213733744511E-3</v>
      </c>
      <c r="BG103" t="s">
        <v>161</v>
      </c>
      <c r="BH103" s="5">
        <f ca="1">+VLOOKUP($BG103,INDIRECT(Adrese!B$2),8,FALSE)</f>
        <v>8.2617300537449034E-2</v>
      </c>
      <c r="BI103" s="5">
        <f ca="1">+VLOOKUP($BG103,INDIRECT(Adrese!C$2),8,FALSE)</f>
        <v>8.2783491000000001E-2</v>
      </c>
      <c r="BJ103" s="5">
        <f ca="1">+VLOOKUP($BG103,INDIRECT(Adrese!D$2),8,FALSE)</f>
        <v>8.2151456999999997E-2</v>
      </c>
      <c r="BK103" s="5">
        <f ca="1">+VLOOKUP($BG103,INDIRECT(Adrese!E$2),8,FALSE)</f>
        <v>8.2471949000000003E-2</v>
      </c>
      <c r="BL103" s="5">
        <f ca="1">+VLOOKUP($BG103,INDIRECT(Adrese!F$2),8,FALSE)</f>
        <v>8.2695981000000002E-2</v>
      </c>
      <c r="BM103" s="5" t="str">
        <f t="shared" ca="1" si="38"/>
        <v>0.08 (0.00)</v>
      </c>
      <c r="BN103" s="5">
        <f t="shared" ca="1" si="48"/>
        <v>8.2544035707489805E-2</v>
      </c>
      <c r="BO103" s="5">
        <f t="shared" ca="1" si="39"/>
        <v>2.475421576758168E-4</v>
      </c>
      <c r="BQ103" t="s">
        <v>161</v>
      </c>
      <c r="BR103" s="5">
        <f ca="1">+VLOOKUP($BG103,INDIRECT(Adrese!B$2),9,FALSE)</f>
        <v>9.2494106450714347E-2</v>
      </c>
      <c r="BS103" s="5">
        <f ca="1">+VLOOKUP($BG103,INDIRECT(Adrese!C$2),9,FALSE)</f>
        <v>9.2732213999999993E-2</v>
      </c>
      <c r="BT103" s="5">
        <f ca="1">+VLOOKUP($BG103,INDIRECT(Adrese!D$2),9,FALSE)</f>
        <v>9.2575686000000004E-2</v>
      </c>
      <c r="BU103" s="5">
        <f ca="1">+VLOOKUP($BG103,INDIRECT(Adrese!E$2),9,FALSE)</f>
        <v>9.2144988999999997E-2</v>
      </c>
      <c r="BV103" s="5">
        <f ca="1">+VLOOKUP($BG103,INDIRECT(Adrese!F$2),9,FALSE)</f>
        <v>9.2738754000000007E-2</v>
      </c>
      <c r="BW103" s="5" t="str">
        <f t="shared" ca="1" si="40"/>
        <v>0.09 (0.00)</v>
      </c>
      <c r="BX103" s="5">
        <f t="shared" ca="1" si="49"/>
        <v>9.2537149890142875E-2</v>
      </c>
      <c r="BY103" s="5">
        <f t="shared" ca="1" si="41"/>
        <v>2.4280761791181982E-4</v>
      </c>
    </row>
    <row r="104" spans="1:77" x14ac:dyDescent="0.25">
      <c r="A104" t="s">
        <v>162</v>
      </c>
      <c r="B104" s="12">
        <f ca="1">+VLOOKUP($A104,INDIRECT(Adrese!B$2),2,FALSE)</f>
        <v>102</v>
      </c>
      <c r="C104" s="12">
        <f ca="1">+VLOOKUP($A104,INDIRECT(Adrese!C$2),2,FALSE)</f>
        <v>104</v>
      </c>
      <c r="D104" s="12">
        <f ca="1">+VLOOKUP($A104,INDIRECT(Adrese!D$2),2,FALSE)</f>
        <v>108</v>
      </c>
      <c r="E104" s="12">
        <f ca="1">+VLOOKUP($A104,INDIRECT(Adrese!E$2),2,FALSE)</f>
        <v>107</v>
      </c>
      <c r="F104" s="12">
        <f ca="1">+VLOOKUP($A104,INDIRECT(Adrese!F$2),2,FALSE)</f>
        <v>108</v>
      </c>
      <c r="G104" s="5">
        <f t="shared" ca="1" si="42"/>
        <v>105.8</v>
      </c>
      <c r="H104" s="5">
        <f t="shared" ca="1" si="29"/>
        <v>2.6832815729997477</v>
      </c>
      <c r="J104" t="s">
        <v>162</v>
      </c>
      <c r="K104">
        <f ca="1">+VLOOKUP($A104,INDIRECT(Adrese!B$2),3,FALSE)</f>
        <v>23</v>
      </c>
      <c r="L104">
        <f ca="1">+VLOOKUP($A104,INDIRECT(Adrese!C$2),3,FALSE)</f>
        <v>29</v>
      </c>
      <c r="M104">
        <f ca="1">+VLOOKUP($A104,INDIRECT(Adrese!D$2),3,FALSE)</f>
        <v>27</v>
      </c>
      <c r="N104">
        <f ca="1">+VLOOKUP($A104,INDIRECT(Adrese!E$2),3,FALSE)</f>
        <v>35</v>
      </c>
      <c r="O104">
        <f ca="1">+VLOOKUP($A104,INDIRECT(Adrese!F$2),3,FALSE)</f>
        <v>34</v>
      </c>
      <c r="P104" s="5">
        <f t="shared" ca="1" si="43"/>
        <v>29.6</v>
      </c>
      <c r="Q104" s="5">
        <f t="shared" ca="1" si="30"/>
        <v>4.9799598391954882</v>
      </c>
      <c r="T104" t="s">
        <v>162</v>
      </c>
      <c r="U104">
        <f ca="1">+VLOOKUP($T104,INDIRECT(Adrese!B$2),4,FALSE)</f>
        <v>117114</v>
      </c>
      <c r="V104">
        <f ca="1">+VLOOKUP($T104,INDIRECT(Adrese!C$2),4,FALSE)</f>
        <v>116632</v>
      </c>
      <c r="W104">
        <f ca="1">+VLOOKUP($T104,INDIRECT(Adrese!D$2),4,FALSE)</f>
        <v>116614</v>
      </c>
      <c r="X104">
        <f ca="1">+VLOOKUP($T104,INDIRECT(Adrese!E$2),4,FALSE)</f>
        <v>116373</v>
      </c>
      <c r="Y104">
        <f ca="1">+VLOOKUP($T104,INDIRECT(Adrese!F$2),4,FALSE)</f>
        <v>116295</v>
      </c>
      <c r="Z104">
        <f t="shared" ca="1" si="31"/>
        <v>583028</v>
      </c>
      <c r="AA104" s="5">
        <f t="shared" ca="1" si="44"/>
        <v>116605.6</v>
      </c>
      <c r="AB104" s="5">
        <f t="shared" ca="1" si="32"/>
        <v>320.08327041568418</v>
      </c>
      <c r="AD104" t="s">
        <v>162</v>
      </c>
      <c r="AE104">
        <f ca="1">+VLOOKUP($A104,INDIRECT(Adrese!B$2),5,FALSE)</f>
        <v>35958</v>
      </c>
      <c r="AF104">
        <f ca="1">+VLOOKUP($A104,INDIRECT(Adrese!C$2),5,FALSE)</f>
        <v>35845</v>
      </c>
      <c r="AG104">
        <f ca="1">+VLOOKUP($A104,INDIRECT(Adrese!D$2),5,FALSE)</f>
        <v>35875</v>
      </c>
      <c r="AH104">
        <f ca="1">+VLOOKUP($A104,INDIRECT(Adrese!E$2),5,FALSE)</f>
        <v>35456</v>
      </c>
      <c r="AI104">
        <f ca="1">+VLOOKUP($A104,INDIRECT(Adrese!F$2),5,FALSE)</f>
        <v>35338</v>
      </c>
      <c r="AJ104" s="5">
        <f t="shared" ca="1" si="45"/>
        <v>35694.400000000001</v>
      </c>
      <c r="AK104" s="5">
        <f t="shared" ca="1" si="33"/>
        <v>277.7756288805769</v>
      </c>
      <c r="AM104" t="s">
        <v>162</v>
      </c>
      <c r="AN104" s="5">
        <f ca="1">+VLOOKUP($A104,INDIRECT(Adrese!B$2),6,FALSE)</f>
        <v>0.79110619469026544</v>
      </c>
      <c r="AO104" s="5">
        <f ca="1">+VLOOKUP($A104,INDIRECT(Adrese!C$2),6,FALSE)</f>
        <v>0.78860619499999995</v>
      </c>
      <c r="AP104" s="5">
        <f ca="1">+VLOOKUP($A104,INDIRECT(Adrese!D$2),6,FALSE)</f>
        <v>0.78926991199999996</v>
      </c>
      <c r="AQ104" s="5">
        <f ca="1">+VLOOKUP($A104,INDIRECT(Adrese!E$2),6,FALSE)</f>
        <v>0.78</v>
      </c>
      <c r="AR104" s="5">
        <f ca="1">+VLOOKUP($A104,INDIRECT(Adrese!F$2),6,FALSE)</f>
        <v>0.77738938099999999</v>
      </c>
      <c r="AS104" s="5" t="str">
        <f t="shared" ca="1" si="34"/>
        <v>0.79 (0.01)</v>
      </c>
      <c r="AT104" s="5">
        <f t="shared" ca="1" si="46"/>
        <v>0.78527433653805312</v>
      </c>
      <c r="AU104" s="5">
        <f t="shared" ca="1" si="35"/>
        <v>6.1454784871440311E-3</v>
      </c>
      <c r="AW104" t="s">
        <v>162</v>
      </c>
      <c r="AX104" s="5">
        <f ca="1">+VLOOKUP($A104,INDIRECT(Adrese!B$2),7,FALSE)</f>
        <v>0.89823008849557517</v>
      </c>
      <c r="AY104" s="5">
        <f ca="1">+VLOOKUP($A104,INDIRECT(Adrese!C$2),7,FALSE)</f>
        <v>0.87168141600000004</v>
      </c>
      <c r="AZ104" s="5">
        <f ca="1">+VLOOKUP($A104,INDIRECT(Adrese!D$2),7,FALSE)</f>
        <v>0.88053097300000005</v>
      </c>
      <c r="BA104" s="5">
        <f ca="1">+VLOOKUP($A104,INDIRECT(Adrese!E$2),7,FALSE)</f>
        <v>0.84513274299999996</v>
      </c>
      <c r="BB104" s="5">
        <f ca="1">+VLOOKUP($A104,INDIRECT(Adrese!F$2),7,FALSE)</f>
        <v>0.84955752200000001</v>
      </c>
      <c r="BC104" s="5" t="str">
        <f t="shared" ca="1" si="36"/>
        <v>0.87 (0.02)</v>
      </c>
      <c r="BD104">
        <f t="shared" ca="1" si="47"/>
        <v>0.86902654849911509</v>
      </c>
      <c r="BE104" s="5">
        <f t="shared" ca="1" si="37"/>
        <v>2.2035220596362603E-2</v>
      </c>
      <c r="BG104" t="s">
        <v>162</v>
      </c>
      <c r="BH104" s="5">
        <f ca="1">+VLOOKUP($BG104,INDIRECT(Adrese!B$2),8,FALSE)</f>
        <v>7.9249819323337717E-2</v>
      </c>
      <c r="BI104" s="5">
        <f ca="1">+VLOOKUP($BG104,INDIRECT(Adrese!C$2),8,FALSE)</f>
        <v>7.9063120000000001E-2</v>
      </c>
      <c r="BJ104" s="5">
        <f ca="1">+VLOOKUP($BG104,INDIRECT(Adrese!D$2),8,FALSE)</f>
        <v>7.9646137000000006E-2</v>
      </c>
      <c r="BK104" s="5">
        <f ca="1">+VLOOKUP($BG104,INDIRECT(Adrese!E$2),8,FALSE)</f>
        <v>7.8856456000000005E-2</v>
      </c>
      <c r="BL104" s="5">
        <f ca="1">+VLOOKUP($BG104,INDIRECT(Adrese!F$2),8,FALSE)</f>
        <v>7.8430929999999996E-2</v>
      </c>
      <c r="BM104" s="5" t="str">
        <f t="shared" ca="1" si="38"/>
        <v>0.08 (0.00)</v>
      </c>
      <c r="BN104" s="5">
        <f t="shared" ca="1" si="48"/>
        <v>7.9049292464667548E-2</v>
      </c>
      <c r="BO104" s="5">
        <f t="shared" ca="1" si="39"/>
        <v>4.5171441778875057E-4</v>
      </c>
      <c r="BQ104" t="s">
        <v>162</v>
      </c>
      <c r="BR104" s="5">
        <f ca="1">+VLOOKUP($BG104,INDIRECT(Adrese!B$2),9,FALSE)</f>
        <v>8.4942509179058143E-2</v>
      </c>
      <c r="BS104" s="5">
        <f ca="1">+VLOOKUP($BG104,INDIRECT(Adrese!C$2),9,FALSE)</f>
        <v>8.4652936999999998E-2</v>
      </c>
      <c r="BT104" s="5">
        <f ca="1">+VLOOKUP($BG104,INDIRECT(Adrese!D$2),9,FALSE)</f>
        <v>8.6901679999999995E-2</v>
      </c>
      <c r="BU104" s="5">
        <f ca="1">+VLOOKUP($BG104,INDIRECT(Adrese!E$2),9,FALSE)</f>
        <v>8.6262337999999994E-2</v>
      </c>
      <c r="BV104" s="5">
        <f ca="1">+VLOOKUP($BG104,INDIRECT(Adrese!F$2),9,FALSE)</f>
        <v>8.4587208999999997E-2</v>
      </c>
      <c r="BW104" s="5" t="str">
        <f t="shared" ca="1" si="40"/>
        <v>0.09 (0.00)</v>
      </c>
      <c r="BX104" s="5">
        <f t="shared" ca="1" si="49"/>
        <v>8.546933463581162E-2</v>
      </c>
      <c r="BY104" s="5">
        <f t="shared" ca="1" si="41"/>
        <v>1.0491262289310549E-3</v>
      </c>
    </row>
    <row r="105" spans="1:77" x14ac:dyDescent="0.25">
      <c r="A105" t="s">
        <v>163</v>
      </c>
      <c r="B105" s="12">
        <f ca="1">+VLOOKUP($A105,INDIRECT(Adrese!B$2),2,FALSE)</f>
        <v>103</v>
      </c>
      <c r="C105" s="12">
        <f ca="1">+VLOOKUP($A105,INDIRECT(Adrese!C$2),2,FALSE)</f>
        <v>102</v>
      </c>
      <c r="D105" s="12">
        <f ca="1">+VLOOKUP($A105,INDIRECT(Adrese!D$2),2,FALSE)</f>
        <v>95</v>
      </c>
      <c r="E105" s="12">
        <f ca="1">+VLOOKUP($A105,INDIRECT(Adrese!E$2),2,FALSE)</f>
        <v>104</v>
      </c>
      <c r="F105" s="12">
        <f ca="1">+VLOOKUP($A105,INDIRECT(Adrese!F$2),2,FALSE)</f>
        <v>77</v>
      </c>
      <c r="G105" s="5">
        <f t="shared" ca="1" si="42"/>
        <v>96.2</v>
      </c>
      <c r="H105" s="5">
        <f t="shared" ca="1" si="29"/>
        <v>11.300442469213351</v>
      </c>
      <c r="J105" t="s">
        <v>163</v>
      </c>
      <c r="K105">
        <f ca="1">+VLOOKUP($A105,INDIRECT(Adrese!B$2),3,FALSE)</f>
        <v>78</v>
      </c>
      <c r="L105">
        <f ca="1">+VLOOKUP($A105,INDIRECT(Adrese!C$2),3,FALSE)</f>
        <v>73</v>
      </c>
      <c r="M105">
        <f ca="1">+VLOOKUP($A105,INDIRECT(Adrese!D$2),3,FALSE)</f>
        <v>72</v>
      </c>
      <c r="N105">
        <f ca="1">+VLOOKUP($A105,INDIRECT(Adrese!E$2),3,FALSE)</f>
        <v>80</v>
      </c>
      <c r="O105">
        <f ca="1">+VLOOKUP($A105,INDIRECT(Adrese!F$2),3,FALSE)</f>
        <v>77</v>
      </c>
      <c r="P105" s="5">
        <f t="shared" ca="1" si="43"/>
        <v>76</v>
      </c>
      <c r="Q105" s="5">
        <f t="shared" ca="1" si="30"/>
        <v>3.3911649915626341</v>
      </c>
      <c r="T105" t="s">
        <v>163</v>
      </c>
      <c r="U105">
        <f ca="1">+VLOOKUP($T105,INDIRECT(Adrese!B$2),4,FALSE)</f>
        <v>117094</v>
      </c>
      <c r="V105">
        <f ca="1">+VLOOKUP($T105,INDIRECT(Adrese!C$2),4,FALSE)</f>
        <v>116849</v>
      </c>
      <c r="W105">
        <f ca="1">+VLOOKUP($T105,INDIRECT(Adrese!D$2),4,FALSE)</f>
        <v>117290</v>
      </c>
      <c r="X105">
        <f ca="1">+VLOOKUP($T105,INDIRECT(Adrese!E$2),4,FALSE)</f>
        <v>116805</v>
      </c>
      <c r="Y105">
        <f ca="1">+VLOOKUP($T105,INDIRECT(Adrese!F$2),4,FALSE)</f>
        <v>118282</v>
      </c>
      <c r="Z105">
        <f t="shared" ca="1" si="31"/>
        <v>586320</v>
      </c>
      <c r="AA105" s="5">
        <f t="shared" ca="1" si="44"/>
        <v>117264</v>
      </c>
      <c r="AB105" s="5">
        <f t="shared" ca="1" si="32"/>
        <v>601.83178712992549</v>
      </c>
      <c r="AD105" t="s">
        <v>163</v>
      </c>
      <c r="AE105">
        <f ca="1">+VLOOKUP($A105,INDIRECT(Adrese!B$2),5,FALSE)</f>
        <v>32080</v>
      </c>
      <c r="AF105">
        <f ca="1">+VLOOKUP($A105,INDIRECT(Adrese!C$2),5,FALSE)</f>
        <v>32141</v>
      </c>
      <c r="AG105">
        <f ca="1">+VLOOKUP($A105,INDIRECT(Adrese!D$2),5,FALSE)</f>
        <v>32060</v>
      </c>
      <c r="AH105">
        <f ca="1">+VLOOKUP($A105,INDIRECT(Adrese!E$2),5,FALSE)</f>
        <v>31691</v>
      </c>
      <c r="AI105">
        <f ca="1">+VLOOKUP($A105,INDIRECT(Adrese!F$2),5,FALSE)</f>
        <v>32070</v>
      </c>
      <c r="AJ105" s="5">
        <f t="shared" ca="1" si="45"/>
        <v>32008.400000000001</v>
      </c>
      <c r="AK105" s="5">
        <f t="shared" ca="1" si="33"/>
        <v>180.2145943035691</v>
      </c>
      <c r="AM105" t="s">
        <v>163</v>
      </c>
      <c r="AN105" s="5">
        <f ca="1">+VLOOKUP($A105,INDIRECT(Adrese!B$2),6,FALSE)</f>
        <v>0.70533185840707968</v>
      </c>
      <c r="AO105" s="5">
        <f ca="1">+VLOOKUP($A105,INDIRECT(Adrese!C$2),6,FALSE)</f>
        <v>0.70668141600000001</v>
      </c>
      <c r="AP105" s="5">
        <f ca="1">+VLOOKUP($A105,INDIRECT(Adrese!D$2),6,FALSE)</f>
        <v>0.70488938099999998</v>
      </c>
      <c r="AQ105" s="5">
        <f ca="1">+VLOOKUP($A105,INDIRECT(Adrese!E$2),6,FALSE)</f>
        <v>0.69672566400000002</v>
      </c>
      <c r="AR105" s="5">
        <f ca="1">+VLOOKUP($A105,INDIRECT(Adrese!F$2),6,FALSE)</f>
        <v>0.70511061900000005</v>
      </c>
      <c r="AS105" s="5" t="str">
        <f t="shared" ca="1" si="34"/>
        <v>0.70 (0.00)</v>
      </c>
      <c r="AT105" s="5">
        <f t="shared" ca="1" si="46"/>
        <v>0.70374778768141599</v>
      </c>
      <c r="AU105" s="5">
        <f t="shared" ca="1" si="35"/>
        <v>3.9870484283663684E-3</v>
      </c>
      <c r="AW105" t="s">
        <v>163</v>
      </c>
      <c r="AX105" s="5">
        <f ca="1">+VLOOKUP($A105,INDIRECT(Adrese!B$2),7,FALSE)</f>
        <v>0.65486725663716816</v>
      </c>
      <c r="AY105" s="5">
        <f ca="1">+VLOOKUP($A105,INDIRECT(Adrese!C$2),7,FALSE)</f>
        <v>0.67699114999999999</v>
      </c>
      <c r="AZ105" s="5">
        <f ca="1">+VLOOKUP($A105,INDIRECT(Adrese!D$2),7,FALSE)</f>
        <v>0.68141592900000003</v>
      </c>
      <c r="BA105" s="5">
        <f ca="1">+VLOOKUP($A105,INDIRECT(Adrese!E$2),7,FALSE)</f>
        <v>0.64601769899999995</v>
      </c>
      <c r="BB105" s="5">
        <f ca="1">+VLOOKUP($A105,INDIRECT(Adrese!F$2),7,FALSE)</f>
        <v>0.659292035</v>
      </c>
      <c r="BC105" s="5" t="str">
        <f t="shared" ca="1" si="36"/>
        <v>0.66 (0.02)</v>
      </c>
      <c r="BD105">
        <f t="shared" ca="1" si="47"/>
        <v>0.66371681392743365</v>
      </c>
      <c r="BE105" s="5">
        <f t="shared" ca="1" si="37"/>
        <v>1.5005154735325465E-2</v>
      </c>
      <c r="BG105" t="s">
        <v>163</v>
      </c>
      <c r="BH105" s="5">
        <f ca="1">+VLOOKUP($BG105,INDIRECT(Adrese!B$2),8,FALSE)</f>
        <v>6.7985804550307824E-2</v>
      </c>
      <c r="BI105" s="5">
        <f ca="1">+VLOOKUP($BG105,INDIRECT(Adrese!C$2),8,FALSE)</f>
        <v>6.8167403000000001E-2</v>
      </c>
      <c r="BJ105" s="5">
        <f ca="1">+VLOOKUP($BG105,INDIRECT(Adrese!D$2),8,FALSE)</f>
        <v>6.7841597000000003E-2</v>
      </c>
      <c r="BK105" s="5">
        <f ca="1">+VLOOKUP($BG105,INDIRECT(Adrese!E$2),8,FALSE)</f>
        <v>6.7459152999999994E-2</v>
      </c>
      <c r="BL105" s="5">
        <f ca="1">+VLOOKUP($BG105,INDIRECT(Adrese!F$2),8,FALSE)</f>
        <v>6.7996657000000002E-2</v>
      </c>
      <c r="BM105" s="5" t="str">
        <f t="shared" ca="1" si="38"/>
        <v>0.07 (0.00)</v>
      </c>
      <c r="BN105" s="5">
        <f t="shared" ca="1" si="48"/>
        <v>6.7890122910061565E-2</v>
      </c>
      <c r="BO105" s="5">
        <f t="shared" ca="1" si="39"/>
        <v>2.6715097052101193E-4</v>
      </c>
      <c r="BQ105" t="s">
        <v>163</v>
      </c>
      <c r="BR105" s="5">
        <f ca="1">+VLOOKUP($BG105,INDIRECT(Adrese!B$2),9,FALSE)</f>
        <v>5.188898120664704E-2</v>
      </c>
      <c r="BS105" s="5">
        <f ca="1">+VLOOKUP($BG105,INDIRECT(Adrese!C$2),9,FALSE)</f>
        <v>5.2157058999999999E-2</v>
      </c>
      <c r="BT105" s="5">
        <f ca="1">+VLOOKUP($BG105,INDIRECT(Adrese!D$2),9,FALSE)</f>
        <v>5.0555480999999999E-2</v>
      </c>
      <c r="BU105" s="5">
        <f ca="1">+VLOOKUP($BG105,INDIRECT(Adrese!E$2),9,FALSE)</f>
        <v>5.1782345E-2</v>
      </c>
      <c r="BV105" s="5">
        <f ca="1">+VLOOKUP($BG105,INDIRECT(Adrese!F$2),9,FALSE)</f>
        <v>5.1285881999999998E-2</v>
      </c>
      <c r="BW105" s="5" t="str">
        <f t="shared" ca="1" si="40"/>
        <v>0.05 (0.00)</v>
      </c>
      <c r="BX105" s="5">
        <f t="shared" ca="1" si="49"/>
        <v>5.1533949641329416E-2</v>
      </c>
      <c r="BY105" s="5">
        <f t="shared" ca="1" si="41"/>
        <v>6.3145692176577088E-4</v>
      </c>
    </row>
    <row r="106" spans="1:77" x14ac:dyDescent="0.25">
      <c r="A106" t="s">
        <v>164</v>
      </c>
      <c r="B106" s="12">
        <f ca="1">+VLOOKUP($A106,INDIRECT(Adrese!B$2),2,FALSE)</f>
        <v>104</v>
      </c>
      <c r="C106" s="12">
        <f ca="1">+VLOOKUP($A106,INDIRECT(Adrese!C$2),2,FALSE)</f>
        <v>116</v>
      </c>
      <c r="D106" s="12">
        <f ca="1">+VLOOKUP($A106,INDIRECT(Adrese!D$2),2,FALSE)</f>
        <v>115</v>
      </c>
      <c r="E106" s="12">
        <f ca="1">+VLOOKUP($A106,INDIRECT(Adrese!E$2),2,FALSE)</f>
        <v>117</v>
      </c>
      <c r="F106" s="12">
        <f ca="1">+VLOOKUP($A106,INDIRECT(Adrese!F$2),2,FALSE)</f>
        <v>121</v>
      </c>
      <c r="G106" s="5">
        <f t="shared" ca="1" si="42"/>
        <v>114.6</v>
      </c>
      <c r="H106" s="5">
        <f t="shared" ca="1" si="29"/>
        <v>6.3482280992415516</v>
      </c>
      <c r="J106" t="s">
        <v>164</v>
      </c>
      <c r="K106">
        <f ca="1">+VLOOKUP($A106,INDIRECT(Adrese!B$2),3,FALSE)</f>
        <v>68</v>
      </c>
      <c r="L106">
        <f ca="1">+VLOOKUP($A106,INDIRECT(Adrese!C$2),3,FALSE)</f>
        <v>64</v>
      </c>
      <c r="M106">
        <f ca="1">+VLOOKUP($A106,INDIRECT(Adrese!D$2),3,FALSE)</f>
        <v>72</v>
      </c>
      <c r="N106">
        <f ca="1">+VLOOKUP($A106,INDIRECT(Adrese!E$2),3,FALSE)</f>
        <v>69</v>
      </c>
      <c r="O106">
        <f ca="1">+VLOOKUP($A106,INDIRECT(Adrese!F$2),3,FALSE)</f>
        <v>82</v>
      </c>
      <c r="P106" s="5">
        <f t="shared" ca="1" si="43"/>
        <v>71</v>
      </c>
      <c r="Q106" s="5">
        <f t="shared" ca="1" si="30"/>
        <v>6.7823299831252681</v>
      </c>
      <c r="T106" t="s">
        <v>164</v>
      </c>
      <c r="U106">
        <f ca="1">+VLOOKUP($T106,INDIRECT(Adrese!B$2),4,FALSE)</f>
        <v>117072</v>
      </c>
      <c r="V106">
        <f ca="1">+VLOOKUP($T106,INDIRECT(Adrese!C$2),4,FALSE)</f>
        <v>115078</v>
      </c>
      <c r="W106">
        <f ca="1">+VLOOKUP($T106,INDIRECT(Adrese!D$2),4,FALSE)</f>
        <v>115879</v>
      </c>
      <c r="X106">
        <f ca="1">+VLOOKUP($T106,INDIRECT(Adrese!E$2),4,FALSE)</f>
        <v>115081</v>
      </c>
      <c r="Y106">
        <f ca="1">+VLOOKUP($T106,INDIRECT(Adrese!F$2),4,FALSE)</f>
        <v>112562</v>
      </c>
      <c r="Z106">
        <f t="shared" ca="1" si="31"/>
        <v>575672</v>
      </c>
      <c r="AA106" s="5">
        <f t="shared" ca="1" si="44"/>
        <v>115134.39999999999</v>
      </c>
      <c r="AB106" s="5">
        <f t="shared" ca="1" si="32"/>
        <v>1653.1785445014702</v>
      </c>
      <c r="AD106" t="s">
        <v>164</v>
      </c>
      <c r="AE106">
        <f ca="1">+VLOOKUP($A106,INDIRECT(Adrese!B$2),5,FALSE)</f>
        <v>34450</v>
      </c>
      <c r="AF106">
        <f ca="1">+VLOOKUP($A106,INDIRECT(Adrese!C$2),5,FALSE)</f>
        <v>33447</v>
      </c>
      <c r="AG106">
        <f ca="1">+VLOOKUP($A106,INDIRECT(Adrese!D$2),5,FALSE)</f>
        <v>33845</v>
      </c>
      <c r="AH106">
        <f ca="1">+VLOOKUP($A106,INDIRECT(Adrese!E$2),5,FALSE)</f>
        <v>33270</v>
      </c>
      <c r="AI106">
        <f ca="1">+VLOOKUP($A106,INDIRECT(Adrese!F$2),5,FALSE)</f>
        <v>32008</v>
      </c>
      <c r="AJ106" s="5">
        <f t="shared" ca="1" si="45"/>
        <v>33404</v>
      </c>
      <c r="AK106" s="5">
        <f t="shared" ca="1" si="33"/>
        <v>902.3882202245328</v>
      </c>
      <c r="AM106" t="s">
        <v>164</v>
      </c>
      <c r="AN106" s="5">
        <f ca="1">+VLOOKUP($A106,INDIRECT(Adrese!B$2),6,FALSE)</f>
        <v>0.75774336283185839</v>
      </c>
      <c r="AO106" s="5">
        <f ca="1">+VLOOKUP($A106,INDIRECT(Adrese!C$2),6,FALSE)</f>
        <v>0.73555309700000004</v>
      </c>
      <c r="AP106" s="5">
        <f ca="1">+VLOOKUP($A106,INDIRECT(Adrese!D$2),6,FALSE)</f>
        <v>0.744358407</v>
      </c>
      <c r="AQ106" s="5">
        <f ca="1">+VLOOKUP($A106,INDIRECT(Adrese!E$2),6,FALSE)</f>
        <v>0.73535398200000002</v>
      </c>
      <c r="AR106" s="5">
        <f ca="1">+VLOOKUP($A106,INDIRECT(Adrese!F$2),6,FALSE)</f>
        <v>0.70371681399999997</v>
      </c>
      <c r="AS106" s="5" t="str">
        <f t="shared" ca="1" si="34"/>
        <v>0.74 (0.02)</v>
      </c>
      <c r="AT106" s="5">
        <f t="shared" ca="1" si="46"/>
        <v>0.73534513256637157</v>
      </c>
      <c r="AU106" s="5">
        <f t="shared" ca="1" si="35"/>
        <v>1.9895437277776068E-2</v>
      </c>
      <c r="AW106" t="s">
        <v>164</v>
      </c>
      <c r="AX106" s="5">
        <f ca="1">+VLOOKUP($A106,INDIRECT(Adrese!B$2),7,FALSE)</f>
        <v>0.69911504424778759</v>
      </c>
      <c r="AY106" s="5">
        <f ca="1">+VLOOKUP($A106,INDIRECT(Adrese!C$2),7,FALSE)</f>
        <v>0.71681415900000001</v>
      </c>
      <c r="AZ106" s="5">
        <f ca="1">+VLOOKUP($A106,INDIRECT(Adrese!D$2),7,FALSE)</f>
        <v>0.68141592900000003</v>
      </c>
      <c r="BA106" s="5">
        <f ca="1">+VLOOKUP($A106,INDIRECT(Adrese!E$2),7,FALSE)</f>
        <v>0.69469026499999997</v>
      </c>
      <c r="BB106" s="5">
        <f ca="1">+VLOOKUP($A106,INDIRECT(Adrese!F$2),7,FALSE)</f>
        <v>0.63716814200000005</v>
      </c>
      <c r="BC106" s="5" t="str">
        <f t="shared" ca="1" si="36"/>
        <v>0.69 (0.03)</v>
      </c>
      <c r="BD106">
        <f t="shared" ca="1" si="47"/>
        <v>0.68584070784955764</v>
      </c>
      <c r="BE106" s="5">
        <f t="shared" ca="1" si="37"/>
        <v>3.0010309391058306E-2</v>
      </c>
      <c r="BG106" t="s">
        <v>164</v>
      </c>
      <c r="BH106" s="5">
        <f ca="1">+VLOOKUP($BG106,INDIRECT(Adrese!B$2),8,FALSE)</f>
        <v>7.7503706933166022E-2</v>
      </c>
      <c r="BI106" s="5">
        <f ca="1">+VLOOKUP($BG106,INDIRECT(Adrese!C$2),8,FALSE)</f>
        <v>7.5408190999999999E-2</v>
      </c>
      <c r="BJ106" s="5">
        <f ca="1">+VLOOKUP($BG106,INDIRECT(Adrese!D$2),8,FALSE)</f>
        <v>7.6590053000000005E-2</v>
      </c>
      <c r="BK106" s="5">
        <f ca="1">+VLOOKUP($BG106,INDIRECT(Adrese!E$2),8,FALSE)</f>
        <v>7.5620827000000002E-2</v>
      </c>
      <c r="BL106" s="5">
        <f ca="1">+VLOOKUP($BG106,INDIRECT(Adrese!F$2),8,FALSE)</f>
        <v>7.2307356000000003E-2</v>
      </c>
      <c r="BM106" s="5" t="str">
        <f t="shared" ca="1" si="38"/>
        <v>0.08 (0.00)</v>
      </c>
      <c r="BN106" s="5">
        <f t="shared" ca="1" si="48"/>
        <v>7.5486026786633201E-2</v>
      </c>
      <c r="BO106" s="5">
        <f t="shared" ca="1" si="39"/>
        <v>1.9632934402753965E-3</v>
      </c>
      <c r="BQ106" t="s">
        <v>164</v>
      </c>
      <c r="BR106" s="5">
        <f ca="1">+VLOOKUP($BG106,INDIRECT(Adrese!B$2),9,FALSE)</f>
        <v>8.5735679492010219E-2</v>
      </c>
      <c r="BS106" s="5">
        <f ca="1">+VLOOKUP($BG106,INDIRECT(Adrese!C$2),9,FALSE)</f>
        <v>8.0955854999999993E-2</v>
      </c>
      <c r="BT106" s="5">
        <f ca="1">+VLOOKUP($BG106,INDIRECT(Adrese!D$2),9,FALSE)</f>
        <v>8.4277811999999994E-2</v>
      </c>
      <c r="BU106" s="5">
        <f ca="1">+VLOOKUP($BG106,INDIRECT(Adrese!E$2),9,FALSE)</f>
        <v>8.2950698000000003E-2</v>
      </c>
      <c r="BV106" s="5">
        <f ca="1">+VLOOKUP($BG106,INDIRECT(Adrese!F$2),9,FALSE)</f>
        <v>7.3951416000000006E-2</v>
      </c>
      <c r="BW106" s="5" t="str">
        <f t="shared" ca="1" si="40"/>
        <v>0.08 (0.00)</v>
      </c>
      <c r="BX106" s="5">
        <f t="shared" ca="1" si="49"/>
        <v>8.1574292098402029E-2</v>
      </c>
      <c r="BY106" s="5">
        <f t="shared" ca="1" si="41"/>
        <v>4.610080329024646E-3</v>
      </c>
    </row>
    <row r="107" spans="1:77" x14ac:dyDescent="0.25">
      <c r="A107" t="s">
        <v>165</v>
      </c>
      <c r="B107" s="12">
        <f ca="1">+VLOOKUP($A107,INDIRECT(Adrese!B$2),2,FALSE)</f>
        <v>105</v>
      </c>
      <c r="C107" s="12">
        <f ca="1">+VLOOKUP($A107,INDIRECT(Adrese!C$2),2,FALSE)</f>
        <v>101</v>
      </c>
      <c r="D107" s="12">
        <f ca="1">+VLOOKUP($A107,INDIRECT(Adrese!D$2),2,FALSE)</f>
        <v>106</v>
      </c>
      <c r="E107" s="12">
        <f ca="1">+VLOOKUP($A107,INDIRECT(Adrese!E$2),2,FALSE)</f>
        <v>108</v>
      </c>
      <c r="F107" s="12">
        <f ca="1">+VLOOKUP($A107,INDIRECT(Adrese!F$2),2,FALSE)</f>
        <v>92</v>
      </c>
      <c r="G107" s="5">
        <f t="shared" ca="1" si="42"/>
        <v>102.4</v>
      </c>
      <c r="H107" s="5">
        <f t="shared" ca="1" si="29"/>
        <v>6.3482280992415507</v>
      </c>
      <c r="J107" t="s">
        <v>165</v>
      </c>
      <c r="K107">
        <f ca="1">+VLOOKUP($A107,INDIRECT(Adrese!B$2),3,FALSE)</f>
        <v>22</v>
      </c>
      <c r="L107">
        <f ca="1">+VLOOKUP($A107,INDIRECT(Adrese!C$2),3,FALSE)</f>
        <v>23</v>
      </c>
      <c r="M107">
        <f ca="1">+VLOOKUP($A107,INDIRECT(Adrese!D$2),3,FALSE)</f>
        <v>29</v>
      </c>
      <c r="N107">
        <f ca="1">+VLOOKUP($A107,INDIRECT(Adrese!E$2),3,FALSE)</f>
        <v>27</v>
      </c>
      <c r="O107">
        <f ca="1">+VLOOKUP($A107,INDIRECT(Adrese!F$2),3,FALSE)</f>
        <v>27</v>
      </c>
      <c r="P107" s="5">
        <f t="shared" ca="1" si="43"/>
        <v>25.6</v>
      </c>
      <c r="Q107" s="5">
        <f t="shared" ca="1" si="30"/>
        <v>2.9664793948382577</v>
      </c>
      <c r="T107" t="s">
        <v>165</v>
      </c>
      <c r="U107">
        <f ca="1">+VLOOKUP($T107,INDIRECT(Adrese!B$2),4,FALSE)</f>
        <v>117002</v>
      </c>
      <c r="V107">
        <f ca="1">+VLOOKUP($T107,INDIRECT(Adrese!C$2),4,FALSE)</f>
        <v>116916</v>
      </c>
      <c r="W107">
        <f ca="1">+VLOOKUP($T107,INDIRECT(Adrese!D$2),4,FALSE)</f>
        <v>116742</v>
      </c>
      <c r="X107">
        <f ca="1">+VLOOKUP($T107,INDIRECT(Adrese!E$2),4,FALSE)</f>
        <v>116355</v>
      </c>
      <c r="Y107">
        <f ca="1">+VLOOKUP($T107,INDIRECT(Adrese!F$2),4,FALSE)</f>
        <v>117601</v>
      </c>
      <c r="Z107">
        <f t="shared" ca="1" si="31"/>
        <v>584616</v>
      </c>
      <c r="AA107" s="5">
        <f t="shared" ca="1" si="44"/>
        <v>116923.2</v>
      </c>
      <c r="AB107" s="5">
        <f t="shared" ca="1" si="32"/>
        <v>453.14423752266782</v>
      </c>
      <c r="AD107" t="s">
        <v>165</v>
      </c>
      <c r="AE107">
        <f ca="1">+VLOOKUP($A107,INDIRECT(Adrese!B$2),5,FALSE)</f>
        <v>35429</v>
      </c>
      <c r="AF107">
        <f ca="1">+VLOOKUP($A107,INDIRECT(Adrese!C$2),5,FALSE)</f>
        <v>35329</v>
      </c>
      <c r="AG107">
        <f ca="1">+VLOOKUP($A107,INDIRECT(Adrese!D$2),5,FALSE)</f>
        <v>35144</v>
      </c>
      <c r="AH107">
        <f ca="1">+VLOOKUP($A107,INDIRECT(Adrese!E$2),5,FALSE)</f>
        <v>35094</v>
      </c>
      <c r="AI107">
        <f ca="1">+VLOOKUP($A107,INDIRECT(Adrese!F$2),5,FALSE)</f>
        <v>35545</v>
      </c>
      <c r="AJ107" s="5">
        <f t="shared" ca="1" si="45"/>
        <v>35308.199999999997</v>
      </c>
      <c r="AK107" s="5">
        <f t="shared" ca="1" si="33"/>
        <v>189.69897205836409</v>
      </c>
      <c r="AM107" t="s">
        <v>165</v>
      </c>
      <c r="AN107" s="5">
        <f ca="1">+VLOOKUP($A107,INDIRECT(Adrese!B$2),6,FALSE)</f>
        <v>0.77940265486725668</v>
      </c>
      <c r="AO107" s="5">
        <f ca="1">+VLOOKUP($A107,INDIRECT(Adrese!C$2),6,FALSE)</f>
        <v>0.77719026499999999</v>
      </c>
      <c r="AP107" s="5">
        <f ca="1">+VLOOKUP($A107,INDIRECT(Adrese!D$2),6,FALSE)</f>
        <v>0.77309734500000005</v>
      </c>
      <c r="AQ107" s="5">
        <f ca="1">+VLOOKUP($A107,INDIRECT(Adrese!E$2),6,FALSE)</f>
        <v>0.77199114999999996</v>
      </c>
      <c r="AR107" s="5">
        <f ca="1">+VLOOKUP($A107,INDIRECT(Adrese!F$2),6,FALSE)</f>
        <v>0.78196902700000004</v>
      </c>
      <c r="AS107" s="5" t="str">
        <f t="shared" ca="1" si="34"/>
        <v>0.78 (0.00)</v>
      </c>
      <c r="AT107" s="5">
        <f t="shared" ca="1" si="46"/>
        <v>0.77673008837345137</v>
      </c>
      <c r="AU107" s="5">
        <f t="shared" ca="1" si="35"/>
        <v>4.1968801939327787E-3</v>
      </c>
      <c r="AW107" t="s">
        <v>165</v>
      </c>
      <c r="AX107" s="5">
        <f ca="1">+VLOOKUP($A107,INDIRECT(Adrese!B$2),7,FALSE)</f>
        <v>0.90265486725663713</v>
      </c>
      <c r="AY107" s="5">
        <f ca="1">+VLOOKUP($A107,INDIRECT(Adrese!C$2),7,FALSE)</f>
        <v>0.89823008800000004</v>
      </c>
      <c r="AZ107" s="5">
        <f ca="1">+VLOOKUP($A107,INDIRECT(Adrese!D$2),7,FALSE)</f>
        <v>0.87168141600000004</v>
      </c>
      <c r="BA107" s="5">
        <f ca="1">+VLOOKUP($A107,INDIRECT(Adrese!E$2),7,FALSE)</f>
        <v>0.88053097300000005</v>
      </c>
      <c r="BB107" s="5">
        <f ca="1">+VLOOKUP($A107,INDIRECT(Adrese!F$2),7,FALSE)</f>
        <v>0.88053097300000005</v>
      </c>
      <c r="BC107" s="5" t="str">
        <f t="shared" ca="1" si="36"/>
        <v>0.89 (0.01)</v>
      </c>
      <c r="BD107">
        <f t="shared" ca="1" si="47"/>
        <v>0.88672566345132753</v>
      </c>
      <c r="BE107" s="5">
        <f t="shared" ca="1" si="37"/>
        <v>1.3126014999034338E-2</v>
      </c>
      <c r="BG107" t="s">
        <v>165</v>
      </c>
      <c r="BH107" s="5">
        <f ca="1">+VLOOKUP($BG107,INDIRECT(Adrese!B$2),8,FALSE)</f>
        <v>7.9420180531232454E-2</v>
      </c>
      <c r="BI107" s="5">
        <f ca="1">+VLOOKUP($BG107,INDIRECT(Adrese!C$2),8,FALSE)</f>
        <v>7.9276830000000006E-2</v>
      </c>
      <c r="BJ107" s="5">
        <f ca="1">+VLOOKUP($BG107,INDIRECT(Adrese!D$2),8,FALSE)</f>
        <v>7.8640730000000006E-2</v>
      </c>
      <c r="BK107" s="5">
        <f ca="1">+VLOOKUP($BG107,INDIRECT(Adrese!E$2),8,FALSE)</f>
        <v>7.8530362000000006E-2</v>
      </c>
      <c r="BL107" s="5">
        <f ca="1">+VLOOKUP($BG107,INDIRECT(Adrese!F$2),8,FALSE)</f>
        <v>7.9438536000000004E-2</v>
      </c>
      <c r="BM107" s="5" t="str">
        <f t="shared" ca="1" si="38"/>
        <v>0.08 (0.00)</v>
      </c>
      <c r="BN107" s="5">
        <f t="shared" ca="1" si="48"/>
        <v>7.9061327706246493E-2</v>
      </c>
      <c r="BO107" s="5">
        <f t="shared" ca="1" si="39"/>
        <v>4.4054786834108671E-4</v>
      </c>
      <c r="BQ107" t="s">
        <v>165</v>
      </c>
      <c r="BR107" s="5">
        <f ca="1">+VLOOKUP($BG107,INDIRECT(Adrese!B$2),9,FALSE)</f>
        <v>8.9236807586257377E-2</v>
      </c>
      <c r="BS107" s="5">
        <f ca="1">+VLOOKUP($BG107,INDIRECT(Adrese!C$2),9,FALSE)</f>
        <v>8.8827788000000005E-2</v>
      </c>
      <c r="BT107" s="5">
        <f ca="1">+VLOOKUP($BG107,INDIRECT(Adrese!D$2),9,FALSE)</f>
        <v>8.6757023000000003E-2</v>
      </c>
      <c r="BU107" s="5">
        <f ca="1">+VLOOKUP($BG107,INDIRECT(Adrese!E$2),9,FALSE)</f>
        <v>8.6850842999999997E-2</v>
      </c>
      <c r="BV107" s="5">
        <f ca="1">+VLOOKUP($BG107,INDIRECT(Adrese!F$2),9,FALSE)</f>
        <v>8.8162250999999997E-2</v>
      </c>
      <c r="BW107" s="5" t="str">
        <f t="shared" ca="1" si="40"/>
        <v>0.09 (0.00)</v>
      </c>
      <c r="BX107" s="5">
        <f t="shared" ca="1" si="49"/>
        <v>8.7966942517251484E-2</v>
      </c>
      <c r="BY107" s="5">
        <f t="shared" ca="1" si="41"/>
        <v>1.1293074219093822E-3</v>
      </c>
    </row>
    <row r="108" spans="1:77" x14ac:dyDescent="0.25">
      <c r="A108" t="s">
        <v>166</v>
      </c>
      <c r="B108" s="12">
        <f ca="1">+VLOOKUP($A108,INDIRECT(Adrese!B$2),2,FALSE)</f>
        <v>106</v>
      </c>
      <c r="C108" s="12">
        <f ca="1">+VLOOKUP($A108,INDIRECT(Adrese!C$2),2,FALSE)</f>
        <v>97</v>
      </c>
      <c r="D108" s="12">
        <f ca="1">+VLOOKUP($A108,INDIRECT(Adrese!D$2),2,FALSE)</f>
        <v>112</v>
      </c>
      <c r="E108" s="12">
        <f ca="1">+VLOOKUP($A108,INDIRECT(Adrese!E$2),2,FALSE)</f>
        <v>110</v>
      </c>
      <c r="F108" s="12">
        <f ca="1">+VLOOKUP($A108,INDIRECT(Adrese!F$2),2,FALSE)</f>
        <v>109</v>
      </c>
      <c r="G108" s="5">
        <f t="shared" ca="1" si="42"/>
        <v>106.8</v>
      </c>
      <c r="H108" s="5">
        <f t="shared" ca="1" si="29"/>
        <v>5.8906705900092566</v>
      </c>
      <c r="J108" t="s">
        <v>166</v>
      </c>
      <c r="K108">
        <f ca="1">+VLOOKUP($A108,INDIRECT(Adrese!B$2),3,FALSE)</f>
        <v>23</v>
      </c>
      <c r="L108">
        <f ca="1">+VLOOKUP($A108,INDIRECT(Adrese!C$2),3,FALSE)</f>
        <v>26</v>
      </c>
      <c r="M108">
        <f ca="1">+VLOOKUP($A108,INDIRECT(Adrese!D$2),3,FALSE)</f>
        <v>25</v>
      </c>
      <c r="N108">
        <f ca="1">+VLOOKUP($A108,INDIRECT(Adrese!E$2),3,FALSE)</f>
        <v>26</v>
      </c>
      <c r="O108">
        <f ca="1">+VLOOKUP($A108,INDIRECT(Adrese!F$2),3,FALSE)</f>
        <v>22</v>
      </c>
      <c r="P108" s="5">
        <f t="shared" ca="1" si="43"/>
        <v>24.4</v>
      </c>
      <c r="Q108" s="5">
        <f t="shared" ca="1" si="30"/>
        <v>1.8165902124584949</v>
      </c>
      <c r="T108" t="s">
        <v>166</v>
      </c>
      <c r="U108">
        <f ca="1">+VLOOKUP($T108,INDIRECT(Adrese!B$2),4,FALSE)</f>
        <v>116998</v>
      </c>
      <c r="V108">
        <f ca="1">+VLOOKUP($T108,INDIRECT(Adrese!C$2),4,FALSE)</f>
        <v>117236</v>
      </c>
      <c r="W108">
        <f ca="1">+VLOOKUP($T108,INDIRECT(Adrese!D$2),4,FALSE)</f>
        <v>116197</v>
      </c>
      <c r="X108">
        <f ca="1">+VLOOKUP($T108,INDIRECT(Adrese!E$2),4,FALSE)</f>
        <v>116154</v>
      </c>
      <c r="Y108">
        <f ca="1">+VLOOKUP($T108,INDIRECT(Adrese!F$2),4,FALSE)</f>
        <v>116280</v>
      </c>
      <c r="Z108">
        <f t="shared" ca="1" si="31"/>
        <v>582865</v>
      </c>
      <c r="AA108" s="5">
        <f t="shared" ca="1" si="44"/>
        <v>116573</v>
      </c>
      <c r="AB108" s="5">
        <f t="shared" ca="1" si="32"/>
        <v>505.71236884221054</v>
      </c>
      <c r="AD108" t="s">
        <v>166</v>
      </c>
      <c r="AE108">
        <f ca="1">+VLOOKUP($A108,INDIRECT(Adrese!B$2),5,FALSE)</f>
        <v>35969</v>
      </c>
      <c r="AF108">
        <f ca="1">+VLOOKUP($A108,INDIRECT(Adrese!C$2),5,FALSE)</f>
        <v>35878</v>
      </c>
      <c r="AG108">
        <f ca="1">+VLOOKUP($A108,INDIRECT(Adrese!D$2),5,FALSE)</f>
        <v>35345</v>
      </c>
      <c r="AH108">
        <f ca="1">+VLOOKUP($A108,INDIRECT(Adrese!E$2),5,FALSE)</f>
        <v>35616</v>
      </c>
      <c r="AI108">
        <f ca="1">+VLOOKUP($A108,INDIRECT(Adrese!F$2),5,FALSE)</f>
        <v>35523</v>
      </c>
      <c r="AJ108" s="5">
        <f t="shared" ca="1" si="45"/>
        <v>35666.199999999997</v>
      </c>
      <c r="AK108" s="5">
        <f t="shared" ca="1" si="33"/>
        <v>256.29221603474423</v>
      </c>
      <c r="AM108" t="s">
        <v>166</v>
      </c>
      <c r="AN108" s="5">
        <f ca="1">+VLOOKUP($A108,INDIRECT(Adrese!B$2),6,FALSE)</f>
        <v>0.79134955752212388</v>
      </c>
      <c r="AO108" s="5">
        <f ca="1">+VLOOKUP($A108,INDIRECT(Adrese!C$2),6,FALSE)</f>
        <v>0.78933628300000003</v>
      </c>
      <c r="AP108" s="5">
        <f ca="1">+VLOOKUP($A108,INDIRECT(Adrese!D$2),6,FALSE)</f>
        <v>0.77754424799999999</v>
      </c>
      <c r="AQ108" s="5">
        <f ca="1">+VLOOKUP($A108,INDIRECT(Adrese!E$2),6,FALSE)</f>
        <v>0.78353982300000002</v>
      </c>
      <c r="AR108" s="5">
        <f ca="1">+VLOOKUP($A108,INDIRECT(Adrese!F$2),6,FALSE)</f>
        <v>0.78148230100000005</v>
      </c>
      <c r="AS108" s="5" t="str">
        <f t="shared" ca="1" si="34"/>
        <v>0.78 (0.01)</v>
      </c>
      <c r="AT108" s="5">
        <f t="shared" ca="1" si="46"/>
        <v>0.78465044250442473</v>
      </c>
      <c r="AU108" s="5">
        <f t="shared" ca="1" si="35"/>
        <v>5.6701816501043166E-3</v>
      </c>
      <c r="AW108" t="s">
        <v>166</v>
      </c>
      <c r="AX108" s="5">
        <f ca="1">+VLOOKUP($A108,INDIRECT(Adrese!B$2),7,FALSE)</f>
        <v>0.89823008849557517</v>
      </c>
      <c r="AY108" s="5">
        <f ca="1">+VLOOKUP($A108,INDIRECT(Adrese!C$2),7,FALSE)</f>
        <v>0.88495575199999998</v>
      </c>
      <c r="AZ108" s="5">
        <f ca="1">+VLOOKUP($A108,INDIRECT(Adrese!D$2),7,FALSE)</f>
        <v>0.88938053100000003</v>
      </c>
      <c r="BA108" s="5">
        <f ca="1">+VLOOKUP($A108,INDIRECT(Adrese!E$2),7,FALSE)</f>
        <v>0.88495575199999998</v>
      </c>
      <c r="BB108" s="5">
        <f ca="1">+VLOOKUP($A108,INDIRECT(Adrese!F$2),7,FALSE)</f>
        <v>0.90265486699999997</v>
      </c>
      <c r="BC108" s="5" t="str">
        <f t="shared" ca="1" si="36"/>
        <v>0.89 (0.01)</v>
      </c>
      <c r="BD108">
        <f t="shared" ca="1" si="47"/>
        <v>0.89203539809911503</v>
      </c>
      <c r="BE108" s="5">
        <f t="shared" ca="1" si="37"/>
        <v>8.0380097962158992E-3</v>
      </c>
      <c r="BG108" t="s">
        <v>166</v>
      </c>
      <c r="BH108" s="5">
        <f ca="1">+VLOOKUP($BG108,INDIRECT(Adrese!B$2),8,FALSE)</f>
        <v>7.9965742672552229E-2</v>
      </c>
      <c r="BI108" s="5">
        <f ca="1">+VLOOKUP($BG108,INDIRECT(Adrese!C$2),8,FALSE)</f>
        <v>7.9579740999999996E-2</v>
      </c>
      <c r="BJ108" s="5">
        <f ca="1">+VLOOKUP($BG108,INDIRECT(Adrese!D$2),8,FALSE)</f>
        <v>7.8936709999999993E-2</v>
      </c>
      <c r="BK108" s="5">
        <f ca="1">+VLOOKUP($BG108,INDIRECT(Adrese!E$2),8,FALSE)</f>
        <v>7.9325439999999997E-2</v>
      </c>
      <c r="BL108" s="5">
        <f ca="1">+VLOOKUP($BG108,INDIRECT(Adrese!F$2),8,FALSE)</f>
        <v>7.9119110000000006E-2</v>
      </c>
      <c r="BM108" s="5" t="str">
        <f t="shared" ca="1" si="38"/>
        <v>0.08 (0.00)</v>
      </c>
      <c r="BN108" s="5">
        <f t="shared" ca="1" si="48"/>
        <v>7.9385348734510447E-2</v>
      </c>
      <c r="BO108" s="5">
        <f t="shared" ca="1" si="39"/>
        <v>4.0323513938064483E-4</v>
      </c>
      <c r="BQ108" t="s">
        <v>166</v>
      </c>
      <c r="BR108" s="5">
        <f ca="1">+VLOOKUP($BG108,INDIRECT(Adrese!B$2),9,FALSE)</f>
        <v>8.8226488272139747E-2</v>
      </c>
      <c r="BS108" s="5">
        <f ca="1">+VLOOKUP($BG108,INDIRECT(Adrese!C$2),9,FALSE)</f>
        <v>8.7231958999999998E-2</v>
      </c>
      <c r="BT108" s="5">
        <f ca="1">+VLOOKUP($BG108,INDIRECT(Adrese!D$2),9,FALSE)</f>
        <v>8.7248045999999996E-2</v>
      </c>
      <c r="BU108" s="5">
        <f ca="1">+VLOOKUP($BG108,INDIRECT(Adrese!E$2),9,FALSE)</f>
        <v>8.7382878999999997E-2</v>
      </c>
      <c r="BV108" s="5">
        <f ca="1">+VLOOKUP($BG108,INDIRECT(Adrese!F$2),9,FALSE)</f>
        <v>8.6856720999999998E-2</v>
      </c>
      <c r="BW108" s="5" t="str">
        <f t="shared" ca="1" si="40"/>
        <v>0.09 (0.00)</v>
      </c>
      <c r="BX108" s="5">
        <f t="shared" ca="1" si="49"/>
        <v>8.7389218654427947E-2</v>
      </c>
      <c r="BY108" s="5">
        <f t="shared" ca="1" si="41"/>
        <v>5.0726587535577161E-4</v>
      </c>
    </row>
    <row r="109" spans="1:77" x14ac:dyDescent="0.25">
      <c r="A109" t="s">
        <v>167</v>
      </c>
      <c r="B109" s="12">
        <f ca="1">+VLOOKUP($A109,INDIRECT(Adrese!B$2),2,FALSE)</f>
        <v>107</v>
      </c>
      <c r="C109" s="12">
        <f ca="1">+VLOOKUP($A109,INDIRECT(Adrese!C$2),2,FALSE)</f>
        <v>110</v>
      </c>
      <c r="D109" s="12">
        <f ca="1">+VLOOKUP($A109,INDIRECT(Adrese!D$2),2,FALSE)</f>
        <v>101</v>
      </c>
      <c r="E109" s="12">
        <f ca="1">+VLOOKUP($A109,INDIRECT(Adrese!E$2),2,FALSE)</f>
        <v>96</v>
      </c>
      <c r="F109" s="12">
        <f ca="1">+VLOOKUP($A109,INDIRECT(Adrese!F$2),2,FALSE)</f>
        <v>103</v>
      </c>
      <c r="G109" s="5">
        <f t="shared" ca="1" si="42"/>
        <v>103.4</v>
      </c>
      <c r="H109" s="5">
        <f t="shared" ca="1" si="29"/>
        <v>5.4129474410897434</v>
      </c>
      <c r="J109" t="s">
        <v>167</v>
      </c>
      <c r="K109">
        <f ca="1">+VLOOKUP($A109,INDIRECT(Adrese!B$2),3,FALSE)</f>
        <v>10</v>
      </c>
      <c r="L109">
        <f ca="1">+VLOOKUP($A109,INDIRECT(Adrese!C$2),3,FALSE)</f>
        <v>10</v>
      </c>
      <c r="M109">
        <f ca="1">+VLOOKUP($A109,INDIRECT(Adrese!D$2),3,FALSE)</f>
        <v>10</v>
      </c>
      <c r="N109">
        <f ca="1">+VLOOKUP($A109,INDIRECT(Adrese!E$2),3,FALSE)</f>
        <v>12</v>
      </c>
      <c r="O109">
        <f ca="1">+VLOOKUP($A109,INDIRECT(Adrese!F$2),3,FALSE)</f>
        <v>11</v>
      </c>
      <c r="P109" s="5">
        <f t="shared" ca="1" si="43"/>
        <v>10.6</v>
      </c>
      <c r="Q109" s="5">
        <f t="shared" ca="1" si="30"/>
        <v>0.89442719099991586</v>
      </c>
      <c r="T109" t="s">
        <v>167</v>
      </c>
      <c r="U109">
        <f ca="1">+VLOOKUP($T109,INDIRECT(Adrese!B$2),4,FALSE)</f>
        <v>116530</v>
      </c>
      <c r="V109">
        <f ca="1">+VLOOKUP($T109,INDIRECT(Adrese!C$2),4,FALSE)</f>
        <v>116064</v>
      </c>
      <c r="W109">
        <f ca="1">+VLOOKUP($T109,INDIRECT(Adrese!D$2),4,FALSE)</f>
        <v>116928</v>
      </c>
      <c r="X109">
        <f ca="1">+VLOOKUP($T109,INDIRECT(Adrese!E$2),4,FALSE)</f>
        <v>117435</v>
      </c>
      <c r="Y109">
        <f ca="1">+VLOOKUP($T109,INDIRECT(Adrese!F$2),4,FALSE)</f>
        <v>116725</v>
      </c>
      <c r="Z109">
        <f t="shared" ca="1" si="31"/>
        <v>583682</v>
      </c>
      <c r="AA109" s="5">
        <f t="shared" ca="1" si="44"/>
        <v>116736.4</v>
      </c>
      <c r="AB109" s="5">
        <f t="shared" ca="1" si="32"/>
        <v>504.87750989720269</v>
      </c>
      <c r="AD109" t="s">
        <v>167</v>
      </c>
      <c r="AE109">
        <f ca="1">+VLOOKUP($A109,INDIRECT(Adrese!B$2),5,FALSE)</f>
        <v>39931</v>
      </c>
      <c r="AF109">
        <f ca="1">+VLOOKUP($A109,INDIRECT(Adrese!C$2),5,FALSE)</f>
        <v>39722</v>
      </c>
      <c r="AG109">
        <f ca="1">+VLOOKUP($A109,INDIRECT(Adrese!D$2),5,FALSE)</f>
        <v>40060</v>
      </c>
      <c r="AH109">
        <f ca="1">+VLOOKUP($A109,INDIRECT(Adrese!E$2),5,FALSE)</f>
        <v>39945</v>
      </c>
      <c r="AI109">
        <f ca="1">+VLOOKUP($A109,INDIRECT(Adrese!F$2),5,FALSE)</f>
        <v>39767</v>
      </c>
      <c r="AJ109" s="5">
        <f t="shared" ca="1" si="45"/>
        <v>39885</v>
      </c>
      <c r="AK109" s="5">
        <f t="shared" ca="1" si="33"/>
        <v>138.59473294465414</v>
      </c>
      <c r="AM109" t="s">
        <v>167</v>
      </c>
      <c r="AN109" s="5">
        <f ca="1">+VLOOKUP($A109,INDIRECT(Adrese!B$2),6,FALSE)</f>
        <v>0.87900442477876106</v>
      </c>
      <c r="AO109" s="5">
        <f ca="1">+VLOOKUP($A109,INDIRECT(Adrese!C$2),6,FALSE)</f>
        <v>0.87438053100000002</v>
      </c>
      <c r="AP109" s="5">
        <f ca="1">+VLOOKUP($A109,INDIRECT(Adrese!D$2),6,FALSE)</f>
        <v>0.88185840699999996</v>
      </c>
      <c r="AQ109" s="5">
        <f ca="1">+VLOOKUP($A109,INDIRECT(Adrese!E$2),6,FALSE)</f>
        <v>0.87931415899999998</v>
      </c>
      <c r="AR109" s="5">
        <f ca="1">+VLOOKUP($A109,INDIRECT(Adrese!F$2),6,FALSE)</f>
        <v>0.87537610600000004</v>
      </c>
      <c r="AS109" s="5" t="str">
        <f t="shared" ca="1" si="34"/>
        <v>0.88 (0.00)</v>
      </c>
      <c r="AT109" s="5">
        <f t="shared" ca="1" si="46"/>
        <v>0.87798672555575208</v>
      </c>
      <c r="AU109" s="5">
        <f t="shared" ca="1" si="35"/>
        <v>3.0662551305283225E-3</v>
      </c>
      <c r="AW109" t="s">
        <v>167</v>
      </c>
      <c r="AX109" s="5">
        <f ca="1">+VLOOKUP($A109,INDIRECT(Adrese!B$2),7,FALSE)</f>
        <v>0.95575221238938057</v>
      </c>
      <c r="AY109" s="5">
        <f ca="1">+VLOOKUP($A109,INDIRECT(Adrese!C$2),7,FALSE)</f>
        <v>0.95575221200000005</v>
      </c>
      <c r="AZ109" s="5">
        <f ca="1">+VLOOKUP($A109,INDIRECT(Adrese!D$2),7,FALSE)</f>
        <v>0.95575221200000005</v>
      </c>
      <c r="BA109" s="5">
        <f ca="1">+VLOOKUP($A109,INDIRECT(Adrese!E$2),7,FALSE)</f>
        <v>0.94690265500000004</v>
      </c>
      <c r="BB109" s="5">
        <f ca="1">+VLOOKUP($A109,INDIRECT(Adrese!F$2),7,FALSE)</f>
        <v>0.95132743399999997</v>
      </c>
      <c r="BC109" s="5" t="str">
        <f t="shared" ca="1" si="36"/>
        <v>0.95 (0.00)</v>
      </c>
      <c r="BD109">
        <f t="shared" ca="1" si="47"/>
        <v>0.95309734507787613</v>
      </c>
      <c r="BE109" s="5">
        <f t="shared" ca="1" si="37"/>
        <v>3.9576422139512403E-3</v>
      </c>
      <c r="BG109" t="s">
        <v>167</v>
      </c>
      <c r="BH109" s="5">
        <f ca="1">+VLOOKUP($BG109,INDIRECT(Adrese!B$2),8,FALSE)</f>
        <v>8.4721349182948907E-2</v>
      </c>
      <c r="BI109" s="5">
        <f ca="1">+VLOOKUP($BG109,INDIRECT(Adrese!C$2),8,FALSE)</f>
        <v>8.4612757999999996E-2</v>
      </c>
      <c r="BJ109" s="5">
        <f ca="1">+VLOOKUP($BG109,INDIRECT(Adrese!D$2),8,FALSE)</f>
        <v>8.5115287999999997E-2</v>
      </c>
      <c r="BK109" s="5">
        <f ca="1">+VLOOKUP($BG109,INDIRECT(Adrese!E$2),8,FALSE)</f>
        <v>8.4768675000000002E-2</v>
      </c>
      <c r="BL109" s="5">
        <f ca="1">+VLOOKUP($BG109,INDIRECT(Adrese!F$2),8,FALSE)</f>
        <v>8.4670875000000007E-2</v>
      </c>
      <c r="BM109" s="5" t="str">
        <f t="shared" ca="1" si="38"/>
        <v>0.08 (0.00)</v>
      </c>
      <c r="BN109" s="5">
        <f t="shared" ca="1" si="48"/>
        <v>8.4777789036589793E-2</v>
      </c>
      <c r="BO109" s="5">
        <f t="shared" ca="1" si="39"/>
        <v>1.9738283062538145E-4</v>
      </c>
      <c r="BQ109" t="s">
        <v>167</v>
      </c>
      <c r="BR109" s="5">
        <f ca="1">+VLOOKUP($BG109,INDIRECT(Adrese!B$2),9,FALSE)</f>
        <v>8.6200242537704794E-2</v>
      </c>
      <c r="BS109" s="5">
        <f ca="1">+VLOOKUP($BG109,INDIRECT(Adrese!C$2),9,FALSE)</f>
        <v>8.6927482E-2</v>
      </c>
      <c r="BT109" s="5">
        <f ca="1">+VLOOKUP($BG109,INDIRECT(Adrese!D$2),9,FALSE)</f>
        <v>8.6786123000000007E-2</v>
      </c>
      <c r="BU109" s="5">
        <f ca="1">+VLOOKUP($BG109,INDIRECT(Adrese!E$2),9,FALSE)</f>
        <v>8.6318112000000002E-2</v>
      </c>
      <c r="BV109" s="5">
        <f ca="1">+VLOOKUP($BG109,INDIRECT(Adrese!F$2),9,FALSE)</f>
        <v>8.6591232000000004E-2</v>
      </c>
      <c r="BW109" s="5" t="str">
        <f t="shared" ca="1" si="40"/>
        <v>0.09 (0.00)</v>
      </c>
      <c r="BX109" s="5">
        <f t="shared" ca="1" si="49"/>
        <v>8.6564638307540964E-2</v>
      </c>
      <c r="BY109" s="5">
        <f t="shared" ca="1" si="41"/>
        <v>3.0617712847870693E-4</v>
      </c>
    </row>
    <row r="110" spans="1:77" x14ac:dyDescent="0.25">
      <c r="A110" t="s">
        <v>168</v>
      </c>
      <c r="B110" s="12">
        <f ca="1">+VLOOKUP($A110,INDIRECT(Adrese!B$2),2,FALSE)</f>
        <v>108</v>
      </c>
      <c r="C110" s="12">
        <f ca="1">+VLOOKUP($A110,INDIRECT(Adrese!C$2),2,FALSE)</f>
        <v>113</v>
      </c>
      <c r="D110" s="12">
        <f ca="1">+VLOOKUP($A110,INDIRECT(Adrese!D$2),2,FALSE)</f>
        <v>102</v>
      </c>
      <c r="E110" s="12">
        <f ca="1">+VLOOKUP($A110,INDIRECT(Adrese!E$2),2,FALSE)</f>
        <v>105</v>
      </c>
      <c r="F110" s="12">
        <f ca="1">+VLOOKUP($A110,INDIRECT(Adrese!F$2),2,FALSE)</f>
        <v>106</v>
      </c>
      <c r="G110" s="5">
        <f t="shared" ca="1" si="42"/>
        <v>106.8</v>
      </c>
      <c r="H110" s="5">
        <f t="shared" ca="1" si="29"/>
        <v>4.0865633483405102</v>
      </c>
      <c r="J110" t="s">
        <v>168</v>
      </c>
      <c r="K110">
        <f ca="1">+VLOOKUP($A110,INDIRECT(Adrese!B$2),3,FALSE)</f>
        <v>70</v>
      </c>
      <c r="L110">
        <f ca="1">+VLOOKUP($A110,INDIRECT(Adrese!C$2),3,FALSE)</f>
        <v>69</v>
      </c>
      <c r="M110">
        <f ca="1">+VLOOKUP($A110,INDIRECT(Adrese!D$2),3,FALSE)</f>
        <v>72</v>
      </c>
      <c r="N110">
        <f ca="1">+VLOOKUP($A110,INDIRECT(Adrese!E$2),3,FALSE)</f>
        <v>73</v>
      </c>
      <c r="O110">
        <f ca="1">+VLOOKUP($A110,INDIRECT(Adrese!F$2),3,FALSE)</f>
        <v>74</v>
      </c>
      <c r="P110" s="5">
        <f t="shared" ca="1" si="43"/>
        <v>71.599999999999994</v>
      </c>
      <c r="Q110" s="5">
        <f t="shared" ca="1" si="30"/>
        <v>2.0736441353327719</v>
      </c>
      <c r="T110" t="s">
        <v>168</v>
      </c>
      <c r="U110">
        <f ca="1">+VLOOKUP($T110,INDIRECT(Adrese!B$2),4,FALSE)</f>
        <v>116440</v>
      </c>
      <c r="V110">
        <f ca="1">+VLOOKUP($T110,INDIRECT(Adrese!C$2),4,FALSE)</f>
        <v>115971</v>
      </c>
      <c r="W110">
        <f ca="1">+VLOOKUP($T110,INDIRECT(Adrese!D$2),4,FALSE)</f>
        <v>116892</v>
      </c>
      <c r="X110">
        <f ca="1">+VLOOKUP($T110,INDIRECT(Adrese!E$2),4,FALSE)</f>
        <v>116710</v>
      </c>
      <c r="Y110">
        <f ca="1">+VLOOKUP($T110,INDIRECT(Adrese!F$2),4,FALSE)</f>
        <v>116403</v>
      </c>
      <c r="Z110">
        <f t="shared" ca="1" si="31"/>
        <v>582416</v>
      </c>
      <c r="AA110" s="5">
        <f t="shared" ca="1" si="44"/>
        <v>116483.2</v>
      </c>
      <c r="AB110" s="5">
        <f t="shared" ca="1" si="32"/>
        <v>349.71516981680963</v>
      </c>
      <c r="AD110" t="s">
        <v>168</v>
      </c>
      <c r="AE110">
        <f ca="1">+VLOOKUP($A110,INDIRECT(Adrese!B$2),5,FALSE)</f>
        <v>29713</v>
      </c>
      <c r="AF110">
        <f ca="1">+VLOOKUP($A110,INDIRECT(Adrese!C$2),5,FALSE)</f>
        <v>29524</v>
      </c>
      <c r="AG110">
        <f ca="1">+VLOOKUP($A110,INDIRECT(Adrese!D$2),5,FALSE)</f>
        <v>29960</v>
      </c>
      <c r="AH110">
        <f ca="1">+VLOOKUP($A110,INDIRECT(Adrese!E$2),5,FALSE)</f>
        <v>29882</v>
      </c>
      <c r="AI110">
        <f ca="1">+VLOOKUP($A110,INDIRECT(Adrese!F$2),5,FALSE)</f>
        <v>29665</v>
      </c>
      <c r="AJ110" s="5">
        <f t="shared" ca="1" si="45"/>
        <v>29748.799999999999</v>
      </c>
      <c r="AK110" s="5">
        <f t="shared" ca="1" si="33"/>
        <v>174.05947259485765</v>
      </c>
      <c r="AM110" t="s">
        <v>168</v>
      </c>
      <c r="AN110" s="5">
        <f ca="1">+VLOOKUP($A110,INDIRECT(Adrese!B$2),6,FALSE)</f>
        <v>0.65294247787610615</v>
      </c>
      <c r="AO110" s="5">
        <f ca="1">+VLOOKUP($A110,INDIRECT(Adrese!C$2),6,FALSE)</f>
        <v>0.64876106200000005</v>
      </c>
      <c r="AP110" s="5">
        <f ca="1">+VLOOKUP($A110,INDIRECT(Adrese!D$2),6,FALSE)</f>
        <v>0.65840708000000003</v>
      </c>
      <c r="AQ110" s="5">
        <f ca="1">+VLOOKUP($A110,INDIRECT(Adrese!E$2),6,FALSE)</f>
        <v>0.65668141599999996</v>
      </c>
      <c r="AR110" s="5">
        <f ca="1">+VLOOKUP($A110,INDIRECT(Adrese!F$2),6,FALSE)</f>
        <v>0.65188053099999999</v>
      </c>
      <c r="AS110" s="5" t="str">
        <f t="shared" ca="1" si="34"/>
        <v>0.65 (0.00)</v>
      </c>
      <c r="AT110" s="5">
        <f t="shared" ca="1" si="46"/>
        <v>0.65373451337522126</v>
      </c>
      <c r="AU110" s="5">
        <f t="shared" ca="1" si="35"/>
        <v>3.8508733880804049E-3</v>
      </c>
      <c r="AW110" t="s">
        <v>168</v>
      </c>
      <c r="AX110" s="5">
        <f ca="1">+VLOOKUP($A110,INDIRECT(Adrese!B$2),7,FALSE)</f>
        <v>0.69026548672566368</v>
      </c>
      <c r="AY110" s="5">
        <f ca="1">+VLOOKUP($A110,INDIRECT(Adrese!C$2),7,FALSE)</f>
        <v>0.69469026499999997</v>
      </c>
      <c r="AZ110" s="5">
        <f ca="1">+VLOOKUP($A110,INDIRECT(Adrese!D$2),7,FALSE)</f>
        <v>0.68141592900000003</v>
      </c>
      <c r="BA110" s="5">
        <f ca="1">+VLOOKUP($A110,INDIRECT(Adrese!E$2),7,FALSE)</f>
        <v>0.67699114999999999</v>
      </c>
      <c r="BB110" s="5">
        <f ca="1">+VLOOKUP($A110,INDIRECT(Adrese!F$2),7,FALSE)</f>
        <v>0.67256637200000002</v>
      </c>
      <c r="BC110" s="5" t="str">
        <f t="shared" ca="1" si="36"/>
        <v>0.68 (0.01)</v>
      </c>
      <c r="BD110">
        <f t="shared" ca="1" si="47"/>
        <v>0.68318584054513276</v>
      </c>
      <c r="BE110" s="5">
        <f t="shared" ca="1" si="37"/>
        <v>9.1754163677713833E-3</v>
      </c>
      <c r="BG110" t="s">
        <v>168</v>
      </c>
      <c r="BH110" s="5">
        <f ca="1">+VLOOKUP($BG110,INDIRECT(Adrese!B$2),8,FALSE)</f>
        <v>7.0205026762446526E-2</v>
      </c>
      <c r="BI110" s="5">
        <f ca="1">+VLOOKUP($BG110,INDIRECT(Adrese!C$2),8,FALSE)</f>
        <v>6.9916033000000002E-2</v>
      </c>
      <c r="BJ110" s="5">
        <f ca="1">+VLOOKUP($BG110,INDIRECT(Adrese!D$2),8,FALSE)</f>
        <v>7.0651723E-2</v>
      </c>
      <c r="BK110" s="5">
        <f ca="1">+VLOOKUP($BG110,INDIRECT(Adrese!E$2),8,FALSE)</f>
        <v>7.0451667999999995E-2</v>
      </c>
      <c r="BL110" s="5">
        <f ca="1">+VLOOKUP($BG110,INDIRECT(Adrese!F$2),8,FALSE)</f>
        <v>7.0215003999999998E-2</v>
      </c>
      <c r="BM110" s="5" t="str">
        <f t="shared" ca="1" si="38"/>
        <v>0.07 (0.00)</v>
      </c>
      <c r="BN110" s="5">
        <f t="shared" ca="1" si="48"/>
        <v>7.0287890952489301E-2</v>
      </c>
      <c r="BO110" s="5">
        <f t="shared" ca="1" si="39"/>
        <v>2.7823281561998751E-4</v>
      </c>
      <c r="BQ110" t="s">
        <v>168</v>
      </c>
      <c r="BR110" s="5">
        <f ca="1">+VLOOKUP($BG110,INDIRECT(Adrese!B$2),9,FALSE)</f>
        <v>8.1489434295055799E-2</v>
      </c>
      <c r="BS110" s="5">
        <f ca="1">+VLOOKUP($BG110,INDIRECT(Adrese!C$2),9,FALSE)</f>
        <v>8.1567234000000002E-2</v>
      </c>
      <c r="BT110" s="5">
        <f ca="1">+VLOOKUP($BG110,INDIRECT(Adrese!D$2),9,FALSE)</f>
        <v>8.2223904E-2</v>
      </c>
      <c r="BU110" s="5">
        <f ca="1">+VLOOKUP($BG110,INDIRECT(Adrese!E$2),9,FALSE)</f>
        <v>8.1681686000000003E-2</v>
      </c>
      <c r="BV110" s="5">
        <f ca="1">+VLOOKUP($BG110,INDIRECT(Adrese!F$2),9,FALSE)</f>
        <v>8.1695939999999995E-2</v>
      </c>
      <c r="BW110" s="5" t="str">
        <f t="shared" ca="1" si="40"/>
        <v>0.08 (0.00)</v>
      </c>
      <c r="BX110" s="5">
        <f t="shared" ca="1" si="49"/>
        <v>8.173163965901116E-2</v>
      </c>
      <c r="BY110" s="5">
        <f t="shared" ca="1" si="41"/>
        <v>2.8800463284248389E-4</v>
      </c>
    </row>
    <row r="111" spans="1:77" x14ac:dyDescent="0.25">
      <c r="A111" t="s">
        <v>169</v>
      </c>
      <c r="B111" s="12">
        <f ca="1">+VLOOKUP($A111,INDIRECT(Adrese!B$2),2,FALSE)</f>
        <v>109</v>
      </c>
      <c r="C111" s="12">
        <f ca="1">+VLOOKUP($A111,INDIRECT(Adrese!C$2),2,FALSE)</f>
        <v>105</v>
      </c>
      <c r="D111" s="12">
        <f ca="1">+VLOOKUP($A111,INDIRECT(Adrese!D$2),2,FALSE)</f>
        <v>107</v>
      </c>
      <c r="E111" s="12">
        <f ca="1">+VLOOKUP($A111,INDIRECT(Adrese!E$2),2,FALSE)</f>
        <v>103</v>
      </c>
      <c r="F111" s="12">
        <f ca="1">+VLOOKUP($A111,INDIRECT(Adrese!F$2),2,FALSE)</f>
        <v>113</v>
      </c>
      <c r="G111" s="5">
        <f t="shared" ca="1" si="42"/>
        <v>107.4</v>
      </c>
      <c r="H111" s="5">
        <f t="shared" ca="1" si="29"/>
        <v>3.8470768123342687</v>
      </c>
      <c r="J111" t="s">
        <v>169</v>
      </c>
      <c r="K111">
        <f ca="1">+VLOOKUP($A111,INDIRECT(Adrese!B$2),3,FALSE)</f>
        <v>23</v>
      </c>
      <c r="L111">
        <f ca="1">+VLOOKUP($A111,INDIRECT(Adrese!C$2),3,FALSE)</f>
        <v>24</v>
      </c>
      <c r="M111">
        <f ca="1">+VLOOKUP($A111,INDIRECT(Adrese!D$2),3,FALSE)</f>
        <v>24</v>
      </c>
      <c r="N111">
        <f ca="1">+VLOOKUP($A111,INDIRECT(Adrese!E$2),3,FALSE)</f>
        <v>24</v>
      </c>
      <c r="O111">
        <f ca="1">+VLOOKUP($A111,INDIRECT(Adrese!F$2),3,FALSE)</f>
        <v>25</v>
      </c>
      <c r="P111" s="5">
        <f t="shared" ca="1" si="43"/>
        <v>24</v>
      </c>
      <c r="Q111" s="5">
        <f t="shared" ca="1" si="30"/>
        <v>0.70710678118654757</v>
      </c>
      <c r="T111" t="s">
        <v>169</v>
      </c>
      <c r="U111">
        <f ca="1">+VLOOKUP($T111,INDIRECT(Adrese!B$2),4,FALSE)</f>
        <v>116299</v>
      </c>
      <c r="V111">
        <f ca="1">+VLOOKUP($T111,INDIRECT(Adrese!C$2),4,FALSE)</f>
        <v>116592</v>
      </c>
      <c r="W111">
        <f ca="1">+VLOOKUP($T111,INDIRECT(Adrese!D$2),4,FALSE)</f>
        <v>116724</v>
      </c>
      <c r="X111">
        <f ca="1">+VLOOKUP($T111,INDIRECT(Adrese!E$2),4,FALSE)</f>
        <v>116812</v>
      </c>
      <c r="Y111">
        <f ca="1">+VLOOKUP($T111,INDIRECT(Adrese!F$2),4,FALSE)</f>
        <v>115585</v>
      </c>
      <c r="Z111">
        <f t="shared" ca="1" si="31"/>
        <v>582012</v>
      </c>
      <c r="AA111" s="5">
        <f t="shared" ca="1" si="44"/>
        <v>116402.4</v>
      </c>
      <c r="AB111" s="5">
        <f t="shared" ca="1" si="32"/>
        <v>496.48293022016372</v>
      </c>
      <c r="AD111" t="s">
        <v>169</v>
      </c>
      <c r="AE111">
        <f ca="1">+VLOOKUP($A111,INDIRECT(Adrese!B$2),5,FALSE)</f>
        <v>35116</v>
      </c>
      <c r="AF111">
        <f ca="1">+VLOOKUP($A111,INDIRECT(Adrese!C$2),5,FALSE)</f>
        <v>34803</v>
      </c>
      <c r="AG111">
        <f ca="1">+VLOOKUP($A111,INDIRECT(Adrese!D$2),5,FALSE)</f>
        <v>35060</v>
      </c>
      <c r="AH111">
        <f ca="1">+VLOOKUP($A111,INDIRECT(Adrese!E$2),5,FALSE)</f>
        <v>35218</v>
      </c>
      <c r="AI111">
        <f ca="1">+VLOOKUP($A111,INDIRECT(Adrese!F$2),5,FALSE)</f>
        <v>34743</v>
      </c>
      <c r="AJ111" s="5">
        <f t="shared" ca="1" si="45"/>
        <v>34988</v>
      </c>
      <c r="AK111" s="5">
        <f t="shared" ca="1" si="33"/>
        <v>205.37648356128801</v>
      </c>
      <c r="AM111" t="s">
        <v>169</v>
      </c>
      <c r="AN111" s="5">
        <f ca="1">+VLOOKUP($A111,INDIRECT(Adrese!B$2),6,FALSE)</f>
        <v>0.77247787610619467</v>
      </c>
      <c r="AO111" s="5">
        <f ca="1">+VLOOKUP($A111,INDIRECT(Adrese!C$2),6,FALSE)</f>
        <v>0.76555309699999996</v>
      </c>
      <c r="AP111" s="5">
        <f ca="1">+VLOOKUP($A111,INDIRECT(Adrese!D$2),6,FALSE)</f>
        <v>0.77123893799999998</v>
      </c>
      <c r="AQ111" s="5">
        <f ca="1">+VLOOKUP($A111,INDIRECT(Adrese!E$2),6,FALSE)</f>
        <v>0.77473451299999996</v>
      </c>
      <c r="AR111" s="5">
        <f ca="1">+VLOOKUP($A111,INDIRECT(Adrese!F$2),6,FALSE)</f>
        <v>0.76422566400000003</v>
      </c>
      <c r="AS111" s="5" t="str">
        <f t="shared" ca="1" si="34"/>
        <v>0.77 (0.00)</v>
      </c>
      <c r="AT111" s="5">
        <f t="shared" ca="1" si="46"/>
        <v>0.76964601762123885</v>
      </c>
      <c r="AU111" s="5">
        <f t="shared" ca="1" si="35"/>
        <v>4.5437274242245565E-3</v>
      </c>
      <c r="AW111" t="s">
        <v>169</v>
      </c>
      <c r="AX111" s="5">
        <f ca="1">+VLOOKUP($A111,INDIRECT(Adrese!B$2),7,FALSE)</f>
        <v>0.89823008849557517</v>
      </c>
      <c r="AY111" s="5">
        <f ca="1">+VLOOKUP($A111,INDIRECT(Adrese!C$2),7,FALSE)</f>
        <v>0.89380530999999996</v>
      </c>
      <c r="AZ111" s="5">
        <f ca="1">+VLOOKUP($A111,INDIRECT(Adrese!D$2),7,FALSE)</f>
        <v>0.89380530999999996</v>
      </c>
      <c r="BA111" s="5">
        <f ca="1">+VLOOKUP($A111,INDIRECT(Adrese!E$2),7,FALSE)</f>
        <v>0.89380530999999996</v>
      </c>
      <c r="BB111" s="5">
        <f ca="1">+VLOOKUP($A111,INDIRECT(Adrese!F$2),7,FALSE)</f>
        <v>0.88938053100000003</v>
      </c>
      <c r="BC111" s="5" t="str">
        <f t="shared" ca="1" si="36"/>
        <v>0.89 (0.00)</v>
      </c>
      <c r="BD111">
        <f t="shared" ca="1" si="47"/>
        <v>0.893805309899115</v>
      </c>
      <c r="BE111" s="5">
        <f t="shared" ca="1" si="37"/>
        <v>3.1287910578107155E-3</v>
      </c>
      <c r="BG111" t="s">
        <v>169</v>
      </c>
      <c r="BH111" s="5">
        <f ca="1">+VLOOKUP($BG111,INDIRECT(Adrese!B$2),8,FALSE)</f>
        <v>7.4920872467458488E-2</v>
      </c>
      <c r="BI111" s="5">
        <f ca="1">+VLOOKUP($BG111,INDIRECT(Adrese!C$2),8,FALSE)</f>
        <v>7.4237716999999995E-2</v>
      </c>
      <c r="BJ111" s="5">
        <f ca="1">+VLOOKUP($BG111,INDIRECT(Adrese!D$2),8,FALSE)</f>
        <v>7.4721396999999995E-2</v>
      </c>
      <c r="BK111" s="5">
        <f ca="1">+VLOOKUP($BG111,INDIRECT(Adrese!E$2),8,FALSE)</f>
        <v>7.4909569999999995E-2</v>
      </c>
      <c r="BL111" s="5">
        <f ca="1">+VLOOKUP($BG111,INDIRECT(Adrese!F$2),8,FALSE)</f>
        <v>7.4493755999999994E-2</v>
      </c>
      <c r="BM111" s="5" t="str">
        <f t="shared" ca="1" si="38"/>
        <v>0.07 (0.00)</v>
      </c>
      <c r="BN111" s="5">
        <f t="shared" ca="1" si="48"/>
        <v>7.4656662493491704E-2</v>
      </c>
      <c r="BO111" s="5">
        <f t="shared" ca="1" si="39"/>
        <v>2.9155339376494064E-4</v>
      </c>
      <c r="BQ111" t="s">
        <v>169</v>
      </c>
      <c r="BR111" s="5">
        <f ca="1">+VLOOKUP($BG111,INDIRECT(Adrese!B$2),9,FALSE)</f>
        <v>7.2062339596639907E-2</v>
      </c>
      <c r="BS111" s="5">
        <f ca="1">+VLOOKUP($BG111,INDIRECT(Adrese!C$2),9,FALSE)</f>
        <v>7.1045839999999999E-2</v>
      </c>
      <c r="BT111" s="5">
        <f ca="1">+VLOOKUP($BG111,INDIRECT(Adrese!D$2),9,FALSE)</f>
        <v>7.1333428000000004E-2</v>
      </c>
      <c r="BU111" s="5">
        <f ca="1">+VLOOKUP($BG111,INDIRECT(Adrese!E$2),9,FALSE)</f>
        <v>7.1433740999999995E-2</v>
      </c>
      <c r="BV111" s="5">
        <f ca="1">+VLOOKUP($BG111,INDIRECT(Adrese!F$2),9,FALSE)</f>
        <v>7.1881291999999999E-2</v>
      </c>
      <c r="BW111" s="5" t="str">
        <f t="shared" ca="1" si="40"/>
        <v>0.07 (0.00)</v>
      </c>
      <c r="BX111" s="5">
        <f t="shared" ca="1" si="49"/>
        <v>7.1551328119327975E-2</v>
      </c>
      <c r="BY111" s="5">
        <f t="shared" ca="1" si="41"/>
        <v>4.1437734129335426E-4</v>
      </c>
    </row>
    <row r="112" spans="1:77" x14ac:dyDescent="0.25">
      <c r="A112" t="s">
        <v>170</v>
      </c>
      <c r="B112" s="12">
        <f ca="1">+VLOOKUP($A112,INDIRECT(Adrese!B$2),2,FALSE)</f>
        <v>110</v>
      </c>
      <c r="C112" s="12">
        <f ca="1">+VLOOKUP($A112,INDIRECT(Adrese!C$2),2,FALSE)</f>
        <v>108</v>
      </c>
      <c r="D112" s="12">
        <f ca="1">+VLOOKUP($A112,INDIRECT(Adrese!D$2),2,FALSE)</f>
        <v>105</v>
      </c>
      <c r="E112" s="12">
        <f ca="1">+VLOOKUP($A112,INDIRECT(Adrese!E$2),2,FALSE)</f>
        <v>102</v>
      </c>
      <c r="F112" s="12">
        <f ca="1">+VLOOKUP($A112,INDIRECT(Adrese!F$2),2,FALSE)</f>
        <v>98</v>
      </c>
      <c r="G112" s="5">
        <f t="shared" ca="1" si="42"/>
        <v>104.6</v>
      </c>
      <c r="H112" s="5">
        <f t="shared" ca="1" si="29"/>
        <v>4.7749345545253288</v>
      </c>
      <c r="J112" t="s">
        <v>170</v>
      </c>
      <c r="K112">
        <f ca="1">+VLOOKUP($A112,INDIRECT(Adrese!B$2),3,FALSE)</f>
        <v>16</v>
      </c>
      <c r="L112">
        <f ca="1">+VLOOKUP($A112,INDIRECT(Adrese!C$2),3,FALSE)</f>
        <v>16</v>
      </c>
      <c r="M112">
        <f ca="1">+VLOOKUP($A112,INDIRECT(Adrese!D$2),3,FALSE)</f>
        <v>17</v>
      </c>
      <c r="N112">
        <f ca="1">+VLOOKUP($A112,INDIRECT(Adrese!E$2),3,FALSE)</f>
        <v>15</v>
      </c>
      <c r="O112">
        <f ca="1">+VLOOKUP($A112,INDIRECT(Adrese!F$2),3,FALSE)</f>
        <v>19</v>
      </c>
      <c r="P112" s="5">
        <f t="shared" ca="1" si="43"/>
        <v>16.600000000000001</v>
      </c>
      <c r="Q112" s="5">
        <f t="shared" ca="1" si="30"/>
        <v>1.51657508881031</v>
      </c>
      <c r="T112" t="s">
        <v>170</v>
      </c>
      <c r="U112">
        <f ca="1">+VLOOKUP($T112,INDIRECT(Adrese!B$2),4,FALSE)</f>
        <v>116262</v>
      </c>
      <c r="V112">
        <f ca="1">+VLOOKUP($T112,INDIRECT(Adrese!C$2),4,FALSE)</f>
        <v>116361</v>
      </c>
      <c r="W112">
        <f ca="1">+VLOOKUP($T112,INDIRECT(Adrese!D$2),4,FALSE)</f>
        <v>116745</v>
      </c>
      <c r="X112">
        <f ca="1">+VLOOKUP($T112,INDIRECT(Adrese!E$2),4,FALSE)</f>
        <v>116878</v>
      </c>
      <c r="Y112">
        <f ca="1">+VLOOKUP($T112,INDIRECT(Adrese!F$2),4,FALSE)</f>
        <v>117143</v>
      </c>
      <c r="Z112">
        <f t="shared" ca="1" si="31"/>
        <v>583389</v>
      </c>
      <c r="AA112" s="5">
        <f t="shared" ca="1" si="44"/>
        <v>116677.8</v>
      </c>
      <c r="AB112" s="5">
        <f t="shared" ca="1" si="32"/>
        <v>365.46504620825232</v>
      </c>
      <c r="AD112" t="s">
        <v>170</v>
      </c>
      <c r="AE112">
        <f ca="1">+VLOOKUP($A112,INDIRECT(Adrese!B$2),5,FALSE)</f>
        <v>37835</v>
      </c>
      <c r="AF112">
        <f ca="1">+VLOOKUP($A112,INDIRECT(Adrese!C$2),5,FALSE)</f>
        <v>37489</v>
      </c>
      <c r="AG112">
        <f ca="1">+VLOOKUP($A112,INDIRECT(Adrese!D$2),5,FALSE)</f>
        <v>37426</v>
      </c>
      <c r="AH112">
        <f ca="1">+VLOOKUP($A112,INDIRECT(Adrese!E$2),5,FALSE)</f>
        <v>38058</v>
      </c>
      <c r="AI112">
        <f ca="1">+VLOOKUP($A112,INDIRECT(Adrese!F$2),5,FALSE)</f>
        <v>37554</v>
      </c>
      <c r="AJ112" s="5">
        <f t="shared" ca="1" si="45"/>
        <v>37672.400000000001</v>
      </c>
      <c r="AK112" s="5">
        <f t="shared" ca="1" si="33"/>
        <v>266.22039741537463</v>
      </c>
      <c r="AM112" t="s">
        <v>170</v>
      </c>
      <c r="AN112" s="5">
        <f ca="1">+VLOOKUP($A112,INDIRECT(Adrese!B$2),6,FALSE)</f>
        <v>0.83263274336283188</v>
      </c>
      <c r="AO112" s="5">
        <f ca="1">+VLOOKUP($A112,INDIRECT(Adrese!C$2),6,FALSE)</f>
        <v>0.82497787600000005</v>
      </c>
      <c r="AP112" s="5">
        <f ca="1">+VLOOKUP($A112,INDIRECT(Adrese!D$2),6,FALSE)</f>
        <v>0.82358407099999997</v>
      </c>
      <c r="AQ112" s="5">
        <f ca="1">+VLOOKUP($A112,INDIRECT(Adrese!E$2),6,FALSE)</f>
        <v>0.83756637199999995</v>
      </c>
      <c r="AR112" s="5">
        <f ca="1">+VLOOKUP($A112,INDIRECT(Adrese!F$2),6,FALSE)</f>
        <v>0.82641592900000005</v>
      </c>
      <c r="AS112" s="5" t="str">
        <f t="shared" ca="1" si="34"/>
        <v>0.83 (0.01)</v>
      </c>
      <c r="AT112" s="5">
        <f t="shared" ca="1" si="46"/>
        <v>0.82903539827256645</v>
      </c>
      <c r="AU112" s="5">
        <f t="shared" ca="1" si="35"/>
        <v>5.8898319104100164E-3</v>
      </c>
      <c r="AW112" t="s">
        <v>170</v>
      </c>
      <c r="AX112" s="5">
        <f ca="1">+VLOOKUP($A112,INDIRECT(Adrese!B$2),7,FALSE)</f>
        <v>0.92920353982300885</v>
      </c>
      <c r="AY112" s="5">
        <f ca="1">+VLOOKUP($A112,INDIRECT(Adrese!C$2),7,FALSE)</f>
        <v>0.92920354000000005</v>
      </c>
      <c r="AZ112" s="5">
        <f ca="1">+VLOOKUP($A112,INDIRECT(Adrese!D$2),7,FALSE)</f>
        <v>0.924778761</v>
      </c>
      <c r="BA112" s="5">
        <f ca="1">+VLOOKUP($A112,INDIRECT(Adrese!E$2),7,FALSE)</f>
        <v>0.93362831899999998</v>
      </c>
      <c r="BB112" s="5">
        <f ca="1">+VLOOKUP($A112,INDIRECT(Adrese!F$2),7,FALSE)</f>
        <v>0.915929204</v>
      </c>
      <c r="BC112" s="5" t="str">
        <f t="shared" ca="1" si="36"/>
        <v>0.93 (0.01)</v>
      </c>
      <c r="BD112">
        <f t="shared" ca="1" si="47"/>
        <v>0.92654867276460173</v>
      </c>
      <c r="BE112" s="5">
        <f t="shared" ca="1" si="37"/>
        <v>6.7105091917570407E-3</v>
      </c>
      <c r="BG112" t="s">
        <v>170</v>
      </c>
      <c r="BH112" s="5">
        <f ca="1">+VLOOKUP($BG112,INDIRECT(Adrese!B$2),8,FALSE)</f>
        <v>8.2405496940750736E-2</v>
      </c>
      <c r="BI112" s="5">
        <f ca="1">+VLOOKUP($BG112,INDIRECT(Adrese!C$2),8,FALSE)</f>
        <v>8.2403468999999993E-2</v>
      </c>
      <c r="BJ112" s="5">
        <f ca="1">+VLOOKUP($BG112,INDIRECT(Adrese!D$2),8,FALSE)</f>
        <v>8.2232437000000005E-2</v>
      </c>
      <c r="BK112" s="5">
        <f ca="1">+VLOOKUP($BG112,INDIRECT(Adrese!E$2),8,FALSE)</f>
        <v>8.2993177000000001E-2</v>
      </c>
      <c r="BL112" s="5">
        <f ca="1">+VLOOKUP($BG112,INDIRECT(Adrese!F$2),8,FALSE)</f>
        <v>8.2301176000000004E-2</v>
      </c>
      <c r="BM112" s="5" t="str">
        <f t="shared" ca="1" si="38"/>
        <v>0.08 (0.00)</v>
      </c>
      <c r="BN112" s="5">
        <f t="shared" ca="1" si="48"/>
        <v>8.2467151188150137E-2</v>
      </c>
      <c r="BO112" s="5">
        <f t="shared" ca="1" si="39"/>
        <v>3.0298446133536836E-4</v>
      </c>
      <c r="BQ112" t="s">
        <v>170</v>
      </c>
      <c r="BR112" s="5">
        <f ca="1">+VLOOKUP($BG112,INDIRECT(Adrese!B$2),9,FALSE)</f>
        <v>8.7644875366019712E-2</v>
      </c>
      <c r="BS112" s="5">
        <f ca="1">+VLOOKUP($BG112,INDIRECT(Adrese!C$2),9,FALSE)</f>
        <v>8.9674941999999994E-2</v>
      </c>
      <c r="BT112" s="5">
        <f ca="1">+VLOOKUP($BG112,INDIRECT(Adrese!D$2),9,FALSE)</f>
        <v>8.8890528999999996E-2</v>
      </c>
      <c r="BU112" s="5">
        <f ca="1">+VLOOKUP($BG112,INDIRECT(Adrese!E$2),9,FALSE)</f>
        <v>8.9006259000000004E-2</v>
      </c>
      <c r="BV112" s="5">
        <f ca="1">+VLOOKUP($BG112,INDIRECT(Adrese!F$2),9,FALSE)</f>
        <v>8.8551668E-2</v>
      </c>
      <c r="BW112" s="5" t="str">
        <f t="shared" ca="1" si="40"/>
        <v>0.09 (0.00)</v>
      </c>
      <c r="BX112" s="5">
        <f t="shared" ca="1" si="49"/>
        <v>8.8753654673203952E-2</v>
      </c>
      <c r="BY112" s="5">
        <f t="shared" ca="1" si="41"/>
        <v>7.4187331026916549E-4</v>
      </c>
    </row>
    <row r="113" spans="1:77" x14ac:dyDescent="0.25">
      <c r="A113" t="s">
        <v>171</v>
      </c>
      <c r="B113" s="12">
        <f ca="1">+VLOOKUP($A113,INDIRECT(Adrese!B$2),2,FALSE)</f>
        <v>111</v>
      </c>
      <c r="C113" s="12">
        <f ca="1">+VLOOKUP($A113,INDIRECT(Adrese!C$2),2,FALSE)</f>
        <v>112</v>
      </c>
      <c r="D113" s="12">
        <f ca="1">+VLOOKUP($A113,INDIRECT(Adrese!D$2),2,FALSE)</f>
        <v>98</v>
      </c>
      <c r="E113" s="12">
        <f ca="1">+VLOOKUP($A113,INDIRECT(Adrese!E$2),2,FALSE)</f>
        <v>111</v>
      </c>
      <c r="F113" s="12">
        <f ca="1">+VLOOKUP($A113,INDIRECT(Adrese!F$2),2,FALSE)</f>
        <v>102</v>
      </c>
      <c r="G113" s="5">
        <f t="shared" ca="1" si="42"/>
        <v>106.8</v>
      </c>
      <c r="H113" s="5">
        <f t="shared" ca="1" si="29"/>
        <v>6.3796551630946317</v>
      </c>
      <c r="J113" t="s">
        <v>171</v>
      </c>
      <c r="K113">
        <f ca="1">+VLOOKUP($A113,INDIRECT(Adrese!B$2),3,FALSE)</f>
        <v>21</v>
      </c>
      <c r="L113">
        <f ca="1">+VLOOKUP($A113,INDIRECT(Adrese!C$2),3,FALSE)</f>
        <v>22</v>
      </c>
      <c r="M113">
        <f ca="1">+VLOOKUP($A113,INDIRECT(Adrese!D$2),3,FALSE)</f>
        <v>23</v>
      </c>
      <c r="N113">
        <f ca="1">+VLOOKUP($A113,INDIRECT(Adrese!E$2),3,FALSE)</f>
        <v>24</v>
      </c>
      <c r="O113">
        <f ca="1">+VLOOKUP($A113,INDIRECT(Adrese!F$2),3,FALSE)</f>
        <v>22</v>
      </c>
      <c r="P113" s="5">
        <f t="shared" ca="1" si="43"/>
        <v>22.4</v>
      </c>
      <c r="Q113" s="5">
        <f t="shared" ca="1" si="30"/>
        <v>1.1401754250991381</v>
      </c>
      <c r="T113" t="s">
        <v>171</v>
      </c>
      <c r="U113">
        <f ca="1">+VLOOKUP($T113,INDIRECT(Adrese!B$2),4,FALSE)</f>
        <v>116212</v>
      </c>
      <c r="V113">
        <f ca="1">+VLOOKUP($T113,INDIRECT(Adrese!C$2),4,FALSE)</f>
        <v>115995</v>
      </c>
      <c r="W113">
        <f ca="1">+VLOOKUP($T113,INDIRECT(Adrese!D$2),4,FALSE)</f>
        <v>117112</v>
      </c>
      <c r="X113">
        <f ca="1">+VLOOKUP($T113,INDIRECT(Adrese!E$2),4,FALSE)</f>
        <v>115973</v>
      </c>
      <c r="Y113">
        <f ca="1">+VLOOKUP($T113,INDIRECT(Adrese!F$2),4,FALSE)</f>
        <v>116887</v>
      </c>
      <c r="Z113">
        <f t="shared" ca="1" si="31"/>
        <v>582179</v>
      </c>
      <c r="AA113" s="5">
        <f t="shared" ca="1" si="44"/>
        <v>116435.8</v>
      </c>
      <c r="AB113" s="5">
        <f t="shared" ca="1" si="32"/>
        <v>529.00916816251868</v>
      </c>
      <c r="AD113" t="s">
        <v>171</v>
      </c>
      <c r="AE113">
        <f ca="1">+VLOOKUP($A113,INDIRECT(Adrese!B$2),5,FALSE)</f>
        <v>35546</v>
      </c>
      <c r="AF113">
        <f ca="1">+VLOOKUP($A113,INDIRECT(Adrese!C$2),5,FALSE)</f>
        <v>35027</v>
      </c>
      <c r="AG113">
        <f ca="1">+VLOOKUP($A113,INDIRECT(Adrese!D$2),5,FALSE)</f>
        <v>35009</v>
      </c>
      <c r="AH113">
        <f ca="1">+VLOOKUP($A113,INDIRECT(Adrese!E$2),5,FALSE)</f>
        <v>34831</v>
      </c>
      <c r="AI113">
        <f ca="1">+VLOOKUP($A113,INDIRECT(Adrese!F$2),5,FALSE)</f>
        <v>35311</v>
      </c>
      <c r="AJ113" s="5">
        <f t="shared" ca="1" si="45"/>
        <v>35144.800000000003</v>
      </c>
      <c r="AK113" s="5">
        <f t="shared" ca="1" si="33"/>
        <v>282.56539066205545</v>
      </c>
      <c r="AM113" t="s">
        <v>171</v>
      </c>
      <c r="AN113" s="5">
        <f ca="1">+VLOOKUP($A113,INDIRECT(Adrese!B$2),6,FALSE)</f>
        <v>0.78199115044247791</v>
      </c>
      <c r="AO113" s="5">
        <f ca="1">+VLOOKUP($A113,INDIRECT(Adrese!C$2),6,FALSE)</f>
        <v>0.77050885000000002</v>
      </c>
      <c r="AP113" s="5">
        <f ca="1">+VLOOKUP($A113,INDIRECT(Adrese!D$2),6,FALSE)</f>
        <v>0.770110619</v>
      </c>
      <c r="AQ113" s="5">
        <f ca="1">+VLOOKUP($A113,INDIRECT(Adrese!E$2),6,FALSE)</f>
        <v>0.76617256600000005</v>
      </c>
      <c r="AR113" s="5">
        <f ca="1">+VLOOKUP($A113,INDIRECT(Adrese!F$2),6,FALSE)</f>
        <v>0.77679203500000005</v>
      </c>
      <c r="AS113" s="5" t="str">
        <f t="shared" ca="1" si="34"/>
        <v>0.77 (0.01)</v>
      </c>
      <c r="AT113" s="5">
        <f t="shared" ca="1" si="46"/>
        <v>0.77311504408849552</v>
      </c>
      <c r="AU113" s="5">
        <f t="shared" ca="1" si="35"/>
        <v>6.2514467509334056E-3</v>
      </c>
      <c r="AW113" t="s">
        <v>171</v>
      </c>
      <c r="AX113" s="5">
        <f ca="1">+VLOOKUP($A113,INDIRECT(Adrese!B$2),7,FALSE)</f>
        <v>0.90707964601769908</v>
      </c>
      <c r="AY113" s="5">
        <f ca="1">+VLOOKUP($A113,INDIRECT(Adrese!C$2),7,FALSE)</f>
        <v>0.90265486699999997</v>
      </c>
      <c r="AZ113" s="5">
        <f ca="1">+VLOOKUP($A113,INDIRECT(Adrese!D$2),7,FALSE)</f>
        <v>0.89823008800000004</v>
      </c>
      <c r="BA113" s="5">
        <f ca="1">+VLOOKUP($A113,INDIRECT(Adrese!E$2),7,FALSE)</f>
        <v>0.89380530999999996</v>
      </c>
      <c r="BB113" s="5">
        <f ca="1">+VLOOKUP($A113,INDIRECT(Adrese!F$2),7,FALSE)</f>
        <v>0.90265486699999997</v>
      </c>
      <c r="BC113" s="5" t="str">
        <f t="shared" ca="1" si="36"/>
        <v>0.90 (0.01)</v>
      </c>
      <c r="BD113">
        <f t="shared" ca="1" si="47"/>
        <v>0.90088495560353987</v>
      </c>
      <c r="BE113" s="5">
        <f t="shared" ca="1" si="37"/>
        <v>5.0450239319046342E-3</v>
      </c>
      <c r="BG113" t="s">
        <v>171</v>
      </c>
      <c r="BH113" s="5">
        <f ca="1">+VLOOKUP($BG113,INDIRECT(Adrese!B$2),8,FALSE)</f>
        <v>7.571250477613653E-2</v>
      </c>
      <c r="BI113" s="5">
        <f ca="1">+VLOOKUP($BG113,INDIRECT(Adrese!C$2),8,FALSE)</f>
        <v>7.4672617999999996E-2</v>
      </c>
      <c r="BJ113" s="5">
        <f ca="1">+VLOOKUP($BG113,INDIRECT(Adrese!D$2),8,FALSE)</f>
        <v>7.4540871999999994E-2</v>
      </c>
      <c r="BK113" s="5">
        <f ca="1">+VLOOKUP($BG113,INDIRECT(Adrese!E$2),8,FALSE)</f>
        <v>7.4360234999999997E-2</v>
      </c>
      <c r="BL113" s="5">
        <f ca="1">+VLOOKUP($BG113,INDIRECT(Adrese!F$2),8,FALSE)</f>
        <v>7.5351319999999999E-2</v>
      </c>
      <c r="BM113" s="5" t="str">
        <f t="shared" ca="1" si="38"/>
        <v>0.07 (0.00)</v>
      </c>
      <c r="BN113" s="5">
        <f t="shared" ca="1" si="48"/>
        <v>7.4927509955227303E-2</v>
      </c>
      <c r="BO113" s="5">
        <f t="shared" ca="1" si="39"/>
        <v>5.7708134500143054E-4</v>
      </c>
      <c r="BQ113" t="s">
        <v>171</v>
      </c>
      <c r="BR113" s="5">
        <f ca="1">+VLOOKUP($BG113,INDIRECT(Adrese!B$2),9,FALSE)</f>
        <v>7.2791406454619928E-2</v>
      </c>
      <c r="BS113" s="5">
        <f ca="1">+VLOOKUP($BG113,INDIRECT(Adrese!C$2),9,FALSE)</f>
        <v>7.1590070000000006E-2</v>
      </c>
      <c r="BT113" s="5">
        <f ca="1">+VLOOKUP($BG113,INDIRECT(Adrese!D$2),9,FALSE)</f>
        <v>7.0785280000000006E-2</v>
      </c>
      <c r="BU113" s="5">
        <f ca="1">+VLOOKUP($BG113,INDIRECT(Adrese!E$2),9,FALSE)</f>
        <v>7.1120460999999996E-2</v>
      </c>
      <c r="BV113" s="5">
        <f ca="1">+VLOOKUP($BG113,INDIRECT(Adrese!F$2),9,FALSE)</f>
        <v>7.2213626000000003E-2</v>
      </c>
      <c r="BW113" s="5" t="str">
        <f t="shared" ca="1" si="40"/>
        <v>0.07 (0.00)</v>
      </c>
      <c r="BX113" s="5">
        <f t="shared" ca="1" si="49"/>
        <v>7.1700168690923993E-2</v>
      </c>
      <c r="BY113" s="5">
        <f t="shared" ca="1" si="41"/>
        <v>8.1234880294733878E-4</v>
      </c>
    </row>
    <row r="114" spans="1:77" x14ac:dyDescent="0.25">
      <c r="A114" t="s">
        <v>172</v>
      </c>
      <c r="B114" s="12">
        <f ca="1">+VLOOKUP($A114,INDIRECT(Adrese!B$2),2,FALSE)</f>
        <v>112</v>
      </c>
      <c r="C114" s="12">
        <f ca="1">+VLOOKUP($A114,INDIRECT(Adrese!C$2),2,FALSE)</f>
        <v>106</v>
      </c>
      <c r="D114" s="12">
        <f ca="1">+VLOOKUP($A114,INDIRECT(Adrese!D$2),2,FALSE)</f>
        <v>110</v>
      </c>
      <c r="E114" s="12">
        <f ca="1">+VLOOKUP($A114,INDIRECT(Adrese!E$2),2,FALSE)</f>
        <v>109</v>
      </c>
      <c r="F114" s="12">
        <f ca="1">+VLOOKUP($A114,INDIRECT(Adrese!F$2),2,FALSE)</f>
        <v>111</v>
      </c>
      <c r="G114" s="5">
        <f t="shared" ca="1" si="42"/>
        <v>109.6</v>
      </c>
      <c r="H114" s="5">
        <f t="shared" ca="1" si="29"/>
        <v>2.3021728866442674</v>
      </c>
      <c r="J114" t="s">
        <v>172</v>
      </c>
      <c r="K114">
        <f ca="1">+VLOOKUP($A114,INDIRECT(Adrese!B$2),3,FALSE)</f>
        <v>24</v>
      </c>
      <c r="L114">
        <f ca="1">+VLOOKUP($A114,INDIRECT(Adrese!C$2),3,FALSE)</f>
        <v>26</v>
      </c>
      <c r="M114">
        <f ca="1">+VLOOKUP($A114,INDIRECT(Adrese!D$2),3,FALSE)</f>
        <v>27</v>
      </c>
      <c r="N114">
        <f ca="1">+VLOOKUP($A114,INDIRECT(Adrese!E$2),3,FALSE)</f>
        <v>26</v>
      </c>
      <c r="O114">
        <f ca="1">+VLOOKUP($A114,INDIRECT(Adrese!F$2),3,FALSE)</f>
        <v>24</v>
      </c>
      <c r="P114" s="5">
        <f t="shared" ca="1" si="43"/>
        <v>25.4</v>
      </c>
      <c r="Q114" s="5">
        <f t="shared" ca="1" si="30"/>
        <v>1.3416407864998738</v>
      </c>
      <c r="T114" t="s">
        <v>172</v>
      </c>
      <c r="U114">
        <f ca="1">+VLOOKUP($T114,INDIRECT(Adrese!B$2),4,FALSE)</f>
        <v>116022</v>
      </c>
      <c r="V114">
        <f ca="1">+VLOOKUP($T114,INDIRECT(Adrese!C$2),4,FALSE)</f>
        <v>116560</v>
      </c>
      <c r="W114">
        <f ca="1">+VLOOKUP($T114,INDIRECT(Adrese!D$2),4,FALSE)</f>
        <v>116429</v>
      </c>
      <c r="X114">
        <f ca="1">+VLOOKUP($T114,INDIRECT(Adrese!E$2),4,FALSE)</f>
        <v>116229</v>
      </c>
      <c r="Y114">
        <f ca="1">+VLOOKUP($T114,INDIRECT(Adrese!F$2),4,FALSE)</f>
        <v>115929</v>
      </c>
      <c r="Z114">
        <f t="shared" ca="1" si="31"/>
        <v>581169</v>
      </c>
      <c r="AA114" s="5">
        <f t="shared" ca="1" si="44"/>
        <v>116233.8</v>
      </c>
      <c r="AB114" s="5">
        <f t="shared" ca="1" si="32"/>
        <v>265.65710982392324</v>
      </c>
      <c r="AD114" t="s">
        <v>172</v>
      </c>
      <c r="AE114">
        <f ca="1">+VLOOKUP($A114,INDIRECT(Adrese!B$2),5,FALSE)</f>
        <v>36480</v>
      </c>
      <c r="AF114">
        <f ca="1">+VLOOKUP($A114,INDIRECT(Adrese!C$2),5,FALSE)</f>
        <v>36805</v>
      </c>
      <c r="AG114">
        <f ca="1">+VLOOKUP($A114,INDIRECT(Adrese!D$2),5,FALSE)</f>
        <v>36658</v>
      </c>
      <c r="AH114">
        <f ca="1">+VLOOKUP($A114,INDIRECT(Adrese!E$2),5,FALSE)</f>
        <v>36620</v>
      </c>
      <c r="AI114">
        <f ca="1">+VLOOKUP($A114,INDIRECT(Adrese!F$2),5,FALSE)</f>
        <v>36482</v>
      </c>
      <c r="AJ114" s="5">
        <f t="shared" ca="1" si="45"/>
        <v>36609</v>
      </c>
      <c r="AK114" s="5">
        <f t="shared" ca="1" si="33"/>
        <v>135.7460864997588</v>
      </c>
      <c r="AM114" t="s">
        <v>172</v>
      </c>
      <c r="AN114" s="5">
        <f ca="1">+VLOOKUP($A114,INDIRECT(Adrese!B$2),6,FALSE)</f>
        <v>0.80265486725663715</v>
      </c>
      <c r="AO114" s="5">
        <f ca="1">+VLOOKUP($A114,INDIRECT(Adrese!C$2),6,FALSE)</f>
        <v>0.80984513300000005</v>
      </c>
      <c r="AP114" s="5">
        <f ca="1">+VLOOKUP($A114,INDIRECT(Adrese!D$2),6,FALSE)</f>
        <v>0.80659292000000005</v>
      </c>
      <c r="AQ114" s="5">
        <f ca="1">+VLOOKUP($A114,INDIRECT(Adrese!E$2),6,FALSE)</f>
        <v>0.80575221200000002</v>
      </c>
      <c r="AR114" s="5">
        <f ca="1">+VLOOKUP($A114,INDIRECT(Adrese!F$2),6,FALSE)</f>
        <v>0.80269911500000002</v>
      </c>
      <c r="AS114" s="5" t="str">
        <f t="shared" ca="1" si="34"/>
        <v>0.81 (0.00)</v>
      </c>
      <c r="AT114" s="5">
        <f t="shared" ca="1" si="46"/>
        <v>0.80550884945132739</v>
      </c>
      <c r="AU114" s="5">
        <f t="shared" ca="1" si="35"/>
        <v>3.0032320653618277E-3</v>
      </c>
      <c r="AW114" t="s">
        <v>172</v>
      </c>
      <c r="AX114" s="5">
        <f ca="1">+VLOOKUP($A114,INDIRECT(Adrese!B$2),7,FALSE)</f>
        <v>0.89380530973451322</v>
      </c>
      <c r="AY114" s="5">
        <f ca="1">+VLOOKUP($A114,INDIRECT(Adrese!C$2),7,FALSE)</f>
        <v>0.88495575199999998</v>
      </c>
      <c r="AZ114" s="5">
        <f ca="1">+VLOOKUP($A114,INDIRECT(Adrese!D$2),7,FALSE)</f>
        <v>0.88053097300000005</v>
      </c>
      <c r="BA114" s="5">
        <f ca="1">+VLOOKUP($A114,INDIRECT(Adrese!E$2),7,FALSE)</f>
        <v>0.88495575199999998</v>
      </c>
      <c r="BB114" s="5">
        <f ca="1">+VLOOKUP($A114,INDIRECT(Adrese!F$2),7,FALSE)</f>
        <v>0.89380530999999996</v>
      </c>
      <c r="BC114" s="5" t="str">
        <f t="shared" ca="1" si="36"/>
        <v>0.89 (0.01)</v>
      </c>
      <c r="BD114">
        <f t="shared" ca="1" si="47"/>
        <v>0.88761061934690277</v>
      </c>
      <c r="BE114" s="5">
        <f t="shared" ca="1" si="37"/>
        <v>5.9364639083893484E-3</v>
      </c>
      <c r="BG114" t="s">
        <v>172</v>
      </c>
      <c r="BH114" s="5">
        <f ca="1">+VLOOKUP($BG114,INDIRECT(Adrese!B$2),8,FALSE)</f>
        <v>8.1391027818319028E-2</v>
      </c>
      <c r="BI114" s="5">
        <f ca="1">+VLOOKUP($BG114,INDIRECT(Adrese!C$2),8,FALSE)</f>
        <v>8.1806887999999994E-2</v>
      </c>
      <c r="BJ114" s="5">
        <f ca="1">+VLOOKUP($BG114,INDIRECT(Adrese!D$2),8,FALSE)</f>
        <v>8.1679573000000005E-2</v>
      </c>
      <c r="BK114" s="5">
        <f ca="1">+VLOOKUP($BG114,INDIRECT(Adrese!E$2),8,FALSE)</f>
        <v>8.1656063000000001E-2</v>
      </c>
      <c r="BL114" s="5">
        <f ca="1">+VLOOKUP($BG114,INDIRECT(Adrese!F$2),8,FALSE)</f>
        <v>8.1517356999999999E-2</v>
      </c>
      <c r="BM114" s="5" t="str">
        <f t="shared" ca="1" si="38"/>
        <v>0.08 (0.00)</v>
      </c>
      <c r="BN114" s="5">
        <f t="shared" ca="1" si="48"/>
        <v>8.1610181763663803E-2</v>
      </c>
      <c r="BO114" s="5">
        <f t="shared" ca="1" si="39"/>
        <v>1.5988938633550376E-4</v>
      </c>
      <c r="BQ114" t="s">
        <v>172</v>
      </c>
      <c r="BR114" s="5">
        <f ca="1">+VLOOKUP($BG114,INDIRECT(Adrese!B$2),9,FALSE)</f>
        <v>9.144203403087979E-2</v>
      </c>
      <c r="BS114" s="5">
        <f ca="1">+VLOOKUP($BG114,INDIRECT(Adrese!C$2),9,FALSE)</f>
        <v>9.1727706000000006E-2</v>
      </c>
      <c r="BT114" s="5">
        <f ca="1">+VLOOKUP($BG114,INDIRECT(Adrese!D$2),9,FALSE)</f>
        <v>9.1683287000000002E-2</v>
      </c>
      <c r="BU114" s="5">
        <f ca="1">+VLOOKUP($BG114,INDIRECT(Adrese!E$2),9,FALSE)</f>
        <v>9.2050063000000001E-2</v>
      </c>
      <c r="BV114" s="5">
        <f ca="1">+VLOOKUP($BG114,INDIRECT(Adrese!F$2),9,FALSE)</f>
        <v>9.1979669999999999E-2</v>
      </c>
      <c r="BW114" s="5" t="str">
        <f t="shared" ca="1" si="40"/>
        <v>0.09 (0.00)</v>
      </c>
      <c r="BX114" s="5">
        <f t="shared" ca="1" si="49"/>
        <v>9.177655200617596E-2</v>
      </c>
      <c r="BY114" s="5">
        <f t="shared" ca="1" si="41"/>
        <v>2.444645949060462E-4</v>
      </c>
    </row>
    <row r="115" spans="1:77" x14ac:dyDescent="0.25">
      <c r="A115" t="s">
        <v>173</v>
      </c>
      <c r="B115" s="12">
        <f ca="1">+VLOOKUP($A115,INDIRECT(Adrese!B$2),2,FALSE)</f>
        <v>113</v>
      </c>
      <c r="C115" s="12">
        <f ca="1">+VLOOKUP($A115,INDIRECT(Adrese!C$2),2,FALSE)</f>
        <v>114</v>
      </c>
      <c r="D115" s="12">
        <f ca="1">+VLOOKUP($A115,INDIRECT(Adrese!D$2),2,FALSE)</f>
        <v>111</v>
      </c>
      <c r="E115" s="12">
        <f ca="1">+VLOOKUP($A115,INDIRECT(Adrese!E$2),2,FALSE)</f>
        <v>116</v>
      </c>
      <c r="F115" s="12">
        <f ca="1">+VLOOKUP($A115,INDIRECT(Adrese!F$2),2,FALSE)</f>
        <v>110</v>
      </c>
      <c r="G115" s="5">
        <f t="shared" ca="1" si="42"/>
        <v>112.8</v>
      </c>
      <c r="H115" s="5">
        <f t="shared" ca="1" si="29"/>
        <v>2.3874672772626644</v>
      </c>
      <c r="J115" t="s">
        <v>173</v>
      </c>
      <c r="K115">
        <f ca="1">+VLOOKUP($A115,INDIRECT(Adrese!B$2),3,FALSE)</f>
        <v>0</v>
      </c>
      <c r="L115">
        <f ca="1">+VLOOKUP($A115,INDIRECT(Adrese!C$2),3,FALSE)</f>
        <v>0</v>
      </c>
      <c r="M115">
        <f ca="1">+VLOOKUP($A115,INDIRECT(Adrese!D$2),3,FALSE)</f>
        <v>0</v>
      </c>
      <c r="N115">
        <f ca="1">+VLOOKUP($A115,INDIRECT(Adrese!E$2),3,FALSE)</f>
        <v>0</v>
      </c>
      <c r="O115">
        <f ca="1">+VLOOKUP($A115,INDIRECT(Adrese!F$2),3,FALSE)</f>
        <v>0</v>
      </c>
      <c r="P115" s="5">
        <f t="shared" ca="1" si="43"/>
        <v>0</v>
      </c>
      <c r="Q115" s="5">
        <f t="shared" ca="1" si="30"/>
        <v>0</v>
      </c>
      <c r="T115" t="s">
        <v>173</v>
      </c>
      <c r="U115">
        <f ca="1">+VLOOKUP($T115,INDIRECT(Adrese!B$2),4,FALSE)</f>
        <v>115802</v>
      </c>
      <c r="V115">
        <f ca="1">+VLOOKUP($T115,INDIRECT(Adrese!C$2),4,FALSE)</f>
        <v>115620</v>
      </c>
      <c r="W115">
        <f ca="1">+VLOOKUP($T115,INDIRECT(Adrese!D$2),4,FALSE)</f>
        <v>116296</v>
      </c>
      <c r="X115">
        <f ca="1">+VLOOKUP($T115,INDIRECT(Adrese!E$2),4,FALSE)</f>
        <v>115212</v>
      </c>
      <c r="Y115">
        <f ca="1">+VLOOKUP($T115,INDIRECT(Adrese!F$2),4,FALSE)</f>
        <v>116011</v>
      </c>
      <c r="Z115">
        <f t="shared" ca="1" si="31"/>
        <v>578941</v>
      </c>
      <c r="AA115" s="5">
        <f t="shared" ca="1" si="44"/>
        <v>115788.2</v>
      </c>
      <c r="AB115" s="5">
        <f t="shared" ca="1" si="32"/>
        <v>408.65290895820135</v>
      </c>
      <c r="AD115" t="s">
        <v>173</v>
      </c>
      <c r="AE115">
        <f ca="1">+VLOOKUP($A115,INDIRECT(Adrese!B$2),5,FALSE)</f>
        <v>39230</v>
      </c>
      <c r="AF115">
        <f ca="1">+VLOOKUP($A115,INDIRECT(Adrese!C$2),5,FALSE)</f>
        <v>39120</v>
      </c>
      <c r="AG115">
        <f ca="1">+VLOOKUP($A115,INDIRECT(Adrese!D$2),5,FALSE)</f>
        <v>39443</v>
      </c>
      <c r="AH115">
        <f ca="1">+VLOOKUP($A115,INDIRECT(Adrese!E$2),5,FALSE)</f>
        <v>38911</v>
      </c>
      <c r="AI115">
        <f ca="1">+VLOOKUP($A115,INDIRECT(Adrese!F$2),5,FALSE)</f>
        <v>39301</v>
      </c>
      <c r="AJ115" s="5">
        <f t="shared" ca="1" si="45"/>
        <v>39201</v>
      </c>
      <c r="AK115" s="5">
        <f t="shared" ca="1" si="33"/>
        <v>200.0412457469709</v>
      </c>
      <c r="AM115" t="s">
        <v>173</v>
      </c>
      <c r="AN115" s="5">
        <f ca="1">+VLOOKUP($A115,INDIRECT(Adrese!B$2),6,FALSE)</f>
        <v>0.86349557522123899</v>
      </c>
      <c r="AO115" s="5">
        <f ca="1">+VLOOKUP($A115,INDIRECT(Adrese!C$2),6,FALSE)</f>
        <v>0.86106194700000005</v>
      </c>
      <c r="AP115" s="5">
        <f ca="1">+VLOOKUP($A115,INDIRECT(Adrese!D$2),6,FALSE)</f>
        <v>0.86820796499999997</v>
      </c>
      <c r="AQ115" s="5">
        <f ca="1">+VLOOKUP($A115,INDIRECT(Adrese!E$2),6,FALSE)</f>
        <v>0.85643805299999998</v>
      </c>
      <c r="AR115" s="5">
        <f ca="1">+VLOOKUP($A115,INDIRECT(Adrese!F$2),6,FALSE)</f>
        <v>0.86506637200000003</v>
      </c>
      <c r="AS115" s="5" t="str">
        <f t="shared" ca="1" si="34"/>
        <v>0.86 (0.00)</v>
      </c>
      <c r="AT115" s="5">
        <f t="shared" ca="1" si="46"/>
        <v>0.86285398244424782</v>
      </c>
      <c r="AU115" s="5">
        <f t="shared" ca="1" si="35"/>
        <v>4.4256914632685856E-3</v>
      </c>
      <c r="AW115" t="s">
        <v>173</v>
      </c>
      <c r="AX115" s="5">
        <f ca="1">+VLOOKUP($A115,INDIRECT(Adrese!B$2),7,FALSE)</f>
        <v>1</v>
      </c>
      <c r="AY115" s="5">
        <f ca="1">+VLOOKUP($A115,INDIRECT(Adrese!C$2),7,FALSE)</f>
        <v>1</v>
      </c>
      <c r="AZ115" s="5">
        <f ca="1">+VLOOKUP($A115,INDIRECT(Adrese!D$2),7,FALSE)</f>
        <v>1</v>
      </c>
      <c r="BA115" s="5">
        <f ca="1">+VLOOKUP($A115,INDIRECT(Adrese!E$2),7,FALSE)</f>
        <v>1</v>
      </c>
      <c r="BB115" s="5">
        <f ca="1">+VLOOKUP($A115,INDIRECT(Adrese!F$2),7,FALSE)</f>
        <v>1</v>
      </c>
      <c r="BC115" s="5" t="str">
        <f t="shared" ca="1" si="36"/>
        <v>1.00 (0.00)</v>
      </c>
      <c r="BD115">
        <f t="shared" ca="1" si="47"/>
        <v>1</v>
      </c>
      <c r="BE115" s="5">
        <f t="shared" ca="1" si="37"/>
        <v>0</v>
      </c>
      <c r="BG115" t="s">
        <v>173</v>
      </c>
      <c r="BH115" s="5">
        <f ca="1">+VLOOKUP($BG115,INDIRECT(Adrese!B$2),8,FALSE)</f>
        <v>8.5118517513648642E-2</v>
      </c>
      <c r="BI115" s="5">
        <f ca="1">+VLOOKUP($BG115,INDIRECT(Adrese!C$2),8,FALSE)</f>
        <v>8.4948495999999998E-2</v>
      </c>
      <c r="BJ115" s="5">
        <f ca="1">+VLOOKUP($BG115,INDIRECT(Adrese!D$2),8,FALSE)</f>
        <v>8.5495598000000006E-2</v>
      </c>
      <c r="BK115" s="5">
        <f ca="1">+VLOOKUP($BG115,INDIRECT(Adrese!E$2),8,FALSE)</f>
        <v>8.4584589000000002E-2</v>
      </c>
      <c r="BL115" s="5">
        <f ca="1">+VLOOKUP($BG115,INDIRECT(Adrese!F$2),8,FALSE)</f>
        <v>8.5435301000000005E-2</v>
      </c>
      <c r="BM115" s="5" t="str">
        <f t="shared" ca="1" si="38"/>
        <v>0.09 (0.00)</v>
      </c>
      <c r="BN115" s="5">
        <f t="shared" ca="1" si="48"/>
        <v>8.5116500302729742E-2</v>
      </c>
      <c r="BO115" s="5">
        <f t="shared" ca="1" si="39"/>
        <v>3.7299735170067587E-4</v>
      </c>
      <c r="BQ115" t="s">
        <v>173</v>
      </c>
      <c r="BR115" s="5">
        <f ca="1">+VLOOKUP($BG115,INDIRECT(Adrese!B$2),9,FALSE)</f>
        <v>9.1948183838700209E-2</v>
      </c>
      <c r="BS115" s="5">
        <f ca="1">+VLOOKUP($BG115,INDIRECT(Adrese!C$2),9,FALSE)</f>
        <v>9.1919782000000005E-2</v>
      </c>
      <c r="BT115" s="5">
        <f ca="1">+VLOOKUP($BG115,INDIRECT(Adrese!D$2),9,FALSE)</f>
        <v>9.1922574000000007E-2</v>
      </c>
      <c r="BU115" s="5">
        <f ca="1">+VLOOKUP($BG115,INDIRECT(Adrese!E$2),9,FALSE)</f>
        <v>9.1493117999999998E-2</v>
      </c>
      <c r="BV115" s="5">
        <f ca="1">+VLOOKUP($BG115,INDIRECT(Adrese!F$2),9,FALSE)</f>
        <v>9.245834E-2</v>
      </c>
      <c r="BW115" s="5" t="str">
        <f t="shared" ca="1" si="40"/>
        <v>0.09 (0.00)</v>
      </c>
      <c r="BX115" s="5">
        <f t="shared" ca="1" si="49"/>
        <v>9.1948399567740036E-2</v>
      </c>
      <c r="BY115" s="5">
        <f t="shared" ca="1" si="41"/>
        <v>3.4234723675267709E-4</v>
      </c>
    </row>
    <row r="116" spans="1:77" x14ac:dyDescent="0.25">
      <c r="A116" t="s">
        <v>174</v>
      </c>
      <c r="B116" s="12">
        <f ca="1">+VLOOKUP($A116,INDIRECT(Adrese!B$2),2,FALSE)</f>
        <v>114</v>
      </c>
      <c r="C116" s="12">
        <f ca="1">+VLOOKUP($A116,INDIRECT(Adrese!C$2),2,FALSE)</f>
        <v>107</v>
      </c>
      <c r="D116" s="12">
        <f ca="1">+VLOOKUP($A116,INDIRECT(Adrese!D$2),2,FALSE)</f>
        <v>116</v>
      </c>
      <c r="E116" s="12">
        <f ca="1">+VLOOKUP($A116,INDIRECT(Adrese!E$2),2,FALSE)</f>
        <v>114</v>
      </c>
      <c r="F116" s="12">
        <f ca="1">+VLOOKUP($A116,INDIRECT(Adrese!F$2),2,FALSE)</f>
        <v>114</v>
      </c>
      <c r="G116" s="5">
        <f t="shared" ca="1" si="42"/>
        <v>113</v>
      </c>
      <c r="H116" s="5">
        <f t="shared" ca="1" si="29"/>
        <v>3.4641016151377544</v>
      </c>
      <c r="J116" t="s">
        <v>174</v>
      </c>
      <c r="K116">
        <f ca="1">+VLOOKUP($A116,INDIRECT(Adrese!B$2),3,FALSE)</f>
        <v>28</v>
      </c>
      <c r="L116">
        <f ca="1">+VLOOKUP($A116,INDIRECT(Adrese!C$2),3,FALSE)</f>
        <v>29</v>
      </c>
      <c r="M116">
        <f ca="1">+VLOOKUP($A116,INDIRECT(Adrese!D$2),3,FALSE)</f>
        <v>26</v>
      </c>
      <c r="N116">
        <f ca="1">+VLOOKUP($A116,INDIRECT(Adrese!E$2),3,FALSE)</f>
        <v>26</v>
      </c>
      <c r="O116">
        <f ca="1">+VLOOKUP($A116,INDIRECT(Adrese!F$2),3,FALSE)</f>
        <v>28</v>
      </c>
      <c r="P116" s="5">
        <f t="shared" ca="1" si="43"/>
        <v>27.4</v>
      </c>
      <c r="Q116" s="5">
        <f t="shared" ca="1" si="30"/>
        <v>1.3416407864998738</v>
      </c>
      <c r="T116" t="s">
        <v>174</v>
      </c>
      <c r="U116">
        <f ca="1">+VLOOKUP($T116,INDIRECT(Adrese!B$2),4,FALSE)</f>
        <v>115458</v>
      </c>
      <c r="V116">
        <f ca="1">+VLOOKUP($T116,INDIRECT(Adrese!C$2),4,FALSE)</f>
        <v>116556</v>
      </c>
      <c r="W116">
        <f ca="1">+VLOOKUP($T116,INDIRECT(Adrese!D$2),4,FALSE)</f>
        <v>115462</v>
      </c>
      <c r="X116">
        <f ca="1">+VLOOKUP($T116,INDIRECT(Adrese!E$2),4,FALSE)</f>
        <v>115474</v>
      </c>
      <c r="Y116">
        <f ca="1">+VLOOKUP($T116,INDIRECT(Adrese!F$2),4,FALSE)</f>
        <v>115572</v>
      </c>
      <c r="Z116">
        <f t="shared" ca="1" si="31"/>
        <v>578522</v>
      </c>
      <c r="AA116" s="5">
        <f t="shared" ca="1" si="44"/>
        <v>115704.4</v>
      </c>
      <c r="AB116" s="5">
        <f t="shared" ca="1" si="32"/>
        <v>478.35844301109609</v>
      </c>
      <c r="AD116" t="s">
        <v>174</v>
      </c>
      <c r="AE116">
        <f ca="1">+VLOOKUP($A116,INDIRECT(Adrese!B$2),5,FALSE)</f>
        <v>36801</v>
      </c>
      <c r="AF116">
        <f ca="1">+VLOOKUP($A116,INDIRECT(Adrese!C$2),5,FALSE)</f>
        <v>36991</v>
      </c>
      <c r="AG116">
        <f ca="1">+VLOOKUP($A116,INDIRECT(Adrese!D$2),5,FALSE)</f>
        <v>36748</v>
      </c>
      <c r="AH116">
        <f ca="1">+VLOOKUP($A116,INDIRECT(Adrese!E$2),5,FALSE)</f>
        <v>36883</v>
      </c>
      <c r="AI116">
        <f ca="1">+VLOOKUP($A116,INDIRECT(Adrese!F$2),5,FALSE)</f>
        <v>36841</v>
      </c>
      <c r="AJ116" s="5">
        <f t="shared" ca="1" si="45"/>
        <v>36852.800000000003</v>
      </c>
      <c r="AK116" s="5">
        <f t="shared" ca="1" si="33"/>
        <v>91.946723704545349</v>
      </c>
      <c r="AM116" t="s">
        <v>174</v>
      </c>
      <c r="AN116" s="5">
        <f ca="1">+VLOOKUP($A116,INDIRECT(Adrese!B$2),6,FALSE)</f>
        <v>0.80975663716814161</v>
      </c>
      <c r="AO116" s="5">
        <f ca="1">+VLOOKUP($A116,INDIRECT(Adrese!C$2),6,FALSE)</f>
        <v>0.81396017700000001</v>
      </c>
      <c r="AP116" s="5">
        <f ca="1">+VLOOKUP($A116,INDIRECT(Adrese!D$2),6,FALSE)</f>
        <v>0.80858407099999996</v>
      </c>
      <c r="AQ116" s="5">
        <f ca="1">+VLOOKUP($A116,INDIRECT(Adrese!E$2),6,FALSE)</f>
        <v>0.81157079600000004</v>
      </c>
      <c r="AR116" s="5">
        <f ca="1">+VLOOKUP($A116,INDIRECT(Adrese!F$2),6,FALSE)</f>
        <v>0.81064159300000005</v>
      </c>
      <c r="AS116" s="5" t="str">
        <f t="shared" ca="1" si="34"/>
        <v>0.81 (0.00)</v>
      </c>
      <c r="AT116" s="5">
        <f t="shared" ca="1" si="46"/>
        <v>0.81090265483362833</v>
      </c>
      <c r="AU116" s="5">
        <f t="shared" ca="1" si="35"/>
        <v>2.0342194559709206E-3</v>
      </c>
      <c r="AW116" t="s">
        <v>174</v>
      </c>
      <c r="AX116" s="5">
        <f ca="1">+VLOOKUP($A116,INDIRECT(Adrese!B$2),7,FALSE)</f>
        <v>0.87610619469026552</v>
      </c>
      <c r="AY116" s="5">
        <f ca="1">+VLOOKUP($A116,INDIRECT(Adrese!C$2),7,FALSE)</f>
        <v>0.87168141600000004</v>
      </c>
      <c r="AZ116" s="5">
        <f ca="1">+VLOOKUP($A116,INDIRECT(Adrese!D$2),7,FALSE)</f>
        <v>0.88495575199999998</v>
      </c>
      <c r="BA116" s="5">
        <f ca="1">+VLOOKUP($A116,INDIRECT(Adrese!E$2),7,FALSE)</f>
        <v>0.88495575199999998</v>
      </c>
      <c r="BB116" s="5">
        <f ca="1">+VLOOKUP($A116,INDIRECT(Adrese!F$2),7,FALSE)</f>
        <v>0.87610619499999998</v>
      </c>
      <c r="BC116" s="5" t="str">
        <f t="shared" ca="1" si="36"/>
        <v>0.88 (0.01)</v>
      </c>
      <c r="BD116">
        <f t="shared" ca="1" si="47"/>
        <v>0.87876106193805315</v>
      </c>
      <c r="BE116" s="5">
        <f t="shared" ca="1" si="37"/>
        <v>5.9364634905282815E-3</v>
      </c>
      <c r="BG116" t="s">
        <v>174</v>
      </c>
      <c r="BH116" s="5">
        <f ca="1">+VLOOKUP($BG116,INDIRECT(Adrese!B$2),8,FALSE)</f>
        <v>7.8310170355965242E-2</v>
      </c>
      <c r="BI116" s="5">
        <f ca="1">+VLOOKUP($BG116,INDIRECT(Adrese!C$2),8,FALSE)</f>
        <v>7.8595878999999993E-2</v>
      </c>
      <c r="BJ116" s="5">
        <f ca="1">+VLOOKUP($BG116,INDIRECT(Adrese!D$2),8,FALSE)</f>
        <v>7.8258526999999994E-2</v>
      </c>
      <c r="BK116" s="5">
        <f ca="1">+VLOOKUP($BG116,INDIRECT(Adrese!E$2),8,FALSE)</f>
        <v>7.8292203000000005E-2</v>
      </c>
      <c r="BL116" s="5">
        <f ca="1">+VLOOKUP($BG116,INDIRECT(Adrese!F$2),8,FALSE)</f>
        <v>7.8292707000000003E-2</v>
      </c>
      <c r="BM116" s="5" t="str">
        <f t="shared" ca="1" si="38"/>
        <v>0.08 (0.00)</v>
      </c>
      <c r="BN116" s="5">
        <f t="shared" ca="1" si="48"/>
        <v>7.8349897271193056E-2</v>
      </c>
      <c r="BO116" s="5">
        <f t="shared" ca="1" si="39"/>
        <v>1.3877420618210506E-4</v>
      </c>
      <c r="BQ116" t="s">
        <v>174</v>
      </c>
      <c r="BR116" s="5">
        <f ca="1">+VLOOKUP($BG116,INDIRECT(Adrese!B$2),9,FALSE)</f>
        <v>7.6639698218676916E-2</v>
      </c>
      <c r="BS116" s="5">
        <f ca="1">+VLOOKUP($BG116,INDIRECT(Adrese!C$2),9,FALSE)</f>
        <v>7.6846344999999996E-2</v>
      </c>
      <c r="BT116" s="5">
        <f ca="1">+VLOOKUP($BG116,INDIRECT(Adrese!D$2),9,FALSE)</f>
        <v>7.6500808000000003E-2</v>
      </c>
      <c r="BU116" s="5">
        <f ca="1">+VLOOKUP($BG116,INDIRECT(Adrese!E$2),9,FALSE)</f>
        <v>7.6018480999999999E-2</v>
      </c>
      <c r="BV116" s="5">
        <f ca="1">+VLOOKUP($BG116,INDIRECT(Adrese!F$2),9,FALSE)</f>
        <v>7.6029606999999999E-2</v>
      </c>
      <c r="BW116" s="5" t="str">
        <f t="shared" ca="1" si="40"/>
        <v>0.08 (0.00)</v>
      </c>
      <c r="BX116" s="5">
        <f t="shared" ca="1" si="49"/>
        <v>7.6406987843735383E-2</v>
      </c>
      <c r="BY116" s="5">
        <f t="shared" ca="1" si="41"/>
        <v>3.7058903111652374E-4</v>
      </c>
    </row>
    <row r="117" spans="1:77" x14ac:dyDescent="0.25">
      <c r="A117" t="s">
        <v>175</v>
      </c>
      <c r="B117" s="12">
        <f ca="1">+VLOOKUP($A117,INDIRECT(Adrese!B$2),2,FALSE)</f>
        <v>115</v>
      </c>
      <c r="C117" s="12">
        <f ca="1">+VLOOKUP($A117,INDIRECT(Adrese!C$2),2,FALSE)</f>
        <v>115</v>
      </c>
      <c r="D117" s="12">
        <f ca="1">+VLOOKUP($A117,INDIRECT(Adrese!D$2),2,FALSE)</f>
        <v>114</v>
      </c>
      <c r="E117" s="12">
        <f ca="1">+VLOOKUP($A117,INDIRECT(Adrese!E$2),2,FALSE)</f>
        <v>115</v>
      </c>
      <c r="F117" s="12">
        <f ca="1">+VLOOKUP($A117,INDIRECT(Adrese!F$2),2,FALSE)</f>
        <v>112</v>
      </c>
      <c r="G117" s="5">
        <f t="shared" ca="1" si="42"/>
        <v>114.2</v>
      </c>
      <c r="H117" s="5">
        <f t="shared" ca="1" si="29"/>
        <v>1.3038404810405297</v>
      </c>
      <c r="J117" t="s">
        <v>175</v>
      </c>
      <c r="K117">
        <f ca="1">+VLOOKUP($A117,INDIRECT(Adrese!B$2),3,FALSE)</f>
        <v>55</v>
      </c>
      <c r="L117">
        <f ca="1">+VLOOKUP($A117,INDIRECT(Adrese!C$2),3,FALSE)</f>
        <v>56</v>
      </c>
      <c r="M117">
        <f ca="1">+VLOOKUP($A117,INDIRECT(Adrese!D$2),3,FALSE)</f>
        <v>56</v>
      </c>
      <c r="N117">
        <f ca="1">+VLOOKUP($A117,INDIRECT(Adrese!E$2),3,FALSE)</f>
        <v>56</v>
      </c>
      <c r="O117">
        <f ca="1">+VLOOKUP($A117,INDIRECT(Adrese!F$2),3,FALSE)</f>
        <v>57</v>
      </c>
      <c r="P117" s="5">
        <f t="shared" ca="1" si="43"/>
        <v>56</v>
      </c>
      <c r="Q117" s="5">
        <f t="shared" ca="1" si="30"/>
        <v>0.70710678118654757</v>
      </c>
      <c r="T117" t="s">
        <v>175</v>
      </c>
      <c r="U117">
        <f ca="1">+VLOOKUP($T117,INDIRECT(Adrese!B$2),4,FALSE)</f>
        <v>115451</v>
      </c>
      <c r="V117">
        <f ca="1">+VLOOKUP($T117,INDIRECT(Adrese!C$2),4,FALSE)</f>
        <v>115595</v>
      </c>
      <c r="W117">
        <f ca="1">+VLOOKUP($T117,INDIRECT(Adrese!D$2),4,FALSE)</f>
        <v>115879</v>
      </c>
      <c r="X117">
        <f ca="1">+VLOOKUP($T117,INDIRECT(Adrese!E$2),4,FALSE)</f>
        <v>115432</v>
      </c>
      <c r="Y117">
        <f ca="1">+VLOOKUP($T117,INDIRECT(Adrese!F$2),4,FALSE)</f>
        <v>115674</v>
      </c>
      <c r="Z117">
        <f t="shared" ca="1" si="31"/>
        <v>578031</v>
      </c>
      <c r="AA117" s="5">
        <f t="shared" ca="1" si="44"/>
        <v>115606.2</v>
      </c>
      <c r="AB117" s="5">
        <f t="shared" ca="1" si="32"/>
        <v>182.7394319789793</v>
      </c>
      <c r="AD117" t="s">
        <v>175</v>
      </c>
      <c r="AE117">
        <f ca="1">+VLOOKUP($A117,INDIRECT(Adrese!B$2),5,FALSE)</f>
        <v>31961</v>
      </c>
      <c r="AF117">
        <f ca="1">+VLOOKUP($A117,INDIRECT(Adrese!C$2),5,FALSE)</f>
        <v>32132</v>
      </c>
      <c r="AG117">
        <f ca="1">+VLOOKUP($A117,INDIRECT(Adrese!D$2),5,FALSE)</f>
        <v>32346</v>
      </c>
      <c r="AH117">
        <f ca="1">+VLOOKUP($A117,INDIRECT(Adrese!E$2),5,FALSE)</f>
        <v>31940</v>
      </c>
      <c r="AI117">
        <f ca="1">+VLOOKUP($A117,INDIRECT(Adrese!F$2),5,FALSE)</f>
        <v>32084</v>
      </c>
      <c r="AJ117" s="5">
        <f t="shared" ca="1" si="45"/>
        <v>32092.6</v>
      </c>
      <c r="AK117" s="5">
        <f t="shared" ca="1" si="33"/>
        <v>163.128170467274</v>
      </c>
      <c r="AM117" t="s">
        <v>175</v>
      </c>
      <c r="AN117" s="5">
        <f ca="1">+VLOOKUP($A117,INDIRECT(Adrese!B$2),6,FALSE)</f>
        <v>0.70267699115044246</v>
      </c>
      <c r="AO117" s="5">
        <f ca="1">+VLOOKUP($A117,INDIRECT(Adrese!C$2),6,FALSE)</f>
        <v>0.70646017699999997</v>
      </c>
      <c r="AP117" s="5">
        <f ca="1">+VLOOKUP($A117,INDIRECT(Adrese!D$2),6,FALSE)</f>
        <v>0.71119469000000002</v>
      </c>
      <c r="AQ117" s="5">
        <f ca="1">+VLOOKUP($A117,INDIRECT(Adrese!E$2),6,FALSE)</f>
        <v>0.70221238900000005</v>
      </c>
      <c r="AR117" s="5">
        <f ca="1">+VLOOKUP($A117,INDIRECT(Adrese!F$2),6,FALSE)</f>
        <v>0.70539823000000001</v>
      </c>
      <c r="AS117" s="5" t="str">
        <f t="shared" ca="1" si="34"/>
        <v>0.71 (0.00)</v>
      </c>
      <c r="AT117" s="5">
        <f t="shared" ca="1" si="46"/>
        <v>0.7055884954300885</v>
      </c>
      <c r="AU117" s="5">
        <f t="shared" ca="1" si="35"/>
        <v>3.6090303076656625E-3</v>
      </c>
      <c r="AW117" t="s">
        <v>175</v>
      </c>
      <c r="AX117" s="5">
        <f ca="1">+VLOOKUP($A117,INDIRECT(Adrese!B$2),7,FALSE)</f>
        <v>0.75663716814159288</v>
      </c>
      <c r="AY117" s="5">
        <f ca="1">+VLOOKUP($A117,INDIRECT(Adrese!C$2),7,FALSE)</f>
        <v>0.75221238899999998</v>
      </c>
      <c r="AZ117" s="5">
        <f ca="1">+VLOOKUP($A117,INDIRECT(Adrese!D$2),7,FALSE)</f>
        <v>0.75221238899999998</v>
      </c>
      <c r="BA117" s="5">
        <f ca="1">+VLOOKUP($A117,INDIRECT(Adrese!E$2),7,FALSE)</f>
        <v>0.75221238899999998</v>
      </c>
      <c r="BB117" s="5">
        <f ca="1">+VLOOKUP($A117,INDIRECT(Adrese!F$2),7,FALSE)</f>
        <v>0.74778761100000002</v>
      </c>
      <c r="BC117" s="5" t="str">
        <f t="shared" ca="1" si="36"/>
        <v>0.75 (0.00)</v>
      </c>
      <c r="BD117">
        <f t="shared" ca="1" si="47"/>
        <v>0.75221238922831857</v>
      </c>
      <c r="BE117" s="5">
        <f t="shared" ca="1" si="37"/>
        <v>3.1287909326590899E-3</v>
      </c>
      <c r="BG117" t="s">
        <v>175</v>
      </c>
      <c r="BH117" s="5">
        <f ca="1">+VLOOKUP($BG117,INDIRECT(Adrese!B$2),8,FALSE)</f>
        <v>7.3406661139985591E-2</v>
      </c>
      <c r="BI117" s="5">
        <f ca="1">+VLOOKUP($BG117,INDIRECT(Adrese!C$2),8,FALSE)</f>
        <v>7.3757109000000001E-2</v>
      </c>
      <c r="BJ117" s="5">
        <f ca="1">+VLOOKUP($BG117,INDIRECT(Adrese!D$2),8,FALSE)</f>
        <v>7.4259873000000004E-2</v>
      </c>
      <c r="BK117" s="5">
        <f ca="1">+VLOOKUP($BG117,INDIRECT(Adrese!E$2),8,FALSE)</f>
        <v>7.3432303000000004E-2</v>
      </c>
      <c r="BL117" s="5">
        <f ca="1">+VLOOKUP($BG117,INDIRECT(Adrese!F$2),8,FALSE)</f>
        <v>7.3806578999999997E-2</v>
      </c>
      <c r="BM117" s="5" t="str">
        <f t="shared" ca="1" si="38"/>
        <v>0.07 (0.00)</v>
      </c>
      <c r="BN117" s="5">
        <f t="shared" ca="1" si="48"/>
        <v>7.3732505027997122E-2</v>
      </c>
      <c r="BO117" s="5">
        <f t="shared" ca="1" si="39"/>
        <v>3.465922617533055E-4</v>
      </c>
      <c r="BQ117" t="s">
        <v>175</v>
      </c>
      <c r="BR117" s="5">
        <f ca="1">+VLOOKUP($BG117,INDIRECT(Adrese!B$2),9,FALSE)</f>
        <v>8.2190878317554228E-2</v>
      </c>
      <c r="BS117" s="5">
        <f ca="1">+VLOOKUP($BG117,INDIRECT(Adrese!C$2),9,FALSE)</f>
        <v>8.3131197000000004E-2</v>
      </c>
      <c r="BT117" s="5">
        <f ca="1">+VLOOKUP($BG117,INDIRECT(Adrese!D$2),9,FALSE)</f>
        <v>8.3654608000000005E-2</v>
      </c>
      <c r="BU117" s="5">
        <f ca="1">+VLOOKUP($BG117,INDIRECT(Adrese!E$2),9,FALSE)</f>
        <v>8.2577864000000001E-2</v>
      </c>
      <c r="BV117" s="5">
        <f ca="1">+VLOOKUP($BG117,INDIRECT(Adrese!F$2),9,FALSE)</f>
        <v>8.3066062999999996E-2</v>
      </c>
      <c r="BW117" s="5" t="str">
        <f t="shared" ca="1" si="40"/>
        <v>0.08 (0.00)</v>
      </c>
      <c r="BX117" s="5">
        <f t="shared" ca="1" si="49"/>
        <v>8.2924122063510852E-2</v>
      </c>
      <c r="BY117" s="5">
        <f t="shared" ca="1" si="41"/>
        <v>5.5995044417176407E-4</v>
      </c>
    </row>
    <row r="118" spans="1:77" x14ac:dyDescent="0.25">
      <c r="A118" t="s">
        <v>176</v>
      </c>
      <c r="B118" s="12">
        <f ca="1">+VLOOKUP($A118,INDIRECT(Adrese!B$2),2,FALSE)</f>
        <v>116</v>
      </c>
      <c r="C118" s="12">
        <f ca="1">+VLOOKUP($A118,INDIRECT(Adrese!C$2),2,FALSE)</f>
        <v>111</v>
      </c>
      <c r="D118" s="12">
        <f ca="1">+VLOOKUP($A118,INDIRECT(Adrese!D$2),2,FALSE)</f>
        <v>113</v>
      </c>
      <c r="E118" s="12">
        <f ca="1">+VLOOKUP($A118,INDIRECT(Adrese!E$2),2,FALSE)</f>
        <v>113</v>
      </c>
      <c r="F118" s="12">
        <f ca="1">+VLOOKUP($A118,INDIRECT(Adrese!F$2),2,FALSE)</f>
        <v>115</v>
      </c>
      <c r="G118" s="5">
        <f t="shared" ca="1" si="42"/>
        <v>113.6</v>
      </c>
      <c r="H118" s="5">
        <f t="shared" ca="1" si="29"/>
        <v>1.9493588689617927</v>
      </c>
      <c r="J118" t="s">
        <v>176</v>
      </c>
      <c r="K118">
        <f ca="1">+VLOOKUP($A118,INDIRECT(Adrese!B$2),3,FALSE)</f>
        <v>72</v>
      </c>
      <c r="L118">
        <f ca="1">+VLOOKUP($A118,INDIRECT(Adrese!C$2),3,FALSE)</f>
        <v>72</v>
      </c>
      <c r="M118">
        <f ca="1">+VLOOKUP($A118,INDIRECT(Adrese!D$2),3,FALSE)</f>
        <v>73</v>
      </c>
      <c r="N118">
        <f ca="1">+VLOOKUP($A118,INDIRECT(Adrese!E$2),3,FALSE)</f>
        <v>72</v>
      </c>
      <c r="O118">
        <f ca="1">+VLOOKUP($A118,INDIRECT(Adrese!F$2),3,FALSE)</f>
        <v>71</v>
      </c>
      <c r="P118" s="5">
        <f t="shared" ca="1" si="43"/>
        <v>72</v>
      </c>
      <c r="Q118" s="5">
        <f t="shared" ca="1" si="30"/>
        <v>0.70710678118654757</v>
      </c>
      <c r="T118" t="s">
        <v>176</v>
      </c>
      <c r="U118">
        <f ca="1">+VLOOKUP($T118,INDIRECT(Adrese!B$2),4,FALSE)</f>
        <v>115369</v>
      </c>
      <c r="V118">
        <f ca="1">+VLOOKUP($T118,INDIRECT(Adrese!C$2),4,FALSE)</f>
        <v>116002</v>
      </c>
      <c r="W118">
        <f ca="1">+VLOOKUP($T118,INDIRECT(Adrese!D$2),4,FALSE)</f>
        <v>116010</v>
      </c>
      <c r="X118">
        <f ca="1">+VLOOKUP($T118,INDIRECT(Adrese!E$2),4,FALSE)</f>
        <v>115506</v>
      </c>
      <c r="Y118">
        <f ca="1">+VLOOKUP($T118,INDIRECT(Adrese!F$2),4,FALSE)</f>
        <v>115387</v>
      </c>
      <c r="Z118">
        <f t="shared" ca="1" si="31"/>
        <v>578274</v>
      </c>
      <c r="AA118" s="5">
        <f t="shared" ca="1" si="44"/>
        <v>115654.8</v>
      </c>
      <c r="AB118" s="5">
        <f t="shared" ca="1" si="32"/>
        <v>324.90567862073448</v>
      </c>
      <c r="AD118" t="s">
        <v>176</v>
      </c>
      <c r="AE118">
        <f ca="1">+VLOOKUP($A118,INDIRECT(Adrese!B$2),5,FALSE)</f>
        <v>29279</v>
      </c>
      <c r="AF118">
        <f ca="1">+VLOOKUP($A118,INDIRECT(Adrese!C$2),5,FALSE)</f>
        <v>29515</v>
      </c>
      <c r="AG118">
        <f ca="1">+VLOOKUP($A118,INDIRECT(Adrese!D$2),5,FALSE)</f>
        <v>29460</v>
      </c>
      <c r="AH118">
        <f ca="1">+VLOOKUP($A118,INDIRECT(Adrese!E$2),5,FALSE)</f>
        <v>29323</v>
      </c>
      <c r="AI118">
        <f ca="1">+VLOOKUP($A118,INDIRECT(Adrese!F$2),5,FALSE)</f>
        <v>29181</v>
      </c>
      <c r="AJ118" s="5">
        <f t="shared" ca="1" si="45"/>
        <v>29351.599999999999</v>
      </c>
      <c r="AK118" s="5">
        <f t="shared" ca="1" si="33"/>
        <v>135.68640315079475</v>
      </c>
      <c r="AM118" t="s">
        <v>176</v>
      </c>
      <c r="AN118" s="5">
        <f ca="1">+VLOOKUP($A118,INDIRECT(Adrese!B$2),6,FALSE)</f>
        <v>0.64334070796460174</v>
      </c>
      <c r="AO118" s="5">
        <f ca="1">+VLOOKUP($A118,INDIRECT(Adrese!C$2),6,FALSE)</f>
        <v>0.64856194700000003</v>
      </c>
      <c r="AP118" s="5">
        <f ca="1">+VLOOKUP($A118,INDIRECT(Adrese!D$2),6,FALSE)</f>
        <v>0.64734513299999996</v>
      </c>
      <c r="AQ118" s="5">
        <f ca="1">+VLOOKUP($A118,INDIRECT(Adrese!E$2),6,FALSE)</f>
        <v>0.644314159</v>
      </c>
      <c r="AR118" s="5">
        <f ca="1">+VLOOKUP($A118,INDIRECT(Adrese!F$2),6,FALSE)</f>
        <v>0.64117256600000005</v>
      </c>
      <c r="AS118" s="5" t="str">
        <f t="shared" ca="1" si="34"/>
        <v>0.64 (0.00)</v>
      </c>
      <c r="AT118" s="5">
        <f t="shared" ca="1" si="46"/>
        <v>0.64494690259292042</v>
      </c>
      <c r="AU118" s="5">
        <f t="shared" ca="1" si="35"/>
        <v>3.0019117869150395E-3</v>
      </c>
      <c r="AW118" t="s">
        <v>176</v>
      </c>
      <c r="AX118" s="5">
        <f ca="1">+VLOOKUP($A118,INDIRECT(Adrese!B$2),7,FALSE)</f>
        <v>0.68141592920353977</v>
      </c>
      <c r="AY118" s="5">
        <f ca="1">+VLOOKUP($A118,INDIRECT(Adrese!C$2),7,FALSE)</f>
        <v>0.68141592900000003</v>
      </c>
      <c r="AZ118" s="5">
        <f ca="1">+VLOOKUP($A118,INDIRECT(Adrese!D$2),7,FALSE)</f>
        <v>0.67699114999999999</v>
      </c>
      <c r="BA118" s="5">
        <f ca="1">+VLOOKUP($A118,INDIRECT(Adrese!E$2),7,FALSE)</f>
        <v>0.68141592900000003</v>
      </c>
      <c r="BB118" s="5">
        <f ca="1">+VLOOKUP($A118,INDIRECT(Adrese!F$2),7,FALSE)</f>
        <v>0.68584070799999997</v>
      </c>
      <c r="BC118" s="5" t="str">
        <f t="shared" ca="1" si="36"/>
        <v>0.68 (0.00)</v>
      </c>
      <c r="BD118">
        <f t="shared" ca="1" si="47"/>
        <v>0.68141592904070802</v>
      </c>
      <c r="BE118" s="5">
        <f t="shared" ca="1" si="37"/>
        <v>3.1287912361518243E-3</v>
      </c>
      <c r="BG118" t="s">
        <v>176</v>
      </c>
      <c r="BH118" s="5">
        <f ca="1">+VLOOKUP($BG118,INDIRECT(Adrese!B$2),8,FALSE)</f>
        <v>6.9194810835940437E-2</v>
      </c>
      <c r="BI118" s="5">
        <f ca="1">+VLOOKUP($BG118,INDIRECT(Adrese!C$2),8,FALSE)</f>
        <v>6.9736319000000005E-2</v>
      </c>
      <c r="BJ118" s="5">
        <f ca="1">+VLOOKUP($BG118,INDIRECT(Adrese!D$2),8,FALSE)</f>
        <v>6.9704408999999995E-2</v>
      </c>
      <c r="BK118" s="5">
        <f ca="1">+VLOOKUP($BG118,INDIRECT(Adrese!E$2),8,FALSE)</f>
        <v>6.9279847000000006E-2</v>
      </c>
      <c r="BL118" s="5">
        <f ca="1">+VLOOKUP($BG118,INDIRECT(Adrese!F$2),8,FALSE)</f>
        <v>6.9081390000000006E-2</v>
      </c>
      <c r="BM118" s="5" t="str">
        <f t="shared" ca="1" si="38"/>
        <v>0.07 (0.00)</v>
      </c>
      <c r="BN118" s="5">
        <f t="shared" ca="1" si="48"/>
        <v>6.9399355167188093E-2</v>
      </c>
      <c r="BO118" s="5">
        <f t="shared" ca="1" si="39"/>
        <v>3.0158949689589672E-4</v>
      </c>
      <c r="BQ118" t="s">
        <v>176</v>
      </c>
      <c r="BR118" s="5">
        <f ca="1">+VLOOKUP($BG118,INDIRECT(Adrese!B$2),9,FALSE)</f>
        <v>7.967905291353472E-2</v>
      </c>
      <c r="BS118" s="5">
        <f ca="1">+VLOOKUP($BG118,INDIRECT(Adrese!C$2),9,FALSE)</f>
        <v>8.0814626000000001E-2</v>
      </c>
      <c r="BT118" s="5">
        <f ca="1">+VLOOKUP($BG118,INDIRECT(Adrese!D$2),9,FALSE)</f>
        <v>8.0793616999999998E-2</v>
      </c>
      <c r="BU118" s="5">
        <f ca="1">+VLOOKUP($BG118,INDIRECT(Adrese!E$2),9,FALSE)</f>
        <v>7.9771550999999996E-2</v>
      </c>
      <c r="BV118" s="5">
        <f ca="1">+VLOOKUP($BG118,INDIRECT(Adrese!F$2),9,FALSE)</f>
        <v>7.9760155999999999E-2</v>
      </c>
      <c r="BW118" s="5" t="str">
        <f t="shared" ca="1" si="40"/>
        <v>0.08 (0.00)</v>
      </c>
      <c r="BX118" s="5">
        <f t="shared" ca="1" si="49"/>
        <v>8.0163800582706932E-2</v>
      </c>
      <c r="BY118" s="5">
        <f t="shared" ca="1" si="41"/>
        <v>5.8566445818763872E-4</v>
      </c>
    </row>
    <row r="119" spans="1:77" x14ac:dyDescent="0.25">
      <c r="A119" t="s">
        <v>177</v>
      </c>
      <c r="B119" s="12">
        <f ca="1">+VLOOKUP($A119,INDIRECT(Adrese!B$2),2,FALSE)</f>
        <v>117</v>
      </c>
      <c r="C119" s="12">
        <f ca="1">+VLOOKUP($A119,INDIRECT(Adrese!C$2),2,FALSE)</f>
        <v>119</v>
      </c>
      <c r="D119" s="12">
        <f ca="1">+VLOOKUP($A119,INDIRECT(Adrese!D$2),2,FALSE)</f>
        <v>118</v>
      </c>
      <c r="E119" s="12">
        <f ca="1">+VLOOKUP($A119,INDIRECT(Adrese!E$2),2,FALSE)</f>
        <v>112</v>
      </c>
      <c r="F119" s="12">
        <f ca="1">+VLOOKUP($A119,INDIRECT(Adrese!F$2),2,FALSE)</f>
        <v>117</v>
      </c>
      <c r="G119" s="5">
        <f t="shared" ca="1" si="42"/>
        <v>116.6</v>
      </c>
      <c r="H119" s="5">
        <f t="shared" ca="1" si="29"/>
        <v>2.7018512172212592</v>
      </c>
      <c r="J119" t="s">
        <v>177</v>
      </c>
      <c r="K119">
        <f ca="1">+VLOOKUP($A119,INDIRECT(Adrese!B$2),3,FALSE)</f>
        <v>70</v>
      </c>
      <c r="L119">
        <f ca="1">+VLOOKUP($A119,INDIRECT(Adrese!C$2),3,FALSE)</f>
        <v>72</v>
      </c>
      <c r="M119">
        <f ca="1">+VLOOKUP($A119,INDIRECT(Adrese!D$2),3,FALSE)</f>
        <v>71</v>
      </c>
      <c r="N119">
        <f ca="1">+VLOOKUP($A119,INDIRECT(Adrese!E$2),3,FALSE)</f>
        <v>68</v>
      </c>
      <c r="O119">
        <f ca="1">+VLOOKUP($A119,INDIRECT(Adrese!F$2),3,FALSE)</f>
        <v>72</v>
      </c>
      <c r="P119" s="5">
        <f t="shared" ca="1" si="43"/>
        <v>70.599999999999994</v>
      </c>
      <c r="Q119" s="5">
        <f t="shared" ca="1" si="30"/>
        <v>1.6733200530681511</v>
      </c>
      <c r="T119" t="s">
        <v>177</v>
      </c>
      <c r="U119">
        <f ca="1">+VLOOKUP($T119,INDIRECT(Adrese!B$2),4,FALSE)</f>
        <v>114840</v>
      </c>
      <c r="V119">
        <f ca="1">+VLOOKUP($T119,INDIRECT(Adrese!C$2),4,FALSE)</f>
        <v>114479</v>
      </c>
      <c r="W119">
        <f ca="1">+VLOOKUP($T119,INDIRECT(Adrese!D$2),4,FALSE)</f>
        <v>114540</v>
      </c>
      <c r="X119">
        <f ca="1">+VLOOKUP($T119,INDIRECT(Adrese!E$2),4,FALSE)</f>
        <v>115699</v>
      </c>
      <c r="Y119">
        <f ca="1">+VLOOKUP($T119,INDIRECT(Adrese!F$2),4,FALSE)</f>
        <v>114363</v>
      </c>
      <c r="Z119">
        <f t="shared" ca="1" si="31"/>
        <v>573921</v>
      </c>
      <c r="AA119" s="5">
        <f t="shared" ca="1" si="44"/>
        <v>114784.2</v>
      </c>
      <c r="AB119" s="5">
        <f t="shared" ca="1" si="32"/>
        <v>540.87031717408934</v>
      </c>
      <c r="AD119" t="s">
        <v>177</v>
      </c>
      <c r="AE119">
        <f ca="1">+VLOOKUP($A119,INDIRECT(Adrese!B$2),5,FALSE)</f>
        <v>30453</v>
      </c>
      <c r="AF119">
        <f ca="1">+VLOOKUP($A119,INDIRECT(Adrese!C$2),5,FALSE)</f>
        <v>30148</v>
      </c>
      <c r="AG119">
        <f ca="1">+VLOOKUP($A119,INDIRECT(Adrese!D$2),5,FALSE)</f>
        <v>30121</v>
      </c>
      <c r="AH119">
        <f ca="1">+VLOOKUP($A119,INDIRECT(Adrese!E$2),5,FALSE)</f>
        <v>30868</v>
      </c>
      <c r="AI119">
        <f ca="1">+VLOOKUP($A119,INDIRECT(Adrese!F$2),5,FALSE)</f>
        <v>30052</v>
      </c>
      <c r="AJ119" s="5">
        <f t="shared" ca="1" si="45"/>
        <v>30328.400000000001</v>
      </c>
      <c r="AK119" s="5">
        <f t="shared" ca="1" si="33"/>
        <v>338.6182216006693</v>
      </c>
      <c r="AM119" t="s">
        <v>177</v>
      </c>
      <c r="AN119" s="5">
        <f ca="1">+VLOOKUP($A119,INDIRECT(Adrese!B$2),6,FALSE)</f>
        <v>0.66931415929203542</v>
      </c>
      <c r="AO119" s="5">
        <f ca="1">+VLOOKUP($A119,INDIRECT(Adrese!C$2),6,FALSE)</f>
        <v>0.66256637200000001</v>
      </c>
      <c r="AP119" s="5">
        <f ca="1">+VLOOKUP($A119,INDIRECT(Adrese!D$2),6,FALSE)</f>
        <v>0.66196902700000004</v>
      </c>
      <c r="AQ119" s="5">
        <f ca="1">+VLOOKUP($A119,INDIRECT(Adrese!E$2),6,FALSE)</f>
        <v>0.67849557500000002</v>
      </c>
      <c r="AR119" s="5">
        <f ca="1">+VLOOKUP($A119,INDIRECT(Adrese!F$2),6,FALSE)</f>
        <v>0.660442478</v>
      </c>
      <c r="AS119" s="5" t="str">
        <f t="shared" ca="1" si="34"/>
        <v>0.67 (0.01)</v>
      </c>
      <c r="AT119" s="5">
        <f t="shared" ca="1" si="46"/>
        <v>0.66655752225840703</v>
      </c>
      <c r="AU119" s="5">
        <f t="shared" ca="1" si="35"/>
        <v>7.4915533502757283E-3</v>
      </c>
      <c r="AW119" t="s">
        <v>177</v>
      </c>
      <c r="AX119" s="5">
        <f ca="1">+VLOOKUP($A119,INDIRECT(Adrese!B$2),7,FALSE)</f>
        <v>0.69026548672566368</v>
      </c>
      <c r="AY119" s="5">
        <f ca="1">+VLOOKUP($A119,INDIRECT(Adrese!C$2),7,FALSE)</f>
        <v>0.68141592900000003</v>
      </c>
      <c r="AZ119" s="5">
        <f ca="1">+VLOOKUP($A119,INDIRECT(Adrese!D$2),7,FALSE)</f>
        <v>0.68584070799999997</v>
      </c>
      <c r="BA119" s="5">
        <f ca="1">+VLOOKUP($A119,INDIRECT(Adrese!E$2),7,FALSE)</f>
        <v>0.69911504400000002</v>
      </c>
      <c r="BB119" s="5">
        <f ca="1">+VLOOKUP($A119,INDIRECT(Adrese!F$2),7,FALSE)</f>
        <v>0.68141592900000003</v>
      </c>
      <c r="BC119" s="5" t="str">
        <f t="shared" ca="1" si="36"/>
        <v>0.69 (0.01)</v>
      </c>
      <c r="BD119">
        <f t="shared" ca="1" si="47"/>
        <v>0.68761061934513279</v>
      </c>
      <c r="BE119" s="5">
        <f t="shared" ca="1" si="37"/>
        <v>7.4040710180534432E-3</v>
      </c>
      <c r="BG119" t="s">
        <v>177</v>
      </c>
      <c r="BH119" s="5">
        <f ca="1">+VLOOKUP($BG119,INDIRECT(Adrese!B$2),8,FALSE)</f>
        <v>7.1269455596218029E-2</v>
      </c>
      <c r="BI119" s="5">
        <f ca="1">+VLOOKUP($BG119,INDIRECT(Adrese!C$2),8,FALSE)</f>
        <v>7.0656685999999996E-2</v>
      </c>
      <c r="BJ119" s="5">
        <f ca="1">+VLOOKUP($BG119,INDIRECT(Adrese!D$2),8,FALSE)</f>
        <v>7.0796329000000005E-2</v>
      </c>
      <c r="BK119" s="5">
        <f ca="1">+VLOOKUP($BG119,INDIRECT(Adrese!E$2),8,FALSE)</f>
        <v>7.1843071999999994E-2</v>
      </c>
      <c r="BL119" s="5">
        <f ca="1">+VLOOKUP($BG119,INDIRECT(Adrese!F$2),8,FALSE)</f>
        <v>7.0725461000000003E-2</v>
      </c>
      <c r="BM119" s="5" t="str">
        <f t="shared" ca="1" si="38"/>
        <v>0.07 (0.00)</v>
      </c>
      <c r="BN119" s="5">
        <f t="shared" ca="1" si="48"/>
        <v>7.1058200719243597E-2</v>
      </c>
      <c r="BO119" s="5">
        <f t="shared" ca="1" si="39"/>
        <v>5.0028945078645136E-4</v>
      </c>
      <c r="BQ119" t="s">
        <v>177</v>
      </c>
      <c r="BR119" s="5">
        <f ca="1">+VLOOKUP($BG119,INDIRECT(Adrese!B$2),9,FALSE)</f>
        <v>8.1871252884991558E-2</v>
      </c>
      <c r="BS119" s="5">
        <f ca="1">+VLOOKUP($BG119,INDIRECT(Adrese!C$2),9,FALSE)</f>
        <v>8.0607276000000005E-2</v>
      </c>
      <c r="BT119" s="5">
        <f ca="1">+VLOOKUP($BG119,INDIRECT(Adrese!D$2),9,FALSE)</f>
        <v>8.1502959E-2</v>
      </c>
      <c r="BU119" s="5">
        <f ca="1">+VLOOKUP($BG119,INDIRECT(Adrese!E$2),9,FALSE)</f>
        <v>8.2057175999999996E-2</v>
      </c>
      <c r="BV119" s="5">
        <f ca="1">+VLOOKUP($BG119,INDIRECT(Adrese!F$2),9,FALSE)</f>
        <v>8.1506604999999996E-2</v>
      </c>
      <c r="BW119" s="5" t="str">
        <f t="shared" ca="1" si="40"/>
        <v>0.08 (0.00)</v>
      </c>
      <c r="BX119" s="5">
        <f t="shared" ca="1" si="49"/>
        <v>8.1509053776998325E-2</v>
      </c>
      <c r="BY119" s="5">
        <f t="shared" ca="1" si="41"/>
        <v>5.5786926494539571E-4</v>
      </c>
    </row>
    <row r="120" spans="1:77" x14ac:dyDescent="0.25">
      <c r="A120" t="s">
        <v>178</v>
      </c>
      <c r="B120" s="12">
        <f ca="1">+VLOOKUP($A120,INDIRECT(Adrese!B$2),2,FALSE)</f>
        <v>118</v>
      </c>
      <c r="C120" s="12">
        <f ca="1">+VLOOKUP($A120,INDIRECT(Adrese!C$2),2,FALSE)</f>
        <v>117</v>
      </c>
      <c r="D120" s="12">
        <f ca="1">+VLOOKUP($A120,INDIRECT(Adrese!D$2),2,FALSE)</f>
        <v>117</v>
      </c>
      <c r="E120" s="12">
        <f ca="1">+VLOOKUP($A120,INDIRECT(Adrese!E$2),2,FALSE)</f>
        <v>118</v>
      </c>
      <c r="F120" s="12">
        <f ca="1">+VLOOKUP($A120,INDIRECT(Adrese!F$2),2,FALSE)</f>
        <v>116</v>
      </c>
      <c r="G120" s="5">
        <f t="shared" ca="1" si="42"/>
        <v>117.2</v>
      </c>
      <c r="H120" s="5">
        <f t="shared" ca="1" si="29"/>
        <v>0.83666002653407556</v>
      </c>
      <c r="J120" t="s">
        <v>178</v>
      </c>
      <c r="K120">
        <f ca="1">+VLOOKUP($A120,INDIRECT(Adrese!B$2),3,FALSE)</f>
        <v>69</v>
      </c>
      <c r="L120">
        <f ca="1">+VLOOKUP($A120,INDIRECT(Adrese!C$2),3,FALSE)</f>
        <v>70</v>
      </c>
      <c r="M120">
        <f ca="1">+VLOOKUP($A120,INDIRECT(Adrese!D$2),3,FALSE)</f>
        <v>72</v>
      </c>
      <c r="N120">
        <f ca="1">+VLOOKUP($A120,INDIRECT(Adrese!E$2),3,FALSE)</f>
        <v>71</v>
      </c>
      <c r="O120">
        <f ca="1">+VLOOKUP($A120,INDIRECT(Adrese!F$2),3,FALSE)</f>
        <v>72</v>
      </c>
      <c r="P120" s="5">
        <f t="shared" ca="1" si="43"/>
        <v>70.8</v>
      </c>
      <c r="Q120" s="5">
        <f t="shared" ca="1" si="30"/>
        <v>1.3038404810405297</v>
      </c>
      <c r="T120" t="s">
        <v>178</v>
      </c>
      <c r="U120">
        <f ca="1">+VLOOKUP($T120,INDIRECT(Adrese!B$2),4,FALSE)</f>
        <v>114568</v>
      </c>
      <c r="V120">
        <f ca="1">+VLOOKUP($T120,INDIRECT(Adrese!C$2),4,FALSE)</f>
        <v>115018</v>
      </c>
      <c r="W120">
        <f ca="1">+VLOOKUP($T120,INDIRECT(Adrese!D$2),4,FALSE)</f>
        <v>115333</v>
      </c>
      <c r="X120">
        <f ca="1">+VLOOKUP($T120,INDIRECT(Adrese!E$2),4,FALSE)</f>
        <v>114022</v>
      </c>
      <c r="Y120">
        <f ca="1">+VLOOKUP($T120,INDIRECT(Adrese!F$2),4,FALSE)</f>
        <v>114504</v>
      </c>
      <c r="Z120">
        <f t="shared" ca="1" si="31"/>
        <v>573445</v>
      </c>
      <c r="AA120" s="5">
        <f t="shared" ca="1" si="44"/>
        <v>114689</v>
      </c>
      <c r="AB120" s="5">
        <f t="shared" ca="1" si="32"/>
        <v>504.16564738188976</v>
      </c>
      <c r="AD120" t="s">
        <v>178</v>
      </c>
      <c r="AE120">
        <f ca="1">+VLOOKUP($A120,INDIRECT(Adrese!B$2),5,FALSE)</f>
        <v>30997</v>
      </c>
      <c r="AF120">
        <f ca="1">+VLOOKUP($A120,INDIRECT(Adrese!C$2),5,FALSE)</f>
        <v>31176</v>
      </c>
      <c r="AG120">
        <f ca="1">+VLOOKUP($A120,INDIRECT(Adrese!D$2),5,FALSE)</f>
        <v>31336</v>
      </c>
      <c r="AH120">
        <f ca="1">+VLOOKUP($A120,INDIRECT(Adrese!E$2),5,FALSE)</f>
        <v>30598</v>
      </c>
      <c r="AI120">
        <f ca="1">+VLOOKUP($A120,INDIRECT(Adrese!F$2),5,FALSE)</f>
        <v>30761</v>
      </c>
      <c r="AJ120" s="5">
        <f t="shared" ca="1" si="45"/>
        <v>30973.599999999999</v>
      </c>
      <c r="AK120" s="5">
        <f t="shared" ca="1" si="33"/>
        <v>299.63360959678738</v>
      </c>
      <c r="AM120" t="s">
        <v>178</v>
      </c>
      <c r="AN120" s="5">
        <f ca="1">+VLOOKUP($A120,INDIRECT(Adrese!B$2),6,FALSE)</f>
        <v>0.68134955752212389</v>
      </c>
      <c r="AO120" s="5">
        <f ca="1">+VLOOKUP($A120,INDIRECT(Adrese!C$2),6,FALSE)</f>
        <v>0.68530973500000003</v>
      </c>
      <c r="AP120" s="5">
        <f ca="1">+VLOOKUP($A120,INDIRECT(Adrese!D$2),6,FALSE)</f>
        <v>0.68884955800000003</v>
      </c>
      <c r="AQ120" s="5">
        <f ca="1">+VLOOKUP($A120,INDIRECT(Adrese!E$2),6,FALSE)</f>
        <v>0.672522124</v>
      </c>
      <c r="AR120" s="5">
        <f ca="1">+VLOOKUP($A120,INDIRECT(Adrese!F$2),6,FALSE)</f>
        <v>0.67612831900000003</v>
      </c>
      <c r="AS120" s="5" t="str">
        <f t="shared" ca="1" si="34"/>
        <v>0.68 (0.01)</v>
      </c>
      <c r="AT120" s="5">
        <f t="shared" ca="1" si="46"/>
        <v>0.68083185870442475</v>
      </c>
      <c r="AU120" s="5">
        <f t="shared" ca="1" si="35"/>
        <v>6.6290622788523282E-3</v>
      </c>
      <c r="AW120" t="s">
        <v>178</v>
      </c>
      <c r="AX120" s="5">
        <f ca="1">+VLOOKUP($A120,INDIRECT(Adrese!B$2),7,FALSE)</f>
        <v>0.69469026548672563</v>
      </c>
      <c r="AY120" s="5">
        <f ca="1">+VLOOKUP($A120,INDIRECT(Adrese!C$2),7,FALSE)</f>
        <v>0.69026548700000001</v>
      </c>
      <c r="AZ120" s="5">
        <f ca="1">+VLOOKUP($A120,INDIRECT(Adrese!D$2),7,FALSE)</f>
        <v>0.68141592900000003</v>
      </c>
      <c r="BA120" s="5">
        <f ca="1">+VLOOKUP($A120,INDIRECT(Adrese!E$2),7,FALSE)</f>
        <v>0.68584070799999997</v>
      </c>
      <c r="BB120" s="5">
        <f ca="1">+VLOOKUP($A120,INDIRECT(Adrese!F$2),7,FALSE)</f>
        <v>0.68141592900000003</v>
      </c>
      <c r="BC120" s="5" t="str">
        <f t="shared" ca="1" si="36"/>
        <v>0.69 (0.01)</v>
      </c>
      <c r="BD120">
        <f t="shared" ca="1" si="47"/>
        <v>0.68672566369734511</v>
      </c>
      <c r="BE120" s="5">
        <f t="shared" ca="1" si="37"/>
        <v>5.7692058027094626E-3</v>
      </c>
      <c r="BG120" t="s">
        <v>178</v>
      </c>
      <c r="BH120" s="5">
        <f ca="1">+VLOOKUP($BG120,INDIRECT(Adrese!B$2),8,FALSE)</f>
        <v>7.2272635648842315E-2</v>
      </c>
      <c r="BI120" s="5">
        <f ca="1">+VLOOKUP($BG120,INDIRECT(Adrese!C$2),8,FALSE)</f>
        <v>7.2364157999999998E-2</v>
      </c>
      <c r="BJ120" s="5">
        <f ca="1">+VLOOKUP($BG120,INDIRECT(Adrese!D$2),8,FALSE)</f>
        <v>7.2598944999999998E-2</v>
      </c>
      <c r="BK120" s="5">
        <f ca="1">+VLOOKUP($BG120,INDIRECT(Adrese!E$2),8,FALSE)</f>
        <v>7.1366535999999994E-2</v>
      </c>
      <c r="BL120" s="5">
        <f ca="1">+VLOOKUP($BG120,INDIRECT(Adrese!F$2),8,FALSE)</f>
        <v>7.1809757000000002E-2</v>
      </c>
      <c r="BM120" s="5" t="str">
        <f t="shared" ca="1" si="38"/>
        <v>0.07 (0.00)</v>
      </c>
      <c r="BN120" s="5">
        <f t="shared" ca="1" si="48"/>
        <v>7.208240632976845E-2</v>
      </c>
      <c r="BO120" s="5">
        <f t="shared" ca="1" si="39"/>
        <v>4.92237590352497E-4</v>
      </c>
      <c r="BQ120" t="s">
        <v>178</v>
      </c>
      <c r="BR120" s="5">
        <f ca="1">+VLOOKUP($BG120,INDIRECT(Adrese!B$2),9,FALSE)</f>
        <v>8.2560126528381073E-2</v>
      </c>
      <c r="BS120" s="5">
        <f ca="1">+VLOOKUP($BG120,INDIRECT(Adrese!C$2),9,FALSE)</f>
        <v>8.2274755000000005E-2</v>
      </c>
      <c r="BT120" s="5">
        <f ca="1">+VLOOKUP($BG120,INDIRECT(Adrese!D$2),9,FALSE)</f>
        <v>8.2029589999999999E-2</v>
      </c>
      <c r="BU120" s="5">
        <f ca="1">+VLOOKUP($BG120,INDIRECT(Adrese!E$2),9,FALSE)</f>
        <v>8.1159209999999996E-2</v>
      </c>
      <c r="BV120" s="5">
        <f ca="1">+VLOOKUP($BG120,INDIRECT(Adrese!F$2),9,FALSE)</f>
        <v>8.1902058999999999E-2</v>
      </c>
      <c r="BW120" s="5" t="str">
        <f t="shared" ca="1" si="40"/>
        <v>0.08 (0.00)</v>
      </c>
      <c r="BX120" s="5">
        <f t="shared" ca="1" si="49"/>
        <v>8.1985148105676212E-2</v>
      </c>
      <c r="BY120" s="5">
        <f t="shared" ca="1" si="41"/>
        <v>5.2571973894776345E-4</v>
      </c>
    </row>
    <row r="121" spans="1:77" x14ac:dyDescent="0.25">
      <c r="A121" t="s">
        <v>179</v>
      </c>
      <c r="B121" s="12">
        <f ca="1">+VLOOKUP($A121,INDIRECT(Adrese!B$2),2,FALSE)</f>
        <v>119</v>
      </c>
      <c r="C121" s="12">
        <f ca="1">+VLOOKUP($A121,INDIRECT(Adrese!C$2),2,FALSE)</f>
        <v>120</v>
      </c>
      <c r="D121" s="12">
        <f ca="1">+VLOOKUP($A121,INDIRECT(Adrese!D$2),2,FALSE)</f>
        <v>119</v>
      </c>
      <c r="E121" s="12">
        <f ca="1">+VLOOKUP($A121,INDIRECT(Adrese!E$2),2,FALSE)</f>
        <v>120</v>
      </c>
      <c r="F121" s="12">
        <f ca="1">+VLOOKUP($A121,INDIRECT(Adrese!F$2),2,FALSE)</f>
        <v>118</v>
      </c>
      <c r="G121" s="5">
        <f t="shared" ca="1" si="42"/>
        <v>119.2</v>
      </c>
      <c r="H121" s="5">
        <f t="shared" ca="1" si="29"/>
        <v>0.83666002653407556</v>
      </c>
      <c r="J121" t="s">
        <v>179</v>
      </c>
      <c r="K121">
        <f ca="1">+VLOOKUP($A121,INDIRECT(Adrese!B$2),3,FALSE)</f>
        <v>13</v>
      </c>
      <c r="L121">
        <f ca="1">+VLOOKUP($A121,INDIRECT(Adrese!C$2),3,FALSE)</f>
        <v>14</v>
      </c>
      <c r="M121">
        <f ca="1">+VLOOKUP($A121,INDIRECT(Adrese!D$2),3,FALSE)</f>
        <v>17</v>
      </c>
      <c r="N121">
        <f ca="1">+VLOOKUP($A121,INDIRECT(Adrese!E$2),3,FALSE)</f>
        <v>14</v>
      </c>
      <c r="O121">
        <f ca="1">+VLOOKUP($A121,INDIRECT(Adrese!F$2),3,FALSE)</f>
        <v>17</v>
      </c>
      <c r="P121" s="5">
        <f t="shared" ca="1" si="43"/>
        <v>15</v>
      </c>
      <c r="Q121" s="5">
        <f t="shared" ca="1" si="30"/>
        <v>1.8708286933869707</v>
      </c>
      <c r="T121" t="s">
        <v>179</v>
      </c>
      <c r="U121">
        <f ca="1">+VLOOKUP($T121,INDIRECT(Adrese!B$2),4,FALSE)</f>
        <v>112814</v>
      </c>
      <c r="V121">
        <f ca="1">+VLOOKUP($T121,INDIRECT(Adrese!C$2),4,FALSE)</f>
        <v>113920</v>
      </c>
      <c r="W121">
        <f ca="1">+VLOOKUP($T121,INDIRECT(Adrese!D$2),4,FALSE)</f>
        <v>114069</v>
      </c>
      <c r="X121">
        <f ca="1">+VLOOKUP($T121,INDIRECT(Adrese!E$2),4,FALSE)</f>
        <v>113374</v>
      </c>
      <c r="Y121">
        <f ca="1">+VLOOKUP($T121,INDIRECT(Adrese!F$2),4,FALSE)</f>
        <v>113089</v>
      </c>
      <c r="Z121">
        <f t="shared" ca="1" si="31"/>
        <v>567266</v>
      </c>
      <c r="AA121" s="5">
        <f t="shared" ca="1" si="44"/>
        <v>113453.2</v>
      </c>
      <c r="AB121" s="5">
        <f t="shared" ca="1" si="32"/>
        <v>534.93055624071428</v>
      </c>
      <c r="AD121" t="s">
        <v>179</v>
      </c>
      <c r="AE121">
        <f ca="1">+VLOOKUP($A121,INDIRECT(Adrese!B$2),5,FALSE)</f>
        <v>40930</v>
      </c>
      <c r="AF121">
        <f ca="1">+VLOOKUP($A121,INDIRECT(Adrese!C$2),5,FALSE)</f>
        <v>41030</v>
      </c>
      <c r="AG121">
        <f ca="1">+VLOOKUP($A121,INDIRECT(Adrese!D$2),5,FALSE)</f>
        <v>41060</v>
      </c>
      <c r="AH121">
        <f ca="1">+VLOOKUP($A121,INDIRECT(Adrese!E$2),5,FALSE)</f>
        <v>41100</v>
      </c>
      <c r="AI121">
        <f ca="1">+VLOOKUP($A121,INDIRECT(Adrese!F$2),5,FALSE)</f>
        <v>40880</v>
      </c>
      <c r="AJ121" s="5">
        <f t="shared" ca="1" si="45"/>
        <v>41000</v>
      </c>
      <c r="AK121" s="5">
        <f t="shared" ca="1" si="33"/>
        <v>91.923881554251182</v>
      </c>
      <c r="AM121" t="s">
        <v>179</v>
      </c>
      <c r="AN121" s="5">
        <f ca="1">+VLOOKUP($A121,INDIRECT(Adrese!B$2),6,FALSE)</f>
        <v>0.90110619469026554</v>
      </c>
      <c r="AO121" s="5">
        <f ca="1">+VLOOKUP($A121,INDIRECT(Adrese!C$2),6,FALSE)</f>
        <v>0.90331858399999998</v>
      </c>
      <c r="AP121" s="5">
        <f ca="1">+VLOOKUP($A121,INDIRECT(Adrese!D$2),6,FALSE)</f>
        <v>0.90398230099999999</v>
      </c>
      <c r="AQ121" s="5">
        <f ca="1">+VLOOKUP($A121,INDIRECT(Adrese!E$2),6,FALSE)</f>
        <v>0.90486725700000004</v>
      </c>
      <c r="AR121" s="5">
        <f ca="1">+VLOOKUP($A121,INDIRECT(Adrese!F$2),6,FALSE)</f>
        <v>0.9</v>
      </c>
      <c r="AS121" s="5" t="str">
        <f t="shared" ca="1" si="34"/>
        <v>0.90 (0.00)</v>
      </c>
      <c r="AT121" s="5">
        <f t="shared" ca="1" si="46"/>
        <v>0.90265486733805322</v>
      </c>
      <c r="AU121" s="5">
        <f t="shared" ca="1" si="35"/>
        <v>2.0337143053518903E-3</v>
      </c>
      <c r="AW121" t="s">
        <v>179</v>
      </c>
      <c r="AX121" s="5">
        <f ca="1">+VLOOKUP($A121,INDIRECT(Adrese!B$2),7,FALSE)</f>
        <v>0.94247787610619471</v>
      </c>
      <c r="AY121" s="5">
        <f ca="1">+VLOOKUP($A121,INDIRECT(Adrese!C$2),7,FALSE)</f>
        <v>0.93805309699999995</v>
      </c>
      <c r="AZ121" s="5">
        <f ca="1">+VLOOKUP($A121,INDIRECT(Adrese!D$2),7,FALSE)</f>
        <v>0.924778761</v>
      </c>
      <c r="BA121" s="5">
        <f ca="1">+VLOOKUP($A121,INDIRECT(Adrese!E$2),7,FALSE)</f>
        <v>0.93805309699999995</v>
      </c>
      <c r="BB121" s="5">
        <f ca="1">+VLOOKUP($A121,INDIRECT(Adrese!F$2),7,FALSE)</f>
        <v>0.924778761</v>
      </c>
      <c r="BC121" s="5" t="str">
        <f t="shared" ca="1" si="36"/>
        <v>0.93 (0.01)</v>
      </c>
      <c r="BD121">
        <f t="shared" ca="1" si="47"/>
        <v>0.93362831842123895</v>
      </c>
      <c r="BE121" s="5">
        <f t="shared" ca="1" si="37"/>
        <v>8.2780030089553373E-3</v>
      </c>
      <c r="BG121" t="s">
        <v>179</v>
      </c>
      <c r="BH121" s="5">
        <f ca="1">+VLOOKUP($BG121,INDIRECT(Adrese!B$2),8,FALSE)</f>
        <v>8.3886648275791245E-2</v>
      </c>
      <c r="BI121" s="5">
        <f ca="1">+VLOOKUP($BG121,INDIRECT(Adrese!C$2),8,FALSE)</f>
        <v>8.3632715999999996E-2</v>
      </c>
      <c r="BJ121" s="5">
        <f ca="1">+VLOOKUP($BG121,INDIRECT(Adrese!D$2),8,FALSE)</f>
        <v>8.3551413000000005E-2</v>
      </c>
      <c r="BK121" s="5">
        <f ca="1">+VLOOKUP($BG121,INDIRECT(Adrese!E$2),8,FALSE)</f>
        <v>8.4079564999999995E-2</v>
      </c>
      <c r="BL121" s="5">
        <f ca="1">+VLOOKUP($BG121,INDIRECT(Adrese!F$2),8,FALSE)</f>
        <v>8.3397582999999997E-2</v>
      </c>
      <c r="BM121" s="5" t="str">
        <f t="shared" ca="1" si="38"/>
        <v>0.08 (0.00)</v>
      </c>
      <c r="BN121" s="5">
        <f t="shared" ca="1" si="48"/>
        <v>8.3709585055158242E-2</v>
      </c>
      <c r="BO121" s="5">
        <f t="shared" ca="1" si="39"/>
        <v>2.7226323511581047E-4</v>
      </c>
      <c r="BQ121" t="s">
        <v>179</v>
      </c>
      <c r="BR121" s="5">
        <f ca="1">+VLOOKUP($BG121,INDIRECT(Adrese!B$2),9,FALSE)</f>
        <v>7.76149995206772E-2</v>
      </c>
      <c r="BS121" s="5">
        <f ca="1">+VLOOKUP($BG121,INDIRECT(Adrese!C$2),9,FALSE)</f>
        <v>7.6117404999999999E-2</v>
      </c>
      <c r="BT121" s="5">
        <f ca="1">+VLOOKUP($BG121,INDIRECT(Adrese!D$2),9,FALSE)</f>
        <v>7.5333302000000005E-2</v>
      </c>
      <c r="BU121" s="5">
        <f ca="1">+VLOOKUP($BG121,INDIRECT(Adrese!E$2),9,FALSE)</f>
        <v>7.7536094999999999E-2</v>
      </c>
      <c r="BV121" s="5">
        <f ca="1">+VLOOKUP($BG121,INDIRECT(Adrese!F$2),9,FALSE)</f>
        <v>7.5610358000000003E-2</v>
      </c>
      <c r="BW121" s="5" t="str">
        <f t="shared" ca="1" si="40"/>
        <v>0.08 (0.00)</v>
      </c>
      <c r="BX121" s="5">
        <f t="shared" ca="1" si="49"/>
        <v>7.6442431904135438E-2</v>
      </c>
      <c r="BY121" s="5">
        <f t="shared" ca="1" si="41"/>
        <v>1.0722840571906558E-3</v>
      </c>
    </row>
    <row r="122" spans="1:77" x14ac:dyDescent="0.25">
      <c r="A122" t="s">
        <v>180</v>
      </c>
      <c r="B122" s="12">
        <f ca="1">+VLOOKUP($A122,INDIRECT(Adrese!B$2),2,FALSE)</f>
        <v>120</v>
      </c>
      <c r="C122" s="12">
        <f ca="1">+VLOOKUP($A122,INDIRECT(Adrese!C$2),2,FALSE)</f>
        <v>118</v>
      </c>
      <c r="D122" s="12">
        <f ca="1">+VLOOKUP($A122,INDIRECT(Adrese!D$2),2,FALSE)</f>
        <v>120</v>
      </c>
      <c r="E122" s="12">
        <f ca="1">+VLOOKUP($A122,INDIRECT(Adrese!E$2),2,FALSE)</f>
        <v>119</v>
      </c>
      <c r="F122" s="12">
        <f ca="1">+VLOOKUP($A122,INDIRECT(Adrese!F$2),2,FALSE)</f>
        <v>122</v>
      </c>
      <c r="G122" s="5">
        <f t="shared" ca="1" si="42"/>
        <v>119.8</v>
      </c>
      <c r="H122" s="5">
        <f t="shared" ca="1" si="29"/>
        <v>1.4832396974191324</v>
      </c>
      <c r="J122" t="s">
        <v>180</v>
      </c>
      <c r="K122">
        <f ca="1">+VLOOKUP($A122,INDIRECT(Adrese!B$2),3,FALSE)</f>
        <v>106</v>
      </c>
      <c r="L122">
        <f ca="1">+VLOOKUP($A122,INDIRECT(Adrese!C$2),3,FALSE)</f>
        <v>107</v>
      </c>
      <c r="M122">
        <f ca="1">+VLOOKUP($A122,INDIRECT(Adrese!D$2),3,FALSE)</f>
        <v>97</v>
      </c>
      <c r="N122">
        <f ca="1">+VLOOKUP($A122,INDIRECT(Adrese!E$2),3,FALSE)</f>
        <v>111</v>
      </c>
      <c r="O122">
        <f ca="1">+VLOOKUP($A122,INDIRECT(Adrese!F$2),3,FALSE)</f>
        <v>106</v>
      </c>
      <c r="P122" s="5">
        <f t="shared" ca="1" si="43"/>
        <v>105.4</v>
      </c>
      <c r="Q122" s="5">
        <f t="shared" ca="1" si="30"/>
        <v>5.1283525619832337</v>
      </c>
      <c r="T122" t="s">
        <v>180</v>
      </c>
      <c r="U122">
        <f ca="1">+VLOOKUP($T122,INDIRECT(Adrese!B$2),4,FALSE)</f>
        <v>112402</v>
      </c>
      <c r="V122">
        <f ca="1">+VLOOKUP($T122,INDIRECT(Adrese!C$2),4,FALSE)</f>
        <v>114905</v>
      </c>
      <c r="W122">
        <f ca="1">+VLOOKUP($T122,INDIRECT(Adrese!D$2),4,FALSE)</f>
        <v>112715</v>
      </c>
      <c r="X122">
        <f ca="1">+VLOOKUP($T122,INDIRECT(Adrese!E$2),4,FALSE)</f>
        <v>113492</v>
      </c>
      <c r="Y122">
        <f ca="1">+VLOOKUP($T122,INDIRECT(Adrese!F$2),4,FALSE)</f>
        <v>111911</v>
      </c>
      <c r="Z122">
        <f t="shared" ca="1" si="31"/>
        <v>565425</v>
      </c>
      <c r="AA122" s="5">
        <f t="shared" ca="1" si="44"/>
        <v>113085</v>
      </c>
      <c r="AB122" s="5">
        <f t="shared" ca="1" si="32"/>
        <v>1168.3015449788638</v>
      </c>
      <c r="AD122" t="s">
        <v>180</v>
      </c>
      <c r="AE122">
        <f ca="1">+VLOOKUP($A122,INDIRECT(Adrese!B$2),5,FALSE)</f>
        <v>27007</v>
      </c>
      <c r="AF122">
        <f ca="1">+VLOOKUP($A122,INDIRECT(Adrese!C$2),5,FALSE)</f>
        <v>28362</v>
      </c>
      <c r="AG122">
        <f ca="1">+VLOOKUP($A122,INDIRECT(Adrese!D$2),5,FALSE)</f>
        <v>28233</v>
      </c>
      <c r="AH122">
        <f ca="1">+VLOOKUP($A122,INDIRECT(Adrese!E$2),5,FALSE)</f>
        <v>27483</v>
      </c>
      <c r="AI122">
        <f ca="1">+VLOOKUP($A122,INDIRECT(Adrese!F$2),5,FALSE)</f>
        <v>26220</v>
      </c>
      <c r="AJ122" s="5">
        <f t="shared" ca="1" si="45"/>
        <v>27461</v>
      </c>
      <c r="AK122" s="5">
        <f t="shared" ca="1" si="33"/>
        <v>888.04082113380355</v>
      </c>
      <c r="AM122" t="s">
        <v>180</v>
      </c>
      <c r="AN122" s="5">
        <f ca="1">+VLOOKUP($A122,INDIRECT(Adrese!B$2),6,FALSE)</f>
        <v>0.59327433628318582</v>
      </c>
      <c r="AO122" s="5">
        <f ca="1">+VLOOKUP($A122,INDIRECT(Adrese!C$2),6,FALSE)</f>
        <v>0.62311946900000004</v>
      </c>
      <c r="AP122" s="5">
        <f ca="1">+VLOOKUP($A122,INDIRECT(Adrese!D$2),6,FALSE)</f>
        <v>0.62035398200000003</v>
      </c>
      <c r="AQ122" s="5">
        <f ca="1">+VLOOKUP($A122,INDIRECT(Adrese!E$2),6,FALSE)</f>
        <v>0.60365044199999995</v>
      </c>
      <c r="AR122" s="5">
        <f ca="1">+VLOOKUP($A122,INDIRECT(Adrese!F$2),6,FALSE)</f>
        <v>0.57584070799999998</v>
      </c>
      <c r="AS122" s="5" t="str">
        <f t="shared" ca="1" si="34"/>
        <v>0.60 (0.02)</v>
      </c>
      <c r="AT122" s="5">
        <f t="shared" ca="1" si="46"/>
        <v>0.60324778745663721</v>
      </c>
      <c r="AU122" s="5">
        <f t="shared" ca="1" si="35"/>
        <v>1.9610491340409722E-2</v>
      </c>
      <c r="AW122" t="s">
        <v>180</v>
      </c>
      <c r="AX122" s="5">
        <f ca="1">+VLOOKUP($A122,INDIRECT(Adrese!B$2),7,FALSE)</f>
        <v>0.53097345132743368</v>
      </c>
      <c r="AY122" s="5">
        <f ca="1">+VLOOKUP($A122,INDIRECT(Adrese!C$2),7,FALSE)</f>
        <v>0.52654867299999997</v>
      </c>
      <c r="AZ122" s="5">
        <f ca="1">+VLOOKUP($A122,INDIRECT(Adrese!D$2),7,FALSE)</f>
        <v>0.57079645999999995</v>
      </c>
      <c r="BA122" s="5">
        <f ca="1">+VLOOKUP($A122,INDIRECT(Adrese!E$2),7,FALSE)</f>
        <v>0.50884955799999998</v>
      </c>
      <c r="BB122" s="5">
        <f ca="1">+VLOOKUP($A122,INDIRECT(Adrese!F$2),7,FALSE)</f>
        <v>0.53097345100000004</v>
      </c>
      <c r="BC122" s="5" t="str">
        <f t="shared" ca="1" si="36"/>
        <v>0.53 (0.02)</v>
      </c>
      <c r="BD122">
        <f t="shared" ca="1" si="47"/>
        <v>0.53362831866548677</v>
      </c>
      <c r="BE122" s="5">
        <f t="shared" ca="1" si="37"/>
        <v>2.2691825268323924E-2</v>
      </c>
      <c r="BG122" t="s">
        <v>180</v>
      </c>
      <c r="BH122" s="5">
        <f ca="1">+VLOOKUP($BG122,INDIRECT(Adrese!B$2),8,FALSE)</f>
        <v>6.088058372097209E-2</v>
      </c>
      <c r="BI122" s="5">
        <f ca="1">+VLOOKUP($BG122,INDIRECT(Adrese!C$2),8,FALSE)</f>
        <v>6.4143343000000005E-2</v>
      </c>
      <c r="BJ122" s="5">
        <f ca="1">+VLOOKUP($BG122,INDIRECT(Adrese!D$2),8,FALSE)</f>
        <v>6.3650918000000001E-2</v>
      </c>
      <c r="BK122" s="5">
        <f ca="1">+VLOOKUP($BG122,INDIRECT(Adrese!E$2),8,FALSE)</f>
        <v>6.1959578000000001E-2</v>
      </c>
      <c r="BL122" s="5">
        <f ca="1">+VLOOKUP($BG122,INDIRECT(Adrese!F$2),8,FALSE)</f>
        <v>5.9090717000000001E-2</v>
      </c>
      <c r="BM122" s="5" t="str">
        <f t="shared" ca="1" si="38"/>
        <v>0.06 (0.00)</v>
      </c>
      <c r="BN122" s="5">
        <f t="shared" ca="1" si="48"/>
        <v>6.1945027944194417E-2</v>
      </c>
      <c r="BO122" s="5">
        <f t="shared" ca="1" si="39"/>
        <v>2.0629465663039633E-3</v>
      </c>
      <c r="BQ122" t="s">
        <v>180</v>
      </c>
      <c r="BR122" s="5">
        <f ca="1">+VLOOKUP($BG122,INDIRECT(Adrese!B$2),9,FALSE)</f>
        <v>4.8784213602213918E-2</v>
      </c>
      <c r="BS122" s="5">
        <f ca="1">+VLOOKUP($BG122,INDIRECT(Adrese!C$2),9,FALSE)</f>
        <v>5.6445040000000002E-2</v>
      </c>
      <c r="BT122" s="5">
        <f ca="1">+VLOOKUP($BG122,INDIRECT(Adrese!D$2),9,FALSE)</f>
        <v>5.4050866000000003E-2</v>
      </c>
      <c r="BU122" s="5">
        <f ca="1">+VLOOKUP($BG122,INDIRECT(Adrese!E$2),9,FALSE)</f>
        <v>5.1029822000000002E-2</v>
      </c>
      <c r="BV122" s="5">
        <f ca="1">+VLOOKUP($BG122,INDIRECT(Adrese!F$2),9,FALSE)</f>
        <v>4.4269713000000002E-2</v>
      </c>
      <c r="BW122" s="5" t="str">
        <f t="shared" ca="1" si="40"/>
        <v>0.05 (0.00)</v>
      </c>
      <c r="BX122" s="5">
        <f t="shared" ca="1" si="49"/>
        <v>5.091593092044279E-2</v>
      </c>
      <c r="BY122" s="5">
        <f t="shared" ca="1" si="41"/>
        <v>4.7203884298735108E-3</v>
      </c>
    </row>
    <row r="123" spans="1:77" x14ac:dyDescent="0.25">
      <c r="A123" t="s">
        <v>181</v>
      </c>
      <c r="B123" s="12">
        <f ca="1">+VLOOKUP($A123,INDIRECT(Adrese!B$2),2,FALSE)</f>
        <v>121</v>
      </c>
      <c r="C123" s="12">
        <f ca="1">+VLOOKUP($A123,INDIRECT(Adrese!C$2),2,FALSE)</f>
        <v>122</v>
      </c>
      <c r="D123" s="12">
        <f ca="1">+VLOOKUP($A123,INDIRECT(Adrese!D$2),2,FALSE)</f>
        <v>121</v>
      </c>
      <c r="E123" s="12">
        <f ca="1">+VLOOKUP($A123,INDIRECT(Adrese!E$2),2,FALSE)</f>
        <v>122</v>
      </c>
      <c r="F123" s="12">
        <f ca="1">+VLOOKUP($A123,INDIRECT(Adrese!F$2),2,FALSE)</f>
        <v>119</v>
      </c>
      <c r="G123" s="5">
        <f t="shared" ca="1" si="42"/>
        <v>121</v>
      </c>
      <c r="H123" s="5">
        <f t="shared" ca="1" si="29"/>
        <v>1.2247448713915889</v>
      </c>
      <c r="J123" t="s">
        <v>181</v>
      </c>
      <c r="K123">
        <f ca="1">+VLOOKUP($A123,INDIRECT(Adrese!B$2),3,FALSE)</f>
        <v>84</v>
      </c>
      <c r="L123">
        <f ca="1">+VLOOKUP($A123,INDIRECT(Adrese!C$2),3,FALSE)</f>
        <v>80</v>
      </c>
      <c r="M123">
        <f ca="1">+VLOOKUP($A123,INDIRECT(Adrese!D$2),3,FALSE)</f>
        <v>77</v>
      </c>
      <c r="N123">
        <f ca="1">+VLOOKUP($A123,INDIRECT(Adrese!E$2),3,FALSE)</f>
        <v>77</v>
      </c>
      <c r="O123">
        <f ca="1">+VLOOKUP($A123,INDIRECT(Adrese!F$2),3,FALSE)</f>
        <v>79</v>
      </c>
      <c r="P123" s="5">
        <f t="shared" ca="1" si="43"/>
        <v>79.400000000000006</v>
      </c>
      <c r="Q123" s="5">
        <f t="shared" ca="1" si="30"/>
        <v>2.8809720581775866</v>
      </c>
      <c r="T123" t="s">
        <v>181</v>
      </c>
      <c r="U123">
        <f ca="1">+VLOOKUP($T123,INDIRECT(Adrese!B$2),4,FALSE)</f>
        <v>111965</v>
      </c>
      <c r="V123">
        <f ca="1">+VLOOKUP($T123,INDIRECT(Adrese!C$2),4,FALSE)</f>
        <v>111256</v>
      </c>
      <c r="W123">
        <f ca="1">+VLOOKUP($T123,INDIRECT(Adrese!D$2),4,FALSE)</f>
        <v>112553</v>
      </c>
      <c r="X123">
        <f ca="1">+VLOOKUP($T123,INDIRECT(Adrese!E$2),4,FALSE)</f>
        <v>112509</v>
      </c>
      <c r="Y123">
        <f ca="1">+VLOOKUP($T123,INDIRECT(Adrese!F$2),4,FALSE)</f>
        <v>112599</v>
      </c>
      <c r="Z123">
        <f t="shared" ca="1" si="31"/>
        <v>560882</v>
      </c>
      <c r="AA123" s="5">
        <f t="shared" ca="1" si="44"/>
        <v>112176.4</v>
      </c>
      <c r="AB123" s="5">
        <f t="shared" ca="1" si="32"/>
        <v>575.07982054667855</v>
      </c>
      <c r="AD123" t="s">
        <v>181</v>
      </c>
      <c r="AE123">
        <f ca="1">+VLOOKUP($A123,INDIRECT(Adrese!B$2),5,FALSE)</f>
        <v>29973</v>
      </c>
      <c r="AF123">
        <f ca="1">+VLOOKUP($A123,INDIRECT(Adrese!C$2),5,FALSE)</f>
        <v>29931</v>
      </c>
      <c r="AG123">
        <f ca="1">+VLOOKUP($A123,INDIRECT(Adrese!D$2),5,FALSE)</f>
        <v>30287</v>
      </c>
      <c r="AH123">
        <f ca="1">+VLOOKUP($A123,INDIRECT(Adrese!E$2),5,FALSE)</f>
        <v>30648</v>
      </c>
      <c r="AI123">
        <f ca="1">+VLOOKUP($A123,INDIRECT(Adrese!F$2),5,FALSE)</f>
        <v>30648</v>
      </c>
      <c r="AJ123" s="5">
        <f t="shared" ca="1" si="45"/>
        <v>30297.4</v>
      </c>
      <c r="AK123" s="5">
        <f t="shared" ca="1" si="33"/>
        <v>348.36518195709516</v>
      </c>
      <c r="AM123" t="s">
        <v>181</v>
      </c>
      <c r="AN123" s="5">
        <f ca="1">+VLOOKUP($A123,INDIRECT(Adrese!B$2),6,FALSE)</f>
        <v>0.65929203539823011</v>
      </c>
      <c r="AO123" s="5">
        <f ca="1">+VLOOKUP($A123,INDIRECT(Adrese!C$2),6,FALSE)</f>
        <v>0.65853982300000002</v>
      </c>
      <c r="AP123" s="5">
        <f ca="1">+VLOOKUP($A123,INDIRECT(Adrese!D$2),6,FALSE)</f>
        <v>0.66628318600000003</v>
      </c>
      <c r="AQ123" s="5">
        <f ca="1">+VLOOKUP($A123,INDIRECT(Adrese!E$2),6,FALSE)</f>
        <v>0.67429203500000001</v>
      </c>
      <c r="AR123" s="5">
        <f ca="1">+VLOOKUP($A123,INDIRECT(Adrese!F$2),6,FALSE)</f>
        <v>0.67426991199999997</v>
      </c>
      <c r="AS123" s="5" t="str">
        <f t="shared" ca="1" si="34"/>
        <v>0.67 (0.01)</v>
      </c>
      <c r="AT123" s="5">
        <f t="shared" ca="1" si="46"/>
        <v>0.66653539827964603</v>
      </c>
      <c r="AU123" s="5">
        <f t="shared" ca="1" si="35"/>
        <v>7.6884207842093872E-3</v>
      </c>
      <c r="AW123" t="s">
        <v>181</v>
      </c>
      <c r="AX123" s="5">
        <f ca="1">+VLOOKUP($A123,INDIRECT(Adrese!B$2),7,FALSE)</f>
        <v>0.62831858407079644</v>
      </c>
      <c r="AY123" s="5">
        <f ca="1">+VLOOKUP($A123,INDIRECT(Adrese!C$2),7,FALSE)</f>
        <v>0.64601769899999995</v>
      </c>
      <c r="AZ123" s="5">
        <f ca="1">+VLOOKUP($A123,INDIRECT(Adrese!D$2),7,FALSE)</f>
        <v>0.659292035</v>
      </c>
      <c r="BA123" s="5">
        <f ca="1">+VLOOKUP($A123,INDIRECT(Adrese!E$2),7,FALSE)</f>
        <v>0.659292035</v>
      </c>
      <c r="BB123" s="5">
        <f ca="1">+VLOOKUP($A123,INDIRECT(Adrese!F$2),7,FALSE)</f>
        <v>0.65044247799999999</v>
      </c>
      <c r="BC123" s="5" t="str">
        <f t="shared" ca="1" si="36"/>
        <v>0.65 (0.01)</v>
      </c>
      <c r="BD123">
        <f t="shared" ca="1" si="47"/>
        <v>0.64867256621415925</v>
      </c>
      <c r="BE123" s="5">
        <f t="shared" ca="1" si="37"/>
        <v>1.2747663818654185E-2</v>
      </c>
      <c r="BG123" t="s">
        <v>181</v>
      </c>
      <c r="BH123" s="5">
        <f ca="1">+VLOOKUP($BG123,INDIRECT(Adrese!B$2),8,FALSE)</f>
        <v>6.5371243736875084E-2</v>
      </c>
      <c r="BI123" s="5">
        <f ca="1">+VLOOKUP($BG123,INDIRECT(Adrese!C$2),8,FALSE)</f>
        <v>6.5182647999999996E-2</v>
      </c>
      <c r="BJ123" s="5">
        <f ca="1">+VLOOKUP($BG123,INDIRECT(Adrese!D$2),8,FALSE)</f>
        <v>6.5626584000000002E-2</v>
      </c>
      <c r="BK123" s="5">
        <f ca="1">+VLOOKUP($BG123,INDIRECT(Adrese!E$2),8,FALSE)</f>
        <v>6.6701017000000001E-2</v>
      </c>
      <c r="BL123" s="5">
        <f ca="1">+VLOOKUP($BG123,INDIRECT(Adrese!F$2),8,FALSE)</f>
        <v>6.6670193000000003E-2</v>
      </c>
      <c r="BM123" s="5" t="str">
        <f t="shared" ca="1" si="38"/>
        <v>0.07 (0.00)</v>
      </c>
      <c r="BN123" s="5">
        <f t="shared" ca="1" si="48"/>
        <v>6.5910337147375014E-2</v>
      </c>
      <c r="BO123" s="5">
        <f t="shared" ca="1" si="39"/>
        <v>7.2512491944708602E-4</v>
      </c>
      <c r="BQ123" t="s">
        <v>181</v>
      </c>
      <c r="BR123" s="5">
        <f ca="1">+VLOOKUP($BG123,INDIRECT(Adrese!B$2),9,FALSE)</f>
        <v>5.0084855032327201E-2</v>
      </c>
      <c r="BS123" s="5">
        <f ca="1">+VLOOKUP($BG123,INDIRECT(Adrese!C$2),9,FALSE)</f>
        <v>4.8822962999999997E-2</v>
      </c>
      <c r="BT123" s="5">
        <f ca="1">+VLOOKUP($BG123,INDIRECT(Adrese!D$2),9,FALSE)</f>
        <v>4.8463434999999999E-2</v>
      </c>
      <c r="BU123" s="5">
        <f ca="1">+VLOOKUP($BG123,INDIRECT(Adrese!E$2),9,FALSE)</f>
        <v>5.2385348999999998E-2</v>
      </c>
      <c r="BV123" s="5">
        <f ca="1">+VLOOKUP($BG123,INDIRECT(Adrese!F$2),9,FALSE)</f>
        <v>5.1465294000000002E-2</v>
      </c>
      <c r="BW123" s="5" t="str">
        <f t="shared" ca="1" si="40"/>
        <v>0.05 (0.00)</v>
      </c>
      <c r="BX123" s="5">
        <f t="shared" ca="1" si="49"/>
        <v>5.0244379206465441E-2</v>
      </c>
      <c r="BY123" s="5">
        <f t="shared" ca="1" si="41"/>
        <v>1.6801799643623644E-3</v>
      </c>
    </row>
    <row r="124" spans="1:77" x14ac:dyDescent="0.25">
      <c r="A124" t="s">
        <v>12</v>
      </c>
      <c r="B124" s="12">
        <f ca="1">+VLOOKUP($A124,INDIRECT(Adrese!B$2),2,FALSE)</f>
        <v>122</v>
      </c>
      <c r="C124" s="12">
        <f ca="1">+VLOOKUP($A124,INDIRECT(Adrese!C$2),2,FALSE)</f>
        <v>121</v>
      </c>
      <c r="D124" s="12">
        <f ca="1">+VLOOKUP($A124,INDIRECT(Adrese!D$2),2,FALSE)</f>
        <v>122</v>
      </c>
      <c r="E124" s="12">
        <f ca="1">+VLOOKUP($A124,INDIRECT(Adrese!E$2),2,FALSE)</f>
        <v>121</v>
      </c>
      <c r="F124" s="12">
        <f ca="1">+VLOOKUP($A124,INDIRECT(Adrese!F$2),2,FALSE)</f>
        <v>120</v>
      </c>
      <c r="G124" s="5">
        <f t="shared" ca="1" si="42"/>
        <v>121.2</v>
      </c>
      <c r="H124" s="5">
        <f t="shared" ca="1" si="29"/>
        <v>0.83666002653407556</v>
      </c>
      <c r="J124" t="s">
        <v>12</v>
      </c>
      <c r="K124">
        <f ca="1">+VLOOKUP($A124,INDIRECT(Adrese!B$2),3,FALSE)</f>
        <v>13</v>
      </c>
      <c r="L124">
        <f ca="1">+VLOOKUP($A124,INDIRECT(Adrese!C$2),3,FALSE)</f>
        <v>14</v>
      </c>
      <c r="M124">
        <f ca="1">+VLOOKUP($A124,INDIRECT(Adrese!D$2),3,FALSE)</f>
        <v>14</v>
      </c>
      <c r="N124">
        <f ca="1">+VLOOKUP($A124,INDIRECT(Adrese!E$2),3,FALSE)</f>
        <v>15</v>
      </c>
      <c r="O124">
        <f ca="1">+VLOOKUP($A124,INDIRECT(Adrese!F$2),3,FALSE)</f>
        <v>15</v>
      </c>
      <c r="P124" s="5">
        <f t="shared" ca="1" si="43"/>
        <v>14.2</v>
      </c>
      <c r="Q124" s="5">
        <f t="shared" ca="1" si="30"/>
        <v>0.83666002653407556</v>
      </c>
      <c r="T124" t="s">
        <v>12</v>
      </c>
      <c r="U124">
        <f ca="1">+VLOOKUP($T124,INDIRECT(Adrese!B$2),4,FALSE)</f>
        <v>110573</v>
      </c>
      <c r="V124">
        <f ca="1">+VLOOKUP($T124,INDIRECT(Adrese!C$2),4,FALSE)</f>
        <v>112523</v>
      </c>
      <c r="W124">
        <f ca="1">+VLOOKUP($T124,INDIRECT(Adrese!D$2),4,FALSE)</f>
        <v>112547</v>
      </c>
      <c r="X124">
        <f ca="1">+VLOOKUP($T124,INDIRECT(Adrese!E$2),4,FALSE)</f>
        <v>112691</v>
      </c>
      <c r="Y124">
        <f ca="1">+VLOOKUP($T124,INDIRECT(Adrese!F$2),4,FALSE)</f>
        <v>112573</v>
      </c>
      <c r="Z124">
        <f t="shared" ca="1" si="31"/>
        <v>560907</v>
      </c>
      <c r="AA124" s="5">
        <f t="shared" ca="1" si="44"/>
        <v>112181.4</v>
      </c>
      <c r="AB124" s="5">
        <f t="shared" ca="1" si="32"/>
        <v>901.43596555717693</v>
      </c>
      <c r="AD124" t="s">
        <v>12</v>
      </c>
      <c r="AE124">
        <f ca="1">+VLOOKUP($A124,INDIRECT(Adrese!B$2),5,FALSE)</f>
        <v>43452</v>
      </c>
      <c r="AF124">
        <f ca="1">+VLOOKUP($A124,INDIRECT(Adrese!C$2),5,FALSE)</f>
        <v>43275</v>
      </c>
      <c r="AG124">
        <f ca="1">+VLOOKUP($A124,INDIRECT(Adrese!D$2),5,FALSE)</f>
        <v>43138</v>
      </c>
      <c r="AH124">
        <f ca="1">+VLOOKUP($A124,INDIRECT(Adrese!E$2),5,FALSE)</f>
        <v>43190</v>
      </c>
      <c r="AI124">
        <f ca="1">+VLOOKUP($A124,INDIRECT(Adrese!F$2),5,FALSE)</f>
        <v>43370</v>
      </c>
      <c r="AJ124" s="5">
        <f t="shared" ca="1" si="45"/>
        <v>43285</v>
      </c>
      <c r="AK124" s="5">
        <f t="shared" ca="1" si="33"/>
        <v>128.30432572598633</v>
      </c>
      <c r="AM124" t="s">
        <v>12</v>
      </c>
      <c r="AN124" s="5">
        <f ca="1">+VLOOKUP($A124,INDIRECT(Adrese!B$2),6,FALSE)</f>
        <v>0.95690265486725667</v>
      </c>
      <c r="AO124" s="5">
        <f ca="1">+VLOOKUP($A124,INDIRECT(Adrese!C$2),6,FALSE)</f>
        <v>0.95298672600000001</v>
      </c>
      <c r="AP124" s="5">
        <f ca="1">+VLOOKUP($A124,INDIRECT(Adrese!D$2),6,FALSE)</f>
        <v>0.94995575200000004</v>
      </c>
      <c r="AQ124" s="5">
        <f ca="1">+VLOOKUP($A124,INDIRECT(Adrese!E$2),6,FALSE)</f>
        <v>0.95110619500000004</v>
      </c>
      <c r="AR124" s="5">
        <f ca="1">+VLOOKUP($A124,INDIRECT(Adrese!F$2),6,FALSE)</f>
        <v>0.95508849600000001</v>
      </c>
      <c r="AS124" s="5" t="str">
        <f t="shared" ca="1" si="34"/>
        <v>0.95 (0.00)</v>
      </c>
      <c r="AT124" s="5">
        <f t="shared" ca="1" si="46"/>
        <v>0.95320796477345127</v>
      </c>
      <c r="AU124" s="5">
        <f t="shared" ca="1" si="35"/>
        <v>2.8385913444241785E-3</v>
      </c>
      <c r="AW124" t="s">
        <v>12</v>
      </c>
      <c r="AX124" s="5">
        <f ca="1">+VLOOKUP($A124,INDIRECT(Adrese!B$2),7,FALSE)</f>
        <v>0.94247787610619471</v>
      </c>
      <c r="AY124" s="5">
        <f ca="1">+VLOOKUP($A124,INDIRECT(Adrese!C$2),7,FALSE)</f>
        <v>0.93805309699999995</v>
      </c>
      <c r="AZ124" s="5">
        <f ca="1">+VLOOKUP($A124,INDIRECT(Adrese!D$2),7,FALSE)</f>
        <v>0.93805309699999995</v>
      </c>
      <c r="BA124" s="5">
        <f ca="1">+VLOOKUP($A124,INDIRECT(Adrese!E$2),7,FALSE)</f>
        <v>0.93362831899999998</v>
      </c>
      <c r="BB124" s="5">
        <f ca="1">+VLOOKUP($A124,INDIRECT(Adrese!F$2),7,FALSE)</f>
        <v>0.93362831899999998</v>
      </c>
      <c r="BC124" s="5" t="str">
        <f t="shared" ca="1" si="36"/>
        <v>0.94 (0.00)</v>
      </c>
      <c r="BD124">
        <f t="shared" ca="1" si="47"/>
        <v>0.93716814162123896</v>
      </c>
      <c r="BE124" s="5">
        <f t="shared" ca="1" si="37"/>
        <v>3.7020352755340767E-3</v>
      </c>
      <c r="BG124" t="s">
        <v>12</v>
      </c>
      <c r="BH124" s="5">
        <f ca="1">+VLOOKUP($BG124,INDIRECT(Adrese!B$2),8,FALSE)</f>
        <v>8.6483124704265626E-2</v>
      </c>
      <c r="BI124" s="5">
        <f ca="1">+VLOOKUP($BG124,INDIRECT(Adrese!C$2),8,FALSE)</f>
        <v>8.6184254000000002E-2</v>
      </c>
      <c r="BJ124" s="5">
        <f ca="1">+VLOOKUP($BG124,INDIRECT(Adrese!D$2),8,FALSE)</f>
        <v>8.6225001999999995E-2</v>
      </c>
      <c r="BK124" s="5">
        <f ca="1">+VLOOKUP($BG124,INDIRECT(Adrese!E$2),8,FALSE)</f>
        <v>8.6099123E-2</v>
      </c>
      <c r="BL124" s="5">
        <f ca="1">+VLOOKUP($BG124,INDIRECT(Adrese!F$2),8,FALSE)</f>
        <v>8.6465807000000006E-2</v>
      </c>
      <c r="BM124" s="5" t="str">
        <f t="shared" ca="1" si="38"/>
        <v>0.09 (0.00)</v>
      </c>
      <c r="BN124" s="5">
        <f t="shared" ca="1" si="48"/>
        <v>8.629146214085312E-2</v>
      </c>
      <c r="BO124" s="5">
        <f t="shared" ca="1" si="39"/>
        <v>1.7323073414980106E-4</v>
      </c>
      <c r="BQ124" t="s">
        <v>12</v>
      </c>
      <c r="BR124" s="5">
        <f ca="1">+VLOOKUP($BG124,INDIRECT(Adrese!B$2),9,FALSE)</f>
        <v>7.3744363634573498E-2</v>
      </c>
      <c r="BS124" s="5">
        <f ca="1">+VLOOKUP($BG124,INDIRECT(Adrese!C$2),9,FALSE)</f>
        <v>7.3596052999999995E-2</v>
      </c>
      <c r="BT124" s="5">
        <f ca="1">+VLOOKUP($BG124,INDIRECT(Adrese!D$2),9,FALSE)</f>
        <v>7.4123824000000005E-2</v>
      </c>
      <c r="BU124" s="5">
        <f ca="1">+VLOOKUP($BG124,INDIRECT(Adrese!E$2),9,FALSE)</f>
        <v>7.3772340000000006E-2</v>
      </c>
      <c r="BV124" s="5">
        <f ca="1">+VLOOKUP($BG124,INDIRECT(Adrese!F$2),9,FALSE)</f>
        <v>7.3664940999999998E-2</v>
      </c>
      <c r="BW124" s="5" t="str">
        <f t="shared" ca="1" si="40"/>
        <v>0.07 (0.00)</v>
      </c>
      <c r="BX124" s="5">
        <f t="shared" ca="1" si="49"/>
        <v>7.3780304326914695E-2</v>
      </c>
      <c r="BY124" s="5">
        <f t="shared" ca="1" si="41"/>
        <v>2.0409445015265719E-4</v>
      </c>
    </row>
    <row r="125" spans="1:77" x14ac:dyDescent="0.25">
      <c r="A125" t="s">
        <v>182</v>
      </c>
      <c r="B125" s="12">
        <f ca="1">+VLOOKUP($A125,INDIRECT(Adrese!B$2),2,FALSE)</f>
        <v>123</v>
      </c>
      <c r="C125" s="12">
        <f ca="1">+VLOOKUP($A125,INDIRECT(Adrese!C$2),2,FALSE)</f>
        <v>123</v>
      </c>
      <c r="D125" s="12">
        <f ca="1">+VLOOKUP($A125,INDIRECT(Adrese!D$2),2,FALSE)</f>
        <v>123</v>
      </c>
      <c r="E125" s="12">
        <f ca="1">+VLOOKUP($A125,INDIRECT(Adrese!E$2),2,FALSE)</f>
        <v>123</v>
      </c>
      <c r="F125" s="12">
        <f ca="1">+VLOOKUP($A125,INDIRECT(Adrese!F$2),2,FALSE)</f>
        <v>123</v>
      </c>
      <c r="G125" s="5">
        <f t="shared" ca="1" si="42"/>
        <v>123</v>
      </c>
      <c r="H125" s="5">
        <f t="shared" ca="1" si="29"/>
        <v>0</v>
      </c>
      <c r="J125" t="s">
        <v>182</v>
      </c>
      <c r="K125">
        <f ca="1">+VLOOKUP($A125,INDIRECT(Adrese!B$2),3,FALSE)</f>
        <v>14</v>
      </c>
      <c r="L125">
        <f ca="1">+VLOOKUP($A125,INDIRECT(Adrese!C$2),3,FALSE)</f>
        <v>12</v>
      </c>
      <c r="M125">
        <f ca="1">+VLOOKUP($A125,INDIRECT(Adrese!D$2),3,FALSE)</f>
        <v>13</v>
      </c>
      <c r="N125">
        <f ca="1">+VLOOKUP($A125,INDIRECT(Adrese!E$2),3,FALSE)</f>
        <v>13</v>
      </c>
      <c r="O125">
        <f ca="1">+VLOOKUP($A125,INDIRECT(Adrese!F$2),3,FALSE)</f>
        <v>13</v>
      </c>
      <c r="P125" s="5">
        <f t="shared" ca="1" si="43"/>
        <v>13</v>
      </c>
      <c r="Q125" s="5">
        <f t="shared" ca="1" si="30"/>
        <v>0.70710678118654757</v>
      </c>
      <c r="T125" t="s">
        <v>182</v>
      </c>
      <c r="U125">
        <f ca="1">+VLOOKUP($T125,INDIRECT(Adrese!B$2),4,FALSE)</f>
        <v>110208</v>
      </c>
      <c r="V125">
        <f ca="1">+VLOOKUP($T125,INDIRECT(Adrese!C$2),4,FALSE)</f>
        <v>109599</v>
      </c>
      <c r="W125">
        <f ca="1">+VLOOKUP($T125,INDIRECT(Adrese!D$2),4,FALSE)</f>
        <v>108604</v>
      </c>
      <c r="X125">
        <f ca="1">+VLOOKUP($T125,INDIRECT(Adrese!E$2),4,FALSE)</f>
        <v>108820</v>
      </c>
      <c r="Y125">
        <f ca="1">+VLOOKUP($T125,INDIRECT(Adrese!F$2),4,FALSE)</f>
        <v>109594</v>
      </c>
      <c r="Z125">
        <f t="shared" ca="1" si="31"/>
        <v>546825</v>
      </c>
      <c r="AA125" s="5">
        <f t="shared" ca="1" si="44"/>
        <v>109365</v>
      </c>
      <c r="AB125" s="5">
        <f t="shared" ca="1" si="32"/>
        <v>650.76723949504401</v>
      </c>
      <c r="AD125" t="s">
        <v>182</v>
      </c>
      <c r="AE125">
        <f ca="1">+VLOOKUP($A125,INDIRECT(Adrese!B$2),5,FALSE)</f>
        <v>42711</v>
      </c>
      <c r="AF125">
        <f ca="1">+VLOOKUP($A125,INDIRECT(Adrese!C$2),5,FALSE)</f>
        <v>43119</v>
      </c>
      <c r="AG125">
        <f ca="1">+VLOOKUP($A125,INDIRECT(Adrese!D$2),5,FALSE)</f>
        <v>43051</v>
      </c>
      <c r="AH125">
        <f ca="1">+VLOOKUP($A125,INDIRECT(Adrese!E$2),5,FALSE)</f>
        <v>42880</v>
      </c>
      <c r="AI125">
        <f ca="1">+VLOOKUP($A125,INDIRECT(Adrese!F$2),5,FALSE)</f>
        <v>42783</v>
      </c>
      <c r="AJ125" s="5">
        <f t="shared" ca="1" si="45"/>
        <v>42908.800000000003</v>
      </c>
      <c r="AK125" s="5">
        <f t="shared" ca="1" si="33"/>
        <v>173.33839736192323</v>
      </c>
      <c r="AM125" t="s">
        <v>182</v>
      </c>
      <c r="AN125" s="5">
        <f ca="1">+VLOOKUP($A125,INDIRECT(Adrese!B$2),6,FALSE)</f>
        <v>0.94050884955752212</v>
      </c>
      <c r="AO125" s="5">
        <f ca="1">+VLOOKUP($A125,INDIRECT(Adrese!C$2),6,FALSE)</f>
        <v>0.94953539799999997</v>
      </c>
      <c r="AP125" s="5">
        <f ca="1">+VLOOKUP($A125,INDIRECT(Adrese!D$2),6,FALSE)</f>
        <v>0.94803097300000005</v>
      </c>
      <c r="AQ125" s="5">
        <f ca="1">+VLOOKUP($A125,INDIRECT(Adrese!E$2),6,FALSE)</f>
        <v>0.94424778799999998</v>
      </c>
      <c r="AR125" s="5">
        <f ca="1">+VLOOKUP($A125,INDIRECT(Adrese!F$2),6,FALSE)</f>
        <v>0.94210176999999995</v>
      </c>
      <c r="AS125" s="5" t="str">
        <f t="shared" ca="1" si="34"/>
        <v>0.94 (0.00)</v>
      </c>
      <c r="AT125" s="5">
        <f t="shared" ca="1" si="46"/>
        <v>0.94488495571150444</v>
      </c>
      <c r="AU125" s="5">
        <f t="shared" ca="1" si="35"/>
        <v>3.8349201010702103E-3</v>
      </c>
      <c r="AW125" t="s">
        <v>182</v>
      </c>
      <c r="AX125" s="5">
        <f ca="1">+VLOOKUP($A125,INDIRECT(Adrese!B$2),7,FALSE)</f>
        <v>0.93805309734513276</v>
      </c>
      <c r="AY125" s="5">
        <f ca="1">+VLOOKUP($A125,INDIRECT(Adrese!C$2),7,FALSE)</f>
        <v>0.94690265500000004</v>
      </c>
      <c r="AZ125" s="5">
        <f ca="1">+VLOOKUP($A125,INDIRECT(Adrese!D$2),7,FALSE)</f>
        <v>0.94247787599999999</v>
      </c>
      <c r="BA125" s="5">
        <f ca="1">+VLOOKUP($A125,INDIRECT(Adrese!E$2),7,FALSE)</f>
        <v>0.94247787599999999</v>
      </c>
      <c r="BB125" s="5">
        <f ca="1">+VLOOKUP($A125,INDIRECT(Adrese!F$2),7,FALSE)</f>
        <v>0.94247787599999999</v>
      </c>
      <c r="BC125" s="5" t="str">
        <f t="shared" ca="1" si="36"/>
        <v>0.94 (0.00)</v>
      </c>
      <c r="BD125">
        <f t="shared" ca="1" si="47"/>
        <v>0.94247787606902667</v>
      </c>
      <c r="BE125" s="5">
        <f t="shared" ca="1" si="37"/>
        <v>3.1287911141289889E-3</v>
      </c>
      <c r="BG125" t="s">
        <v>182</v>
      </c>
      <c r="BH125" s="5">
        <f ca="1">+VLOOKUP($BG125,INDIRECT(Adrese!B$2),8,FALSE)</f>
        <v>8.6246187001119384E-2</v>
      </c>
      <c r="BI125" s="5">
        <f ca="1">+VLOOKUP($BG125,INDIRECT(Adrese!C$2),8,FALSE)</f>
        <v>8.6850170000000004E-2</v>
      </c>
      <c r="BJ125" s="5">
        <f ca="1">+VLOOKUP($BG125,INDIRECT(Adrese!D$2),8,FALSE)</f>
        <v>8.6907627000000001E-2</v>
      </c>
      <c r="BK125" s="5">
        <f ca="1">+VLOOKUP($BG125,INDIRECT(Adrese!E$2),8,FALSE)</f>
        <v>8.6417309999999997E-2</v>
      </c>
      <c r="BL125" s="5">
        <f ca="1">+VLOOKUP($BG125,INDIRECT(Adrese!F$2),8,FALSE)</f>
        <v>8.6504790999999998E-2</v>
      </c>
      <c r="BM125" s="5" t="str">
        <f t="shared" ca="1" si="38"/>
        <v>0.09 (0.00)</v>
      </c>
      <c r="BN125" s="5">
        <f t="shared" ca="1" si="48"/>
        <v>8.6585217000223882E-2</v>
      </c>
      <c r="BO125" s="5">
        <f t="shared" ca="1" si="39"/>
        <v>2.8449549318706026E-4</v>
      </c>
      <c r="BQ125" t="s">
        <v>182</v>
      </c>
      <c r="BR125" s="5">
        <f ca="1">+VLOOKUP($BG125,INDIRECT(Adrese!B$2),9,FALSE)</f>
        <v>7.756397079830217E-2</v>
      </c>
      <c r="BS125" s="5">
        <f ca="1">+VLOOKUP($BG125,INDIRECT(Adrese!C$2),9,FALSE)</f>
        <v>7.7774565000000004E-2</v>
      </c>
      <c r="BT125" s="5">
        <f ca="1">+VLOOKUP($BG125,INDIRECT(Adrese!D$2),9,FALSE)</f>
        <v>7.7950383999999998E-2</v>
      </c>
      <c r="BU125" s="5">
        <f ca="1">+VLOOKUP($BG125,INDIRECT(Adrese!E$2),9,FALSE)</f>
        <v>7.7360238999999997E-2</v>
      </c>
      <c r="BV125" s="5">
        <f ca="1">+VLOOKUP($BG125,INDIRECT(Adrese!F$2),9,FALSE)</f>
        <v>7.7717481000000005E-2</v>
      </c>
      <c r="BW125" s="5" t="str">
        <f t="shared" ca="1" si="40"/>
        <v>0.08 (0.00)</v>
      </c>
      <c r="BX125" s="5">
        <f t="shared" ca="1" si="49"/>
        <v>7.7673327959660449E-2</v>
      </c>
      <c r="BY125" s="5">
        <f t="shared" ca="1" si="41"/>
        <v>2.2301466554812779E-4</v>
      </c>
    </row>
    <row r="126" spans="1:77" x14ac:dyDescent="0.25">
      <c r="A126" t="s">
        <v>183</v>
      </c>
      <c r="B126" s="12">
        <f ca="1">+VLOOKUP($A126,INDIRECT(Adrese!B$2),2,FALSE)</f>
        <v>124</v>
      </c>
      <c r="C126" s="12">
        <f ca="1">+VLOOKUP($A126,INDIRECT(Adrese!C$2),2,FALSE)</f>
        <v>135</v>
      </c>
      <c r="D126" s="12">
        <f ca="1">+VLOOKUP($A126,INDIRECT(Adrese!D$2),2,FALSE)</f>
        <v>140</v>
      </c>
      <c r="E126" s="12">
        <f ca="1">+VLOOKUP($A126,INDIRECT(Adrese!E$2),2,FALSE)</f>
        <v>135</v>
      </c>
      <c r="F126" s="12">
        <f ca="1">+VLOOKUP($A126,INDIRECT(Adrese!F$2),2,FALSE)</f>
        <v>127</v>
      </c>
      <c r="G126" s="5">
        <f t="shared" ca="1" si="42"/>
        <v>132.19999999999999</v>
      </c>
      <c r="H126" s="5">
        <f t="shared" ca="1" si="29"/>
        <v>6.5345237010818158</v>
      </c>
      <c r="J126" t="s">
        <v>183</v>
      </c>
      <c r="K126">
        <f ca="1">+VLOOKUP($A126,INDIRECT(Adrese!B$2),3,FALSE)</f>
        <v>104</v>
      </c>
      <c r="L126">
        <f ca="1">+VLOOKUP($A126,INDIRECT(Adrese!C$2),3,FALSE)</f>
        <v>100</v>
      </c>
      <c r="M126">
        <f ca="1">+VLOOKUP($A126,INDIRECT(Adrese!D$2),3,FALSE)</f>
        <v>101</v>
      </c>
      <c r="N126">
        <f ca="1">+VLOOKUP($A126,INDIRECT(Adrese!E$2),3,FALSE)</f>
        <v>93</v>
      </c>
      <c r="O126">
        <f ca="1">+VLOOKUP($A126,INDIRECT(Adrese!F$2),3,FALSE)</f>
        <v>101</v>
      </c>
      <c r="P126" s="5">
        <f t="shared" ca="1" si="43"/>
        <v>99.8</v>
      </c>
      <c r="Q126" s="5">
        <f t="shared" ca="1" si="30"/>
        <v>4.0865633483405102</v>
      </c>
      <c r="T126" t="s">
        <v>183</v>
      </c>
      <c r="U126">
        <f ca="1">+VLOOKUP($T126,INDIRECT(Adrese!B$2),4,FALSE)</f>
        <v>108536</v>
      </c>
      <c r="V126">
        <f ca="1">+VLOOKUP($T126,INDIRECT(Adrese!C$2),4,FALSE)</f>
        <v>105620</v>
      </c>
      <c r="W126">
        <f ca="1">+VLOOKUP($T126,INDIRECT(Adrese!D$2),4,FALSE)</f>
        <v>103508</v>
      </c>
      <c r="X126">
        <f ca="1">+VLOOKUP($T126,INDIRECT(Adrese!E$2),4,FALSE)</f>
        <v>106016</v>
      </c>
      <c r="Y126">
        <f ca="1">+VLOOKUP($T126,INDIRECT(Adrese!F$2),4,FALSE)</f>
        <v>107456</v>
      </c>
      <c r="Z126">
        <f t="shared" ca="1" si="31"/>
        <v>531136</v>
      </c>
      <c r="AA126" s="5">
        <f t="shared" ca="1" si="44"/>
        <v>106227.2</v>
      </c>
      <c r="AB126" s="5">
        <f t="shared" ca="1" si="32"/>
        <v>1913.625668724163</v>
      </c>
      <c r="AD126" t="s">
        <v>183</v>
      </c>
      <c r="AE126">
        <f ca="1">+VLOOKUP($A126,INDIRECT(Adrese!B$2),5,FALSE)</f>
        <v>20355</v>
      </c>
      <c r="AF126">
        <f ca="1">+VLOOKUP($A126,INDIRECT(Adrese!C$2),5,FALSE)</f>
        <v>19715</v>
      </c>
      <c r="AG126">
        <f ca="1">+VLOOKUP($A126,INDIRECT(Adrese!D$2),5,FALSE)</f>
        <v>19767</v>
      </c>
      <c r="AH126">
        <f ca="1">+VLOOKUP($A126,INDIRECT(Adrese!E$2),5,FALSE)</f>
        <v>20378</v>
      </c>
      <c r="AI126">
        <f ca="1">+VLOOKUP($A126,INDIRECT(Adrese!F$2),5,FALSE)</f>
        <v>20493</v>
      </c>
      <c r="AJ126" s="5">
        <f t="shared" ca="1" si="45"/>
        <v>20141.599999999999</v>
      </c>
      <c r="AK126" s="5">
        <f t="shared" ca="1" si="33"/>
        <v>369.87132897806498</v>
      </c>
      <c r="AM126" t="s">
        <v>183</v>
      </c>
      <c r="AN126" s="5">
        <f ca="1">+VLOOKUP($A126,INDIRECT(Adrese!B$2),6,FALSE)</f>
        <v>0.44606194690265488</v>
      </c>
      <c r="AO126" s="5">
        <f ca="1">+VLOOKUP($A126,INDIRECT(Adrese!C$2),6,FALSE)</f>
        <v>0.43183628299999999</v>
      </c>
      <c r="AP126" s="5">
        <f ca="1">+VLOOKUP($A126,INDIRECT(Adrese!D$2),6,FALSE)</f>
        <v>0.433163717</v>
      </c>
      <c r="AQ126" s="5">
        <f ca="1">+VLOOKUP($A126,INDIRECT(Adrese!E$2),6,FALSE)</f>
        <v>0.44657079599999999</v>
      </c>
      <c r="AR126" s="5">
        <f ca="1">+VLOOKUP($A126,INDIRECT(Adrese!F$2),6,FALSE)</f>
        <v>0.44904867300000001</v>
      </c>
      <c r="AS126" s="5" t="str">
        <f t="shared" ca="1" si="34"/>
        <v>0.44 (0.01)</v>
      </c>
      <c r="AT126" s="5">
        <f t="shared" ca="1" si="46"/>
        <v>0.44133628318053103</v>
      </c>
      <c r="AU126" s="5">
        <f t="shared" ca="1" si="35"/>
        <v>8.1586429662732583E-3</v>
      </c>
      <c r="AW126" t="s">
        <v>183</v>
      </c>
      <c r="AX126" s="5">
        <f ca="1">+VLOOKUP($A126,INDIRECT(Adrese!B$2),7,FALSE)</f>
        <v>0.53982300884955747</v>
      </c>
      <c r="AY126" s="5">
        <f ca="1">+VLOOKUP($A126,INDIRECT(Adrese!C$2),7,FALSE)</f>
        <v>0.55752212400000001</v>
      </c>
      <c r="AZ126" s="5">
        <f ca="1">+VLOOKUP($A126,INDIRECT(Adrese!D$2),7,FALSE)</f>
        <v>0.55309734499999996</v>
      </c>
      <c r="BA126" s="5">
        <f ca="1">+VLOOKUP($A126,INDIRECT(Adrese!E$2),7,FALSE)</f>
        <v>0.58849557500000005</v>
      </c>
      <c r="BB126" s="5">
        <f ca="1">+VLOOKUP($A126,INDIRECT(Adrese!F$2),7,FALSE)</f>
        <v>0.55309734499999996</v>
      </c>
      <c r="BC126" s="5" t="str">
        <f t="shared" ca="1" si="36"/>
        <v>0.56 (0.02)</v>
      </c>
      <c r="BD126">
        <f t="shared" ca="1" si="47"/>
        <v>0.55840707956991142</v>
      </c>
      <c r="BE126" s="5">
        <f t="shared" ca="1" si="37"/>
        <v>1.8082138635626899E-2</v>
      </c>
      <c r="BG126" t="s">
        <v>183</v>
      </c>
      <c r="BH126" s="5">
        <f ca="1">+VLOOKUP($BG126,INDIRECT(Adrese!B$2),8,FALSE)</f>
        <v>4.3475829452769968E-2</v>
      </c>
      <c r="BI126" s="5">
        <f ca="1">+VLOOKUP($BG126,INDIRECT(Adrese!C$2),8,FALSE)</f>
        <v>4.1339885999999999E-2</v>
      </c>
      <c r="BJ126" s="5">
        <f ca="1">+VLOOKUP($BG126,INDIRECT(Adrese!D$2),8,FALSE)</f>
        <v>4.1664824000000003E-2</v>
      </c>
      <c r="BK126" s="5">
        <f ca="1">+VLOOKUP($BG126,INDIRECT(Adrese!E$2),8,FALSE)</f>
        <v>4.2939961999999998E-2</v>
      </c>
      <c r="BL126" s="5">
        <f ca="1">+VLOOKUP($BG126,INDIRECT(Adrese!F$2),8,FALSE)</f>
        <v>4.3147687999999997E-2</v>
      </c>
      <c r="BM126" s="5" t="str">
        <f t="shared" ca="1" si="38"/>
        <v>0.04 (0.00)</v>
      </c>
      <c r="BN126" s="5">
        <f t="shared" ca="1" si="48"/>
        <v>4.2513637890553999E-2</v>
      </c>
      <c r="BO126" s="5">
        <f t="shared" ca="1" si="39"/>
        <v>9.4970560061520006E-4</v>
      </c>
      <c r="BQ126" t="s">
        <v>183</v>
      </c>
      <c r="BR126" s="5">
        <f ca="1">+VLOOKUP($BG126,INDIRECT(Adrese!B$2),9,FALSE)</f>
        <v>1.2338928375908789E-2</v>
      </c>
      <c r="BS126" s="5">
        <f ca="1">+VLOOKUP($BG126,INDIRECT(Adrese!C$2),9,FALSE)</f>
        <v>6.7779110000000002E-3</v>
      </c>
      <c r="BT126" s="5">
        <f ca="1">+VLOOKUP($BG126,INDIRECT(Adrese!D$2),9,FALSE)</f>
        <v>6.135929E-3</v>
      </c>
      <c r="BU126" s="5">
        <f ca="1">+VLOOKUP($BG126,INDIRECT(Adrese!E$2),9,FALSE)</f>
        <v>9.2039349999999999E-3</v>
      </c>
      <c r="BV126" s="5">
        <f ca="1">+VLOOKUP($BG126,INDIRECT(Adrese!F$2),9,FALSE)</f>
        <v>9.6757070000000004E-3</v>
      </c>
      <c r="BW126" s="5" t="str">
        <f t="shared" ca="1" si="40"/>
        <v>0.01 (0.00)</v>
      </c>
      <c r="BX126" s="5">
        <f t="shared" ca="1" si="49"/>
        <v>8.8264820751817585E-3</v>
      </c>
      <c r="BY126" s="5">
        <f t="shared" ca="1" si="41"/>
        <v>2.4817661049804209E-3</v>
      </c>
    </row>
    <row r="127" spans="1:77" x14ac:dyDescent="0.25">
      <c r="A127" t="s">
        <v>184</v>
      </c>
      <c r="B127" s="12">
        <f ca="1">+VLOOKUP($A127,INDIRECT(Adrese!B$2),2,FALSE)</f>
        <v>125</v>
      </c>
      <c r="C127" s="12">
        <f ca="1">+VLOOKUP($A127,INDIRECT(Adrese!C$2),2,FALSE)</f>
        <v>128</v>
      </c>
      <c r="D127" s="12">
        <f ca="1">+VLOOKUP($A127,INDIRECT(Adrese!D$2),2,FALSE)</f>
        <v>133</v>
      </c>
      <c r="E127" s="12">
        <f ca="1">+VLOOKUP($A127,INDIRECT(Adrese!E$2),2,FALSE)</f>
        <v>127</v>
      </c>
      <c r="F127" s="12">
        <f ca="1">+VLOOKUP($A127,INDIRECT(Adrese!F$2),2,FALSE)</f>
        <v>129</v>
      </c>
      <c r="G127" s="5">
        <f t="shared" ca="1" si="42"/>
        <v>128.4</v>
      </c>
      <c r="H127" s="5">
        <f t="shared" ca="1" si="29"/>
        <v>2.9664793948382648</v>
      </c>
      <c r="J127" t="s">
        <v>184</v>
      </c>
      <c r="K127">
        <f ca="1">+VLOOKUP($A127,INDIRECT(Adrese!B$2),3,FALSE)</f>
        <v>96</v>
      </c>
      <c r="L127">
        <f ca="1">+VLOOKUP($A127,INDIRECT(Adrese!C$2),3,FALSE)</f>
        <v>91</v>
      </c>
      <c r="M127">
        <f ca="1">+VLOOKUP($A127,INDIRECT(Adrese!D$2),3,FALSE)</f>
        <v>89</v>
      </c>
      <c r="N127">
        <f ca="1">+VLOOKUP($A127,INDIRECT(Adrese!E$2),3,FALSE)</f>
        <v>88</v>
      </c>
      <c r="O127">
        <f ca="1">+VLOOKUP($A127,INDIRECT(Adrese!F$2),3,FALSE)</f>
        <v>94</v>
      </c>
      <c r="P127" s="5">
        <f t="shared" ca="1" si="43"/>
        <v>91.6</v>
      </c>
      <c r="Q127" s="5">
        <f t="shared" ca="1" si="30"/>
        <v>3.3615472627943221</v>
      </c>
      <c r="T127" t="s">
        <v>184</v>
      </c>
      <c r="U127">
        <f ca="1">+VLOOKUP($T127,INDIRECT(Adrese!B$2),4,FALSE)</f>
        <v>108303</v>
      </c>
      <c r="V127">
        <f ca="1">+VLOOKUP($T127,INDIRECT(Adrese!C$2),4,FALSE)</f>
        <v>106950</v>
      </c>
      <c r="W127">
        <f ca="1">+VLOOKUP($T127,INDIRECT(Adrese!D$2),4,FALSE)</f>
        <v>106167</v>
      </c>
      <c r="X127">
        <f ca="1">+VLOOKUP($T127,INDIRECT(Adrese!E$2),4,FALSE)</f>
        <v>107402</v>
      </c>
      <c r="Y127">
        <f ca="1">+VLOOKUP($T127,INDIRECT(Adrese!F$2),4,FALSE)</f>
        <v>107242</v>
      </c>
      <c r="Z127">
        <f t="shared" ca="1" si="31"/>
        <v>536064</v>
      </c>
      <c r="AA127" s="5">
        <f t="shared" ca="1" si="44"/>
        <v>107212.8</v>
      </c>
      <c r="AB127" s="5">
        <f t="shared" ca="1" si="32"/>
        <v>772.64914417864975</v>
      </c>
      <c r="AD127" t="s">
        <v>184</v>
      </c>
      <c r="AE127">
        <f ca="1">+VLOOKUP($A127,INDIRECT(Adrese!B$2),5,FALSE)</f>
        <v>19519</v>
      </c>
      <c r="AF127">
        <f ca="1">+VLOOKUP($A127,INDIRECT(Adrese!C$2),5,FALSE)</f>
        <v>19320</v>
      </c>
      <c r="AG127">
        <f ca="1">+VLOOKUP($A127,INDIRECT(Adrese!D$2),5,FALSE)</f>
        <v>18949</v>
      </c>
      <c r="AH127">
        <f ca="1">+VLOOKUP($A127,INDIRECT(Adrese!E$2),5,FALSE)</f>
        <v>19219</v>
      </c>
      <c r="AI127">
        <f ca="1">+VLOOKUP($A127,INDIRECT(Adrese!F$2),5,FALSE)</f>
        <v>19470</v>
      </c>
      <c r="AJ127" s="5">
        <f t="shared" ca="1" si="45"/>
        <v>19295.400000000001</v>
      </c>
      <c r="AK127" s="5">
        <f t="shared" ca="1" si="33"/>
        <v>227.44076151824677</v>
      </c>
      <c r="AM127" t="s">
        <v>184</v>
      </c>
      <c r="AN127" s="5">
        <f ca="1">+VLOOKUP($A127,INDIRECT(Adrese!B$2),6,FALSE)</f>
        <v>0.43037610619469019</v>
      </c>
      <c r="AO127" s="5">
        <f ca="1">+VLOOKUP($A127,INDIRECT(Adrese!C$2),6,FALSE)</f>
        <v>0.425973451</v>
      </c>
      <c r="AP127" s="5">
        <f ca="1">+VLOOKUP($A127,INDIRECT(Adrese!D$2),6,FALSE)</f>
        <v>0.41776548699999999</v>
      </c>
      <c r="AQ127" s="5">
        <f ca="1">+VLOOKUP($A127,INDIRECT(Adrese!E$2),6,FALSE)</f>
        <v>0.42373893800000001</v>
      </c>
      <c r="AR127" s="5">
        <f ca="1">+VLOOKUP($A127,INDIRECT(Adrese!F$2),6,FALSE)</f>
        <v>0.42929203500000002</v>
      </c>
      <c r="AS127" s="5" t="str">
        <f t="shared" ca="1" si="34"/>
        <v>0.43 (0.01)</v>
      </c>
      <c r="AT127" s="5">
        <f t="shared" ca="1" si="46"/>
        <v>0.42542920343893809</v>
      </c>
      <c r="AU127" s="5">
        <f t="shared" ca="1" si="35"/>
        <v>5.031875069550224E-3</v>
      </c>
      <c r="AW127" t="s">
        <v>184</v>
      </c>
      <c r="AX127" s="5">
        <f ca="1">+VLOOKUP($A127,INDIRECT(Adrese!B$2),7,FALSE)</f>
        <v>0.5752212389380531</v>
      </c>
      <c r="AY127" s="5">
        <f ca="1">+VLOOKUP($A127,INDIRECT(Adrese!C$2),7,FALSE)</f>
        <v>0.59734513300000003</v>
      </c>
      <c r="AZ127" s="5">
        <f ca="1">+VLOOKUP($A127,INDIRECT(Adrese!D$2),7,FALSE)</f>
        <v>0.60619469000000004</v>
      </c>
      <c r="BA127" s="5">
        <f ca="1">+VLOOKUP($A127,INDIRECT(Adrese!E$2),7,FALSE)</f>
        <v>0.61061946899999997</v>
      </c>
      <c r="BB127" s="5">
        <f ca="1">+VLOOKUP($A127,INDIRECT(Adrese!F$2),7,FALSE)</f>
        <v>0.584070796</v>
      </c>
      <c r="BC127" s="5" t="str">
        <f t="shared" ca="1" si="36"/>
        <v>0.59 (0.01)</v>
      </c>
      <c r="BD127">
        <f t="shared" ca="1" si="47"/>
        <v>0.59469026538761072</v>
      </c>
      <c r="BE127" s="5">
        <f t="shared" ca="1" si="37"/>
        <v>1.4874102967863245E-2</v>
      </c>
      <c r="BG127" t="s">
        <v>184</v>
      </c>
      <c r="BH127" s="5">
        <f ca="1">+VLOOKUP($BG127,INDIRECT(Adrese!B$2),8,FALSE)</f>
        <v>4.3038960556843801E-2</v>
      </c>
      <c r="BI127" s="5">
        <f ca="1">+VLOOKUP($BG127,INDIRECT(Adrese!C$2),8,FALSE)</f>
        <v>4.2673124999999999E-2</v>
      </c>
      <c r="BJ127" s="5">
        <f ca="1">+VLOOKUP($BG127,INDIRECT(Adrese!D$2),8,FALSE)</f>
        <v>4.1799923000000003E-2</v>
      </c>
      <c r="BK127" s="5">
        <f ca="1">+VLOOKUP($BG127,INDIRECT(Adrese!E$2),8,FALSE)</f>
        <v>4.2124917999999997E-2</v>
      </c>
      <c r="BL127" s="5">
        <f ca="1">+VLOOKUP($BG127,INDIRECT(Adrese!F$2),8,FALSE)</f>
        <v>4.3099878000000001E-2</v>
      </c>
      <c r="BM127" s="5" t="str">
        <f t="shared" ca="1" si="38"/>
        <v>0.04 (0.00)</v>
      </c>
      <c r="BN127" s="5">
        <f t="shared" ca="1" si="48"/>
        <v>4.2547360911368765E-2</v>
      </c>
      <c r="BO127" s="5">
        <f t="shared" ca="1" si="39"/>
        <v>5.7006214471910473E-4</v>
      </c>
      <c r="BQ127" t="s">
        <v>184</v>
      </c>
      <c r="BR127" s="5">
        <f ca="1">+VLOOKUP($BG127,INDIRECT(Adrese!B$2),9,FALSE)</f>
        <v>8.9850971031902802E-3</v>
      </c>
      <c r="BS127" s="5">
        <f ca="1">+VLOOKUP($BG127,INDIRECT(Adrese!C$2),9,FALSE)</f>
        <v>7.5315879999999997E-3</v>
      </c>
      <c r="BT127" s="5">
        <f ca="1">+VLOOKUP($BG127,INDIRECT(Adrese!D$2),9,FALSE)</f>
        <v>5.676001E-3</v>
      </c>
      <c r="BU127" s="5">
        <f ca="1">+VLOOKUP($BG127,INDIRECT(Adrese!E$2),9,FALSE)</f>
        <v>6.1759459999999999E-3</v>
      </c>
      <c r="BV127" s="5">
        <f ca="1">+VLOOKUP($BG127,INDIRECT(Adrese!F$2),9,FALSE)</f>
        <v>8.4049629999999997E-3</v>
      </c>
      <c r="BW127" s="5" t="str">
        <f t="shared" ca="1" si="40"/>
        <v>0.01 (0.00)</v>
      </c>
      <c r="BX127" s="5">
        <f t="shared" ca="1" si="49"/>
        <v>7.3547190206380564E-3</v>
      </c>
      <c r="BY127" s="5">
        <f t="shared" ca="1" si="41"/>
        <v>1.4142160170136963E-3</v>
      </c>
    </row>
    <row r="128" spans="1:77" x14ac:dyDescent="0.25">
      <c r="A128" t="s">
        <v>185</v>
      </c>
      <c r="B128" s="12">
        <f ca="1">+VLOOKUP($A128,INDIRECT(Adrese!B$2),2,FALSE)</f>
        <v>126</v>
      </c>
      <c r="C128" s="12">
        <f ca="1">+VLOOKUP($A128,INDIRECT(Adrese!C$2),2,FALSE)</f>
        <v>124</v>
      </c>
      <c r="D128" s="12">
        <f ca="1">+VLOOKUP($A128,INDIRECT(Adrese!D$2),2,FALSE)</f>
        <v>126</v>
      </c>
      <c r="E128" s="12">
        <f ca="1">+VLOOKUP($A128,INDIRECT(Adrese!E$2),2,FALSE)</f>
        <v>126</v>
      </c>
      <c r="F128" s="12">
        <f ca="1">+VLOOKUP($A128,INDIRECT(Adrese!F$2),2,FALSE)</f>
        <v>124</v>
      </c>
      <c r="G128" s="5">
        <f t="shared" ca="1" si="42"/>
        <v>125.2</v>
      </c>
      <c r="H128" s="5">
        <f t="shared" ca="1" si="29"/>
        <v>1.0954451150103321</v>
      </c>
      <c r="J128" t="s">
        <v>185</v>
      </c>
      <c r="K128">
        <f ca="1">+VLOOKUP($A128,INDIRECT(Adrese!B$2),3,FALSE)</f>
        <v>0</v>
      </c>
      <c r="L128">
        <f ca="1">+VLOOKUP($A128,INDIRECT(Adrese!C$2),3,FALSE)</f>
        <v>0</v>
      </c>
      <c r="M128">
        <f ca="1">+VLOOKUP($A128,INDIRECT(Adrese!D$2),3,FALSE)</f>
        <v>0</v>
      </c>
      <c r="N128">
        <f ca="1">+VLOOKUP($A128,INDIRECT(Adrese!E$2),3,FALSE)</f>
        <v>0</v>
      </c>
      <c r="O128">
        <f ca="1">+VLOOKUP($A128,INDIRECT(Adrese!F$2),3,FALSE)</f>
        <v>0</v>
      </c>
      <c r="P128" s="5">
        <f t="shared" ca="1" si="43"/>
        <v>0</v>
      </c>
      <c r="Q128" s="5">
        <f t="shared" ca="1" si="30"/>
        <v>0</v>
      </c>
      <c r="T128" t="s">
        <v>185</v>
      </c>
      <c r="U128">
        <f ca="1">+VLOOKUP($T128,INDIRECT(Adrese!B$2),4,FALSE)</f>
        <v>107904</v>
      </c>
      <c r="V128">
        <f ca="1">+VLOOKUP($T128,INDIRECT(Adrese!C$2),4,FALSE)</f>
        <v>107779</v>
      </c>
      <c r="W128">
        <f ca="1">+VLOOKUP($T128,INDIRECT(Adrese!D$2),4,FALSE)</f>
        <v>107697</v>
      </c>
      <c r="X128">
        <f ca="1">+VLOOKUP($T128,INDIRECT(Adrese!E$2),4,FALSE)</f>
        <v>107927</v>
      </c>
      <c r="Y128">
        <f ca="1">+VLOOKUP($T128,INDIRECT(Adrese!F$2),4,FALSE)</f>
        <v>108535</v>
      </c>
      <c r="Z128">
        <f t="shared" ca="1" si="31"/>
        <v>539842</v>
      </c>
      <c r="AA128" s="5">
        <f t="shared" ca="1" si="44"/>
        <v>107968.4</v>
      </c>
      <c r="AB128" s="5">
        <f t="shared" ca="1" si="32"/>
        <v>330.31318472019854</v>
      </c>
      <c r="AD128" t="s">
        <v>185</v>
      </c>
      <c r="AE128">
        <f ca="1">+VLOOKUP($A128,INDIRECT(Adrese!B$2),5,FALSE)</f>
        <v>43521</v>
      </c>
      <c r="AF128">
        <f ca="1">+VLOOKUP($A128,INDIRECT(Adrese!C$2),5,FALSE)</f>
        <v>43403</v>
      </c>
      <c r="AG128">
        <f ca="1">+VLOOKUP($A128,INDIRECT(Adrese!D$2),5,FALSE)</f>
        <v>43486</v>
      </c>
      <c r="AH128">
        <f ca="1">+VLOOKUP($A128,INDIRECT(Adrese!E$2),5,FALSE)</f>
        <v>43531</v>
      </c>
      <c r="AI128">
        <f ca="1">+VLOOKUP($A128,INDIRECT(Adrese!F$2),5,FALSE)</f>
        <v>43462</v>
      </c>
      <c r="AJ128" s="5">
        <f t="shared" ca="1" si="45"/>
        <v>43480.6</v>
      </c>
      <c r="AK128" s="5">
        <f t="shared" ca="1" si="33"/>
        <v>51.403307286593922</v>
      </c>
      <c r="AM128" t="s">
        <v>185</v>
      </c>
      <c r="AN128" s="5">
        <f ca="1">+VLOOKUP($A128,INDIRECT(Adrese!B$2),6,FALSE)</f>
        <v>0.95842920353982297</v>
      </c>
      <c r="AO128" s="5">
        <f ca="1">+VLOOKUP($A128,INDIRECT(Adrese!C$2),6,FALSE)</f>
        <v>0.95581858399999997</v>
      </c>
      <c r="AP128" s="5">
        <f ca="1">+VLOOKUP($A128,INDIRECT(Adrese!D$2),6,FALSE)</f>
        <v>0.95765486700000002</v>
      </c>
      <c r="AQ128" s="5">
        <f ca="1">+VLOOKUP($A128,INDIRECT(Adrese!E$2),6,FALSE)</f>
        <v>0.95865044200000005</v>
      </c>
      <c r="AR128" s="5">
        <f ca="1">+VLOOKUP($A128,INDIRECT(Adrese!F$2),6,FALSE)</f>
        <v>0.95712389399999998</v>
      </c>
      <c r="AS128" s="5" t="str">
        <f t="shared" ca="1" si="34"/>
        <v>0.96 (0.00)</v>
      </c>
      <c r="AT128" s="5">
        <f t="shared" ca="1" si="46"/>
        <v>0.95753539810796462</v>
      </c>
      <c r="AU128" s="5">
        <f t="shared" ca="1" si="35"/>
        <v>1.1372411968803501E-3</v>
      </c>
      <c r="AW128" t="s">
        <v>185</v>
      </c>
      <c r="AX128" s="5">
        <f ca="1">+VLOOKUP($A128,INDIRECT(Adrese!B$2),7,FALSE)</f>
        <v>1</v>
      </c>
      <c r="AY128" s="5">
        <f ca="1">+VLOOKUP($A128,INDIRECT(Adrese!C$2),7,FALSE)</f>
        <v>1</v>
      </c>
      <c r="AZ128" s="5">
        <f ca="1">+VLOOKUP($A128,INDIRECT(Adrese!D$2),7,FALSE)</f>
        <v>1</v>
      </c>
      <c r="BA128" s="5">
        <f ca="1">+VLOOKUP($A128,INDIRECT(Adrese!E$2),7,FALSE)</f>
        <v>1</v>
      </c>
      <c r="BB128" s="5">
        <f ca="1">+VLOOKUP($A128,INDIRECT(Adrese!F$2),7,FALSE)</f>
        <v>1</v>
      </c>
      <c r="BC128" s="5" t="str">
        <f t="shared" ca="1" si="36"/>
        <v>1.00 (0.00)</v>
      </c>
      <c r="BD128">
        <f t="shared" ca="1" si="47"/>
        <v>1</v>
      </c>
      <c r="BE128" s="5">
        <f t="shared" ca="1" si="37"/>
        <v>0</v>
      </c>
      <c r="BG128" t="s">
        <v>185</v>
      </c>
      <c r="BH128" s="5">
        <f ca="1">+VLOOKUP($BG128,INDIRECT(Adrese!B$2),8,FALSE)</f>
        <v>8.6847169810861283E-2</v>
      </c>
      <c r="BI128" s="5">
        <f ca="1">+VLOOKUP($BG128,INDIRECT(Adrese!C$2),8,FALSE)</f>
        <v>8.6669089000000005E-2</v>
      </c>
      <c r="BJ128" s="5">
        <f ca="1">+VLOOKUP($BG128,INDIRECT(Adrese!D$2),8,FALSE)</f>
        <v>8.6815945000000005E-2</v>
      </c>
      <c r="BK128" s="5">
        <f ca="1">+VLOOKUP($BG128,INDIRECT(Adrese!E$2),8,FALSE)</f>
        <v>8.6852922999999999E-2</v>
      </c>
      <c r="BL128" s="5">
        <f ca="1">+VLOOKUP($BG128,INDIRECT(Adrese!F$2),8,FALSE)</f>
        <v>8.6915962999999999E-2</v>
      </c>
      <c r="BM128" s="5" t="str">
        <f t="shared" ca="1" si="38"/>
        <v>0.09 (0.00)</v>
      </c>
      <c r="BN128" s="5">
        <f t="shared" ca="1" si="48"/>
        <v>8.6820217962172264E-2</v>
      </c>
      <c r="BO128" s="5">
        <f t="shared" ca="1" si="39"/>
        <v>9.1952916387536915E-5</v>
      </c>
      <c r="BQ128" t="s">
        <v>185</v>
      </c>
      <c r="BR128" s="5">
        <f ca="1">+VLOOKUP($BG128,INDIRECT(Adrese!B$2),9,FALSE)</f>
        <v>7.4947299010161852E-2</v>
      </c>
      <c r="BS128" s="5">
        <f ca="1">+VLOOKUP($BG128,INDIRECT(Adrese!C$2),9,FALSE)</f>
        <v>7.4946438000000004E-2</v>
      </c>
      <c r="BT128" s="5">
        <f ca="1">+VLOOKUP($BG128,INDIRECT(Adrese!D$2),9,FALSE)</f>
        <v>7.4666009000000005E-2</v>
      </c>
      <c r="BU128" s="5">
        <f ca="1">+VLOOKUP($BG128,INDIRECT(Adrese!E$2),9,FALSE)</f>
        <v>7.5010978000000006E-2</v>
      </c>
      <c r="BV128" s="5">
        <f ca="1">+VLOOKUP($BG128,INDIRECT(Adrese!F$2),9,FALSE)</f>
        <v>7.5049488999999997E-2</v>
      </c>
      <c r="BW128" s="5" t="str">
        <f t="shared" ca="1" si="40"/>
        <v>0.07 (0.00)</v>
      </c>
      <c r="BX128" s="5">
        <f t="shared" ca="1" si="49"/>
        <v>7.4924042602032365E-2</v>
      </c>
      <c r="BY128" s="5">
        <f t="shared" ca="1" si="41"/>
        <v>1.5076332140963032E-4</v>
      </c>
    </row>
    <row r="129" spans="1:77" x14ac:dyDescent="0.25">
      <c r="A129" t="s">
        <v>186</v>
      </c>
      <c r="B129" s="12">
        <f ca="1">+VLOOKUP($A129,INDIRECT(Adrese!B$2),2,FALSE)</f>
        <v>127</v>
      </c>
      <c r="C129" s="12">
        <f ca="1">+VLOOKUP($A129,INDIRECT(Adrese!C$2),2,FALSE)</f>
        <v>132</v>
      </c>
      <c r="D129" s="12">
        <f ca="1">+VLOOKUP($A129,INDIRECT(Adrese!D$2),2,FALSE)</f>
        <v>128</v>
      </c>
      <c r="E129" s="12">
        <f ca="1">+VLOOKUP($A129,INDIRECT(Adrese!E$2),2,FALSE)</f>
        <v>130</v>
      </c>
      <c r="F129" s="12">
        <f ca="1">+VLOOKUP($A129,INDIRECT(Adrese!F$2),2,FALSE)</f>
        <v>133</v>
      </c>
      <c r="G129" s="5">
        <f t="shared" ca="1" si="42"/>
        <v>130</v>
      </c>
      <c r="H129" s="5">
        <f t="shared" ca="1" si="29"/>
        <v>2.5495097567963922</v>
      </c>
      <c r="J129" t="s">
        <v>186</v>
      </c>
      <c r="K129">
        <f ca="1">+VLOOKUP($A129,INDIRECT(Adrese!B$2),3,FALSE)</f>
        <v>3</v>
      </c>
      <c r="L129">
        <f ca="1">+VLOOKUP($A129,INDIRECT(Adrese!C$2),3,FALSE)</f>
        <v>3</v>
      </c>
      <c r="M129">
        <f ca="1">+VLOOKUP($A129,INDIRECT(Adrese!D$2),3,FALSE)</f>
        <v>3</v>
      </c>
      <c r="N129">
        <f ca="1">+VLOOKUP($A129,INDIRECT(Adrese!E$2),3,FALSE)</f>
        <v>3</v>
      </c>
      <c r="O129">
        <f ca="1">+VLOOKUP($A129,INDIRECT(Adrese!F$2),3,FALSE)</f>
        <v>3</v>
      </c>
      <c r="P129" s="5">
        <f t="shared" ca="1" si="43"/>
        <v>3</v>
      </c>
      <c r="Q129" s="5">
        <f t="shared" ca="1" si="30"/>
        <v>0</v>
      </c>
      <c r="T129" t="s">
        <v>186</v>
      </c>
      <c r="U129">
        <f ca="1">+VLOOKUP($T129,INDIRECT(Adrese!B$2),4,FALSE)</f>
        <v>107691</v>
      </c>
      <c r="V129">
        <f ca="1">+VLOOKUP($T129,INDIRECT(Adrese!C$2),4,FALSE)</f>
        <v>106166</v>
      </c>
      <c r="W129">
        <f ca="1">+VLOOKUP($T129,INDIRECT(Adrese!D$2),4,FALSE)</f>
        <v>107490</v>
      </c>
      <c r="X129">
        <f ca="1">+VLOOKUP($T129,INDIRECT(Adrese!E$2),4,FALSE)</f>
        <v>106880</v>
      </c>
      <c r="Y129">
        <f ca="1">+VLOOKUP($T129,INDIRECT(Adrese!F$2),4,FALSE)</f>
        <v>106461</v>
      </c>
      <c r="Z129">
        <f t="shared" ca="1" si="31"/>
        <v>534688</v>
      </c>
      <c r="AA129" s="5">
        <f t="shared" ca="1" si="44"/>
        <v>106937.60000000001</v>
      </c>
      <c r="AB129" s="5">
        <f t="shared" ca="1" si="32"/>
        <v>651.64967582283043</v>
      </c>
      <c r="AD129" t="s">
        <v>186</v>
      </c>
      <c r="AE129">
        <f ca="1">+VLOOKUP($A129,INDIRECT(Adrese!B$2),5,FALSE)</f>
        <v>44430</v>
      </c>
      <c r="AF129">
        <f ca="1">+VLOOKUP($A129,INDIRECT(Adrese!C$2),5,FALSE)</f>
        <v>44430</v>
      </c>
      <c r="AG129">
        <f ca="1">+VLOOKUP($A129,INDIRECT(Adrese!D$2),5,FALSE)</f>
        <v>44430</v>
      </c>
      <c r="AH129">
        <f ca="1">+VLOOKUP($A129,INDIRECT(Adrese!E$2),5,FALSE)</f>
        <v>44430</v>
      </c>
      <c r="AI129">
        <f ca="1">+VLOOKUP($A129,INDIRECT(Adrese!F$2),5,FALSE)</f>
        <v>44430</v>
      </c>
      <c r="AJ129" s="5">
        <f t="shared" ca="1" si="45"/>
        <v>44430</v>
      </c>
      <c r="AK129" s="5">
        <f t="shared" ca="1" si="33"/>
        <v>0</v>
      </c>
      <c r="AM129" t="s">
        <v>186</v>
      </c>
      <c r="AN129" s="5">
        <f ca="1">+VLOOKUP($A129,INDIRECT(Adrese!B$2),6,FALSE)</f>
        <v>0.97853982300884956</v>
      </c>
      <c r="AO129" s="5">
        <f ca="1">+VLOOKUP($A129,INDIRECT(Adrese!C$2),6,FALSE)</f>
        <v>0.97853982299999998</v>
      </c>
      <c r="AP129" s="5">
        <f ca="1">+VLOOKUP($A129,INDIRECT(Adrese!D$2),6,FALSE)</f>
        <v>0.97853982299999998</v>
      </c>
      <c r="AQ129" s="5">
        <f ca="1">+VLOOKUP($A129,INDIRECT(Adrese!E$2),6,FALSE)</f>
        <v>0.97853982299999998</v>
      </c>
      <c r="AR129" s="5">
        <f ca="1">+VLOOKUP($A129,INDIRECT(Adrese!F$2),6,FALSE)</f>
        <v>0.97853982299999998</v>
      </c>
      <c r="AS129" s="5" t="str">
        <f t="shared" ca="1" si="34"/>
        <v>0.98 (0.00)</v>
      </c>
      <c r="AT129" s="5">
        <f t="shared" ca="1" si="46"/>
        <v>0.97853982300177</v>
      </c>
      <c r="AU129" s="5">
        <f t="shared" ca="1" si="35"/>
        <v>3.9576559490533386E-12</v>
      </c>
      <c r="AW129" t="s">
        <v>186</v>
      </c>
      <c r="AX129" s="5">
        <f ca="1">+VLOOKUP($A129,INDIRECT(Adrese!B$2),7,FALSE)</f>
        <v>0.98672566371681414</v>
      </c>
      <c r="AY129" s="5">
        <f ca="1">+VLOOKUP($A129,INDIRECT(Adrese!C$2),7,FALSE)</f>
        <v>0.98672566399999995</v>
      </c>
      <c r="AZ129" s="5">
        <f ca="1">+VLOOKUP($A129,INDIRECT(Adrese!D$2),7,FALSE)</f>
        <v>0.98672566399999995</v>
      </c>
      <c r="BA129" s="5">
        <f ca="1">+VLOOKUP($A129,INDIRECT(Adrese!E$2),7,FALSE)</f>
        <v>0.98672566399999995</v>
      </c>
      <c r="BB129" s="5">
        <f ca="1">+VLOOKUP($A129,INDIRECT(Adrese!F$2),7,FALSE)</f>
        <v>0.98672566399999995</v>
      </c>
      <c r="BC129" s="5" t="str">
        <f t="shared" ca="1" si="36"/>
        <v>0.99 (0.00)</v>
      </c>
      <c r="BD129">
        <f t="shared" ca="1" si="47"/>
        <v>0.9867256639433627</v>
      </c>
      <c r="BE129" s="5">
        <f t="shared" ca="1" si="37"/>
        <v>1.2664454345130903E-10</v>
      </c>
      <c r="BG129" t="s">
        <v>186</v>
      </c>
      <c r="BH129" s="5">
        <f ca="1">+VLOOKUP($BG129,INDIRECT(Adrese!B$2),8,FALSE)</f>
        <v>8.8179976811485136E-2</v>
      </c>
      <c r="BI129" s="5">
        <f ca="1">+VLOOKUP($BG129,INDIRECT(Adrese!C$2),8,FALSE)</f>
        <v>8.8183628999999999E-2</v>
      </c>
      <c r="BJ129" s="5">
        <f ca="1">+VLOOKUP($BG129,INDIRECT(Adrese!D$2),8,FALSE)</f>
        <v>8.8223834000000001E-2</v>
      </c>
      <c r="BK129" s="5">
        <f ca="1">+VLOOKUP($BG129,INDIRECT(Adrese!E$2),8,FALSE)</f>
        <v>8.8179573999999997E-2</v>
      </c>
      <c r="BL129" s="5">
        <f ca="1">+VLOOKUP($BG129,INDIRECT(Adrese!F$2),8,FALSE)</f>
        <v>8.8349090000000005E-2</v>
      </c>
      <c r="BM129" s="5" t="str">
        <f t="shared" ca="1" si="38"/>
        <v>0.09 (0.00)</v>
      </c>
      <c r="BN129" s="5">
        <f t="shared" ca="1" si="48"/>
        <v>8.8223220762297022E-2</v>
      </c>
      <c r="BO129" s="5">
        <f t="shared" ca="1" si="39"/>
        <v>7.2777104646702217E-5</v>
      </c>
      <c r="BQ129" t="s">
        <v>186</v>
      </c>
      <c r="BR129" s="5">
        <f ca="1">+VLOOKUP($BG129,INDIRECT(Adrese!B$2),9,FALSE)</f>
        <v>7.549788492290932E-2</v>
      </c>
      <c r="BS129" s="5">
        <f ca="1">+VLOOKUP($BG129,INDIRECT(Adrese!C$2),9,FALSE)</f>
        <v>7.5584118000000006E-2</v>
      </c>
      <c r="BT129" s="5">
        <f ca="1">+VLOOKUP($BG129,INDIRECT(Adrese!D$2),9,FALSE)</f>
        <v>7.5296622999999993E-2</v>
      </c>
      <c r="BU129" s="5">
        <f ca="1">+VLOOKUP($BG129,INDIRECT(Adrese!E$2),9,FALSE)</f>
        <v>7.5589618999999997E-2</v>
      </c>
      <c r="BV129" s="5">
        <f ca="1">+VLOOKUP($BG129,INDIRECT(Adrese!F$2),9,FALSE)</f>
        <v>7.5688535000000001E-2</v>
      </c>
      <c r="BW129" s="5" t="str">
        <f t="shared" ca="1" si="40"/>
        <v>0.08 (0.00)</v>
      </c>
      <c r="BX129" s="5">
        <f t="shared" ca="1" si="49"/>
        <v>7.5531355984581855E-2</v>
      </c>
      <c r="BY129" s="5">
        <f t="shared" ca="1" si="41"/>
        <v>1.4756654273971872E-4</v>
      </c>
    </row>
    <row r="130" spans="1:77" x14ac:dyDescent="0.25">
      <c r="A130" t="s">
        <v>17</v>
      </c>
      <c r="B130" s="12">
        <f ca="1">+VLOOKUP($A130,INDIRECT(Adrese!B$2),2,FALSE)</f>
        <v>128</v>
      </c>
      <c r="C130" s="12">
        <f ca="1">+VLOOKUP($A130,INDIRECT(Adrese!C$2),2,FALSE)</f>
        <v>129</v>
      </c>
      <c r="D130" s="12">
        <f ca="1">+VLOOKUP($A130,INDIRECT(Adrese!D$2),2,FALSE)</f>
        <v>124</v>
      </c>
      <c r="E130" s="12">
        <f ca="1">+VLOOKUP($A130,INDIRECT(Adrese!E$2),2,FALSE)</f>
        <v>125</v>
      </c>
      <c r="F130" s="12">
        <f ca="1">+VLOOKUP($A130,INDIRECT(Adrese!F$2),2,FALSE)</f>
        <v>128</v>
      </c>
      <c r="G130" s="5">
        <f t="shared" ca="1" si="42"/>
        <v>126.8</v>
      </c>
      <c r="H130" s="5">
        <f t="shared" ca="1" si="29"/>
        <v>2.16794833886788</v>
      </c>
      <c r="J130" t="s">
        <v>17</v>
      </c>
      <c r="K130">
        <f ca="1">+VLOOKUP($A130,INDIRECT(Adrese!B$2),3,FALSE)</f>
        <v>101</v>
      </c>
      <c r="L130">
        <f ca="1">+VLOOKUP($A130,INDIRECT(Adrese!C$2),3,FALSE)</f>
        <v>99</v>
      </c>
      <c r="M130">
        <f ca="1">+VLOOKUP($A130,INDIRECT(Adrese!D$2),3,FALSE)</f>
        <v>106</v>
      </c>
      <c r="N130">
        <f ca="1">+VLOOKUP($A130,INDIRECT(Adrese!E$2),3,FALSE)</f>
        <v>102</v>
      </c>
      <c r="O130">
        <f ca="1">+VLOOKUP($A130,INDIRECT(Adrese!F$2),3,FALSE)</f>
        <v>106</v>
      </c>
      <c r="P130" s="5">
        <f t="shared" ca="1" si="43"/>
        <v>102.8</v>
      </c>
      <c r="Q130" s="5">
        <f t="shared" ca="1" si="30"/>
        <v>3.1144823004794877</v>
      </c>
      <c r="T130" t="s">
        <v>17</v>
      </c>
      <c r="U130">
        <f ca="1">+VLOOKUP($T130,INDIRECT(Adrese!B$2),4,FALSE)</f>
        <v>107553</v>
      </c>
      <c r="V130">
        <f ca="1">+VLOOKUP($T130,INDIRECT(Adrese!C$2),4,FALSE)</f>
        <v>106743</v>
      </c>
      <c r="W130">
        <f ca="1">+VLOOKUP($T130,INDIRECT(Adrese!D$2),4,FALSE)</f>
        <v>108159</v>
      </c>
      <c r="X130">
        <f ca="1">+VLOOKUP($T130,INDIRECT(Adrese!E$2),4,FALSE)</f>
        <v>107998</v>
      </c>
      <c r="Y130">
        <f ca="1">+VLOOKUP($T130,INDIRECT(Adrese!F$2),4,FALSE)</f>
        <v>107346</v>
      </c>
      <c r="Z130">
        <f t="shared" ca="1" si="31"/>
        <v>537799</v>
      </c>
      <c r="AA130" s="5">
        <f t="shared" ca="1" si="44"/>
        <v>107559.8</v>
      </c>
      <c r="AB130" s="5">
        <f t="shared" ca="1" si="32"/>
        <v>562.13405874399746</v>
      </c>
      <c r="AD130" t="s">
        <v>17</v>
      </c>
      <c r="AE130">
        <f ca="1">+VLOOKUP($A130,INDIRECT(Adrese!B$2),5,FALSE)</f>
        <v>31706</v>
      </c>
      <c r="AF130">
        <f ca="1">+VLOOKUP($A130,INDIRECT(Adrese!C$2),5,FALSE)</f>
        <v>31506</v>
      </c>
      <c r="AG130">
        <f ca="1">+VLOOKUP($A130,INDIRECT(Adrese!D$2),5,FALSE)</f>
        <v>31560</v>
      </c>
      <c r="AH130">
        <f ca="1">+VLOOKUP($A130,INDIRECT(Adrese!E$2),5,FALSE)</f>
        <v>31670</v>
      </c>
      <c r="AI130">
        <f ca="1">+VLOOKUP($A130,INDIRECT(Adrese!F$2),5,FALSE)</f>
        <v>31276</v>
      </c>
      <c r="AJ130" s="5">
        <f t="shared" ca="1" si="45"/>
        <v>31543.599999999999</v>
      </c>
      <c r="AK130" s="5">
        <f t="shared" ca="1" si="33"/>
        <v>170.03176173879984</v>
      </c>
      <c r="AM130" t="s">
        <v>17</v>
      </c>
      <c r="AN130" s="5">
        <f ca="1">+VLOOKUP($A130,INDIRECT(Adrese!B$2),6,FALSE)</f>
        <v>0.70035398230088497</v>
      </c>
      <c r="AO130" s="5">
        <f ca="1">+VLOOKUP($A130,INDIRECT(Adrese!C$2),6,FALSE)</f>
        <v>0.69592920400000002</v>
      </c>
      <c r="AP130" s="5">
        <f ca="1">+VLOOKUP($A130,INDIRECT(Adrese!D$2),6,FALSE)</f>
        <v>0.69712389399999997</v>
      </c>
      <c r="AQ130" s="5">
        <f ca="1">+VLOOKUP($A130,INDIRECT(Adrese!E$2),6,FALSE)</f>
        <v>0.69955752199999999</v>
      </c>
      <c r="AR130" s="5">
        <f ca="1">+VLOOKUP($A130,INDIRECT(Adrese!F$2),6,FALSE)</f>
        <v>0.69084070799999997</v>
      </c>
      <c r="AS130" s="5" t="str">
        <f t="shared" ca="1" si="34"/>
        <v>0.70 (0.00)</v>
      </c>
      <c r="AT130" s="5">
        <f t="shared" ca="1" si="46"/>
        <v>0.69676106206017707</v>
      </c>
      <c r="AU130" s="5">
        <f t="shared" ca="1" si="35"/>
        <v>3.7617645825402052E-3</v>
      </c>
      <c r="AW130" t="s">
        <v>17</v>
      </c>
      <c r="AX130" s="5">
        <f ca="1">+VLOOKUP($A130,INDIRECT(Adrese!B$2),7,FALSE)</f>
        <v>0.55309734513274333</v>
      </c>
      <c r="AY130" s="5">
        <f ca="1">+VLOOKUP($A130,INDIRECT(Adrese!C$2),7,FALSE)</f>
        <v>0.56194690300000005</v>
      </c>
      <c r="AZ130" s="5">
        <f ca="1">+VLOOKUP($A130,INDIRECT(Adrese!D$2),7,FALSE)</f>
        <v>0.53097345100000004</v>
      </c>
      <c r="BA130" s="5">
        <f ca="1">+VLOOKUP($A130,INDIRECT(Adrese!E$2),7,FALSE)</f>
        <v>0.54867256600000003</v>
      </c>
      <c r="BB130" s="5">
        <f ca="1">+VLOOKUP($A130,INDIRECT(Adrese!F$2),7,FALSE)</f>
        <v>0.53097345100000004</v>
      </c>
      <c r="BC130" s="5" t="str">
        <f t="shared" ca="1" si="36"/>
        <v>0.55 (0.01)</v>
      </c>
      <c r="BD130">
        <f t="shared" ca="1" si="47"/>
        <v>0.5451327432265487</v>
      </c>
      <c r="BE130" s="5">
        <f t="shared" ca="1" si="37"/>
        <v>1.3780895384483877E-2</v>
      </c>
      <c r="BG130" t="s">
        <v>17</v>
      </c>
      <c r="BH130" s="5">
        <f ca="1">+VLOOKUP($BG130,INDIRECT(Adrese!B$2),8,FALSE)</f>
        <v>6.6510696075649411E-2</v>
      </c>
      <c r="BI130" s="5">
        <f ca="1">+VLOOKUP($BG130,INDIRECT(Adrese!C$2),8,FALSE)</f>
        <v>6.6303133E-2</v>
      </c>
      <c r="BJ130" s="5">
        <f ca="1">+VLOOKUP($BG130,INDIRECT(Adrese!D$2),8,FALSE)</f>
        <v>6.6538656000000002E-2</v>
      </c>
      <c r="BK130" s="5">
        <f ca="1">+VLOOKUP($BG130,INDIRECT(Adrese!E$2),8,FALSE)</f>
        <v>6.6397840999999999E-2</v>
      </c>
      <c r="BL130" s="5">
        <f ca="1">+VLOOKUP($BG130,INDIRECT(Adrese!F$2),8,FALSE)</f>
        <v>6.5948147999999998E-2</v>
      </c>
      <c r="BM130" s="5" t="str">
        <f t="shared" ca="1" si="38"/>
        <v>0.07 (0.00)</v>
      </c>
      <c r="BN130" s="5">
        <f t="shared" ca="1" si="48"/>
        <v>6.6339694815129885E-2</v>
      </c>
      <c r="BO130" s="5">
        <f t="shared" ca="1" si="39"/>
        <v>2.3814577351020049E-4</v>
      </c>
      <c r="BQ130" t="s">
        <v>17</v>
      </c>
      <c r="BR130" s="5">
        <f ca="1">+VLOOKUP($BG130,INDIRECT(Adrese!B$2),9,FALSE)</f>
        <v>4.7284328088478211E-2</v>
      </c>
      <c r="BS130" s="5">
        <f ca="1">+VLOOKUP($BG130,INDIRECT(Adrese!C$2),9,FALSE)</f>
        <v>4.7243805999999999E-2</v>
      </c>
      <c r="BT130" s="5">
        <f ca="1">+VLOOKUP($BG130,INDIRECT(Adrese!D$2),9,FALSE)</f>
        <v>4.8042686000000001E-2</v>
      </c>
      <c r="BU130" s="5">
        <f ca="1">+VLOOKUP($BG130,INDIRECT(Adrese!E$2),9,FALSE)</f>
        <v>4.6810167999999999E-2</v>
      </c>
      <c r="BV130" s="5">
        <f ca="1">+VLOOKUP($BG130,INDIRECT(Adrese!F$2),9,FALSE)</f>
        <v>4.674267E-2</v>
      </c>
      <c r="BW130" s="5" t="str">
        <f t="shared" ca="1" si="40"/>
        <v>0.05 (0.00)</v>
      </c>
      <c r="BX130" s="5">
        <f t="shared" ca="1" si="49"/>
        <v>4.7224731617695637E-2</v>
      </c>
      <c r="BY130" s="5">
        <f t="shared" ca="1" si="41"/>
        <v>5.1894396115890356E-4</v>
      </c>
    </row>
    <row r="131" spans="1:77" x14ac:dyDescent="0.25">
      <c r="A131" t="s">
        <v>187</v>
      </c>
      <c r="B131" s="12">
        <f ca="1">+VLOOKUP($A131,INDIRECT(Adrese!B$2),2,FALSE)</f>
        <v>129</v>
      </c>
      <c r="C131" s="12">
        <f ca="1">+VLOOKUP($A131,INDIRECT(Adrese!C$2),2,FALSE)</f>
        <v>126</v>
      </c>
      <c r="D131" s="12">
        <f ca="1">+VLOOKUP($A131,INDIRECT(Adrese!D$2),2,FALSE)</f>
        <v>127</v>
      </c>
      <c r="E131" s="12">
        <f ca="1">+VLOOKUP($A131,INDIRECT(Adrese!E$2),2,FALSE)</f>
        <v>128</v>
      </c>
      <c r="F131" s="12">
        <f ca="1">+VLOOKUP($A131,INDIRECT(Adrese!F$2),2,FALSE)</f>
        <v>125</v>
      </c>
      <c r="G131" s="5">
        <f t="shared" ca="1" si="42"/>
        <v>127</v>
      </c>
      <c r="H131" s="5">
        <f t="shared" ca="1" si="29"/>
        <v>1.5811388300841898</v>
      </c>
      <c r="J131" t="s">
        <v>187</v>
      </c>
      <c r="K131">
        <f ca="1">+VLOOKUP($A131,INDIRECT(Adrese!B$2),3,FALSE)</f>
        <v>0</v>
      </c>
      <c r="L131">
        <f ca="1">+VLOOKUP($A131,INDIRECT(Adrese!C$2),3,FALSE)</f>
        <v>0</v>
      </c>
      <c r="M131">
        <f ca="1">+VLOOKUP($A131,INDIRECT(Adrese!D$2),3,FALSE)</f>
        <v>0</v>
      </c>
      <c r="N131">
        <f ca="1">+VLOOKUP($A131,INDIRECT(Adrese!E$2),3,FALSE)</f>
        <v>0</v>
      </c>
      <c r="O131">
        <f ca="1">+VLOOKUP($A131,INDIRECT(Adrese!F$2),3,FALSE)</f>
        <v>0</v>
      </c>
      <c r="P131" s="5">
        <f t="shared" ca="1" si="43"/>
        <v>0</v>
      </c>
      <c r="Q131" s="5">
        <f t="shared" ca="1" si="30"/>
        <v>0</v>
      </c>
      <c r="T131" t="s">
        <v>187</v>
      </c>
      <c r="U131">
        <f ca="1">+VLOOKUP($T131,INDIRECT(Adrese!B$2),4,FALSE)</f>
        <v>107535</v>
      </c>
      <c r="V131">
        <f ca="1">+VLOOKUP($T131,INDIRECT(Adrese!C$2),4,FALSE)</f>
        <v>107498</v>
      </c>
      <c r="W131">
        <f ca="1">+VLOOKUP($T131,INDIRECT(Adrese!D$2),4,FALSE)</f>
        <v>107538</v>
      </c>
      <c r="X131">
        <f ca="1">+VLOOKUP($T131,INDIRECT(Adrese!E$2),4,FALSE)</f>
        <v>107133</v>
      </c>
      <c r="Y131">
        <f ca="1">+VLOOKUP($T131,INDIRECT(Adrese!F$2),4,FALSE)</f>
        <v>107805</v>
      </c>
      <c r="Z131">
        <f t="shared" ca="1" si="31"/>
        <v>537509</v>
      </c>
      <c r="AA131" s="5">
        <f t="shared" ca="1" si="44"/>
        <v>107501.8</v>
      </c>
      <c r="AB131" s="5">
        <f t="shared" ca="1" si="32"/>
        <v>239.98479118477488</v>
      </c>
      <c r="AD131" t="s">
        <v>187</v>
      </c>
      <c r="AE131">
        <f ca="1">+VLOOKUP($A131,INDIRECT(Adrese!B$2),5,FALSE)</f>
        <v>44958</v>
      </c>
      <c r="AF131">
        <f ca="1">+VLOOKUP($A131,INDIRECT(Adrese!C$2),5,FALSE)</f>
        <v>44742</v>
      </c>
      <c r="AG131">
        <f ca="1">+VLOOKUP($A131,INDIRECT(Adrese!D$2),5,FALSE)</f>
        <v>44958</v>
      </c>
      <c r="AH131">
        <f ca="1">+VLOOKUP($A131,INDIRECT(Adrese!E$2),5,FALSE)</f>
        <v>44768</v>
      </c>
      <c r="AI131">
        <f ca="1">+VLOOKUP($A131,INDIRECT(Adrese!F$2),5,FALSE)</f>
        <v>44756</v>
      </c>
      <c r="AJ131" s="5">
        <f t="shared" ca="1" si="45"/>
        <v>44836.4</v>
      </c>
      <c r="AK131" s="5">
        <f t="shared" ca="1" si="33"/>
        <v>111.38581597313008</v>
      </c>
      <c r="AM131" t="s">
        <v>187</v>
      </c>
      <c r="AN131" s="5">
        <f ca="1">+VLOOKUP($A131,INDIRECT(Adrese!B$2),6,FALSE)</f>
        <v>0.99022123893805314</v>
      </c>
      <c r="AO131" s="5">
        <f ca="1">+VLOOKUP($A131,INDIRECT(Adrese!C$2),6,FALSE)</f>
        <v>0.98544247799999996</v>
      </c>
      <c r="AP131" s="5">
        <f ca="1">+VLOOKUP($A131,INDIRECT(Adrese!D$2),6,FALSE)</f>
        <v>0.99022123900000003</v>
      </c>
      <c r="AQ131" s="5">
        <f ca="1">+VLOOKUP($A131,INDIRECT(Adrese!E$2),6,FALSE)</f>
        <v>0.98601769900000003</v>
      </c>
      <c r="AR131" s="5">
        <f ca="1">+VLOOKUP($A131,INDIRECT(Adrese!F$2),6,FALSE)</f>
        <v>0.98575221199999996</v>
      </c>
      <c r="AS131" s="5" t="str">
        <f t="shared" ca="1" si="34"/>
        <v>0.99 (0.00)</v>
      </c>
      <c r="AT131" s="5">
        <f t="shared" ca="1" si="46"/>
        <v>0.98753097338761064</v>
      </c>
      <c r="AU131" s="5">
        <f t="shared" ca="1" si="35"/>
        <v>2.4642880425909328E-3</v>
      </c>
      <c r="AW131" t="s">
        <v>187</v>
      </c>
      <c r="AX131" s="5">
        <f ca="1">+VLOOKUP($A131,INDIRECT(Adrese!B$2),7,FALSE)</f>
        <v>1</v>
      </c>
      <c r="AY131" s="5">
        <f ca="1">+VLOOKUP($A131,INDIRECT(Adrese!C$2),7,FALSE)</f>
        <v>1</v>
      </c>
      <c r="AZ131" s="5">
        <f ca="1">+VLOOKUP($A131,INDIRECT(Adrese!D$2),7,FALSE)</f>
        <v>1</v>
      </c>
      <c r="BA131" s="5">
        <f ca="1">+VLOOKUP($A131,INDIRECT(Adrese!E$2),7,FALSE)</f>
        <v>1</v>
      </c>
      <c r="BB131" s="5">
        <f ca="1">+VLOOKUP($A131,INDIRECT(Adrese!F$2),7,FALSE)</f>
        <v>1</v>
      </c>
      <c r="BC131" s="5" t="str">
        <f t="shared" ca="1" si="36"/>
        <v>1.00 (0.00)</v>
      </c>
      <c r="BD131">
        <f t="shared" ca="1" si="47"/>
        <v>1</v>
      </c>
      <c r="BE131" s="5">
        <f t="shared" ca="1" si="37"/>
        <v>0</v>
      </c>
      <c r="BG131" t="s">
        <v>187</v>
      </c>
      <c r="BH131" s="5">
        <f ca="1">+VLOOKUP($BG131,INDIRECT(Adrese!B$2),8,FALSE)</f>
        <v>8.9720464970169778E-2</v>
      </c>
      <c r="BI131" s="5">
        <f ca="1">+VLOOKUP($BG131,INDIRECT(Adrese!C$2),8,FALSE)</f>
        <v>8.9365073000000003E-2</v>
      </c>
      <c r="BJ131" s="5">
        <f ca="1">+VLOOKUP($BG131,INDIRECT(Adrese!D$2),8,FALSE)</f>
        <v>8.9757829999999997E-2</v>
      </c>
      <c r="BK131" s="5">
        <f ca="1">+VLOOKUP($BG131,INDIRECT(Adrese!E$2),8,FALSE)</f>
        <v>8.9361112000000006E-2</v>
      </c>
      <c r="BL131" s="5">
        <f ca="1">+VLOOKUP($BG131,INDIRECT(Adrese!F$2),8,FALSE)</f>
        <v>8.9557610999999995E-2</v>
      </c>
      <c r="BM131" s="5" t="str">
        <f t="shared" ca="1" si="38"/>
        <v>0.09 (0.00)</v>
      </c>
      <c r="BN131" s="5">
        <f t="shared" ca="1" si="48"/>
        <v>8.955241819403395E-2</v>
      </c>
      <c r="BO131" s="5">
        <f t="shared" ca="1" si="39"/>
        <v>1.885185507032722E-4</v>
      </c>
      <c r="BQ131" t="s">
        <v>187</v>
      </c>
      <c r="BR131" s="5">
        <f ca="1">+VLOOKUP($BG131,INDIRECT(Adrese!B$2),9,FALSE)</f>
        <v>7.8857928204839958E-2</v>
      </c>
      <c r="BS131" s="5">
        <f ca="1">+VLOOKUP($BG131,INDIRECT(Adrese!C$2),9,FALSE)</f>
        <v>7.8748513000000006E-2</v>
      </c>
      <c r="BT131" s="5">
        <f ca="1">+VLOOKUP($BG131,INDIRECT(Adrese!D$2),9,FALSE)</f>
        <v>7.8622070000000002E-2</v>
      </c>
      <c r="BU131" s="5">
        <f ca="1">+VLOOKUP($BG131,INDIRECT(Adrese!E$2),9,FALSE)</f>
        <v>7.8621468E-2</v>
      </c>
      <c r="BV131" s="5">
        <f ca="1">+VLOOKUP($BG131,INDIRECT(Adrese!F$2),9,FALSE)</f>
        <v>7.8893623999999996E-2</v>
      </c>
      <c r="BW131" s="5" t="str">
        <f t="shared" ca="1" si="40"/>
        <v>0.08 (0.00)</v>
      </c>
      <c r="BX131" s="5">
        <f t="shared" ca="1" si="49"/>
        <v>7.8748720640967981E-2</v>
      </c>
      <c r="BY131" s="5">
        <f t="shared" ca="1" si="41"/>
        <v>1.2762928550229981E-4</v>
      </c>
    </row>
    <row r="132" spans="1:77" x14ac:dyDescent="0.25">
      <c r="A132" t="s">
        <v>188</v>
      </c>
      <c r="B132" s="12">
        <f ca="1">+VLOOKUP($A132,INDIRECT(Adrese!B$2),2,FALSE)</f>
        <v>130</v>
      </c>
      <c r="C132" s="12">
        <f ca="1">+VLOOKUP($A132,INDIRECT(Adrese!C$2),2,FALSE)</f>
        <v>139</v>
      </c>
      <c r="D132" s="12">
        <f ca="1">+VLOOKUP($A132,INDIRECT(Adrese!D$2),2,FALSE)</f>
        <v>130</v>
      </c>
      <c r="E132" s="12">
        <f ca="1">+VLOOKUP($A132,INDIRECT(Adrese!E$2),2,FALSE)</f>
        <v>133</v>
      </c>
      <c r="F132" s="12">
        <f ca="1">+VLOOKUP($A132,INDIRECT(Adrese!F$2),2,FALSE)</f>
        <v>138</v>
      </c>
      <c r="G132" s="5">
        <f t="shared" ca="1" si="42"/>
        <v>134</v>
      </c>
      <c r="H132" s="5">
        <f t="shared" ref="H132:H195" ca="1" si="50">+_xlfn.STDEV.S(B132:F132)</f>
        <v>4.3011626335213133</v>
      </c>
      <c r="J132" t="s">
        <v>188</v>
      </c>
      <c r="K132">
        <f ca="1">+VLOOKUP($A132,INDIRECT(Adrese!B$2),3,FALSE)</f>
        <v>53</v>
      </c>
      <c r="L132">
        <f ca="1">+VLOOKUP($A132,INDIRECT(Adrese!C$2),3,FALSE)</f>
        <v>65</v>
      </c>
      <c r="M132">
        <f ca="1">+VLOOKUP($A132,INDIRECT(Adrese!D$2),3,FALSE)</f>
        <v>63</v>
      </c>
      <c r="N132">
        <f ca="1">+VLOOKUP($A132,INDIRECT(Adrese!E$2),3,FALSE)</f>
        <v>61</v>
      </c>
      <c r="O132">
        <f ca="1">+VLOOKUP($A132,INDIRECT(Adrese!F$2),3,FALSE)</f>
        <v>71</v>
      </c>
      <c r="P132" s="5">
        <f t="shared" ca="1" si="43"/>
        <v>62.6</v>
      </c>
      <c r="Q132" s="5">
        <f t="shared" ref="Q132:Q195" ca="1" si="51">+_xlfn.STDEV.S(K132:O132)</f>
        <v>6.5421708935184499</v>
      </c>
      <c r="T132" t="s">
        <v>188</v>
      </c>
      <c r="U132">
        <f ca="1">+VLOOKUP($T132,INDIRECT(Adrese!B$2),4,FALSE)</f>
        <v>107164</v>
      </c>
      <c r="V132">
        <f ca="1">+VLOOKUP($T132,INDIRECT(Adrese!C$2),4,FALSE)</f>
        <v>104171</v>
      </c>
      <c r="W132">
        <f ca="1">+VLOOKUP($T132,INDIRECT(Adrese!D$2),4,FALSE)</f>
        <v>106762</v>
      </c>
      <c r="X132">
        <f ca="1">+VLOOKUP($T132,INDIRECT(Adrese!E$2),4,FALSE)</f>
        <v>106168</v>
      </c>
      <c r="Y132">
        <f ca="1">+VLOOKUP($T132,INDIRECT(Adrese!F$2),4,FALSE)</f>
        <v>104263</v>
      </c>
      <c r="Z132">
        <f t="shared" ref="Z132:Z195" ca="1" si="52">SUM(U132:Y132)</f>
        <v>528528</v>
      </c>
      <c r="AA132" s="5">
        <f t="shared" ca="1" si="44"/>
        <v>105705.60000000001</v>
      </c>
      <c r="AB132" s="5">
        <f t="shared" ref="AB132:AB195" ca="1" si="53">+_xlfn.STDEV.S(U132:Y132)</f>
        <v>1404.7079055803736</v>
      </c>
      <c r="AD132" t="s">
        <v>188</v>
      </c>
      <c r="AE132">
        <f ca="1">+VLOOKUP($A132,INDIRECT(Adrese!B$2),5,FALSE)</f>
        <v>30648</v>
      </c>
      <c r="AF132">
        <f ca="1">+VLOOKUP($A132,INDIRECT(Adrese!C$2),5,FALSE)</f>
        <v>29442</v>
      </c>
      <c r="AG132">
        <f ca="1">+VLOOKUP($A132,INDIRECT(Adrese!D$2),5,FALSE)</f>
        <v>29918</v>
      </c>
      <c r="AH132">
        <f ca="1">+VLOOKUP($A132,INDIRECT(Adrese!E$2),5,FALSE)</f>
        <v>30218</v>
      </c>
      <c r="AI132">
        <f ca="1">+VLOOKUP($A132,INDIRECT(Adrese!F$2),5,FALSE)</f>
        <v>29429</v>
      </c>
      <c r="AJ132" s="5">
        <f t="shared" ca="1" si="45"/>
        <v>29931</v>
      </c>
      <c r="AK132" s="5">
        <f t="shared" ref="AK132:AK195" ca="1" si="54">+_xlfn.STDEV.S(AE132:AI132)</f>
        <v>521.47674924199646</v>
      </c>
      <c r="AM132" t="s">
        <v>188</v>
      </c>
      <c r="AN132" s="5">
        <f ca="1">+VLOOKUP($A132,INDIRECT(Adrese!B$2),6,FALSE)</f>
        <v>0.67749999999999999</v>
      </c>
      <c r="AO132" s="5">
        <f ca="1">+VLOOKUP($A132,INDIRECT(Adrese!C$2),6,FALSE)</f>
        <v>0.64778761100000004</v>
      </c>
      <c r="AP132" s="5">
        <f ca="1">+VLOOKUP($A132,INDIRECT(Adrese!D$2),6,FALSE)</f>
        <v>0.66190265500000001</v>
      </c>
      <c r="AQ132" s="5">
        <f ca="1">+VLOOKUP($A132,INDIRECT(Adrese!E$2),6,FALSE)</f>
        <v>0.66411504399999999</v>
      </c>
      <c r="AR132" s="5">
        <f ca="1">+VLOOKUP($A132,INDIRECT(Adrese!F$2),6,FALSE)</f>
        <v>0.64785398199999999</v>
      </c>
      <c r="AS132" s="5" t="str">
        <f t="shared" ref="AS132:AS195" ca="1" si="55">TEXT(AT132,"0.00")&amp;" ("&amp;TEXT(AU132,"0.00")&amp;")"</f>
        <v>0.66 (0.01)</v>
      </c>
      <c r="AT132" s="5">
        <f t="shared" ca="1" si="46"/>
        <v>0.65983185840000003</v>
      </c>
      <c r="AU132" s="5">
        <f t="shared" ref="AU132:AU195" ca="1" si="56">+_xlfn.STDEV.S(AN132:AR132)</f>
        <v>1.248329407174196E-2</v>
      </c>
      <c r="AW132" t="s">
        <v>188</v>
      </c>
      <c r="AX132" s="5">
        <f ca="1">+VLOOKUP($A132,INDIRECT(Adrese!B$2),7,FALSE)</f>
        <v>0.76548672566371678</v>
      </c>
      <c r="AY132" s="5">
        <f ca="1">+VLOOKUP($A132,INDIRECT(Adrese!C$2),7,FALSE)</f>
        <v>0.71238938100000004</v>
      </c>
      <c r="AZ132" s="5">
        <f ca="1">+VLOOKUP($A132,INDIRECT(Adrese!D$2),7,FALSE)</f>
        <v>0.72123893800000005</v>
      </c>
      <c r="BA132" s="5">
        <f ca="1">+VLOOKUP($A132,INDIRECT(Adrese!E$2),7,FALSE)</f>
        <v>0.73008849600000003</v>
      </c>
      <c r="BB132" s="5">
        <f ca="1">+VLOOKUP($A132,INDIRECT(Adrese!F$2),7,FALSE)</f>
        <v>0.68584070799999997</v>
      </c>
      <c r="BC132" s="5" t="str">
        <f t="shared" ref="BC132:BC195" ca="1" si="57">TEXT(BD132,"0.00")&amp;" ("&amp;TEXT(BE132,"0.00")&amp;")"</f>
        <v>0.72 (0.03)</v>
      </c>
      <c r="BD132">
        <f t="shared" ca="1" si="47"/>
        <v>0.72300884973274326</v>
      </c>
      <c r="BE132" s="5">
        <f t="shared" ref="BE132:BE195" ca="1" si="58">+_xlfn.STDEV.S(AX132:BB132)</f>
        <v>2.8947658793283135E-2</v>
      </c>
      <c r="BG132" t="s">
        <v>188</v>
      </c>
      <c r="BH132" s="5">
        <f ca="1">+VLOOKUP($BG132,INDIRECT(Adrese!B$2),8,FALSE)</f>
        <v>6.810637108598154E-2</v>
      </c>
      <c r="BI132" s="5">
        <f ca="1">+VLOOKUP($BG132,INDIRECT(Adrese!C$2),8,FALSE)</f>
        <v>6.5501867000000005E-2</v>
      </c>
      <c r="BJ132" s="5">
        <f ca="1">+VLOOKUP($BG132,INDIRECT(Adrese!D$2),8,FALSE)</f>
        <v>6.6575026999999995E-2</v>
      </c>
      <c r="BK132" s="5">
        <f ca="1">+VLOOKUP($BG132,INDIRECT(Adrese!E$2),8,FALSE)</f>
        <v>6.6872185000000001E-2</v>
      </c>
      <c r="BL132" s="5">
        <f ca="1">+VLOOKUP($BG132,INDIRECT(Adrese!F$2),8,FALSE)</f>
        <v>6.5461116999999999E-2</v>
      </c>
      <c r="BM132" s="5" t="str">
        <f t="shared" ref="BM132:BM195" ca="1" si="59">TEXT(BN132,"0.00")&amp;" ("&amp;TEXT(BO132,"0.00")&amp;")"</f>
        <v>0.07 (0.00)</v>
      </c>
      <c r="BN132" s="5">
        <f t="shared" ca="1" si="48"/>
        <v>6.6503313417196314E-2</v>
      </c>
      <c r="BO132" s="5">
        <f t="shared" ref="BO132:BO195" ca="1" si="60">+_xlfn.STDEV.S(BH132:BL132)</f>
        <v>1.0954532475808724E-3</v>
      </c>
      <c r="BQ132" t="s">
        <v>188</v>
      </c>
      <c r="BR132" s="5">
        <f ca="1">+VLOOKUP($BG132,INDIRECT(Adrese!B$2),9,FALSE)</f>
        <v>6.0774282628842442E-2</v>
      </c>
      <c r="BS132" s="5">
        <f ca="1">+VLOOKUP($BG132,INDIRECT(Adrese!C$2),9,FALSE)</f>
        <v>5.3262080000000003E-2</v>
      </c>
      <c r="BT132" s="5">
        <f ca="1">+VLOOKUP($BG132,INDIRECT(Adrese!D$2),9,FALSE)</f>
        <v>5.8887795E-2</v>
      </c>
      <c r="BU132" s="5">
        <f ca="1">+VLOOKUP($BG132,INDIRECT(Adrese!E$2),9,FALSE)</f>
        <v>5.6944244999999998E-2</v>
      </c>
      <c r="BV132" s="5">
        <f ca="1">+VLOOKUP($BG132,INDIRECT(Adrese!F$2),9,FALSE)</f>
        <v>5.4009548999999997E-2</v>
      </c>
      <c r="BW132" s="5" t="str">
        <f t="shared" ref="BW132:BW195" ca="1" si="61">TEXT(BX132,"0.00")&amp;" ("&amp;TEXT(BY132,"0.00")&amp;")"</f>
        <v>0.06 (0.00)</v>
      </c>
      <c r="BX132" s="5">
        <f t="shared" ca="1" si="49"/>
        <v>5.6775590325768489E-2</v>
      </c>
      <c r="BY132" s="5">
        <f t="shared" ref="BY132:BY195" ca="1" si="62">+_xlfn.STDEV.S(BR132:BV132)</f>
        <v>3.1810034794381055E-3</v>
      </c>
    </row>
    <row r="133" spans="1:77" x14ac:dyDescent="0.25">
      <c r="A133" t="s">
        <v>189</v>
      </c>
      <c r="B133" s="12">
        <f ca="1">+VLOOKUP($A133,INDIRECT(Adrese!B$2),2,FALSE)</f>
        <v>131</v>
      </c>
      <c r="C133" s="12">
        <f ca="1">+VLOOKUP($A133,INDIRECT(Adrese!C$2),2,FALSE)</f>
        <v>137</v>
      </c>
      <c r="D133" s="12">
        <f ca="1">+VLOOKUP($A133,INDIRECT(Adrese!D$2),2,FALSE)</f>
        <v>131</v>
      </c>
      <c r="E133" s="12">
        <f ca="1">+VLOOKUP($A133,INDIRECT(Adrese!E$2),2,FALSE)</f>
        <v>137</v>
      </c>
      <c r="F133" s="12">
        <f ca="1">+VLOOKUP($A133,INDIRECT(Adrese!F$2),2,FALSE)</f>
        <v>132</v>
      </c>
      <c r="G133" s="5">
        <f t="shared" ca="1" si="42"/>
        <v>133.6</v>
      </c>
      <c r="H133" s="5">
        <f t="shared" ca="1" si="50"/>
        <v>3.1304951684997055</v>
      </c>
      <c r="J133" t="s">
        <v>189</v>
      </c>
      <c r="K133">
        <f ca="1">+VLOOKUP($A133,INDIRECT(Adrese!B$2),3,FALSE)</f>
        <v>48</v>
      </c>
      <c r="L133">
        <f ca="1">+VLOOKUP($A133,INDIRECT(Adrese!C$2),3,FALSE)</f>
        <v>47</v>
      </c>
      <c r="M133">
        <f ca="1">+VLOOKUP($A133,INDIRECT(Adrese!D$2),3,FALSE)</f>
        <v>47</v>
      </c>
      <c r="N133">
        <f ca="1">+VLOOKUP($A133,INDIRECT(Adrese!E$2),3,FALSE)</f>
        <v>47</v>
      </c>
      <c r="O133">
        <f ca="1">+VLOOKUP($A133,INDIRECT(Adrese!F$2),3,FALSE)</f>
        <v>51</v>
      </c>
      <c r="P133" s="5">
        <f t="shared" ca="1" si="43"/>
        <v>48</v>
      </c>
      <c r="Q133" s="5">
        <f t="shared" ca="1" si="51"/>
        <v>1.7320508075688772</v>
      </c>
      <c r="T133" t="s">
        <v>189</v>
      </c>
      <c r="U133">
        <f ca="1">+VLOOKUP($T133,INDIRECT(Adrese!B$2),4,FALSE)</f>
        <v>106968</v>
      </c>
      <c r="V133">
        <f ca="1">+VLOOKUP($T133,INDIRECT(Adrese!C$2),4,FALSE)</f>
        <v>105458</v>
      </c>
      <c r="W133">
        <f ca="1">+VLOOKUP($T133,INDIRECT(Adrese!D$2),4,FALSE)</f>
        <v>106695</v>
      </c>
      <c r="X133">
        <f ca="1">+VLOOKUP($T133,INDIRECT(Adrese!E$2),4,FALSE)</f>
        <v>105596</v>
      </c>
      <c r="Y133">
        <f ca="1">+VLOOKUP($T133,INDIRECT(Adrese!F$2),4,FALSE)</f>
        <v>106478</v>
      </c>
      <c r="Z133">
        <f t="shared" ca="1" si="52"/>
        <v>531195</v>
      </c>
      <c r="AA133" s="5">
        <f t="shared" ca="1" si="44"/>
        <v>106239</v>
      </c>
      <c r="AB133" s="5">
        <f t="shared" ca="1" si="53"/>
        <v>674.51982921186243</v>
      </c>
      <c r="AD133" t="s">
        <v>189</v>
      </c>
      <c r="AE133">
        <f ca="1">+VLOOKUP($A133,INDIRECT(Adrese!B$2),5,FALSE)</f>
        <v>34703</v>
      </c>
      <c r="AF133">
        <f ca="1">+VLOOKUP($A133,INDIRECT(Adrese!C$2),5,FALSE)</f>
        <v>34940</v>
      </c>
      <c r="AG133">
        <f ca="1">+VLOOKUP($A133,INDIRECT(Adrese!D$2),5,FALSE)</f>
        <v>34873</v>
      </c>
      <c r="AH133">
        <f ca="1">+VLOOKUP($A133,INDIRECT(Adrese!E$2),5,FALSE)</f>
        <v>34979</v>
      </c>
      <c r="AI133">
        <f ca="1">+VLOOKUP($A133,INDIRECT(Adrese!F$2),5,FALSE)</f>
        <v>34818</v>
      </c>
      <c r="AJ133" s="5">
        <f t="shared" ca="1" si="45"/>
        <v>34862.6</v>
      </c>
      <c r="AK133" s="5">
        <f t="shared" ca="1" si="54"/>
        <v>108.52326939417186</v>
      </c>
      <c r="AM133" t="s">
        <v>189</v>
      </c>
      <c r="AN133" s="5">
        <f ca="1">+VLOOKUP($A133,INDIRECT(Adrese!B$2),6,FALSE)</f>
        <v>0.76338495575221244</v>
      </c>
      <c r="AO133" s="5">
        <f ca="1">+VLOOKUP($A133,INDIRECT(Adrese!C$2),6,FALSE)</f>
        <v>0.76862831899999995</v>
      </c>
      <c r="AP133" s="5">
        <f ca="1">+VLOOKUP($A133,INDIRECT(Adrese!D$2),6,FALSE)</f>
        <v>0.76714601800000004</v>
      </c>
      <c r="AQ133" s="5">
        <f ca="1">+VLOOKUP($A133,INDIRECT(Adrese!E$2),6,FALSE)</f>
        <v>0.76949115000000001</v>
      </c>
      <c r="AR133" s="5">
        <f ca="1">+VLOOKUP($A133,INDIRECT(Adrese!F$2),6,FALSE)</f>
        <v>0.76592920399999997</v>
      </c>
      <c r="AS133" s="5" t="str">
        <f t="shared" ca="1" si="55"/>
        <v>0.77 (0.00)</v>
      </c>
      <c r="AT133" s="5">
        <f t="shared" ca="1" si="46"/>
        <v>0.76691592935044239</v>
      </c>
      <c r="AU133" s="5">
        <f t="shared" ca="1" si="56"/>
        <v>2.4009572029233366E-3</v>
      </c>
      <c r="AW133" t="s">
        <v>189</v>
      </c>
      <c r="AX133" s="5">
        <f ca="1">+VLOOKUP($A133,INDIRECT(Adrese!B$2),7,FALSE)</f>
        <v>0.78761061946902655</v>
      </c>
      <c r="AY133" s="5">
        <f ca="1">+VLOOKUP($A133,INDIRECT(Adrese!C$2),7,FALSE)</f>
        <v>0.792035398</v>
      </c>
      <c r="AZ133" s="5">
        <f ca="1">+VLOOKUP($A133,INDIRECT(Adrese!D$2),7,FALSE)</f>
        <v>0.792035398</v>
      </c>
      <c r="BA133" s="5">
        <f ca="1">+VLOOKUP($A133,INDIRECT(Adrese!E$2),7,FALSE)</f>
        <v>0.792035398</v>
      </c>
      <c r="BB133" s="5">
        <f ca="1">+VLOOKUP($A133,INDIRECT(Adrese!F$2),7,FALSE)</f>
        <v>0.77433628300000001</v>
      </c>
      <c r="BC133" s="5" t="str">
        <f t="shared" ca="1" si="57"/>
        <v>0.79 (0.01)</v>
      </c>
      <c r="BD133">
        <f t="shared" ca="1" si="47"/>
        <v>0.78761061929380527</v>
      </c>
      <c r="BE133" s="5">
        <f t="shared" ca="1" si="58"/>
        <v>7.6639416072511023E-3</v>
      </c>
      <c r="BG133" t="s">
        <v>189</v>
      </c>
      <c r="BH133" s="5">
        <f ca="1">+VLOOKUP($BG133,INDIRECT(Adrese!B$2),8,FALSE)</f>
        <v>7.0344929020909205E-2</v>
      </c>
      <c r="BI133" s="5">
        <f ca="1">+VLOOKUP($BG133,INDIRECT(Adrese!C$2),8,FALSE)</f>
        <v>7.0843852999999998E-2</v>
      </c>
      <c r="BJ133" s="5">
        <f ca="1">+VLOOKUP($BG133,INDIRECT(Adrese!D$2),8,FALSE)</f>
        <v>7.0651739000000005E-2</v>
      </c>
      <c r="BK133" s="5">
        <f ca="1">+VLOOKUP($BG133,INDIRECT(Adrese!E$2),8,FALSE)</f>
        <v>7.0923446000000001E-2</v>
      </c>
      <c r="BL133" s="5">
        <f ca="1">+VLOOKUP($BG133,INDIRECT(Adrese!F$2),8,FALSE)</f>
        <v>7.0720809999999995E-2</v>
      </c>
      <c r="BM133" s="5" t="str">
        <f t="shared" ca="1" si="59"/>
        <v>0.07 (0.00)</v>
      </c>
      <c r="BN133" s="5">
        <f t="shared" ca="1" si="48"/>
        <v>7.0696955404181833E-2</v>
      </c>
      <c r="BO133" s="5">
        <f t="shared" ca="1" si="60"/>
        <v>2.2327843218726648E-4</v>
      </c>
      <c r="BQ133" t="s">
        <v>189</v>
      </c>
      <c r="BR133" s="5">
        <f ca="1">+VLOOKUP($BG133,INDIRECT(Adrese!B$2),9,FALSE)</f>
        <v>5.0217539055629569E-2</v>
      </c>
      <c r="BS133" s="5">
        <f ca="1">+VLOOKUP($BG133,INDIRECT(Adrese!C$2),9,FALSE)</f>
        <v>5.0714834E-2</v>
      </c>
      <c r="BT133" s="5">
        <f ca="1">+VLOOKUP($BG133,INDIRECT(Adrese!D$2),9,FALSE)</f>
        <v>4.9957374999999998E-2</v>
      </c>
      <c r="BU133" s="5">
        <f ca="1">+VLOOKUP($BG133,INDIRECT(Adrese!E$2),9,FALSE)</f>
        <v>5.0872672000000001E-2</v>
      </c>
      <c r="BV133" s="5">
        <f ca="1">+VLOOKUP($BG133,INDIRECT(Adrese!F$2),9,FALSE)</f>
        <v>5.0504658000000001E-2</v>
      </c>
      <c r="BW133" s="5" t="str">
        <f t="shared" ca="1" si="61"/>
        <v>0.05 (0.00)</v>
      </c>
      <c r="BX133" s="5">
        <f t="shared" ca="1" si="49"/>
        <v>5.0453415611125915E-2</v>
      </c>
      <c r="BY133" s="5">
        <f t="shared" ca="1" si="62"/>
        <v>3.7028209293381233E-4</v>
      </c>
    </row>
    <row r="134" spans="1:77" x14ac:dyDescent="0.25">
      <c r="A134" t="s">
        <v>190</v>
      </c>
      <c r="B134" s="12">
        <f ca="1">+VLOOKUP($A134,INDIRECT(Adrese!B$2),2,FALSE)</f>
        <v>132</v>
      </c>
      <c r="C134" s="12">
        <f ca="1">+VLOOKUP($A134,INDIRECT(Adrese!C$2),2,FALSE)</f>
        <v>131</v>
      </c>
      <c r="D134" s="12">
        <f ca="1">+VLOOKUP($A134,INDIRECT(Adrese!D$2),2,FALSE)</f>
        <v>132</v>
      </c>
      <c r="E134" s="12">
        <f ca="1">+VLOOKUP($A134,INDIRECT(Adrese!E$2),2,FALSE)</f>
        <v>129</v>
      </c>
      <c r="F134" s="12">
        <f ca="1">+VLOOKUP($A134,INDIRECT(Adrese!F$2),2,FALSE)</f>
        <v>131</v>
      </c>
      <c r="G134" s="5">
        <f t="shared" ca="1" si="42"/>
        <v>131</v>
      </c>
      <c r="H134" s="5">
        <f t="shared" ca="1" si="50"/>
        <v>1.2247448713915889</v>
      </c>
      <c r="J134" t="s">
        <v>190</v>
      </c>
      <c r="K134">
        <f ca="1">+VLOOKUP($A134,INDIRECT(Adrese!B$2),3,FALSE)</f>
        <v>53</v>
      </c>
      <c r="L134">
        <f ca="1">+VLOOKUP($A134,INDIRECT(Adrese!C$2),3,FALSE)</f>
        <v>57</v>
      </c>
      <c r="M134">
        <f ca="1">+VLOOKUP($A134,INDIRECT(Adrese!D$2),3,FALSE)</f>
        <v>52</v>
      </c>
      <c r="N134">
        <f ca="1">+VLOOKUP($A134,INDIRECT(Adrese!E$2),3,FALSE)</f>
        <v>53</v>
      </c>
      <c r="O134">
        <f ca="1">+VLOOKUP($A134,INDIRECT(Adrese!F$2),3,FALSE)</f>
        <v>59</v>
      </c>
      <c r="P134" s="5">
        <f t="shared" ca="1" si="43"/>
        <v>54.8</v>
      </c>
      <c r="Q134" s="5">
        <f t="shared" ca="1" si="51"/>
        <v>3.03315017762062</v>
      </c>
      <c r="T134" t="s">
        <v>190</v>
      </c>
      <c r="U134">
        <f ca="1">+VLOOKUP($T134,INDIRECT(Adrese!B$2),4,FALSE)</f>
        <v>106643</v>
      </c>
      <c r="V134">
        <f ca="1">+VLOOKUP($T134,INDIRECT(Adrese!C$2),4,FALSE)</f>
        <v>106284</v>
      </c>
      <c r="W134">
        <f ca="1">+VLOOKUP($T134,INDIRECT(Adrese!D$2),4,FALSE)</f>
        <v>106519</v>
      </c>
      <c r="X134">
        <f ca="1">+VLOOKUP($T134,INDIRECT(Adrese!E$2),4,FALSE)</f>
        <v>106974</v>
      </c>
      <c r="Y134">
        <f ca="1">+VLOOKUP($T134,INDIRECT(Adrese!F$2),4,FALSE)</f>
        <v>106567</v>
      </c>
      <c r="Z134">
        <f t="shared" ca="1" si="52"/>
        <v>532987</v>
      </c>
      <c r="AA134" s="5">
        <f t="shared" ca="1" si="44"/>
        <v>106597.4</v>
      </c>
      <c r="AB134" s="5">
        <f t="shared" ca="1" si="53"/>
        <v>249.5982772376444</v>
      </c>
      <c r="AD134" t="s">
        <v>190</v>
      </c>
      <c r="AE134">
        <f ca="1">+VLOOKUP($A134,INDIRECT(Adrese!B$2),5,FALSE)</f>
        <v>26352</v>
      </c>
      <c r="AF134">
        <f ca="1">+VLOOKUP($A134,INDIRECT(Adrese!C$2),5,FALSE)</f>
        <v>25926</v>
      </c>
      <c r="AG134">
        <f ca="1">+VLOOKUP($A134,INDIRECT(Adrese!D$2),5,FALSE)</f>
        <v>26152</v>
      </c>
      <c r="AH134">
        <f ca="1">+VLOOKUP($A134,INDIRECT(Adrese!E$2),5,FALSE)</f>
        <v>26243</v>
      </c>
      <c r="AI134">
        <f ca="1">+VLOOKUP($A134,INDIRECT(Adrese!F$2),5,FALSE)</f>
        <v>25903</v>
      </c>
      <c r="AJ134" s="5">
        <f t="shared" ca="1" si="45"/>
        <v>26115.200000000001</v>
      </c>
      <c r="AK134" s="5">
        <f t="shared" ca="1" si="54"/>
        <v>196.58763948936362</v>
      </c>
      <c r="AM134" t="s">
        <v>190</v>
      </c>
      <c r="AN134" s="5">
        <f ca="1">+VLOOKUP($A134,INDIRECT(Adrese!B$2),6,FALSE)</f>
        <v>0.57860619469026553</v>
      </c>
      <c r="AO134" s="5">
        <f ca="1">+VLOOKUP($A134,INDIRECT(Adrese!C$2),6,FALSE)</f>
        <v>0.56918141600000005</v>
      </c>
      <c r="AP134" s="5">
        <f ca="1">+VLOOKUP($A134,INDIRECT(Adrese!D$2),6,FALSE)</f>
        <v>0.57418141599999994</v>
      </c>
      <c r="AQ134" s="5">
        <f ca="1">+VLOOKUP($A134,INDIRECT(Adrese!E$2),6,FALSE)</f>
        <v>0.57619469000000001</v>
      </c>
      <c r="AR134" s="5">
        <f ca="1">+VLOOKUP($A134,INDIRECT(Adrese!F$2),6,FALSE)</f>
        <v>0.56867256600000005</v>
      </c>
      <c r="AS134" s="5" t="str">
        <f t="shared" ca="1" si="55"/>
        <v>0.57 (0.00)</v>
      </c>
      <c r="AT134" s="5">
        <f t="shared" ca="1" si="46"/>
        <v>0.57336725653805309</v>
      </c>
      <c r="AU134" s="5">
        <f t="shared" ca="1" si="56"/>
        <v>4.3492841029304681E-3</v>
      </c>
      <c r="AW134" t="s">
        <v>190</v>
      </c>
      <c r="AX134" s="5">
        <f ca="1">+VLOOKUP($A134,INDIRECT(Adrese!B$2),7,FALSE)</f>
        <v>0.76548672566371678</v>
      </c>
      <c r="AY134" s="5">
        <f ca="1">+VLOOKUP($A134,INDIRECT(Adrese!C$2),7,FALSE)</f>
        <v>0.74778761100000002</v>
      </c>
      <c r="AZ134" s="5">
        <f ca="1">+VLOOKUP($A134,INDIRECT(Adrese!D$2),7,FALSE)</f>
        <v>0.76991150399999997</v>
      </c>
      <c r="BA134" s="5">
        <f ca="1">+VLOOKUP($A134,INDIRECT(Adrese!E$2),7,FALSE)</f>
        <v>0.76548672600000001</v>
      </c>
      <c r="BB134" s="5">
        <f ca="1">+VLOOKUP($A134,INDIRECT(Adrese!F$2),7,FALSE)</f>
        <v>0.73893805300000004</v>
      </c>
      <c r="BC134" s="5" t="str">
        <f t="shared" ca="1" si="57"/>
        <v>0.76 (0.01)</v>
      </c>
      <c r="BD134">
        <f t="shared" ca="1" si="47"/>
        <v>0.75752212393274332</v>
      </c>
      <c r="BE134" s="5">
        <f t="shared" ca="1" si="58"/>
        <v>1.3421018401603244E-2</v>
      </c>
      <c r="BG134" t="s">
        <v>190</v>
      </c>
      <c r="BH134" s="5">
        <f ca="1">+VLOOKUP($BG134,INDIRECT(Adrese!B$2),8,FALSE)</f>
        <v>5.8972711028408391E-2</v>
      </c>
      <c r="BI134" s="5">
        <f ca="1">+VLOOKUP($BG134,INDIRECT(Adrese!C$2),8,FALSE)</f>
        <v>5.8096652999999998E-2</v>
      </c>
      <c r="BJ134" s="5">
        <f ca="1">+VLOOKUP($BG134,INDIRECT(Adrese!D$2),8,FALSE)</f>
        <v>5.8369814999999999E-2</v>
      </c>
      <c r="BK134" s="5">
        <f ca="1">+VLOOKUP($BG134,INDIRECT(Adrese!E$2),8,FALSE)</f>
        <v>5.8540782E-2</v>
      </c>
      <c r="BL134" s="5">
        <f ca="1">+VLOOKUP($BG134,INDIRECT(Adrese!F$2),8,FALSE)</f>
        <v>5.8080715999999998E-2</v>
      </c>
      <c r="BM134" s="5" t="str">
        <f t="shared" ca="1" si="59"/>
        <v>0.06 (0.00)</v>
      </c>
      <c r="BN134" s="5">
        <f t="shared" ca="1" si="48"/>
        <v>5.8412135405681673E-2</v>
      </c>
      <c r="BO134" s="5">
        <f t="shared" ca="1" si="60"/>
        <v>3.6808761270902101E-4</v>
      </c>
      <c r="BQ134" t="s">
        <v>190</v>
      </c>
      <c r="BR134" s="5">
        <f ca="1">+VLOOKUP($BG134,INDIRECT(Adrese!B$2),9,FALSE)</f>
        <v>4.0086386651623958E-2</v>
      </c>
      <c r="BS134" s="5">
        <f ca="1">+VLOOKUP($BG134,INDIRECT(Adrese!C$2),9,FALSE)</f>
        <v>3.8700149000000003E-2</v>
      </c>
      <c r="BT134" s="5">
        <f ca="1">+VLOOKUP($BG134,INDIRECT(Adrese!D$2),9,FALSE)</f>
        <v>3.8088083000000002E-2</v>
      </c>
      <c r="BU134" s="5">
        <f ca="1">+VLOOKUP($BG134,INDIRECT(Adrese!E$2),9,FALSE)</f>
        <v>3.8854990999999998E-2</v>
      </c>
      <c r="BV134" s="5">
        <f ca="1">+VLOOKUP($BG134,INDIRECT(Adrese!F$2),9,FALSE)</f>
        <v>3.8110528999999997E-2</v>
      </c>
      <c r="BW134" s="5" t="str">
        <f t="shared" ca="1" si="61"/>
        <v>0.04 (0.00)</v>
      </c>
      <c r="BX134" s="5">
        <f t="shared" ca="1" si="49"/>
        <v>3.8768027730324797E-2</v>
      </c>
      <c r="BY134" s="5">
        <f t="shared" ca="1" si="62"/>
        <v>8.1315278305300312E-4</v>
      </c>
    </row>
    <row r="135" spans="1:77" x14ac:dyDescent="0.25">
      <c r="A135" t="s">
        <v>191</v>
      </c>
      <c r="B135" s="12">
        <f ca="1">+VLOOKUP($A135,INDIRECT(Adrese!B$2),2,FALSE)</f>
        <v>133</v>
      </c>
      <c r="C135" s="12">
        <f ca="1">+VLOOKUP($A135,INDIRECT(Adrese!C$2),2,FALSE)</f>
        <v>127</v>
      </c>
      <c r="D135" s="12">
        <f ca="1">+VLOOKUP($A135,INDIRECT(Adrese!D$2),2,FALSE)</f>
        <v>129</v>
      </c>
      <c r="E135" s="12">
        <f ca="1">+VLOOKUP($A135,INDIRECT(Adrese!E$2),2,FALSE)</f>
        <v>131</v>
      </c>
      <c r="F135" s="12">
        <f ca="1">+VLOOKUP($A135,INDIRECT(Adrese!F$2),2,FALSE)</f>
        <v>130</v>
      </c>
      <c r="G135" s="5">
        <f t="shared" ca="1" si="42"/>
        <v>130</v>
      </c>
      <c r="H135" s="5">
        <f t="shared" ca="1" si="50"/>
        <v>2.2360679774997898</v>
      </c>
      <c r="J135" t="s">
        <v>191</v>
      </c>
      <c r="K135">
        <f ca="1">+VLOOKUP($A135,INDIRECT(Adrese!B$2),3,FALSE)</f>
        <v>52</v>
      </c>
      <c r="L135">
        <f ca="1">+VLOOKUP($A135,INDIRECT(Adrese!C$2),3,FALSE)</f>
        <v>56</v>
      </c>
      <c r="M135">
        <f ca="1">+VLOOKUP($A135,INDIRECT(Adrese!D$2),3,FALSE)</f>
        <v>56</v>
      </c>
      <c r="N135">
        <f ca="1">+VLOOKUP($A135,INDIRECT(Adrese!E$2),3,FALSE)</f>
        <v>54</v>
      </c>
      <c r="O135">
        <f ca="1">+VLOOKUP($A135,INDIRECT(Adrese!F$2),3,FALSE)</f>
        <v>59</v>
      </c>
      <c r="P135" s="5">
        <f t="shared" ca="1" si="43"/>
        <v>55.4</v>
      </c>
      <c r="Q135" s="5">
        <f t="shared" ca="1" si="51"/>
        <v>2.6076809620810595</v>
      </c>
      <c r="T135" t="s">
        <v>191</v>
      </c>
      <c r="U135">
        <f ca="1">+VLOOKUP($T135,INDIRECT(Adrese!B$2),4,FALSE)</f>
        <v>106444</v>
      </c>
      <c r="V135">
        <f ca="1">+VLOOKUP($T135,INDIRECT(Adrese!C$2),4,FALSE)</f>
        <v>107070</v>
      </c>
      <c r="W135">
        <f ca="1">+VLOOKUP($T135,INDIRECT(Adrese!D$2),4,FALSE)</f>
        <v>107290</v>
      </c>
      <c r="X135">
        <f ca="1">+VLOOKUP($T135,INDIRECT(Adrese!E$2),4,FALSE)</f>
        <v>106851</v>
      </c>
      <c r="Y135">
        <f ca="1">+VLOOKUP($T135,INDIRECT(Adrese!F$2),4,FALSE)</f>
        <v>107218</v>
      </c>
      <c r="Z135">
        <f t="shared" ca="1" si="52"/>
        <v>534873</v>
      </c>
      <c r="AA135" s="5">
        <f t="shared" ca="1" si="44"/>
        <v>106974.6</v>
      </c>
      <c r="AB135" s="5">
        <f t="shared" ca="1" si="53"/>
        <v>340.82077401473049</v>
      </c>
      <c r="AD135" t="s">
        <v>191</v>
      </c>
      <c r="AE135">
        <f ca="1">+VLOOKUP($A135,INDIRECT(Adrese!B$2),5,FALSE)</f>
        <v>26291</v>
      </c>
      <c r="AF135">
        <f ca="1">+VLOOKUP($A135,INDIRECT(Adrese!C$2),5,FALSE)</f>
        <v>26381</v>
      </c>
      <c r="AG135">
        <f ca="1">+VLOOKUP($A135,INDIRECT(Adrese!D$2),5,FALSE)</f>
        <v>26307</v>
      </c>
      <c r="AH135">
        <f ca="1">+VLOOKUP($A135,INDIRECT(Adrese!E$2),5,FALSE)</f>
        <v>26255</v>
      </c>
      <c r="AI135">
        <f ca="1">+VLOOKUP($A135,INDIRECT(Adrese!F$2),5,FALSE)</f>
        <v>26157</v>
      </c>
      <c r="AJ135" s="5">
        <f t="shared" ca="1" si="45"/>
        <v>26278.2</v>
      </c>
      <c r="AK135" s="5">
        <f t="shared" ca="1" si="54"/>
        <v>81.836422209185073</v>
      </c>
      <c r="AM135" t="s">
        <v>191</v>
      </c>
      <c r="AN135" s="5">
        <f ca="1">+VLOOKUP($A135,INDIRECT(Adrese!B$2),6,FALSE)</f>
        <v>0.57725663716814157</v>
      </c>
      <c r="AO135" s="5">
        <f ca="1">+VLOOKUP($A135,INDIRECT(Adrese!C$2),6,FALSE)</f>
        <v>0.57924778799999999</v>
      </c>
      <c r="AP135" s="5">
        <f ca="1">+VLOOKUP($A135,INDIRECT(Adrese!D$2),6,FALSE)</f>
        <v>0.57761061899999999</v>
      </c>
      <c r="AQ135" s="5">
        <f ca="1">+VLOOKUP($A135,INDIRECT(Adrese!E$2),6,FALSE)</f>
        <v>0.57646017699999996</v>
      </c>
      <c r="AR135" s="5">
        <f ca="1">+VLOOKUP($A135,INDIRECT(Adrese!F$2),6,FALSE)</f>
        <v>0.57429203500000003</v>
      </c>
      <c r="AS135" s="5" t="str">
        <f t="shared" ca="1" si="55"/>
        <v>0.58 (0.00)</v>
      </c>
      <c r="AT135" s="5">
        <f t="shared" ca="1" si="46"/>
        <v>0.57697345123362831</v>
      </c>
      <c r="AU135" s="5">
        <f t="shared" ca="1" si="56"/>
        <v>1.8105405421966678E-3</v>
      </c>
      <c r="AW135" t="s">
        <v>191</v>
      </c>
      <c r="AX135" s="5">
        <f ca="1">+VLOOKUP($A135,INDIRECT(Adrese!B$2),7,FALSE)</f>
        <v>0.76991150442477874</v>
      </c>
      <c r="AY135" s="5">
        <f ca="1">+VLOOKUP($A135,INDIRECT(Adrese!C$2),7,FALSE)</f>
        <v>0.75221238899999998</v>
      </c>
      <c r="AZ135" s="5">
        <f ca="1">+VLOOKUP($A135,INDIRECT(Adrese!D$2),7,FALSE)</f>
        <v>0.75221238899999998</v>
      </c>
      <c r="BA135" s="5">
        <f ca="1">+VLOOKUP($A135,INDIRECT(Adrese!E$2),7,FALSE)</f>
        <v>0.76106194699999996</v>
      </c>
      <c r="BB135" s="5">
        <f ca="1">+VLOOKUP($A135,INDIRECT(Adrese!F$2),7,FALSE)</f>
        <v>0.73893805300000004</v>
      </c>
      <c r="BC135" s="5" t="str">
        <f t="shared" ca="1" si="57"/>
        <v>0.75 (0.01)</v>
      </c>
      <c r="BD135">
        <f t="shared" ca="1" si="47"/>
        <v>0.75486725648495567</v>
      </c>
      <c r="BE135" s="5">
        <f t="shared" ca="1" si="58"/>
        <v>1.1538411427082616E-2</v>
      </c>
      <c r="BG135" t="s">
        <v>191</v>
      </c>
      <c r="BH135" s="5">
        <f ca="1">+VLOOKUP($BG135,INDIRECT(Adrese!B$2),8,FALSE)</f>
        <v>5.8871514169398918E-2</v>
      </c>
      <c r="BI135" s="5">
        <f ca="1">+VLOOKUP($BG135,INDIRECT(Adrese!C$2),8,FALSE)</f>
        <v>5.8944376999999999E-2</v>
      </c>
      <c r="BJ135" s="5">
        <f ca="1">+VLOOKUP($BG135,INDIRECT(Adrese!D$2),8,FALSE)</f>
        <v>5.8648525E-2</v>
      </c>
      <c r="BK135" s="5">
        <f ca="1">+VLOOKUP($BG135,INDIRECT(Adrese!E$2),8,FALSE)</f>
        <v>5.8570286999999999E-2</v>
      </c>
      <c r="BL135" s="5">
        <f ca="1">+VLOOKUP($BG135,INDIRECT(Adrese!F$2),8,FALSE)</f>
        <v>5.8604740000000002E-2</v>
      </c>
      <c r="BM135" s="5" t="str">
        <f t="shared" ca="1" si="59"/>
        <v>0.06 (0.00)</v>
      </c>
      <c r="BN135" s="5">
        <f t="shared" ca="1" si="48"/>
        <v>5.8727888633879788E-2</v>
      </c>
      <c r="BO135" s="5">
        <f t="shared" ca="1" si="60"/>
        <v>1.6866976205680528E-4</v>
      </c>
      <c r="BQ135" t="s">
        <v>191</v>
      </c>
      <c r="BR135" s="5">
        <f ca="1">+VLOOKUP($BG135,INDIRECT(Adrese!B$2),9,FALSE)</f>
        <v>3.9995789915180879E-2</v>
      </c>
      <c r="BS135" s="5">
        <f ca="1">+VLOOKUP($BG135,INDIRECT(Adrese!C$2),9,FALSE)</f>
        <v>3.9392112E-2</v>
      </c>
      <c r="BT135" s="5">
        <f ca="1">+VLOOKUP($BG135,INDIRECT(Adrese!D$2),9,FALSE)</f>
        <v>3.8530160000000001E-2</v>
      </c>
      <c r="BU135" s="5">
        <f ca="1">+VLOOKUP($BG135,INDIRECT(Adrese!E$2),9,FALSE)</f>
        <v>3.8617391000000001E-2</v>
      </c>
      <c r="BV135" s="5">
        <f ca="1">+VLOOKUP($BG135,INDIRECT(Adrese!F$2),9,FALSE)</f>
        <v>3.9069064000000001E-2</v>
      </c>
      <c r="BW135" s="5" t="str">
        <f t="shared" ca="1" si="61"/>
        <v>0.04 (0.00)</v>
      </c>
      <c r="BX135" s="5">
        <f t="shared" ca="1" si="49"/>
        <v>3.9120903383036178E-2</v>
      </c>
      <c r="BY135" s="5">
        <f t="shared" ca="1" si="62"/>
        <v>6.0086819356431644E-4</v>
      </c>
    </row>
    <row r="136" spans="1:77" x14ac:dyDescent="0.25">
      <c r="A136" t="s">
        <v>192</v>
      </c>
      <c r="B136" s="12">
        <f ca="1">+VLOOKUP($A136,INDIRECT(Adrese!B$2),2,FALSE)</f>
        <v>134</v>
      </c>
      <c r="C136" s="12">
        <f ca="1">+VLOOKUP($A136,INDIRECT(Adrese!C$2),2,FALSE)</f>
        <v>125</v>
      </c>
      <c r="D136" s="12">
        <f ca="1">+VLOOKUP($A136,INDIRECT(Adrese!D$2),2,FALSE)</f>
        <v>125</v>
      </c>
      <c r="E136" s="12">
        <f ca="1">+VLOOKUP($A136,INDIRECT(Adrese!E$2),2,FALSE)</f>
        <v>124</v>
      </c>
      <c r="F136" s="12">
        <f ca="1">+VLOOKUP($A136,INDIRECT(Adrese!F$2),2,FALSE)</f>
        <v>126</v>
      </c>
      <c r="G136" s="5">
        <f t="shared" ca="1" si="42"/>
        <v>126.8</v>
      </c>
      <c r="H136" s="5">
        <f t="shared" ca="1" si="50"/>
        <v>4.0865633483405102</v>
      </c>
      <c r="J136" t="s">
        <v>192</v>
      </c>
      <c r="K136">
        <f ca="1">+VLOOKUP($A136,INDIRECT(Adrese!B$2),3,FALSE)</f>
        <v>9</v>
      </c>
      <c r="L136">
        <f ca="1">+VLOOKUP($A136,INDIRECT(Adrese!C$2),3,FALSE)</f>
        <v>10</v>
      </c>
      <c r="M136">
        <f ca="1">+VLOOKUP($A136,INDIRECT(Adrese!D$2),3,FALSE)</f>
        <v>10</v>
      </c>
      <c r="N136">
        <f ca="1">+VLOOKUP($A136,INDIRECT(Adrese!E$2),3,FALSE)</f>
        <v>13</v>
      </c>
      <c r="O136">
        <f ca="1">+VLOOKUP($A136,INDIRECT(Adrese!F$2),3,FALSE)</f>
        <v>10</v>
      </c>
      <c r="P136" s="5">
        <f t="shared" ca="1" si="43"/>
        <v>10.4</v>
      </c>
      <c r="Q136" s="5">
        <f t="shared" ca="1" si="51"/>
        <v>1.5165750888103138</v>
      </c>
      <c r="T136" t="s">
        <v>192</v>
      </c>
      <c r="U136">
        <f ca="1">+VLOOKUP($T136,INDIRECT(Adrese!B$2),4,FALSE)</f>
        <v>106249</v>
      </c>
      <c r="V136">
        <f ca="1">+VLOOKUP($T136,INDIRECT(Adrese!C$2),4,FALSE)</f>
        <v>107732</v>
      </c>
      <c r="W136">
        <f ca="1">+VLOOKUP($T136,INDIRECT(Adrese!D$2),4,FALSE)</f>
        <v>108139</v>
      </c>
      <c r="X136">
        <f ca="1">+VLOOKUP($T136,INDIRECT(Adrese!E$2),4,FALSE)</f>
        <v>108542</v>
      </c>
      <c r="Y136">
        <f ca="1">+VLOOKUP($T136,INDIRECT(Adrese!F$2),4,FALSE)</f>
        <v>107797</v>
      </c>
      <c r="Z136">
        <f t="shared" ca="1" si="52"/>
        <v>538459</v>
      </c>
      <c r="AA136" s="5">
        <f t="shared" ca="1" si="44"/>
        <v>107691.8</v>
      </c>
      <c r="AB136" s="5">
        <f t="shared" ca="1" si="53"/>
        <v>868.50198618080321</v>
      </c>
      <c r="AD136" t="s">
        <v>192</v>
      </c>
      <c r="AE136">
        <f ca="1">+VLOOKUP($A136,INDIRECT(Adrese!B$2),5,FALSE)</f>
        <v>41982</v>
      </c>
      <c r="AF136">
        <f ca="1">+VLOOKUP($A136,INDIRECT(Adrese!C$2),5,FALSE)</f>
        <v>42360</v>
      </c>
      <c r="AG136">
        <f ca="1">+VLOOKUP($A136,INDIRECT(Adrese!D$2),5,FALSE)</f>
        <v>42350</v>
      </c>
      <c r="AH136">
        <f ca="1">+VLOOKUP($A136,INDIRECT(Adrese!E$2),5,FALSE)</f>
        <v>41800</v>
      </c>
      <c r="AI136">
        <f ca="1">+VLOOKUP($A136,INDIRECT(Adrese!F$2),5,FALSE)</f>
        <v>42728</v>
      </c>
      <c r="AJ136" s="5">
        <f t="shared" ca="1" si="45"/>
        <v>42244</v>
      </c>
      <c r="AK136" s="5">
        <f t="shared" ca="1" si="54"/>
        <v>362.19055757984637</v>
      </c>
      <c r="AM136" t="s">
        <v>192</v>
      </c>
      <c r="AN136" s="5">
        <f ca="1">+VLOOKUP($A136,INDIRECT(Adrese!B$2),6,FALSE)</f>
        <v>0.9243805309734513</v>
      </c>
      <c r="AO136" s="5">
        <f ca="1">+VLOOKUP($A136,INDIRECT(Adrese!C$2),6,FALSE)</f>
        <v>0.93274336300000005</v>
      </c>
      <c r="AP136" s="5">
        <f ca="1">+VLOOKUP($A136,INDIRECT(Adrese!D$2),6,FALSE)</f>
        <v>0.93252212400000001</v>
      </c>
      <c r="AQ136" s="5">
        <f ca="1">+VLOOKUP($A136,INDIRECT(Adrese!E$2),6,FALSE)</f>
        <v>0.92035398199999996</v>
      </c>
      <c r="AR136" s="5">
        <f ca="1">+VLOOKUP($A136,INDIRECT(Adrese!F$2),6,FALSE)</f>
        <v>0.94088495599999999</v>
      </c>
      <c r="AS136" s="5" t="str">
        <f t="shared" ca="1" si="55"/>
        <v>0.93 (0.01)</v>
      </c>
      <c r="AT136" s="5">
        <f t="shared" ca="1" si="46"/>
        <v>0.93017699119469022</v>
      </c>
      <c r="AU136" s="5">
        <f t="shared" ca="1" si="56"/>
        <v>8.013065629407335E-3</v>
      </c>
      <c r="AW136" t="s">
        <v>192</v>
      </c>
      <c r="AX136" s="5">
        <f ca="1">+VLOOKUP($A136,INDIRECT(Adrese!B$2),7,FALSE)</f>
        <v>0.96017699115044253</v>
      </c>
      <c r="AY136" s="5">
        <f ca="1">+VLOOKUP($A136,INDIRECT(Adrese!C$2),7,FALSE)</f>
        <v>0.95575221200000005</v>
      </c>
      <c r="AZ136" s="5">
        <f ca="1">+VLOOKUP($A136,INDIRECT(Adrese!D$2),7,FALSE)</f>
        <v>0.95575221200000005</v>
      </c>
      <c r="BA136" s="5">
        <f ca="1">+VLOOKUP($A136,INDIRECT(Adrese!E$2),7,FALSE)</f>
        <v>0.94247787599999999</v>
      </c>
      <c r="BB136" s="5">
        <f ca="1">+VLOOKUP($A136,INDIRECT(Adrese!F$2),7,FALSE)</f>
        <v>0.95575221200000005</v>
      </c>
      <c r="BC136" s="5" t="str">
        <f t="shared" ca="1" si="57"/>
        <v>0.95 (0.01)</v>
      </c>
      <c r="BD136">
        <f t="shared" ca="1" si="47"/>
        <v>0.95398230063008849</v>
      </c>
      <c r="BE136" s="5">
        <f t="shared" ca="1" si="58"/>
        <v>6.7105092110133048E-3</v>
      </c>
      <c r="BG136" t="s">
        <v>192</v>
      </c>
      <c r="BH136" s="5">
        <f ca="1">+VLOOKUP($BG136,INDIRECT(Adrese!B$2),8,FALSE)</f>
        <v>8.5064890451355332E-2</v>
      </c>
      <c r="BI136" s="5">
        <f ca="1">+VLOOKUP($BG136,INDIRECT(Adrese!C$2),8,FALSE)</f>
        <v>8.5412117999999995E-2</v>
      </c>
      <c r="BJ136" s="5">
        <f ca="1">+VLOOKUP($BG136,INDIRECT(Adrese!D$2),8,FALSE)</f>
        <v>8.5584722000000002E-2</v>
      </c>
      <c r="BK136" s="5">
        <f ca="1">+VLOOKUP($BG136,INDIRECT(Adrese!E$2),8,FALSE)</f>
        <v>8.4571921999999994E-2</v>
      </c>
      <c r="BL136" s="5">
        <f ca="1">+VLOOKUP($BG136,INDIRECT(Adrese!F$2),8,FALSE)</f>
        <v>8.6025809999999994E-2</v>
      </c>
      <c r="BM136" s="5" t="str">
        <f t="shared" ca="1" si="59"/>
        <v>0.09 (0.00)</v>
      </c>
      <c r="BN136" s="5">
        <f t="shared" ca="1" si="48"/>
        <v>8.5331892490271066E-2</v>
      </c>
      <c r="BO136" s="5">
        <f t="shared" ca="1" si="60"/>
        <v>5.4788813606826956E-4</v>
      </c>
      <c r="BQ136" t="s">
        <v>192</v>
      </c>
      <c r="BR136" s="5">
        <f ca="1">+VLOOKUP($BG136,INDIRECT(Adrese!B$2),9,FALSE)</f>
        <v>7.6529228590633117E-2</v>
      </c>
      <c r="BS136" s="5">
        <f ca="1">+VLOOKUP($BG136,INDIRECT(Adrese!C$2),9,FALSE)</f>
        <v>7.6008663000000004E-2</v>
      </c>
      <c r="BT136" s="5">
        <f ca="1">+VLOOKUP($BG136,INDIRECT(Adrese!D$2),9,FALSE)</f>
        <v>7.6432347999999997E-2</v>
      </c>
      <c r="BU136" s="5">
        <f ca="1">+VLOOKUP($BG136,INDIRECT(Adrese!E$2),9,FALSE)</f>
        <v>7.5798830999999997E-2</v>
      </c>
      <c r="BV136" s="5">
        <f ca="1">+VLOOKUP($BG136,INDIRECT(Adrese!F$2),9,FALSE)</f>
        <v>7.6019619999999996E-2</v>
      </c>
      <c r="BW136" s="5" t="str">
        <f t="shared" ca="1" si="61"/>
        <v>0.08 (0.00)</v>
      </c>
      <c r="BX136" s="5">
        <f t="shared" ca="1" si="49"/>
        <v>7.6157738118126622E-2</v>
      </c>
      <c r="BY136" s="5">
        <f t="shared" ca="1" si="62"/>
        <v>3.0964902842850662E-4</v>
      </c>
    </row>
    <row r="137" spans="1:77" x14ac:dyDescent="0.25">
      <c r="A137" t="s">
        <v>193</v>
      </c>
      <c r="B137" s="12">
        <f ca="1">+VLOOKUP($A137,INDIRECT(Adrese!B$2),2,FALSE)</f>
        <v>135</v>
      </c>
      <c r="C137" s="12">
        <f ca="1">+VLOOKUP($A137,INDIRECT(Adrese!C$2),2,FALSE)</f>
        <v>133</v>
      </c>
      <c r="D137" s="12">
        <f ca="1">+VLOOKUP($A137,INDIRECT(Adrese!D$2),2,FALSE)</f>
        <v>134</v>
      </c>
      <c r="E137" s="12">
        <f ca="1">+VLOOKUP($A137,INDIRECT(Adrese!E$2),2,FALSE)</f>
        <v>136</v>
      </c>
      <c r="F137" s="12">
        <f ca="1">+VLOOKUP($A137,INDIRECT(Adrese!F$2),2,FALSE)</f>
        <v>134</v>
      </c>
      <c r="G137" s="5">
        <f t="shared" ca="1" si="42"/>
        <v>134.4</v>
      </c>
      <c r="H137" s="5">
        <f t="shared" ca="1" si="50"/>
        <v>1.1401754250991381</v>
      </c>
      <c r="J137" t="s">
        <v>193</v>
      </c>
      <c r="K137">
        <f ca="1">+VLOOKUP($A137,INDIRECT(Adrese!B$2),3,FALSE)</f>
        <v>62</v>
      </c>
      <c r="L137">
        <f ca="1">+VLOOKUP($A137,INDIRECT(Adrese!C$2),3,FALSE)</f>
        <v>59</v>
      </c>
      <c r="M137">
        <f ca="1">+VLOOKUP($A137,INDIRECT(Adrese!D$2),3,FALSE)</f>
        <v>63</v>
      </c>
      <c r="N137">
        <f ca="1">+VLOOKUP($A137,INDIRECT(Adrese!E$2),3,FALSE)</f>
        <v>58</v>
      </c>
      <c r="O137">
        <f ca="1">+VLOOKUP($A137,INDIRECT(Adrese!F$2),3,FALSE)</f>
        <v>61</v>
      </c>
      <c r="P137" s="5">
        <f t="shared" ca="1" si="43"/>
        <v>60.6</v>
      </c>
      <c r="Q137" s="5">
        <f t="shared" ca="1" si="51"/>
        <v>2.0736441353327724</v>
      </c>
      <c r="T137" t="s">
        <v>193</v>
      </c>
      <c r="U137">
        <f ca="1">+VLOOKUP($T137,INDIRECT(Adrese!B$2),4,FALSE)</f>
        <v>105927</v>
      </c>
      <c r="V137">
        <f ca="1">+VLOOKUP($T137,INDIRECT(Adrese!C$2),4,FALSE)</f>
        <v>106040</v>
      </c>
      <c r="W137">
        <f ca="1">+VLOOKUP($T137,INDIRECT(Adrese!D$2),4,FALSE)</f>
        <v>105882</v>
      </c>
      <c r="X137">
        <f ca="1">+VLOOKUP($T137,INDIRECT(Adrese!E$2),4,FALSE)</f>
        <v>105826</v>
      </c>
      <c r="Y137">
        <f ca="1">+VLOOKUP($T137,INDIRECT(Adrese!F$2),4,FALSE)</f>
        <v>106179</v>
      </c>
      <c r="Z137">
        <f t="shared" ca="1" si="52"/>
        <v>529854</v>
      </c>
      <c r="AA137" s="5">
        <f t="shared" ca="1" si="44"/>
        <v>105970.8</v>
      </c>
      <c r="AB137" s="5">
        <f t="shared" ca="1" si="53"/>
        <v>140.45177108174892</v>
      </c>
      <c r="AD137" t="s">
        <v>193</v>
      </c>
      <c r="AE137">
        <f ca="1">+VLOOKUP($A137,INDIRECT(Adrese!B$2),5,FALSE)</f>
        <v>25912</v>
      </c>
      <c r="AF137">
        <f ca="1">+VLOOKUP($A137,INDIRECT(Adrese!C$2),5,FALSE)</f>
        <v>25679</v>
      </c>
      <c r="AG137">
        <f ca="1">+VLOOKUP($A137,INDIRECT(Adrese!D$2),5,FALSE)</f>
        <v>25645</v>
      </c>
      <c r="AH137">
        <f ca="1">+VLOOKUP($A137,INDIRECT(Adrese!E$2),5,FALSE)</f>
        <v>25983</v>
      </c>
      <c r="AI137">
        <f ca="1">+VLOOKUP($A137,INDIRECT(Adrese!F$2),5,FALSE)</f>
        <v>26050</v>
      </c>
      <c r="AJ137" s="5">
        <f t="shared" ca="1" si="45"/>
        <v>25853.8</v>
      </c>
      <c r="AK137" s="5">
        <f t="shared" ca="1" si="54"/>
        <v>182.15844751204926</v>
      </c>
      <c r="AM137" t="s">
        <v>193</v>
      </c>
      <c r="AN137" s="5">
        <f ca="1">+VLOOKUP($A137,INDIRECT(Adrese!B$2),6,FALSE)</f>
        <v>0.56887168141592925</v>
      </c>
      <c r="AO137" s="5">
        <f ca="1">+VLOOKUP($A137,INDIRECT(Adrese!C$2),6,FALSE)</f>
        <v>0.56371681399999995</v>
      </c>
      <c r="AP137" s="5">
        <f ca="1">+VLOOKUP($A137,INDIRECT(Adrese!D$2),6,FALSE)</f>
        <v>0.56296460199999998</v>
      </c>
      <c r="AQ137" s="5">
        <f ca="1">+VLOOKUP($A137,INDIRECT(Adrese!E$2),6,FALSE)</f>
        <v>0.57044247800000003</v>
      </c>
      <c r="AR137" s="5">
        <f ca="1">+VLOOKUP($A137,INDIRECT(Adrese!F$2),6,FALSE)</f>
        <v>0.57192477900000005</v>
      </c>
      <c r="AS137" s="5" t="str">
        <f t="shared" ca="1" si="55"/>
        <v>0.57 (0.00)</v>
      </c>
      <c r="AT137" s="5">
        <f t="shared" ca="1" si="46"/>
        <v>0.56758407088318585</v>
      </c>
      <c r="AU137" s="5">
        <f t="shared" ca="1" si="56"/>
        <v>4.030054207083745E-3</v>
      </c>
      <c r="AW137" t="s">
        <v>193</v>
      </c>
      <c r="AX137" s="5">
        <f ca="1">+VLOOKUP($A137,INDIRECT(Adrese!B$2),7,FALSE)</f>
        <v>0.72566371681415931</v>
      </c>
      <c r="AY137" s="5">
        <f ca="1">+VLOOKUP($A137,INDIRECT(Adrese!C$2),7,FALSE)</f>
        <v>0.73893805300000004</v>
      </c>
      <c r="AZ137" s="5">
        <f ca="1">+VLOOKUP($A137,INDIRECT(Adrese!D$2),7,FALSE)</f>
        <v>0.72123893800000005</v>
      </c>
      <c r="BA137" s="5">
        <f ca="1">+VLOOKUP($A137,INDIRECT(Adrese!E$2),7,FALSE)</f>
        <v>0.74336283199999997</v>
      </c>
      <c r="BB137" s="5">
        <f ca="1">+VLOOKUP($A137,INDIRECT(Adrese!F$2),7,FALSE)</f>
        <v>0.73008849600000003</v>
      </c>
      <c r="BC137" s="5" t="str">
        <f t="shared" ca="1" si="57"/>
        <v>0.73 (0.01)</v>
      </c>
      <c r="BD137">
        <f t="shared" ca="1" si="47"/>
        <v>0.7318584071628319</v>
      </c>
      <c r="BE137" s="5">
        <f t="shared" ca="1" si="58"/>
        <v>9.1754165485057482E-3</v>
      </c>
      <c r="BG137" t="s">
        <v>193</v>
      </c>
      <c r="BH137" s="5">
        <f ca="1">+VLOOKUP($BG137,INDIRECT(Adrese!B$2),8,FALSE)</f>
        <v>5.8109057546500087E-2</v>
      </c>
      <c r="BI137" s="5">
        <f ca="1">+VLOOKUP($BG137,INDIRECT(Adrese!C$2),8,FALSE)</f>
        <v>5.7659327000000003E-2</v>
      </c>
      <c r="BJ137" s="5">
        <f ca="1">+VLOOKUP($BG137,INDIRECT(Adrese!D$2),8,FALSE)</f>
        <v>5.7363190000000001E-2</v>
      </c>
      <c r="BK137" s="5">
        <f ca="1">+VLOOKUP($BG137,INDIRECT(Adrese!E$2),8,FALSE)</f>
        <v>5.8177354000000001E-2</v>
      </c>
      <c r="BL137" s="5">
        <f ca="1">+VLOOKUP($BG137,INDIRECT(Adrese!F$2),8,FALSE)</f>
        <v>5.8376045000000001E-2</v>
      </c>
      <c r="BM137" s="5" t="str">
        <f t="shared" ca="1" si="59"/>
        <v>0.06 (0.00)</v>
      </c>
      <c r="BN137" s="5">
        <f t="shared" ca="1" si="48"/>
        <v>5.7936994709300013E-2</v>
      </c>
      <c r="BO137" s="5">
        <f t="shared" ca="1" si="60"/>
        <v>4.142748385847462E-4</v>
      </c>
      <c r="BQ137" t="s">
        <v>193</v>
      </c>
      <c r="BR137" s="5">
        <f ca="1">+VLOOKUP($BG137,INDIRECT(Adrese!B$2),9,FALSE)</f>
        <v>3.8779610922524493E-2</v>
      </c>
      <c r="BS137" s="5">
        <f ca="1">+VLOOKUP($BG137,INDIRECT(Adrese!C$2),9,FALSE)</f>
        <v>3.8319798000000002E-2</v>
      </c>
      <c r="BT137" s="5">
        <f ca="1">+VLOOKUP($BG137,INDIRECT(Adrese!D$2),9,FALSE)</f>
        <v>3.6710840000000002E-2</v>
      </c>
      <c r="BU137" s="5">
        <f ca="1">+VLOOKUP($BG137,INDIRECT(Adrese!E$2),9,FALSE)</f>
        <v>3.8942027999999997E-2</v>
      </c>
      <c r="BV137" s="5">
        <f ca="1">+VLOOKUP($BG137,INDIRECT(Adrese!F$2),9,FALSE)</f>
        <v>3.9057540000000002E-2</v>
      </c>
      <c r="BW137" s="5" t="str">
        <f t="shared" ca="1" si="61"/>
        <v>0.04 (0.00)</v>
      </c>
      <c r="BX137" s="5">
        <f t="shared" ca="1" si="49"/>
        <v>3.8361963384504899E-2</v>
      </c>
      <c r="BY137" s="5">
        <f t="shared" ca="1" si="62"/>
        <v>9.6471726462941964E-4</v>
      </c>
    </row>
    <row r="138" spans="1:77" x14ac:dyDescent="0.25">
      <c r="A138" t="s">
        <v>194</v>
      </c>
      <c r="B138" s="12">
        <f ca="1">+VLOOKUP($A138,INDIRECT(Adrese!B$2),2,FALSE)</f>
        <v>136</v>
      </c>
      <c r="C138" s="12">
        <f ca="1">+VLOOKUP($A138,INDIRECT(Adrese!C$2),2,FALSE)</f>
        <v>136</v>
      </c>
      <c r="D138" s="12">
        <f ca="1">+VLOOKUP($A138,INDIRECT(Adrese!D$2),2,FALSE)</f>
        <v>138</v>
      </c>
      <c r="E138" s="12">
        <f ca="1">+VLOOKUP($A138,INDIRECT(Adrese!E$2),2,FALSE)</f>
        <v>132</v>
      </c>
      <c r="F138" s="12">
        <f ca="1">+VLOOKUP($A138,INDIRECT(Adrese!F$2),2,FALSE)</f>
        <v>137</v>
      </c>
      <c r="G138" s="5">
        <f t="shared" ca="1" si="42"/>
        <v>135.80000000000001</v>
      </c>
      <c r="H138" s="5">
        <f t="shared" ca="1" si="50"/>
        <v>2.2803508501982761</v>
      </c>
      <c r="J138" t="s">
        <v>194</v>
      </c>
      <c r="K138">
        <f ca="1">+VLOOKUP($A138,INDIRECT(Adrese!B$2),3,FALSE)</f>
        <v>54</v>
      </c>
      <c r="L138">
        <f ca="1">+VLOOKUP($A138,INDIRECT(Adrese!C$2),3,FALSE)</f>
        <v>55</v>
      </c>
      <c r="M138">
        <f ca="1">+VLOOKUP($A138,INDIRECT(Adrese!D$2),3,FALSE)</f>
        <v>54</v>
      </c>
      <c r="N138">
        <f ca="1">+VLOOKUP($A138,INDIRECT(Adrese!E$2),3,FALSE)</f>
        <v>55</v>
      </c>
      <c r="O138">
        <f ca="1">+VLOOKUP($A138,INDIRECT(Adrese!F$2),3,FALSE)</f>
        <v>55</v>
      </c>
      <c r="P138" s="5">
        <f t="shared" ca="1" si="43"/>
        <v>54.6</v>
      </c>
      <c r="Q138" s="5">
        <f t="shared" ca="1" si="51"/>
        <v>0.54772255750516607</v>
      </c>
      <c r="T138" t="s">
        <v>194</v>
      </c>
      <c r="U138">
        <f ca="1">+VLOOKUP($T138,INDIRECT(Adrese!B$2),4,FALSE)</f>
        <v>105923</v>
      </c>
      <c r="V138">
        <f ca="1">+VLOOKUP($T138,INDIRECT(Adrese!C$2),4,FALSE)</f>
        <v>105583</v>
      </c>
      <c r="W138">
        <f ca="1">+VLOOKUP($T138,INDIRECT(Adrese!D$2),4,FALSE)</f>
        <v>104891</v>
      </c>
      <c r="X138">
        <f ca="1">+VLOOKUP($T138,INDIRECT(Adrese!E$2),4,FALSE)</f>
        <v>106279</v>
      </c>
      <c r="Y138">
        <f ca="1">+VLOOKUP($T138,INDIRECT(Adrese!F$2),4,FALSE)</f>
        <v>104619</v>
      </c>
      <c r="Z138">
        <f t="shared" ca="1" si="52"/>
        <v>527295</v>
      </c>
      <c r="AA138" s="5">
        <f t="shared" ca="1" si="44"/>
        <v>105459</v>
      </c>
      <c r="AB138" s="5">
        <f t="shared" ca="1" si="53"/>
        <v>694.85538063686317</v>
      </c>
      <c r="AD138" t="s">
        <v>194</v>
      </c>
      <c r="AE138">
        <f ca="1">+VLOOKUP($A138,INDIRECT(Adrese!B$2),5,FALSE)</f>
        <v>32753</v>
      </c>
      <c r="AF138">
        <f ca="1">+VLOOKUP($A138,INDIRECT(Adrese!C$2),5,FALSE)</f>
        <v>32619</v>
      </c>
      <c r="AG138">
        <f ca="1">+VLOOKUP($A138,INDIRECT(Adrese!D$2),5,FALSE)</f>
        <v>32082</v>
      </c>
      <c r="AH138">
        <f ca="1">+VLOOKUP($A138,INDIRECT(Adrese!E$2),5,FALSE)</f>
        <v>32906</v>
      </c>
      <c r="AI138">
        <f ca="1">+VLOOKUP($A138,INDIRECT(Adrese!F$2),5,FALSE)</f>
        <v>32078</v>
      </c>
      <c r="AJ138" s="5">
        <f t="shared" ca="1" si="45"/>
        <v>32487.599999999999</v>
      </c>
      <c r="AK138" s="5">
        <f t="shared" ca="1" si="54"/>
        <v>385.69586463948508</v>
      </c>
      <c r="AM138" t="s">
        <v>194</v>
      </c>
      <c r="AN138" s="5">
        <f ca="1">+VLOOKUP($A138,INDIRECT(Adrese!B$2),6,FALSE)</f>
        <v>0.72022123893805312</v>
      </c>
      <c r="AO138" s="5">
        <f ca="1">+VLOOKUP($A138,INDIRECT(Adrese!C$2),6,FALSE)</f>
        <v>0.71725663699999997</v>
      </c>
      <c r="AP138" s="5">
        <f ca="1">+VLOOKUP($A138,INDIRECT(Adrese!D$2),6,FALSE)</f>
        <v>0.705376106</v>
      </c>
      <c r="AQ138" s="5">
        <f ca="1">+VLOOKUP($A138,INDIRECT(Adrese!E$2),6,FALSE)</f>
        <v>0.72360619500000001</v>
      </c>
      <c r="AR138" s="5">
        <f ca="1">+VLOOKUP($A138,INDIRECT(Adrese!F$2),6,FALSE)</f>
        <v>0.70528761100000004</v>
      </c>
      <c r="AS138" s="5" t="str">
        <f t="shared" ca="1" si="55"/>
        <v>0.71 (0.01)</v>
      </c>
      <c r="AT138" s="5">
        <f t="shared" ca="1" si="46"/>
        <v>0.71434955758761065</v>
      </c>
      <c r="AU138" s="5">
        <f t="shared" ca="1" si="56"/>
        <v>8.533094370265365E-3</v>
      </c>
      <c r="AW138" t="s">
        <v>194</v>
      </c>
      <c r="AX138" s="5">
        <f ca="1">+VLOOKUP($A138,INDIRECT(Adrese!B$2),7,FALSE)</f>
        <v>0.76106194690265483</v>
      </c>
      <c r="AY138" s="5">
        <f ca="1">+VLOOKUP($A138,INDIRECT(Adrese!C$2),7,FALSE)</f>
        <v>0.75663716800000003</v>
      </c>
      <c r="AZ138" s="5">
        <f ca="1">+VLOOKUP($A138,INDIRECT(Adrese!D$2),7,FALSE)</f>
        <v>0.76106194699999996</v>
      </c>
      <c r="BA138" s="5">
        <f ca="1">+VLOOKUP($A138,INDIRECT(Adrese!E$2),7,FALSE)</f>
        <v>0.75663716800000003</v>
      </c>
      <c r="BB138" s="5">
        <f ca="1">+VLOOKUP($A138,INDIRECT(Adrese!F$2),7,FALSE)</f>
        <v>0.75663716800000003</v>
      </c>
      <c r="BC138" s="5" t="str">
        <f t="shared" ca="1" si="57"/>
        <v>0.76 (0.00)</v>
      </c>
      <c r="BD138">
        <f t="shared" ca="1" si="47"/>
        <v>0.758407079580531</v>
      </c>
      <c r="BE138" s="5">
        <f t="shared" ca="1" si="58"/>
        <v>2.4235512436160535E-3</v>
      </c>
      <c r="BG138" t="s">
        <v>194</v>
      </c>
      <c r="BH138" s="5">
        <f ca="1">+VLOOKUP($BG138,INDIRECT(Adrese!B$2),8,FALSE)</f>
        <v>7.0725170098636062E-2</v>
      </c>
      <c r="BI138" s="5">
        <f ca="1">+VLOOKUP($BG138,INDIRECT(Adrese!C$2),8,FALSE)</f>
        <v>7.0979098000000004E-2</v>
      </c>
      <c r="BJ138" s="5">
        <f ca="1">+VLOOKUP($BG138,INDIRECT(Adrese!D$2),8,FALSE)</f>
        <v>6.9712195000000005E-2</v>
      </c>
      <c r="BK138" s="5">
        <f ca="1">+VLOOKUP($BG138,INDIRECT(Adrese!E$2),8,FALSE)</f>
        <v>7.1679483000000002E-2</v>
      </c>
      <c r="BL138" s="5">
        <f ca="1">+VLOOKUP($BG138,INDIRECT(Adrese!F$2),8,FALSE)</f>
        <v>6.9666143999999999E-2</v>
      </c>
      <c r="BM138" s="5" t="str">
        <f t="shared" ca="1" si="59"/>
        <v>0.07 (0.00)</v>
      </c>
      <c r="BN138" s="5">
        <f t="shared" ca="1" si="48"/>
        <v>7.0552418019727212E-2</v>
      </c>
      <c r="BO138" s="5">
        <f t="shared" ca="1" si="60"/>
        <v>8.6221095403230116E-4</v>
      </c>
      <c r="BQ138" t="s">
        <v>194</v>
      </c>
      <c r="BR138" s="5">
        <f ca="1">+VLOOKUP($BG138,INDIRECT(Adrese!B$2),9,FALSE)</f>
        <v>5.7855441565097809E-2</v>
      </c>
      <c r="BS138" s="5">
        <f ca="1">+VLOOKUP($BG138,INDIRECT(Adrese!C$2),9,FALSE)</f>
        <v>6.0150018E-2</v>
      </c>
      <c r="BT138" s="5">
        <f ca="1">+VLOOKUP($BG138,INDIRECT(Adrese!D$2),9,FALSE)</f>
        <v>5.6950976E-2</v>
      </c>
      <c r="BU138" s="5">
        <f ca="1">+VLOOKUP($BG138,INDIRECT(Adrese!E$2),9,FALSE)</f>
        <v>6.1857226000000001E-2</v>
      </c>
      <c r="BV138" s="5">
        <f ca="1">+VLOOKUP($BG138,INDIRECT(Adrese!F$2),9,FALSE)</f>
        <v>5.6544635000000003E-2</v>
      </c>
      <c r="BW138" s="5" t="str">
        <f t="shared" ca="1" si="61"/>
        <v>0.06 (0.00)</v>
      </c>
      <c r="BX138" s="5">
        <f t="shared" ca="1" si="49"/>
        <v>5.8671659313019563E-2</v>
      </c>
      <c r="BY138" s="5">
        <f t="shared" ca="1" si="62"/>
        <v>2.2629943895463383E-3</v>
      </c>
    </row>
    <row r="139" spans="1:77" x14ac:dyDescent="0.25">
      <c r="A139" t="s">
        <v>195</v>
      </c>
      <c r="B139" s="12">
        <f ca="1">+VLOOKUP($A139,INDIRECT(Adrese!B$2),2,FALSE)</f>
        <v>137</v>
      </c>
      <c r="C139" s="12">
        <f ca="1">+VLOOKUP($A139,INDIRECT(Adrese!C$2),2,FALSE)</f>
        <v>130</v>
      </c>
      <c r="D139" s="12">
        <f ca="1">+VLOOKUP($A139,INDIRECT(Adrese!D$2),2,FALSE)</f>
        <v>137</v>
      </c>
      <c r="E139" s="12">
        <f ca="1">+VLOOKUP($A139,INDIRECT(Adrese!E$2),2,FALSE)</f>
        <v>139</v>
      </c>
      <c r="F139" s="12">
        <f ca="1">+VLOOKUP($A139,INDIRECT(Adrese!F$2),2,FALSE)</f>
        <v>136</v>
      </c>
      <c r="G139" s="5">
        <f t="shared" ca="1" si="42"/>
        <v>135.80000000000001</v>
      </c>
      <c r="H139" s="5">
        <f t="shared" ca="1" si="50"/>
        <v>3.4205262752974135</v>
      </c>
      <c r="J139" t="s">
        <v>195</v>
      </c>
      <c r="K139">
        <f ca="1">+VLOOKUP($A139,INDIRECT(Adrese!B$2),3,FALSE)</f>
        <v>61</v>
      </c>
      <c r="L139">
        <f ca="1">+VLOOKUP($A139,INDIRECT(Adrese!C$2),3,FALSE)</f>
        <v>61</v>
      </c>
      <c r="M139">
        <f ca="1">+VLOOKUP($A139,INDIRECT(Adrese!D$2),3,FALSE)</f>
        <v>60</v>
      </c>
      <c r="N139">
        <f ca="1">+VLOOKUP($A139,INDIRECT(Adrese!E$2),3,FALSE)</f>
        <v>60</v>
      </c>
      <c r="O139">
        <f ca="1">+VLOOKUP($A139,INDIRECT(Adrese!F$2),3,FALSE)</f>
        <v>64</v>
      </c>
      <c r="P139" s="5">
        <f t="shared" ca="1" si="43"/>
        <v>61.2</v>
      </c>
      <c r="Q139" s="5">
        <f t="shared" ca="1" si="51"/>
        <v>1.6431676725154984</v>
      </c>
      <c r="T139" t="s">
        <v>195</v>
      </c>
      <c r="U139">
        <f ca="1">+VLOOKUP($T139,INDIRECT(Adrese!B$2),4,FALSE)</f>
        <v>105353</v>
      </c>
      <c r="V139">
        <f ca="1">+VLOOKUP($T139,INDIRECT(Adrese!C$2),4,FALSE)</f>
        <v>106362</v>
      </c>
      <c r="W139">
        <f ca="1">+VLOOKUP($T139,INDIRECT(Adrese!D$2),4,FALSE)</f>
        <v>105110</v>
      </c>
      <c r="X139">
        <f ca="1">+VLOOKUP($T139,INDIRECT(Adrese!E$2),4,FALSE)</f>
        <v>104336</v>
      </c>
      <c r="Y139">
        <f ca="1">+VLOOKUP($T139,INDIRECT(Adrese!F$2),4,FALSE)</f>
        <v>105389</v>
      </c>
      <c r="Z139">
        <f t="shared" ca="1" si="52"/>
        <v>526550</v>
      </c>
      <c r="AA139" s="5">
        <f t="shared" ca="1" si="44"/>
        <v>105310</v>
      </c>
      <c r="AB139" s="5">
        <f t="shared" ca="1" si="53"/>
        <v>725.16722209432498</v>
      </c>
      <c r="AD139" t="s">
        <v>195</v>
      </c>
      <c r="AE139">
        <f ca="1">+VLOOKUP($A139,INDIRECT(Adrese!B$2),5,FALSE)</f>
        <v>36724</v>
      </c>
      <c r="AF139">
        <f ca="1">+VLOOKUP($A139,INDIRECT(Adrese!C$2),5,FALSE)</f>
        <v>36930</v>
      </c>
      <c r="AG139">
        <f ca="1">+VLOOKUP($A139,INDIRECT(Adrese!D$2),5,FALSE)</f>
        <v>36683</v>
      </c>
      <c r="AH139">
        <f ca="1">+VLOOKUP($A139,INDIRECT(Adrese!E$2),5,FALSE)</f>
        <v>36538</v>
      </c>
      <c r="AI139">
        <f ca="1">+VLOOKUP($A139,INDIRECT(Adrese!F$2),5,FALSE)</f>
        <v>36644</v>
      </c>
      <c r="AJ139" s="5">
        <f t="shared" ca="1" si="45"/>
        <v>36703.800000000003</v>
      </c>
      <c r="AK139" s="5">
        <f t="shared" ca="1" si="54"/>
        <v>144.11176218477104</v>
      </c>
      <c r="AM139" t="s">
        <v>195</v>
      </c>
      <c r="AN139" s="5">
        <f ca="1">+VLOOKUP($A139,INDIRECT(Adrese!B$2),6,FALSE)</f>
        <v>0.80807522123893805</v>
      </c>
      <c r="AO139" s="5">
        <f ca="1">+VLOOKUP($A139,INDIRECT(Adrese!C$2),6,FALSE)</f>
        <v>0.81263274299999999</v>
      </c>
      <c r="AP139" s="5">
        <f ca="1">+VLOOKUP($A139,INDIRECT(Adrese!D$2),6,FALSE)</f>
        <v>0.80716814199999998</v>
      </c>
      <c r="AQ139" s="5">
        <f ca="1">+VLOOKUP($A139,INDIRECT(Adrese!E$2),6,FALSE)</f>
        <v>0.803960177</v>
      </c>
      <c r="AR139" s="5">
        <f ca="1">+VLOOKUP($A139,INDIRECT(Adrese!F$2),6,FALSE)</f>
        <v>0.80630531000000005</v>
      </c>
      <c r="AS139" s="5" t="str">
        <f t="shared" ca="1" si="55"/>
        <v>0.81 (0.00)</v>
      </c>
      <c r="AT139" s="5">
        <f t="shared" ca="1" si="46"/>
        <v>0.80762831864778772</v>
      </c>
      <c r="AU139" s="5">
        <f t="shared" ca="1" si="56"/>
        <v>3.1883131355199814E-3</v>
      </c>
      <c r="AW139" t="s">
        <v>195</v>
      </c>
      <c r="AX139" s="5">
        <f ca="1">+VLOOKUP($A139,INDIRECT(Adrese!B$2),7,FALSE)</f>
        <v>0.73008849557522126</v>
      </c>
      <c r="AY139" s="5">
        <f ca="1">+VLOOKUP($A139,INDIRECT(Adrese!C$2),7,FALSE)</f>
        <v>0.73008849600000003</v>
      </c>
      <c r="AZ139" s="5">
        <f ca="1">+VLOOKUP($A139,INDIRECT(Adrese!D$2),7,FALSE)</f>
        <v>0.73451327399999999</v>
      </c>
      <c r="BA139" s="5">
        <f ca="1">+VLOOKUP($A139,INDIRECT(Adrese!E$2),7,FALSE)</f>
        <v>0.73451327399999999</v>
      </c>
      <c r="BB139" s="5">
        <f ca="1">+VLOOKUP($A139,INDIRECT(Adrese!F$2),7,FALSE)</f>
        <v>0.71681415900000001</v>
      </c>
      <c r="BC139" s="5" t="str">
        <f t="shared" ca="1" si="57"/>
        <v>0.73 (0.01)</v>
      </c>
      <c r="BD139">
        <f t="shared" ca="1" si="47"/>
        <v>0.72920353971504426</v>
      </c>
      <c r="BE139" s="5">
        <f t="shared" ca="1" si="58"/>
        <v>7.2706534327514807E-3</v>
      </c>
      <c r="BG139" t="s">
        <v>195</v>
      </c>
      <c r="BH139" s="5">
        <f ca="1">+VLOOKUP($BG139,INDIRECT(Adrese!B$2),8,FALSE)</f>
        <v>7.6365366027503337E-2</v>
      </c>
      <c r="BI139" s="5">
        <f ca="1">+VLOOKUP($BG139,INDIRECT(Adrese!C$2),8,FALSE)</f>
        <v>7.6770082000000003E-2</v>
      </c>
      <c r="BJ139" s="5">
        <f ca="1">+VLOOKUP($BG139,INDIRECT(Adrese!D$2),8,FALSE)</f>
        <v>7.6360442000000001E-2</v>
      </c>
      <c r="BK139" s="5">
        <f ca="1">+VLOOKUP($BG139,INDIRECT(Adrese!E$2),8,FALSE)</f>
        <v>7.6144137000000001E-2</v>
      </c>
      <c r="BL139" s="5">
        <f ca="1">+VLOOKUP($BG139,INDIRECT(Adrese!F$2),8,FALSE)</f>
        <v>7.6308081E-2</v>
      </c>
      <c r="BM139" s="5" t="str">
        <f t="shared" ca="1" si="59"/>
        <v>0.08 (0.00)</v>
      </c>
      <c r="BN139" s="5">
        <f t="shared" ca="1" si="48"/>
        <v>7.6389621605500668E-2</v>
      </c>
      <c r="BO139" s="5">
        <f t="shared" ca="1" si="60"/>
        <v>2.3081456632272093E-4</v>
      </c>
      <c r="BQ139" t="s">
        <v>195</v>
      </c>
      <c r="BR139" s="5">
        <f ca="1">+VLOOKUP($BG139,INDIRECT(Adrese!B$2),9,FALSE)</f>
        <v>6.4066543588900793E-2</v>
      </c>
      <c r="BS139" s="5">
        <f ca="1">+VLOOKUP($BG139,INDIRECT(Adrese!C$2),9,FALSE)</f>
        <v>6.4928110999999997E-2</v>
      </c>
      <c r="BT139" s="5">
        <f ca="1">+VLOOKUP($BG139,INDIRECT(Adrese!D$2),9,FALSE)</f>
        <v>6.4116330999999999E-2</v>
      </c>
      <c r="BU139" s="5">
        <f ca="1">+VLOOKUP($BG139,INDIRECT(Adrese!E$2),9,FALSE)</f>
        <v>6.4367553999999993E-2</v>
      </c>
      <c r="BV139" s="5">
        <f ca="1">+VLOOKUP($BG139,INDIRECT(Adrese!F$2),9,FALSE)</f>
        <v>6.4023003999999994E-2</v>
      </c>
      <c r="BW139" s="5" t="str">
        <f t="shared" ca="1" si="61"/>
        <v>0.06 (0.00)</v>
      </c>
      <c r="BX139" s="5">
        <f t="shared" ca="1" si="49"/>
        <v>6.4300308717780155E-2</v>
      </c>
      <c r="BY139" s="5">
        <f t="shared" ca="1" si="62"/>
        <v>3.7551613685831852E-4</v>
      </c>
    </row>
    <row r="140" spans="1:77" x14ac:dyDescent="0.25">
      <c r="A140" t="s">
        <v>196</v>
      </c>
      <c r="B140" s="12">
        <f ca="1">+VLOOKUP($A140,INDIRECT(Adrese!B$2),2,FALSE)</f>
        <v>138</v>
      </c>
      <c r="C140" s="12">
        <f ca="1">+VLOOKUP($A140,INDIRECT(Adrese!C$2),2,FALSE)</f>
        <v>134</v>
      </c>
      <c r="D140" s="12">
        <f ca="1">+VLOOKUP($A140,INDIRECT(Adrese!D$2),2,FALSE)</f>
        <v>136</v>
      </c>
      <c r="E140" s="12">
        <f ca="1">+VLOOKUP($A140,INDIRECT(Adrese!E$2),2,FALSE)</f>
        <v>138</v>
      </c>
      <c r="F140" s="12">
        <f ca="1">+VLOOKUP($A140,INDIRECT(Adrese!F$2),2,FALSE)</f>
        <v>139</v>
      </c>
      <c r="G140" s="5">
        <f t="shared" ca="1" si="42"/>
        <v>137</v>
      </c>
      <c r="H140" s="5">
        <f t="shared" ca="1" si="50"/>
        <v>2</v>
      </c>
      <c r="J140" t="s">
        <v>196</v>
      </c>
      <c r="K140">
        <f ca="1">+VLOOKUP($A140,INDIRECT(Adrese!B$2),3,FALSE)</f>
        <v>84</v>
      </c>
      <c r="L140">
        <f ca="1">+VLOOKUP($A140,INDIRECT(Adrese!C$2),3,FALSE)</f>
        <v>87</v>
      </c>
      <c r="M140">
        <f ca="1">+VLOOKUP($A140,INDIRECT(Adrese!D$2),3,FALSE)</f>
        <v>75</v>
      </c>
      <c r="N140">
        <f ca="1">+VLOOKUP($A140,INDIRECT(Adrese!E$2),3,FALSE)</f>
        <v>85</v>
      </c>
      <c r="O140">
        <f ca="1">+VLOOKUP($A140,INDIRECT(Adrese!F$2),3,FALSE)</f>
        <v>87</v>
      </c>
      <c r="P140" s="5">
        <f t="shared" ca="1" si="43"/>
        <v>83.6</v>
      </c>
      <c r="Q140" s="5">
        <f t="shared" ca="1" si="51"/>
        <v>4.9799598391954936</v>
      </c>
      <c r="T140" t="s">
        <v>196</v>
      </c>
      <c r="U140">
        <f ca="1">+VLOOKUP($T140,INDIRECT(Adrese!B$2),4,FALSE)</f>
        <v>105301</v>
      </c>
      <c r="V140">
        <f ca="1">+VLOOKUP($T140,INDIRECT(Adrese!C$2),4,FALSE)</f>
        <v>105796</v>
      </c>
      <c r="W140">
        <f ca="1">+VLOOKUP($T140,INDIRECT(Adrese!D$2),4,FALSE)</f>
        <v>105437</v>
      </c>
      <c r="X140">
        <f ca="1">+VLOOKUP($T140,INDIRECT(Adrese!E$2),4,FALSE)</f>
        <v>104769</v>
      </c>
      <c r="Y140">
        <f ca="1">+VLOOKUP($T140,INDIRECT(Adrese!F$2),4,FALSE)</f>
        <v>103819</v>
      </c>
      <c r="Z140">
        <f t="shared" ca="1" si="52"/>
        <v>525122</v>
      </c>
      <c r="AA140" s="5">
        <f t="shared" ca="1" si="44"/>
        <v>105024.4</v>
      </c>
      <c r="AB140" s="5">
        <f t="shared" ca="1" si="53"/>
        <v>768.16847110513459</v>
      </c>
      <c r="AD140" t="s">
        <v>196</v>
      </c>
      <c r="AE140">
        <f ca="1">+VLOOKUP($A140,INDIRECT(Adrese!B$2),5,FALSE)</f>
        <v>19041</v>
      </c>
      <c r="AF140">
        <f ca="1">+VLOOKUP($A140,INDIRECT(Adrese!C$2),5,FALSE)</f>
        <v>19063</v>
      </c>
      <c r="AG140">
        <f ca="1">+VLOOKUP($A140,INDIRECT(Adrese!D$2),5,FALSE)</f>
        <v>18933</v>
      </c>
      <c r="AH140">
        <f ca="1">+VLOOKUP($A140,INDIRECT(Adrese!E$2),5,FALSE)</f>
        <v>18275</v>
      </c>
      <c r="AI140">
        <f ca="1">+VLOOKUP($A140,INDIRECT(Adrese!F$2),5,FALSE)</f>
        <v>18145</v>
      </c>
      <c r="AJ140" s="5">
        <f t="shared" ca="1" si="45"/>
        <v>18691.400000000001</v>
      </c>
      <c r="AK140" s="5">
        <f t="shared" ca="1" si="54"/>
        <v>444.58385035896214</v>
      </c>
      <c r="AM140" t="s">
        <v>196</v>
      </c>
      <c r="AN140" s="5">
        <f ca="1">+VLOOKUP($A140,INDIRECT(Adrese!B$2),6,FALSE)</f>
        <v>0.41688053097345129</v>
      </c>
      <c r="AO140" s="5">
        <f ca="1">+VLOOKUP($A140,INDIRECT(Adrese!C$2),6,FALSE)</f>
        <v>0.41736725699999999</v>
      </c>
      <c r="AP140" s="5">
        <f ca="1">+VLOOKUP($A140,INDIRECT(Adrese!D$2),6,FALSE)</f>
        <v>0.41449114999999997</v>
      </c>
      <c r="AQ140" s="5">
        <f ca="1">+VLOOKUP($A140,INDIRECT(Adrese!E$2),6,FALSE)</f>
        <v>0.39993362799999999</v>
      </c>
      <c r="AR140" s="5">
        <f ca="1">+VLOOKUP($A140,INDIRECT(Adrese!F$2),6,FALSE)</f>
        <v>0.397057522</v>
      </c>
      <c r="AS140" s="5" t="str">
        <f t="shared" ca="1" si="55"/>
        <v>0.41 (0.01)</v>
      </c>
      <c r="AT140" s="5">
        <f t="shared" ca="1" si="46"/>
        <v>0.40914601759469021</v>
      </c>
      <c r="AU140" s="5">
        <f t="shared" ca="1" si="56"/>
        <v>9.8359260212644243E-3</v>
      </c>
      <c r="AW140" t="s">
        <v>196</v>
      </c>
      <c r="AX140" s="5">
        <f ca="1">+VLOOKUP($A140,INDIRECT(Adrese!B$2),7,FALSE)</f>
        <v>0.62831858407079644</v>
      </c>
      <c r="AY140" s="5">
        <f ca="1">+VLOOKUP($A140,INDIRECT(Adrese!C$2),7,FALSE)</f>
        <v>0.61504424800000002</v>
      </c>
      <c r="AZ140" s="5">
        <f ca="1">+VLOOKUP($A140,INDIRECT(Adrese!D$2),7,FALSE)</f>
        <v>0.66814159299999998</v>
      </c>
      <c r="BA140" s="5">
        <f ca="1">+VLOOKUP($A140,INDIRECT(Adrese!E$2),7,FALSE)</f>
        <v>0.62389380500000002</v>
      </c>
      <c r="BB140" s="5">
        <f ca="1">+VLOOKUP($A140,INDIRECT(Adrese!F$2),7,FALSE)</f>
        <v>0.61504424800000002</v>
      </c>
      <c r="BC140" s="5" t="str">
        <f t="shared" ca="1" si="57"/>
        <v>0.63 (0.02)</v>
      </c>
      <c r="BD140">
        <f t="shared" ca="1" si="47"/>
        <v>0.63008849561415947</v>
      </c>
      <c r="BE140" s="5">
        <f t="shared" ca="1" si="58"/>
        <v>2.2035220511064959E-2</v>
      </c>
      <c r="BG140" t="s">
        <v>196</v>
      </c>
      <c r="BH140" s="5">
        <f ca="1">+VLOOKUP($BG140,INDIRECT(Adrese!B$2),8,FALSE)</f>
        <v>4.1375531505688221E-2</v>
      </c>
      <c r="BI140" s="5">
        <f ca="1">+VLOOKUP($BG140,INDIRECT(Adrese!C$2),8,FALSE)</f>
        <v>4.1571990000000003E-2</v>
      </c>
      <c r="BJ140" s="5">
        <f ca="1">+VLOOKUP($BG140,INDIRECT(Adrese!D$2),8,FALSE)</f>
        <v>4.0855598E-2</v>
      </c>
      <c r="BK140" s="5">
        <f ca="1">+VLOOKUP($BG140,INDIRECT(Adrese!E$2),8,FALSE)</f>
        <v>3.9627638999999999E-2</v>
      </c>
      <c r="BL140" s="5">
        <f ca="1">+VLOOKUP($BG140,INDIRECT(Adrese!F$2),8,FALSE)</f>
        <v>3.9481539000000003E-2</v>
      </c>
      <c r="BM140" s="5" t="str">
        <f t="shared" ca="1" si="59"/>
        <v>0.04 (0.00)</v>
      </c>
      <c r="BN140" s="5">
        <f t="shared" ca="1" si="48"/>
        <v>4.0582459501137647E-2</v>
      </c>
      <c r="BO140" s="5">
        <f t="shared" ca="1" si="60"/>
        <v>9.7550584203265258E-4</v>
      </c>
      <c r="BQ140" t="s">
        <v>196</v>
      </c>
      <c r="BR140" s="5">
        <f ca="1">+VLOOKUP($BG140,INDIRECT(Adrese!B$2),9,FALSE)</f>
        <v>4.8643783178376849E-3</v>
      </c>
      <c r="BS140" s="5">
        <f ca="1">+VLOOKUP($BG140,INDIRECT(Adrese!C$2),9,FALSE)</f>
        <v>5.8676709999999997E-3</v>
      </c>
      <c r="BT140" s="5">
        <f ca="1">+VLOOKUP($BG140,INDIRECT(Adrese!D$2),9,FALSE)</f>
        <v>3.071158E-3</v>
      </c>
      <c r="BU140" s="5">
        <f ca="1">+VLOOKUP($BG140,INDIRECT(Adrese!E$2),9,FALSE)</f>
        <v>7.6959800000000003E-4</v>
      </c>
      <c r="BV140" s="5">
        <f ca="1">+VLOOKUP($BG140,INDIRECT(Adrese!F$2),9,FALSE)</f>
        <v>8.7728700000000003E-4</v>
      </c>
      <c r="BW140" s="5" t="str">
        <f t="shared" ca="1" si="61"/>
        <v>0.00 (0.00)</v>
      </c>
      <c r="BX140" s="5">
        <f t="shared" ca="1" si="49"/>
        <v>3.0900184635675372E-3</v>
      </c>
      <c r="BY140" s="5">
        <f t="shared" ca="1" si="62"/>
        <v>2.2991625584267619E-3</v>
      </c>
    </row>
    <row r="141" spans="1:77" x14ac:dyDescent="0.25">
      <c r="A141" t="s">
        <v>197</v>
      </c>
      <c r="B141" s="12">
        <f ca="1">+VLOOKUP($A141,INDIRECT(Adrese!B$2),2,FALSE)</f>
        <v>139</v>
      </c>
      <c r="C141" s="12">
        <f ca="1">+VLOOKUP($A141,INDIRECT(Adrese!C$2),2,FALSE)</f>
        <v>138</v>
      </c>
      <c r="D141" s="12">
        <f ca="1">+VLOOKUP($A141,INDIRECT(Adrese!D$2),2,FALSE)</f>
        <v>135</v>
      </c>
      <c r="E141" s="12">
        <f ca="1">+VLOOKUP($A141,INDIRECT(Adrese!E$2),2,FALSE)</f>
        <v>134</v>
      </c>
      <c r="F141" s="12">
        <f ca="1">+VLOOKUP($A141,INDIRECT(Adrese!F$2),2,FALSE)</f>
        <v>135</v>
      </c>
      <c r="G141" s="5">
        <f t="shared" ca="1" si="42"/>
        <v>136.19999999999999</v>
      </c>
      <c r="H141" s="5">
        <f t="shared" ca="1" si="50"/>
        <v>2.16794833886788</v>
      </c>
      <c r="J141" t="s">
        <v>197</v>
      </c>
      <c r="K141">
        <f ca="1">+VLOOKUP($A141,INDIRECT(Adrese!B$2),3,FALSE)</f>
        <v>0</v>
      </c>
      <c r="L141">
        <f ca="1">+VLOOKUP($A141,INDIRECT(Adrese!C$2),3,FALSE)</f>
        <v>0</v>
      </c>
      <c r="M141">
        <f ca="1">+VLOOKUP($A141,INDIRECT(Adrese!D$2),3,FALSE)</f>
        <v>0</v>
      </c>
      <c r="N141">
        <f ca="1">+VLOOKUP($A141,INDIRECT(Adrese!E$2),3,FALSE)</f>
        <v>0</v>
      </c>
      <c r="O141">
        <f ca="1">+VLOOKUP($A141,INDIRECT(Adrese!F$2),3,FALSE)</f>
        <v>0</v>
      </c>
      <c r="P141" s="5">
        <f t="shared" ca="1" si="43"/>
        <v>0</v>
      </c>
      <c r="Q141" s="5">
        <f t="shared" ca="1" si="51"/>
        <v>0</v>
      </c>
      <c r="T141" t="s">
        <v>197</v>
      </c>
      <c r="U141">
        <f ca="1">+VLOOKUP($T141,INDIRECT(Adrese!B$2),4,FALSE)</f>
        <v>105279</v>
      </c>
      <c r="V141">
        <f ca="1">+VLOOKUP($T141,INDIRECT(Adrese!C$2),4,FALSE)</f>
        <v>105108</v>
      </c>
      <c r="W141">
        <f ca="1">+VLOOKUP($T141,INDIRECT(Adrese!D$2),4,FALSE)</f>
        <v>105492</v>
      </c>
      <c r="X141">
        <f ca="1">+VLOOKUP($T141,INDIRECT(Adrese!E$2),4,FALSE)</f>
        <v>106071</v>
      </c>
      <c r="Y141">
        <f ca="1">+VLOOKUP($T141,INDIRECT(Adrese!F$2),4,FALSE)</f>
        <v>105570</v>
      </c>
      <c r="Z141">
        <f t="shared" ca="1" si="52"/>
        <v>527520</v>
      </c>
      <c r="AA141" s="5">
        <f t="shared" ca="1" si="44"/>
        <v>105504</v>
      </c>
      <c r="AB141" s="5">
        <f t="shared" ca="1" si="53"/>
        <v>365.18146174196738</v>
      </c>
      <c r="AD141" t="s">
        <v>197</v>
      </c>
      <c r="AE141">
        <f ca="1">+VLOOKUP($A141,INDIRECT(Adrese!B$2),5,FALSE)</f>
        <v>45400</v>
      </c>
      <c r="AF141">
        <f ca="1">+VLOOKUP($A141,INDIRECT(Adrese!C$2),5,FALSE)</f>
        <v>45400</v>
      </c>
      <c r="AG141">
        <f ca="1">+VLOOKUP($A141,INDIRECT(Adrese!D$2),5,FALSE)</f>
        <v>45400</v>
      </c>
      <c r="AH141">
        <f ca="1">+VLOOKUP($A141,INDIRECT(Adrese!E$2),5,FALSE)</f>
        <v>45400</v>
      </c>
      <c r="AI141">
        <f ca="1">+VLOOKUP($A141,INDIRECT(Adrese!F$2),5,FALSE)</f>
        <v>45400</v>
      </c>
      <c r="AJ141" s="5">
        <f t="shared" ca="1" si="45"/>
        <v>45400</v>
      </c>
      <c r="AK141" s="5">
        <f t="shared" ca="1" si="54"/>
        <v>0</v>
      </c>
      <c r="AM141" t="s">
        <v>197</v>
      </c>
      <c r="AN141" s="5">
        <f ca="1">+VLOOKUP($A141,INDIRECT(Adrese!B$2),6,FALSE)</f>
        <v>1</v>
      </c>
      <c r="AO141" s="5">
        <f ca="1">+VLOOKUP($A141,INDIRECT(Adrese!C$2),6,FALSE)</f>
        <v>1</v>
      </c>
      <c r="AP141" s="5">
        <f ca="1">+VLOOKUP($A141,INDIRECT(Adrese!D$2),6,FALSE)</f>
        <v>1</v>
      </c>
      <c r="AQ141" s="5">
        <f ca="1">+VLOOKUP($A141,INDIRECT(Adrese!E$2),6,FALSE)</f>
        <v>1</v>
      </c>
      <c r="AR141" s="5">
        <f ca="1">+VLOOKUP($A141,INDIRECT(Adrese!F$2),6,FALSE)</f>
        <v>1</v>
      </c>
      <c r="AS141" s="5" t="str">
        <f t="shared" ca="1" si="55"/>
        <v>1.00 (0.00)</v>
      </c>
      <c r="AT141" s="5">
        <f t="shared" ca="1" si="46"/>
        <v>1</v>
      </c>
      <c r="AU141" s="5">
        <f t="shared" ca="1" si="56"/>
        <v>0</v>
      </c>
      <c r="AW141" t="s">
        <v>197</v>
      </c>
      <c r="AX141" s="5">
        <f ca="1">+VLOOKUP($A141,INDIRECT(Adrese!B$2),7,FALSE)</f>
        <v>1</v>
      </c>
      <c r="AY141" s="5">
        <f ca="1">+VLOOKUP($A141,INDIRECT(Adrese!C$2),7,FALSE)</f>
        <v>1</v>
      </c>
      <c r="AZ141" s="5">
        <f ca="1">+VLOOKUP($A141,INDIRECT(Adrese!D$2),7,FALSE)</f>
        <v>1</v>
      </c>
      <c r="BA141" s="5">
        <f ca="1">+VLOOKUP($A141,INDIRECT(Adrese!E$2),7,FALSE)</f>
        <v>1</v>
      </c>
      <c r="BB141" s="5">
        <f ca="1">+VLOOKUP($A141,INDIRECT(Adrese!F$2),7,FALSE)</f>
        <v>1</v>
      </c>
      <c r="BC141" s="5" t="str">
        <f t="shared" ca="1" si="57"/>
        <v>1.00 (0.00)</v>
      </c>
      <c r="BD141">
        <f t="shared" ca="1" si="47"/>
        <v>1</v>
      </c>
      <c r="BE141" s="5">
        <f t="shared" ca="1" si="58"/>
        <v>0</v>
      </c>
      <c r="BG141" t="s">
        <v>197</v>
      </c>
      <c r="BH141" s="5">
        <f ca="1">+VLOOKUP($BG141,INDIRECT(Adrese!B$2),8,FALSE)</f>
        <v>8.9794117832106043E-2</v>
      </c>
      <c r="BI141" s="5">
        <f ca="1">+VLOOKUP($BG141,INDIRECT(Adrese!C$2),8,FALSE)</f>
        <v>8.9796418000000003E-2</v>
      </c>
      <c r="BJ141" s="5">
        <f ca="1">+VLOOKUP($BG141,INDIRECT(Adrese!D$2),8,FALSE)</f>
        <v>8.9836949999999999E-2</v>
      </c>
      <c r="BK141" s="5">
        <f ca="1">+VLOOKUP($BG141,INDIRECT(Adrese!E$2),8,FALSE)</f>
        <v>8.9789595E-2</v>
      </c>
      <c r="BL141" s="5">
        <f ca="1">+VLOOKUP($BG141,INDIRECT(Adrese!F$2),8,FALSE)</f>
        <v>8.9971430000000005E-2</v>
      </c>
      <c r="BM141" s="5" t="str">
        <f t="shared" ca="1" si="59"/>
        <v>0.09 (0.00)</v>
      </c>
      <c r="BN141" s="5">
        <f t="shared" ca="1" si="48"/>
        <v>8.9837702166421216E-2</v>
      </c>
      <c r="BO141" s="5">
        <f t="shared" ca="1" si="60"/>
        <v>7.7139444002195193E-5</v>
      </c>
      <c r="BQ141" t="s">
        <v>197</v>
      </c>
      <c r="BR141" s="5">
        <f ca="1">+VLOOKUP($BG141,INDIRECT(Adrese!B$2),9,FALSE)</f>
        <v>7.6727463846233634E-2</v>
      </c>
      <c r="BS141" s="5">
        <f ca="1">+VLOOKUP($BG141,INDIRECT(Adrese!C$2),9,FALSE)</f>
        <v>7.6809084999999999E-2</v>
      </c>
      <c r="BT141" s="5">
        <f ca="1">+VLOOKUP($BG141,INDIRECT(Adrese!D$2),9,FALSE)</f>
        <v>7.6520169999999998E-2</v>
      </c>
      <c r="BU141" s="5">
        <f ca="1">+VLOOKUP($BG141,INDIRECT(Adrese!E$2),9,FALSE)</f>
        <v>7.6815119000000001E-2</v>
      </c>
      <c r="BV141" s="5">
        <f ca="1">+VLOOKUP($BG141,INDIRECT(Adrese!F$2),9,FALSE)</f>
        <v>7.6930709999999999E-2</v>
      </c>
      <c r="BW141" s="5" t="str">
        <f t="shared" ca="1" si="61"/>
        <v>0.08 (0.00)</v>
      </c>
      <c r="BX141" s="5">
        <f t="shared" ca="1" si="49"/>
        <v>7.6760509569246724E-2</v>
      </c>
      <c r="BY141" s="5">
        <f t="shared" ca="1" si="62"/>
        <v>1.5261477433707319E-4</v>
      </c>
    </row>
    <row r="142" spans="1:77" x14ac:dyDescent="0.25">
      <c r="A142" t="s">
        <v>198</v>
      </c>
      <c r="B142" s="12">
        <f ca="1">+VLOOKUP($A142,INDIRECT(Adrese!B$2),2,FALSE)</f>
        <v>140</v>
      </c>
      <c r="C142" s="12">
        <f ca="1">+VLOOKUP($A142,INDIRECT(Adrese!C$2),2,FALSE)</f>
        <v>146</v>
      </c>
      <c r="D142" s="12">
        <f ca="1">+VLOOKUP($A142,INDIRECT(Adrese!D$2),2,FALSE)</f>
        <v>139</v>
      </c>
      <c r="E142" s="12">
        <f ca="1">+VLOOKUP($A142,INDIRECT(Adrese!E$2),2,FALSE)</f>
        <v>144</v>
      </c>
      <c r="F142" s="12">
        <f ca="1">+VLOOKUP($A142,INDIRECT(Adrese!F$2),2,FALSE)</f>
        <v>141</v>
      </c>
      <c r="G142" s="5">
        <f t="shared" ca="1" si="42"/>
        <v>142</v>
      </c>
      <c r="H142" s="5">
        <f t="shared" ca="1" si="50"/>
        <v>2.9154759474226504</v>
      </c>
      <c r="J142" t="s">
        <v>198</v>
      </c>
      <c r="K142">
        <f ca="1">+VLOOKUP($A142,INDIRECT(Adrese!B$2),3,FALSE)</f>
        <v>23</v>
      </c>
      <c r="L142">
        <f ca="1">+VLOOKUP($A142,INDIRECT(Adrese!C$2),3,FALSE)</f>
        <v>15</v>
      </c>
      <c r="M142">
        <f ca="1">+VLOOKUP($A142,INDIRECT(Adrese!D$2),3,FALSE)</f>
        <v>23</v>
      </c>
      <c r="N142">
        <f ca="1">+VLOOKUP($A142,INDIRECT(Adrese!E$2),3,FALSE)</f>
        <v>20</v>
      </c>
      <c r="O142">
        <f ca="1">+VLOOKUP($A142,INDIRECT(Adrese!F$2),3,FALSE)</f>
        <v>20</v>
      </c>
      <c r="P142" s="5">
        <f t="shared" ca="1" si="43"/>
        <v>20.2</v>
      </c>
      <c r="Q142" s="5">
        <f t="shared" ca="1" si="51"/>
        <v>3.2710854467592236</v>
      </c>
      <c r="T142" t="s">
        <v>198</v>
      </c>
      <c r="U142">
        <f ca="1">+VLOOKUP($T142,INDIRECT(Adrese!B$2),4,FALSE)</f>
        <v>101902</v>
      </c>
      <c r="V142">
        <f ca="1">+VLOOKUP($T142,INDIRECT(Adrese!C$2),4,FALSE)</f>
        <v>100200</v>
      </c>
      <c r="W142">
        <f ca="1">+VLOOKUP($T142,INDIRECT(Adrese!D$2),4,FALSE)</f>
        <v>104582</v>
      </c>
      <c r="X142">
        <f ca="1">+VLOOKUP($T142,INDIRECT(Adrese!E$2),4,FALSE)</f>
        <v>101102</v>
      </c>
      <c r="Y142">
        <f ca="1">+VLOOKUP($T142,INDIRECT(Adrese!F$2),4,FALSE)</f>
        <v>101423</v>
      </c>
      <c r="Z142">
        <f t="shared" ca="1" si="52"/>
        <v>509209</v>
      </c>
      <c r="AA142" s="5">
        <f t="shared" ca="1" si="44"/>
        <v>101841.8</v>
      </c>
      <c r="AB142" s="5">
        <f t="shared" ca="1" si="53"/>
        <v>1653.0672097649267</v>
      </c>
      <c r="AD142" t="s">
        <v>198</v>
      </c>
      <c r="AE142">
        <f ca="1">+VLOOKUP($A142,INDIRECT(Adrese!B$2),5,FALSE)</f>
        <v>43475</v>
      </c>
      <c r="AF142">
        <f ca="1">+VLOOKUP($A142,INDIRECT(Adrese!C$2),5,FALSE)</f>
        <v>43679</v>
      </c>
      <c r="AG142">
        <f ca="1">+VLOOKUP($A142,INDIRECT(Adrese!D$2),5,FALSE)</f>
        <v>44274</v>
      </c>
      <c r="AH142">
        <f ca="1">+VLOOKUP($A142,INDIRECT(Adrese!E$2),5,FALSE)</f>
        <v>43670</v>
      </c>
      <c r="AI142">
        <f ca="1">+VLOOKUP($A142,INDIRECT(Adrese!F$2),5,FALSE)</f>
        <v>43449</v>
      </c>
      <c r="AJ142" s="5">
        <f t="shared" ca="1" si="45"/>
        <v>43709.4</v>
      </c>
      <c r="AK142" s="5">
        <f t="shared" ca="1" si="54"/>
        <v>333.16707520401832</v>
      </c>
      <c r="AM142" t="s">
        <v>198</v>
      </c>
      <c r="AN142" s="5">
        <f ca="1">+VLOOKUP($A142,INDIRECT(Adrese!B$2),6,FALSE)</f>
        <v>0.96183628318584069</v>
      </c>
      <c r="AO142" s="5">
        <f ca="1">+VLOOKUP($A142,INDIRECT(Adrese!C$2),6,FALSE)</f>
        <v>0.96194690299999996</v>
      </c>
      <c r="AP142" s="5">
        <f ca="1">+VLOOKUP($A142,INDIRECT(Adrese!D$2),6,FALSE)</f>
        <v>0.97951327399999999</v>
      </c>
      <c r="AQ142" s="5">
        <f ca="1">+VLOOKUP($A142,INDIRECT(Adrese!E$2),6,FALSE)</f>
        <v>0.96172566400000004</v>
      </c>
      <c r="AR142" s="5">
        <f ca="1">+VLOOKUP($A142,INDIRECT(Adrese!F$2),6,FALSE)</f>
        <v>0.96126106200000005</v>
      </c>
      <c r="AS142" s="5" t="str">
        <f t="shared" ca="1" si="55"/>
        <v>0.97 (0.01)</v>
      </c>
      <c r="AT142" s="5">
        <f t="shared" ca="1" si="46"/>
        <v>0.96525663723716826</v>
      </c>
      <c r="AU142" s="5">
        <f t="shared" ca="1" si="56"/>
        <v>7.9739771729970491E-3</v>
      </c>
      <c r="AW142" t="s">
        <v>198</v>
      </c>
      <c r="AX142" s="5">
        <f ca="1">+VLOOKUP($A142,INDIRECT(Adrese!B$2),7,FALSE)</f>
        <v>0.89823008849557517</v>
      </c>
      <c r="AY142" s="5">
        <f ca="1">+VLOOKUP($A142,INDIRECT(Adrese!C$2),7,FALSE)</f>
        <v>0.93362831899999998</v>
      </c>
      <c r="AZ142" s="5">
        <f ca="1">+VLOOKUP($A142,INDIRECT(Adrese!D$2),7,FALSE)</f>
        <v>0.89823008800000004</v>
      </c>
      <c r="BA142" s="5">
        <f ca="1">+VLOOKUP($A142,INDIRECT(Adrese!E$2),7,FALSE)</f>
        <v>0.91150442499999995</v>
      </c>
      <c r="BB142" s="5">
        <f ca="1">+VLOOKUP($A142,INDIRECT(Adrese!F$2),7,FALSE)</f>
        <v>0.91150442499999995</v>
      </c>
      <c r="BC142" s="5" t="str">
        <f t="shared" ca="1" si="57"/>
        <v>0.91 (0.01)</v>
      </c>
      <c r="BD142">
        <f t="shared" ca="1" si="47"/>
        <v>0.91061946909911495</v>
      </c>
      <c r="BE142" s="5">
        <f t="shared" ca="1" si="58"/>
        <v>1.4473829688553002E-2</v>
      </c>
      <c r="BG142" t="s">
        <v>198</v>
      </c>
      <c r="BH142" s="5">
        <f ca="1">+VLOOKUP($BG142,INDIRECT(Adrese!B$2),8,FALSE)</f>
        <v>8.664337253011449E-2</v>
      </c>
      <c r="BI142" s="5">
        <f ca="1">+VLOOKUP($BG142,INDIRECT(Adrese!C$2),8,FALSE)</f>
        <v>8.7815051000000005E-2</v>
      </c>
      <c r="BJ142" s="5">
        <f ca="1">+VLOOKUP($BG142,INDIRECT(Adrese!D$2),8,FALSE)</f>
        <v>8.7813350999999998E-2</v>
      </c>
      <c r="BK142" s="5">
        <f ca="1">+VLOOKUP($BG142,INDIRECT(Adrese!E$2),8,FALSE)</f>
        <v>8.7577079000000002E-2</v>
      </c>
      <c r="BL142" s="5">
        <f ca="1">+VLOOKUP($BG142,INDIRECT(Adrese!F$2),8,FALSE)</f>
        <v>8.7003943E-2</v>
      </c>
      <c r="BM142" s="5" t="str">
        <f t="shared" ca="1" si="59"/>
        <v>0.09 (0.00)</v>
      </c>
      <c r="BN142" s="5">
        <f t="shared" ca="1" si="48"/>
        <v>8.7370559306022888E-2</v>
      </c>
      <c r="BO142" s="5">
        <f t="shared" ca="1" si="60"/>
        <v>5.2428423998058637E-4</v>
      </c>
      <c r="BQ142" t="s">
        <v>198</v>
      </c>
      <c r="BR142" s="5">
        <f ca="1">+VLOOKUP($BG142,INDIRECT(Adrese!B$2),9,FALSE)</f>
        <v>7.4228940781995434E-2</v>
      </c>
      <c r="BS142" s="5">
        <f ca="1">+VLOOKUP($BG142,INDIRECT(Adrese!C$2),9,FALSE)</f>
        <v>7.7359506999999994E-2</v>
      </c>
      <c r="BT142" s="5">
        <f ca="1">+VLOOKUP($BG142,INDIRECT(Adrese!D$2),9,FALSE)</f>
        <v>7.3929034000000005E-2</v>
      </c>
      <c r="BU142" s="5">
        <f ca="1">+VLOOKUP($BG142,INDIRECT(Adrese!E$2),9,FALSE)</f>
        <v>7.6576533000000002E-2</v>
      </c>
      <c r="BV142" s="5">
        <f ca="1">+VLOOKUP($BG142,INDIRECT(Adrese!F$2),9,FALSE)</f>
        <v>7.4809264E-2</v>
      </c>
      <c r="BW142" s="5" t="str">
        <f t="shared" ca="1" si="61"/>
        <v>0.08 (0.00)</v>
      </c>
      <c r="BX142" s="5">
        <f t="shared" ca="1" si="49"/>
        <v>7.5380655756399087E-2</v>
      </c>
      <c r="BY142" s="5">
        <f t="shared" ca="1" si="62"/>
        <v>1.5088171088025362E-3</v>
      </c>
    </row>
    <row r="143" spans="1:77" x14ac:dyDescent="0.25">
      <c r="A143" t="s">
        <v>18</v>
      </c>
      <c r="B143" s="12">
        <f ca="1">+VLOOKUP($A143,INDIRECT(Adrese!B$2),2,FALSE)</f>
        <v>141</v>
      </c>
      <c r="C143" s="12">
        <f ca="1">+VLOOKUP($A143,INDIRECT(Adrese!C$2),2,FALSE)</f>
        <v>140</v>
      </c>
      <c r="D143" s="12">
        <f ca="1">+VLOOKUP($A143,INDIRECT(Adrese!D$2),2,FALSE)</f>
        <v>141</v>
      </c>
      <c r="E143" s="12">
        <f ca="1">+VLOOKUP($A143,INDIRECT(Adrese!E$2),2,FALSE)</f>
        <v>140</v>
      </c>
      <c r="F143" s="12">
        <f ca="1">+VLOOKUP($A143,INDIRECT(Adrese!F$2),2,FALSE)</f>
        <v>140</v>
      </c>
      <c r="G143" s="5">
        <f t="shared" ca="1" si="42"/>
        <v>140.4</v>
      </c>
      <c r="H143" s="5">
        <f t="shared" ca="1" si="50"/>
        <v>0.54772255750516607</v>
      </c>
      <c r="J143" t="s">
        <v>18</v>
      </c>
      <c r="K143">
        <f ca="1">+VLOOKUP($A143,INDIRECT(Adrese!B$2),3,FALSE)</f>
        <v>114</v>
      </c>
      <c r="L143">
        <f ca="1">+VLOOKUP($A143,INDIRECT(Adrese!C$2),3,FALSE)</f>
        <v>113</v>
      </c>
      <c r="M143">
        <f ca="1">+VLOOKUP($A143,INDIRECT(Adrese!D$2),3,FALSE)</f>
        <v>117</v>
      </c>
      <c r="N143">
        <f ca="1">+VLOOKUP($A143,INDIRECT(Adrese!E$2),3,FALSE)</f>
        <v>112</v>
      </c>
      <c r="O143">
        <f ca="1">+VLOOKUP($A143,INDIRECT(Adrese!F$2),3,FALSE)</f>
        <v>115</v>
      </c>
      <c r="P143" s="5">
        <f t="shared" ca="1" si="43"/>
        <v>114.2</v>
      </c>
      <c r="Q143" s="5">
        <f t="shared" ca="1" si="51"/>
        <v>1.9235384061671343</v>
      </c>
      <c r="T143" t="s">
        <v>18</v>
      </c>
      <c r="U143">
        <f ca="1">+VLOOKUP($T143,INDIRECT(Adrese!B$2),4,FALSE)</f>
        <v>101220</v>
      </c>
      <c r="V143">
        <f ca="1">+VLOOKUP($T143,INDIRECT(Adrese!C$2),4,FALSE)</f>
        <v>101653</v>
      </c>
      <c r="W143">
        <f ca="1">+VLOOKUP($T143,INDIRECT(Adrese!D$2),4,FALSE)</f>
        <v>102706</v>
      </c>
      <c r="X143">
        <f ca="1">+VLOOKUP($T143,INDIRECT(Adrese!E$2),4,FALSE)</f>
        <v>101503</v>
      </c>
      <c r="Y143">
        <f ca="1">+VLOOKUP($T143,INDIRECT(Adrese!F$2),4,FALSE)</f>
        <v>103209</v>
      </c>
      <c r="Z143">
        <f t="shared" ca="1" si="52"/>
        <v>510291</v>
      </c>
      <c r="AA143" s="5">
        <f t="shared" ca="1" si="44"/>
        <v>102058.2</v>
      </c>
      <c r="AB143" s="5">
        <f t="shared" ca="1" si="53"/>
        <v>854.25388497799645</v>
      </c>
      <c r="AD143" t="s">
        <v>18</v>
      </c>
      <c r="AE143">
        <f ca="1">+VLOOKUP($A143,INDIRECT(Adrese!B$2),5,FALSE)</f>
        <v>13059</v>
      </c>
      <c r="AF143">
        <f ca="1">+VLOOKUP($A143,INDIRECT(Adrese!C$2),5,FALSE)</f>
        <v>13257</v>
      </c>
      <c r="AG143">
        <f ca="1">+VLOOKUP($A143,INDIRECT(Adrese!D$2),5,FALSE)</f>
        <v>13925</v>
      </c>
      <c r="AH143">
        <f ca="1">+VLOOKUP($A143,INDIRECT(Adrese!E$2),5,FALSE)</f>
        <v>13986</v>
      </c>
      <c r="AI143">
        <f ca="1">+VLOOKUP($A143,INDIRECT(Adrese!F$2),5,FALSE)</f>
        <v>13867</v>
      </c>
      <c r="AJ143" s="5">
        <f t="shared" ca="1" si="45"/>
        <v>13618.8</v>
      </c>
      <c r="AK143" s="5">
        <f t="shared" ca="1" si="54"/>
        <v>428.50694276755888</v>
      </c>
      <c r="AM143" t="s">
        <v>18</v>
      </c>
      <c r="AN143" s="5">
        <f ca="1">+VLOOKUP($A143,INDIRECT(Adrese!B$2),6,FALSE)</f>
        <v>0.28891592920353981</v>
      </c>
      <c r="AO143" s="5">
        <f ca="1">+VLOOKUP($A143,INDIRECT(Adrese!C$2),6,FALSE)</f>
        <v>0.29329645999999998</v>
      </c>
      <c r="AP143" s="5">
        <f ca="1">+VLOOKUP($A143,INDIRECT(Adrese!D$2),6,FALSE)</f>
        <v>0.30807522100000001</v>
      </c>
      <c r="AQ143" s="5">
        <f ca="1">+VLOOKUP($A143,INDIRECT(Adrese!E$2),6,FALSE)</f>
        <v>0.30942477899999998</v>
      </c>
      <c r="AR143" s="5">
        <f ca="1">+VLOOKUP($A143,INDIRECT(Adrese!F$2),6,FALSE)</f>
        <v>0.30679203500000002</v>
      </c>
      <c r="AS143" s="5" t="str">
        <f t="shared" ca="1" si="55"/>
        <v>0.30 (0.01)</v>
      </c>
      <c r="AT143" s="5">
        <f t="shared" ca="1" si="46"/>
        <v>0.30130088484070794</v>
      </c>
      <c r="AU143" s="5">
        <f t="shared" ca="1" si="56"/>
        <v>9.4802420848247599E-3</v>
      </c>
      <c r="AW143" t="s">
        <v>18</v>
      </c>
      <c r="AX143" s="5">
        <f ca="1">+VLOOKUP($A143,INDIRECT(Adrese!B$2),7,FALSE)</f>
        <v>0.49557522123893799</v>
      </c>
      <c r="AY143" s="5">
        <f ca="1">+VLOOKUP($A143,INDIRECT(Adrese!C$2),7,FALSE)</f>
        <v>0.5</v>
      </c>
      <c r="AZ143" s="5">
        <f ca="1">+VLOOKUP($A143,INDIRECT(Adrese!D$2),7,FALSE)</f>
        <v>0.48230088500000001</v>
      </c>
      <c r="BA143" s="5">
        <f ca="1">+VLOOKUP($A143,INDIRECT(Adrese!E$2),7,FALSE)</f>
        <v>0.50442477900000005</v>
      </c>
      <c r="BB143" s="5">
        <f ca="1">+VLOOKUP($A143,INDIRECT(Adrese!F$2),7,FALSE)</f>
        <v>0.49115044200000002</v>
      </c>
      <c r="BC143" s="5" t="str">
        <f t="shared" ca="1" si="57"/>
        <v>0.49 (0.01)</v>
      </c>
      <c r="BD143">
        <f t="shared" ca="1" si="47"/>
        <v>0.4946902654477876</v>
      </c>
      <c r="BE143" s="5">
        <f t="shared" ca="1" si="58"/>
        <v>8.5112319876000427E-3</v>
      </c>
      <c r="BG143" t="s">
        <v>18</v>
      </c>
      <c r="BH143" s="5">
        <f ca="1">+VLOOKUP($BG143,INDIRECT(Adrese!B$2),8,FALSE)</f>
        <v>2.814965331373093E-2</v>
      </c>
      <c r="BI143" s="5">
        <f ca="1">+VLOOKUP($BG143,INDIRECT(Adrese!C$2),8,FALSE)</f>
        <v>2.8546721000000001E-2</v>
      </c>
      <c r="BJ143" s="5">
        <f ca="1">+VLOOKUP($BG143,INDIRECT(Adrese!D$2),8,FALSE)</f>
        <v>2.9612796E-2</v>
      </c>
      <c r="BK143" s="5">
        <f ca="1">+VLOOKUP($BG143,INDIRECT(Adrese!E$2),8,FALSE)</f>
        <v>2.9605123000000001E-2</v>
      </c>
      <c r="BL143" s="5">
        <f ca="1">+VLOOKUP($BG143,INDIRECT(Adrese!F$2),8,FALSE)</f>
        <v>2.9842487000000001E-2</v>
      </c>
      <c r="BM143" s="5" t="str">
        <f t="shared" ca="1" si="59"/>
        <v>0.03 (0.00)</v>
      </c>
      <c r="BN143" s="5">
        <f t="shared" ca="1" si="48"/>
        <v>2.9151356062746187E-2</v>
      </c>
      <c r="BO143" s="5">
        <f t="shared" ca="1" si="60"/>
        <v>7.5257643763833911E-4</v>
      </c>
      <c r="BQ143" t="s">
        <v>18</v>
      </c>
      <c r="BR143" s="5">
        <f ca="1">+VLOOKUP($BG143,INDIRECT(Adrese!B$2),9,FALSE)</f>
        <v>-2.0292196156207091E-2</v>
      </c>
      <c r="BS143" s="5">
        <f ca="1">+VLOOKUP($BG143,INDIRECT(Adrese!C$2),9,FALSE)</f>
        <v>-1.9525931999999999E-2</v>
      </c>
      <c r="BT143" s="5">
        <f ca="1">+VLOOKUP($BG143,INDIRECT(Adrese!D$2),9,FALSE)</f>
        <v>-1.8283337E-2</v>
      </c>
      <c r="BU143" s="5">
        <f ca="1">+VLOOKUP($BG143,INDIRECT(Adrese!E$2),9,FALSE)</f>
        <v>-1.8614372000000001E-2</v>
      </c>
      <c r="BV143" s="5">
        <f ca="1">+VLOOKUP($BG143,INDIRECT(Adrese!F$2),9,FALSE)</f>
        <v>-1.7247664999999999E-2</v>
      </c>
      <c r="BW143" s="5" t="str">
        <f t="shared" ca="1" si="61"/>
        <v>-0.02 (0.00)</v>
      </c>
      <c r="BX143" s="5">
        <f t="shared" ca="1" si="49"/>
        <v>-1.879270043124142E-2</v>
      </c>
      <c r="BY143" s="5">
        <f t="shared" ca="1" si="62"/>
        <v>1.1688137769637335E-3</v>
      </c>
    </row>
    <row r="144" spans="1:77" x14ac:dyDescent="0.25">
      <c r="A144" t="s">
        <v>199</v>
      </c>
      <c r="B144" s="12">
        <f ca="1">+VLOOKUP($A144,INDIRECT(Adrese!B$2),2,FALSE)</f>
        <v>142</v>
      </c>
      <c r="C144" s="12">
        <f ca="1">+VLOOKUP($A144,INDIRECT(Adrese!C$2),2,FALSE)</f>
        <v>142</v>
      </c>
      <c r="D144" s="12">
        <f ca="1">+VLOOKUP($A144,INDIRECT(Adrese!D$2),2,FALSE)</f>
        <v>143</v>
      </c>
      <c r="E144" s="12">
        <f ca="1">+VLOOKUP($A144,INDIRECT(Adrese!E$2),2,FALSE)</f>
        <v>141</v>
      </c>
      <c r="F144" s="12">
        <f ca="1">+VLOOKUP($A144,INDIRECT(Adrese!F$2),2,FALSE)</f>
        <v>143</v>
      </c>
      <c r="G144" s="5">
        <f t="shared" ca="1" si="42"/>
        <v>142.19999999999999</v>
      </c>
      <c r="H144" s="5">
        <f t="shared" ca="1" si="50"/>
        <v>0.83666002653407556</v>
      </c>
      <c r="J144" t="s">
        <v>199</v>
      </c>
      <c r="K144">
        <f ca="1">+VLOOKUP($A144,INDIRECT(Adrese!B$2),3,FALSE)</f>
        <v>102</v>
      </c>
      <c r="L144">
        <f ca="1">+VLOOKUP($A144,INDIRECT(Adrese!C$2),3,FALSE)</f>
        <v>101</v>
      </c>
      <c r="M144">
        <f ca="1">+VLOOKUP($A144,INDIRECT(Adrese!D$2),3,FALSE)</f>
        <v>104</v>
      </c>
      <c r="N144">
        <f ca="1">+VLOOKUP($A144,INDIRECT(Adrese!E$2),3,FALSE)</f>
        <v>102</v>
      </c>
      <c r="O144">
        <f ca="1">+VLOOKUP($A144,INDIRECT(Adrese!F$2),3,FALSE)</f>
        <v>103</v>
      </c>
      <c r="P144" s="5">
        <f t="shared" ca="1" si="43"/>
        <v>102.4</v>
      </c>
      <c r="Q144" s="5">
        <f t="shared" ca="1" si="51"/>
        <v>1.1401754250991381</v>
      </c>
      <c r="T144" t="s">
        <v>199</v>
      </c>
      <c r="U144">
        <f ca="1">+VLOOKUP($T144,INDIRECT(Adrese!B$2),4,FALSE)</f>
        <v>100739</v>
      </c>
      <c r="V144">
        <f ca="1">+VLOOKUP($T144,INDIRECT(Adrese!C$2),4,FALSE)</f>
        <v>100718</v>
      </c>
      <c r="W144">
        <f ca="1">+VLOOKUP($T144,INDIRECT(Adrese!D$2),4,FALSE)</f>
        <v>101172</v>
      </c>
      <c r="X144">
        <f ca="1">+VLOOKUP($T144,INDIRECT(Adrese!E$2),4,FALSE)</f>
        <v>101356</v>
      </c>
      <c r="Y144">
        <f ca="1">+VLOOKUP($T144,INDIRECT(Adrese!F$2),4,FALSE)</f>
        <v>101310</v>
      </c>
      <c r="Z144">
        <f t="shared" ca="1" si="52"/>
        <v>505295</v>
      </c>
      <c r="AA144" s="5">
        <f t="shared" ca="1" si="44"/>
        <v>101059</v>
      </c>
      <c r="AB144" s="5">
        <f t="shared" ca="1" si="53"/>
        <v>309.29759132589442</v>
      </c>
      <c r="AD144" t="s">
        <v>199</v>
      </c>
      <c r="AE144">
        <f ca="1">+VLOOKUP($A144,INDIRECT(Adrese!B$2),5,FALSE)</f>
        <v>23084</v>
      </c>
      <c r="AF144">
        <f ca="1">+VLOOKUP($A144,INDIRECT(Adrese!C$2),5,FALSE)</f>
        <v>23088</v>
      </c>
      <c r="AG144">
        <f ca="1">+VLOOKUP($A144,INDIRECT(Adrese!D$2),5,FALSE)</f>
        <v>23168</v>
      </c>
      <c r="AH144">
        <f ca="1">+VLOOKUP($A144,INDIRECT(Adrese!E$2),5,FALSE)</f>
        <v>23224</v>
      </c>
      <c r="AI144">
        <f ca="1">+VLOOKUP($A144,INDIRECT(Adrese!F$2),5,FALSE)</f>
        <v>23222</v>
      </c>
      <c r="AJ144" s="5">
        <f t="shared" ca="1" si="45"/>
        <v>23157.200000000001</v>
      </c>
      <c r="AK144" s="5">
        <f t="shared" ca="1" si="54"/>
        <v>68.783719003845675</v>
      </c>
      <c r="AM144" t="s">
        <v>199</v>
      </c>
      <c r="AN144" s="5">
        <f ca="1">+VLOOKUP($A144,INDIRECT(Adrese!B$2),6,FALSE)</f>
        <v>0.50849557522123889</v>
      </c>
      <c r="AO144" s="5">
        <f ca="1">+VLOOKUP($A144,INDIRECT(Adrese!C$2),6,FALSE)</f>
        <v>0.50858407100000003</v>
      </c>
      <c r="AP144" s="5">
        <f ca="1">+VLOOKUP($A144,INDIRECT(Adrese!D$2),6,FALSE)</f>
        <v>0.51035398200000004</v>
      </c>
      <c r="AQ144" s="5">
        <f ca="1">+VLOOKUP($A144,INDIRECT(Adrese!E$2),6,FALSE)</f>
        <v>0.51159292000000001</v>
      </c>
      <c r="AR144" s="5">
        <f ca="1">+VLOOKUP($A144,INDIRECT(Adrese!F$2),6,FALSE)</f>
        <v>0.51154867299999995</v>
      </c>
      <c r="AS144" s="5" t="str">
        <f t="shared" ca="1" si="55"/>
        <v>0.51 (0.00)</v>
      </c>
      <c r="AT144" s="5">
        <f t="shared" ca="1" si="46"/>
        <v>0.51011504424424781</v>
      </c>
      <c r="AU144" s="5">
        <f t="shared" ca="1" si="56"/>
        <v>1.5217636479568301E-3</v>
      </c>
      <c r="AW144" t="s">
        <v>199</v>
      </c>
      <c r="AX144" s="5">
        <f ca="1">+VLOOKUP($A144,INDIRECT(Adrese!B$2),7,FALSE)</f>
        <v>0.54867256637168138</v>
      </c>
      <c r="AY144" s="5">
        <f ca="1">+VLOOKUP($A144,INDIRECT(Adrese!C$2),7,FALSE)</f>
        <v>0.55309734499999996</v>
      </c>
      <c r="AZ144" s="5">
        <f ca="1">+VLOOKUP($A144,INDIRECT(Adrese!D$2),7,FALSE)</f>
        <v>0.53982300900000002</v>
      </c>
      <c r="BA144" s="5">
        <f ca="1">+VLOOKUP($A144,INDIRECT(Adrese!E$2),7,FALSE)</f>
        <v>0.54867256600000003</v>
      </c>
      <c r="BB144" s="5">
        <f ca="1">+VLOOKUP($A144,INDIRECT(Adrese!F$2),7,FALSE)</f>
        <v>0.54424778799999995</v>
      </c>
      <c r="BC144" s="5" t="str">
        <f t="shared" ca="1" si="57"/>
        <v>0.55 (0.01)</v>
      </c>
      <c r="BD144">
        <f t="shared" ca="1" si="47"/>
        <v>0.5469026548743362</v>
      </c>
      <c r="BE144" s="5">
        <f t="shared" ca="1" si="58"/>
        <v>5.0450238275114362E-3</v>
      </c>
      <c r="BG144" t="s">
        <v>199</v>
      </c>
      <c r="BH144" s="5">
        <f ca="1">+VLOOKUP($BG144,INDIRECT(Adrese!B$2),8,FALSE)</f>
        <v>4.935888122011093E-2</v>
      </c>
      <c r="BI144" s="5">
        <f ca="1">+VLOOKUP($BG144,INDIRECT(Adrese!C$2),8,FALSE)</f>
        <v>4.9430304000000001E-2</v>
      </c>
      <c r="BJ144" s="5">
        <f ca="1">+VLOOKUP($BG144,INDIRECT(Adrese!D$2),8,FALSE)</f>
        <v>4.9646616999999997E-2</v>
      </c>
      <c r="BK144" s="5">
        <f ca="1">+VLOOKUP($BG144,INDIRECT(Adrese!E$2),8,FALSE)</f>
        <v>4.9663395999999999E-2</v>
      </c>
      <c r="BL144" s="5">
        <f ca="1">+VLOOKUP($BG144,INDIRECT(Adrese!F$2),8,FALSE)</f>
        <v>4.9717853999999999E-2</v>
      </c>
      <c r="BM144" s="5" t="str">
        <f t="shared" ca="1" si="59"/>
        <v>0.05 (0.00)</v>
      </c>
      <c r="BN144" s="5">
        <f t="shared" ca="1" si="48"/>
        <v>4.9563410444022189E-2</v>
      </c>
      <c r="BO144" s="5">
        <f t="shared" ca="1" si="60"/>
        <v>1.5836885995905607E-4</v>
      </c>
      <c r="BQ144" t="s">
        <v>199</v>
      </c>
      <c r="BR144" s="5">
        <f ca="1">+VLOOKUP($BG144,INDIRECT(Adrese!B$2),9,FALSE)</f>
        <v>1.3720508689100901E-2</v>
      </c>
      <c r="BS144" s="5">
        <f ca="1">+VLOOKUP($BG144,INDIRECT(Adrese!C$2),9,FALSE)</f>
        <v>1.4079925E-2</v>
      </c>
      <c r="BT144" s="5">
        <f ca="1">+VLOOKUP($BG144,INDIRECT(Adrese!D$2),9,FALSE)</f>
        <v>1.4291066E-2</v>
      </c>
      <c r="BU144" s="5">
        <f ca="1">+VLOOKUP($BG144,INDIRECT(Adrese!E$2),9,FALSE)</f>
        <v>1.4266813999999999E-2</v>
      </c>
      <c r="BV144" s="5">
        <f ca="1">+VLOOKUP($BG144,INDIRECT(Adrese!F$2),9,FALSE)</f>
        <v>1.4105950000000001E-2</v>
      </c>
      <c r="BW144" s="5" t="str">
        <f t="shared" ca="1" si="61"/>
        <v>0.01 (0.00)</v>
      </c>
      <c r="BX144" s="5">
        <f t="shared" ca="1" si="49"/>
        <v>1.4092852737820179E-2</v>
      </c>
      <c r="BY144" s="5">
        <f t="shared" ca="1" si="62"/>
        <v>2.2832530156641703E-4</v>
      </c>
    </row>
    <row r="145" spans="1:77" x14ac:dyDescent="0.25">
      <c r="A145" t="s">
        <v>200</v>
      </c>
      <c r="B145" s="12">
        <f ca="1">+VLOOKUP($A145,INDIRECT(Adrese!B$2),2,FALSE)</f>
        <v>143</v>
      </c>
      <c r="C145" s="12">
        <f ca="1">+VLOOKUP($A145,INDIRECT(Adrese!C$2),2,FALSE)</f>
        <v>143</v>
      </c>
      <c r="D145" s="12">
        <f ca="1">+VLOOKUP($A145,INDIRECT(Adrese!D$2),2,FALSE)</f>
        <v>142</v>
      </c>
      <c r="E145" s="12">
        <f ca="1">+VLOOKUP($A145,INDIRECT(Adrese!E$2),2,FALSE)</f>
        <v>143</v>
      </c>
      <c r="F145" s="12">
        <f ca="1">+VLOOKUP($A145,INDIRECT(Adrese!F$2),2,FALSE)</f>
        <v>142</v>
      </c>
      <c r="G145" s="5">
        <f t="shared" ca="1" si="42"/>
        <v>142.6</v>
      </c>
      <c r="H145" s="5">
        <f t="shared" ca="1" si="50"/>
        <v>0.54772255750516607</v>
      </c>
      <c r="J145" t="s">
        <v>200</v>
      </c>
      <c r="K145">
        <f ca="1">+VLOOKUP($A145,INDIRECT(Adrese!B$2),3,FALSE)</f>
        <v>107</v>
      </c>
      <c r="L145">
        <f ca="1">+VLOOKUP($A145,INDIRECT(Adrese!C$2),3,FALSE)</f>
        <v>108</v>
      </c>
      <c r="M145">
        <f ca="1">+VLOOKUP($A145,INDIRECT(Adrese!D$2),3,FALSE)</f>
        <v>109</v>
      </c>
      <c r="N145">
        <f ca="1">+VLOOKUP($A145,INDIRECT(Adrese!E$2),3,FALSE)</f>
        <v>108</v>
      </c>
      <c r="O145">
        <f ca="1">+VLOOKUP($A145,INDIRECT(Adrese!F$2),3,FALSE)</f>
        <v>109</v>
      </c>
      <c r="P145" s="5">
        <f t="shared" ca="1" si="43"/>
        <v>108.2</v>
      </c>
      <c r="Q145" s="5">
        <f t="shared" ca="1" si="51"/>
        <v>0.83666002653407556</v>
      </c>
      <c r="T145" t="s">
        <v>200</v>
      </c>
      <c r="U145">
        <f ca="1">+VLOOKUP($T145,INDIRECT(Adrese!B$2),4,FALSE)</f>
        <v>100145</v>
      </c>
      <c r="V145">
        <f ca="1">+VLOOKUP($T145,INDIRECT(Adrese!C$2),4,FALSE)</f>
        <v>100497</v>
      </c>
      <c r="W145">
        <f ca="1">+VLOOKUP($T145,INDIRECT(Adrese!D$2),4,FALSE)</f>
        <v>101390</v>
      </c>
      <c r="X145">
        <f ca="1">+VLOOKUP($T145,INDIRECT(Adrese!E$2),4,FALSE)</f>
        <v>101167</v>
      </c>
      <c r="Y145">
        <f ca="1">+VLOOKUP($T145,INDIRECT(Adrese!F$2),4,FALSE)</f>
        <v>101373</v>
      </c>
      <c r="Z145">
        <f t="shared" ca="1" si="52"/>
        <v>504572</v>
      </c>
      <c r="AA145" s="5">
        <f t="shared" ca="1" si="44"/>
        <v>100914.4</v>
      </c>
      <c r="AB145" s="5">
        <f t="shared" ca="1" si="53"/>
        <v>562.69778744899997</v>
      </c>
      <c r="AD145" t="s">
        <v>200</v>
      </c>
      <c r="AE145">
        <f ca="1">+VLOOKUP($A145,INDIRECT(Adrese!B$2),5,FALSE)</f>
        <v>23853</v>
      </c>
      <c r="AF145">
        <f ca="1">+VLOOKUP($A145,INDIRECT(Adrese!C$2),5,FALSE)</f>
        <v>23664</v>
      </c>
      <c r="AG145">
        <f ca="1">+VLOOKUP($A145,INDIRECT(Adrese!D$2),5,FALSE)</f>
        <v>24042</v>
      </c>
      <c r="AH145">
        <f ca="1">+VLOOKUP($A145,INDIRECT(Adrese!E$2),5,FALSE)</f>
        <v>23664</v>
      </c>
      <c r="AI145">
        <f ca="1">+VLOOKUP($A145,INDIRECT(Adrese!F$2),5,FALSE)</f>
        <v>24231</v>
      </c>
      <c r="AJ145" s="5">
        <f t="shared" ca="1" si="45"/>
        <v>23890.799999999999</v>
      </c>
      <c r="AK145" s="5">
        <f t="shared" ca="1" si="54"/>
        <v>246.42585091666012</v>
      </c>
      <c r="AM145" t="s">
        <v>200</v>
      </c>
      <c r="AN145" s="5">
        <f ca="1">+VLOOKUP($A145,INDIRECT(Adrese!B$2),6,FALSE)</f>
        <v>0.52340707964601774</v>
      </c>
      <c r="AO145" s="5">
        <f ca="1">+VLOOKUP($A145,INDIRECT(Adrese!C$2),6,FALSE)</f>
        <v>0.51922566400000003</v>
      </c>
      <c r="AP145" s="5">
        <f ca="1">+VLOOKUP($A145,INDIRECT(Adrese!D$2),6,FALSE)</f>
        <v>0.52758849600000002</v>
      </c>
      <c r="AQ145" s="5">
        <f ca="1">+VLOOKUP($A145,INDIRECT(Adrese!E$2),6,FALSE)</f>
        <v>0.51922566400000003</v>
      </c>
      <c r="AR145" s="5">
        <f ca="1">+VLOOKUP($A145,INDIRECT(Adrese!F$2),6,FALSE)</f>
        <v>0.53176991200000001</v>
      </c>
      <c r="AS145" s="5" t="str">
        <f t="shared" ca="1" si="55"/>
        <v>0.52 (0.01)</v>
      </c>
      <c r="AT145" s="5">
        <f t="shared" ca="1" si="46"/>
        <v>0.52424336312920361</v>
      </c>
      <c r="AU145" s="5">
        <f t="shared" ca="1" si="56"/>
        <v>5.4518994624451625E-3</v>
      </c>
      <c r="AW145" t="s">
        <v>200</v>
      </c>
      <c r="AX145" s="5">
        <f ca="1">+VLOOKUP($A145,INDIRECT(Adrese!B$2),7,FALSE)</f>
        <v>0.52654867256637172</v>
      </c>
      <c r="AY145" s="5">
        <f ca="1">+VLOOKUP($A145,INDIRECT(Adrese!C$2),7,FALSE)</f>
        <v>0.52212389400000003</v>
      </c>
      <c r="AZ145" s="5">
        <f ca="1">+VLOOKUP($A145,INDIRECT(Adrese!D$2),7,FALSE)</f>
        <v>0.51769911499999999</v>
      </c>
      <c r="BA145" s="5">
        <f ca="1">+VLOOKUP($A145,INDIRECT(Adrese!E$2),7,FALSE)</f>
        <v>0.52212389400000003</v>
      </c>
      <c r="BB145" s="5">
        <f ca="1">+VLOOKUP($A145,INDIRECT(Adrese!F$2),7,FALSE)</f>
        <v>0.51769911499999999</v>
      </c>
      <c r="BC145" s="5" t="str">
        <f t="shared" ca="1" si="57"/>
        <v>0.52 (0.00)</v>
      </c>
      <c r="BD145">
        <f t="shared" ca="1" si="47"/>
        <v>0.52123893811327437</v>
      </c>
      <c r="BE145" s="5">
        <f t="shared" ca="1" si="58"/>
        <v>3.7020355600619554E-3</v>
      </c>
      <c r="BG145" t="s">
        <v>200</v>
      </c>
      <c r="BH145" s="5">
        <f ca="1">+VLOOKUP($BG145,INDIRECT(Adrese!B$2),8,FALSE)</f>
        <v>4.9764541099790359E-2</v>
      </c>
      <c r="BI145" s="5">
        <f ca="1">+VLOOKUP($BG145,INDIRECT(Adrese!C$2),8,FALSE)</f>
        <v>4.9066044000000003E-2</v>
      </c>
      <c r="BJ145" s="5">
        <f ca="1">+VLOOKUP($BG145,INDIRECT(Adrese!D$2),8,FALSE)</f>
        <v>4.9374901999999998E-2</v>
      </c>
      <c r="BK145" s="5">
        <f ca="1">+VLOOKUP($BG145,INDIRECT(Adrese!E$2),8,FALSE)</f>
        <v>4.9152126999999997E-2</v>
      </c>
      <c r="BL145" s="5">
        <f ca="1">+VLOOKUP($BG145,INDIRECT(Adrese!F$2),8,FALSE)</f>
        <v>5.0078405999999999E-2</v>
      </c>
      <c r="BM145" s="5" t="str">
        <f t="shared" ca="1" si="59"/>
        <v>0.05 (0.00)</v>
      </c>
      <c r="BN145" s="5">
        <f t="shared" ca="1" si="48"/>
        <v>4.948720401995807E-2</v>
      </c>
      <c r="BO145" s="5">
        <f t="shared" ca="1" si="60"/>
        <v>4.2681956154126894E-4</v>
      </c>
      <c r="BQ145" t="s">
        <v>200</v>
      </c>
      <c r="BR145" s="5">
        <f ca="1">+VLOOKUP($BG145,INDIRECT(Adrese!B$2),9,FALSE)</f>
        <v>2.433061424529346E-2</v>
      </c>
      <c r="BS145" s="5">
        <f ca="1">+VLOOKUP($BG145,INDIRECT(Adrese!C$2),9,FALSE)</f>
        <v>2.2677507E-2</v>
      </c>
      <c r="BT145" s="5">
        <f ca="1">+VLOOKUP($BG145,INDIRECT(Adrese!D$2),9,FALSE)</f>
        <v>2.1932769000000001E-2</v>
      </c>
      <c r="BU145" s="5">
        <f ca="1">+VLOOKUP($BG145,INDIRECT(Adrese!E$2),9,FALSE)</f>
        <v>2.3339326000000001E-2</v>
      </c>
      <c r="BV145" s="5">
        <f ca="1">+VLOOKUP($BG145,INDIRECT(Adrese!F$2),9,FALSE)</f>
        <v>2.3545097000000001E-2</v>
      </c>
      <c r="BW145" s="5" t="str">
        <f t="shared" ca="1" si="61"/>
        <v>0.02 (0.00)</v>
      </c>
      <c r="BX145" s="5">
        <f t="shared" ca="1" si="49"/>
        <v>2.3165062649058689E-2</v>
      </c>
      <c r="BY145" s="5">
        <f t="shared" ca="1" si="62"/>
        <v>9.0685755431896753E-4</v>
      </c>
    </row>
    <row r="146" spans="1:77" x14ac:dyDescent="0.25">
      <c r="A146" t="s">
        <v>201</v>
      </c>
      <c r="B146" s="12">
        <f ca="1">+VLOOKUP($A146,INDIRECT(Adrese!B$2),2,FALSE)</f>
        <v>144</v>
      </c>
      <c r="C146" s="12">
        <f ca="1">+VLOOKUP($A146,INDIRECT(Adrese!C$2),2,FALSE)</f>
        <v>147</v>
      </c>
      <c r="D146" s="12">
        <f ca="1">+VLOOKUP($A146,INDIRECT(Adrese!D$2),2,FALSE)</f>
        <v>151</v>
      </c>
      <c r="E146" s="12">
        <f ca="1">+VLOOKUP($A146,INDIRECT(Adrese!E$2),2,FALSE)</f>
        <v>145</v>
      </c>
      <c r="F146" s="12">
        <f ca="1">+VLOOKUP($A146,INDIRECT(Adrese!F$2),2,FALSE)</f>
        <v>147</v>
      </c>
      <c r="G146" s="5">
        <f t="shared" ca="1" si="42"/>
        <v>146.80000000000001</v>
      </c>
      <c r="H146" s="5">
        <f t="shared" ca="1" si="50"/>
        <v>2.6832815729997477</v>
      </c>
      <c r="J146" t="s">
        <v>201</v>
      </c>
      <c r="K146">
        <f ca="1">+VLOOKUP($A146,INDIRECT(Adrese!B$2),3,FALSE)</f>
        <v>141</v>
      </c>
      <c r="L146">
        <f ca="1">+VLOOKUP($A146,INDIRECT(Adrese!C$2),3,FALSE)</f>
        <v>148</v>
      </c>
      <c r="M146">
        <f ca="1">+VLOOKUP($A146,INDIRECT(Adrese!D$2),3,FALSE)</f>
        <v>143</v>
      </c>
      <c r="N146">
        <f ca="1">+VLOOKUP($A146,INDIRECT(Adrese!E$2),3,FALSE)</f>
        <v>141</v>
      </c>
      <c r="O146">
        <f ca="1">+VLOOKUP($A146,INDIRECT(Adrese!F$2),3,FALSE)</f>
        <v>142</v>
      </c>
      <c r="P146" s="5">
        <f t="shared" ca="1" si="43"/>
        <v>143</v>
      </c>
      <c r="Q146" s="5">
        <f t="shared" ca="1" si="51"/>
        <v>2.9154759474226504</v>
      </c>
      <c r="T146" t="s">
        <v>201</v>
      </c>
      <c r="U146">
        <f ca="1">+VLOOKUP($T146,INDIRECT(Adrese!B$2),4,FALSE)</f>
        <v>99840</v>
      </c>
      <c r="V146">
        <f ca="1">+VLOOKUP($T146,INDIRECT(Adrese!C$2),4,FALSE)</f>
        <v>100124</v>
      </c>
      <c r="W146">
        <f ca="1">+VLOOKUP($T146,INDIRECT(Adrese!D$2),4,FALSE)</f>
        <v>98234</v>
      </c>
      <c r="X146">
        <f ca="1">+VLOOKUP($T146,INDIRECT(Adrese!E$2),4,FALSE)</f>
        <v>99759</v>
      </c>
      <c r="Y146">
        <f ca="1">+VLOOKUP($T146,INDIRECT(Adrese!F$2),4,FALSE)</f>
        <v>99940</v>
      </c>
      <c r="Z146">
        <f t="shared" ca="1" si="52"/>
        <v>497897</v>
      </c>
      <c r="AA146" s="5">
        <f t="shared" ca="1" si="44"/>
        <v>99579.4</v>
      </c>
      <c r="AB146" s="5">
        <f t="shared" ca="1" si="53"/>
        <v>764.3446866434017</v>
      </c>
      <c r="AD146" t="s">
        <v>201</v>
      </c>
      <c r="AE146">
        <f ca="1">+VLOOKUP($A146,INDIRECT(Adrese!B$2),5,FALSE)</f>
        <v>21584</v>
      </c>
      <c r="AF146">
        <f ca="1">+VLOOKUP($A146,INDIRECT(Adrese!C$2),5,FALSE)</f>
        <v>21583</v>
      </c>
      <c r="AG146">
        <f ca="1">+VLOOKUP($A146,INDIRECT(Adrese!D$2),5,FALSE)</f>
        <v>20798</v>
      </c>
      <c r="AH146">
        <f ca="1">+VLOOKUP($A146,INDIRECT(Adrese!E$2),5,FALSE)</f>
        <v>21619</v>
      </c>
      <c r="AI146">
        <f ca="1">+VLOOKUP($A146,INDIRECT(Adrese!F$2),5,FALSE)</f>
        <v>21521</v>
      </c>
      <c r="AJ146" s="5">
        <f t="shared" ca="1" si="45"/>
        <v>21421</v>
      </c>
      <c r="AK146" s="5">
        <f t="shared" ca="1" si="54"/>
        <v>350.05213897361062</v>
      </c>
      <c r="AM146" t="s">
        <v>201</v>
      </c>
      <c r="AN146" s="5">
        <f ca="1">+VLOOKUP($A146,INDIRECT(Adrese!B$2),6,FALSE)</f>
        <v>0.47544247787610622</v>
      </c>
      <c r="AO146" s="5">
        <f ca="1">+VLOOKUP($A146,INDIRECT(Adrese!C$2),6,FALSE)</f>
        <v>0.47539822999999998</v>
      </c>
      <c r="AP146" s="5">
        <f ca="1">+VLOOKUP($A146,INDIRECT(Adrese!D$2),6,FALSE)</f>
        <v>0.457964602</v>
      </c>
      <c r="AQ146" s="5">
        <f ca="1">+VLOOKUP($A146,INDIRECT(Adrese!E$2),6,FALSE)</f>
        <v>0.47601769900000002</v>
      </c>
      <c r="AR146" s="5">
        <f ca="1">+VLOOKUP($A146,INDIRECT(Adrese!F$2),6,FALSE)</f>
        <v>0.47411504399999999</v>
      </c>
      <c r="AS146" s="5" t="str">
        <f t="shared" ca="1" si="55"/>
        <v>0.47 (0.01)</v>
      </c>
      <c r="AT146" s="5">
        <f t="shared" ca="1" si="46"/>
        <v>0.47178761057522128</v>
      </c>
      <c r="AU146" s="5">
        <f t="shared" ca="1" si="56"/>
        <v>7.7585563753273792E-3</v>
      </c>
      <c r="AW146" t="s">
        <v>201</v>
      </c>
      <c r="AX146" s="5">
        <f ca="1">+VLOOKUP($A146,INDIRECT(Adrese!B$2),7,FALSE)</f>
        <v>0.37610619469026552</v>
      </c>
      <c r="AY146" s="5">
        <f ca="1">+VLOOKUP($A146,INDIRECT(Adrese!C$2),7,FALSE)</f>
        <v>0.34513274300000002</v>
      </c>
      <c r="AZ146" s="5">
        <f ca="1">+VLOOKUP($A146,INDIRECT(Adrese!D$2),7,FALSE)</f>
        <v>0.367256637</v>
      </c>
      <c r="BA146" s="5">
        <f ca="1">+VLOOKUP($A146,INDIRECT(Adrese!E$2),7,FALSE)</f>
        <v>0.37610619499999998</v>
      </c>
      <c r="BB146" s="5">
        <f ca="1">+VLOOKUP($A146,INDIRECT(Adrese!F$2),7,FALSE)</f>
        <v>0.37168141599999999</v>
      </c>
      <c r="BC146" s="5" t="str">
        <f t="shared" ca="1" si="57"/>
        <v>0.37 (0.01)</v>
      </c>
      <c r="BD146">
        <f t="shared" ca="1" si="47"/>
        <v>0.36725663713805312</v>
      </c>
      <c r="BE146" s="5">
        <f t="shared" ca="1" si="58"/>
        <v>1.2900336265295345E-2</v>
      </c>
      <c r="BG146" t="s">
        <v>201</v>
      </c>
      <c r="BH146" s="5">
        <f ca="1">+VLOOKUP($BG146,INDIRECT(Adrese!B$2),8,FALSE)</f>
        <v>4.8025705730950358E-2</v>
      </c>
      <c r="BI146" s="5">
        <f ca="1">+VLOOKUP($BG146,INDIRECT(Adrese!C$2),8,FALSE)</f>
        <v>4.7986569999999999E-2</v>
      </c>
      <c r="BJ146" s="5">
        <f ca="1">+VLOOKUP($BG146,INDIRECT(Adrese!D$2),8,FALSE)</f>
        <v>4.5742089999999999E-2</v>
      </c>
      <c r="BK146" s="5">
        <f ca="1">+VLOOKUP($BG146,INDIRECT(Adrese!E$2),8,FALSE)</f>
        <v>4.8327624999999999E-2</v>
      </c>
      <c r="BL146" s="5">
        <f ca="1">+VLOOKUP($BG146,INDIRECT(Adrese!F$2),8,FALSE)</f>
        <v>4.7917812999999997E-2</v>
      </c>
      <c r="BM146" s="5" t="str">
        <f t="shared" ca="1" si="59"/>
        <v>0.05 (0.00)</v>
      </c>
      <c r="BN146" s="5">
        <f t="shared" ca="1" si="48"/>
        <v>4.7599960746190065E-2</v>
      </c>
      <c r="BO146" s="5">
        <f t="shared" ca="1" si="60"/>
        <v>1.0503492916946332E-3</v>
      </c>
      <c r="BQ146" t="s">
        <v>201</v>
      </c>
      <c r="BR146" s="5">
        <f ca="1">+VLOOKUP($BG146,INDIRECT(Adrese!B$2),9,FALSE)</f>
        <v>1.472090156787256E-2</v>
      </c>
      <c r="BS146" s="5">
        <f ca="1">+VLOOKUP($BG146,INDIRECT(Adrese!C$2),9,FALSE)</f>
        <v>1.4332118E-2</v>
      </c>
      <c r="BT146" s="5">
        <f ca="1">+VLOOKUP($BG146,INDIRECT(Adrese!D$2),9,FALSE)</f>
        <v>7.40824E-3</v>
      </c>
      <c r="BU146" s="5">
        <f ca="1">+VLOOKUP($BG146,INDIRECT(Adrese!E$2),9,FALSE)</f>
        <v>1.5635224999999999E-2</v>
      </c>
      <c r="BV146" s="5">
        <f ca="1">+VLOOKUP($BG146,INDIRECT(Adrese!F$2),9,FALSE)</f>
        <v>1.3664762E-2</v>
      </c>
      <c r="BW146" s="5" t="str">
        <f t="shared" ca="1" si="61"/>
        <v>0.01 (0.00)</v>
      </c>
      <c r="BX146" s="5">
        <f t="shared" ca="1" si="49"/>
        <v>1.3152249313574513E-2</v>
      </c>
      <c r="BY146" s="5">
        <f t="shared" ca="1" si="62"/>
        <v>3.2891579667021042E-3</v>
      </c>
    </row>
    <row r="147" spans="1:77" x14ac:dyDescent="0.25">
      <c r="A147" t="s">
        <v>202</v>
      </c>
      <c r="B147" s="12">
        <f ca="1">+VLOOKUP($A147,INDIRECT(Adrese!B$2),2,FALSE)</f>
        <v>145</v>
      </c>
      <c r="C147" s="12">
        <f ca="1">+VLOOKUP($A147,INDIRECT(Adrese!C$2),2,FALSE)</f>
        <v>155</v>
      </c>
      <c r="D147" s="12">
        <f ca="1">+VLOOKUP($A147,INDIRECT(Adrese!D$2),2,FALSE)</f>
        <v>149</v>
      </c>
      <c r="E147" s="12">
        <f ca="1">+VLOOKUP($A147,INDIRECT(Adrese!E$2),2,FALSE)</f>
        <v>152</v>
      </c>
      <c r="F147" s="12">
        <f ca="1">+VLOOKUP($A147,INDIRECT(Adrese!F$2),2,FALSE)</f>
        <v>150</v>
      </c>
      <c r="G147" s="5">
        <f t="shared" ca="1" si="42"/>
        <v>150.19999999999999</v>
      </c>
      <c r="H147" s="5">
        <f t="shared" ca="1" si="50"/>
        <v>3.7013511046643495</v>
      </c>
      <c r="J147" t="s">
        <v>202</v>
      </c>
      <c r="K147">
        <f ca="1">+VLOOKUP($A147,INDIRECT(Adrese!B$2),3,FALSE)</f>
        <v>60</v>
      </c>
      <c r="L147">
        <f ca="1">+VLOOKUP($A147,INDIRECT(Adrese!C$2),3,FALSE)</f>
        <v>62</v>
      </c>
      <c r="M147">
        <f ca="1">+VLOOKUP($A147,INDIRECT(Adrese!D$2),3,FALSE)</f>
        <v>58</v>
      </c>
      <c r="N147">
        <f ca="1">+VLOOKUP($A147,INDIRECT(Adrese!E$2),3,FALSE)</f>
        <v>59</v>
      </c>
      <c r="O147">
        <f ca="1">+VLOOKUP($A147,INDIRECT(Adrese!F$2),3,FALSE)</f>
        <v>64</v>
      </c>
      <c r="P147" s="5">
        <f t="shared" ca="1" si="43"/>
        <v>60.6</v>
      </c>
      <c r="Q147" s="5">
        <f t="shared" ca="1" si="51"/>
        <v>2.4083189157584592</v>
      </c>
      <c r="T147" t="s">
        <v>202</v>
      </c>
      <c r="U147">
        <f ca="1">+VLOOKUP($T147,INDIRECT(Adrese!B$2),4,FALSE)</f>
        <v>99835</v>
      </c>
      <c r="V147">
        <f ca="1">+VLOOKUP($T147,INDIRECT(Adrese!C$2),4,FALSE)</f>
        <v>98599</v>
      </c>
      <c r="W147">
        <f ca="1">+VLOOKUP($T147,INDIRECT(Adrese!D$2),4,FALSE)</f>
        <v>98439</v>
      </c>
      <c r="X147">
        <f ca="1">+VLOOKUP($T147,INDIRECT(Adrese!E$2),4,FALSE)</f>
        <v>98718</v>
      </c>
      <c r="Y147">
        <f ca="1">+VLOOKUP($T147,INDIRECT(Adrese!F$2),4,FALSE)</f>
        <v>98668</v>
      </c>
      <c r="Z147">
        <f t="shared" ca="1" si="52"/>
        <v>494259</v>
      </c>
      <c r="AA147" s="5">
        <f t="shared" ca="1" si="44"/>
        <v>98851.8</v>
      </c>
      <c r="AB147" s="5">
        <f t="shared" ca="1" si="53"/>
        <v>559.61567168906197</v>
      </c>
      <c r="AD147" t="s">
        <v>202</v>
      </c>
      <c r="AE147">
        <f ca="1">+VLOOKUP($A147,INDIRECT(Adrese!B$2),5,FALSE)</f>
        <v>39036</v>
      </c>
      <c r="AF147">
        <f ca="1">+VLOOKUP($A147,INDIRECT(Adrese!C$2),5,FALSE)</f>
        <v>39403</v>
      </c>
      <c r="AG147">
        <f ca="1">+VLOOKUP($A147,INDIRECT(Adrese!D$2),5,FALSE)</f>
        <v>38941</v>
      </c>
      <c r="AH147">
        <f ca="1">+VLOOKUP($A147,INDIRECT(Adrese!E$2),5,FALSE)</f>
        <v>39218</v>
      </c>
      <c r="AI147">
        <f ca="1">+VLOOKUP($A147,INDIRECT(Adrese!F$2),5,FALSE)</f>
        <v>38617</v>
      </c>
      <c r="AJ147" s="5">
        <f t="shared" ca="1" si="45"/>
        <v>39043</v>
      </c>
      <c r="AK147" s="5">
        <f t="shared" ca="1" si="54"/>
        <v>296.71282412460704</v>
      </c>
      <c r="AM147" t="s">
        <v>202</v>
      </c>
      <c r="AN147" s="5">
        <f ca="1">+VLOOKUP($A147,INDIRECT(Adrese!B$2),6,FALSE)</f>
        <v>0.85946902654867252</v>
      </c>
      <c r="AO147" s="5">
        <f ca="1">+VLOOKUP($A147,INDIRECT(Adrese!C$2),6,FALSE)</f>
        <v>0.86756637199999997</v>
      </c>
      <c r="AP147" s="5">
        <f ca="1">+VLOOKUP($A147,INDIRECT(Adrese!D$2),6,FALSE)</f>
        <v>0.85730088500000001</v>
      </c>
      <c r="AQ147" s="5">
        <f ca="1">+VLOOKUP($A147,INDIRECT(Adrese!E$2),6,FALSE)</f>
        <v>0.86345132700000005</v>
      </c>
      <c r="AR147" s="5">
        <f ca="1">+VLOOKUP($A147,INDIRECT(Adrese!F$2),6,FALSE)</f>
        <v>0.85028761100000005</v>
      </c>
      <c r="AS147" s="5" t="str">
        <f t="shared" ca="1" si="55"/>
        <v>0.86 (0.01)</v>
      </c>
      <c r="AT147" s="5">
        <f t="shared" ca="1" si="46"/>
        <v>0.85961504430973457</v>
      </c>
      <c r="AU147" s="5">
        <f t="shared" ca="1" si="56"/>
        <v>6.5253035094647817E-3</v>
      </c>
      <c r="AW147" t="s">
        <v>202</v>
      </c>
      <c r="AX147" s="5">
        <f ca="1">+VLOOKUP($A147,INDIRECT(Adrese!B$2),7,FALSE)</f>
        <v>0.73451327433628322</v>
      </c>
      <c r="AY147" s="5">
        <f ca="1">+VLOOKUP($A147,INDIRECT(Adrese!C$2),7,FALSE)</f>
        <v>0.72566371699999999</v>
      </c>
      <c r="AZ147" s="5">
        <f ca="1">+VLOOKUP($A147,INDIRECT(Adrese!D$2),7,FALSE)</f>
        <v>0.74336283199999997</v>
      </c>
      <c r="BA147" s="5">
        <f ca="1">+VLOOKUP($A147,INDIRECT(Adrese!E$2),7,FALSE)</f>
        <v>0.73893805300000004</v>
      </c>
      <c r="BB147" s="5">
        <f ca="1">+VLOOKUP($A147,INDIRECT(Adrese!F$2),7,FALSE)</f>
        <v>0.71681415900000001</v>
      </c>
      <c r="BC147" s="5" t="str">
        <f t="shared" ca="1" si="57"/>
        <v>0.73 (0.01)</v>
      </c>
      <c r="BD147">
        <f t="shared" ca="1" si="47"/>
        <v>0.73185840706725669</v>
      </c>
      <c r="BE147" s="5">
        <f t="shared" ca="1" si="58"/>
        <v>1.0656278486423022E-2</v>
      </c>
      <c r="BG147" t="s">
        <v>202</v>
      </c>
      <c r="BH147" s="5">
        <f ca="1">+VLOOKUP($BG147,INDIRECT(Adrese!B$2),8,FALSE)</f>
        <v>8.0330958912002343E-2</v>
      </c>
      <c r="BI147" s="5">
        <f ca="1">+VLOOKUP($BG147,INDIRECT(Adrese!C$2),8,FALSE)</f>
        <v>8.0682825999999999E-2</v>
      </c>
      <c r="BJ147" s="5">
        <f ca="1">+VLOOKUP($BG147,INDIRECT(Adrese!D$2),8,FALSE)</f>
        <v>7.9860028999999999E-2</v>
      </c>
      <c r="BK147" s="5">
        <f ca="1">+VLOOKUP($BG147,INDIRECT(Adrese!E$2),8,FALSE)</f>
        <v>8.0292773999999997E-2</v>
      </c>
      <c r="BL147" s="5">
        <f ca="1">+VLOOKUP($BG147,INDIRECT(Adrese!F$2),8,FALSE)</f>
        <v>7.9383270000000006E-2</v>
      </c>
      <c r="BM147" s="5" t="str">
        <f t="shared" ca="1" si="59"/>
        <v>0.08 (0.00)</v>
      </c>
      <c r="BN147" s="5">
        <f t="shared" ca="1" si="48"/>
        <v>8.0109971582400477E-2</v>
      </c>
      <c r="BO147" s="5">
        <f t="shared" ca="1" si="60"/>
        <v>5.0024513786953726E-4</v>
      </c>
      <c r="BQ147" t="s">
        <v>202</v>
      </c>
      <c r="BR147" s="5">
        <f ca="1">+VLOOKUP($BG147,INDIRECT(Adrese!B$2),9,FALSE)</f>
        <v>6.7745579865932035E-2</v>
      </c>
      <c r="BS147" s="5">
        <f ca="1">+VLOOKUP($BG147,INDIRECT(Adrese!C$2),9,FALSE)</f>
        <v>6.7461533000000004E-2</v>
      </c>
      <c r="BT147" s="5">
        <f ca="1">+VLOOKUP($BG147,INDIRECT(Adrese!D$2),9,FALSE)</f>
        <v>6.5843721999999993E-2</v>
      </c>
      <c r="BU147" s="5">
        <f ca="1">+VLOOKUP($BG147,INDIRECT(Adrese!E$2),9,FALSE)</f>
        <v>6.6657436E-2</v>
      </c>
      <c r="BV147" s="5">
        <f ca="1">+VLOOKUP($BG147,INDIRECT(Adrese!F$2),9,FALSE)</f>
        <v>6.5090058000000006E-2</v>
      </c>
      <c r="BW147" s="5" t="str">
        <f t="shared" ca="1" si="61"/>
        <v>0.07 (0.00)</v>
      </c>
      <c r="BX147" s="5">
        <f t="shared" ca="1" si="49"/>
        <v>6.6559665773186408E-2</v>
      </c>
      <c r="BY147" s="5">
        <f t="shared" ca="1" si="62"/>
        <v>1.1069821860353721E-3</v>
      </c>
    </row>
    <row r="148" spans="1:77" x14ac:dyDescent="0.25">
      <c r="A148" t="s">
        <v>203</v>
      </c>
      <c r="B148" s="12">
        <f ca="1">+VLOOKUP($A148,INDIRECT(Adrese!B$2),2,FALSE)</f>
        <v>146</v>
      </c>
      <c r="C148" s="12">
        <f ca="1">+VLOOKUP($A148,INDIRECT(Adrese!C$2),2,FALSE)</f>
        <v>153</v>
      </c>
      <c r="D148" s="12">
        <f ca="1">+VLOOKUP($A148,INDIRECT(Adrese!D$2),2,FALSE)</f>
        <v>146</v>
      </c>
      <c r="E148" s="12">
        <f ca="1">+VLOOKUP($A148,INDIRECT(Adrese!E$2),2,FALSE)</f>
        <v>142</v>
      </c>
      <c r="F148" s="12">
        <f ca="1">+VLOOKUP($A148,INDIRECT(Adrese!F$2),2,FALSE)</f>
        <v>144</v>
      </c>
      <c r="G148" s="5">
        <f t="shared" ref="G148:G211" ca="1" si="63">AVERAGE(B148:F148)</f>
        <v>146.19999999999999</v>
      </c>
      <c r="H148" s="5">
        <f t="shared" ca="1" si="50"/>
        <v>4.1472882706655438</v>
      </c>
      <c r="J148" t="s">
        <v>203</v>
      </c>
      <c r="K148">
        <f ca="1">+VLOOKUP($A148,INDIRECT(Adrese!B$2),3,FALSE)</f>
        <v>80</v>
      </c>
      <c r="L148">
        <f ca="1">+VLOOKUP($A148,INDIRECT(Adrese!C$2),3,FALSE)</f>
        <v>78</v>
      </c>
      <c r="M148">
        <f ca="1">+VLOOKUP($A148,INDIRECT(Adrese!D$2),3,FALSE)</f>
        <v>81</v>
      </c>
      <c r="N148">
        <f ca="1">+VLOOKUP($A148,INDIRECT(Adrese!E$2),3,FALSE)</f>
        <v>76</v>
      </c>
      <c r="O148">
        <f ca="1">+VLOOKUP($A148,INDIRECT(Adrese!F$2),3,FALSE)</f>
        <v>78</v>
      </c>
      <c r="P148" s="5">
        <f t="shared" ref="P148:P211" ca="1" si="64">AVERAGE(K148:O148)</f>
        <v>78.599999999999994</v>
      </c>
      <c r="Q148" s="5">
        <f t="shared" ca="1" si="51"/>
        <v>1.9493588689617927</v>
      </c>
      <c r="T148" t="s">
        <v>203</v>
      </c>
      <c r="U148">
        <f ca="1">+VLOOKUP($T148,INDIRECT(Adrese!B$2),4,FALSE)</f>
        <v>99739</v>
      </c>
      <c r="V148">
        <f ca="1">+VLOOKUP($T148,INDIRECT(Adrese!C$2),4,FALSE)</f>
        <v>98668</v>
      </c>
      <c r="W148">
        <f ca="1">+VLOOKUP($T148,INDIRECT(Adrese!D$2),4,FALSE)</f>
        <v>99374</v>
      </c>
      <c r="X148">
        <f ca="1">+VLOOKUP($T148,INDIRECT(Adrese!E$2),4,FALSE)</f>
        <v>101251</v>
      </c>
      <c r="Y148">
        <f ca="1">+VLOOKUP($T148,INDIRECT(Adrese!F$2),4,FALSE)</f>
        <v>100917</v>
      </c>
      <c r="Z148">
        <f t="shared" ca="1" si="52"/>
        <v>499949</v>
      </c>
      <c r="AA148" s="5">
        <f t="shared" ref="AA148:AA211" ca="1" si="65">AVERAGE(U148:Y148)</f>
        <v>99989.8</v>
      </c>
      <c r="AB148" s="5">
        <f t="shared" ca="1" si="53"/>
        <v>1076.9854687970492</v>
      </c>
      <c r="AD148" t="s">
        <v>203</v>
      </c>
      <c r="AE148">
        <f ca="1">+VLOOKUP($A148,INDIRECT(Adrese!B$2),5,FALSE)</f>
        <v>17194</v>
      </c>
      <c r="AF148">
        <f ca="1">+VLOOKUP($A148,INDIRECT(Adrese!C$2),5,FALSE)</f>
        <v>17424</v>
      </c>
      <c r="AG148">
        <f ca="1">+VLOOKUP($A148,INDIRECT(Adrese!D$2),5,FALSE)</f>
        <v>17567</v>
      </c>
      <c r="AH148">
        <f ca="1">+VLOOKUP($A148,INDIRECT(Adrese!E$2),5,FALSE)</f>
        <v>18547</v>
      </c>
      <c r="AI148">
        <f ca="1">+VLOOKUP($A148,INDIRECT(Adrese!F$2),5,FALSE)</f>
        <v>18182</v>
      </c>
      <c r="AJ148" s="5">
        <f t="shared" ref="AJ148:AJ211" ca="1" si="66">AVERAGE(AE148:AI148)</f>
        <v>17782.8</v>
      </c>
      <c r="AK148" s="5">
        <f t="shared" ca="1" si="54"/>
        <v>562.43995235047089</v>
      </c>
      <c r="AM148" t="s">
        <v>203</v>
      </c>
      <c r="AN148" s="5">
        <f ca="1">+VLOOKUP($A148,INDIRECT(Adrese!B$2),6,FALSE)</f>
        <v>0.38035398230088502</v>
      </c>
      <c r="AO148" s="5">
        <f ca="1">+VLOOKUP($A148,INDIRECT(Adrese!C$2),6,FALSE)</f>
        <v>0.38544247799999998</v>
      </c>
      <c r="AP148" s="5">
        <f ca="1">+VLOOKUP($A148,INDIRECT(Adrese!D$2),6,FALSE)</f>
        <v>0.38860619499999999</v>
      </c>
      <c r="AQ148" s="5">
        <f ca="1">+VLOOKUP($A148,INDIRECT(Adrese!E$2),6,FALSE)</f>
        <v>0.410287611</v>
      </c>
      <c r="AR148" s="5">
        <f ca="1">+VLOOKUP($A148,INDIRECT(Adrese!F$2),6,FALSE)</f>
        <v>0.402212389</v>
      </c>
      <c r="AS148" s="5" t="str">
        <f t="shared" ca="1" si="55"/>
        <v>0.39 (0.01)</v>
      </c>
      <c r="AT148" s="5">
        <f t="shared" ref="AT148:AT211" ca="1" si="67">AVERAGE(AN148:AR148)</f>
        <v>0.39338053106017701</v>
      </c>
      <c r="AU148" s="5">
        <f t="shared" ca="1" si="56"/>
        <v>1.2443361789933254E-2</v>
      </c>
      <c r="AW148" t="s">
        <v>203</v>
      </c>
      <c r="AX148" s="5">
        <f ca="1">+VLOOKUP($A148,INDIRECT(Adrese!B$2),7,FALSE)</f>
        <v>0.64601769911504425</v>
      </c>
      <c r="AY148" s="5">
        <f ca="1">+VLOOKUP($A148,INDIRECT(Adrese!C$2),7,FALSE)</f>
        <v>0.65486725700000004</v>
      </c>
      <c r="AZ148" s="5">
        <f ca="1">+VLOOKUP($A148,INDIRECT(Adrese!D$2),7,FALSE)</f>
        <v>0.64159292000000001</v>
      </c>
      <c r="BA148" s="5">
        <f ca="1">+VLOOKUP($A148,INDIRECT(Adrese!E$2),7,FALSE)</f>
        <v>0.66371681400000004</v>
      </c>
      <c r="BB148" s="5">
        <f ca="1">+VLOOKUP($A148,INDIRECT(Adrese!F$2),7,FALSE)</f>
        <v>0.65486725700000004</v>
      </c>
      <c r="BC148" s="5" t="str">
        <f t="shared" ca="1" si="57"/>
        <v>0.65 (0.01)</v>
      </c>
      <c r="BD148">
        <f t="shared" ref="BD148:BD211" ca="1" si="68">AVERAGE(AX148:BB148)</f>
        <v>0.65221238942300896</v>
      </c>
      <c r="BE148" s="5">
        <f t="shared" ca="1" si="58"/>
        <v>8.6254818327471897E-3</v>
      </c>
      <c r="BG148" t="s">
        <v>203</v>
      </c>
      <c r="BH148" s="5">
        <f ca="1">+VLOOKUP($BG148,INDIRECT(Adrese!B$2),8,FALSE)</f>
        <v>3.7286200020495569E-2</v>
      </c>
      <c r="BI148" s="5">
        <f ca="1">+VLOOKUP($BG148,INDIRECT(Adrese!C$2),8,FALSE)</f>
        <v>3.7705017E-2</v>
      </c>
      <c r="BJ148" s="5">
        <f ca="1">+VLOOKUP($BG148,INDIRECT(Adrese!D$2),8,FALSE)</f>
        <v>3.8004824E-2</v>
      </c>
      <c r="BK148" s="5">
        <f ca="1">+VLOOKUP($BG148,INDIRECT(Adrese!E$2),8,FALSE)</f>
        <v>4.0157651000000003E-2</v>
      </c>
      <c r="BL148" s="5">
        <f ca="1">+VLOOKUP($BG148,INDIRECT(Adrese!F$2),8,FALSE)</f>
        <v>3.9271107999999999E-2</v>
      </c>
      <c r="BM148" s="5" t="str">
        <f t="shared" ca="1" si="59"/>
        <v>0.04 (0.00)</v>
      </c>
      <c r="BN148" s="5">
        <f t="shared" ref="BN148:BN211" ca="1" si="69">AVERAGE(BH148:BL148)</f>
        <v>3.8484960004099109E-2</v>
      </c>
      <c r="BO148" s="5">
        <f t="shared" ca="1" si="60"/>
        <v>1.1928737369889019E-3</v>
      </c>
      <c r="BQ148" t="s">
        <v>203</v>
      </c>
      <c r="BR148" s="5">
        <f ca="1">+VLOOKUP($BG148,INDIRECT(Adrese!B$2),9,FALSE)</f>
        <v>-3.6394162793657258E-3</v>
      </c>
      <c r="BS148" s="5">
        <f ca="1">+VLOOKUP($BG148,INDIRECT(Adrese!C$2),9,FALSE)</f>
        <v>-2.9727310000000002E-3</v>
      </c>
      <c r="BT148" s="5">
        <f ca="1">+VLOOKUP($BG148,INDIRECT(Adrese!D$2),9,FALSE)</f>
        <v>-2.890994E-3</v>
      </c>
      <c r="BU148" s="5">
        <f ca="1">+VLOOKUP($BG148,INDIRECT(Adrese!E$2),9,FALSE)</f>
        <v>1.937034E-3</v>
      </c>
      <c r="BV148" s="5">
        <f ca="1">+VLOOKUP($BG148,INDIRECT(Adrese!F$2),9,FALSE)</f>
        <v>-5.4240199999999999E-4</v>
      </c>
      <c r="BW148" s="5" t="str">
        <f t="shared" ca="1" si="61"/>
        <v>0.00 (0.00)</v>
      </c>
      <c r="BX148" s="5">
        <f t="shared" ref="BX148:BX211" ca="1" si="70">AVERAGE(BR148:BV148)</f>
        <v>-1.6217018558731451E-3</v>
      </c>
      <c r="BY148" s="5">
        <f t="shared" ca="1" si="62"/>
        <v>2.3096018521033689E-3</v>
      </c>
    </row>
    <row r="149" spans="1:77" x14ac:dyDescent="0.25">
      <c r="A149" t="s">
        <v>204</v>
      </c>
      <c r="B149" s="12">
        <f ca="1">+VLOOKUP($A149,INDIRECT(Adrese!B$2),2,FALSE)</f>
        <v>147</v>
      </c>
      <c r="C149" s="12">
        <f ca="1">+VLOOKUP($A149,INDIRECT(Adrese!C$2),2,FALSE)</f>
        <v>148</v>
      </c>
      <c r="D149" s="12">
        <f ca="1">+VLOOKUP($A149,INDIRECT(Adrese!D$2),2,FALSE)</f>
        <v>145</v>
      </c>
      <c r="E149" s="12">
        <f ca="1">+VLOOKUP($A149,INDIRECT(Adrese!E$2),2,FALSE)</f>
        <v>147</v>
      </c>
      <c r="F149" s="12">
        <f ca="1">+VLOOKUP($A149,INDIRECT(Adrese!F$2),2,FALSE)</f>
        <v>145</v>
      </c>
      <c r="G149" s="5">
        <f t="shared" ca="1" si="63"/>
        <v>146.4</v>
      </c>
      <c r="H149" s="5">
        <f t="shared" ca="1" si="50"/>
        <v>1.3416407864998738</v>
      </c>
      <c r="J149" t="s">
        <v>204</v>
      </c>
      <c r="K149">
        <f ca="1">+VLOOKUP($A149,INDIRECT(Adrese!B$2),3,FALSE)</f>
        <v>109</v>
      </c>
      <c r="L149">
        <f ca="1">+VLOOKUP($A149,INDIRECT(Adrese!C$2),3,FALSE)</f>
        <v>105</v>
      </c>
      <c r="M149">
        <f ca="1">+VLOOKUP($A149,INDIRECT(Adrese!D$2),3,FALSE)</f>
        <v>108</v>
      </c>
      <c r="N149">
        <f ca="1">+VLOOKUP($A149,INDIRECT(Adrese!E$2),3,FALSE)</f>
        <v>106</v>
      </c>
      <c r="O149">
        <f ca="1">+VLOOKUP($A149,INDIRECT(Adrese!F$2),3,FALSE)</f>
        <v>112</v>
      </c>
      <c r="P149" s="5">
        <f t="shared" ca="1" si="64"/>
        <v>108</v>
      </c>
      <c r="Q149" s="5">
        <f t="shared" ca="1" si="51"/>
        <v>2.7386127875258306</v>
      </c>
      <c r="T149" t="s">
        <v>204</v>
      </c>
      <c r="U149">
        <f ca="1">+VLOOKUP($T149,INDIRECT(Adrese!B$2),4,FALSE)</f>
        <v>99415</v>
      </c>
      <c r="V149">
        <f ca="1">+VLOOKUP($T149,INDIRECT(Adrese!C$2),4,FALSE)</f>
        <v>99942</v>
      </c>
      <c r="W149">
        <f ca="1">+VLOOKUP($T149,INDIRECT(Adrese!D$2),4,FALSE)</f>
        <v>99645</v>
      </c>
      <c r="X149">
        <f ca="1">+VLOOKUP($T149,INDIRECT(Adrese!E$2),4,FALSE)</f>
        <v>99505</v>
      </c>
      <c r="Y149">
        <f ca="1">+VLOOKUP($T149,INDIRECT(Adrese!F$2),4,FALSE)</f>
        <v>100451</v>
      </c>
      <c r="Z149">
        <f t="shared" ca="1" si="52"/>
        <v>498958</v>
      </c>
      <c r="AA149" s="5">
        <f t="shared" ca="1" si="65"/>
        <v>99791.6</v>
      </c>
      <c r="AB149" s="5">
        <f t="shared" ca="1" si="53"/>
        <v>419.19184152366324</v>
      </c>
      <c r="AD149" t="s">
        <v>204</v>
      </c>
      <c r="AE149">
        <f ca="1">+VLOOKUP($A149,INDIRECT(Adrese!B$2),5,FALSE)</f>
        <v>24385</v>
      </c>
      <c r="AF149">
        <f ca="1">+VLOOKUP($A149,INDIRECT(Adrese!C$2),5,FALSE)</f>
        <v>24634</v>
      </c>
      <c r="AG149">
        <f ca="1">+VLOOKUP($A149,INDIRECT(Adrese!D$2),5,FALSE)</f>
        <v>24510</v>
      </c>
      <c r="AH149">
        <f ca="1">+VLOOKUP($A149,INDIRECT(Adrese!E$2),5,FALSE)</f>
        <v>24408</v>
      </c>
      <c r="AI149">
        <f ca="1">+VLOOKUP($A149,INDIRECT(Adrese!F$2),5,FALSE)</f>
        <v>24934</v>
      </c>
      <c r="AJ149" s="5">
        <f t="shared" ca="1" si="66"/>
        <v>24574.2</v>
      </c>
      <c r="AK149" s="5">
        <f t="shared" ca="1" si="54"/>
        <v>223.92677374534739</v>
      </c>
      <c r="AM149" t="s">
        <v>204</v>
      </c>
      <c r="AN149" s="5">
        <f ca="1">+VLOOKUP($A149,INDIRECT(Adrese!B$2),6,FALSE)</f>
        <v>0.53949115044247786</v>
      </c>
      <c r="AO149" s="5">
        <f ca="1">+VLOOKUP($A149,INDIRECT(Adrese!C$2),6,FALSE)</f>
        <v>0.54500000000000004</v>
      </c>
      <c r="AP149" s="5">
        <f ca="1">+VLOOKUP($A149,INDIRECT(Adrese!D$2),6,FALSE)</f>
        <v>0.54225663700000004</v>
      </c>
      <c r="AQ149" s="5">
        <f ca="1">+VLOOKUP($A149,INDIRECT(Adrese!E$2),6,FALSE)</f>
        <v>0.54</v>
      </c>
      <c r="AR149" s="5">
        <f ca="1">+VLOOKUP($A149,INDIRECT(Adrese!F$2),6,FALSE)</f>
        <v>0.55163716799999996</v>
      </c>
      <c r="AS149" s="5" t="str">
        <f t="shared" ca="1" si="55"/>
        <v>0.54 (0.00)</v>
      </c>
      <c r="AT149" s="5">
        <f t="shared" ca="1" si="67"/>
        <v>0.54367699108849554</v>
      </c>
      <c r="AU149" s="5">
        <f t="shared" ca="1" si="56"/>
        <v>4.9541321176822493E-3</v>
      </c>
      <c r="AW149" t="s">
        <v>204</v>
      </c>
      <c r="AX149" s="5">
        <f ca="1">+VLOOKUP($A149,INDIRECT(Adrese!B$2),7,FALSE)</f>
        <v>0.51769911504424782</v>
      </c>
      <c r="AY149" s="5">
        <f ca="1">+VLOOKUP($A149,INDIRECT(Adrese!C$2),7,FALSE)</f>
        <v>0.53539822999999997</v>
      </c>
      <c r="AZ149" s="5">
        <f ca="1">+VLOOKUP($A149,INDIRECT(Adrese!D$2),7,FALSE)</f>
        <v>0.52212389400000003</v>
      </c>
      <c r="BA149" s="5">
        <f ca="1">+VLOOKUP($A149,INDIRECT(Adrese!E$2),7,FALSE)</f>
        <v>0.53097345100000004</v>
      </c>
      <c r="BB149" s="5">
        <f ca="1">+VLOOKUP($A149,INDIRECT(Adrese!F$2),7,FALSE)</f>
        <v>0.50442477900000005</v>
      </c>
      <c r="BC149" s="5" t="str">
        <f t="shared" ca="1" si="57"/>
        <v>0.52 (0.01)</v>
      </c>
      <c r="BD149">
        <f t="shared" ca="1" si="68"/>
        <v>0.52212389380884949</v>
      </c>
      <c r="BE149" s="5">
        <f t="shared" ca="1" si="58"/>
        <v>1.2117755525752652E-2</v>
      </c>
      <c r="BG149" t="s">
        <v>204</v>
      </c>
      <c r="BH149" s="5">
        <f ca="1">+VLOOKUP($BG149,INDIRECT(Adrese!B$2),8,FALSE)</f>
        <v>5.4969100064723858E-2</v>
      </c>
      <c r="BI149" s="5">
        <f ca="1">+VLOOKUP($BG149,INDIRECT(Adrese!C$2),8,FALSE)</f>
        <v>5.5485931000000002E-2</v>
      </c>
      <c r="BJ149" s="5">
        <f ca="1">+VLOOKUP($BG149,INDIRECT(Adrese!D$2),8,FALSE)</f>
        <v>5.5143256000000002E-2</v>
      </c>
      <c r="BK149" s="5">
        <f ca="1">+VLOOKUP($BG149,INDIRECT(Adrese!E$2),8,FALSE)</f>
        <v>5.4942746000000001E-2</v>
      </c>
      <c r="BL149" s="5">
        <f ca="1">+VLOOKUP($BG149,INDIRECT(Adrese!F$2),8,FALSE)</f>
        <v>5.6416004999999998E-2</v>
      </c>
      <c r="BM149" s="5" t="str">
        <f t="shared" ca="1" si="59"/>
        <v>0.06 (0.00)</v>
      </c>
      <c r="BN149" s="5">
        <f t="shared" ca="1" si="69"/>
        <v>5.5391407612944768E-2</v>
      </c>
      <c r="BO149" s="5">
        <f t="shared" ca="1" si="60"/>
        <v>6.1236316991684849E-4</v>
      </c>
      <c r="BQ149" t="s">
        <v>204</v>
      </c>
      <c r="BR149" s="5">
        <f ca="1">+VLOOKUP($BG149,INDIRECT(Adrese!B$2),9,FALSE)</f>
        <v>3.2176619899321558E-2</v>
      </c>
      <c r="BS149" s="5">
        <f ca="1">+VLOOKUP($BG149,INDIRECT(Adrese!C$2),9,FALSE)</f>
        <v>3.2873017999999997E-2</v>
      </c>
      <c r="BT149" s="5">
        <f ca="1">+VLOOKUP($BG149,INDIRECT(Adrese!D$2),9,FALSE)</f>
        <v>3.1597268999999997E-2</v>
      </c>
      <c r="BU149" s="5">
        <f ca="1">+VLOOKUP($BG149,INDIRECT(Adrese!E$2),9,FALSE)</f>
        <v>3.1826683000000001E-2</v>
      </c>
      <c r="BV149" s="5">
        <f ca="1">+VLOOKUP($BG149,INDIRECT(Adrese!F$2),9,FALSE)</f>
        <v>3.4933445E-2</v>
      </c>
      <c r="BW149" s="5" t="str">
        <f t="shared" ca="1" si="61"/>
        <v>0.03 (0.00)</v>
      </c>
      <c r="BX149" s="5">
        <f t="shared" ca="1" si="70"/>
        <v>3.2681406979864311E-2</v>
      </c>
      <c r="BY149" s="5">
        <f t="shared" ca="1" si="62"/>
        <v>1.3480641921841435E-3</v>
      </c>
    </row>
    <row r="150" spans="1:77" x14ac:dyDescent="0.25">
      <c r="A150" t="s">
        <v>205</v>
      </c>
      <c r="B150" s="12">
        <f ca="1">+VLOOKUP($A150,INDIRECT(Adrese!B$2),2,FALSE)</f>
        <v>148</v>
      </c>
      <c r="C150" s="12">
        <f ca="1">+VLOOKUP($A150,INDIRECT(Adrese!C$2),2,FALSE)</f>
        <v>151</v>
      </c>
      <c r="D150" s="12">
        <f ca="1">+VLOOKUP($A150,INDIRECT(Adrese!D$2),2,FALSE)</f>
        <v>144</v>
      </c>
      <c r="E150" s="12">
        <f ca="1">+VLOOKUP($A150,INDIRECT(Adrese!E$2),2,FALSE)</f>
        <v>146</v>
      </c>
      <c r="F150" s="12">
        <f ca="1">+VLOOKUP($A150,INDIRECT(Adrese!F$2),2,FALSE)</f>
        <v>146</v>
      </c>
      <c r="G150" s="5">
        <f t="shared" ca="1" si="63"/>
        <v>147</v>
      </c>
      <c r="H150" s="5">
        <f t="shared" ca="1" si="50"/>
        <v>2.6457513110645907</v>
      </c>
      <c r="J150" t="s">
        <v>205</v>
      </c>
      <c r="K150">
        <f ca="1">+VLOOKUP($A150,INDIRECT(Adrese!B$2),3,FALSE)</f>
        <v>66</v>
      </c>
      <c r="L150">
        <f ca="1">+VLOOKUP($A150,INDIRECT(Adrese!C$2),3,FALSE)</f>
        <v>66</v>
      </c>
      <c r="M150">
        <f ca="1">+VLOOKUP($A150,INDIRECT(Adrese!D$2),3,FALSE)</f>
        <v>61</v>
      </c>
      <c r="N150">
        <f ca="1">+VLOOKUP($A150,INDIRECT(Adrese!E$2),3,FALSE)</f>
        <v>58</v>
      </c>
      <c r="O150">
        <f ca="1">+VLOOKUP($A150,INDIRECT(Adrese!F$2),3,FALSE)</f>
        <v>58</v>
      </c>
      <c r="P150" s="5">
        <f t="shared" ca="1" si="64"/>
        <v>61.8</v>
      </c>
      <c r="Q150" s="5">
        <f t="shared" ca="1" si="51"/>
        <v>4.0249223594996213</v>
      </c>
      <c r="T150" t="s">
        <v>205</v>
      </c>
      <c r="U150">
        <f ca="1">+VLOOKUP($T150,INDIRECT(Adrese!B$2),4,FALSE)</f>
        <v>99285</v>
      </c>
      <c r="V150">
        <f ca="1">+VLOOKUP($T150,INDIRECT(Adrese!C$2),4,FALSE)</f>
        <v>98888</v>
      </c>
      <c r="W150">
        <f ca="1">+VLOOKUP($T150,INDIRECT(Adrese!D$2),4,FALSE)</f>
        <v>99668</v>
      </c>
      <c r="X150">
        <f ca="1">+VLOOKUP($T150,INDIRECT(Adrese!E$2),4,FALSE)</f>
        <v>99691</v>
      </c>
      <c r="Y150">
        <f ca="1">+VLOOKUP($T150,INDIRECT(Adrese!F$2),4,FALSE)</f>
        <v>100404</v>
      </c>
      <c r="Z150">
        <f t="shared" ca="1" si="52"/>
        <v>497936</v>
      </c>
      <c r="AA150" s="5">
        <f t="shared" ca="1" si="65"/>
        <v>99587.199999999997</v>
      </c>
      <c r="AB150" s="5">
        <f t="shared" ca="1" si="53"/>
        <v>562.28791557350758</v>
      </c>
      <c r="AD150" t="s">
        <v>205</v>
      </c>
      <c r="AE150">
        <f ca="1">+VLOOKUP($A150,INDIRECT(Adrese!B$2),5,FALSE)</f>
        <v>39193</v>
      </c>
      <c r="AF150">
        <f ca="1">+VLOOKUP($A150,INDIRECT(Adrese!C$2),5,FALSE)</f>
        <v>39045</v>
      </c>
      <c r="AG150">
        <f ca="1">+VLOOKUP($A150,INDIRECT(Adrese!D$2),5,FALSE)</f>
        <v>39091</v>
      </c>
      <c r="AH150">
        <f ca="1">+VLOOKUP($A150,INDIRECT(Adrese!E$2),5,FALSE)</f>
        <v>39250</v>
      </c>
      <c r="AI150">
        <f ca="1">+VLOOKUP($A150,INDIRECT(Adrese!F$2),5,FALSE)</f>
        <v>39191</v>
      </c>
      <c r="AJ150" s="5">
        <f t="shared" ca="1" si="66"/>
        <v>39154</v>
      </c>
      <c r="AK150" s="5">
        <f t="shared" ca="1" si="54"/>
        <v>83.600239234107462</v>
      </c>
      <c r="AM150" t="s">
        <v>205</v>
      </c>
      <c r="AN150" s="5">
        <f ca="1">+VLOOKUP($A150,INDIRECT(Adrese!B$2),6,FALSE)</f>
        <v>0.86294247787610623</v>
      </c>
      <c r="AO150" s="5">
        <f ca="1">+VLOOKUP($A150,INDIRECT(Adrese!C$2),6,FALSE)</f>
        <v>0.85953539800000001</v>
      </c>
      <c r="AP150" s="5">
        <f ca="1">+VLOOKUP($A150,INDIRECT(Adrese!D$2),6,FALSE)</f>
        <v>0.86061946899999997</v>
      </c>
      <c r="AQ150" s="5">
        <f ca="1">+VLOOKUP($A150,INDIRECT(Adrese!E$2),6,FALSE)</f>
        <v>0.86418141599999998</v>
      </c>
      <c r="AR150" s="5">
        <f ca="1">+VLOOKUP($A150,INDIRECT(Adrese!F$2),6,FALSE)</f>
        <v>0.86287610599999998</v>
      </c>
      <c r="AS150" s="5" t="str">
        <f t="shared" ca="1" si="55"/>
        <v>0.86 (0.00)</v>
      </c>
      <c r="AT150" s="5">
        <f t="shared" ca="1" si="67"/>
        <v>0.86203097337522139</v>
      </c>
      <c r="AU150" s="5">
        <f t="shared" ca="1" si="56"/>
        <v>1.8966901529864897E-3</v>
      </c>
      <c r="AW150" t="s">
        <v>205</v>
      </c>
      <c r="AX150" s="5">
        <f ca="1">+VLOOKUP($A150,INDIRECT(Adrese!B$2),7,FALSE)</f>
        <v>0.70796460176991149</v>
      </c>
      <c r="AY150" s="5">
        <f ca="1">+VLOOKUP($A150,INDIRECT(Adrese!C$2),7,FALSE)</f>
        <v>0.707964602</v>
      </c>
      <c r="AZ150" s="5">
        <f ca="1">+VLOOKUP($A150,INDIRECT(Adrese!D$2),7,FALSE)</f>
        <v>0.73008849600000003</v>
      </c>
      <c r="BA150" s="5">
        <f ca="1">+VLOOKUP($A150,INDIRECT(Adrese!E$2),7,FALSE)</f>
        <v>0.74336283199999997</v>
      </c>
      <c r="BB150" s="5">
        <f ca="1">+VLOOKUP($A150,INDIRECT(Adrese!F$2),7,FALSE)</f>
        <v>0.74336283199999997</v>
      </c>
      <c r="BC150" s="5" t="str">
        <f t="shared" ca="1" si="57"/>
        <v>0.73 (0.02)</v>
      </c>
      <c r="BD150">
        <f t="shared" ca="1" si="68"/>
        <v>0.72654867275398227</v>
      </c>
      <c r="BE150" s="5">
        <f t="shared" ca="1" si="58"/>
        <v>1.780939099916062E-2</v>
      </c>
      <c r="BG150" t="s">
        <v>205</v>
      </c>
      <c r="BH150" s="5">
        <f ca="1">+VLOOKUP($BG150,INDIRECT(Adrese!B$2),8,FALSE)</f>
        <v>8.063610039382825E-2</v>
      </c>
      <c r="BI150" s="5">
        <f ca="1">+VLOOKUP($BG150,INDIRECT(Adrese!C$2),8,FALSE)</f>
        <v>7.9933711000000005E-2</v>
      </c>
      <c r="BJ150" s="5">
        <f ca="1">+VLOOKUP($BG150,INDIRECT(Adrese!D$2),8,FALSE)</f>
        <v>8.0597772999999998E-2</v>
      </c>
      <c r="BK150" s="5">
        <f ca="1">+VLOOKUP($BG150,INDIRECT(Adrese!E$2),8,FALSE)</f>
        <v>8.0048337999999997E-2</v>
      </c>
      <c r="BL150" s="5">
        <f ca="1">+VLOOKUP($BG150,INDIRECT(Adrese!F$2),8,FALSE)</f>
        <v>8.0454836000000002E-2</v>
      </c>
      <c r="BM150" s="5" t="str">
        <f t="shared" ca="1" si="59"/>
        <v>0.08 (0.00)</v>
      </c>
      <c r="BN150" s="5">
        <f t="shared" ca="1" si="69"/>
        <v>8.0334151678765647E-2</v>
      </c>
      <c r="BO150" s="5">
        <f t="shared" ca="1" si="60"/>
        <v>3.229845697200338E-4</v>
      </c>
      <c r="BQ150" t="s">
        <v>205</v>
      </c>
      <c r="BR150" s="5">
        <f ca="1">+VLOOKUP($BG150,INDIRECT(Adrese!B$2),9,FALSE)</f>
        <v>6.8028547941789363E-2</v>
      </c>
      <c r="BS150" s="5">
        <f ca="1">+VLOOKUP($BG150,INDIRECT(Adrese!C$2),9,FALSE)</f>
        <v>6.5696501000000004E-2</v>
      </c>
      <c r="BT150" s="5">
        <f ca="1">+VLOOKUP($BG150,INDIRECT(Adrese!D$2),9,FALSE)</f>
        <v>6.8119612999999996E-2</v>
      </c>
      <c r="BU150" s="5">
        <f ca="1">+VLOOKUP($BG150,INDIRECT(Adrese!E$2),9,FALSE)</f>
        <v>6.5011781000000005E-2</v>
      </c>
      <c r="BV150" s="5">
        <f ca="1">+VLOOKUP($BG150,INDIRECT(Adrese!F$2),9,FALSE)</f>
        <v>6.6885369E-2</v>
      </c>
      <c r="BW150" s="5" t="str">
        <f t="shared" ca="1" si="61"/>
        <v>0.07 (0.00)</v>
      </c>
      <c r="BX150" s="5">
        <f t="shared" ca="1" si="70"/>
        <v>6.6748362388357879E-2</v>
      </c>
      <c r="BY150" s="5">
        <f t="shared" ca="1" si="62"/>
        <v>1.3838444097410598E-3</v>
      </c>
    </row>
    <row r="151" spans="1:77" x14ac:dyDescent="0.25">
      <c r="A151" t="s">
        <v>206</v>
      </c>
      <c r="B151" s="12">
        <f ca="1">+VLOOKUP($A151,INDIRECT(Adrese!B$2),2,FALSE)</f>
        <v>149</v>
      </c>
      <c r="C151" s="12">
        <f ca="1">+VLOOKUP($A151,INDIRECT(Adrese!C$2),2,FALSE)</f>
        <v>141</v>
      </c>
      <c r="D151" s="12">
        <f ca="1">+VLOOKUP($A151,INDIRECT(Adrese!D$2),2,FALSE)</f>
        <v>148</v>
      </c>
      <c r="E151" s="12">
        <f ca="1">+VLOOKUP($A151,INDIRECT(Adrese!E$2),2,FALSE)</f>
        <v>148</v>
      </c>
      <c r="F151" s="12">
        <f ca="1">+VLOOKUP($A151,INDIRECT(Adrese!F$2),2,FALSE)</f>
        <v>148</v>
      </c>
      <c r="G151" s="5">
        <f t="shared" ca="1" si="63"/>
        <v>146.80000000000001</v>
      </c>
      <c r="H151" s="5">
        <f t="shared" ca="1" si="50"/>
        <v>3.2710854467592245</v>
      </c>
      <c r="J151" t="s">
        <v>206</v>
      </c>
      <c r="K151">
        <f ca="1">+VLOOKUP($A151,INDIRECT(Adrese!B$2),3,FALSE)</f>
        <v>65</v>
      </c>
      <c r="L151">
        <f ca="1">+VLOOKUP($A151,INDIRECT(Adrese!C$2),3,FALSE)</f>
        <v>67</v>
      </c>
      <c r="M151">
        <f ca="1">+VLOOKUP($A151,INDIRECT(Adrese!D$2),3,FALSE)</f>
        <v>67</v>
      </c>
      <c r="N151">
        <f ca="1">+VLOOKUP($A151,INDIRECT(Adrese!E$2),3,FALSE)</f>
        <v>65</v>
      </c>
      <c r="O151">
        <f ca="1">+VLOOKUP($A151,INDIRECT(Adrese!F$2),3,FALSE)</f>
        <v>65</v>
      </c>
      <c r="P151" s="5">
        <f t="shared" ca="1" si="64"/>
        <v>65.8</v>
      </c>
      <c r="Q151" s="5">
        <f t="shared" ca="1" si="51"/>
        <v>1.0954451150103321</v>
      </c>
      <c r="T151" t="s">
        <v>206</v>
      </c>
      <c r="U151">
        <f ca="1">+VLOOKUP($T151,INDIRECT(Adrese!B$2),4,FALSE)</f>
        <v>99053</v>
      </c>
      <c r="V151">
        <f ca="1">+VLOOKUP($T151,INDIRECT(Adrese!C$2),4,FALSE)</f>
        <v>100791</v>
      </c>
      <c r="W151">
        <f ca="1">+VLOOKUP($T151,INDIRECT(Adrese!D$2),4,FALSE)</f>
        <v>98451</v>
      </c>
      <c r="X151">
        <f ca="1">+VLOOKUP($T151,INDIRECT(Adrese!E$2),4,FALSE)</f>
        <v>99397</v>
      </c>
      <c r="Y151">
        <f ca="1">+VLOOKUP($T151,INDIRECT(Adrese!F$2),4,FALSE)</f>
        <v>99741</v>
      </c>
      <c r="Z151">
        <f t="shared" ca="1" si="52"/>
        <v>497433</v>
      </c>
      <c r="AA151" s="5">
        <f t="shared" ca="1" si="65"/>
        <v>99486.6</v>
      </c>
      <c r="AB151" s="5">
        <f t="shared" ca="1" si="53"/>
        <v>871.01710660583467</v>
      </c>
      <c r="AD151" t="s">
        <v>206</v>
      </c>
      <c r="AE151">
        <f ca="1">+VLOOKUP($A151,INDIRECT(Adrese!B$2),5,FALSE)</f>
        <v>19689</v>
      </c>
      <c r="AF151">
        <f ca="1">+VLOOKUP($A151,INDIRECT(Adrese!C$2),5,FALSE)</f>
        <v>20113</v>
      </c>
      <c r="AG151">
        <f ca="1">+VLOOKUP($A151,INDIRECT(Adrese!D$2),5,FALSE)</f>
        <v>19241</v>
      </c>
      <c r="AH151">
        <f ca="1">+VLOOKUP($A151,INDIRECT(Adrese!E$2),5,FALSE)</f>
        <v>19834</v>
      </c>
      <c r="AI151">
        <f ca="1">+VLOOKUP($A151,INDIRECT(Adrese!F$2),5,FALSE)</f>
        <v>19462</v>
      </c>
      <c r="AJ151" s="5">
        <f t="shared" ca="1" si="66"/>
        <v>19667.8</v>
      </c>
      <c r="AK151" s="5">
        <f t="shared" ca="1" si="54"/>
        <v>335.70329161329357</v>
      </c>
      <c r="AM151" t="s">
        <v>206</v>
      </c>
      <c r="AN151" s="5">
        <f ca="1">+VLOOKUP($A151,INDIRECT(Adrese!B$2),6,FALSE)</f>
        <v>0.43119469026548668</v>
      </c>
      <c r="AO151" s="5">
        <f ca="1">+VLOOKUP($A151,INDIRECT(Adrese!C$2),6,FALSE)</f>
        <v>0.44057522100000002</v>
      </c>
      <c r="AP151" s="5">
        <f ca="1">+VLOOKUP($A151,INDIRECT(Adrese!D$2),6,FALSE)</f>
        <v>0.42128318599999998</v>
      </c>
      <c r="AQ151" s="5">
        <f ca="1">+VLOOKUP($A151,INDIRECT(Adrese!E$2),6,FALSE)</f>
        <v>0.43440265500000003</v>
      </c>
      <c r="AR151" s="5">
        <f ca="1">+VLOOKUP($A151,INDIRECT(Adrese!F$2),6,FALSE)</f>
        <v>0.42617256599999997</v>
      </c>
      <c r="AS151" s="5" t="str">
        <f t="shared" ca="1" si="55"/>
        <v>0.43 (0.01)</v>
      </c>
      <c r="AT151" s="5">
        <f t="shared" ca="1" si="67"/>
        <v>0.43072566365309728</v>
      </c>
      <c r="AU151" s="5">
        <f t="shared" ca="1" si="56"/>
        <v>7.427063917291526E-3</v>
      </c>
      <c r="AW151" t="s">
        <v>206</v>
      </c>
      <c r="AX151" s="5">
        <f ca="1">+VLOOKUP($A151,INDIRECT(Adrese!B$2),7,FALSE)</f>
        <v>0.71238938053097345</v>
      </c>
      <c r="AY151" s="5">
        <f ca="1">+VLOOKUP($A151,INDIRECT(Adrese!C$2),7,FALSE)</f>
        <v>0.70353982299999995</v>
      </c>
      <c r="AZ151" s="5">
        <f ca="1">+VLOOKUP($A151,INDIRECT(Adrese!D$2),7,FALSE)</f>
        <v>0.70353982299999995</v>
      </c>
      <c r="BA151" s="5">
        <f ca="1">+VLOOKUP($A151,INDIRECT(Adrese!E$2),7,FALSE)</f>
        <v>0.71238938100000004</v>
      </c>
      <c r="BB151" s="5">
        <f ca="1">+VLOOKUP($A151,INDIRECT(Adrese!F$2),7,FALSE)</f>
        <v>0.71238938100000004</v>
      </c>
      <c r="BC151" s="5" t="str">
        <f t="shared" ca="1" si="57"/>
        <v>0.71 (0.00)</v>
      </c>
      <c r="BD151">
        <f t="shared" ca="1" si="68"/>
        <v>0.70884955770619462</v>
      </c>
      <c r="BE151" s="5">
        <f t="shared" ca="1" si="58"/>
        <v>4.8471024549182071E-3</v>
      </c>
      <c r="BG151" t="s">
        <v>206</v>
      </c>
      <c r="BH151" s="5">
        <f ca="1">+VLOOKUP($BG151,INDIRECT(Adrese!B$2),8,FALSE)</f>
        <v>4.0058953775139697E-2</v>
      </c>
      <c r="BI151" s="5">
        <f ca="1">+VLOOKUP($BG151,INDIRECT(Adrese!C$2),8,FALSE)</f>
        <v>4.0422502999999999E-2</v>
      </c>
      <c r="BJ151" s="5">
        <f ca="1">+VLOOKUP($BG151,INDIRECT(Adrese!D$2),8,FALSE)</f>
        <v>3.8813202999999998E-2</v>
      </c>
      <c r="BK151" s="5">
        <f ca="1">+VLOOKUP($BG151,INDIRECT(Adrese!E$2),8,FALSE)</f>
        <v>4.0589396999999999E-2</v>
      </c>
      <c r="BL151" s="5">
        <f ca="1">+VLOOKUP($BG151,INDIRECT(Adrese!F$2),8,FALSE)</f>
        <v>3.9426790000000003E-2</v>
      </c>
      <c r="BM151" s="5" t="str">
        <f t="shared" ca="1" si="59"/>
        <v>0.04 (0.00)</v>
      </c>
      <c r="BN151" s="5">
        <f t="shared" ca="1" si="69"/>
        <v>3.986216935502794E-2</v>
      </c>
      <c r="BO151" s="5">
        <f t="shared" ca="1" si="60"/>
        <v>7.3679093813359823E-4</v>
      </c>
      <c r="BQ151" t="s">
        <v>206</v>
      </c>
      <c r="BR151" s="5">
        <f ca="1">+VLOOKUP($BG151,INDIRECT(Adrese!B$2),9,FALSE)</f>
        <v>-7.1667984196888933E-3</v>
      </c>
      <c r="BS151" s="5">
        <f ca="1">+VLOOKUP($BG151,INDIRECT(Adrese!C$2),9,FALSE)</f>
        <v>-7.9901580000000007E-3</v>
      </c>
      <c r="BT151" s="5">
        <f ca="1">+VLOOKUP($BG151,INDIRECT(Adrese!D$2),9,FALSE)</f>
        <v>-1.0664976E-2</v>
      </c>
      <c r="BU151" s="5">
        <f ca="1">+VLOOKUP($BG151,INDIRECT(Adrese!E$2),9,FALSE)</f>
        <v>-5.9521770000000003E-3</v>
      </c>
      <c r="BV151" s="5">
        <f ca="1">+VLOOKUP($BG151,INDIRECT(Adrese!F$2),9,FALSE)</f>
        <v>-8.9618409999999999E-3</v>
      </c>
      <c r="BW151" s="5" t="str">
        <f t="shared" ca="1" si="61"/>
        <v>-0.01 (0.00)</v>
      </c>
      <c r="BX151" s="5">
        <f t="shared" ca="1" si="70"/>
        <v>-8.1471900839377789E-3</v>
      </c>
      <c r="BY151" s="5">
        <f t="shared" ca="1" si="62"/>
        <v>1.7893302771941567E-3</v>
      </c>
    </row>
    <row r="152" spans="1:77" x14ac:dyDescent="0.25">
      <c r="A152" t="s">
        <v>207</v>
      </c>
      <c r="B152" s="12">
        <f ca="1">+VLOOKUP($A152,INDIRECT(Adrese!B$2),2,FALSE)</f>
        <v>150</v>
      </c>
      <c r="C152" s="12">
        <f ca="1">+VLOOKUP($A152,INDIRECT(Adrese!C$2),2,FALSE)</f>
        <v>145</v>
      </c>
      <c r="D152" s="12">
        <f ca="1">+VLOOKUP($A152,INDIRECT(Adrese!D$2),2,FALSE)</f>
        <v>147</v>
      </c>
      <c r="E152" s="12">
        <f ca="1">+VLOOKUP($A152,INDIRECT(Adrese!E$2),2,FALSE)</f>
        <v>161</v>
      </c>
      <c r="F152" s="12">
        <f ca="1">+VLOOKUP($A152,INDIRECT(Adrese!F$2),2,FALSE)</f>
        <v>149</v>
      </c>
      <c r="G152" s="5">
        <f t="shared" ca="1" si="63"/>
        <v>150.4</v>
      </c>
      <c r="H152" s="5">
        <f t="shared" ca="1" si="50"/>
        <v>6.2289646009589745</v>
      </c>
      <c r="J152" t="s">
        <v>207</v>
      </c>
      <c r="K152">
        <f ca="1">+VLOOKUP($A152,INDIRECT(Adrese!B$2),3,FALSE)</f>
        <v>57</v>
      </c>
      <c r="L152">
        <f ca="1">+VLOOKUP($A152,INDIRECT(Adrese!C$2),3,FALSE)</f>
        <v>63</v>
      </c>
      <c r="M152">
        <f ca="1">+VLOOKUP($A152,INDIRECT(Adrese!D$2),3,FALSE)</f>
        <v>60</v>
      </c>
      <c r="N152">
        <f ca="1">+VLOOKUP($A152,INDIRECT(Adrese!E$2),3,FALSE)</f>
        <v>58</v>
      </c>
      <c r="O152">
        <f ca="1">+VLOOKUP($A152,INDIRECT(Adrese!F$2),3,FALSE)</f>
        <v>62</v>
      </c>
      <c r="P152" s="5">
        <f t="shared" ca="1" si="64"/>
        <v>60</v>
      </c>
      <c r="Q152" s="5">
        <f t="shared" ca="1" si="51"/>
        <v>2.5495097567963922</v>
      </c>
      <c r="T152" t="s">
        <v>207</v>
      </c>
      <c r="U152">
        <f ca="1">+VLOOKUP($T152,INDIRECT(Adrese!B$2),4,FALSE)</f>
        <v>99035</v>
      </c>
      <c r="V152">
        <f ca="1">+VLOOKUP($T152,INDIRECT(Adrese!C$2),4,FALSE)</f>
        <v>100351</v>
      </c>
      <c r="W152">
        <f ca="1">+VLOOKUP($T152,INDIRECT(Adrese!D$2),4,FALSE)</f>
        <v>98632</v>
      </c>
      <c r="X152">
        <f ca="1">+VLOOKUP($T152,INDIRECT(Adrese!E$2),4,FALSE)</f>
        <v>96706</v>
      </c>
      <c r="Y152">
        <f ca="1">+VLOOKUP($T152,INDIRECT(Adrese!F$2),4,FALSE)</f>
        <v>98997</v>
      </c>
      <c r="Z152">
        <f t="shared" ca="1" si="52"/>
        <v>493721</v>
      </c>
      <c r="AA152" s="5">
        <f t="shared" ca="1" si="65"/>
        <v>98744.2</v>
      </c>
      <c r="AB152" s="5">
        <f t="shared" ca="1" si="53"/>
        <v>1313.1190730470714</v>
      </c>
      <c r="AD152" t="s">
        <v>207</v>
      </c>
      <c r="AE152">
        <f ca="1">+VLOOKUP($A152,INDIRECT(Adrese!B$2),5,FALSE)</f>
        <v>38827</v>
      </c>
      <c r="AF152">
        <f ca="1">+VLOOKUP($A152,INDIRECT(Adrese!C$2),5,FALSE)</f>
        <v>38536</v>
      </c>
      <c r="AG152">
        <f ca="1">+VLOOKUP($A152,INDIRECT(Adrese!D$2),5,FALSE)</f>
        <v>39006</v>
      </c>
      <c r="AH152">
        <f ca="1">+VLOOKUP($A152,INDIRECT(Adrese!E$2),5,FALSE)</f>
        <v>38382</v>
      </c>
      <c r="AI152">
        <f ca="1">+VLOOKUP($A152,INDIRECT(Adrese!F$2),5,FALSE)</f>
        <v>38935</v>
      </c>
      <c r="AJ152" s="5">
        <f t="shared" ca="1" si="66"/>
        <v>38737.199999999997</v>
      </c>
      <c r="AK152" s="5">
        <f t="shared" ca="1" si="54"/>
        <v>267.43728236728703</v>
      </c>
      <c r="AM152" t="s">
        <v>207</v>
      </c>
      <c r="AN152" s="5">
        <f ca="1">+VLOOKUP($A152,INDIRECT(Adrese!B$2),6,FALSE)</f>
        <v>0.85484513274336282</v>
      </c>
      <c r="AO152" s="5">
        <f ca="1">+VLOOKUP($A152,INDIRECT(Adrese!C$2),6,FALSE)</f>
        <v>0.84836283199999996</v>
      </c>
      <c r="AP152" s="5">
        <f ca="1">+VLOOKUP($A152,INDIRECT(Adrese!D$2),6,FALSE)</f>
        <v>0.85882743399999995</v>
      </c>
      <c r="AQ152" s="5">
        <f ca="1">+VLOOKUP($A152,INDIRECT(Adrese!E$2),6,FALSE)</f>
        <v>0.84488938099999999</v>
      </c>
      <c r="AR152" s="5">
        <f ca="1">+VLOOKUP($A152,INDIRECT(Adrese!F$2),6,FALSE)</f>
        <v>0.85721238899999996</v>
      </c>
      <c r="AS152" s="5" t="str">
        <f t="shared" ca="1" si="55"/>
        <v>0.85 (0.01)</v>
      </c>
      <c r="AT152" s="5">
        <f t="shared" ca="1" si="67"/>
        <v>0.85282743374867243</v>
      </c>
      <c r="AU152" s="5">
        <f t="shared" ca="1" si="56"/>
        <v>5.9633106371420296E-3</v>
      </c>
      <c r="AW152" t="s">
        <v>207</v>
      </c>
      <c r="AX152" s="5">
        <f ca="1">+VLOOKUP($A152,INDIRECT(Adrese!B$2),7,FALSE)</f>
        <v>0.74778761061946908</v>
      </c>
      <c r="AY152" s="5">
        <f ca="1">+VLOOKUP($A152,INDIRECT(Adrese!C$2),7,FALSE)</f>
        <v>0.72123893800000005</v>
      </c>
      <c r="AZ152" s="5">
        <f ca="1">+VLOOKUP($A152,INDIRECT(Adrese!D$2),7,FALSE)</f>
        <v>0.73451327399999999</v>
      </c>
      <c r="BA152" s="5">
        <f ca="1">+VLOOKUP($A152,INDIRECT(Adrese!E$2),7,FALSE)</f>
        <v>0.74336283199999997</v>
      </c>
      <c r="BB152" s="5">
        <f ca="1">+VLOOKUP($A152,INDIRECT(Adrese!F$2),7,FALSE)</f>
        <v>0.72566371699999999</v>
      </c>
      <c r="BC152" s="5" t="str">
        <f t="shared" ca="1" si="57"/>
        <v>0.73 (0.01)</v>
      </c>
      <c r="BD152">
        <f t="shared" ca="1" si="68"/>
        <v>0.73451327432389379</v>
      </c>
      <c r="BE152" s="5">
        <f t="shared" ca="1" si="58"/>
        <v>1.128101662993505E-2</v>
      </c>
      <c r="BG152" t="s">
        <v>207</v>
      </c>
      <c r="BH152" s="5">
        <f ca="1">+VLOOKUP($BG152,INDIRECT(Adrese!B$2),8,FALSE)</f>
        <v>7.9274239737984559E-2</v>
      </c>
      <c r="BI152" s="5">
        <f ca="1">+VLOOKUP($BG152,INDIRECT(Adrese!C$2),8,FALSE)</f>
        <v>7.9371603999999998E-2</v>
      </c>
      <c r="BJ152" s="5">
        <f ca="1">+VLOOKUP($BG152,INDIRECT(Adrese!D$2),8,FALSE)</f>
        <v>7.9871655999999999E-2</v>
      </c>
      <c r="BK152" s="5">
        <f ca="1">+VLOOKUP($BG152,INDIRECT(Adrese!E$2),8,FALSE)</f>
        <v>7.8674795000000006E-2</v>
      </c>
      <c r="BL152" s="5">
        <f ca="1">+VLOOKUP($BG152,INDIRECT(Adrese!F$2),8,FALSE)</f>
        <v>8.0092462000000003E-2</v>
      </c>
      <c r="BM152" s="5" t="str">
        <f t="shared" ca="1" si="59"/>
        <v>0.08 (0.00)</v>
      </c>
      <c r="BN152" s="5">
        <f t="shared" ca="1" si="69"/>
        <v>7.9456951347596921E-2</v>
      </c>
      <c r="BO152" s="5">
        <f t="shared" ca="1" si="60"/>
        <v>5.5414122571725019E-4</v>
      </c>
      <c r="BQ152" t="s">
        <v>207</v>
      </c>
      <c r="BR152" s="5">
        <f ca="1">+VLOOKUP($BG152,INDIRECT(Adrese!B$2),9,FALSE)</f>
        <v>6.3315711814631581E-2</v>
      </c>
      <c r="BS152" s="5">
        <f ca="1">+VLOOKUP($BG152,INDIRECT(Adrese!C$2),9,FALSE)</f>
        <v>6.5642833999999997E-2</v>
      </c>
      <c r="BT152" s="5">
        <f ca="1">+VLOOKUP($BG152,INDIRECT(Adrese!D$2),9,FALSE)</f>
        <v>6.5391223999999998E-2</v>
      </c>
      <c r="BU152" s="5">
        <f ca="1">+VLOOKUP($BG152,INDIRECT(Adrese!E$2),9,FALSE)</f>
        <v>6.3957792999999999E-2</v>
      </c>
      <c r="BV152" s="5">
        <f ca="1">+VLOOKUP($BG152,INDIRECT(Adrese!F$2),9,FALSE)</f>
        <v>6.6757789999999997E-2</v>
      </c>
      <c r="BW152" s="5" t="str">
        <f t="shared" ca="1" si="61"/>
        <v>0.07 (0.00)</v>
      </c>
      <c r="BX152" s="5">
        <f t="shared" ca="1" si="70"/>
        <v>6.5013070562926309E-2</v>
      </c>
      <c r="BY152" s="5">
        <f t="shared" ca="1" si="62"/>
        <v>1.3764342862970771E-3</v>
      </c>
    </row>
    <row r="153" spans="1:77" x14ac:dyDescent="0.25">
      <c r="A153" t="s">
        <v>208</v>
      </c>
      <c r="B153" s="12">
        <f ca="1">+VLOOKUP($A153,INDIRECT(Adrese!B$2),2,FALSE)</f>
        <v>151</v>
      </c>
      <c r="C153" s="12">
        <f ca="1">+VLOOKUP($A153,INDIRECT(Adrese!C$2),2,FALSE)</f>
        <v>160</v>
      </c>
      <c r="D153" s="12">
        <f ca="1">+VLOOKUP($A153,INDIRECT(Adrese!D$2),2,FALSE)</f>
        <v>159</v>
      </c>
      <c r="E153" s="12">
        <f ca="1">+VLOOKUP($A153,INDIRECT(Adrese!E$2),2,FALSE)</f>
        <v>164</v>
      </c>
      <c r="F153" s="12">
        <f ca="1">+VLOOKUP($A153,INDIRECT(Adrese!F$2),2,FALSE)</f>
        <v>156</v>
      </c>
      <c r="G153" s="5">
        <f t="shared" ca="1" si="63"/>
        <v>158</v>
      </c>
      <c r="H153" s="5">
        <f t="shared" ca="1" si="50"/>
        <v>4.8476798574163293</v>
      </c>
      <c r="J153" t="s">
        <v>208</v>
      </c>
      <c r="K153">
        <f ca="1">+VLOOKUP($A153,INDIRECT(Adrese!B$2),3,FALSE)</f>
        <v>135</v>
      </c>
      <c r="L153">
        <f ca="1">+VLOOKUP($A153,INDIRECT(Adrese!C$2),3,FALSE)</f>
        <v>135</v>
      </c>
      <c r="M153">
        <f ca="1">+VLOOKUP($A153,INDIRECT(Adrese!D$2),3,FALSE)</f>
        <v>134</v>
      </c>
      <c r="N153">
        <f ca="1">+VLOOKUP($A153,INDIRECT(Adrese!E$2),3,FALSE)</f>
        <v>129</v>
      </c>
      <c r="O153">
        <f ca="1">+VLOOKUP($A153,INDIRECT(Adrese!F$2),3,FALSE)</f>
        <v>133</v>
      </c>
      <c r="P153" s="5">
        <f t="shared" ca="1" si="64"/>
        <v>133.19999999999999</v>
      </c>
      <c r="Q153" s="5">
        <f t="shared" ca="1" si="51"/>
        <v>2.4899799195977463</v>
      </c>
      <c r="T153" t="s">
        <v>208</v>
      </c>
      <c r="U153">
        <f ca="1">+VLOOKUP($T153,INDIRECT(Adrese!B$2),4,FALSE)</f>
        <v>98866</v>
      </c>
      <c r="V153">
        <f ca="1">+VLOOKUP($T153,INDIRECT(Adrese!C$2),4,FALSE)</f>
        <v>96724</v>
      </c>
      <c r="W153">
        <f ca="1">+VLOOKUP($T153,INDIRECT(Adrese!D$2),4,FALSE)</f>
        <v>96836</v>
      </c>
      <c r="X153">
        <f ca="1">+VLOOKUP($T153,INDIRECT(Adrese!E$2),4,FALSE)</f>
        <v>96216</v>
      </c>
      <c r="Y153">
        <f ca="1">+VLOOKUP($T153,INDIRECT(Adrese!F$2),4,FALSE)</f>
        <v>97072</v>
      </c>
      <c r="Z153">
        <f t="shared" ca="1" si="52"/>
        <v>485714</v>
      </c>
      <c r="AA153" s="5">
        <f t="shared" ca="1" si="65"/>
        <v>97142.8</v>
      </c>
      <c r="AB153" s="5">
        <f t="shared" ca="1" si="53"/>
        <v>1012.7819113708538</v>
      </c>
      <c r="AD153" t="s">
        <v>208</v>
      </c>
      <c r="AE153">
        <f ca="1">+VLOOKUP($A153,INDIRECT(Adrese!B$2),5,FALSE)</f>
        <v>11964</v>
      </c>
      <c r="AF153">
        <f ca="1">+VLOOKUP($A153,INDIRECT(Adrese!C$2),5,FALSE)</f>
        <v>11632</v>
      </c>
      <c r="AG153">
        <f ca="1">+VLOOKUP($A153,INDIRECT(Adrese!D$2),5,FALSE)</f>
        <v>11372</v>
      </c>
      <c r="AH153">
        <f ca="1">+VLOOKUP($A153,INDIRECT(Adrese!E$2),5,FALSE)</f>
        <v>11582</v>
      </c>
      <c r="AI153">
        <f ca="1">+VLOOKUP($A153,INDIRECT(Adrese!F$2),5,FALSE)</f>
        <v>12136</v>
      </c>
      <c r="AJ153" s="5">
        <f t="shared" ca="1" si="66"/>
        <v>11737.2</v>
      </c>
      <c r="AK153" s="5">
        <f t="shared" ca="1" si="54"/>
        <v>307.81682864976699</v>
      </c>
      <c r="AM153" t="s">
        <v>208</v>
      </c>
      <c r="AN153" s="5">
        <f ca="1">+VLOOKUP($A153,INDIRECT(Adrese!B$2),6,FALSE)</f>
        <v>0.26466814159292029</v>
      </c>
      <c r="AO153" s="5">
        <f ca="1">+VLOOKUP($A153,INDIRECT(Adrese!C$2),6,FALSE)</f>
        <v>0.25732300899999999</v>
      </c>
      <c r="AP153" s="5">
        <f ca="1">+VLOOKUP($A153,INDIRECT(Adrese!D$2),6,FALSE)</f>
        <v>0.25157079599999999</v>
      </c>
      <c r="AQ153" s="5">
        <f ca="1">+VLOOKUP($A153,INDIRECT(Adrese!E$2),6,FALSE)</f>
        <v>0.25621681400000001</v>
      </c>
      <c r="AR153" s="5">
        <f ca="1">+VLOOKUP($A153,INDIRECT(Adrese!F$2),6,FALSE)</f>
        <v>0.26847345099999997</v>
      </c>
      <c r="AS153" s="5" t="str">
        <f t="shared" ca="1" si="55"/>
        <v>0.26 (0.01)</v>
      </c>
      <c r="AT153" s="5">
        <f t="shared" ca="1" si="67"/>
        <v>0.25965044231858403</v>
      </c>
      <c r="AU153" s="5">
        <f t="shared" ca="1" si="56"/>
        <v>6.8101068661964043E-3</v>
      </c>
      <c r="AW153" t="s">
        <v>208</v>
      </c>
      <c r="AX153" s="5">
        <f ca="1">+VLOOKUP($A153,INDIRECT(Adrese!B$2),7,FALSE)</f>
        <v>0.40265486725663718</v>
      </c>
      <c r="AY153" s="5">
        <f ca="1">+VLOOKUP($A153,INDIRECT(Adrese!C$2),7,FALSE)</f>
        <v>0.40265486700000003</v>
      </c>
      <c r="AZ153" s="5">
        <f ca="1">+VLOOKUP($A153,INDIRECT(Adrese!D$2),7,FALSE)</f>
        <v>0.40707964600000002</v>
      </c>
      <c r="BA153" s="5">
        <f ca="1">+VLOOKUP($A153,INDIRECT(Adrese!E$2),7,FALSE)</f>
        <v>0.42920353999999999</v>
      </c>
      <c r="BB153" s="5">
        <f ca="1">+VLOOKUP($A153,INDIRECT(Adrese!F$2),7,FALSE)</f>
        <v>0.41150442500000001</v>
      </c>
      <c r="BC153" s="5" t="str">
        <f t="shared" ca="1" si="57"/>
        <v>0.41 (0.01)</v>
      </c>
      <c r="BD153">
        <f t="shared" ca="1" si="68"/>
        <v>0.41061946905132746</v>
      </c>
      <c r="BE153" s="5">
        <f t="shared" ca="1" si="58"/>
        <v>1.1017610390587055E-2</v>
      </c>
      <c r="BG153" t="s">
        <v>208</v>
      </c>
      <c r="BH153" s="5">
        <f ca="1">+VLOOKUP($BG153,INDIRECT(Adrese!B$2),8,FALSE)</f>
        <v>2.6519185530291499E-2</v>
      </c>
      <c r="BI153" s="5">
        <f ca="1">+VLOOKUP($BG153,INDIRECT(Adrese!C$2),8,FALSE)</f>
        <v>2.5440069999999999E-2</v>
      </c>
      <c r="BJ153" s="5">
        <f ca="1">+VLOOKUP($BG153,INDIRECT(Adrese!D$2),8,FALSE)</f>
        <v>2.5033553E-2</v>
      </c>
      <c r="BK153" s="5">
        <f ca="1">+VLOOKUP($BG153,INDIRECT(Adrese!E$2),8,FALSE)</f>
        <v>2.5241449999999999E-2</v>
      </c>
      <c r="BL153" s="5">
        <f ca="1">+VLOOKUP($BG153,INDIRECT(Adrese!F$2),8,FALSE)</f>
        <v>2.6617526999999998E-2</v>
      </c>
      <c r="BM153" s="5" t="str">
        <f t="shared" ca="1" si="59"/>
        <v>0.03 (0.00)</v>
      </c>
      <c r="BN153" s="5">
        <f t="shared" ca="1" si="69"/>
        <v>2.5770357106058302E-2</v>
      </c>
      <c r="BO153" s="5">
        <f t="shared" ca="1" si="60"/>
        <v>7.4332923864739605E-4</v>
      </c>
      <c r="BQ153" t="s">
        <v>208</v>
      </c>
      <c r="BR153" s="5">
        <f ca="1">+VLOOKUP($BG153,INDIRECT(Adrese!B$2),9,FALSE)</f>
        <v>-2.356824068708065E-2</v>
      </c>
      <c r="BS153" s="5">
        <f ca="1">+VLOOKUP($BG153,INDIRECT(Adrese!C$2),9,FALSE)</f>
        <v>-2.7416006999999999E-2</v>
      </c>
      <c r="BT153" s="5">
        <f ca="1">+VLOOKUP($BG153,INDIRECT(Adrese!D$2),9,FALSE)</f>
        <v>-2.7495216999999999E-2</v>
      </c>
      <c r="BU153" s="5">
        <f ca="1">+VLOOKUP($BG153,INDIRECT(Adrese!E$2),9,FALSE)</f>
        <v>-2.7976569E-2</v>
      </c>
      <c r="BV153" s="5">
        <f ca="1">+VLOOKUP($BG153,INDIRECT(Adrese!F$2),9,FALSE)</f>
        <v>-2.4481249E-2</v>
      </c>
      <c r="BW153" s="5" t="str">
        <f t="shared" ca="1" si="61"/>
        <v>-0.03 (0.00)</v>
      </c>
      <c r="BX153" s="5">
        <f t="shared" ca="1" si="70"/>
        <v>-2.618745653741613E-2</v>
      </c>
      <c r="BY153" s="5">
        <f t="shared" ca="1" si="62"/>
        <v>2.0119600456873989E-3</v>
      </c>
    </row>
    <row r="154" spans="1:77" x14ac:dyDescent="0.25">
      <c r="A154" t="s">
        <v>209</v>
      </c>
      <c r="B154" s="12">
        <f ca="1">+VLOOKUP($A154,INDIRECT(Adrese!B$2),2,FALSE)</f>
        <v>152</v>
      </c>
      <c r="C154" s="12">
        <f ca="1">+VLOOKUP($A154,INDIRECT(Adrese!C$2),2,FALSE)</f>
        <v>152</v>
      </c>
      <c r="D154" s="12">
        <f ca="1">+VLOOKUP($A154,INDIRECT(Adrese!D$2),2,FALSE)</f>
        <v>153</v>
      </c>
      <c r="E154" s="12">
        <f ca="1">+VLOOKUP($A154,INDIRECT(Adrese!E$2),2,FALSE)</f>
        <v>153</v>
      </c>
      <c r="F154" s="12">
        <f ca="1">+VLOOKUP($A154,INDIRECT(Adrese!F$2),2,FALSE)</f>
        <v>151</v>
      </c>
      <c r="G154" s="5">
        <f t="shared" ca="1" si="63"/>
        <v>152.19999999999999</v>
      </c>
      <c r="H154" s="5">
        <f t="shared" ca="1" si="50"/>
        <v>0.83666002653407556</v>
      </c>
      <c r="J154" t="s">
        <v>209</v>
      </c>
      <c r="K154">
        <f ca="1">+VLOOKUP($A154,INDIRECT(Adrese!B$2),3,FALSE)</f>
        <v>65</v>
      </c>
      <c r="L154">
        <f ca="1">+VLOOKUP($A154,INDIRECT(Adrese!C$2),3,FALSE)</f>
        <v>63</v>
      </c>
      <c r="M154">
        <f ca="1">+VLOOKUP($A154,INDIRECT(Adrese!D$2),3,FALSE)</f>
        <v>59</v>
      </c>
      <c r="N154">
        <f ca="1">+VLOOKUP($A154,INDIRECT(Adrese!E$2),3,FALSE)</f>
        <v>59</v>
      </c>
      <c r="O154">
        <f ca="1">+VLOOKUP($A154,INDIRECT(Adrese!F$2),3,FALSE)</f>
        <v>59</v>
      </c>
      <c r="P154" s="5">
        <f t="shared" ca="1" si="64"/>
        <v>61</v>
      </c>
      <c r="Q154" s="5">
        <f t="shared" ca="1" si="51"/>
        <v>2.8284271247461903</v>
      </c>
      <c r="T154" t="s">
        <v>209</v>
      </c>
      <c r="U154">
        <f ca="1">+VLOOKUP($T154,INDIRECT(Adrese!B$2),4,FALSE)</f>
        <v>98677</v>
      </c>
      <c r="V154">
        <f ca="1">+VLOOKUP($T154,INDIRECT(Adrese!C$2),4,FALSE)</f>
        <v>98752</v>
      </c>
      <c r="W154">
        <f ca="1">+VLOOKUP($T154,INDIRECT(Adrese!D$2),4,FALSE)</f>
        <v>98201</v>
      </c>
      <c r="X154">
        <f ca="1">+VLOOKUP($T154,INDIRECT(Adrese!E$2),4,FALSE)</f>
        <v>98392</v>
      </c>
      <c r="Y154">
        <f ca="1">+VLOOKUP($T154,INDIRECT(Adrese!F$2),4,FALSE)</f>
        <v>98459</v>
      </c>
      <c r="Z154">
        <f t="shared" ca="1" si="52"/>
        <v>492481</v>
      </c>
      <c r="AA154" s="5">
        <f t="shared" ca="1" si="65"/>
        <v>98496.2</v>
      </c>
      <c r="AB154" s="5">
        <f t="shared" ca="1" si="53"/>
        <v>222.20868569882683</v>
      </c>
      <c r="AD154" t="s">
        <v>209</v>
      </c>
      <c r="AE154">
        <f ca="1">+VLOOKUP($A154,INDIRECT(Adrese!B$2),5,FALSE)</f>
        <v>39583</v>
      </c>
      <c r="AF154">
        <f ca="1">+VLOOKUP($A154,INDIRECT(Adrese!C$2),5,FALSE)</f>
        <v>38591</v>
      </c>
      <c r="AG154">
        <f ca="1">+VLOOKUP($A154,INDIRECT(Adrese!D$2),5,FALSE)</f>
        <v>39233</v>
      </c>
      <c r="AH154">
        <f ca="1">+VLOOKUP($A154,INDIRECT(Adrese!E$2),5,FALSE)</f>
        <v>39125</v>
      </c>
      <c r="AI154">
        <f ca="1">+VLOOKUP($A154,INDIRECT(Adrese!F$2),5,FALSE)</f>
        <v>38500</v>
      </c>
      <c r="AJ154" s="5">
        <f t="shared" ca="1" si="66"/>
        <v>39006.400000000001</v>
      </c>
      <c r="AK154" s="5">
        <f t="shared" ca="1" si="54"/>
        <v>454.66449168590236</v>
      </c>
      <c r="AM154" t="s">
        <v>209</v>
      </c>
      <c r="AN154" s="5">
        <f ca="1">+VLOOKUP($A154,INDIRECT(Adrese!B$2),6,FALSE)</f>
        <v>0.87161504424778757</v>
      </c>
      <c r="AO154" s="5">
        <f ca="1">+VLOOKUP($A154,INDIRECT(Adrese!C$2),6,FALSE)</f>
        <v>0.849535398</v>
      </c>
      <c r="AP154" s="5">
        <f ca="1">+VLOOKUP($A154,INDIRECT(Adrese!D$2),6,FALSE)</f>
        <v>0.863871681</v>
      </c>
      <c r="AQ154" s="5">
        <f ca="1">+VLOOKUP($A154,INDIRECT(Adrese!E$2),6,FALSE)</f>
        <v>0.86134955800000002</v>
      </c>
      <c r="AR154" s="5">
        <f ca="1">+VLOOKUP($A154,INDIRECT(Adrese!F$2),6,FALSE)</f>
        <v>0.84761061900000001</v>
      </c>
      <c r="AS154" s="5" t="str">
        <f t="shared" ca="1" si="55"/>
        <v>0.86 (0.01)</v>
      </c>
      <c r="AT154" s="5">
        <f t="shared" ca="1" si="67"/>
        <v>0.85879646004955745</v>
      </c>
      <c r="AU154" s="5">
        <f t="shared" ca="1" si="56"/>
        <v>1.0093098978500083E-2</v>
      </c>
      <c r="AW154" t="s">
        <v>209</v>
      </c>
      <c r="AX154" s="5">
        <f ca="1">+VLOOKUP($A154,INDIRECT(Adrese!B$2),7,FALSE)</f>
        <v>0.71238938053097345</v>
      </c>
      <c r="AY154" s="5">
        <f ca="1">+VLOOKUP($A154,INDIRECT(Adrese!C$2),7,FALSE)</f>
        <v>0.72123893800000005</v>
      </c>
      <c r="AZ154" s="5">
        <f ca="1">+VLOOKUP($A154,INDIRECT(Adrese!D$2),7,FALSE)</f>
        <v>0.73893805300000004</v>
      </c>
      <c r="BA154" s="5">
        <f ca="1">+VLOOKUP($A154,INDIRECT(Adrese!E$2),7,FALSE)</f>
        <v>0.73893805300000004</v>
      </c>
      <c r="BB154" s="5">
        <f ca="1">+VLOOKUP($A154,INDIRECT(Adrese!F$2),7,FALSE)</f>
        <v>0.73893805300000004</v>
      </c>
      <c r="BC154" s="5" t="str">
        <f t="shared" ca="1" si="57"/>
        <v>0.73 (0.01)</v>
      </c>
      <c r="BD154">
        <f t="shared" ca="1" si="68"/>
        <v>0.73008849550619481</v>
      </c>
      <c r="BE154" s="5">
        <f t="shared" ca="1" si="58"/>
        <v>1.2515164226549785E-2</v>
      </c>
      <c r="BG154" t="s">
        <v>209</v>
      </c>
      <c r="BH154" s="5">
        <f ca="1">+VLOOKUP($BG154,INDIRECT(Adrese!B$2),8,FALSE)</f>
        <v>8.040832723818786E-2</v>
      </c>
      <c r="BI154" s="5">
        <f ca="1">+VLOOKUP($BG154,INDIRECT(Adrese!C$2),8,FALSE)</f>
        <v>7.9441484000000007E-2</v>
      </c>
      <c r="BJ154" s="5">
        <f ca="1">+VLOOKUP($BG154,INDIRECT(Adrese!D$2),8,FALSE)</f>
        <v>8.0122151000000003E-2</v>
      </c>
      <c r="BK154" s="5">
        <f ca="1">+VLOOKUP($BG154,INDIRECT(Adrese!E$2),8,FALSE)</f>
        <v>8.0058664000000002E-2</v>
      </c>
      <c r="BL154" s="5">
        <f ca="1">+VLOOKUP($BG154,INDIRECT(Adrese!F$2),8,FALSE)</f>
        <v>7.9387276000000007E-2</v>
      </c>
      <c r="BM154" s="5" t="str">
        <f t="shared" ca="1" si="59"/>
        <v>0.08 (0.00)</v>
      </c>
      <c r="BN154" s="5">
        <f t="shared" ca="1" si="69"/>
        <v>7.9883580447637575E-2</v>
      </c>
      <c r="BO154" s="5">
        <f t="shared" ca="1" si="60"/>
        <v>4.4852444936529774E-4</v>
      </c>
      <c r="BQ154" t="s">
        <v>209</v>
      </c>
      <c r="BR154" s="5">
        <f ca="1">+VLOOKUP($BG154,INDIRECT(Adrese!B$2),9,FALSE)</f>
        <v>6.4585801029098389E-2</v>
      </c>
      <c r="BS154" s="5">
        <f ca="1">+VLOOKUP($BG154,INDIRECT(Adrese!C$2),9,FALSE)</f>
        <v>6.5473963999999996E-2</v>
      </c>
      <c r="BT154" s="5">
        <f ca="1">+VLOOKUP($BG154,INDIRECT(Adrese!D$2),9,FALSE)</f>
        <v>6.4700495999999996E-2</v>
      </c>
      <c r="BU154" s="5">
        <f ca="1">+VLOOKUP($BG154,INDIRECT(Adrese!E$2),9,FALSE)</f>
        <v>6.6020872999999994E-2</v>
      </c>
      <c r="BV154" s="5">
        <f ca="1">+VLOOKUP($BG154,INDIRECT(Adrese!F$2),9,FALSE)</f>
        <v>6.5419954000000002E-2</v>
      </c>
      <c r="BW154" s="5" t="str">
        <f t="shared" ca="1" si="61"/>
        <v>0.07 (0.00)</v>
      </c>
      <c r="BX154" s="5">
        <f t="shared" ca="1" si="70"/>
        <v>6.5240217605819675E-2</v>
      </c>
      <c r="BY154" s="5">
        <f t="shared" ca="1" si="62"/>
        <v>5.9496341490974404E-4</v>
      </c>
    </row>
    <row r="155" spans="1:77" x14ac:dyDescent="0.25">
      <c r="A155" t="s">
        <v>19</v>
      </c>
      <c r="B155" s="12">
        <f ca="1">+VLOOKUP($A155,INDIRECT(Adrese!B$2),2,FALSE)</f>
        <v>153</v>
      </c>
      <c r="C155" s="12">
        <f ca="1">+VLOOKUP($A155,INDIRECT(Adrese!C$2),2,FALSE)</f>
        <v>162</v>
      </c>
      <c r="D155" s="12">
        <f ca="1">+VLOOKUP($A155,INDIRECT(Adrese!D$2),2,FALSE)</f>
        <v>158</v>
      </c>
      <c r="E155" s="12">
        <f ca="1">+VLOOKUP($A155,INDIRECT(Adrese!E$2),2,FALSE)</f>
        <v>154</v>
      </c>
      <c r="F155" s="12">
        <f ca="1">+VLOOKUP($A155,INDIRECT(Adrese!F$2),2,FALSE)</f>
        <v>159</v>
      </c>
      <c r="G155" s="5">
        <f t="shared" ca="1" si="63"/>
        <v>157.19999999999999</v>
      </c>
      <c r="H155" s="5">
        <f t="shared" ca="1" si="50"/>
        <v>3.7013511046643495</v>
      </c>
      <c r="J155" t="s">
        <v>19</v>
      </c>
      <c r="K155">
        <f ca="1">+VLOOKUP($A155,INDIRECT(Adrese!B$2),3,FALSE)</f>
        <v>175</v>
      </c>
      <c r="L155">
        <f ca="1">+VLOOKUP($A155,INDIRECT(Adrese!C$2),3,FALSE)</f>
        <v>179</v>
      </c>
      <c r="M155">
        <f ca="1">+VLOOKUP($A155,INDIRECT(Adrese!D$2),3,FALSE)</f>
        <v>173</v>
      </c>
      <c r="N155">
        <f ca="1">+VLOOKUP($A155,INDIRECT(Adrese!E$2),3,FALSE)</f>
        <v>170</v>
      </c>
      <c r="O155">
        <f ca="1">+VLOOKUP($A155,INDIRECT(Adrese!F$2),3,FALSE)</f>
        <v>173</v>
      </c>
      <c r="P155" s="5">
        <f t="shared" ca="1" si="64"/>
        <v>174</v>
      </c>
      <c r="Q155" s="5">
        <f t="shared" ca="1" si="51"/>
        <v>3.3166247903553998</v>
      </c>
      <c r="T155" t="s">
        <v>19</v>
      </c>
      <c r="U155">
        <f ca="1">+VLOOKUP($T155,INDIRECT(Adrese!B$2),4,FALSE)</f>
        <v>98443</v>
      </c>
      <c r="V155">
        <f ca="1">+VLOOKUP($T155,INDIRECT(Adrese!C$2),4,FALSE)</f>
        <v>95961</v>
      </c>
      <c r="W155">
        <f ca="1">+VLOOKUP($T155,INDIRECT(Adrese!D$2),4,FALSE)</f>
        <v>97100</v>
      </c>
      <c r="X155">
        <f ca="1">+VLOOKUP($T155,INDIRECT(Adrese!E$2),4,FALSE)</f>
        <v>97904</v>
      </c>
      <c r="Y155">
        <f ca="1">+VLOOKUP($T155,INDIRECT(Adrese!F$2),4,FALSE)</f>
        <v>97004</v>
      </c>
      <c r="Z155">
        <f t="shared" ca="1" si="52"/>
        <v>486412</v>
      </c>
      <c r="AA155" s="5">
        <f t="shared" ca="1" si="65"/>
        <v>97282.4</v>
      </c>
      <c r="AB155" s="5">
        <f t="shared" ca="1" si="53"/>
        <v>947.39817394799741</v>
      </c>
      <c r="AD155" t="s">
        <v>19</v>
      </c>
      <c r="AE155">
        <f ca="1">+VLOOKUP($A155,INDIRECT(Adrese!B$2),5,FALSE)</f>
        <v>16720</v>
      </c>
      <c r="AF155">
        <f ca="1">+VLOOKUP($A155,INDIRECT(Adrese!C$2),5,FALSE)</f>
        <v>16006</v>
      </c>
      <c r="AG155">
        <f ca="1">+VLOOKUP($A155,INDIRECT(Adrese!D$2),5,FALSE)</f>
        <v>16302</v>
      </c>
      <c r="AH155">
        <f ca="1">+VLOOKUP($A155,INDIRECT(Adrese!E$2),5,FALSE)</f>
        <v>16439</v>
      </c>
      <c r="AI155">
        <f ca="1">+VLOOKUP($A155,INDIRECT(Adrese!F$2),5,FALSE)</f>
        <v>16089</v>
      </c>
      <c r="AJ155" s="5">
        <f t="shared" ca="1" si="66"/>
        <v>16311.2</v>
      </c>
      <c r="AK155" s="5">
        <f t="shared" ca="1" si="54"/>
        <v>285.50604196759127</v>
      </c>
      <c r="AM155" t="s">
        <v>19</v>
      </c>
      <c r="AN155" s="5">
        <f ca="1">+VLOOKUP($A155,INDIRECT(Adrese!B$2),6,FALSE)</f>
        <v>0.36951327433628323</v>
      </c>
      <c r="AO155" s="5">
        <f ca="1">+VLOOKUP($A155,INDIRECT(Adrese!C$2),6,FALSE)</f>
        <v>0.353827434</v>
      </c>
      <c r="AP155" s="5">
        <f ca="1">+VLOOKUP($A155,INDIRECT(Adrese!D$2),6,FALSE)</f>
        <v>0.36004424800000001</v>
      </c>
      <c r="AQ155" s="5">
        <f ca="1">+VLOOKUP($A155,INDIRECT(Adrese!E$2),6,FALSE)</f>
        <v>0.363163717</v>
      </c>
      <c r="AR155" s="5">
        <f ca="1">+VLOOKUP($A155,INDIRECT(Adrese!F$2),6,FALSE)</f>
        <v>0.355575221</v>
      </c>
      <c r="AS155" s="5" t="str">
        <f t="shared" ca="1" si="55"/>
        <v>0.36 (0.01)</v>
      </c>
      <c r="AT155" s="5">
        <f t="shared" ca="1" si="67"/>
        <v>0.36042477886725666</v>
      </c>
      <c r="AU155" s="5">
        <f t="shared" ca="1" si="56"/>
        <v>6.2707756005903276E-3</v>
      </c>
      <c r="AW155" t="s">
        <v>19</v>
      </c>
      <c r="AX155" s="5">
        <f ca="1">+VLOOKUP($A155,INDIRECT(Adrese!B$2),7,FALSE)</f>
        <v>0.22566371681415931</v>
      </c>
      <c r="AY155" s="5">
        <f ca="1">+VLOOKUP($A155,INDIRECT(Adrese!C$2),7,FALSE)</f>
        <v>0.207964602</v>
      </c>
      <c r="AZ155" s="5">
        <f ca="1">+VLOOKUP($A155,INDIRECT(Adrese!D$2),7,FALSE)</f>
        <v>0.23451327399999999</v>
      </c>
      <c r="BA155" s="5">
        <f ca="1">+VLOOKUP($A155,INDIRECT(Adrese!E$2),7,FALSE)</f>
        <v>0.24778761099999999</v>
      </c>
      <c r="BB155" s="5">
        <f ca="1">+VLOOKUP($A155,INDIRECT(Adrese!F$2),7,FALSE)</f>
        <v>0.23451327399999999</v>
      </c>
      <c r="BC155" s="5" t="str">
        <f t="shared" ca="1" si="57"/>
        <v>0.23 (0.01)</v>
      </c>
      <c r="BD155">
        <f t="shared" ca="1" si="68"/>
        <v>0.23008849556283187</v>
      </c>
      <c r="BE155" s="5">
        <f t="shared" ca="1" si="58"/>
        <v>1.467533090809605E-2</v>
      </c>
      <c r="BG155" t="s">
        <v>19</v>
      </c>
      <c r="BH155" s="5">
        <f ca="1">+VLOOKUP($BG155,INDIRECT(Adrese!B$2),8,FALSE)</f>
        <v>3.7488631292575757E-2</v>
      </c>
      <c r="BI155" s="5">
        <f ca="1">+VLOOKUP($BG155,INDIRECT(Adrese!C$2),8,FALSE)</f>
        <v>3.6095650999999999E-2</v>
      </c>
      <c r="BJ155" s="5">
        <f ca="1">+VLOOKUP($BG155,INDIRECT(Adrese!D$2),8,FALSE)</f>
        <v>3.6698585999999998E-2</v>
      </c>
      <c r="BK155" s="5">
        <f ca="1">+VLOOKUP($BG155,INDIRECT(Adrese!E$2),8,FALSE)</f>
        <v>3.7034292000000003E-2</v>
      </c>
      <c r="BL155" s="5">
        <f ca="1">+VLOOKUP($BG155,INDIRECT(Adrese!F$2),8,FALSE)</f>
        <v>3.6434175999999999E-2</v>
      </c>
      <c r="BM155" s="5" t="str">
        <f t="shared" ca="1" si="59"/>
        <v>0.04 (0.00)</v>
      </c>
      <c r="BN155" s="5">
        <f t="shared" ca="1" si="69"/>
        <v>3.6750267258515143E-2</v>
      </c>
      <c r="BO155" s="5">
        <f t="shared" ca="1" si="60"/>
        <v>5.3781004608355147E-4</v>
      </c>
      <c r="BQ155" t="s">
        <v>19</v>
      </c>
      <c r="BR155" s="5">
        <f ca="1">+VLOOKUP($BG155,INDIRECT(Adrese!B$2),9,FALSE)</f>
        <v>-4.4544270068749611E-3</v>
      </c>
      <c r="BS155" s="5">
        <f ca="1">+VLOOKUP($BG155,INDIRECT(Adrese!C$2),9,FALSE)</f>
        <v>-6.6977809999999999E-3</v>
      </c>
      <c r="BT155" s="5">
        <f ca="1">+VLOOKUP($BG155,INDIRECT(Adrese!D$2),9,FALSE)</f>
        <v>-5.9575920000000003E-3</v>
      </c>
      <c r="BU155" s="5">
        <f ca="1">+VLOOKUP($BG155,INDIRECT(Adrese!E$2),9,FALSE)</f>
        <v>-4.6466249999999997E-3</v>
      </c>
      <c r="BV155" s="5">
        <f ca="1">+VLOOKUP($BG155,INDIRECT(Adrese!F$2),9,FALSE)</f>
        <v>-5.8805239999999998E-3</v>
      </c>
      <c r="BW155" s="5" t="str">
        <f t="shared" ca="1" si="61"/>
        <v>-0.01 (0.00)</v>
      </c>
      <c r="BX155" s="5">
        <f t="shared" ca="1" si="70"/>
        <v>-5.5273898013749921E-3</v>
      </c>
      <c r="BY155" s="5">
        <f t="shared" ca="1" si="62"/>
        <v>9.4955108412892212E-4</v>
      </c>
    </row>
    <row r="156" spans="1:77" x14ac:dyDescent="0.25">
      <c r="A156" t="s">
        <v>210</v>
      </c>
      <c r="B156" s="12">
        <f ca="1">+VLOOKUP($A156,INDIRECT(Adrese!B$2),2,FALSE)</f>
        <v>154</v>
      </c>
      <c r="C156" s="12">
        <f ca="1">+VLOOKUP($A156,INDIRECT(Adrese!C$2),2,FALSE)</f>
        <v>150</v>
      </c>
      <c r="D156" s="12">
        <f ca="1">+VLOOKUP($A156,INDIRECT(Adrese!D$2),2,FALSE)</f>
        <v>164</v>
      </c>
      <c r="E156" s="12">
        <f ca="1">+VLOOKUP($A156,INDIRECT(Adrese!E$2),2,FALSE)</f>
        <v>157</v>
      </c>
      <c r="F156" s="12">
        <f ca="1">+VLOOKUP($A156,INDIRECT(Adrese!F$2),2,FALSE)</f>
        <v>153</v>
      </c>
      <c r="G156" s="5">
        <f t="shared" ca="1" si="63"/>
        <v>155.6</v>
      </c>
      <c r="H156" s="5">
        <f t="shared" ca="1" si="50"/>
        <v>5.3197744313081552</v>
      </c>
      <c r="J156" t="s">
        <v>210</v>
      </c>
      <c r="K156">
        <f ca="1">+VLOOKUP($A156,INDIRECT(Adrese!B$2),3,FALSE)</f>
        <v>120</v>
      </c>
      <c r="L156">
        <f ca="1">+VLOOKUP($A156,INDIRECT(Adrese!C$2),3,FALSE)</f>
        <v>123</v>
      </c>
      <c r="M156">
        <f ca="1">+VLOOKUP($A156,INDIRECT(Adrese!D$2),3,FALSE)</f>
        <v>113</v>
      </c>
      <c r="N156">
        <f ca="1">+VLOOKUP($A156,INDIRECT(Adrese!E$2),3,FALSE)</f>
        <v>118</v>
      </c>
      <c r="O156">
        <f ca="1">+VLOOKUP($A156,INDIRECT(Adrese!F$2),3,FALSE)</f>
        <v>113</v>
      </c>
      <c r="P156" s="5">
        <f t="shared" ca="1" si="64"/>
        <v>117.4</v>
      </c>
      <c r="Q156" s="5">
        <f t="shared" ca="1" si="51"/>
        <v>4.3931765272977588</v>
      </c>
      <c r="T156" t="s">
        <v>210</v>
      </c>
      <c r="U156">
        <f ca="1">+VLOOKUP($T156,INDIRECT(Adrese!B$2),4,FALSE)</f>
        <v>97900</v>
      </c>
      <c r="V156">
        <f ca="1">+VLOOKUP($T156,INDIRECT(Adrese!C$2),4,FALSE)</f>
        <v>99160</v>
      </c>
      <c r="W156">
        <f ca="1">+VLOOKUP($T156,INDIRECT(Adrese!D$2),4,FALSE)</f>
        <v>95921</v>
      </c>
      <c r="X156">
        <f ca="1">+VLOOKUP($T156,INDIRECT(Adrese!E$2),4,FALSE)</f>
        <v>97385</v>
      </c>
      <c r="Y156">
        <f ca="1">+VLOOKUP($T156,INDIRECT(Adrese!F$2),4,FALSE)</f>
        <v>97233</v>
      </c>
      <c r="Z156">
        <f t="shared" ca="1" si="52"/>
        <v>487599</v>
      </c>
      <c r="AA156" s="5">
        <f t="shared" ca="1" si="65"/>
        <v>97519.8</v>
      </c>
      <c r="AB156" s="5">
        <f t="shared" ca="1" si="53"/>
        <v>1171.6862634681693</v>
      </c>
      <c r="AD156" t="s">
        <v>210</v>
      </c>
      <c r="AE156">
        <f ca="1">+VLOOKUP($A156,INDIRECT(Adrese!B$2),5,FALSE)</f>
        <v>22457</v>
      </c>
      <c r="AF156">
        <f ca="1">+VLOOKUP($A156,INDIRECT(Adrese!C$2),5,FALSE)</f>
        <v>22971</v>
      </c>
      <c r="AG156">
        <f ca="1">+VLOOKUP($A156,INDIRECT(Adrese!D$2),5,FALSE)</f>
        <v>22084</v>
      </c>
      <c r="AH156">
        <f ca="1">+VLOOKUP($A156,INDIRECT(Adrese!E$2),5,FALSE)</f>
        <v>22367</v>
      </c>
      <c r="AI156">
        <f ca="1">+VLOOKUP($A156,INDIRECT(Adrese!F$2),5,FALSE)</f>
        <v>22342</v>
      </c>
      <c r="AJ156" s="5">
        <f t="shared" ca="1" si="66"/>
        <v>22444.2</v>
      </c>
      <c r="AK156" s="5">
        <f t="shared" ca="1" si="54"/>
        <v>325.51144373124578</v>
      </c>
      <c r="AM156" t="s">
        <v>210</v>
      </c>
      <c r="AN156" s="5">
        <f ca="1">+VLOOKUP($A156,INDIRECT(Adrese!B$2),6,FALSE)</f>
        <v>0.49522123893805309</v>
      </c>
      <c r="AO156" s="5">
        <f ca="1">+VLOOKUP($A156,INDIRECT(Adrese!C$2),6,FALSE)</f>
        <v>0.50617256600000005</v>
      </c>
      <c r="AP156" s="5">
        <f ca="1">+VLOOKUP($A156,INDIRECT(Adrese!D$2),6,FALSE)</f>
        <v>0.485973451</v>
      </c>
      <c r="AQ156" s="5">
        <f ca="1">+VLOOKUP($A156,INDIRECT(Adrese!E$2),6,FALSE)</f>
        <v>0.49261061900000003</v>
      </c>
      <c r="AR156" s="5">
        <f ca="1">+VLOOKUP($A156,INDIRECT(Adrese!F$2),6,FALSE)</f>
        <v>0.49263274299999998</v>
      </c>
      <c r="AS156" s="5" t="str">
        <f t="shared" ca="1" si="55"/>
        <v>0.49 (0.01)</v>
      </c>
      <c r="AT156" s="5">
        <f t="shared" ca="1" si="67"/>
        <v>0.49452212358761061</v>
      </c>
      <c r="AU156" s="5">
        <f t="shared" ca="1" si="56"/>
        <v>7.3573939421694712E-3</v>
      </c>
      <c r="AW156" t="s">
        <v>210</v>
      </c>
      <c r="AX156" s="5">
        <f ca="1">+VLOOKUP($A156,INDIRECT(Adrese!B$2),7,FALSE)</f>
        <v>0.46902654867256638</v>
      </c>
      <c r="AY156" s="5">
        <f ca="1">+VLOOKUP($A156,INDIRECT(Adrese!C$2),7,FALSE)</f>
        <v>0.45575221199999999</v>
      </c>
      <c r="AZ156" s="5">
        <f ca="1">+VLOOKUP($A156,INDIRECT(Adrese!D$2),7,FALSE)</f>
        <v>0.5</v>
      </c>
      <c r="BA156" s="5">
        <f ca="1">+VLOOKUP($A156,INDIRECT(Adrese!E$2),7,FALSE)</f>
        <v>0.47787610600000002</v>
      </c>
      <c r="BB156" s="5">
        <f ca="1">+VLOOKUP($A156,INDIRECT(Adrese!F$2),7,FALSE)</f>
        <v>0.5</v>
      </c>
      <c r="BC156" s="5" t="str">
        <f t="shared" ca="1" si="57"/>
        <v>0.48 (0.02)</v>
      </c>
      <c r="BD156">
        <f t="shared" ca="1" si="68"/>
        <v>0.48053097333451333</v>
      </c>
      <c r="BE156" s="5">
        <f t="shared" ca="1" si="58"/>
        <v>1.9438834322316721E-2</v>
      </c>
      <c r="BG156" t="s">
        <v>210</v>
      </c>
      <c r="BH156" s="5">
        <f ca="1">+VLOOKUP($BG156,INDIRECT(Adrese!B$2),8,FALSE)</f>
        <v>4.8556381564260849E-2</v>
      </c>
      <c r="BI156" s="5">
        <f ca="1">+VLOOKUP($BG156,INDIRECT(Adrese!C$2),8,FALSE)</f>
        <v>4.9453730000000001E-2</v>
      </c>
      <c r="BJ156" s="5">
        <f ca="1">+VLOOKUP($BG156,INDIRECT(Adrese!D$2),8,FALSE)</f>
        <v>4.7923097999999997E-2</v>
      </c>
      <c r="BK156" s="5">
        <f ca="1">+VLOOKUP($BG156,INDIRECT(Adrese!E$2),8,FALSE)</f>
        <v>4.8704139E-2</v>
      </c>
      <c r="BL156" s="5">
        <f ca="1">+VLOOKUP($BG156,INDIRECT(Adrese!F$2),8,FALSE)</f>
        <v>4.8236882000000002E-2</v>
      </c>
      <c r="BM156" s="5" t="str">
        <f t="shared" ca="1" si="59"/>
        <v>0.05 (0.00)</v>
      </c>
      <c r="BN156" s="5">
        <f t="shared" ca="1" si="69"/>
        <v>4.857484611285217E-2</v>
      </c>
      <c r="BO156" s="5">
        <f t="shared" ca="1" si="60"/>
        <v>5.7630066404007073E-4</v>
      </c>
      <c r="BQ156" t="s">
        <v>210</v>
      </c>
      <c r="BR156" s="5">
        <f ca="1">+VLOOKUP($BG156,INDIRECT(Adrese!B$2),9,FALSE)</f>
        <v>1.314936745596121E-2</v>
      </c>
      <c r="BS156" s="5">
        <f ca="1">+VLOOKUP($BG156,INDIRECT(Adrese!C$2),9,FALSE)</f>
        <v>1.4052906E-2</v>
      </c>
      <c r="BT156" s="5">
        <f ca="1">+VLOOKUP($BG156,INDIRECT(Adrese!D$2),9,FALSE)</f>
        <v>1.1706539E-2</v>
      </c>
      <c r="BU156" s="5">
        <f ca="1">+VLOOKUP($BG156,INDIRECT(Adrese!E$2),9,FALSE)</f>
        <v>1.4350376E-2</v>
      </c>
      <c r="BV156" s="5">
        <f ca="1">+VLOOKUP($BG156,INDIRECT(Adrese!F$2),9,FALSE)</f>
        <v>1.1475983E-2</v>
      </c>
      <c r="BW156" s="5" t="str">
        <f t="shared" ca="1" si="61"/>
        <v>0.01 (0.00)</v>
      </c>
      <c r="BX156" s="5">
        <f t="shared" ca="1" si="70"/>
        <v>1.2947034291192242E-2</v>
      </c>
      <c r="BY156" s="5">
        <f t="shared" ca="1" si="62"/>
        <v>1.3168218716264153E-3</v>
      </c>
    </row>
    <row r="157" spans="1:77" x14ac:dyDescent="0.25">
      <c r="A157" t="s">
        <v>211</v>
      </c>
      <c r="B157" s="12">
        <f ca="1">+VLOOKUP($A157,INDIRECT(Adrese!B$2),2,FALSE)</f>
        <v>155</v>
      </c>
      <c r="C157" s="12">
        <f ca="1">+VLOOKUP($A157,INDIRECT(Adrese!C$2),2,FALSE)</f>
        <v>157</v>
      </c>
      <c r="D157" s="12">
        <f ca="1">+VLOOKUP($A157,INDIRECT(Adrese!D$2),2,FALSE)</f>
        <v>150</v>
      </c>
      <c r="E157" s="12">
        <f ca="1">+VLOOKUP($A157,INDIRECT(Adrese!E$2),2,FALSE)</f>
        <v>150</v>
      </c>
      <c r="F157" s="12">
        <f ca="1">+VLOOKUP($A157,INDIRECT(Adrese!F$2),2,FALSE)</f>
        <v>152</v>
      </c>
      <c r="G157" s="5">
        <f t="shared" ca="1" si="63"/>
        <v>152.80000000000001</v>
      </c>
      <c r="H157" s="5">
        <f t="shared" ca="1" si="50"/>
        <v>3.1144823004794873</v>
      </c>
      <c r="J157" t="s">
        <v>211</v>
      </c>
      <c r="K157">
        <f ca="1">+VLOOKUP($A157,INDIRECT(Adrese!B$2),3,FALSE)</f>
        <v>42</v>
      </c>
      <c r="L157">
        <f ca="1">+VLOOKUP($A157,INDIRECT(Adrese!C$2),3,FALSE)</f>
        <v>42</v>
      </c>
      <c r="M157">
        <f ca="1">+VLOOKUP($A157,INDIRECT(Adrese!D$2),3,FALSE)</f>
        <v>41</v>
      </c>
      <c r="N157">
        <f ca="1">+VLOOKUP($A157,INDIRECT(Adrese!E$2),3,FALSE)</f>
        <v>44</v>
      </c>
      <c r="O157">
        <f ca="1">+VLOOKUP($A157,INDIRECT(Adrese!F$2),3,FALSE)</f>
        <v>41</v>
      </c>
      <c r="P157" s="5">
        <f t="shared" ca="1" si="64"/>
        <v>42</v>
      </c>
      <c r="Q157" s="5">
        <f t="shared" ca="1" si="51"/>
        <v>1.2247448713915889</v>
      </c>
      <c r="T157" t="s">
        <v>211</v>
      </c>
      <c r="U157">
        <f ca="1">+VLOOKUP($T157,INDIRECT(Adrese!B$2),4,FALSE)</f>
        <v>97352</v>
      </c>
      <c r="V157">
        <f ca="1">+VLOOKUP($T157,INDIRECT(Adrese!C$2),4,FALSE)</f>
        <v>98328</v>
      </c>
      <c r="W157">
        <f ca="1">+VLOOKUP($T157,INDIRECT(Adrese!D$2),4,FALSE)</f>
        <v>98412</v>
      </c>
      <c r="X157">
        <f ca="1">+VLOOKUP($T157,INDIRECT(Adrese!E$2),4,FALSE)</f>
        <v>98952</v>
      </c>
      <c r="Y157">
        <f ca="1">+VLOOKUP($T157,INDIRECT(Adrese!F$2),4,FALSE)</f>
        <v>98299</v>
      </c>
      <c r="Z157">
        <f t="shared" ca="1" si="52"/>
        <v>491343</v>
      </c>
      <c r="AA157" s="5">
        <f t="shared" ca="1" si="65"/>
        <v>98268.6</v>
      </c>
      <c r="AB157" s="5">
        <f t="shared" ca="1" si="53"/>
        <v>577.1064026676537</v>
      </c>
      <c r="AD157" t="s">
        <v>211</v>
      </c>
      <c r="AE157">
        <f ca="1">+VLOOKUP($A157,INDIRECT(Adrese!B$2),5,FALSE)</f>
        <v>42089</v>
      </c>
      <c r="AF157">
        <f ca="1">+VLOOKUP($A157,INDIRECT(Adrese!C$2),5,FALSE)</f>
        <v>41948</v>
      </c>
      <c r="AG157">
        <f ca="1">+VLOOKUP($A157,INDIRECT(Adrese!D$2),5,FALSE)</f>
        <v>41951</v>
      </c>
      <c r="AH157">
        <f ca="1">+VLOOKUP($A157,INDIRECT(Adrese!E$2),5,FALSE)</f>
        <v>41701</v>
      </c>
      <c r="AI157">
        <f ca="1">+VLOOKUP($A157,INDIRECT(Adrese!F$2),5,FALSE)</f>
        <v>41931</v>
      </c>
      <c r="AJ157" s="5">
        <f t="shared" ca="1" si="66"/>
        <v>41924</v>
      </c>
      <c r="AK157" s="5">
        <f t="shared" ca="1" si="54"/>
        <v>139.91783303067555</v>
      </c>
      <c r="AM157" t="s">
        <v>211</v>
      </c>
      <c r="AN157" s="5">
        <f ca="1">+VLOOKUP($A157,INDIRECT(Adrese!B$2),6,FALSE)</f>
        <v>0.92676991150442478</v>
      </c>
      <c r="AO157" s="5">
        <f ca="1">+VLOOKUP($A157,INDIRECT(Adrese!C$2),6,FALSE)</f>
        <v>0.92365044200000002</v>
      </c>
      <c r="AP157" s="5">
        <f ca="1">+VLOOKUP($A157,INDIRECT(Adrese!D$2),6,FALSE)</f>
        <v>0.92371681400000005</v>
      </c>
      <c r="AQ157" s="5">
        <f ca="1">+VLOOKUP($A157,INDIRECT(Adrese!E$2),6,FALSE)</f>
        <v>0.918185841</v>
      </c>
      <c r="AR157" s="5">
        <f ca="1">+VLOOKUP($A157,INDIRECT(Adrese!F$2),6,FALSE)</f>
        <v>0.92327433599999997</v>
      </c>
      <c r="AS157" s="5" t="str">
        <f t="shared" ca="1" si="55"/>
        <v>0.92 (0.00)</v>
      </c>
      <c r="AT157" s="5">
        <f t="shared" ca="1" si="67"/>
        <v>0.92311946890088503</v>
      </c>
      <c r="AU157" s="5">
        <f t="shared" ca="1" si="56"/>
        <v>3.0955271313597814E-3</v>
      </c>
      <c r="AW157" t="s">
        <v>211</v>
      </c>
      <c r="AX157" s="5">
        <f ca="1">+VLOOKUP($A157,INDIRECT(Adrese!B$2),7,FALSE)</f>
        <v>0.81415929203539827</v>
      </c>
      <c r="AY157" s="5">
        <f ca="1">+VLOOKUP($A157,INDIRECT(Adrese!C$2),7,FALSE)</f>
        <v>0.81415929200000003</v>
      </c>
      <c r="AZ157" s="5">
        <f ca="1">+VLOOKUP($A157,INDIRECT(Adrese!D$2),7,FALSE)</f>
        <v>0.81858407099999997</v>
      </c>
      <c r="BA157" s="5">
        <f ca="1">+VLOOKUP($A157,INDIRECT(Adrese!E$2),7,FALSE)</f>
        <v>0.80530973500000003</v>
      </c>
      <c r="BB157" s="5">
        <f ca="1">+VLOOKUP($A157,INDIRECT(Adrese!F$2),7,FALSE)</f>
        <v>0.81858407099999997</v>
      </c>
      <c r="BC157" s="5" t="str">
        <f t="shared" ca="1" si="57"/>
        <v>0.81 (0.01)</v>
      </c>
      <c r="BD157">
        <f t="shared" ca="1" si="68"/>
        <v>0.81415929220707972</v>
      </c>
      <c r="BE157" s="5">
        <f t="shared" ca="1" si="58"/>
        <v>5.419224979042893E-3</v>
      </c>
      <c r="BG157" t="s">
        <v>211</v>
      </c>
      <c r="BH157" s="5">
        <f ca="1">+VLOOKUP($BG157,INDIRECT(Adrese!B$2),8,FALSE)</f>
        <v>8.2164282134328026E-2</v>
      </c>
      <c r="BI157" s="5">
        <f ca="1">+VLOOKUP($BG157,INDIRECT(Adrese!C$2),8,FALSE)</f>
        <v>8.1737577000000006E-2</v>
      </c>
      <c r="BJ157" s="5">
        <f ca="1">+VLOOKUP($BG157,INDIRECT(Adrese!D$2),8,FALSE)</f>
        <v>8.1981080999999997E-2</v>
      </c>
      <c r="BK157" s="5">
        <f ca="1">+VLOOKUP($BG157,INDIRECT(Adrese!E$2),8,FALSE)</f>
        <v>8.1254870000000007E-2</v>
      </c>
      <c r="BL157" s="5">
        <f ca="1">+VLOOKUP($BG157,INDIRECT(Adrese!F$2),8,FALSE)</f>
        <v>8.2063933000000006E-2</v>
      </c>
      <c r="BM157" s="5" t="str">
        <f t="shared" ca="1" si="59"/>
        <v>0.08 (0.00)</v>
      </c>
      <c r="BN157" s="5">
        <f t="shared" ca="1" si="69"/>
        <v>8.1840348626865622E-2</v>
      </c>
      <c r="BO157" s="5">
        <f t="shared" ca="1" si="60"/>
        <v>3.6334409305088317E-4</v>
      </c>
      <c r="BQ157" t="s">
        <v>211</v>
      </c>
      <c r="BR157" s="5">
        <f ca="1">+VLOOKUP($BG157,INDIRECT(Adrese!B$2),9,FALSE)</f>
        <v>6.4303112544829108E-2</v>
      </c>
      <c r="BS157" s="5">
        <f ca="1">+VLOOKUP($BG157,INDIRECT(Adrese!C$2),9,FALSE)</f>
        <v>6.3429905999999994E-2</v>
      </c>
      <c r="BT157" s="5">
        <f ca="1">+VLOOKUP($BG157,INDIRECT(Adrese!D$2),9,FALSE)</f>
        <v>6.4048032000000005E-2</v>
      </c>
      <c r="BU157" s="5">
        <f ca="1">+VLOOKUP($BG157,INDIRECT(Adrese!E$2),9,FALSE)</f>
        <v>6.2952355000000002E-2</v>
      </c>
      <c r="BV157" s="5">
        <f ca="1">+VLOOKUP($BG157,INDIRECT(Adrese!F$2),9,FALSE)</f>
        <v>6.4346549000000003E-2</v>
      </c>
      <c r="BW157" s="5" t="str">
        <f t="shared" ca="1" si="61"/>
        <v>0.06 (0.00)</v>
      </c>
      <c r="BX157" s="5">
        <f t="shared" ca="1" si="70"/>
        <v>6.3815990908965808E-2</v>
      </c>
      <c r="BY157" s="5">
        <f t="shared" ca="1" si="62"/>
        <v>6.0571259360414956E-4</v>
      </c>
    </row>
    <row r="158" spans="1:77" x14ac:dyDescent="0.25">
      <c r="A158" t="s">
        <v>212</v>
      </c>
      <c r="B158" s="12">
        <f ca="1">+VLOOKUP($A158,INDIRECT(Adrese!B$2),2,FALSE)</f>
        <v>156</v>
      </c>
      <c r="C158" s="12">
        <f ca="1">+VLOOKUP($A158,INDIRECT(Adrese!C$2),2,FALSE)</f>
        <v>149</v>
      </c>
      <c r="D158" s="12">
        <f ca="1">+VLOOKUP($A158,INDIRECT(Adrese!D$2),2,FALSE)</f>
        <v>155</v>
      </c>
      <c r="E158" s="12">
        <f ca="1">+VLOOKUP($A158,INDIRECT(Adrese!E$2),2,FALSE)</f>
        <v>155</v>
      </c>
      <c r="F158" s="12">
        <f ca="1">+VLOOKUP($A158,INDIRECT(Adrese!F$2),2,FALSE)</f>
        <v>162</v>
      </c>
      <c r="G158" s="5">
        <f t="shared" ca="1" si="63"/>
        <v>155.4</v>
      </c>
      <c r="H158" s="5">
        <f t="shared" ca="1" si="50"/>
        <v>4.6151923036857303</v>
      </c>
      <c r="J158" t="s">
        <v>212</v>
      </c>
      <c r="K158">
        <f ca="1">+VLOOKUP($A158,INDIRECT(Adrese!B$2),3,FALSE)</f>
        <v>101</v>
      </c>
      <c r="L158">
        <f ca="1">+VLOOKUP($A158,INDIRECT(Adrese!C$2),3,FALSE)</f>
        <v>103</v>
      </c>
      <c r="M158">
        <f ca="1">+VLOOKUP($A158,INDIRECT(Adrese!D$2),3,FALSE)</f>
        <v>101</v>
      </c>
      <c r="N158">
        <f ca="1">+VLOOKUP($A158,INDIRECT(Adrese!E$2),3,FALSE)</f>
        <v>106</v>
      </c>
      <c r="O158">
        <f ca="1">+VLOOKUP($A158,INDIRECT(Adrese!F$2),3,FALSE)</f>
        <v>95</v>
      </c>
      <c r="P158" s="5">
        <f t="shared" ca="1" si="64"/>
        <v>101.2</v>
      </c>
      <c r="Q158" s="5">
        <f t="shared" ca="1" si="51"/>
        <v>4.0249223594996213</v>
      </c>
      <c r="T158" t="s">
        <v>212</v>
      </c>
      <c r="U158">
        <f ca="1">+VLOOKUP($T158,INDIRECT(Adrese!B$2),4,FALSE)</f>
        <v>97318</v>
      </c>
      <c r="V158">
        <f ca="1">+VLOOKUP($T158,INDIRECT(Adrese!C$2),4,FALSE)</f>
        <v>99371</v>
      </c>
      <c r="W158">
        <f ca="1">+VLOOKUP($T158,INDIRECT(Adrese!D$2),4,FALSE)</f>
        <v>97661</v>
      </c>
      <c r="X158">
        <f ca="1">+VLOOKUP($T158,INDIRECT(Adrese!E$2),4,FALSE)</f>
        <v>97731</v>
      </c>
      <c r="Y158">
        <f ca="1">+VLOOKUP($T158,INDIRECT(Adrese!F$2),4,FALSE)</f>
        <v>95990</v>
      </c>
      <c r="Z158">
        <f t="shared" ca="1" si="52"/>
        <v>488071</v>
      </c>
      <c r="AA158" s="5">
        <f t="shared" ca="1" si="65"/>
        <v>97614.2</v>
      </c>
      <c r="AB158" s="5">
        <f t="shared" ca="1" si="53"/>
        <v>1207.0562124441428</v>
      </c>
      <c r="AD158" t="s">
        <v>212</v>
      </c>
      <c r="AE158">
        <f ca="1">+VLOOKUP($A158,INDIRECT(Adrese!B$2),5,FALSE)</f>
        <v>25868</v>
      </c>
      <c r="AF158">
        <f ca="1">+VLOOKUP($A158,INDIRECT(Adrese!C$2),5,FALSE)</f>
        <v>26189</v>
      </c>
      <c r="AG158">
        <f ca="1">+VLOOKUP($A158,INDIRECT(Adrese!D$2),5,FALSE)</f>
        <v>25560</v>
      </c>
      <c r="AH158">
        <f ca="1">+VLOOKUP($A158,INDIRECT(Adrese!E$2),5,FALSE)</f>
        <v>25787</v>
      </c>
      <c r="AI158">
        <f ca="1">+VLOOKUP($A158,INDIRECT(Adrese!F$2),5,FALSE)</f>
        <v>25474</v>
      </c>
      <c r="AJ158" s="5">
        <f t="shared" ca="1" si="66"/>
        <v>25775.599999999999</v>
      </c>
      <c r="AK158" s="5">
        <f t="shared" ca="1" si="54"/>
        <v>281.51962631404581</v>
      </c>
      <c r="AM158" t="s">
        <v>212</v>
      </c>
      <c r="AN158" s="5">
        <f ca="1">+VLOOKUP($A158,INDIRECT(Adrese!B$2),6,FALSE)</f>
        <v>0.56915929203539828</v>
      </c>
      <c r="AO158" s="5">
        <f ca="1">+VLOOKUP($A158,INDIRECT(Adrese!C$2),6,FALSE)</f>
        <v>0.57657079600000005</v>
      </c>
      <c r="AP158" s="5">
        <f ca="1">+VLOOKUP($A158,INDIRECT(Adrese!D$2),6,FALSE)</f>
        <v>0.56236725700000001</v>
      </c>
      <c r="AQ158" s="5">
        <f ca="1">+VLOOKUP($A158,INDIRECT(Adrese!E$2),6,FALSE)</f>
        <v>0.56754424800000003</v>
      </c>
      <c r="AR158" s="5">
        <f ca="1">+VLOOKUP($A158,INDIRECT(Adrese!F$2),6,FALSE)</f>
        <v>0.56097345099999996</v>
      </c>
      <c r="AS158" s="5" t="str">
        <f t="shared" ca="1" si="55"/>
        <v>0.57 (0.01)</v>
      </c>
      <c r="AT158" s="5">
        <f t="shared" ca="1" si="67"/>
        <v>0.56732300880707975</v>
      </c>
      <c r="AU158" s="5">
        <f t="shared" ca="1" si="56"/>
        <v>6.2011855955020961E-3</v>
      </c>
      <c r="AW158" t="s">
        <v>212</v>
      </c>
      <c r="AX158" s="5">
        <f ca="1">+VLOOKUP($A158,INDIRECT(Adrese!B$2),7,FALSE)</f>
        <v>0.55309734513274333</v>
      </c>
      <c r="AY158" s="5">
        <f ca="1">+VLOOKUP($A158,INDIRECT(Adrese!C$2),7,FALSE)</f>
        <v>0.54424778799999995</v>
      </c>
      <c r="AZ158" s="5">
        <f ca="1">+VLOOKUP($A158,INDIRECT(Adrese!D$2),7,FALSE)</f>
        <v>0.55309734499999996</v>
      </c>
      <c r="BA158" s="5">
        <f ca="1">+VLOOKUP($A158,INDIRECT(Adrese!E$2),7,FALSE)</f>
        <v>0.53097345100000004</v>
      </c>
      <c r="BB158" s="5">
        <f ca="1">+VLOOKUP($A158,INDIRECT(Adrese!F$2),7,FALSE)</f>
        <v>0.57964601800000004</v>
      </c>
      <c r="BC158" s="5" t="str">
        <f t="shared" ca="1" si="57"/>
        <v>0.55 (0.02)</v>
      </c>
      <c r="BD158">
        <f t="shared" ca="1" si="68"/>
        <v>0.5522123894265486</v>
      </c>
      <c r="BE158" s="5">
        <f t="shared" ca="1" si="58"/>
        <v>1.780939113954701E-2</v>
      </c>
      <c r="BG158" t="s">
        <v>212</v>
      </c>
      <c r="BH158" s="5">
        <f ca="1">+VLOOKUP($BG158,INDIRECT(Adrese!B$2),8,FALSE)</f>
        <v>5.3554087652953712E-2</v>
      </c>
      <c r="BI158" s="5">
        <f ca="1">+VLOOKUP($BG158,INDIRECT(Adrese!C$2),8,FALSE)</f>
        <v>5.4173583999999997E-2</v>
      </c>
      <c r="BJ158" s="5">
        <f ca="1">+VLOOKUP($BG158,INDIRECT(Adrese!D$2),8,FALSE)</f>
        <v>5.3057081999999998E-2</v>
      </c>
      <c r="BK158" s="5">
        <f ca="1">+VLOOKUP($BG158,INDIRECT(Adrese!E$2),8,FALSE)</f>
        <v>5.3636680999999999E-2</v>
      </c>
      <c r="BL158" s="5">
        <f ca="1">+VLOOKUP($BG158,INDIRECT(Adrese!F$2),8,FALSE)</f>
        <v>5.2678930999999998E-2</v>
      </c>
      <c r="BM158" s="5" t="str">
        <f t="shared" ca="1" si="59"/>
        <v>0.05 (0.00)</v>
      </c>
      <c r="BN158" s="5">
        <f t="shared" ca="1" si="69"/>
        <v>5.3420073130590738E-2</v>
      </c>
      <c r="BO158" s="5">
        <f t="shared" ca="1" si="60"/>
        <v>5.7308631772103426E-4</v>
      </c>
      <c r="BQ158" t="s">
        <v>212</v>
      </c>
      <c r="BR158" s="5">
        <f ca="1">+VLOOKUP($BG158,INDIRECT(Adrese!B$2),9,FALSE)</f>
        <v>1.965161243921738E-2</v>
      </c>
      <c r="BS158" s="5">
        <f ca="1">+VLOOKUP($BG158,INDIRECT(Adrese!C$2),9,FALSE)</f>
        <v>2.0534931999999999E-2</v>
      </c>
      <c r="BT158" s="5">
        <f ca="1">+VLOOKUP($BG158,INDIRECT(Adrese!D$2),9,FALSE)</f>
        <v>1.8800025000000001E-2</v>
      </c>
      <c r="BU158" s="5">
        <f ca="1">+VLOOKUP($BG158,INDIRECT(Adrese!E$2),9,FALSE)</f>
        <v>2.0673435E-2</v>
      </c>
      <c r="BV158" s="5">
        <f ca="1">+VLOOKUP($BG158,INDIRECT(Adrese!F$2),9,FALSE)</f>
        <v>1.7189921E-2</v>
      </c>
      <c r="BW158" s="5" t="str">
        <f t="shared" ca="1" si="61"/>
        <v>0.02 (0.00)</v>
      </c>
      <c r="BX158" s="5">
        <f t="shared" ca="1" si="70"/>
        <v>1.9369985087843475E-2</v>
      </c>
      <c r="BY158" s="5">
        <f t="shared" ca="1" si="62"/>
        <v>1.432910576023945E-3</v>
      </c>
    </row>
    <row r="159" spans="1:77" x14ac:dyDescent="0.25">
      <c r="A159" t="s">
        <v>213</v>
      </c>
      <c r="B159" s="12">
        <f ca="1">+VLOOKUP($A159,INDIRECT(Adrese!B$2),2,FALSE)</f>
        <v>157</v>
      </c>
      <c r="C159" s="12">
        <f ca="1">+VLOOKUP($A159,INDIRECT(Adrese!C$2),2,FALSE)</f>
        <v>159</v>
      </c>
      <c r="D159" s="12">
        <f ca="1">+VLOOKUP($A159,INDIRECT(Adrese!D$2),2,FALSE)</f>
        <v>156</v>
      </c>
      <c r="E159" s="12">
        <f ca="1">+VLOOKUP($A159,INDIRECT(Adrese!E$2),2,FALSE)</f>
        <v>159</v>
      </c>
      <c r="F159" s="12">
        <f ca="1">+VLOOKUP($A159,INDIRECT(Adrese!F$2),2,FALSE)</f>
        <v>158</v>
      </c>
      <c r="G159" s="5">
        <f t="shared" ca="1" si="63"/>
        <v>157.80000000000001</v>
      </c>
      <c r="H159" s="5">
        <f t="shared" ca="1" si="50"/>
        <v>1.3038404810405297</v>
      </c>
      <c r="J159" t="s">
        <v>213</v>
      </c>
      <c r="K159">
        <f ca="1">+VLOOKUP($A159,INDIRECT(Adrese!B$2),3,FALSE)</f>
        <v>116</v>
      </c>
      <c r="L159">
        <f ca="1">+VLOOKUP($A159,INDIRECT(Adrese!C$2),3,FALSE)</f>
        <v>115</v>
      </c>
      <c r="M159">
        <f ca="1">+VLOOKUP($A159,INDIRECT(Adrese!D$2),3,FALSE)</f>
        <v>118</v>
      </c>
      <c r="N159">
        <f ca="1">+VLOOKUP($A159,INDIRECT(Adrese!E$2),3,FALSE)</f>
        <v>123</v>
      </c>
      <c r="O159">
        <f ca="1">+VLOOKUP($A159,INDIRECT(Adrese!F$2),3,FALSE)</f>
        <v>119</v>
      </c>
      <c r="P159" s="5">
        <f t="shared" ca="1" si="64"/>
        <v>118.2</v>
      </c>
      <c r="Q159" s="5">
        <f t="shared" ca="1" si="51"/>
        <v>3.1144823004794873</v>
      </c>
      <c r="T159" t="s">
        <v>213</v>
      </c>
      <c r="U159">
        <f ca="1">+VLOOKUP($T159,INDIRECT(Adrese!B$2),4,FALSE)</f>
        <v>97311</v>
      </c>
      <c r="V159">
        <f ca="1">+VLOOKUP($T159,INDIRECT(Adrese!C$2),4,FALSE)</f>
        <v>97489</v>
      </c>
      <c r="W159">
        <f ca="1">+VLOOKUP($T159,INDIRECT(Adrese!D$2),4,FALSE)</f>
        <v>97441</v>
      </c>
      <c r="X159">
        <f ca="1">+VLOOKUP($T159,INDIRECT(Adrese!E$2),4,FALSE)</f>
        <v>97162</v>
      </c>
      <c r="Y159">
        <f ca="1">+VLOOKUP($T159,INDIRECT(Adrese!F$2),4,FALSE)</f>
        <v>97032</v>
      </c>
      <c r="Z159">
        <f t="shared" ca="1" si="52"/>
        <v>486435</v>
      </c>
      <c r="AA159" s="5">
        <f t="shared" ca="1" si="65"/>
        <v>97287</v>
      </c>
      <c r="AB159" s="5">
        <f t="shared" ca="1" si="53"/>
        <v>190.88347230705963</v>
      </c>
      <c r="AD159" t="s">
        <v>213</v>
      </c>
      <c r="AE159">
        <f ca="1">+VLOOKUP($A159,INDIRECT(Adrese!B$2),5,FALSE)</f>
        <v>14193</v>
      </c>
      <c r="AF159">
        <f ca="1">+VLOOKUP($A159,INDIRECT(Adrese!C$2),5,FALSE)</f>
        <v>14076</v>
      </c>
      <c r="AG159">
        <f ca="1">+VLOOKUP($A159,INDIRECT(Adrese!D$2),5,FALSE)</f>
        <v>14164</v>
      </c>
      <c r="AH159">
        <f ca="1">+VLOOKUP($A159,INDIRECT(Adrese!E$2),5,FALSE)</f>
        <v>14082</v>
      </c>
      <c r="AI159">
        <f ca="1">+VLOOKUP($A159,INDIRECT(Adrese!F$2),5,FALSE)</f>
        <v>14078</v>
      </c>
      <c r="AJ159" s="5">
        <f t="shared" ca="1" si="66"/>
        <v>14118.6</v>
      </c>
      <c r="AK159" s="5">
        <f t="shared" ca="1" si="54"/>
        <v>55.675847546310422</v>
      </c>
      <c r="AM159" t="s">
        <v>213</v>
      </c>
      <c r="AN159" s="5">
        <f ca="1">+VLOOKUP($A159,INDIRECT(Adrese!B$2),6,FALSE)</f>
        <v>0.31243362831858412</v>
      </c>
      <c r="AO159" s="5">
        <f ca="1">+VLOOKUP($A159,INDIRECT(Adrese!C$2),6,FALSE)</f>
        <v>0.31022123899999998</v>
      </c>
      <c r="AP159" s="5">
        <f ca="1">+VLOOKUP($A159,INDIRECT(Adrese!D$2),6,FALSE)</f>
        <v>0.31201327400000001</v>
      </c>
      <c r="AQ159" s="5">
        <f ca="1">+VLOOKUP($A159,INDIRECT(Adrese!E$2),6,FALSE)</f>
        <v>0.31019911500000003</v>
      </c>
      <c r="AR159" s="5">
        <f ca="1">+VLOOKUP($A159,INDIRECT(Adrese!F$2),6,FALSE)</f>
        <v>0.30995575199999997</v>
      </c>
      <c r="AS159" s="5" t="str">
        <f t="shared" ca="1" si="55"/>
        <v>0.31 (0.00)</v>
      </c>
      <c r="AT159" s="5">
        <f t="shared" ca="1" si="67"/>
        <v>0.31096460166371681</v>
      </c>
      <c r="AU159" s="5">
        <f t="shared" ca="1" si="56"/>
        <v>1.1634096986567449E-3</v>
      </c>
      <c r="AW159" t="s">
        <v>213</v>
      </c>
      <c r="AX159" s="5">
        <f ca="1">+VLOOKUP($A159,INDIRECT(Adrese!B$2),7,FALSE)</f>
        <v>0.48672566371681408</v>
      </c>
      <c r="AY159" s="5">
        <f ca="1">+VLOOKUP($A159,INDIRECT(Adrese!C$2),7,FALSE)</f>
        <v>0.49115044200000002</v>
      </c>
      <c r="AZ159" s="5">
        <f ca="1">+VLOOKUP($A159,INDIRECT(Adrese!D$2),7,FALSE)</f>
        <v>0.47787610600000002</v>
      </c>
      <c r="BA159" s="5">
        <f ca="1">+VLOOKUP($A159,INDIRECT(Adrese!E$2),7,FALSE)</f>
        <v>0.45575221199999999</v>
      </c>
      <c r="BB159" s="5">
        <f ca="1">+VLOOKUP($A159,INDIRECT(Adrese!F$2),7,FALSE)</f>
        <v>0.47345132699999998</v>
      </c>
      <c r="BC159" s="5" t="str">
        <f t="shared" ca="1" si="57"/>
        <v>0.48 (0.01)</v>
      </c>
      <c r="BD159">
        <f t="shared" ca="1" si="68"/>
        <v>0.47699115014336285</v>
      </c>
      <c r="BE159" s="5">
        <f t="shared" ca="1" si="58"/>
        <v>1.3780895186863004E-2</v>
      </c>
      <c r="BG159" t="s">
        <v>213</v>
      </c>
      <c r="BH159" s="5">
        <f ca="1">+VLOOKUP($BG159,INDIRECT(Adrese!B$2),8,FALSE)</f>
        <v>2.869053834663465E-2</v>
      </c>
      <c r="BI159" s="5">
        <f ca="1">+VLOOKUP($BG159,INDIRECT(Adrese!C$2),8,FALSE)</f>
        <v>2.8589535999999999E-2</v>
      </c>
      <c r="BJ159" s="5">
        <f ca="1">+VLOOKUP($BG159,INDIRECT(Adrese!D$2),8,FALSE)</f>
        <v>2.877702E-2</v>
      </c>
      <c r="BK159" s="5">
        <f ca="1">+VLOOKUP($BG159,INDIRECT(Adrese!E$2),8,FALSE)</f>
        <v>2.8600028E-2</v>
      </c>
      <c r="BL159" s="5">
        <f ca="1">+VLOOKUP($BG159,INDIRECT(Adrese!F$2),8,FALSE)</f>
        <v>2.8599903999999999E-2</v>
      </c>
      <c r="BM159" s="5" t="str">
        <f t="shared" ca="1" si="59"/>
        <v>0.03 (0.00)</v>
      </c>
      <c r="BN159" s="5">
        <f t="shared" ca="1" si="69"/>
        <v>2.865140526932693E-2</v>
      </c>
      <c r="BO159" s="5">
        <f t="shared" ca="1" si="60"/>
        <v>8.1286944422928961E-5</v>
      </c>
      <c r="BQ159" t="s">
        <v>213</v>
      </c>
      <c r="BR159" s="5">
        <f ca="1">+VLOOKUP($BG159,INDIRECT(Adrese!B$2),9,FALSE)</f>
        <v>-2.559561761333165E-2</v>
      </c>
      <c r="BS159" s="5">
        <f ca="1">+VLOOKUP($BG159,INDIRECT(Adrese!C$2),9,FALSE)</f>
        <v>-2.5356453000000001E-2</v>
      </c>
      <c r="BT159" s="5">
        <f ca="1">+VLOOKUP($BG159,INDIRECT(Adrese!D$2),9,FALSE)</f>
        <v>-2.5054904999999999E-2</v>
      </c>
      <c r="BU159" s="5">
        <f ca="1">+VLOOKUP($BG159,INDIRECT(Adrese!E$2),9,FALSE)</f>
        <v>-2.5487888E-2</v>
      </c>
      <c r="BV159" s="5">
        <f ca="1">+VLOOKUP($BG159,INDIRECT(Adrese!F$2),9,FALSE)</f>
        <v>-2.5666258000000001E-2</v>
      </c>
      <c r="BW159" s="5" t="str">
        <f t="shared" ca="1" si="61"/>
        <v>-0.03 (0.00)</v>
      </c>
      <c r="BX159" s="5">
        <f t="shared" ca="1" si="70"/>
        <v>-2.5432224322666331E-2</v>
      </c>
      <c r="BY159" s="5">
        <f t="shared" ca="1" si="62"/>
        <v>2.4118392314323805E-4</v>
      </c>
    </row>
    <row r="160" spans="1:77" x14ac:dyDescent="0.25">
      <c r="A160" t="s">
        <v>214</v>
      </c>
      <c r="B160" s="12">
        <f ca="1">+VLOOKUP($A160,INDIRECT(Adrese!B$2),2,FALSE)</f>
        <v>158</v>
      </c>
      <c r="C160" s="12">
        <f ca="1">+VLOOKUP($A160,INDIRECT(Adrese!C$2),2,FALSE)</f>
        <v>156</v>
      </c>
      <c r="D160" s="12">
        <f ca="1">+VLOOKUP($A160,INDIRECT(Adrese!D$2),2,FALSE)</f>
        <v>152</v>
      </c>
      <c r="E160" s="12">
        <f ca="1">+VLOOKUP($A160,INDIRECT(Adrese!E$2),2,FALSE)</f>
        <v>156</v>
      </c>
      <c r="F160" s="12">
        <f ca="1">+VLOOKUP($A160,INDIRECT(Adrese!F$2),2,FALSE)</f>
        <v>155</v>
      </c>
      <c r="G160" s="5">
        <f t="shared" ca="1" si="63"/>
        <v>155.4</v>
      </c>
      <c r="H160" s="5">
        <f t="shared" ca="1" si="50"/>
        <v>2.1908902300206643</v>
      </c>
      <c r="J160" t="s">
        <v>214</v>
      </c>
      <c r="K160">
        <f ca="1">+VLOOKUP($A160,INDIRECT(Adrese!B$2),3,FALSE)</f>
        <v>38</v>
      </c>
      <c r="L160">
        <f ca="1">+VLOOKUP($A160,INDIRECT(Adrese!C$2),3,FALSE)</f>
        <v>40</v>
      </c>
      <c r="M160">
        <f ca="1">+VLOOKUP($A160,INDIRECT(Adrese!D$2),3,FALSE)</f>
        <v>38</v>
      </c>
      <c r="N160">
        <f ca="1">+VLOOKUP($A160,INDIRECT(Adrese!E$2),3,FALSE)</f>
        <v>38</v>
      </c>
      <c r="O160">
        <f ca="1">+VLOOKUP($A160,INDIRECT(Adrese!F$2),3,FALSE)</f>
        <v>39</v>
      </c>
      <c r="P160" s="5">
        <f t="shared" ca="1" si="64"/>
        <v>38.6</v>
      </c>
      <c r="Q160" s="5">
        <f t="shared" ca="1" si="51"/>
        <v>0.89442719099991586</v>
      </c>
      <c r="T160" t="s">
        <v>214</v>
      </c>
      <c r="U160">
        <f ca="1">+VLOOKUP($T160,INDIRECT(Adrese!B$2),4,FALSE)</f>
        <v>96760</v>
      </c>
      <c r="V160">
        <f ca="1">+VLOOKUP($T160,INDIRECT(Adrese!C$2),4,FALSE)</f>
        <v>98500</v>
      </c>
      <c r="W160">
        <f ca="1">+VLOOKUP($T160,INDIRECT(Adrese!D$2),4,FALSE)</f>
        <v>98213</v>
      </c>
      <c r="X160">
        <f ca="1">+VLOOKUP($T160,INDIRECT(Adrese!E$2),4,FALSE)</f>
        <v>97429</v>
      </c>
      <c r="Y160">
        <f ca="1">+VLOOKUP($T160,INDIRECT(Adrese!F$2),4,FALSE)</f>
        <v>97103</v>
      </c>
      <c r="Z160">
        <f t="shared" ca="1" si="52"/>
        <v>488005</v>
      </c>
      <c r="AA160" s="5">
        <f t="shared" ca="1" si="65"/>
        <v>97601</v>
      </c>
      <c r="AB160" s="5">
        <f t="shared" ca="1" si="53"/>
        <v>736.14095117715055</v>
      </c>
      <c r="AD160" t="s">
        <v>214</v>
      </c>
      <c r="AE160">
        <f ca="1">+VLOOKUP($A160,INDIRECT(Adrese!B$2),5,FALSE)</f>
        <v>41541</v>
      </c>
      <c r="AF160">
        <f ca="1">+VLOOKUP($A160,INDIRECT(Adrese!C$2),5,FALSE)</f>
        <v>42099</v>
      </c>
      <c r="AG160">
        <f ca="1">+VLOOKUP($A160,INDIRECT(Adrese!D$2),5,FALSE)</f>
        <v>41709</v>
      </c>
      <c r="AH160">
        <f ca="1">+VLOOKUP($A160,INDIRECT(Adrese!E$2),5,FALSE)</f>
        <v>41689</v>
      </c>
      <c r="AI160">
        <f ca="1">+VLOOKUP($A160,INDIRECT(Adrese!F$2),5,FALSE)</f>
        <v>41694</v>
      </c>
      <c r="AJ160" s="5">
        <f t="shared" ca="1" si="66"/>
        <v>41746.400000000001</v>
      </c>
      <c r="AK160" s="5">
        <f t="shared" ca="1" si="54"/>
        <v>208.53968447276407</v>
      </c>
      <c r="AM160" t="s">
        <v>214</v>
      </c>
      <c r="AN160" s="5">
        <f ca="1">+VLOOKUP($A160,INDIRECT(Adrese!B$2),6,FALSE)</f>
        <v>0.91904867256637168</v>
      </c>
      <c r="AO160" s="5">
        <f ca="1">+VLOOKUP($A160,INDIRECT(Adrese!C$2),6,FALSE)</f>
        <v>0.93139380500000002</v>
      </c>
      <c r="AP160" s="5">
        <f ca="1">+VLOOKUP($A160,INDIRECT(Adrese!D$2),6,FALSE)</f>
        <v>0.92276548700000005</v>
      </c>
      <c r="AQ160" s="5">
        <f ca="1">+VLOOKUP($A160,INDIRECT(Adrese!E$2),6,FALSE)</f>
        <v>0.92232300899999997</v>
      </c>
      <c r="AR160" s="5">
        <f ca="1">+VLOOKUP($A160,INDIRECT(Adrese!F$2),6,FALSE)</f>
        <v>0.92243362799999995</v>
      </c>
      <c r="AS160" s="5" t="str">
        <f t="shared" ca="1" si="55"/>
        <v>0.92 (0.00)</v>
      </c>
      <c r="AT160" s="5">
        <f t="shared" ca="1" si="67"/>
        <v>0.92359292031327433</v>
      </c>
      <c r="AU160" s="5">
        <f t="shared" ca="1" si="56"/>
        <v>4.6137096999035506E-3</v>
      </c>
      <c r="AW160" t="s">
        <v>214</v>
      </c>
      <c r="AX160" s="5">
        <f ca="1">+VLOOKUP($A160,INDIRECT(Adrese!B$2),7,FALSE)</f>
        <v>0.83185840707964598</v>
      </c>
      <c r="AY160" s="5">
        <f ca="1">+VLOOKUP($A160,INDIRECT(Adrese!C$2),7,FALSE)</f>
        <v>0.82300885000000001</v>
      </c>
      <c r="AZ160" s="5">
        <f ca="1">+VLOOKUP($A160,INDIRECT(Adrese!D$2),7,FALSE)</f>
        <v>0.83185840700000002</v>
      </c>
      <c r="BA160" s="5">
        <f ca="1">+VLOOKUP($A160,INDIRECT(Adrese!E$2),7,FALSE)</f>
        <v>0.83185840700000002</v>
      </c>
      <c r="BB160" s="5">
        <f ca="1">+VLOOKUP($A160,INDIRECT(Adrese!F$2),7,FALSE)</f>
        <v>0.82743362799999998</v>
      </c>
      <c r="BC160" s="5" t="str">
        <f t="shared" ca="1" si="57"/>
        <v>0.83 (0.00)</v>
      </c>
      <c r="BD160">
        <f t="shared" ca="1" si="68"/>
        <v>0.82920353981592909</v>
      </c>
      <c r="BE160" s="5">
        <f t="shared" ca="1" si="58"/>
        <v>3.9576422738105679E-3</v>
      </c>
      <c r="BG160" t="s">
        <v>214</v>
      </c>
      <c r="BH160" s="5">
        <f ca="1">+VLOOKUP($BG160,INDIRECT(Adrese!B$2),8,FALSE)</f>
        <v>8.4000346284002728E-2</v>
      </c>
      <c r="BI160" s="5">
        <f ca="1">+VLOOKUP($BG160,INDIRECT(Adrese!C$2),8,FALSE)</f>
        <v>8.5255388000000001E-2</v>
      </c>
      <c r="BJ160" s="5">
        <f ca="1">+VLOOKUP($BG160,INDIRECT(Adrese!D$2),8,FALSE)</f>
        <v>8.4517409000000002E-2</v>
      </c>
      <c r="BK160" s="5">
        <f ca="1">+VLOOKUP($BG160,INDIRECT(Adrese!E$2),8,FALSE)</f>
        <v>8.4287562999999996E-2</v>
      </c>
      <c r="BL160" s="5">
        <f ca="1">+VLOOKUP($BG160,INDIRECT(Adrese!F$2),8,FALSE)</f>
        <v>8.4679401000000001E-2</v>
      </c>
      <c r="BM160" s="5" t="str">
        <f t="shared" ca="1" si="59"/>
        <v>0.08 (0.00)</v>
      </c>
      <c r="BN160" s="5">
        <f t="shared" ca="1" si="69"/>
        <v>8.4548021456800543E-2</v>
      </c>
      <c r="BO160" s="5">
        <f t="shared" ca="1" si="60"/>
        <v>4.7073130232082875E-4</v>
      </c>
      <c r="BQ160" t="s">
        <v>214</v>
      </c>
      <c r="BR160" s="5">
        <f ca="1">+VLOOKUP($BG160,INDIRECT(Adrese!B$2),9,FALSE)</f>
        <v>7.2864983186076412E-2</v>
      </c>
      <c r="BS160" s="5">
        <f ca="1">+VLOOKUP($BG160,INDIRECT(Adrese!C$2),9,FALSE)</f>
        <v>7.4992409999999995E-2</v>
      </c>
      <c r="BT160" s="5">
        <f ca="1">+VLOOKUP($BG160,INDIRECT(Adrese!D$2),9,FALSE)</f>
        <v>7.3577499000000005E-2</v>
      </c>
      <c r="BU160" s="5">
        <f ca="1">+VLOOKUP($BG160,INDIRECT(Adrese!E$2),9,FALSE)</f>
        <v>7.3230483999999998E-2</v>
      </c>
      <c r="BV160" s="5">
        <f ca="1">+VLOOKUP($BG160,INDIRECT(Adrese!F$2),9,FALSE)</f>
        <v>7.4206516E-2</v>
      </c>
      <c r="BW160" s="5" t="str">
        <f t="shared" ca="1" si="61"/>
        <v>0.07 (0.00)</v>
      </c>
      <c r="BX160" s="5">
        <f t="shared" ca="1" si="70"/>
        <v>7.3774378437215279E-2</v>
      </c>
      <c r="BY160" s="5">
        <f t="shared" ca="1" si="62"/>
        <v>8.4141638852816949E-4</v>
      </c>
    </row>
    <row r="161" spans="1:77" x14ac:dyDescent="0.25">
      <c r="A161" t="s">
        <v>215</v>
      </c>
      <c r="B161" s="12">
        <f ca="1">+VLOOKUP($A161,INDIRECT(Adrese!B$2),2,FALSE)</f>
        <v>159</v>
      </c>
      <c r="C161" s="12">
        <f ca="1">+VLOOKUP($A161,INDIRECT(Adrese!C$2),2,FALSE)</f>
        <v>154</v>
      </c>
      <c r="D161" s="12">
        <f ca="1">+VLOOKUP($A161,INDIRECT(Adrese!D$2),2,FALSE)</f>
        <v>154</v>
      </c>
      <c r="E161" s="12">
        <f ca="1">+VLOOKUP($A161,INDIRECT(Adrese!E$2),2,FALSE)</f>
        <v>151</v>
      </c>
      <c r="F161" s="12">
        <f ca="1">+VLOOKUP($A161,INDIRECT(Adrese!F$2),2,FALSE)</f>
        <v>157</v>
      </c>
      <c r="G161" s="5">
        <f t="shared" ca="1" si="63"/>
        <v>155</v>
      </c>
      <c r="H161" s="5">
        <f t="shared" ca="1" si="50"/>
        <v>3.082207001484488</v>
      </c>
      <c r="J161" t="s">
        <v>215</v>
      </c>
      <c r="K161">
        <f ca="1">+VLOOKUP($A161,INDIRECT(Adrese!B$2),3,FALSE)</f>
        <v>89</v>
      </c>
      <c r="L161">
        <f ca="1">+VLOOKUP($A161,INDIRECT(Adrese!C$2),3,FALSE)</f>
        <v>91</v>
      </c>
      <c r="M161">
        <f ca="1">+VLOOKUP($A161,INDIRECT(Adrese!D$2),3,FALSE)</f>
        <v>92</v>
      </c>
      <c r="N161">
        <f ca="1">+VLOOKUP($A161,INDIRECT(Adrese!E$2),3,FALSE)</f>
        <v>92</v>
      </c>
      <c r="O161">
        <f ca="1">+VLOOKUP($A161,INDIRECT(Adrese!F$2),3,FALSE)</f>
        <v>86</v>
      </c>
      <c r="P161" s="5">
        <f t="shared" ca="1" si="64"/>
        <v>90</v>
      </c>
      <c r="Q161" s="5">
        <f t="shared" ca="1" si="51"/>
        <v>2.5495097567963922</v>
      </c>
      <c r="T161" t="s">
        <v>215</v>
      </c>
      <c r="U161">
        <f ca="1">+VLOOKUP($T161,INDIRECT(Adrese!B$2),4,FALSE)</f>
        <v>96539</v>
      </c>
      <c r="V161">
        <f ca="1">+VLOOKUP($T161,INDIRECT(Adrese!C$2),4,FALSE)</f>
        <v>98612</v>
      </c>
      <c r="W161">
        <f ca="1">+VLOOKUP($T161,INDIRECT(Adrese!D$2),4,FALSE)</f>
        <v>98036</v>
      </c>
      <c r="X161">
        <f ca="1">+VLOOKUP($T161,INDIRECT(Adrese!E$2),4,FALSE)</f>
        <v>98819</v>
      </c>
      <c r="Y161">
        <f ca="1">+VLOOKUP($T161,INDIRECT(Adrese!F$2),4,FALSE)</f>
        <v>97066</v>
      </c>
      <c r="Z161">
        <f t="shared" ca="1" si="52"/>
        <v>489072</v>
      </c>
      <c r="AA161" s="5">
        <f t="shared" ca="1" si="65"/>
        <v>97814.399999999994</v>
      </c>
      <c r="AB161" s="5">
        <f t="shared" ca="1" si="53"/>
        <v>985.0432985407291</v>
      </c>
      <c r="AD161" t="s">
        <v>215</v>
      </c>
      <c r="AE161">
        <f ca="1">+VLOOKUP($A161,INDIRECT(Adrese!B$2),5,FALSE)</f>
        <v>23073</v>
      </c>
      <c r="AF161">
        <f ca="1">+VLOOKUP($A161,INDIRECT(Adrese!C$2),5,FALSE)</f>
        <v>23682</v>
      </c>
      <c r="AG161">
        <f ca="1">+VLOOKUP($A161,INDIRECT(Adrese!D$2),5,FALSE)</f>
        <v>23575</v>
      </c>
      <c r="AH161">
        <f ca="1">+VLOOKUP($A161,INDIRECT(Adrese!E$2),5,FALSE)</f>
        <v>23618</v>
      </c>
      <c r="AI161">
        <f ca="1">+VLOOKUP($A161,INDIRECT(Adrese!F$2),5,FALSE)</f>
        <v>23304</v>
      </c>
      <c r="AJ161" s="5">
        <f t="shared" ca="1" si="66"/>
        <v>23450.400000000001</v>
      </c>
      <c r="AK161" s="5">
        <f t="shared" ca="1" si="54"/>
        <v>255.49814089343192</v>
      </c>
      <c r="AM161" t="s">
        <v>215</v>
      </c>
      <c r="AN161" s="5">
        <f ca="1">+VLOOKUP($A161,INDIRECT(Adrese!B$2),6,FALSE)</f>
        <v>0.50818584070796458</v>
      </c>
      <c r="AO161" s="5">
        <f ca="1">+VLOOKUP($A161,INDIRECT(Adrese!C$2),6,FALSE)</f>
        <v>0.52165929200000005</v>
      </c>
      <c r="AP161" s="5">
        <f ca="1">+VLOOKUP($A161,INDIRECT(Adrese!D$2),6,FALSE)</f>
        <v>0.51944690299999996</v>
      </c>
      <c r="AQ161" s="5">
        <f ca="1">+VLOOKUP($A161,INDIRECT(Adrese!E$2),6,FALSE)</f>
        <v>0.52033185800000004</v>
      </c>
      <c r="AR161" s="5">
        <f ca="1">+VLOOKUP($A161,INDIRECT(Adrese!F$2),6,FALSE)</f>
        <v>0.51314159299999995</v>
      </c>
      <c r="AS161" s="5" t="str">
        <f t="shared" ca="1" si="55"/>
        <v>0.52 (0.01)</v>
      </c>
      <c r="AT161" s="5">
        <f t="shared" ca="1" si="67"/>
        <v>0.51655309734159283</v>
      </c>
      <c r="AU161" s="5">
        <f t="shared" ca="1" si="56"/>
        <v>5.709109226433768E-3</v>
      </c>
      <c r="AW161" t="s">
        <v>215</v>
      </c>
      <c r="AX161" s="5">
        <f ca="1">+VLOOKUP($A161,INDIRECT(Adrese!B$2),7,FALSE)</f>
        <v>0.60619469026548678</v>
      </c>
      <c r="AY161" s="5">
        <f ca="1">+VLOOKUP($A161,INDIRECT(Adrese!C$2),7,FALSE)</f>
        <v>0.59734513300000003</v>
      </c>
      <c r="AZ161" s="5">
        <f ca="1">+VLOOKUP($A161,INDIRECT(Adrese!D$2),7,FALSE)</f>
        <v>0.59292035399999998</v>
      </c>
      <c r="BA161" s="5">
        <f ca="1">+VLOOKUP($A161,INDIRECT(Adrese!E$2),7,FALSE)</f>
        <v>0.59292035399999998</v>
      </c>
      <c r="BB161" s="5">
        <f ca="1">+VLOOKUP($A161,INDIRECT(Adrese!F$2),7,FALSE)</f>
        <v>0.61946902699999995</v>
      </c>
      <c r="BC161" s="5" t="str">
        <f t="shared" ca="1" si="57"/>
        <v>0.60 (0.01)</v>
      </c>
      <c r="BD161">
        <f t="shared" ca="1" si="68"/>
        <v>0.60176991165309734</v>
      </c>
      <c r="BE161" s="5">
        <f t="shared" ca="1" si="58"/>
        <v>1.1281016767910552E-2</v>
      </c>
      <c r="BG161" t="s">
        <v>215</v>
      </c>
      <c r="BH161" s="5">
        <f ca="1">+VLOOKUP($BG161,INDIRECT(Adrese!B$2),8,FALSE)</f>
        <v>4.8795873171099402E-2</v>
      </c>
      <c r="BI161" s="5">
        <f ca="1">+VLOOKUP($BG161,INDIRECT(Adrese!C$2),8,FALSE)</f>
        <v>5.0184732000000003E-2</v>
      </c>
      <c r="BJ161" s="5">
        <f ca="1">+VLOOKUP($BG161,INDIRECT(Adrese!D$2),8,FALSE)</f>
        <v>4.9771903999999999E-2</v>
      </c>
      <c r="BK161" s="5">
        <f ca="1">+VLOOKUP($BG161,INDIRECT(Adrese!E$2),8,FALSE)</f>
        <v>4.9778698000000003E-2</v>
      </c>
      <c r="BL161" s="5">
        <f ca="1">+VLOOKUP($BG161,INDIRECT(Adrese!F$2),8,FALSE)</f>
        <v>4.9339713E-2</v>
      </c>
      <c r="BM161" s="5" t="str">
        <f t="shared" ca="1" si="59"/>
        <v>0.05 (0.00)</v>
      </c>
      <c r="BN161" s="5">
        <f t="shared" ca="1" si="69"/>
        <v>4.9574184034219884E-2</v>
      </c>
      <c r="BO161" s="5">
        <f t="shared" ca="1" si="60"/>
        <v>5.2783340911809803E-4</v>
      </c>
      <c r="BQ161" t="s">
        <v>215</v>
      </c>
      <c r="BR161" s="5">
        <f ca="1">+VLOOKUP($BG161,INDIRECT(Adrese!B$2),9,FALSE)</f>
        <v>1.23918102740784E-2</v>
      </c>
      <c r="BS161" s="5">
        <f ca="1">+VLOOKUP($BG161,INDIRECT(Adrese!C$2),9,FALSE)</f>
        <v>1.5163360000000001E-2</v>
      </c>
      <c r="BT161" s="5">
        <f ca="1">+VLOOKUP($BG161,INDIRECT(Adrese!D$2),9,FALSE)</f>
        <v>1.3694035E-2</v>
      </c>
      <c r="BU161" s="5">
        <f ca="1">+VLOOKUP($BG161,INDIRECT(Adrese!E$2),9,FALSE)</f>
        <v>1.3819926E-2</v>
      </c>
      <c r="BV161" s="5">
        <f ca="1">+VLOOKUP($BG161,INDIRECT(Adrese!F$2),9,FALSE)</f>
        <v>1.289158E-2</v>
      </c>
      <c r="BW161" s="5" t="str">
        <f t="shared" ca="1" si="61"/>
        <v>0.01 (0.00)</v>
      </c>
      <c r="BX161" s="5">
        <f t="shared" ca="1" si="70"/>
        <v>1.359214225481568E-2</v>
      </c>
      <c r="BY161" s="5">
        <f t="shared" ca="1" si="62"/>
        <v>1.0562406337722722E-3</v>
      </c>
    </row>
    <row r="162" spans="1:77" x14ac:dyDescent="0.25">
      <c r="A162" t="s">
        <v>216</v>
      </c>
      <c r="B162" s="12">
        <f ca="1">+VLOOKUP($A162,INDIRECT(Adrese!B$2),2,FALSE)</f>
        <v>160</v>
      </c>
      <c r="C162" s="12">
        <f ca="1">+VLOOKUP($A162,INDIRECT(Adrese!C$2),2,FALSE)</f>
        <v>161</v>
      </c>
      <c r="D162" s="12">
        <f ca="1">+VLOOKUP($A162,INDIRECT(Adrese!D$2),2,FALSE)</f>
        <v>160</v>
      </c>
      <c r="E162" s="12">
        <f ca="1">+VLOOKUP($A162,INDIRECT(Adrese!E$2),2,FALSE)</f>
        <v>163</v>
      </c>
      <c r="F162" s="12">
        <f ca="1">+VLOOKUP($A162,INDIRECT(Adrese!F$2),2,FALSE)</f>
        <v>161</v>
      </c>
      <c r="G162" s="5">
        <f t="shared" ca="1" si="63"/>
        <v>161</v>
      </c>
      <c r="H162" s="5">
        <f t="shared" ca="1" si="50"/>
        <v>1.2247448713915889</v>
      </c>
      <c r="J162" t="s">
        <v>216</v>
      </c>
      <c r="K162">
        <f ca="1">+VLOOKUP($A162,INDIRECT(Adrese!B$2),3,FALSE)</f>
        <v>104</v>
      </c>
      <c r="L162">
        <f ca="1">+VLOOKUP($A162,INDIRECT(Adrese!C$2),3,FALSE)</f>
        <v>106</v>
      </c>
      <c r="M162">
        <f ca="1">+VLOOKUP($A162,INDIRECT(Adrese!D$2),3,FALSE)</f>
        <v>109</v>
      </c>
      <c r="N162">
        <f ca="1">+VLOOKUP($A162,INDIRECT(Adrese!E$2),3,FALSE)</f>
        <v>109</v>
      </c>
      <c r="O162">
        <f ca="1">+VLOOKUP($A162,INDIRECT(Adrese!F$2),3,FALSE)</f>
        <v>110</v>
      </c>
      <c r="P162" s="5">
        <f t="shared" ca="1" si="64"/>
        <v>107.6</v>
      </c>
      <c r="Q162" s="5">
        <f t="shared" ca="1" si="51"/>
        <v>2.5099800796022262</v>
      </c>
      <c r="T162" t="s">
        <v>216</v>
      </c>
      <c r="U162">
        <f ca="1">+VLOOKUP($T162,INDIRECT(Adrese!B$2),4,FALSE)</f>
        <v>96408</v>
      </c>
      <c r="V162">
        <f ca="1">+VLOOKUP($T162,INDIRECT(Adrese!C$2),4,FALSE)</f>
        <v>96370</v>
      </c>
      <c r="W162">
        <f ca="1">+VLOOKUP($T162,INDIRECT(Adrese!D$2),4,FALSE)</f>
        <v>96389</v>
      </c>
      <c r="X162">
        <f ca="1">+VLOOKUP($T162,INDIRECT(Adrese!E$2),4,FALSE)</f>
        <v>96317</v>
      </c>
      <c r="Y162">
        <f ca="1">+VLOOKUP($T162,INDIRECT(Adrese!F$2),4,FALSE)</f>
        <v>96690</v>
      </c>
      <c r="Z162">
        <f t="shared" ca="1" si="52"/>
        <v>482174</v>
      </c>
      <c r="AA162" s="5">
        <f t="shared" ca="1" si="65"/>
        <v>96434.8</v>
      </c>
      <c r="AB162" s="5">
        <f t="shared" ca="1" si="53"/>
        <v>146.64480897733816</v>
      </c>
      <c r="AD162" t="s">
        <v>216</v>
      </c>
      <c r="AE162">
        <f ca="1">+VLOOKUP($A162,INDIRECT(Adrese!B$2),5,FALSE)</f>
        <v>22755</v>
      </c>
      <c r="AF162">
        <f ca="1">+VLOOKUP($A162,INDIRECT(Adrese!C$2),5,FALSE)</f>
        <v>22600</v>
      </c>
      <c r="AG162">
        <f ca="1">+VLOOKUP($A162,INDIRECT(Adrese!D$2),5,FALSE)</f>
        <v>22489</v>
      </c>
      <c r="AH162">
        <f ca="1">+VLOOKUP($A162,INDIRECT(Adrese!E$2),5,FALSE)</f>
        <v>22313</v>
      </c>
      <c r="AI162">
        <f ca="1">+VLOOKUP($A162,INDIRECT(Adrese!F$2),5,FALSE)</f>
        <v>22362</v>
      </c>
      <c r="AJ162" s="5">
        <f t="shared" ca="1" si="66"/>
        <v>22503.8</v>
      </c>
      <c r="AK162" s="5">
        <f t="shared" ca="1" si="54"/>
        <v>179.64325759682714</v>
      </c>
      <c r="AM162" t="s">
        <v>216</v>
      </c>
      <c r="AN162" s="5">
        <f ca="1">+VLOOKUP($A162,INDIRECT(Adrese!B$2),6,FALSE)</f>
        <v>0.50342920353982301</v>
      </c>
      <c r="AO162" s="5">
        <f ca="1">+VLOOKUP($A162,INDIRECT(Adrese!C$2),6,FALSE)</f>
        <v>0.5</v>
      </c>
      <c r="AP162" s="5">
        <f ca="1">+VLOOKUP($A162,INDIRECT(Adrese!D$2),6,FALSE)</f>
        <v>0.49754424800000002</v>
      </c>
      <c r="AQ162" s="5">
        <f ca="1">+VLOOKUP($A162,INDIRECT(Adrese!E$2),6,FALSE)</f>
        <v>0.49365044200000002</v>
      </c>
      <c r="AR162" s="5">
        <f ca="1">+VLOOKUP($A162,INDIRECT(Adrese!F$2),6,FALSE)</f>
        <v>0.49473451299999999</v>
      </c>
      <c r="AS162" s="5" t="str">
        <f t="shared" ca="1" si="55"/>
        <v>0.50 (0.00)</v>
      </c>
      <c r="AT162" s="5">
        <f t="shared" ca="1" si="67"/>
        <v>0.49787168130796455</v>
      </c>
      <c r="AU162" s="5">
        <f t="shared" ca="1" si="56"/>
        <v>3.9744085305626047E-3</v>
      </c>
      <c r="AW162" t="s">
        <v>216</v>
      </c>
      <c r="AX162" s="5">
        <f ca="1">+VLOOKUP($A162,INDIRECT(Adrese!B$2),7,FALSE)</f>
        <v>0.53982300884955747</v>
      </c>
      <c r="AY162" s="5">
        <f ca="1">+VLOOKUP($A162,INDIRECT(Adrese!C$2),7,FALSE)</f>
        <v>0.53097345100000004</v>
      </c>
      <c r="AZ162" s="5">
        <f ca="1">+VLOOKUP($A162,INDIRECT(Adrese!D$2),7,FALSE)</f>
        <v>0.51769911499999999</v>
      </c>
      <c r="BA162" s="5">
        <f ca="1">+VLOOKUP($A162,INDIRECT(Adrese!E$2),7,FALSE)</f>
        <v>0.51769911499999999</v>
      </c>
      <c r="BB162" s="5">
        <f ca="1">+VLOOKUP($A162,INDIRECT(Adrese!F$2),7,FALSE)</f>
        <v>0.51327433600000005</v>
      </c>
      <c r="BC162" s="5" t="str">
        <f t="shared" ca="1" si="57"/>
        <v>0.52 (0.01)</v>
      </c>
      <c r="BD162">
        <f t="shared" ca="1" si="68"/>
        <v>0.52389380516991157</v>
      </c>
      <c r="BE162" s="5">
        <f t="shared" ca="1" si="58"/>
        <v>1.1106106574765899E-2</v>
      </c>
      <c r="BG162" t="s">
        <v>216</v>
      </c>
      <c r="BH162" s="5">
        <f ca="1">+VLOOKUP($BG162,INDIRECT(Adrese!B$2),8,FALSE)</f>
        <v>5.1839315248486957E-2</v>
      </c>
      <c r="BI162" s="5">
        <f ca="1">+VLOOKUP($BG162,INDIRECT(Adrese!C$2),8,FALSE)</f>
        <v>5.1599950999999998E-2</v>
      </c>
      <c r="BJ162" s="5">
        <f ca="1">+VLOOKUP($BG162,INDIRECT(Adrese!D$2),8,FALSE)</f>
        <v>5.1587632000000001E-2</v>
      </c>
      <c r="BK162" s="5">
        <f ca="1">+VLOOKUP($BG162,INDIRECT(Adrese!E$2),8,FALSE)</f>
        <v>5.1354551999999998E-2</v>
      </c>
      <c r="BL162" s="5">
        <f ca="1">+VLOOKUP($BG162,INDIRECT(Adrese!F$2),8,FALSE)</f>
        <v>5.1702054999999997E-2</v>
      </c>
      <c r="BM162" s="5" t="str">
        <f t="shared" ca="1" si="59"/>
        <v>0.05 (0.00)</v>
      </c>
      <c r="BN162" s="5">
        <f t="shared" ca="1" si="69"/>
        <v>5.1616701049697386E-2</v>
      </c>
      <c r="BO162" s="5">
        <f t="shared" ca="1" si="60"/>
        <v>1.779677473640947E-4</v>
      </c>
      <c r="BQ162" t="s">
        <v>216</v>
      </c>
      <c r="BR162" s="5">
        <f ca="1">+VLOOKUP($BG162,INDIRECT(Adrese!B$2),9,FALSE)</f>
        <v>2.6952088843794471E-2</v>
      </c>
      <c r="BS162" s="5">
        <f ca="1">+VLOOKUP($BG162,INDIRECT(Adrese!C$2),9,FALSE)</f>
        <v>2.6787598999999999E-2</v>
      </c>
      <c r="BT162" s="5">
        <f ca="1">+VLOOKUP($BG162,INDIRECT(Adrese!D$2),9,FALSE)</f>
        <v>2.7591742999999998E-2</v>
      </c>
      <c r="BU162" s="5">
        <f ca="1">+VLOOKUP($BG162,INDIRECT(Adrese!E$2),9,FALSE)</f>
        <v>2.7636285999999999E-2</v>
      </c>
      <c r="BV162" s="5">
        <f ca="1">+VLOOKUP($BG162,INDIRECT(Adrese!F$2),9,FALSE)</f>
        <v>2.8812767E-2</v>
      </c>
      <c r="BW162" s="5" t="str">
        <f t="shared" ca="1" si="61"/>
        <v>0.03 (0.00)</v>
      </c>
      <c r="BX162" s="5">
        <f t="shared" ca="1" si="70"/>
        <v>2.7556096768758892E-2</v>
      </c>
      <c r="BY162" s="5">
        <f t="shared" ca="1" si="62"/>
        <v>7.9723513324231018E-4</v>
      </c>
    </row>
    <row r="163" spans="1:77" x14ac:dyDescent="0.25">
      <c r="A163" t="s">
        <v>217</v>
      </c>
      <c r="B163" s="12">
        <f ca="1">+VLOOKUP($A163,INDIRECT(Adrese!B$2),2,FALSE)</f>
        <v>161</v>
      </c>
      <c r="C163" s="12">
        <f ca="1">+VLOOKUP($A163,INDIRECT(Adrese!C$2),2,FALSE)</f>
        <v>166</v>
      </c>
      <c r="D163" s="12">
        <f ca="1">+VLOOKUP($A163,INDIRECT(Adrese!D$2),2,FALSE)</f>
        <v>157</v>
      </c>
      <c r="E163" s="12">
        <f ca="1">+VLOOKUP($A163,INDIRECT(Adrese!E$2),2,FALSE)</f>
        <v>162</v>
      </c>
      <c r="F163" s="12">
        <f ca="1">+VLOOKUP($A163,INDIRECT(Adrese!F$2),2,FALSE)</f>
        <v>163</v>
      </c>
      <c r="G163" s="5">
        <f t="shared" ca="1" si="63"/>
        <v>161.80000000000001</v>
      </c>
      <c r="H163" s="5">
        <f t="shared" ca="1" si="50"/>
        <v>3.271085446759225</v>
      </c>
      <c r="J163" t="s">
        <v>217</v>
      </c>
      <c r="K163">
        <f ca="1">+VLOOKUP($A163,INDIRECT(Adrese!B$2),3,FALSE)</f>
        <v>111</v>
      </c>
      <c r="L163">
        <f ca="1">+VLOOKUP($A163,INDIRECT(Adrese!C$2),3,FALSE)</f>
        <v>110</v>
      </c>
      <c r="M163">
        <f ca="1">+VLOOKUP($A163,INDIRECT(Adrese!D$2),3,FALSE)</f>
        <v>109</v>
      </c>
      <c r="N163">
        <f ca="1">+VLOOKUP($A163,INDIRECT(Adrese!E$2),3,FALSE)</f>
        <v>110</v>
      </c>
      <c r="O163">
        <f ca="1">+VLOOKUP($A163,INDIRECT(Adrese!F$2),3,FALSE)</f>
        <v>107</v>
      </c>
      <c r="P163" s="5">
        <f t="shared" ca="1" si="64"/>
        <v>109.4</v>
      </c>
      <c r="Q163" s="5">
        <f t="shared" ca="1" si="51"/>
        <v>1.51657508881031</v>
      </c>
      <c r="T163" t="s">
        <v>217</v>
      </c>
      <c r="U163">
        <f ca="1">+VLOOKUP($T163,INDIRECT(Adrese!B$2),4,FALSE)</f>
        <v>96336</v>
      </c>
      <c r="V163">
        <f ca="1">+VLOOKUP($T163,INDIRECT(Adrese!C$2),4,FALSE)</f>
        <v>95433</v>
      </c>
      <c r="W163">
        <f ca="1">+VLOOKUP($T163,INDIRECT(Adrese!D$2),4,FALSE)</f>
        <v>97114</v>
      </c>
      <c r="X163">
        <f ca="1">+VLOOKUP($T163,INDIRECT(Adrese!E$2),4,FALSE)</f>
        <v>96358</v>
      </c>
      <c r="Y163">
        <f ca="1">+VLOOKUP($T163,INDIRECT(Adrese!F$2),4,FALSE)</f>
        <v>95501</v>
      </c>
      <c r="Z163">
        <f t="shared" ca="1" si="52"/>
        <v>480742</v>
      </c>
      <c r="AA163" s="5">
        <f t="shared" ca="1" si="65"/>
        <v>96148.4</v>
      </c>
      <c r="AB163" s="5">
        <f t="shared" ca="1" si="53"/>
        <v>696.85601095204743</v>
      </c>
      <c r="AD163" t="s">
        <v>217</v>
      </c>
      <c r="AE163">
        <f ca="1">+VLOOKUP($A163,INDIRECT(Adrese!B$2),5,FALSE)</f>
        <v>23098</v>
      </c>
      <c r="AF163">
        <f ca="1">+VLOOKUP($A163,INDIRECT(Adrese!C$2),5,FALSE)</f>
        <v>22676</v>
      </c>
      <c r="AG163">
        <f ca="1">+VLOOKUP($A163,INDIRECT(Adrese!D$2),5,FALSE)</f>
        <v>23429</v>
      </c>
      <c r="AH163">
        <f ca="1">+VLOOKUP($A163,INDIRECT(Adrese!E$2),5,FALSE)</f>
        <v>23094</v>
      </c>
      <c r="AI163">
        <f ca="1">+VLOOKUP($A163,INDIRECT(Adrese!F$2),5,FALSE)</f>
        <v>22556</v>
      </c>
      <c r="AJ163" s="5">
        <f t="shared" ca="1" si="66"/>
        <v>22970.6</v>
      </c>
      <c r="AK163" s="5">
        <f t="shared" ca="1" si="54"/>
        <v>353.64926127450059</v>
      </c>
      <c r="AM163" t="s">
        <v>217</v>
      </c>
      <c r="AN163" s="5">
        <f ca="1">+VLOOKUP($A163,INDIRECT(Adrese!B$2),6,FALSE)</f>
        <v>0.51101769911504424</v>
      </c>
      <c r="AO163" s="5">
        <f ca="1">+VLOOKUP($A163,INDIRECT(Adrese!C$2),6,FALSE)</f>
        <v>0.50168141600000005</v>
      </c>
      <c r="AP163" s="5">
        <f ca="1">+VLOOKUP($A163,INDIRECT(Adrese!D$2),6,FALSE)</f>
        <v>0.51834070799999998</v>
      </c>
      <c r="AQ163" s="5">
        <f ca="1">+VLOOKUP($A163,INDIRECT(Adrese!E$2),6,FALSE)</f>
        <v>0.51092920399999997</v>
      </c>
      <c r="AR163" s="5">
        <f ca="1">+VLOOKUP($A163,INDIRECT(Adrese!F$2),6,FALSE)</f>
        <v>0.49902654899999999</v>
      </c>
      <c r="AS163" s="5" t="str">
        <f t="shared" ca="1" si="55"/>
        <v>0.51 (0.01)</v>
      </c>
      <c r="AT163" s="5">
        <f t="shared" ca="1" si="67"/>
        <v>0.50819911522300887</v>
      </c>
      <c r="AU163" s="5">
        <f t="shared" ca="1" si="56"/>
        <v>7.8240986416664264E-3</v>
      </c>
      <c r="AW163" t="s">
        <v>217</v>
      </c>
      <c r="AX163" s="5">
        <f ca="1">+VLOOKUP($A163,INDIRECT(Adrese!B$2),7,FALSE)</f>
        <v>0.50884955752212391</v>
      </c>
      <c r="AY163" s="5">
        <f ca="1">+VLOOKUP($A163,INDIRECT(Adrese!C$2),7,FALSE)</f>
        <v>0.51327433600000005</v>
      </c>
      <c r="AZ163" s="5">
        <f ca="1">+VLOOKUP($A163,INDIRECT(Adrese!D$2),7,FALSE)</f>
        <v>0.51769911499999999</v>
      </c>
      <c r="BA163" s="5">
        <f ca="1">+VLOOKUP($A163,INDIRECT(Adrese!E$2),7,FALSE)</f>
        <v>0.51327433600000005</v>
      </c>
      <c r="BB163" s="5">
        <f ca="1">+VLOOKUP($A163,INDIRECT(Adrese!F$2),7,FALSE)</f>
        <v>0.52654867299999997</v>
      </c>
      <c r="BC163" s="5" t="str">
        <f t="shared" ca="1" si="57"/>
        <v>0.52 (0.01)</v>
      </c>
      <c r="BD163">
        <f t="shared" ca="1" si="68"/>
        <v>0.51592920350442473</v>
      </c>
      <c r="BE163" s="5">
        <f t="shared" ca="1" si="58"/>
        <v>6.7105094671796499E-3</v>
      </c>
      <c r="BG163" t="s">
        <v>217</v>
      </c>
      <c r="BH163" s="5">
        <f ca="1">+VLOOKUP($BG163,INDIRECT(Adrese!B$2),8,FALSE)</f>
        <v>5.356260387302602E-2</v>
      </c>
      <c r="BI163" s="5">
        <f ca="1">+VLOOKUP($BG163,INDIRECT(Adrese!C$2),8,FALSE)</f>
        <v>5.2263361000000001E-2</v>
      </c>
      <c r="BJ163" s="5">
        <f ca="1">+VLOOKUP($BG163,INDIRECT(Adrese!D$2),8,FALSE)</f>
        <v>5.4142279000000001E-2</v>
      </c>
      <c r="BK163" s="5">
        <f ca="1">+VLOOKUP($BG163,INDIRECT(Adrese!E$2),8,FALSE)</f>
        <v>5.3159530000000003E-2</v>
      </c>
      <c r="BL163" s="5">
        <f ca="1">+VLOOKUP($BG163,INDIRECT(Adrese!F$2),8,FALSE)</f>
        <v>5.2139985999999999E-2</v>
      </c>
      <c r="BM163" s="5" t="str">
        <f t="shared" ca="1" si="59"/>
        <v>0.05 (0.00)</v>
      </c>
      <c r="BN163" s="5">
        <f t="shared" ca="1" si="69"/>
        <v>5.3053551974605206E-2</v>
      </c>
      <c r="BO163" s="5">
        <f t="shared" ca="1" si="60"/>
        <v>8.5362407992061991E-4</v>
      </c>
      <c r="BQ163" t="s">
        <v>217</v>
      </c>
      <c r="BR163" s="5">
        <f ca="1">+VLOOKUP($BG163,INDIRECT(Adrese!B$2),9,FALSE)</f>
        <v>3.2360954270950988E-2</v>
      </c>
      <c r="BS163" s="5">
        <f ca="1">+VLOOKUP($BG163,INDIRECT(Adrese!C$2),9,FALSE)</f>
        <v>2.8958599000000002E-2</v>
      </c>
      <c r="BT163" s="5">
        <f ca="1">+VLOOKUP($BG163,INDIRECT(Adrese!D$2),9,FALSE)</f>
        <v>3.2958464999999999E-2</v>
      </c>
      <c r="BU163" s="5">
        <f ca="1">+VLOOKUP($BG163,INDIRECT(Adrese!E$2),9,FALSE)</f>
        <v>3.0483501E-2</v>
      </c>
      <c r="BV163" s="5">
        <f ca="1">+VLOOKUP($BG163,INDIRECT(Adrese!F$2),9,FALSE)</f>
        <v>2.8937127E-2</v>
      </c>
      <c r="BW163" s="5" t="str">
        <f t="shared" ca="1" si="61"/>
        <v>0.03 (0.00)</v>
      </c>
      <c r="BX163" s="5">
        <f t="shared" ca="1" si="70"/>
        <v>3.0739729254190197E-2</v>
      </c>
      <c r="BY163" s="5">
        <f t="shared" ca="1" si="62"/>
        <v>1.8734067665721835E-3</v>
      </c>
    </row>
    <row r="164" spans="1:77" x14ac:dyDescent="0.25">
      <c r="A164" t="s">
        <v>218</v>
      </c>
      <c r="B164" s="12">
        <f ca="1">+VLOOKUP($A164,INDIRECT(Adrese!B$2),2,FALSE)</f>
        <v>162</v>
      </c>
      <c r="C164" s="12">
        <f ca="1">+VLOOKUP($A164,INDIRECT(Adrese!C$2),2,FALSE)</f>
        <v>158</v>
      </c>
      <c r="D164" s="12">
        <f ca="1">+VLOOKUP($A164,INDIRECT(Adrese!D$2),2,FALSE)</f>
        <v>162</v>
      </c>
      <c r="E164" s="12">
        <f ca="1">+VLOOKUP($A164,INDIRECT(Adrese!E$2),2,FALSE)</f>
        <v>158</v>
      </c>
      <c r="F164" s="12">
        <f ca="1">+VLOOKUP($A164,INDIRECT(Adrese!F$2),2,FALSE)</f>
        <v>154</v>
      </c>
      <c r="G164" s="5">
        <f t="shared" ca="1" si="63"/>
        <v>158.80000000000001</v>
      </c>
      <c r="H164" s="5">
        <f t="shared" ca="1" si="50"/>
        <v>3.3466401061363023</v>
      </c>
      <c r="J164" t="s">
        <v>218</v>
      </c>
      <c r="K164">
        <f ca="1">+VLOOKUP($A164,INDIRECT(Adrese!B$2),3,FALSE)</f>
        <v>126</v>
      </c>
      <c r="L164">
        <f ca="1">+VLOOKUP($A164,INDIRECT(Adrese!C$2),3,FALSE)</f>
        <v>128</v>
      </c>
      <c r="M164">
        <f ca="1">+VLOOKUP($A164,INDIRECT(Adrese!D$2),3,FALSE)</f>
        <v>130</v>
      </c>
      <c r="N164">
        <f ca="1">+VLOOKUP($A164,INDIRECT(Adrese!E$2),3,FALSE)</f>
        <v>131</v>
      </c>
      <c r="O164">
        <f ca="1">+VLOOKUP($A164,INDIRECT(Adrese!F$2),3,FALSE)</f>
        <v>129</v>
      </c>
      <c r="P164" s="5">
        <f t="shared" ca="1" si="64"/>
        <v>128.80000000000001</v>
      </c>
      <c r="Q164" s="5">
        <f t="shared" ca="1" si="51"/>
        <v>1.9235384061671346</v>
      </c>
      <c r="T164" t="s">
        <v>218</v>
      </c>
      <c r="U164">
        <f ca="1">+VLOOKUP($T164,INDIRECT(Adrese!B$2),4,FALSE)</f>
        <v>95755</v>
      </c>
      <c r="V164">
        <f ca="1">+VLOOKUP($T164,INDIRECT(Adrese!C$2),4,FALSE)</f>
        <v>97643</v>
      </c>
      <c r="W164">
        <f ca="1">+VLOOKUP($T164,INDIRECT(Adrese!D$2),4,FALSE)</f>
        <v>96107</v>
      </c>
      <c r="X164">
        <f ca="1">+VLOOKUP($T164,INDIRECT(Adrese!E$2),4,FALSE)</f>
        <v>97209</v>
      </c>
      <c r="Y164">
        <f ca="1">+VLOOKUP($T164,INDIRECT(Adrese!F$2),4,FALSE)</f>
        <v>97146</v>
      </c>
      <c r="Z164">
        <f t="shared" ca="1" si="52"/>
        <v>483860</v>
      </c>
      <c r="AA164" s="5">
        <f t="shared" ca="1" si="65"/>
        <v>96772</v>
      </c>
      <c r="AB164" s="5">
        <f t="shared" ca="1" si="53"/>
        <v>800.93695132638254</v>
      </c>
      <c r="AD164" t="s">
        <v>218</v>
      </c>
      <c r="AE164">
        <f ca="1">+VLOOKUP($A164,INDIRECT(Adrese!B$2),5,FALSE)</f>
        <v>9715</v>
      </c>
      <c r="AF164">
        <f ca="1">+VLOOKUP($A164,INDIRECT(Adrese!C$2),5,FALSE)</f>
        <v>10614</v>
      </c>
      <c r="AG164">
        <f ca="1">+VLOOKUP($A164,INDIRECT(Adrese!D$2),5,FALSE)</f>
        <v>9890</v>
      </c>
      <c r="AH164">
        <f ca="1">+VLOOKUP($A164,INDIRECT(Adrese!E$2),5,FALSE)</f>
        <v>10463</v>
      </c>
      <c r="AI164">
        <f ca="1">+VLOOKUP($A164,INDIRECT(Adrese!F$2),5,FALSE)</f>
        <v>10966</v>
      </c>
      <c r="AJ164" s="5">
        <f t="shared" ca="1" si="66"/>
        <v>10329.6</v>
      </c>
      <c r="AK164" s="5">
        <f t="shared" ca="1" si="54"/>
        <v>518.33030009830611</v>
      </c>
      <c r="AM164" t="s">
        <v>218</v>
      </c>
      <c r="AN164" s="5">
        <f ca="1">+VLOOKUP($A164,INDIRECT(Adrese!B$2),6,FALSE)</f>
        <v>0.2107300884955752</v>
      </c>
      <c r="AO164" s="5">
        <f ca="1">+VLOOKUP($A164,INDIRECT(Adrese!C$2),6,FALSE)</f>
        <v>0.23061946899999999</v>
      </c>
      <c r="AP164" s="5">
        <f ca="1">+VLOOKUP($A164,INDIRECT(Adrese!D$2),6,FALSE)</f>
        <v>0.21460177</v>
      </c>
      <c r="AQ164" s="5">
        <f ca="1">+VLOOKUP($A164,INDIRECT(Adrese!E$2),6,FALSE)</f>
        <v>0.227278761</v>
      </c>
      <c r="AR164" s="5">
        <f ca="1">+VLOOKUP($A164,INDIRECT(Adrese!F$2),6,FALSE)</f>
        <v>0.23840707999999999</v>
      </c>
      <c r="AS164" s="5" t="str">
        <f t="shared" ca="1" si="55"/>
        <v>0.22 (0.01)</v>
      </c>
      <c r="AT164" s="5">
        <f t="shared" ca="1" si="67"/>
        <v>0.22432743369911501</v>
      </c>
      <c r="AU164" s="5">
        <f t="shared" ca="1" si="56"/>
        <v>1.1467484597712206E-2</v>
      </c>
      <c r="AW164" t="s">
        <v>218</v>
      </c>
      <c r="AX164" s="5">
        <f ca="1">+VLOOKUP($A164,INDIRECT(Adrese!B$2),7,FALSE)</f>
        <v>0.44247787610619471</v>
      </c>
      <c r="AY164" s="5">
        <f ca="1">+VLOOKUP($A164,INDIRECT(Adrese!C$2),7,FALSE)</f>
        <v>0.43362831899999998</v>
      </c>
      <c r="AZ164" s="5">
        <f ca="1">+VLOOKUP($A164,INDIRECT(Adrese!D$2),7,FALSE)</f>
        <v>0.424778761</v>
      </c>
      <c r="BA164" s="5">
        <f ca="1">+VLOOKUP($A164,INDIRECT(Adrese!E$2),7,FALSE)</f>
        <v>0.42035398200000001</v>
      </c>
      <c r="BB164" s="5">
        <f ca="1">+VLOOKUP($A164,INDIRECT(Adrese!F$2),7,FALSE)</f>
        <v>0.42920353999999999</v>
      </c>
      <c r="BC164" s="5" t="str">
        <f t="shared" ca="1" si="57"/>
        <v>0.43 (0.01)</v>
      </c>
      <c r="BD164">
        <f t="shared" ca="1" si="68"/>
        <v>0.43008849562123891</v>
      </c>
      <c r="BE164" s="5">
        <f t="shared" ca="1" si="58"/>
        <v>8.5112320200347331E-3</v>
      </c>
      <c r="BG164" t="s">
        <v>218</v>
      </c>
      <c r="BH164" s="5">
        <f ca="1">+VLOOKUP($BG164,INDIRECT(Adrese!B$2),8,FALSE)</f>
        <v>1.8589195460335571E-2</v>
      </c>
      <c r="BI164" s="5">
        <f ca="1">+VLOOKUP($BG164,INDIRECT(Adrese!C$2),8,FALSE)</f>
        <v>2.0686545000000001E-2</v>
      </c>
      <c r="BJ164" s="5">
        <f ca="1">+VLOOKUP($BG164,INDIRECT(Adrese!D$2),8,FALSE)</f>
        <v>1.8920675000000001E-2</v>
      </c>
      <c r="BK164" s="5">
        <f ca="1">+VLOOKUP($BG164,INDIRECT(Adrese!E$2),8,FALSE)</f>
        <v>2.0231387E-2</v>
      </c>
      <c r="BL164" s="5">
        <f ca="1">+VLOOKUP($BG164,INDIRECT(Adrese!F$2),8,FALSE)</f>
        <v>2.1867996000000001E-2</v>
      </c>
      <c r="BM164" s="5" t="str">
        <f t="shared" ca="1" si="59"/>
        <v>0.02 (0.00)</v>
      </c>
      <c r="BN164" s="5">
        <f t="shared" ca="1" si="69"/>
        <v>2.0059159692067115E-2</v>
      </c>
      <c r="BO164" s="5">
        <f t="shared" ca="1" si="60"/>
        <v>1.3371710432612373E-3</v>
      </c>
      <c r="BQ164" t="s">
        <v>218</v>
      </c>
      <c r="BR164" s="5">
        <f ca="1">+VLOOKUP($BG164,INDIRECT(Adrese!B$2),9,FALSE)</f>
        <v>-4.755774306982883E-2</v>
      </c>
      <c r="BS164" s="5">
        <f ca="1">+VLOOKUP($BG164,INDIRECT(Adrese!C$2),9,FALSE)</f>
        <v>-4.2896635000000002E-2</v>
      </c>
      <c r="BT164" s="5">
        <f ca="1">+VLOOKUP($BG164,INDIRECT(Adrese!D$2),9,FALSE)</f>
        <v>-4.7137962999999998E-2</v>
      </c>
      <c r="BU164" s="5">
        <f ca="1">+VLOOKUP($BG164,INDIRECT(Adrese!E$2),9,FALSE)</f>
        <v>-4.4331309999999999E-2</v>
      </c>
      <c r="BV164" s="5">
        <f ca="1">+VLOOKUP($BG164,INDIRECT(Adrese!F$2),9,FALSE)</f>
        <v>-4.0311319999999998E-2</v>
      </c>
      <c r="BW164" s="5" t="str">
        <f t="shared" ca="1" si="61"/>
        <v>-0.04 (0.00)</v>
      </c>
      <c r="BX164" s="5">
        <f t="shared" ca="1" si="70"/>
        <v>-4.4446994213965765E-2</v>
      </c>
      <c r="BY164" s="5">
        <f t="shared" ca="1" si="62"/>
        <v>3.0182308222456537E-3</v>
      </c>
    </row>
    <row r="165" spans="1:77" x14ac:dyDescent="0.25">
      <c r="A165" t="s">
        <v>219</v>
      </c>
      <c r="B165" s="12">
        <f ca="1">+VLOOKUP($A165,INDIRECT(Adrese!B$2),2,FALSE)</f>
        <v>163</v>
      </c>
      <c r="C165" s="12">
        <f ca="1">+VLOOKUP($A165,INDIRECT(Adrese!C$2),2,FALSE)</f>
        <v>164</v>
      </c>
      <c r="D165" s="12">
        <f ca="1">+VLOOKUP($A165,INDIRECT(Adrese!D$2),2,FALSE)</f>
        <v>161</v>
      </c>
      <c r="E165" s="12">
        <f ca="1">+VLOOKUP($A165,INDIRECT(Adrese!E$2),2,FALSE)</f>
        <v>170</v>
      </c>
      <c r="F165" s="12">
        <f ca="1">+VLOOKUP($A165,INDIRECT(Adrese!F$2),2,FALSE)</f>
        <v>165</v>
      </c>
      <c r="G165" s="5">
        <f t="shared" ca="1" si="63"/>
        <v>164.6</v>
      </c>
      <c r="H165" s="5">
        <f t="shared" ca="1" si="50"/>
        <v>3.3615472627943221</v>
      </c>
      <c r="J165" t="s">
        <v>219</v>
      </c>
      <c r="K165">
        <f ca="1">+VLOOKUP($A165,INDIRECT(Adrese!B$2),3,FALSE)</f>
        <v>96</v>
      </c>
      <c r="L165">
        <f ca="1">+VLOOKUP($A165,INDIRECT(Adrese!C$2),3,FALSE)</f>
        <v>94</v>
      </c>
      <c r="M165">
        <f ca="1">+VLOOKUP($A165,INDIRECT(Adrese!D$2),3,FALSE)</f>
        <v>105</v>
      </c>
      <c r="N165">
        <f ca="1">+VLOOKUP($A165,INDIRECT(Adrese!E$2),3,FALSE)</f>
        <v>91</v>
      </c>
      <c r="O165">
        <f ca="1">+VLOOKUP($A165,INDIRECT(Adrese!F$2),3,FALSE)</f>
        <v>98</v>
      </c>
      <c r="P165" s="5">
        <f t="shared" ca="1" si="64"/>
        <v>96.8</v>
      </c>
      <c r="Q165" s="5">
        <f t="shared" ca="1" si="51"/>
        <v>5.2630789467763073</v>
      </c>
      <c r="T165" t="s">
        <v>219</v>
      </c>
      <c r="U165">
        <f ca="1">+VLOOKUP($T165,INDIRECT(Adrese!B$2),4,FALSE)</f>
        <v>95753</v>
      </c>
      <c r="V165">
        <f ca="1">+VLOOKUP($T165,INDIRECT(Adrese!C$2),4,FALSE)</f>
        <v>95663</v>
      </c>
      <c r="W165">
        <f ca="1">+VLOOKUP($T165,INDIRECT(Adrese!D$2),4,FALSE)</f>
        <v>96270</v>
      </c>
      <c r="X165">
        <f ca="1">+VLOOKUP($T165,INDIRECT(Adrese!E$2),4,FALSE)</f>
        <v>94320</v>
      </c>
      <c r="Y165">
        <f ca="1">+VLOOKUP($T165,INDIRECT(Adrese!F$2),4,FALSE)</f>
        <v>95083</v>
      </c>
      <c r="Z165">
        <f t="shared" ca="1" si="52"/>
        <v>477089</v>
      </c>
      <c r="AA165" s="5">
        <f t="shared" ca="1" si="65"/>
        <v>95417.8</v>
      </c>
      <c r="AB165" s="5">
        <f t="shared" ca="1" si="53"/>
        <v>744.30887405700059</v>
      </c>
      <c r="AD165" t="s">
        <v>219</v>
      </c>
      <c r="AE165">
        <f ca="1">+VLOOKUP($A165,INDIRECT(Adrese!B$2),5,FALSE)</f>
        <v>22445</v>
      </c>
      <c r="AF165">
        <f ca="1">+VLOOKUP($A165,INDIRECT(Adrese!C$2),5,FALSE)</f>
        <v>22702</v>
      </c>
      <c r="AG165">
        <f ca="1">+VLOOKUP($A165,INDIRECT(Adrese!D$2),5,FALSE)</f>
        <v>22498</v>
      </c>
      <c r="AH165">
        <f ca="1">+VLOOKUP($A165,INDIRECT(Adrese!E$2),5,FALSE)</f>
        <v>22651</v>
      </c>
      <c r="AI165">
        <f ca="1">+VLOOKUP($A165,INDIRECT(Adrese!F$2),5,FALSE)</f>
        <v>22451</v>
      </c>
      <c r="AJ165" s="5">
        <f t="shared" ca="1" si="66"/>
        <v>22549.4</v>
      </c>
      <c r="AK165" s="5">
        <f t="shared" ca="1" si="54"/>
        <v>119.19857381697149</v>
      </c>
      <c r="AM165" t="s">
        <v>219</v>
      </c>
      <c r="AN165" s="5">
        <f ca="1">+VLOOKUP($A165,INDIRECT(Adrese!B$2),6,FALSE)</f>
        <v>0.49440265486725671</v>
      </c>
      <c r="AO165" s="5">
        <f ca="1">+VLOOKUP($A165,INDIRECT(Adrese!C$2),6,FALSE)</f>
        <v>0.50004424800000002</v>
      </c>
      <c r="AP165" s="5">
        <f ca="1">+VLOOKUP($A165,INDIRECT(Adrese!D$2),6,FALSE)</f>
        <v>0.49553097299999999</v>
      </c>
      <c r="AQ165" s="5">
        <f ca="1">+VLOOKUP($A165,INDIRECT(Adrese!E$2),6,FALSE)</f>
        <v>0.49889380500000002</v>
      </c>
      <c r="AR165" s="5">
        <f ca="1">+VLOOKUP($A165,INDIRECT(Adrese!F$2),6,FALSE)</f>
        <v>0.49453539800000001</v>
      </c>
      <c r="AS165" s="5" t="str">
        <f t="shared" ca="1" si="55"/>
        <v>0.50 (0.00)</v>
      </c>
      <c r="AT165" s="5">
        <f t="shared" ca="1" si="67"/>
        <v>0.49668141577345126</v>
      </c>
      <c r="AU165" s="5">
        <f t="shared" ca="1" si="56"/>
        <v>2.613664515590107E-3</v>
      </c>
      <c r="AW165" t="s">
        <v>219</v>
      </c>
      <c r="AX165" s="5">
        <f ca="1">+VLOOKUP($A165,INDIRECT(Adrese!B$2),7,FALSE)</f>
        <v>0.5752212389380531</v>
      </c>
      <c r="AY165" s="5">
        <f ca="1">+VLOOKUP($A165,INDIRECT(Adrese!C$2),7,FALSE)</f>
        <v>0.584070796</v>
      </c>
      <c r="AZ165" s="5">
        <f ca="1">+VLOOKUP($A165,INDIRECT(Adrese!D$2),7,FALSE)</f>
        <v>0.53539822999999997</v>
      </c>
      <c r="BA165" s="5">
        <f ca="1">+VLOOKUP($A165,INDIRECT(Adrese!E$2),7,FALSE)</f>
        <v>0.59734513300000003</v>
      </c>
      <c r="BB165" s="5">
        <f ca="1">+VLOOKUP($A165,INDIRECT(Adrese!F$2),7,FALSE)</f>
        <v>0.56637168100000002</v>
      </c>
      <c r="BC165" s="5" t="str">
        <f t="shared" ca="1" si="57"/>
        <v>0.57 (0.02)</v>
      </c>
      <c r="BD165">
        <f t="shared" ca="1" si="68"/>
        <v>0.57168141578761067</v>
      </c>
      <c r="BE165" s="5">
        <f t="shared" ca="1" si="58"/>
        <v>2.3287960009166109E-2</v>
      </c>
      <c r="BG165" t="s">
        <v>219</v>
      </c>
      <c r="BH165" s="5">
        <f ca="1">+VLOOKUP($BG165,INDIRECT(Adrese!B$2),8,FALSE)</f>
        <v>4.4299695901033879E-2</v>
      </c>
      <c r="BI165" s="5">
        <f ca="1">+VLOOKUP($BG165,INDIRECT(Adrese!C$2),8,FALSE)</f>
        <v>4.4952923999999998E-2</v>
      </c>
      <c r="BJ165" s="5">
        <f ca="1">+VLOOKUP($BG165,INDIRECT(Adrese!D$2),8,FALSE)</f>
        <v>4.4596444999999998E-2</v>
      </c>
      <c r="BK165" s="5">
        <f ca="1">+VLOOKUP($BG165,INDIRECT(Adrese!E$2),8,FALSE)</f>
        <v>4.4923761999999999E-2</v>
      </c>
      <c r="BL165" s="5">
        <f ca="1">+VLOOKUP($BG165,INDIRECT(Adrese!F$2),8,FALSE)</f>
        <v>4.4481681000000002E-2</v>
      </c>
      <c r="BM165" s="5" t="str">
        <f t="shared" ca="1" si="59"/>
        <v>0.04 (0.00)</v>
      </c>
      <c r="BN165" s="5">
        <f t="shared" ca="1" si="69"/>
        <v>4.4650901580206778E-2</v>
      </c>
      <c r="BO165" s="5">
        <f t="shared" ca="1" si="60"/>
        <v>2.8311521670696066E-4</v>
      </c>
      <c r="BQ165" t="s">
        <v>219</v>
      </c>
      <c r="BR165" s="5">
        <f ca="1">+VLOOKUP($BG165,INDIRECT(Adrese!B$2),9,FALSE)</f>
        <v>-1.3794223391547049E-3</v>
      </c>
      <c r="BS165" s="5">
        <f ca="1">+VLOOKUP($BG165,INDIRECT(Adrese!C$2),9,FALSE)</f>
        <v>1.60817E-4</v>
      </c>
      <c r="BT165" s="5">
        <f ca="1">+VLOOKUP($BG165,INDIRECT(Adrese!D$2),9,FALSE)</f>
        <v>-3.1861299999999998E-4</v>
      </c>
      <c r="BU165" s="5">
        <f ca="1">+VLOOKUP($BG165,INDIRECT(Adrese!E$2),9,FALSE)</f>
        <v>4.93912E-4</v>
      </c>
      <c r="BV165" s="5">
        <f ca="1">+VLOOKUP($BG165,INDIRECT(Adrese!F$2),9,FALSE)</f>
        <v>-8.72334E-4</v>
      </c>
      <c r="BW165" s="5" t="str">
        <f t="shared" ca="1" si="61"/>
        <v>0.00 (0.00)</v>
      </c>
      <c r="BX165" s="5">
        <f t="shared" ca="1" si="70"/>
        <v>-3.83128067830941E-4</v>
      </c>
      <c r="BY165" s="5">
        <f t="shared" ca="1" si="62"/>
        <v>7.5847914119600004E-4</v>
      </c>
    </row>
    <row r="166" spans="1:77" x14ac:dyDescent="0.25">
      <c r="A166" t="s">
        <v>220</v>
      </c>
      <c r="B166" s="12">
        <f ca="1">+VLOOKUP($A166,INDIRECT(Adrese!B$2),2,FALSE)</f>
        <v>164</v>
      </c>
      <c r="C166" s="12">
        <f ca="1">+VLOOKUP($A166,INDIRECT(Adrese!C$2),2,FALSE)</f>
        <v>163</v>
      </c>
      <c r="D166" s="12">
        <f ca="1">+VLOOKUP($A166,INDIRECT(Adrese!D$2),2,FALSE)</f>
        <v>165</v>
      </c>
      <c r="E166" s="12">
        <f ca="1">+VLOOKUP($A166,INDIRECT(Adrese!E$2),2,FALSE)</f>
        <v>160</v>
      </c>
      <c r="F166" s="12">
        <f ca="1">+VLOOKUP($A166,INDIRECT(Adrese!F$2),2,FALSE)</f>
        <v>160</v>
      </c>
      <c r="G166" s="5">
        <f t="shared" ca="1" si="63"/>
        <v>162.4</v>
      </c>
      <c r="H166" s="5">
        <f t="shared" ca="1" si="50"/>
        <v>2.3021728866442674</v>
      </c>
      <c r="J166" t="s">
        <v>220</v>
      </c>
      <c r="K166">
        <f ca="1">+VLOOKUP($A166,INDIRECT(Adrese!B$2),3,FALSE)</f>
        <v>70</v>
      </c>
      <c r="L166">
        <f ca="1">+VLOOKUP($A166,INDIRECT(Adrese!C$2),3,FALSE)</f>
        <v>71</v>
      </c>
      <c r="M166">
        <f ca="1">+VLOOKUP($A166,INDIRECT(Adrese!D$2),3,FALSE)</f>
        <v>73</v>
      </c>
      <c r="N166">
        <f ca="1">+VLOOKUP($A166,INDIRECT(Adrese!E$2),3,FALSE)</f>
        <v>70</v>
      </c>
      <c r="O166">
        <f ca="1">+VLOOKUP($A166,INDIRECT(Adrese!F$2),3,FALSE)</f>
        <v>68</v>
      </c>
      <c r="P166" s="5">
        <f t="shared" ca="1" si="64"/>
        <v>70.400000000000006</v>
      </c>
      <c r="Q166" s="5">
        <f t="shared" ca="1" si="51"/>
        <v>1.8165902124584949</v>
      </c>
      <c r="T166" t="s">
        <v>220</v>
      </c>
      <c r="U166">
        <f ca="1">+VLOOKUP($T166,INDIRECT(Adrese!B$2),4,FALSE)</f>
        <v>95618</v>
      </c>
      <c r="V166">
        <f ca="1">+VLOOKUP($T166,INDIRECT(Adrese!C$2),4,FALSE)</f>
        <v>95848</v>
      </c>
      <c r="W166">
        <f ca="1">+VLOOKUP($T166,INDIRECT(Adrese!D$2),4,FALSE)</f>
        <v>95917</v>
      </c>
      <c r="X166">
        <f ca="1">+VLOOKUP($T166,INDIRECT(Adrese!E$2),4,FALSE)</f>
        <v>96748</v>
      </c>
      <c r="Y166">
        <f ca="1">+VLOOKUP($T166,INDIRECT(Adrese!F$2),4,FALSE)</f>
        <v>96945</v>
      </c>
      <c r="Z166">
        <f t="shared" ca="1" si="52"/>
        <v>481076</v>
      </c>
      <c r="AA166" s="5">
        <f t="shared" ca="1" si="65"/>
        <v>96215.2</v>
      </c>
      <c r="AB166" s="5">
        <f t="shared" ca="1" si="53"/>
        <v>590.95067476059285</v>
      </c>
      <c r="AD166" t="s">
        <v>220</v>
      </c>
      <c r="AE166">
        <f ca="1">+VLOOKUP($A166,INDIRECT(Adrese!B$2),5,FALSE)</f>
        <v>40844</v>
      </c>
      <c r="AF166">
        <f ca="1">+VLOOKUP($A166,INDIRECT(Adrese!C$2),5,FALSE)</f>
        <v>40852</v>
      </c>
      <c r="AG166">
        <f ca="1">+VLOOKUP($A166,INDIRECT(Adrese!D$2),5,FALSE)</f>
        <v>40794</v>
      </c>
      <c r="AH166">
        <f ca="1">+VLOOKUP($A166,INDIRECT(Adrese!E$2),5,FALSE)</f>
        <v>40708</v>
      </c>
      <c r="AI166">
        <f ca="1">+VLOOKUP($A166,INDIRECT(Adrese!F$2),5,FALSE)</f>
        <v>40904</v>
      </c>
      <c r="AJ166" s="5">
        <f t="shared" ca="1" si="66"/>
        <v>40820.400000000001</v>
      </c>
      <c r="AK166" s="5">
        <f t="shared" ca="1" si="54"/>
        <v>73.95133534967438</v>
      </c>
      <c r="AM166" t="s">
        <v>220</v>
      </c>
      <c r="AN166" s="5">
        <f ca="1">+VLOOKUP($A166,INDIRECT(Adrese!B$2),6,FALSE)</f>
        <v>0.89953539823008855</v>
      </c>
      <c r="AO166" s="5">
        <f ca="1">+VLOOKUP($A166,INDIRECT(Adrese!C$2),6,FALSE)</f>
        <v>0.89975663699999997</v>
      </c>
      <c r="AP166" s="5">
        <f ca="1">+VLOOKUP($A166,INDIRECT(Adrese!D$2),6,FALSE)</f>
        <v>0.89865044199999999</v>
      </c>
      <c r="AQ166" s="5">
        <f ca="1">+VLOOKUP($A166,INDIRECT(Adrese!E$2),6,FALSE)</f>
        <v>0.89668141599999995</v>
      </c>
      <c r="AR166" s="5">
        <f ca="1">+VLOOKUP($A166,INDIRECT(Adrese!F$2),6,FALSE)</f>
        <v>0.90086283199999995</v>
      </c>
      <c r="AS166" s="5" t="str">
        <f t="shared" ca="1" si="55"/>
        <v>0.90 (0.00)</v>
      </c>
      <c r="AT166" s="5">
        <f t="shared" ca="1" si="67"/>
        <v>0.89909734504601757</v>
      </c>
      <c r="AU166" s="5">
        <f t="shared" ca="1" si="56"/>
        <v>1.5636444724803974E-3</v>
      </c>
      <c r="AW166" t="s">
        <v>220</v>
      </c>
      <c r="AX166" s="5">
        <f ca="1">+VLOOKUP($A166,INDIRECT(Adrese!B$2),7,FALSE)</f>
        <v>0.69026548672566368</v>
      </c>
      <c r="AY166" s="5">
        <f ca="1">+VLOOKUP($A166,INDIRECT(Adrese!C$2),7,FALSE)</f>
        <v>0.68584070799999997</v>
      </c>
      <c r="AZ166" s="5">
        <f ca="1">+VLOOKUP($A166,INDIRECT(Adrese!D$2),7,FALSE)</f>
        <v>0.67699114999999999</v>
      </c>
      <c r="BA166" s="5">
        <f ca="1">+VLOOKUP($A166,INDIRECT(Adrese!E$2),7,FALSE)</f>
        <v>0.69026548700000001</v>
      </c>
      <c r="BB166" s="5">
        <f ca="1">+VLOOKUP($A166,INDIRECT(Adrese!F$2),7,FALSE)</f>
        <v>0.69911504400000002</v>
      </c>
      <c r="BC166" s="5" t="str">
        <f t="shared" ca="1" si="57"/>
        <v>0.69 (0.01)</v>
      </c>
      <c r="BD166">
        <f t="shared" ca="1" si="68"/>
        <v>0.68849557514513271</v>
      </c>
      <c r="BE166" s="5">
        <f t="shared" ca="1" si="58"/>
        <v>8.0380098783010591E-3</v>
      </c>
      <c r="BG166" t="s">
        <v>220</v>
      </c>
      <c r="BH166" s="5">
        <f ca="1">+VLOOKUP($BG166,INDIRECT(Adrese!B$2),8,FALSE)</f>
        <v>8.0819409461745539E-2</v>
      </c>
      <c r="BI166" s="5">
        <f ca="1">+VLOOKUP($BG166,INDIRECT(Adrese!C$2),8,FALSE)</f>
        <v>8.0853731999999998E-2</v>
      </c>
      <c r="BJ166" s="5">
        <f ca="1">+VLOOKUP($BG166,INDIRECT(Adrese!D$2),8,FALSE)</f>
        <v>8.0699587000000003E-2</v>
      </c>
      <c r="BK166" s="5">
        <f ca="1">+VLOOKUP($BG166,INDIRECT(Adrese!E$2),8,FALSE)</f>
        <v>8.0547863999999997E-2</v>
      </c>
      <c r="BL166" s="5">
        <f ca="1">+VLOOKUP($BG166,INDIRECT(Adrese!F$2),8,FALSE)</f>
        <v>8.1030186000000004E-2</v>
      </c>
      <c r="BM166" s="5" t="str">
        <f t="shared" ca="1" si="59"/>
        <v>0.08 (0.00)</v>
      </c>
      <c r="BN166" s="5">
        <f t="shared" ca="1" si="69"/>
        <v>8.0790155692349111E-2</v>
      </c>
      <c r="BO166" s="5">
        <f t="shared" ca="1" si="60"/>
        <v>1.7987511690380293E-4</v>
      </c>
      <c r="BQ166" t="s">
        <v>220</v>
      </c>
      <c r="BR166" s="5">
        <f ca="1">+VLOOKUP($BG166,INDIRECT(Adrese!B$2),9,FALSE)</f>
        <v>6.1515767108104552E-2</v>
      </c>
      <c r="BS166" s="5">
        <f ca="1">+VLOOKUP($BG166,INDIRECT(Adrese!C$2),9,FALSE)</f>
        <v>6.1618291999999998E-2</v>
      </c>
      <c r="BT166" s="5">
        <f ca="1">+VLOOKUP($BG166,INDIRECT(Adrese!D$2),9,FALSE)</f>
        <v>6.0880490000000002E-2</v>
      </c>
      <c r="BU166" s="5">
        <f ca="1">+VLOOKUP($BG166,INDIRECT(Adrese!E$2),9,FALSE)</f>
        <v>6.1138148000000003E-2</v>
      </c>
      <c r="BV166" s="5">
        <f ca="1">+VLOOKUP($BG166,INDIRECT(Adrese!F$2),9,FALSE)</f>
        <v>6.1535346999999997E-2</v>
      </c>
      <c r="BW166" s="5" t="str">
        <f t="shared" ca="1" si="61"/>
        <v>0.06 (0.00)</v>
      </c>
      <c r="BX166" s="5">
        <f t="shared" ca="1" si="70"/>
        <v>6.1337608821620912E-2</v>
      </c>
      <c r="BY166" s="5">
        <f t="shared" ca="1" si="62"/>
        <v>3.1558122777592003E-4</v>
      </c>
    </row>
    <row r="167" spans="1:77" x14ac:dyDescent="0.25">
      <c r="A167" t="s">
        <v>22</v>
      </c>
      <c r="B167" s="12">
        <f ca="1">+VLOOKUP($A167,INDIRECT(Adrese!B$2),2,FALSE)</f>
        <v>165</v>
      </c>
      <c r="C167" s="12">
        <f ca="1">+VLOOKUP($A167,INDIRECT(Adrese!C$2),2,FALSE)</f>
        <v>167</v>
      </c>
      <c r="D167" s="12">
        <f ca="1">+VLOOKUP($A167,INDIRECT(Adrese!D$2),2,FALSE)</f>
        <v>163</v>
      </c>
      <c r="E167" s="12">
        <f ca="1">+VLOOKUP($A167,INDIRECT(Adrese!E$2),2,FALSE)</f>
        <v>166</v>
      </c>
      <c r="F167" s="12">
        <f ca="1">+VLOOKUP($A167,INDIRECT(Adrese!F$2),2,FALSE)</f>
        <v>172</v>
      </c>
      <c r="G167" s="5">
        <f t="shared" ca="1" si="63"/>
        <v>166.6</v>
      </c>
      <c r="H167" s="5">
        <f t="shared" ca="1" si="50"/>
        <v>3.3615472627943221</v>
      </c>
      <c r="J167" t="s">
        <v>22</v>
      </c>
      <c r="K167">
        <f ca="1">+VLOOKUP($A167,INDIRECT(Adrese!B$2),3,FALSE)</f>
        <v>152</v>
      </c>
      <c r="L167">
        <f ca="1">+VLOOKUP($A167,INDIRECT(Adrese!C$2),3,FALSE)</f>
        <v>148</v>
      </c>
      <c r="M167">
        <f ca="1">+VLOOKUP($A167,INDIRECT(Adrese!D$2),3,FALSE)</f>
        <v>156</v>
      </c>
      <c r="N167">
        <f ca="1">+VLOOKUP($A167,INDIRECT(Adrese!E$2),3,FALSE)</f>
        <v>147</v>
      </c>
      <c r="O167">
        <f ca="1">+VLOOKUP($A167,INDIRECT(Adrese!F$2),3,FALSE)</f>
        <v>146</v>
      </c>
      <c r="P167" s="5">
        <f t="shared" ca="1" si="64"/>
        <v>149.80000000000001</v>
      </c>
      <c r="Q167" s="5">
        <f t="shared" ca="1" si="51"/>
        <v>4.1472882706655438</v>
      </c>
      <c r="T167" t="s">
        <v>22</v>
      </c>
      <c r="U167">
        <f ca="1">+VLOOKUP($T167,INDIRECT(Adrese!B$2),4,FALSE)</f>
        <v>94781</v>
      </c>
      <c r="V167">
        <f ca="1">+VLOOKUP($T167,INDIRECT(Adrese!C$2),4,FALSE)</f>
        <v>95041</v>
      </c>
      <c r="W167">
        <f ca="1">+VLOOKUP($T167,INDIRECT(Adrese!D$2),4,FALSE)</f>
        <v>95942</v>
      </c>
      <c r="X167">
        <f ca="1">+VLOOKUP($T167,INDIRECT(Adrese!E$2),4,FALSE)</f>
        <v>95473</v>
      </c>
      <c r="Y167">
        <f ca="1">+VLOOKUP($T167,INDIRECT(Adrese!F$2),4,FALSE)</f>
        <v>93681</v>
      </c>
      <c r="Z167">
        <f t="shared" ca="1" si="52"/>
        <v>474918</v>
      </c>
      <c r="AA167" s="5">
        <f t="shared" ca="1" si="65"/>
        <v>94983.6</v>
      </c>
      <c r="AB167" s="5">
        <f t="shared" ca="1" si="53"/>
        <v>851.34470104652678</v>
      </c>
      <c r="AD167" t="s">
        <v>22</v>
      </c>
      <c r="AE167">
        <f ca="1">+VLOOKUP($A167,INDIRECT(Adrese!B$2),5,FALSE)</f>
        <v>19734</v>
      </c>
      <c r="AF167">
        <f ca="1">+VLOOKUP($A167,INDIRECT(Adrese!C$2),5,FALSE)</f>
        <v>19853</v>
      </c>
      <c r="AG167">
        <f ca="1">+VLOOKUP($A167,INDIRECT(Adrese!D$2),5,FALSE)</f>
        <v>20064</v>
      </c>
      <c r="AH167">
        <f ca="1">+VLOOKUP($A167,INDIRECT(Adrese!E$2),5,FALSE)</f>
        <v>20065</v>
      </c>
      <c r="AI167">
        <f ca="1">+VLOOKUP($A167,INDIRECT(Adrese!F$2),5,FALSE)</f>
        <v>19170</v>
      </c>
      <c r="AJ167" s="5">
        <f t="shared" ca="1" si="66"/>
        <v>19777.2</v>
      </c>
      <c r="AK167" s="5">
        <f t="shared" ca="1" si="54"/>
        <v>367.89495783443408</v>
      </c>
      <c r="AM167" t="s">
        <v>22</v>
      </c>
      <c r="AN167" s="5">
        <f ca="1">+VLOOKUP($A167,INDIRECT(Adrese!B$2),6,FALSE)</f>
        <v>0.43590707964601771</v>
      </c>
      <c r="AO167" s="5">
        <f ca="1">+VLOOKUP($A167,INDIRECT(Adrese!C$2),6,FALSE)</f>
        <v>0.43831858400000001</v>
      </c>
      <c r="AP167" s="5">
        <f ca="1">+VLOOKUP($A167,INDIRECT(Adrese!D$2),6,FALSE)</f>
        <v>0.44278761100000003</v>
      </c>
      <c r="AQ167" s="5">
        <f ca="1">+VLOOKUP($A167,INDIRECT(Adrese!E$2),6,FALSE)</f>
        <v>0.44296460199999999</v>
      </c>
      <c r="AR167" s="5">
        <f ca="1">+VLOOKUP($A167,INDIRECT(Adrese!F$2),6,FALSE)</f>
        <v>0.423473451</v>
      </c>
      <c r="AS167" s="5" t="str">
        <f t="shared" ca="1" si="55"/>
        <v>0.44 (0.01)</v>
      </c>
      <c r="AT167" s="5">
        <f t="shared" ca="1" si="67"/>
        <v>0.43669026552920354</v>
      </c>
      <c r="AU167" s="5">
        <f t="shared" ca="1" si="56"/>
        <v>7.9764325893273407E-3</v>
      </c>
      <c r="AW167" t="s">
        <v>22</v>
      </c>
      <c r="AX167" s="5">
        <f ca="1">+VLOOKUP($A167,INDIRECT(Adrese!B$2),7,FALSE)</f>
        <v>0.32743362831858408</v>
      </c>
      <c r="AY167" s="5">
        <f ca="1">+VLOOKUP($A167,INDIRECT(Adrese!C$2),7,FALSE)</f>
        <v>0.34513274300000002</v>
      </c>
      <c r="AZ167" s="5">
        <f ca="1">+VLOOKUP($A167,INDIRECT(Adrese!D$2),7,FALSE)</f>
        <v>0.30973451299999999</v>
      </c>
      <c r="BA167" s="5">
        <f ca="1">+VLOOKUP($A167,INDIRECT(Adrese!E$2),7,FALSE)</f>
        <v>0.34955752200000001</v>
      </c>
      <c r="BB167" s="5">
        <f ca="1">+VLOOKUP($A167,INDIRECT(Adrese!F$2),7,FALSE)</f>
        <v>0.353982301</v>
      </c>
      <c r="BC167" s="5" t="str">
        <f t="shared" ca="1" si="57"/>
        <v>0.34 (0.02)</v>
      </c>
      <c r="BD167">
        <f t="shared" ca="1" si="68"/>
        <v>0.33716814146371682</v>
      </c>
      <c r="BE167" s="5">
        <f t="shared" ca="1" si="58"/>
        <v>1.8350833124644479E-2</v>
      </c>
      <c r="BG167" t="s">
        <v>22</v>
      </c>
      <c r="BH167" s="5">
        <f ca="1">+VLOOKUP($BG167,INDIRECT(Adrese!B$2),8,FALSE)</f>
        <v>4.4456423744337302E-2</v>
      </c>
      <c r="BI167" s="5">
        <f ca="1">+VLOOKUP($BG167,INDIRECT(Adrese!C$2),8,FALSE)</f>
        <v>4.4655701999999999E-2</v>
      </c>
      <c r="BJ167" s="5">
        <f ca="1">+VLOOKUP($BG167,INDIRECT(Adrese!D$2),8,FALSE)</f>
        <v>4.5387313999999998E-2</v>
      </c>
      <c r="BK167" s="5">
        <f ca="1">+VLOOKUP($BG167,INDIRECT(Adrese!E$2),8,FALSE)</f>
        <v>4.4985417999999999E-2</v>
      </c>
      <c r="BL167" s="5">
        <f ca="1">+VLOOKUP($BG167,INDIRECT(Adrese!F$2),8,FALSE)</f>
        <v>4.3295233000000002E-2</v>
      </c>
      <c r="BM167" s="5" t="str">
        <f t="shared" ca="1" si="59"/>
        <v>0.04 (0.00)</v>
      </c>
      <c r="BN167" s="5">
        <f t="shared" ca="1" si="69"/>
        <v>4.4556018148867463E-2</v>
      </c>
      <c r="BO167" s="5">
        <f t="shared" ca="1" si="60"/>
        <v>7.8817385954145394E-4</v>
      </c>
      <c r="BQ167" t="s">
        <v>22</v>
      </c>
      <c r="BR167" s="5">
        <f ca="1">+VLOOKUP($BG167,INDIRECT(Adrese!B$2),9,FALSE)</f>
        <v>9.4949643339669893E-3</v>
      </c>
      <c r="BS167" s="5">
        <f ca="1">+VLOOKUP($BG167,INDIRECT(Adrese!C$2),9,FALSE)</f>
        <v>9.8589860000000001E-3</v>
      </c>
      <c r="BT167" s="5">
        <f ca="1">+VLOOKUP($BG167,INDIRECT(Adrese!D$2),9,FALSE)</f>
        <v>1.2207317000000001E-2</v>
      </c>
      <c r="BU167" s="5">
        <f ca="1">+VLOOKUP($BG167,INDIRECT(Adrese!E$2),9,FALSE)</f>
        <v>9.8181050000000006E-3</v>
      </c>
      <c r="BV167" s="5">
        <f ca="1">+VLOOKUP($BG167,INDIRECT(Adrese!F$2),9,FALSE)</f>
        <v>6.9512760000000002E-3</v>
      </c>
      <c r="BW167" s="5" t="str">
        <f t="shared" ca="1" si="61"/>
        <v>0.01 (0.00)</v>
      </c>
      <c r="BX167" s="5">
        <f t="shared" ca="1" si="70"/>
        <v>9.6661296667933973E-3</v>
      </c>
      <c r="BY167" s="5">
        <f t="shared" ca="1" si="62"/>
        <v>1.8653184133596314E-3</v>
      </c>
    </row>
    <row r="168" spans="1:77" x14ac:dyDescent="0.25">
      <c r="A168" t="s">
        <v>221</v>
      </c>
      <c r="B168" s="12">
        <f ca="1">+VLOOKUP($A168,INDIRECT(Adrese!B$2),2,FALSE)</f>
        <v>166</v>
      </c>
      <c r="C168" s="12">
        <f ca="1">+VLOOKUP($A168,INDIRECT(Adrese!C$2),2,FALSE)</f>
        <v>173</v>
      </c>
      <c r="D168" s="12">
        <f ca="1">+VLOOKUP($A168,INDIRECT(Adrese!D$2),2,FALSE)</f>
        <v>170</v>
      </c>
      <c r="E168" s="12">
        <f ca="1">+VLOOKUP($A168,INDIRECT(Adrese!E$2),2,FALSE)</f>
        <v>174</v>
      </c>
      <c r="F168" s="12">
        <f ca="1">+VLOOKUP($A168,INDIRECT(Adrese!F$2),2,FALSE)</f>
        <v>174</v>
      </c>
      <c r="G168" s="5">
        <f t="shared" ca="1" si="63"/>
        <v>171.4</v>
      </c>
      <c r="H168" s="5">
        <f t="shared" ca="1" si="50"/>
        <v>3.4351128074635335</v>
      </c>
      <c r="J168" t="s">
        <v>221</v>
      </c>
      <c r="K168">
        <f ca="1">+VLOOKUP($A168,INDIRECT(Adrese!B$2),3,FALSE)</f>
        <v>125</v>
      </c>
      <c r="L168">
        <f ca="1">+VLOOKUP($A168,INDIRECT(Adrese!C$2),3,FALSE)</f>
        <v>128</v>
      </c>
      <c r="M168">
        <f ca="1">+VLOOKUP($A168,INDIRECT(Adrese!D$2),3,FALSE)</f>
        <v>127</v>
      </c>
      <c r="N168">
        <f ca="1">+VLOOKUP($A168,INDIRECT(Adrese!E$2),3,FALSE)</f>
        <v>130</v>
      </c>
      <c r="O168">
        <f ca="1">+VLOOKUP($A168,INDIRECT(Adrese!F$2),3,FALSE)</f>
        <v>133</v>
      </c>
      <c r="P168" s="5">
        <f t="shared" ca="1" si="64"/>
        <v>128.6</v>
      </c>
      <c r="Q168" s="5">
        <f t="shared" ca="1" si="51"/>
        <v>3.049590136395381</v>
      </c>
      <c r="T168" t="s">
        <v>221</v>
      </c>
      <c r="U168">
        <f ca="1">+VLOOKUP($T168,INDIRECT(Adrese!B$2),4,FALSE)</f>
        <v>94764</v>
      </c>
      <c r="V168">
        <f ca="1">+VLOOKUP($T168,INDIRECT(Adrese!C$2),4,FALSE)</f>
        <v>92756</v>
      </c>
      <c r="W168">
        <f ca="1">+VLOOKUP($T168,INDIRECT(Adrese!D$2),4,FALSE)</f>
        <v>94085</v>
      </c>
      <c r="X168">
        <f ca="1">+VLOOKUP($T168,INDIRECT(Adrese!E$2),4,FALSE)</f>
        <v>93126</v>
      </c>
      <c r="Y168">
        <f ca="1">+VLOOKUP($T168,INDIRECT(Adrese!F$2),4,FALSE)</f>
        <v>93101</v>
      </c>
      <c r="Z168">
        <f t="shared" ca="1" si="52"/>
        <v>467832</v>
      </c>
      <c r="AA168" s="5">
        <f t="shared" ca="1" si="65"/>
        <v>93566.399999999994</v>
      </c>
      <c r="AB168" s="5">
        <f t="shared" ca="1" si="53"/>
        <v>832.23932855879866</v>
      </c>
      <c r="AD168" t="s">
        <v>221</v>
      </c>
      <c r="AE168">
        <f ca="1">+VLOOKUP($A168,INDIRECT(Adrese!B$2),5,FALSE)</f>
        <v>21394</v>
      </c>
      <c r="AF168">
        <f ca="1">+VLOOKUP($A168,INDIRECT(Adrese!C$2),5,FALSE)</f>
        <v>20634</v>
      </c>
      <c r="AG168">
        <f ca="1">+VLOOKUP($A168,INDIRECT(Adrese!D$2),5,FALSE)</f>
        <v>21345</v>
      </c>
      <c r="AH168">
        <f ca="1">+VLOOKUP($A168,INDIRECT(Adrese!E$2),5,FALSE)</f>
        <v>20465</v>
      </c>
      <c r="AI168">
        <f ca="1">+VLOOKUP($A168,INDIRECT(Adrese!F$2),5,FALSE)</f>
        <v>20359</v>
      </c>
      <c r="AJ168" s="5">
        <f t="shared" ca="1" si="66"/>
        <v>20839.400000000001</v>
      </c>
      <c r="AK168" s="5">
        <f t="shared" ca="1" si="54"/>
        <v>494.05495645727513</v>
      </c>
      <c r="AM168" t="s">
        <v>221</v>
      </c>
      <c r="AN168" s="5">
        <f ca="1">+VLOOKUP($A168,INDIRECT(Adrese!B$2),6,FALSE)</f>
        <v>0.47331858407079652</v>
      </c>
      <c r="AO168" s="5">
        <f ca="1">+VLOOKUP($A168,INDIRECT(Adrese!C$2),6,FALSE)</f>
        <v>0.45650442499999999</v>
      </c>
      <c r="AP168" s="5">
        <f ca="1">+VLOOKUP($A168,INDIRECT(Adrese!D$2),6,FALSE)</f>
        <v>0.47223451300000002</v>
      </c>
      <c r="AQ168" s="5">
        <f ca="1">+VLOOKUP($A168,INDIRECT(Adrese!E$2),6,FALSE)</f>
        <v>0.45276548700000002</v>
      </c>
      <c r="AR168" s="5">
        <f ca="1">+VLOOKUP($A168,INDIRECT(Adrese!F$2),6,FALSE)</f>
        <v>0.45042035400000002</v>
      </c>
      <c r="AS168" s="5" t="str">
        <f t="shared" ca="1" si="55"/>
        <v>0.46 (0.01)</v>
      </c>
      <c r="AT168" s="5">
        <f t="shared" ca="1" si="67"/>
        <v>0.46104867261415927</v>
      </c>
      <c r="AU168" s="5">
        <f t="shared" ca="1" si="56"/>
        <v>1.0930419241190099E-2</v>
      </c>
      <c r="AW168" t="s">
        <v>221</v>
      </c>
      <c r="AX168" s="5">
        <f ca="1">+VLOOKUP($A168,INDIRECT(Adrese!B$2),7,FALSE)</f>
        <v>0.44690265486725661</v>
      </c>
      <c r="AY168" s="5">
        <f ca="1">+VLOOKUP($A168,INDIRECT(Adrese!C$2),7,FALSE)</f>
        <v>0.43362831899999998</v>
      </c>
      <c r="AZ168" s="5">
        <f ca="1">+VLOOKUP($A168,INDIRECT(Adrese!D$2),7,FALSE)</f>
        <v>0.438053097</v>
      </c>
      <c r="BA168" s="5">
        <f ca="1">+VLOOKUP($A168,INDIRECT(Adrese!E$2),7,FALSE)</f>
        <v>0.424778761</v>
      </c>
      <c r="BB168" s="5">
        <f ca="1">+VLOOKUP($A168,INDIRECT(Adrese!F$2),7,FALSE)</f>
        <v>0.41150442500000001</v>
      </c>
      <c r="BC168" s="5" t="str">
        <f t="shared" ca="1" si="57"/>
        <v>0.43 (0.01)</v>
      </c>
      <c r="BD168">
        <f t="shared" ca="1" si="68"/>
        <v>0.43097345137345133</v>
      </c>
      <c r="BE168" s="5">
        <f t="shared" ca="1" si="58"/>
        <v>1.349376156796297E-2</v>
      </c>
      <c r="BG168" t="s">
        <v>221</v>
      </c>
      <c r="BH168" s="5">
        <f ca="1">+VLOOKUP($BG168,INDIRECT(Adrese!B$2),8,FALSE)</f>
        <v>4.967445203581565E-2</v>
      </c>
      <c r="BI168" s="5">
        <f ca="1">+VLOOKUP($BG168,INDIRECT(Adrese!C$2),8,FALSE)</f>
        <v>4.8074470000000001E-2</v>
      </c>
      <c r="BJ168" s="5">
        <f ca="1">+VLOOKUP($BG168,INDIRECT(Adrese!D$2),8,FALSE)</f>
        <v>4.9528348999999999E-2</v>
      </c>
      <c r="BK168" s="5">
        <f ca="1">+VLOOKUP($BG168,INDIRECT(Adrese!E$2),8,FALSE)</f>
        <v>4.7702686000000001E-2</v>
      </c>
      <c r="BL168" s="5">
        <f ca="1">+VLOOKUP($BG168,INDIRECT(Adrese!F$2),8,FALSE)</f>
        <v>4.7734605999999999E-2</v>
      </c>
      <c r="BM168" s="5" t="str">
        <f t="shared" ca="1" si="59"/>
        <v>0.05 (0.00)</v>
      </c>
      <c r="BN168" s="5">
        <f t="shared" ca="1" si="69"/>
        <v>4.8542912607163126E-2</v>
      </c>
      <c r="BO168" s="5">
        <f t="shared" ca="1" si="60"/>
        <v>9.785506069816775E-4</v>
      </c>
      <c r="BQ168" t="s">
        <v>221</v>
      </c>
      <c r="BR168" s="5">
        <f ca="1">+VLOOKUP($BG168,INDIRECT(Adrese!B$2),9,FALSE)</f>
        <v>2.472899841716816E-2</v>
      </c>
      <c r="BS168" s="5">
        <f ca="1">+VLOOKUP($BG168,INDIRECT(Adrese!C$2),9,FALSE)</f>
        <v>2.1084921E-2</v>
      </c>
      <c r="BT168" s="5">
        <f ca="1">+VLOOKUP($BG168,INDIRECT(Adrese!D$2),9,FALSE)</f>
        <v>2.3964024E-2</v>
      </c>
      <c r="BU168" s="5">
        <f ca="1">+VLOOKUP($BG168,INDIRECT(Adrese!E$2),9,FALSE)</f>
        <v>2.0600797000000001E-2</v>
      </c>
      <c r="BV168" s="5">
        <f ca="1">+VLOOKUP($BG168,INDIRECT(Adrese!F$2),9,FALSE)</f>
        <v>2.1074295999999999E-2</v>
      </c>
      <c r="BW168" s="5" t="str">
        <f t="shared" ca="1" si="61"/>
        <v>0.02 (0.00)</v>
      </c>
      <c r="BX168" s="5">
        <f t="shared" ca="1" si="70"/>
        <v>2.2290607283433635E-2</v>
      </c>
      <c r="BY168" s="5">
        <f t="shared" ca="1" si="62"/>
        <v>1.9062152406421047E-3</v>
      </c>
    </row>
    <row r="169" spans="1:77" x14ac:dyDescent="0.25">
      <c r="A169" t="s">
        <v>222</v>
      </c>
      <c r="B169" s="12">
        <f ca="1">+VLOOKUP($A169,INDIRECT(Adrese!B$2),2,FALSE)</f>
        <v>167</v>
      </c>
      <c r="C169" s="12">
        <f ca="1">+VLOOKUP($A169,INDIRECT(Adrese!C$2),2,FALSE)</f>
        <v>165</v>
      </c>
      <c r="D169" s="12">
        <f ca="1">+VLOOKUP($A169,INDIRECT(Adrese!D$2),2,FALSE)</f>
        <v>168</v>
      </c>
      <c r="E169" s="12">
        <f ca="1">+VLOOKUP($A169,INDIRECT(Adrese!E$2),2,FALSE)</f>
        <v>168</v>
      </c>
      <c r="F169" s="12">
        <f ca="1">+VLOOKUP($A169,INDIRECT(Adrese!F$2),2,FALSE)</f>
        <v>167</v>
      </c>
      <c r="G169" s="5">
        <f t="shared" ca="1" si="63"/>
        <v>167</v>
      </c>
      <c r="H169" s="5">
        <f t="shared" ca="1" si="50"/>
        <v>1.2247448713915889</v>
      </c>
      <c r="J169" t="s">
        <v>222</v>
      </c>
      <c r="K169">
        <f ca="1">+VLOOKUP($A169,INDIRECT(Adrese!B$2),3,FALSE)</f>
        <v>55</v>
      </c>
      <c r="L169">
        <f ca="1">+VLOOKUP($A169,INDIRECT(Adrese!C$2),3,FALSE)</f>
        <v>58</v>
      </c>
      <c r="M169">
        <f ca="1">+VLOOKUP($A169,INDIRECT(Adrese!D$2),3,FALSE)</f>
        <v>58</v>
      </c>
      <c r="N169">
        <f ca="1">+VLOOKUP($A169,INDIRECT(Adrese!E$2),3,FALSE)</f>
        <v>55</v>
      </c>
      <c r="O169">
        <f ca="1">+VLOOKUP($A169,INDIRECT(Adrese!F$2),3,FALSE)</f>
        <v>55</v>
      </c>
      <c r="P169" s="5">
        <f t="shared" ca="1" si="64"/>
        <v>56.2</v>
      </c>
      <c r="Q169" s="5">
        <f t="shared" ca="1" si="51"/>
        <v>1.6431676725154982</v>
      </c>
      <c r="T169" t="s">
        <v>222</v>
      </c>
      <c r="U169">
        <f ca="1">+VLOOKUP($T169,INDIRECT(Adrese!B$2),4,FALSE)</f>
        <v>94664</v>
      </c>
      <c r="V169">
        <f ca="1">+VLOOKUP($T169,INDIRECT(Adrese!C$2),4,FALSE)</f>
        <v>95561</v>
      </c>
      <c r="W169">
        <f ca="1">+VLOOKUP($T169,INDIRECT(Adrese!D$2),4,FALSE)</f>
        <v>95067</v>
      </c>
      <c r="X169">
        <f ca="1">+VLOOKUP($T169,INDIRECT(Adrese!E$2),4,FALSE)</f>
        <v>95112</v>
      </c>
      <c r="Y169">
        <f ca="1">+VLOOKUP($T169,INDIRECT(Adrese!F$2),4,FALSE)</f>
        <v>94894</v>
      </c>
      <c r="Z169">
        <f t="shared" ca="1" si="52"/>
        <v>475298</v>
      </c>
      <c r="AA169" s="5">
        <f t="shared" ca="1" si="65"/>
        <v>95059.6</v>
      </c>
      <c r="AB169" s="5">
        <f t="shared" ca="1" si="53"/>
        <v>330.95513291079197</v>
      </c>
      <c r="AD169" t="s">
        <v>222</v>
      </c>
      <c r="AE169">
        <f ca="1">+VLOOKUP($A169,INDIRECT(Adrese!B$2),5,FALSE)</f>
        <v>34836</v>
      </c>
      <c r="AF169">
        <f ca="1">+VLOOKUP($A169,INDIRECT(Adrese!C$2),5,FALSE)</f>
        <v>34973</v>
      </c>
      <c r="AG169">
        <f ca="1">+VLOOKUP($A169,INDIRECT(Adrese!D$2),5,FALSE)</f>
        <v>34968</v>
      </c>
      <c r="AH169">
        <f ca="1">+VLOOKUP($A169,INDIRECT(Adrese!E$2),5,FALSE)</f>
        <v>34920</v>
      </c>
      <c r="AI169">
        <f ca="1">+VLOOKUP($A169,INDIRECT(Adrese!F$2),5,FALSE)</f>
        <v>34865</v>
      </c>
      <c r="AJ169" s="5">
        <f t="shared" ca="1" si="66"/>
        <v>34912.400000000001</v>
      </c>
      <c r="AK169" s="5">
        <f t="shared" ca="1" si="54"/>
        <v>61.043427164601432</v>
      </c>
      <c r="AM169" t="s">
        <v>222</v>
      </c>
      <c r="AN169" s="5">
        <f ca="1">+VLOOKUP($A169,INDIRECT(Adrese!B$2),6,FALSE)</f>
        <v>0.76630530973451327</v>
      </c>
      <c r="AO169" s="5">
        <f ca="1">+VLOOKUP($A169,INDIRECT(Adrese!C$2),6,FALSE)</f>
        <v>0.76933628300000001</v>
      </c>
      <c r="AP169" s="5">
        <f ca="1">+VLOOKUP($A169,INDIRECT(Adrese!D$2),6,FALSE)</f>
        <v>0.76922566400000003</v>
      </c>
      <c r="AQ169" s="5">
        <f ca="1">+VLOOKUP($A169,INDIRECT(Adrese!E$2),6,FALSE)</f>
        <v>0.76816371699999997</v>
      </c>
      <c r="AR169" s="5">
        <f ca="1">+VLOOKUP($A169,INDIRECT(Adrese!F$2),6,FALSE)</f>
        <v>0.76694690300000001</v>
      </c>
      <c r="AS169" s="5" t="str">
        <f t="shared" ca="1" si="55"/>
        <v>0.77 (0.00)</v>
      </c>
      <c r="AT169" s="5">
        <f t="shared" ca="1" si="67"/>
        <v>0.76799557534690277</v>
      </c>
      <c r="AU169" s="5">
        <f t="shared" ca="1" si="56"/>
        <v>1.3505182572482476E-3</v>
      </c>
      <c r="AW169" t="s">
        <v>222</v>
      </c>
      <c r="AX169" s="5">
        <f ca="1">+VLOOKUP($A169,INDIRECT(Adrese!B$2),7,FALSE)</f>
        <v>0.75663716814159288</v>
      </c>
      <c r="AY169" s="5">
        <f ca="1">+VLOOKUP($A169,INDIRECT(Adrese!C$2),7,FALSE)</f>
        <v>0.74336283199999997</v>
      </c>
      <c r="AZ169" s="5">
        <f ca="1">+VLOOKUP($A169,INDIRECT(Adrese!D$2),7,FALSE)</f>
        <v>0.74336283199999997</v>
      </c>
      <c r="BA169" s="5">
        <f ca="1">+VLOOKUP($A169,INDIRECT(Adrese!E$2),7,FALSE)</f>
        <v>0.75663716800000003</v>
      </c>
      <c r="BB169" s="5">
        <f ca="1">+VLOOKUP($A169,INDIRECT(Adrese!F$2),7,FALSE)</f>
        <v>0.75663716800000003</v>
      </c>
      <c r="BC169" s="5" t="str">
        <f t="shared" ca="1" si="57"/>
        <v>0.75 (0.01)</v>
      </c>
      <c r="BD169">
        <f t="shared" ca="1" si="68"/>
        <v>0.75132743362831866</v>
      </c>
      <c r="BE169" s="5">
        <f t="shared" ca="1" si="58"/>
        <v>7.2706532889541247E-3</v>
      </c>
      <c r="BG169" t="s">
        <v>222</v>
      </c>
      <c r="BH169" s="5">
        <f ca="1">+VLOOKUP($BG169,INDIRECT(Adrese!B$2),8,FALSE)</f>
        <v>7.2063197326843534E-2</v>
      </c>
      <c r="BI169" s="5">
        <f ca="1">+VLOOKUP($BG169,INDIRECT(Adrese!C$2),8,FALSE)</f>
        <v>7.2323134999999997E-2</v>
      </c>
      <c r="BJ169" s="5">
        <f ca="1">+VLOOKUP($BG169,INDIRECT(Adrese!D$2),8,FALSE)</f>
        <v>7.2384541999999996E-2</v>
      </c>
      <c r="BK169" s="5">
        <f ca="1">+VLOOKUP($BG169,INDIRECT(Adrese!E$2),8,FALSE)</f>
        <v>7.2246405999999999E-2</v>
      </c>
      <c r="BL169" s="5">
        <f ca="1">+VLOOKUP($BG169,INDIRECT(Adrese!F$2),8,FALSE)</f>
        <v>7.2209606999999995E-2</v>
      </c>
      <c r="BM169" s="5" t="str">
        <f t="shared" ca="1" si="59"/>
        <v>0.07 (0.00)</v>
      </c>
      <c r="BN169" s="5">
        <f t="shared" ca="1" si="69"/>
        <v>7.2245377465368715E-2</v>
      </c>
      <c r="BO169" s="5">
        <f t="shared" ca="1" si="60"/>
        <v>1.2235520916609229E-4</v>
      </c>
      <c r="BQ169" t="s">
        <v>222</v>
      </c>
      <c r="BR169" s="5">
        <f ca="1">+VLOOKUP($BG169,INDIRECT(Adrese!B$2),9,FALSE)</f>
        <v>5.286550750872316E-2</v>
      </c>
      <c r="BS169" s="5">
        <f ca="1">+VLOOKUP($BG169,INDIRECT(Adrese!C$2),9,FALSE)</f>
        <v>5.3261699000000003E-2</v>
      </c>
      <c r="BT169" s="5">
        <f ca="1">+VLOOKUP($BG169,INDIRECT(Adrese!D$2),9,FALSE)</f>
        <v>5.3369306999999998E-2</v>
      </c>
      <c r="BU169" s="5">
        <f ca="1">+VLOOKUP($BG169,INDIRECT(Adrese!E$2),9,FALSE)</f>
        <v>5.3339902000000002E-2</v>
      </c>
      <c r="BV169" s="5">
        <f ca="1">+VLOOKUP($BG169,INDIRECT(Adrese!F$2),9,FALSE)</f>
        <v>5.2915545000000001E-2</v>
      </c>
      <c r="BW169" s="5" t="str">
        <f t="shared" ca="1" si="61"/>
        <v>0.05 (0.00)</v>
      </c>
      <c r="BX169" s="5">
        <f t="shared" ca="1" si="70"/>
        <v>5.3150392101744624E-2</v>
      </c>
      <c r="BY169" s="5">
        <f t="shared" ca="1" si="62"/>
        <v>2.4111167140612033E-4</v>
      </c>
    </row>
    <row r="170" spans="1:77" x14ac:dyDescent="0.25">
      <c r="A170" t="s">
        <v>223</v>
      </c>
      <c r="B170" s="12">
        <f ca="1">+VLOOKUP($A170,INDIRECT(Adrese!B$2),2,FALSE)</f>
        <v>168</v>
      </c>
      <c r="C170" s="12">
        <f ca="1">+VLOOKUP($A170,INDIRECT(Adrese!C$2),2,FALSE)</f>
        <v>182</v>
      </c>
      <c r="D170" s="12">
        <f ca="1">+VLOOKUP($A170,INDIRECT(Adrese!D$2),2,FALSE)</f>
        <v>181</v>
      </c>
      <c r="E170" s="12">
        <f ca="1">+VLOOKUP($A170,INDIRECT(Adrese!E$2),2,FALSE)</f>
        <v>165</v>
      </c>
      <c r="F170" s="12">
        <f ca="1">+VLOOKUP($A170,INDIRECT(Adrese!F$2),2,FALSE)</f>
        <v>180</v>
      </c>
      <c r="G170" s="5">
        <f t="shared" ca="1" si="63"/>
        <v>175.2</v>
      </c>
      <c r="H170" s="5">
        <f t="shared" ca="1" si="50"/>
        <v>8.0436310208760826</v>
      </c>
      <c r="J170" t="s">
        <v>223</v>
      </c>
      <c r="K170">
        <f ca="1">+VLOOKUP($A170,INDIRECT(Adrese!B$2),3,FALSE)</f>
        <v>150</v>
      </c>
      <c r="L170">
        <f ca="1">+VLOOKUP($A170,INDIRECT(Adrese!C$2),3,FALSE)</f>
        <v>151</v>
      </c>
      <c r="M170">
        <f ca="1">+VLOOKUP($A170,INDIRECT(Adrese!D$2),3,FALSE)</f>
        <v>138</v>
      </c>
      <c r="N170">
        <f ca="1">+VLOOKUP($A170,INDIRECT(Adrese!E$2),3,FALSE)</f>
        <v>148</v>
      </c>
      <c r="O170">
        <f ca="1">+VLOOKUP($A170,INDIRECT(Adrese!F$2),3,FALSE)</f>
        <v>148</v>
      </c>
      <c r="P170" s="5">
        <f t="shared" ca="1" si="64"/>
        <v>147</v>
      </c>
      <c r="Q170" s="5">
        <f t="shared" ca="1" si="51"/>
        <v>5.196152422706632</v>
      </c>
      <c r="T170" t="s">
        <v>223</v>
      </c>
      <c r="U170">
        <f ca="1">+VLOOKUP($T170,INDIRECT(Adrese!B$2),4,FALSE)</f>
        <v>94656</v>
      </c>
      <c r="V170">
        <f ca="1">+VLOOKUP($T170,INDIRECT(Adrese!C$2),4,FALSE)</f>
        <v>90884</v>
      </c>
      <c r="W170">
        <f ca="1">+VLOOKUP($T170,INDIRECT(Adrese!D$2),4,FALSE)</f>
        <v>90854</v>
      </c>
      <c r="X170">
        <f ca="1">+VLOOKUP($T170,INDIRECT(Adrese!E$2),4,FALSE)</f>
        <v>95664</v>
      </c>
      <c r="Y170">
        <f ca="1">+VLOOKUP($T170,INDIRECT(Adrese!F$2),4,FALSE)</f>
        <v>91158</v>
      </c>
      <c r="Z170">
        <f t="shared" ca="1" si="52"/>
        <v>463216</v>
      </c>
      <c r="AA170" s="5">
        <f t="shared" ca="1" si="65"/>
        <v>92643.199999999997</v>
      </c>
      <c r="AB170" s="5">
        <f t="shared" ca="1" si="53"/>
        <v>2328.0054123648424</v>
      </c>
      <c r="AD170" t="s">
        <v>223</v>
      </c>
      <c r="AE170">
        <f ca="1">+VLOOKUP($A170,INDIRECT(Adrese!B$2),5,FALSE)</f>
        <v>14740</v>
      </c>
      <c r="AF170">
        <f ca="1">+VLOOKUP($A170,INDIRECT(Adrese!C$2),5,FALSE)</f>
        <v>13780</v>
      </c>
      <c r="AG170">
        <f ca="1">+VLOOKUP($A170,INDIRECT(Adrese!D$2),5,FALSE)</f>
        <v>13372</v>
      </c>
      <c r="AH170">
        <f ca="1">+VLOOKUP($A170,INDIRECT(Adrese!E$2),5,FALSE)</f>
        <v>14677</v>
      </c>
      <c r="AI170">
        <f ca="1">+VLOOKUP($A170,INDIRECT(Adrese!F$2),5,FALSE)</f>
        <v>12830</v>
      </c>
      <c r="AJ170" s="5">
        <f t="shared" ca="1" si="66"/>
        <v>13879.8</v>
      </c>
      <c r="AK170" s="5">
        <f t="shared" ca="1" si="54"/>
        <v>828.4583272561149</v>
      </c>
      <c r="AM170" t="s">
        <v>223</v>
      </c>
      <c r="AN170" s="5">
        <f ca="1">+VLOOKUP($A170,INDIRECT(Adrese!B$2),6,FALSE)</f>
        <v>0.32371681415929199</v>
      </c>
      <c r="AO170" s="5">
        <f ca="1">+VLOOKUP($A170,INDIRECT(Adrese!C$2),6,FALSE)</f>
        <v>0.30256637199999997</v>
      </c>
      <c r="AP170" s="5">
        <f ca="1">+VLOOKUP($A170,INDIRECT(Adrese!D$2),6,FALSE)</f>
        <v>0.29577433600000003</v>
      </c>
      <c r="AQ170" s="5">
        <f ca="1">+VLOOKUP($A170,INDIRECT(Adrese!E$2),6,FALSE)</f>
        <v>0.32464601799999998</v>
      </c>
      <c r="AR170" s="5">
        <f ca="1">+VLOOKUP($A170,INDIRECT(Adrese!F$2),6,FALSE)</f>
        <v>0.28380530999999998</v>
      </c>
      <c r="AS170" s="5" t="str">
        <f t="shared" ca="1" si="55"/>
        <v>0.31 (0.02)</v>
      </c>
      <c r="AT170" s="5">
        <f t="shared" ca="1" si="67"/>
        <v>0.30610177003185834</v>
      </c>
      <c r="AU170" s="5">
        <f t="shared" ca="1" si="56"/>
        <v>1.7821798276223915E-2</v>
      </c>
      <c r="AW170" t="s">
        <v>223</v>
      </c>
      <c r="AX170" s="5">
        <f ca="1">+VLOOKUP($A170,INDIRECT(Adrese!B$2),7,FALSE)</f>
        <v>0.33628318584070799</v>
      </c>
      <c r="AY170" s="5">
        <f ca="1">+VLOOKUP($A170,INDIRECT(Adrese!C$2),7,FALSE)</f>
        <v>0.33185840700000002</v>
      </c>
      <c r="AZ170" s="5">
        <f ca="1">+VLOOKUP($A170,INDIRECT(Adrese!D$2),7,FALSE)</f>
        <v>0.38938053099999997</v>
      </c>
      <c r="BA170" s="5">
        <f ca="1">+VLOOKUP($A170,INDIRECT(Adrese!E$2),7,FALSE)</f>
        <v>0.34513274300000002</v>
      </c>
      <c r="BB170" s="5">
        <f ca="1">+VLOOKUP($A170,INDIRECT(Adrese!F$2),7,FALSE)</f>
        <v>0.34513274300000002</v>
      </c>
      <c r="BC170" s="5" t="str">
        <f t="shared" ca="1" si="57"/>
        <v>0.35 (0.02)</v>
      </c>
      <c r="BD170">
        <f t="shared" ca="1" si="68"/>
        <v>0.3495575219681416</v>
      </c>
      <c r="BE170" s="5">
        <f t="shared" ca="1" si="58"/>
        <v>2.2991824940970171E-2</v>
      </c>
      <c r="BG170" t="s">
        <v>223</v>
      </c>
      <c r="BH170" s="5">
        <f ca="1">+VLOOKUP($BG170,INDIRECT(Adrese!B$2),8,FALSE)</f>
        <v>3.241516611256956E-2</v>
      </c>
      <c r="BI170" s="5">
        <f ca="1">+VLOOKUP($BG170,INDIRECT(Adrese!C$2),8,FALSE)</f>
        <v>2.9499856000000001E-2</v>
      </c>
      <c r="BJ170" s="5">
        <f ca="1">+VLOOKUP($BG170,INDIRECT(Adrese!D$2),8,FALSE)</f>
        <v>2.8383447999999999E-2</v>
      </c>
      <c r="BK170" s="5">
        <f ca="1">+VLOOKUP($BG170,INDIRECT(Adrese!E$2),8,FALSE)</f>
        <v>3.1284808999999997E-2</v>
      </c>
      <c r="BL170" s="5">
        <f ca="1">+VLOOKUP($BG170,INDIRECT(Adrese!F$2),8,FALSE)</f>
        <v>2.7960549000000001E-2</v>
      </c>
      <c r="BM170" s="5" t="str">
        <f t="shared" ca="1" si="59"/>
        <v>0.03 (0.00)</v>
      </c>
      <c r="BN170" s="5">
        <f t="shared" ca="1" si="69"/>
        <v>2.9908765622513912E-2</v>
      </c>
      <c r="BO170" s="5">
        <f t="shared" ca="1" si="60"/>
        <v>1.9016366457902769E-3</v>
      </c>
      <c r="BQ170" t="s">
        <v>223</v>
      </c>
      <c r="BR170" s="5">
        <f ca="1">+VLOOKUP($BG170,INDIRECT(Adrese!B$2),9,FALSE)</f>
        <v>-1.556347311952083E-2</v>
      </c>
      <c r="BS170" s="5">
        <f ca="1">+VLOOKUP($BG170,INDIRECT(Adrese!C$2),9,FALSE)</f>
        <v>-2.4862315999999999E-2</v>
      </c>
      <c r="BT170" s="5">
        <f ca="1">+VLOOKUP($BG170,INDIRECT(Adrese!D$2),9,FALSE)</f>
        <v>-2.7290238000000001E-2</v>
      </c>
      <c r="BU170" s="5">
        <f ca="1">+VLOOKUP($BG170,INDIRECT(Adrese!E$2),9,FALSE)</f>
        <v>-2.0502896E-2</v>
      </c>
      <c r="BV170" s="5">
        <f ca="1">+VLOOKUP($BG170,INDIRECT(Adrese!F$2),9,FALSE)</f>
        <v>-2.6464543E-2</v>
      </c>
      <c r="BW170" s="5" t="str">
        <f t="shared" ca="1" si="61"/>
        <v>-0.02 (0.00)</v>
      </c>
      <c r="BX170" s="5">
        <f t="shared" ca="1" si="70"/>
        <v>-2.2936693223904164E-2</v>
      </c>
      <c r="BY170" s="5">
        <f t="shared" ca="1" si="62"/>
        <v>4.8835141770746451E-3</v>
      </c>
    </row>
    <row r="171" spans="1:77" x14ac:dyDescent="0.25">
      <c r="A171" t="s">
        <v>224</v>
      </c>
      <c r="B171" s="12">
        <f ca="1">+VLOOKUP($A171,INDIRECT(Adrese!B$2),2,FALSE)</f>
        <v>169</v>
      </c>
      <c r="C171" s="12">
        <f ca="1">+VLOOKUP($A171,INDIRECT(Adrese!C$2),2,FALSE)</f>
        <v>170</v>
      </c>
      <c r="D171" s="12">
        <f ca="1">+VLOOKUP($A171,INDIRECT(Adrese!D$2),2,FALSE)</f>
        <v>172</v>
      </c>
      <c r="E171" s="12">
        <f ca="1">+VLOOKUP($A171,INDIRECT(Adrese!E$2),2,FALSE)</f>
        <v>171</v>
      </c>
      <c r="F171" s="12">
        <f ca="1">+VLOOKUP($A171,INDIRECT(Adrese!F$2),2,FALSE)</f>
        <v>169</v>
      </c>
      <c r="G171" s="5">
        <f t="shared" ca="1" si="63"/>
        <v>170.2</v>
      </c>
      <c r="H171" s="5">
        <f t="shared" ca="1" si="50"/>
        <v>1.3038404810405297</v>
      </c>
      <c r="J171" t="s">
        <v>224</v>
      </c>
      <c r="K171">
        <f ca="1">+VLOOKUP($A171,INDIRECT(Adrese!B$2),3,FALSE)</f>
        <v>105</v>
      </c>
      <c r="L171">
        <f ca="1">+VLOOKUP($A171,INDIRECT(Adrese!C$2),3,FALSE)</f>
        <v>103</v>
      </c>
      <c r="M171">
        <f ca="1">+VLOOKUP($A171,INDIRECT(Adrese!D$2),3,FALSE)</f>
        <v>105</v>
      </c>
      <c r="N171">
        <f ca="1">+VLOOKUP($A171,INDIRECT(Adrese!E$2),3,FALSE)</f>
        <v>102</v>
      </c>
      <c r="O171">
        <f ca="1">+VLOOKUP($A171,INDIRECT(Adrese!F$2),3,FALSE)</f>
        <v>108</v>
      </c>
      <c r="P171" s="5">
        <f t="shared" ca="1" si="64"/>
        <v>104.6</v>
      </c>
      <c r="Q171" s="5">
        <f t="shared" ca="1" si="51"/>
        <v>2.3021728866442674</v>
      </c>
      <c r="T171" t="s">
        <v>224</v>
      </c>
      <c r="U171">
        <f ca="1">+VLOOKUP($T171,INDIRECT(Adrese!B$2),4,FALSE)</f>
        <v>94361</v>
      </c>
      <c r="V171">
        <f ca="1">+VLOOKUP($T171,INDIRECT(Adrese!C$2),4,FALSE)</f>
        <v>93073</v>
      </c>
      <c r="W171">
        <f ca="1">+VLOOKUP($T171,INDIRECT(Adrese!D$2),4,FALSE)</f>
        <v>93935</v>
      </c>
      <c r="X171">
        <f ca="1">+VLOOKUP($T171,INDIRECT(Adrese!E$2),4,FALSE)</f>
        <v>93582</v>
      </c>
      <c r="Y171">
        <f ca="1">+VLOOKUP($T171,INDIRECT(Adrese!F$2),4,FALSE)</f>
        <v>93973</v>
      </c>
      <c r="Z171">
        <f t="shared" ca="1" si="52"/>
        <v>468924</v>
      </c>
      <c r="AA171" s="5">
        <f t="shared" ca="1" si="65"/>
        <v>93784.8</v>
      </c>
      <c r="AB171" s="5">
        <f t="shared" ca="1" si="53"/>
        <v>484.1933498097635</v>
      </c>
      <c r="AD171" t="s">
        <v>224</v>
      </c>
      <c r="AE171">
        <f ca="1">+VLOOKUP($A171,INDIRECT(Adrese!B$2),5,FALSE)</f>
        <v>10783</v>
      </c>
      <c r="AF171">
        <f ca="1">+VLOOKUP($A171,INDIRECT(Adrese!C$2),5,FALSE)</f>
        <v>10402</v>
      </c>
      <c r="AG171">
        <f ca="1">+VLOOKUP($A171,INDIRECT(Adrese!D$2),5,FALSE)</f>
        <v>10859</v>
      </c>
      <c r="AH171">
        <f ca="1">+VLOOKUP($A171,INDIRECT(Adrese!E$2),5,FALSE)</f>
        <v>10623</v>
      </c>
      <c r="AI171">
        <f ca="1">+VLOOKUP($A171,INDIRECT(Adrese!F$2),5,FALSE)</f>
        <v>10562</v>
      </c>
      <c r="AJ171" s="5">
        <f t="shared" ca="1" si="66"/>
        <v>10645.8</v>
      </c>
      <c r="AK171" s="5">
        <f t="shared" ca="1" si="54"/>
        <v>181.14828180250566</v>
      </c>
      <c r="AM171" t="s">
        <v>224</v>
      </c>
      <c r="AN171" s="5">
        <f ca="1">+VLOOKUP($A171,INDIRECT(Adrese!B$2),6,FALSE)</f>
        <v>0.23420353982300879</v>
      </c>
      <c r="AO171" s="5">
        <f ca="1">+VLOOKUP($A171,INDIRECT(Adrese!C$2),6,FALSE)</f>
        <v>0.22577433599999999</v>
      </c>
      <c r="AP171" s="5">
        <f ca="1">+VLOOKUP($A171,INDIRECT(Adrese!D$2),6,FALSE)</f>
        <v>0.23588495600000001</v>
      </c>
      <c r="AQ171" s="5">
        <f ca="1">+VLOOKUP($A171,INDIRECT(Adrese!E$2),6,FALSE)</f>
        <v>0.23066371699999999</v>
      </c>
      <c r="AR171" s="5">
        <f ca="1">+VLOOKUP($A171,INDIRECT(Adrese!F$2),6,FALSE)</f>
        <v>0.22931415899999999</v>
      </c>
      <c r="AS171" s="5" t="str">
        <f t="shared" ca="1" si="55"/>
        <v>0.23 (0.00)</v>
      </c>
      <c r="AT171" s="5">
        <f t="shared" ca="1" si="67"/>
        <v>0.23116814156460178</v>
      </c>
      <c r="AU171" s="5">
        <f t="shared" ca="1" si="56"/>
        <v>4.0077055457291193E-3</v>
      </c>
      <c r="AW171" t="s">
        <v>224</v>
      </c>
      <c r="AX171" s="5">
        <f ca="1">+VLOOKUP($A171,INDIRECT(Adrese!B$2),7,FALSE)</f>
        <v>0.53539823008849563</v>
      </c>
      <c r="AY171" s="5">
        <f ca="1">+VLOOKUP($A171,INDIRECT(Adrese!C$2),7,FALSE)</f>
        <v>0.54424778799999995</v>
      </c>
      <c r="AZ171" s="5">
        <f ca="1">+VLOOKUP($A171,INDIRECT(Adrese!D$2),7,FALSE)</f>
        <v>0.53539822999999997</v>
      </c>
      <c r="BA171" s="5">
        <f ca="1">+VLOOKUP($A171,INDIRECT(Adrese!E$2),7,FALSE)</f>
        <v>0.54867256600000003</v>
      </c>
      <c r="BB171" s="5">
        <f ca="1">+VLOOKUP($A171,INDIRECT(Adrese!F$2),7,FALSE)</f>
        <v>0.52212389400000003</v>
      </c>
      <c r="BC171" s="5" t="str">
        <f t="shared" ca="1" si="57"/>
        <v>0.54 (0.01)</v>
      </c>
      <c r="BD171">
        <f t="shared" ca="1" si="68"/>
        <v>0.53716814161769899</v>
      </c>
      <c r="BE171" s="5">
        <f t="shared" ca="1" si="58"/>
        <v>1.0186605587790561E-2</v>
      </c>
      <c r="BG171" t="s">
        <v>224</v>
      </c>
      <c r="BH171" s="5">
        <f ca="1">+VLOOKUP($BG171,INDIRECT(Adrese!B$2),8,FALSE)</f>
        <v>2.1981743674517391E-2</v>
      </c>
      <c r="BI171" s="5">
        <f ca="1">+VLOOKUP($BG171,INDIRECT(Adrese!C$2),8,FALSE)</f>
        <v>2.0918388999999999E-2</v>
      </c>
      <c r="BJ171" s="5">
        <f ca="1">+VLOOKUP($BG171,INDIRECT(Adrese!D$2),8,FALSE)</f>
        <v>2.1872988999999999E-2</v>
      </c>
      <c r="BK171" s="5">
        <f ca="1">+VLOOKUP($BG171,INDIRECT(Adrese!E$2),8,FALSE)</f>
        <v>2.1511447999999999E-2</v>
      </c>
      <c r="BL171" s="5">
        <f ca="1">+VLOOKUP($BG171,INDIRECT(Adrese!F$2),8,FALSE)</f>
        <v>2.1184109999999999E-2</v>
      </c>
      <c r="BM171" s="5" t="str">
        <f t="shared" ca="1" si="59"/>
        <v>0.02 (0.00)</v>
      </c>
      <c r="BN171" s="5">
        <f t="shared" ca="1" si="69"/>
        <v>2.1493735934903481E-2</v>
      </c>
      <c r="BO171" s="5">
        <f t="shared" ca="1" si="60"/>
        <v>4.4977507535040552E-4</v>
      </c>
      <c r="BQ171" t="s">
        <v>224</v>
      </c>
      <c r="BR171" s="5">
        <f ca="1">+VLOOKUP($BG171,INDIRECT(Adrese!B$2),9,FALSE)</f>
        <v>-3.4803726310505337E-2</v>
      </c>
      <c r="BS171" s="5">
        <f ca="1">+VLOOKUP($BG171,INDIRECT(Adrese!C$2),9,FALSE)</f>
        <v>-3.7577414000000003E-2</v>
      </c>
      <c r="BT171" s="5">
        <f ca="1">+VLOOKUP($BG171,INDIRECT(Adrese!D$2),9,FALSE)</f>
        <v>-3.5737133999999997E-2</v>
      </c>
      <c r="BU171" s="5">
        <f ca="1">+VLOOKUP($BG171,INDIRECT(Adrese!E$2),9,FALSE)</f>
        <v>-3.6162406000000001E-2</v>
      </c>
      <c r="BV171" s="5">
        <f ca="1">+VLOOKUP($BG171,INDIRECT(Adrese!F$2),9,FALSE)</f>
        <v>-3.7481935000000001E-2</v>
      </c>
      <c r="BW171" s="5" t="str">
        <f t="shared" ca="1" si="61"/>
        <v>-0.04 (0.00)</v>
      </c>
      <c r="BX171" s="5">
        <f t="shared" ca="1" si="70"/>
        <v>-3.6352523062101065E-2</v>
      </c>
      <c r="BY171" s="5">
        <f t="shared" ca="1" si="62"/>
        <v>1.182111321748572E-3</v>
      </c>
    </row>
    <row r="172" spans="1:77" x14ac:dyDescent="0.25">
      <c r="A172" t="s">
        <v>225</v>
      </c>
      <c r="B172" s="12">
        <f ca="1">+VLOOKUP($A172,INDIRECT(Adrese!B$2),2,FALSE)</f>
        <v>170</v>
      </c>
      <c r="C172" s="12">
        <f ca="1">+VLOOKUP($A172,INDIRECT(Adrese!C$2),2,FALSE)</f>
        <v>168</v>
      </c>
      <c r="D172" s="12">
        <f ca="1">+VLOOKUP($A172,INDIRECT(Adrese!D$2),2,FALSE)</f>
        <v>171</v>
      </c>
      <c r="E172" s="12">
        <f ca="1">+VLOOKUP($A172,INDIRECT(Adrese!E$2),2,FALSE)</f>
        <v>176</v>
      </c>
      <c r="F172" s="12">
        <f ca="1">+VLOOKUP($A172,INDIRECT(Adrese!F$2),2,FALSE)</f>
        <v>170</v>
      </c>
      <c r="G172" s="5">
        <f t="shared" ca="1" si="63"/>
        <v>171</v>
      </c>
      <c r="H172" s="5">
        <f t="shared" ca="1" si="50"/>
        <v>3</v>
      </c>
      <c r="J172" t="s">
        <v>225</v>
      </c>
      <c r="K172">
        <f ca="1">+VLOOKUP($A172,INDIRECT(Adrese!B$2),3,FALSE)</f>
        <v>119</v>
      </c>
      <c r="L172">
        <f ca="1">+VLOOKUP($A172,INDIRECT(Adrese!C$2),3,FALSE)</f>
        <v>115</v>
      </c>
      <c r="M172">
        <f ca="1">+VLOOKUP($A172,INDIRECT(Adrese!D$2),3,FALSE)</f>
        <v>118</v>
      </c>
      <c r="N172">
        <f ca="1">+VLOOKUP($A172,INDIRECT(Adrese!E$2),3,FALSE)</f>
        <v>114</v>
      </c>
      <c r="O172">
        <f ca="1">+VLOOKUP($A172,INDIRECT(Adrese!F$2),3,FALSE)</f>
        <v>118</v>
      </c>
      <c r="P172" s="5">
        <f t="shared" ca="1" si="64"/>
        <v>116.8</v>
      </c>
      <c r="Q172" s="5">
        <f t="shared" ca="1" si="51"/>
        <v>2.16794833886788</v>
      </c>
      <c r="T172" t="s">
        <v>225</v>
      </c>
      <c r="U172">
        <f ca="1">+VLOOKUP($T172,INDIRECT(Adrese!B$2),4,FALSE)</f>
        <v>93516</v>
      </c>
      <c r="V172">
        <f ca="1">+VLOOKUP($T172,INDIRECT(Adrese!C$2),4,FALSE)</f>
        <v>94259</v>
      </c>
      <c r="W172">
        <f ca="1">+VLOOKUP($T172,INDIRECT(Adrese!D$2),4,FALSE)</f>
        <v>94011</v>
      </c>
      <c r="X172">
        <f ca="1">+VLOOKUP($T172,INDIRECT(Adrese!E$2),4,FALSE)</f>
        <v>92384</v>
      </c>
      <c r="Y172">
        <f ca="1">+VLOOKUP($T172,INDIRECT(Adrese!F$2),4,FALSE)</f>
        <v>93959</v>
      </c>
      <c r="Z172">
        <f t="shared" ca="1" si="52"/>
        <v>468129</v>
      </c>
      <c r="AA172" s="5">
        <f t="shared" ca="1" si="65"/>
        <v>93625.8</v>
      </c>
      <c r="AB172" s="5">
        <f t="shared" ca="1" si="53"/>
        <v>744.05423189442308</v>
      </c>
      <c r="AD172" t="s">
        <v>225</v>
      </c>
      <c r="AE172">
        <f ca="1">+VLOOKUP($A172,INDIRECT(Adrese!B$2),5,FALSE)</f>
        <v>7942</v>
      </c>
      <c r="AF172">
        <f ca="1">+VLOOKUP($A172,INDIRECT(Adrese!C$2),5,FALSE)</f>
        <v>8291</v>
      </c>
      <c r="AG172">
        <f ca="1">+VLOOKUP($A172,INDIRECT(Adrese!D$2),5,FALSE)</f>
        <v>8142</v>
      </c>
      <c r="AH172">
        <f ca="1">+VLOOKUP($A172,INDIRECT(Adrese!E$2),5,FALSE)</f>
        <v>8062</v>
      </c>
      <c r="AI172">
        <f ca="1">+VLOOKUP($A172,INDIRECT(Adrese!F$2),5,FALSE)</f>
        <v>8155</v>
      </c>
      <c r="AJ172" s="5">
        <f t="shared" ca="1" si="66"/>
        <v>8118.4</v>
      </c>
      <c r="AK172" s="5">
        <f t="shared" ca="1" si="54"/>
        <v>128.437922748696</v>
      </c>
      <c r="AM172" t="s">
        <v>225</v>
      </c>
      <c r="AN172" s="5">
        <f ca="1">+VLOOKUP($A172,INDIRECT(Adrese!B$2),6,FALSE)</f>
        <v>0.1742920353982301</v>
      </c>
      <c r="AO172" s="5">
        <f ca="1">+VLOOKUP($A172,INDIRECT(Adrese!C$2),6,FALSE)</f>
        <v>0.182013274</v>
      </c>
      <c r="AP172" s="5">
        <f ca="1">+VLOOKUP($A172,INDIRECT(Adrese!D$2),6,FALSE)</f>
        <v>0.178716814</v>
      </c>
      <c r="AQ172" s="5">
        <f ca="1">+VLOOKUP($A172,INDIRECT(Adrese!E$2),6,FALSE)</f>
        <v>0.17694690299999999</v>
      </c>
      <c r="AR172" s="5">
        <f ca="1">+VLOOKUP($A172,INDIRECT(Adrese!F$2),6,FALSE)</f>
        <v>0.17900442499999999</v>
      </c>
      <c r="AS172" s="5" t="str">
        <f t="shared" ca="1" si="55"/>
        <v>0.18 (0.00)</v>
      </c>
      <c r="AT172" s="5">
        <f t="shared" ca="1" si="67"/>
        <v>0.17819469027964602</v>
      </c>
      <c r="AU172" s="5">
        <f t="shared" ca="1" si="56"/>
        <v>2.841546821044017E-3</v>
      </c>
      <c r="AW172" t="s">
        <v>225</v>
      </c>
      <c r="AX172" s="5">
        <f ca="1">+VLOOKUP($A172,INDIRECT(Adrese!B$2),7,FALSE)</f>
        <v>0.47345132743362828</v>
      </c>
      <c r="AY172" s="5">
        <f ca="1">+VLOOKUP($A172,INDIRECT(Adrese!C$2),7,FALSE)</f>
        <v>0.49115044200000002</v>
      </c>
      <c r="AZ172" s="5">
        <f ca="1">+VLOOKUP($A172,INDIRECT(Adrese!D$2),7,FALSE)</f>
        <v>0.47787610600000002</v>
      </c>
      <c r="BA172" s="5">
        <f ca="1">+VLOOKUP($A172,INDIRECT(Adrese!E$2),7,FALSE)</f>
        <v>0.49557522100000001</v>
      </c>
      <c r="BB172" s="5">
        <f ca="1">+VLOOKUP($A172,INDIRECT(Adrese!F$2),7,FALSE)</f>
        <v>0.47787610600000002</v>
      </c>
      <c r="BC172" s="5" t="str">
        <f t="shared" ca="1" si="57"/>
        <v>0.48 (0.01)</v>
      </c>
      <c r="BD172">
        <f t="shared" ca="1" si="68"/>
        <v>0.48318584048672564</v>
      </c>
      <c r="BE172" s="5">
        <f t="shared" ca="1" si="58"/>
        <v>9.5926916424422404E-3</v>
      </c>
      <c r="BG172" t="s">
        <v>225</v>
      </c>
      <c r="BH172" s="5">
        <f ca="1">+VLOOKUP($BG172,INDIRECT(Adrese!B$2),8,FALSE)</f>
        <v>1.602817725711727E-2</v>
      </c>
      <c r="BI172" s="5">
        <f ca="1">+VLOOKUP($BG172,INDIRECT(Adrese!C$2),8,FALSE)</f>
        <v>1.6788269000000001E-2</v>
      </c>
      <c r="BJ172" s="5">
        <f ca="1">+VLOOKUP($BG172,INDIRECT(Adrese!D$2),8,FALSE)</f>
        <v>1.6465526000000001E-2</v>
      </c>
      <c r="BK172" s="5">
        <f ca="1">+VLOOKUP($BG172,INDIRECT(Adrese!E$2),8,FALSE)</f>
        <v>1.6323134E-2</v>
      </c>
      <c r="BL172" s="5">
        <f ca="1">+VLOOKUP($BG172,INDIRECT(Adrese!F$2),8,FALSE)</f>
        <v>1.6543447999999999E-2</v>
      </c>
      <c r="BM172" s="5" t="str">
        <f t="shared" ca="1" si="59"/>
        <v>0.02 (0.00)</v>
      </c>
      <c r="BN172" s="5">
        <f t="shared" ca="1" si="69"/>
        <v>1.6429710851423453E-2</v>
      </c>
      <c r="BO172" s="5">
        <f t="shared" ca="1" si="60"/>
        <v>2.807893616041682E-4</v>
      </c>
      <c r="BQ172" t="s">
        <v>225</v>
      </c>
      <c r="BR172" s="5">
        <f ca="1">+VLOOKUP($BG172,INDIRECT(Adrese!B$2),9,FALSE)</f>
        <v>-4.7074799775515978E-2</v>
      </c>
      <c r="BS172" s="5">
        <f ca="1">+VLOOKUP($BG172,INDIRECT(Adrese!C$2),9,FALSE)</f>
        <v>-4.5510526000000003E-2</v>
      </c>
      <c r="BT172" s="5">
        <f ca="1">+VLOOKUP($BG172,INDIRECT(Adrese!D$2),9,FALSE)</f>
        <v>-4.6127661E-2</v>
      </c>
      <c r="BU172" s="5">
        <f ca="1">+VLOOKUP($BG172,INDIRECT(Adrese!E$2),9,FALSE)</f>
        <v>-4.6364411000000001E-2</v>
      </c>
      <c r="BV172" s="5">
        <f ca="1">+VLOOKUP($BG172,INDIRECT(Adrese!F$2),9,FALSE)</f>
        <v>-4.5967459000000002E-2</v>
      </c>
      <c r="BW172" s="5" t="str">
        <f t="shared" ca="1" si="61"/>
        <v>-0.05 (0.00)</v>
      </c>
      <c r="BX172" s="5">
        <f t="shared" ca="1" si="70"/>
        <v>-4.6208971355103191E-2</v>
      </c>
      <c r="BY172" s="5">
        <f t="shared" ca="1" si="62"/>
        <v>5.7588754162159639E-4</v>
      </c>
    </row>
    <row r="173" spans="1:77" x14ac:dyDescent="0.25">
      <c r="A173" t="s">
        <v>226</v>
      </c>
      <c r="B173" s="12">
        <f ca="1">+VLOOKUP($A173,INDIRECT(Adrese!B$2),2,FALSE)</f>
        <v>171</v>
      </c>
      <c r="C173" s="12">
        <f ca="1">+VLOOKUP($A173,INDIRECT(Adrese!C$2),2,FALSE)</f>
        <v>175</v>
      </c>
      <c r="D173" s="12">
        <f ca="1">+VLOOKUP($A173,INDIRECT(Adrese!D$2),2,FALSE)</f>
        <v>169</v>
      </c>
      <c r="E173" s="12">
        <f ca="1">+VLOOKUP($A173,INDIRECT(Adrese!E$2),2,FALSE)</f>
        <v>167</v>
      </c>
      <c r="F173" s="12">
        <f ca="1">+VLOOKUP($A173,INDIRECT(Adrese!F$2),2,FALSE)</f>
        <v>166</v>
      </c>
      <c r="G173" s="5">
        <f t="shared" ca="1" si="63"/>
        <v>169.6</v>
      </c>
      <c r="H173" s="5">
        <f t="shared" ca="1" si="50"/>
        <v>3.5777087639996634</v>
      </c>
      <c r="J173" t="s">
        <v>226</v>
      </c>
      <c r="K173">
        <f ca="1">+VLOOKUP($A173,INDIRECT(Adrese!B$2),3,FALSE)</f>
        <v>140</v>
      </c>
      <c r="L173">
        <f ca="1">+VLOOKUP($A173,INDIRECT(Adrese!C$2),3,FALSE)</f>
        <v>139</v>
      </c>
      <c r="M173">
        <f ca="1">+VLOOKUP($A173,INDIRECT(Adrese!D$2),3,FALSE)</f>
        <v>136</v>
      </c>
      <c r="N173">
        <f ca="1">+VLOOKUP($A173,INDIRECT(Adrese!E$2),3,FALSE)</f>
        <v>146</v>
      </c>
      <c r="O173">
        <f ca="1">+VLOOKUP($A173,INDIRECT(Adrese!F$2),3,FALSE)</f>
        <v>141</v>
      </c>
      <c r="P173" s="5">
        <f t="shared" ca="1" si="64"/>
        <v>140.4</v>
      </c>
      <c r="Q173" s="5">
        <f t="shared" ca="1" si="51"/>
        <v>3.6469165057620936</v>
      </c>
      <c r="T173" t="s">
        <v>226</v>
      </c>
      <c r="U173">
        <f ca="1">+VLOOKUP($T173,INDIRECT(Adrese!B$2),4,FALSE)</f>
        <v>93500</v>
      </c>
      <c r="V173">
        <f ca="1">+VLOOKUP($T173,INDIRECT(Adrese!C$2),4,FALSE)</f>
        <v>92623</v>
      </c>
      <c r="W173">
        <f ca="1">+VLOOKUP($T173,INDIRECT(Adrese!D$2),4,FALSE)</f>
        <v>94756</v>
      </c>
      <c r="X173">
        <f ca="1">+VLOOKUP($T173,INDIRECT(Adrese!E$2),4,FALSE)</f>
        <v>95259</v>
      </c>
      <c r="Y173">
        <f ca="1">+VLOOKUP($T173,INDIRECT(Adrese!F$2),4,FALSE)</f>
        <v>94970</v>
      </c>
      <c r="Z173">
        <f t="shared" ca="1" si="52"/>
        <v>471108</v>
      </c>
      <c r="AA173" s="5">
        <f t="shared" ca="1" si="65"/>
        <v>94221.6</v>
      </c>
      <c r="AB173" s="5">
        <f t="shared" ca="1" si="53"/>
        <v>1117.8230181920571</v>
      </c>
      <c r="AD173" t="s">
        <v>226</v>
      </c>
      <c r="AE173">
        <f ca="1">+VLOOKUP($A173,INDIRECT(Adrese!B$2),5,FALSE)</f>
        <v>22077</v>
      </c>
      <c r="AF173">
        <f ca="1">+VLOOKUP($A173,INDIRECT(Adrese!C$2),5,FALSE)</f>
        <v>22241</v>
      </c>
      <c r="AG173">
        <f ca="1">+VLOOKUP($A173,INDIRECT(Adrese!D$2),5,FALSE)</f>
        <v>22048</v>
      </c>
      <c r="AH173">
        <f ca="1">+VLOOKUP($A173,INDIRECT(Adrese!E$2),5,FALSE)</f>
        <v>21828</v>
      </c>
      <c r="AI173">
        <f ca="1">+VLOOKUP($A173,INDIRECT(Adrese!F$2),5,FALSE)</f>
        <v>21800</v>
      </c>
      <c r="AJ173" s="5">
        <f t="shared" ca="1" si="66"/>
        <v>21998.799999999999</v>
      </c>
      <c r="AK173" s="5">
        <f t="shared" ca="1" si="54"/>
        <v>184.31684676122256</v>
      </c>
      <c r="AM173" t="s">
        <v>226</v>
      </c>
      <c r="AN173" s="5">
        <f ca="1">+VLOOKUP($A173,INDIRECT(Adrese!B$2),6,FALSE)</f>
        <v>0.48816371681415932</v>
      </c>
      <c r="AO173" s="5">
        <f ca="1">+VLOOKUP($A173,INDIRECT(Adrese!C$2),6,FALSE)</f>
        <v>0.49179203500000002</v>
      </c>
      <c r="AP173" s="5">
        <f ca="1">+VLOOKUP($A173,INDIRECT(Adrese!D$2),6,FALSE)</f>
        <v>0.487522124</v>
      </c>
      <c r="AQ173" s="5">
        <f ca="1">+VLOOKUP($A173,INDIRECT(Adrese!E$2),6,FALSE)</f>
        <v>0.48265486699999999</v>
      </c>
      <c r="AR173" s="5">
        <f ca="1">+VLOOKUP($A173,INDIRECT(Adrese!F$2),6,FALSE)</f>
        <v>0.482035398</v>
      </c>
      <c r="AS173" s="5" t="str">
        <f t="shared" ca="1" si="55"/>
        <v>0.49 (0.00)</v>
      </c>
      <c r="AT173" s="5">
        <f t="shared" ca="1" si="67"/>
        <v>0.48643362816283187</v>
      </c>
      <c r="AU173" s="5">
        <f t="shared" ca="1" si="56"/>
        <v>4.0778063420350563E-3</v>
      </c>
      <c r="AW173" t="s">
        <v>226</v>
      </c>
      <c r="AX173" s="5">
        <f ca="1">+VLOOKUP($A173,INDIRECT(Adrese!B$2),7,FALSE)</f>
        <v>0.38053097345132741</v>
      </c>
      <c r="AY173" s="5">
        <f ca="1">+VLOOKUP($A173,INDIRECT(Adrese!C$2),7,FALSE)</f>
        <v>0.38495575199999998</v>
      </c>
      <c r="AZ173" s="5">
        <f ca="1">+VLOOKUP($A173,INDIRECT(Adrese!D$2),7,FALSE)</f>
        <v>0.39823008799999998</v>
      </c>
      <c r="BA173" s="5">
        <f ca="1">+VLOOKUP($A173,INDIRECT(Adrese!E$2),7,FALSE)</f>
        <v>0.353982301</v>
      </c>
      <c r="BB173" s="5">
        <f ca="1">+VLOOKUP($A173,INDIRECT(Adrese!F$2),7,FALSE)</f>
        <v>0.37610619499999998</v>
      </c>
      <c r="BC173" s="5" t="str">
        <f t="shared" ca="1" si="57"/>
        <v>0.38 (0.02)</v>
      </c>
      <c r="BD173">
        <f t="shared" ca="1" si="68"/>
        <v>0.37876106189026548</v>
      </c>
      <c r="BE173" s="5">
        <f t="shared" ca="1" si="58"/>
        <v>1.613679847129787E-2</v>
      </c>
      <c r="BG173" t="s">
        <v>226</v>
      </c>
      <c r="BH173" s="5">
        <f ca="1">+VLOOKUP($BG173,INDIRECT(Adrese!B$2),8,FALSE)</f>
        <v>4.4537203822361641E-2</v>
      </c>
      <c r="BI173" s="5">
        <f ca="1">+VLOOKUP($BG173,INDIRECT(Adrese!C$2),8,FALSE)</f>
        <v>4.4332175000000001E-2</v>
      </c>
      <c r="BJ173" s="5">
        <f ca="1">+VLOOKUP($BG173,INDIRECT(Adrese!D$2),8,FALSE)</f>
        <v>4.3594470000000003E-2</v>
      </c>
      <c r="BK173" s="5">
        <f ca="1">+VLOOKUP($BG173,INDIRECT(Adrese!E$2),8,FALSE)</f>
        <v>4.3854134000000003E-2</v>
      </c>
      <c r="BL173" s="5">
        <f ca="1">+VLOOKUP($BG173,INDIRECT(Adrese!F$2),8,FALSE)</f>
        <v>4.3580488000000001E-2</v>
      </c>
      <c r="BM173" s="5" t="str">
        <f t="shared" ca="1" si="59"/>
        <v>0.04 (0.00)</v>
      </c>
      <c r="BN173" s="5">
        <f t="shared" ca="1" si="69"/>
        <v>4.3979694164472331E-2</v>
      </c>
      <c r="BO173" s="5">
        <f t="shared" ca="1" si="60"/>
        <v>4.3548488251676754E-4</v>
      </c>
      <c r="BQ173" t="s">
        <v>226</v>
      </c>
      <c r="BR173" s="5">
        <f ca="1">+VLOOKUP($BG173,INDIRECT(Adrese!B$2),9,FALSE)</f>
        <v>2.2831617488275791E-3</v>
      </c>
      <c r="BS173" s="5">
        <f ca="1">+VLOOKUP($BG173,INDIRECT(Adrese!C$2),9,FALSE)</f>
        <v>2.8356799999999999E-4</v>
      </c>
      <c r="BT173" s="5">
        <f ca="1">+VLOOKUP($BG173,INDIRECT(Adrese!D$2),9,FALSE)</f>
        <v>-2.0518049999999999E-3</v>
      </c>
      <c r="BU173" s="5">
        <f ca="1">+VLOOKUP($BG173,INDIRECT(Adrese!E$2),9,FALSE)</f>
        <v>1.487363E-3</v>
      </c>
      <c r="BV173" s="5">
        <f ca="1">+VLOOKUP($BG173,INDIRECT(Adrese!F$2),9,FALSE)</f>
        <v>-9.4320800000000007E-5</v>
      </c>
      <c r="BW173" s="5" t="str">
        <f t="shared" ca="1" si="61"/>
        <v>0.00 (0.00)</v>
      </c>
      <c r="BX173" s="5">
        <f t="shared" ca="1" si="70"/>
        <v>3.8159338976551582E-4</v>
      </c>
      <c r="BY173" s="5">
        <f t="shared" ca="1" si="62"/>
        <v>1.6580274177072861E-3</v>
      </c>
    </row>
    <row r="174" spans="1:77" x14ac:dyDescent="0.25">
      <c r="A174" t="s">
        <v>20</v>
      </c>
      <c r="B174" s="12">
        <f ca="1">+VLOOKUP($A174,INDIRECT(Adrese!B$2),2,FALSE)</f>
        <v>172</v>
      </c>
      <c r="C174" s="12">
        <f ca="1">+VLOOKUP($A174,INDIRECT(Adrese!C$2),2,FALSE)</f>
        <v>171</v>
      </c>
      <c r="D174" s="12">
        <f ca="1">+VLOOKUP($A174,INDIRECT(Adrese!D$2),2,FALSE)</f>
        <v>176</v>
      </c>
      <c r="E174" s="12">
        <f ca="1">+VLOOKUP($A174,INDIRECT(Adrese!E$2),2,FALSE)</f>
        <v>172</v>
      </c>
      <c r="F174" s="12">
        <f ca="1">+VLOOKUP($A174,INDIRECT(Adrese!F$2),2,FALSE)</f>
        <v>168</v>
      </c>
      <c r="G174" s="5">
        <f t="shared" ca="1" si="63"/>
        <v>171.8</v>
      </c>
      <c r="H174" s="5">
        <f t="shared" ca="1" si="50"/>
        <v>2.8635642126552705</v>
      </c>
      <c r="J174" t="s">
        <v>20</v>
      </c>
      <c r="K174">
        <f ca="1">+VLOOKUP($A174,INDIRECT(Adrese!B$2),3,FALSE)</f>
        <v>174</v>
      </c>
      <c r="L174">
        <f ca="1">+VLOOKUP($A174,INDIRECT(Adrese!C$2),3,FALSE)</f>
        <v>177</v>
      </c>
      <c r="M174">
        <f ca="1">+VLOOKUP($A174,INDIRECT(Adrese!D$2),3,FALSE)</f>
        <v>178</v>
      </c>
      <c r="N174">
        <f ca="1">+VLOOKUP($A174,INDIRECT(Adrese!E$2),3,FALSE)</f>
        <v>173</v>
      </c>
      <c r="O174">
        <f ca="1">+VLOOKUP($A174,INDIRECT(Adrese!F$2),3,FALSE)</f>
        <v>172</v>
      </c>
      <c r="P174" s="5">
        <f t="shared" ca="1" si="64"/>
        <v>174.8</v>
      </c>
      <c r="Q174" s="5">
        <f t="shared" ca="1" si="51"/>
        <v>2.5884358211089569</v>
      </c>
      <c r="T174" t="s">
        <v>20</v>
      </c>
      <c r="U174">
        <f ca="1">+VLOOKUP($T174,INDIRECT(Adrese!B$2),4,FALSE)</f>
        <v>93373</v>
      </c>
      <c r="V174">
        <f ca="1">+VLOOKUP($T174,INDIRECT(Adrese!C$2),4,FALSE)</f>
        <v>92898</v>
      </c>
      <c r="W174">
        <f ca="1">+VLOOKUP($T174,INDIRECT(Adrese!D$2),4,FALSE)</f>
        <v>92659</v>
      </c>
      <c r="X174">
        <f ca="1">+VLOOKUP($T174,INDIRECT(Adrese!E$2),4,FALSE)</f>
        <v>93507</v>
      </c>
      <c r="Y174">
        <f ca="1">+VLOOKUP($T174,INDIRECT(Adrese!F$2),4,FALSE)</f>
        <v>94402</v>
      </c>
      <c r="Z174">
        <f t="shared" ca="1" si="52"/>
        <v>466839</v>
      </c>
      <c r="AA174" s="5">
        <f t="shared" ca="1" si="65"/>
        <v>93367.8</v>
      </c>
      <c r="AB174" s="5">
        <f t="shared" ca="1" si="53"/>
        <v>673.06812433809409</v>
      </c>
      <c r="AD174" t="s">
        <v>20</v>
      </c>
      <c r="AE174">
        <f ca="1">+VLOOKUP($A174,INDIRECT(Adrese!B$2),5,FALSE)</f>
        <v>18643</v>
      </c>
      <c r="AF174">
        <f ca="1">+VLOOKUP($A174,INDIRECT(Adrese!C$2),5,FALSE)</f>
        <v>18417</v>
      </c>
      <c r="AG174">
        <f ca="1">+VLOOKUP($A174,INDIRECT(Adrese!D$2),5,FALSE)</f>
        <v>18302</v>
      </c>
      <c r="AH174">
        <f ca="1">+VLOOKUP($A174,INDIRECT(Adrese!E$2),5,FALSE)</f>
        <v>18517</v>
      </c>
      <c r="AI174">
        <f ca="1">+VLOOKUP($A174,INDIRECT(Adrese!F$2),5,FALSE)</f>
        <v>19035</v>
      </c>
      <c r="AJ174" s="5">
        <f t="shared" ca="1" si="66"/>
        <v>18582.8</v>
      </c>
      <c r="AK174" s="5">
        <f t="shared" ca="1" si="54"/>
        <v>282.30161175593736</v>
      </c>
      <c r="AM174" t="s">
        <v>20</v>
      </c>
      <c r="AN174" s="5">
        <f ca="1">+VLOOKUP($A174,INDIRECT(Adrese!B$2),6,FALSE)</f>
        <v>0.41243362831858399</v>
      </c>
      <c r="AO174" s="5">
        <f ca="1">+VLOOKUP($A174,INDIRECT(Adrese!C$2),6,FALSE)</f>
        <v>0.407146018</v>
      </c>
      <c r="AP174" s="5">
        <f ca="1">+VLOOKUP($A174,INDIRECT(Adrese!D$2),6,FALSE)</f>
        <v>0.404646018</v>
      </c>
      <c r="AQ174" s="5">
        <f ca="1">+VLOOKUP($A174,INDIRECT(Adrese!E$2),6,FALSE)</f>
        <v>0.409402655</v>
      </c>
      <c r="AR174" s="5">
        <f ca="1">+VLOOKUP($A174,INDIRECT(Adrese!F$2),6,FALSE)</f>
        <v>0.42088495599999998</v>
      </c>
      <c r="AS174" s="5" t="str">
        <f t="shared" ca="1" si="55"/>
        <v>0.41 (0.01)</v>
      </c>
      <c r="AT174" s="5">
        <f t="shared" ca="1" si="67"/>
        <v>0.41090265506371682</v>
      </c>
      <c r="AU174" s="5">
        <f t="shared" ca="1" si="56"/>
        <v>6.2749111678245019E-3</v>
      </c>
      <c r="AW174" t="s">
        <v>20</v>
      </c>
      <c r="AX174" s="5">
        <f ca="1">+VLOOKUP($A174,INDIRECT(Adrese!B$2),7,FALSE)</f>
        <v>0.23008849557522121</v>
      </c>
      <c r="AY174" s="5">
        <f ca="1">+VLOOKUP($A174,INDIRECT(Adrese!C$2),7,FALSE)</f>
        <v>0.21681415900000001</v>
      </c>
      <c r="AZ174" s="5">
        <f ca="1">+VLOOKUP($A174,INDIRECT(Adrese!D$2),7,FALSE)</f>
        <v>0.21238938099999999</v>
      </c>
      <c r="BA174" s="5">
        <f ca="1">+VLOOKUP($A174,INDIRECT(Adrese!E$2),7,FALSE)</f>
        <v>0.23451327399999999</v>
      </c>
      <c r="BB174" s="5">
        <f ca="1">+VLOOKUP($A174,INDIRECT(Adrese!F$2),7,FALSE)</f>
        <v>0.23893805300000001</v>
      </c>
      <c r="BC174" s="5" t="str">
        <f t="shared" ca="1" si="57"/>
        <v>0.23 (0.01)</v>
      </c>
      <c r="BD174">
        <f t="shared" ca="1" si="68"/>
        <v>0.22654867251504424</v>
      </c>
      <c r="BE174" s="5">
        <f t="shared" ca="1" si="58"/>
        <v>1.145325567791868E-2</v>
      </c>
      <c r="BG174" t="s">
        <v>20</v>
      </c>
      <c r="BH174" s="5">
        <f ca="1">+VLOOKUP($BG174,INDIRECT(Adrese!B$2),8,FALSE)</f>
        <v>4.2357461767096642E-2</v>
      </c>
      <c r="BI174" s="5">
        <f ca="1">+VLOOKUP($BG174,INDIRECT(Adrese!C$2),8,FALSE)</f>
        <v>4.1798621000000001E-2</v>
      </c>
      <c r="BJ174" s="5">
        <f ca="1">+VLOOKUP($BG174,INDIRECT(Adrese!D$2),8,FALSE)</f>
        <v>4.1288931000000001E-2</v>
      </c>
      <c r="BK174" s="5">
        <f ca="1">+VLOOKUP($BG174,INDIRECT(Adrese!E$2),8,FALSE)</f>
        <v>4.2240853000000002E-2</v>
      </c>
      <c r="BL174" s="5">
        <f ca="1">+VLOOKUP($BG174,INDIRECT(Adrese!F$2),8,FALSE)</f>
        <v>4.3211410999999998E-2</v>
      </c>
      <c r="BM174" s="5" t="str">
        <f t="shared" ca="1" si="59"/>
        <v>0.04 (0.00)</v>
      </c>
      <c r="BN174" s="5">
        <f t="shared" ca="1" si="69"/>
        <v>4.2179455553419329E-2</v>
      </c>
      <c r="BO174" s="5">
        <f t="shared" ca="1" si="60"/>
        <v>7.1387268465789131E-4</v>
      </c>
      <c r="BQ174" t="s">
        <v>20</v>
      </c>
      <c r="BR174" s="5">
        <f ca="1">+VLOOKUP($BG174,INDIRECT(Adrese!B$2),9,FALSE)</f>
        <v>4.6214938238540917E-3</v>
      </c>
      <c r="BS174" s="5">
        <f ca="1">+VLOOKUP($BG174,INDIRECT(Adrese!C$2),9,FALSE)</f>
        <v>3.574055E-3</v>
      </c>
      <c r="BT174" s="5">
        <f ca="1">+VLOOKUP($BG174,INDIRECT(Adrese!D$2),9,FALSE)</f>
        <v>1.295453E-3</v>
      </c>
      <c r="BU174" s="5">
        <f ca="1">+VLOOKUP($BG174,INDIRECT(Adrese!E$2),9,FALSE)</f>
        <v>5.3929399999999997E-3</v>
      </c>
      <c r="BV174" s="5">
        <f ca="1">+VLOOKUP($BG174,INDIRECT(Adrese!F$2),9,FALSE)</f>
        <v>6.1865050000000001E-3</v>
      </c>
      <c r="BW174" s="5" t="str">
        <f t="shared" ca="1" si="61"/>
        <v>0.00 (0.00)</v>
      </c>
      <c r="BX174" s="5">
        <f t="shared" ca="1" si="70"/>
        <v>4.2140893647708176E-3</v>
      </c>
      <c r="BY174" s="5">
        <f t="shared" ca="1" si="62"/>
        <v>1.895664320852186E-3</v>
      </c>
    </row>
    <row r="175" spans="1:77" x14ac:dyDescent="0.25">
      <c r="A175" t="s">
        <v>227</v>
      </c>
      <c r="B175" s="12">
        <f ca="1">+VLOOKUP($A175,INDIRECT(Adrese!B$2),2,FALSE)</f>
        <v>173</v>
      </c>
      <c r="C175" s="12">
        <f ca="1">+VLOOKUP($A175,INDIRECT(Adrese!C$2),2,FALSE)</f>
        <v>181</v>
      </c>
      <c r="D175" s="12">
        <f ca="1">+VLOOKUP($A175,INDIRECT(Adrese!D$2),2,FALSE)</f>
        <v>174</v>
      </c>
      <c r="E175" s="12">
        <f ca="1">+VLOOKUP($A175,INDIRECT(Adrese!E$2),2,FALSE)</f>
        <v>173</v>
      </c>
      <c r="F175" s="12">
        <f ca="1">+VLOOKUP($A175,INDIRECT(Adrese!F$2),2,FALSE)</f>
        <v>178</v>
      </c>
      <c r="G175" s="5">
        <f t="shared" ca="1" si="63"/>
        <v>175.8</v>
      </c>
      <c r="H175" s="5">
        <f t="shared" ca="1" si="50"/>
        <v>3.5637059362410923</v>
      </c>
      <c r="J175" t="s">
        <v>227</v>
      </c>
      <c r="K175">
        <f ca="1">+VLOOKUP($A175,INDIRECT(Adrese!B$2),3,FALSE)</f>
        <v>178</v>
      </c>
      <c r="L175">
        <f ca="1">+VLOOKUP($A175,INDIRECT(Adrese!C$2),3,FALSE)</f>
        <v>172</v>
      </c>
      <c r="M175">
        <f ca="1">+VLOOKUP($A175,INDIRECT(Adrese!D$2),3,FALSE)</f>
        <v>172</v>
      </c>
      <c r="N175">
        <f ca="1">+VLOOKUP($A175,INDIRECT(Adrese!E$2),3,FALSE)</f>
        <v>177</v>
      </c>
      <c r="O175">
        <f ca="1">+VLOOKUP($A175,INDIRECT(Adrese!F$2),3,FALSE)</f>
        <v>175</v>
      </c>
      <c r="P175" s="5">
        <f t="shared" ca="1" si="64"/>
        <v>174.8</v>
      </c>
      <c r="Q175" s="5">
        <f t="shared" ca="1" si="51"/>
        <v>2.7748873851023217</v>
      </c>
      <c r="T175" t="s">
        <v>227</v>
      </c>
      <c r="U175">
        <f ca="1">+VLOOKUP($T175,INDIRECT(Adrese!B$2),4,FALSE)</f>
        <v>92957</v>
      </c>
      <c r="V175">
        <f ca="1">+VLOOKUP($T175,INDIRECT(Adrese!C$2),4,FALSE)</f>
        <v>90889</v>
      </c>
      <c r="W175">
        <f ca="1">+VLOOKUP($T175,INDIRECT(Adrese!D$2),4,FALSE)</f>
        <v>93071</v>
      </c>
      <c r="X175">
        <f ca="1">+VLOOKUP($T175,INDIRECT(Adrese!E$2),4,FALSE)</f>
        <v>93134</v>
      </c>
      <c r="Y175">
        <f ca="1">+VLOOKUP($T175,INDIRECT(Adrese!F$2),4,FALSE)</f>
        <v>91996</v>
      </c>
      <c r="Z175">
        <f t="shared" ca="1" si="52"/>
        <v>462047</v>
      </c>
      <c r="AA175" s="5">
        <f t="shared" ca="1" si="65"/>
        <v>92409.4</v>
      </c>
      <c r="AB175" s="5">
        <f t="shared" ca="1" si="53"/>
        <v>967.61836485259005</v>
      </c>
      <c r="AD175" t="s">
        <v>227</v>
      </c>
      <c r="AE175">
        <f ca="1">+VLOOKUP($A175,INDIRECT(Adrese!B$2),5,FALSE)</f>
        <v>18466</v>
      </c>
      <c r="AF175">
        <f ca="1">+VLOOKUP($A175,INDIRECT(Adrese!C$2),5,FALSE)</f>
        <v>17458</v>
      </c>
      <c r="AG175">
        <f ca="1">+VLOOKUP($A175,INDIRECT(Adrese!D$2),5,FALSE)</f>
        <v>18336</v>
      </c>
      <c r="AH175">
        <f ca="1">+VLOOKUP($A175,INDIRECT(Adrese!E$2),5,FALSE)</f>
        <v>18385</v>
      </c>
      <c r="AI175">
        <f ca="1">+VLOOKUP($A175,INDIRECT(Adrese!F$2),5,FALSE)</f>
        <v>17989</v>
      </c>
      <c r="AJ175" s="5">
        <f t="shared" ca="1" si="66"/>
        <v>18126.8</v>
      </c>
      <c r="AK175" s="5">
        <f t="shared" ca="1" si="54"/>
        <v>415.86379981912347</v>
      </c>
      <c r="AM175" t="s">
        <v>227</v>
      </c>
      <c r="AN175" s="5">
        <f ca="1">+VLOOKUP($A175,INDIRECT(Adrese!B$2),6,FALSE)</f>
        <v>0.40829646017699123</v>
      </c>
      <c r="AO175" s="5">
        <f ca="1">+VLOOKUP($A175,INDIRECT(Adrese!C$2),6,FALSE)</f>
        <v>0.38601769899999999</v>
      </c>
      <c r="AP175" s="5">
        <f ca="1">+VLOOKUP($A175,INDIRECT(Adrese!D$2),6,FALSE)</f>
        <v>0.405442478</v>
      </c>
      <c r="AQ175" s="5">
        <f ca="1">+VLOOKUP($A175,INDIRECT(Adrese!E$2),6,FALSE)</f>
        <v>0.40659292000000002</v>
      </c>
      <c r="AR175" s="5">
        <f ca="1">+VLOOKUP($A175,INDIRECT(Adrese!F$2),6,FALSE)</f>
        <v>0.39774336300000002</v>
      </c>
      <c r="AS175" s="5" t="str">
        <f t="shared" ca="1" si="55"/>
        <v>0.40 (0.01)</v>
      </c>
      <c r="AT175" s="5">
        <f t="shared" ca="1" si="67"/>
        <v>0.40081858403539827</v>
      </c>
      <c r="AU175" s="5">
        <f t="shared" ca="1" si="56"/>
        <v>9.2082186804046326E-3</v>
      </c>
      <c r="AW175" t="s">
        <v>227</v>
      </c>
      <c r="AX175" s="5">
        <f ca="1">+VLOOKUP($A175,INDIRECT(Adrese!B$2),7,FALSE)</f>
        <v>0.21238938053097339</v>
      </c>
      <c r="AY175" s="5">
        <f ca="1">+VLOOKUP($A175,INDIRECT(Adrese!C$2),7,FALSE)</f>
        <v>0.23893805300000001</v>
      </c>
      <c r="AZ175" s="5">
        <f ca="1">+VLOOKUP($A175,INDIRECT(Adrese!D$2),7,FALSE)</f>
        <v>0.23893805300000001</v>
      </c>
      <c r="BA175" s="5">
        <f ca="1">+VLOOKUP($A175,INDIRECT(Adrese!E$2),7,FALSE)</f>
        <v>0.21681415900000001</v>
      </c>
      <c r="BB175" s="5">
        <f ca="1">+VLOOKUP($A175,INDIRECT(Adrese!F$2),7,FALSE)</f>
        <v>0.22566371700000001</v>
      </c>
      <c r="BC175" s="5" t="str">
        <f t="shared" ca="1" si="57"/>
        <v>0.23 (0.01)</v>
      </c>
      <c r="BD175">
        <f t="shared" ca="1" si="68"/>
        <v>0.2265486725061947</v>
      </c>
      <c r="BE175" s="5">
        <f t="shared" ca="1" si="58"/>
        <v>1.2278262771361069E-2</v>
      </c>
      <c r="BG175" t="s">
        <v>227</v>
      </c>
      <c r="BH175" s="5">
        <f ca="1">+VLOOKUP($BG175,INDIRECT(Adrese!B$2),8,FALSE)</f>
        <v>4.1650566037095327E-2</v>
      </c>
      <c r="BI175" s="5">
        <f ca="1">+VLOOKUP($BG175,INDIRECT(Adrese!C$2),8,FALSE)</f>
        <v>3.9793241E-2</v>
      </c>
      <c r="BJ175" s="5">
        <f ca="1">+VLOOKUP($BG175,INDIRECT(Adrese!D$2),8,FALSE)</f>
        <v>4.2053898999999999E-2</v>
      </c>
      <c r="BK175" s="5">
        <f ca="1">+VLOOKUP($BG175,INDIRECT(Adrese!E$2),8,FALSE)</f>
        <v>4.1670301999999999E-2</v>
      </c>
      <c r="BL175" s="5">
        <f ca="1">+VLOOKUP($BG175,INDIRECT(Adrese!F$2),8,FALSE)</f>
        <v>4.0939054000000002E-2</v>
      </c>
      <c r="BM175" s="5" t="str">
        <f t="shared" ca="1" si="59"/>
        <v>0.04 (0.00)</v>
      </c>
      <c r="BN175" s="5">
        <f t="shared" ca="1" si="69"/>
        <v>4.122141240741907E-2</v>
      </c>
      <c r="BO175" s="5">
        <f t="shared" ca="1" si="60"/>
        <v>8.9416280260201815E-4</v>
      </c>
      <c r="BQ175" t="s">
        <v>227</v>
      </c>
      <c r="BR175" s="5">
        <f ca="1">+VLOOKUP($BG175,INDIRECT(Adrese!B$2),9,FALSE)</f>
        <v>2.0745422204392081E-3</v>
      </c>
      <c r="BS175" s="5">
        <f ca="1">+VLOOKUP($BG175,INDIRECT(Adrese!C$2),9,FALSE)</f>
        <v>-3.9412399999999998E-4</v>
      </c>
      <c r="BT175" s="5">
        <f ca="1">+VLOOKUP($BG175,INDIRECT(Adrese!D$2),9,FALSE)</f>
        <v>5.373236E-3</v>
      </c>
      <c r="BU175" s="5">
        <f ca="1">+VLOOKUP($BG175,INDIRECT(Adrese!E$2),9,FALSE)</f>
        <v>3.086475E-3</v>
      </c>
      <c r="BV175" s="5">
        <f ca="1">+VLOOKUP($BG175,INDIRECT(Adrese!F$2),9,FALSE)</f>
        <v>1.5284490000000001E-3</v>
      </c>
      <c r="BW175" s="5" t="str">
        <f t="shared" ca="1" si="61"/>
        <v>0.00 (0.00)</v>
      </c>
      <c r="BX175" s="5">
        <f t="shared" ca="1" si="70"/>
        <v>2.3337156440878413E-3</v>
      </c>
      <c r="BY175" s="5">
        <f t="shared" ca="1" si="62"/>
        <v>2.119083823104999E-3</v>
      </c>
    </row>
    <row r="176" spans="1:77" x14ac:dyDescent="0.25">
      <c r="A176" t="s">
        <v>228</v>
      </c>
      <c r="B176" s="12">
        <f ca="1">+VLOOKUP($A176,INDIRECT(Adrese!B$2),2,FALSE)</f>
        <v>174</v>
      </c>
      <c r="C176" s="12">
        <f ca="1">+VLOOKUP($A176,INDIRECT(Adrese!C$2),2,FALSE)</f>
        <v>172</v>
      </c>
      <c r="D176" s="12">
        <f ca="1">+VLOOKUP($A176,INDIRECT(Adrese!D$2),2,FALSE)</f>
        <v>175</v>
      </c>
      <c r="E176" s="12">
        <f ca="1">+VLOOKUP($A176,INDIRECT(Adrese!E$2),2,FALSE)</f>
        <v>177</v>
      </c>
      <c r="F176" s="12">
        <f ca="1">+VLOOKUP($A176,INDIRECT(Adrese!F$2),2,FALSE)</f>
        <v>171</v>
      </c>
      <c r="G176" s="5">
        <f t="shared" ca="1" si="63"/>
        <v>173.8</v>
      </c>
      <c r="H176" s="5">
        <f t="shared" ca="1" si="50"/>
        <v>2.3874672772626644</v>
      </c>
      <c r="J176" t="s">
        <v>228</v>
      </c>
      <c r="K176">
        <f ca="1">+VLOOKUP($A176,INDIRECT(Adrese!B$2),3,FALSE)</f>
        <v>174</v>
      </c>
      <c r="L176">
        <f ca="1">+VLOOKUP($A176,INDIRECT(Adrese!C$2),3,FALSE)</f>
        <v>171</v>
      </c>
      <c r="M176">
        <f ca="1">+VLOOKUP($A176,INDIRECT(Adrese!D$2),3,FALSE)</f>
        <v>172</v>
      </c>
      <c r="N176">
        <f ca="1">+VLOOKUP($A176,INDIRECT(Adrese!E$2),3,FALSE)</f>
        <v>169</v>
      </c>
      <c r="O176">
        <f ca="1">+VLOOKUP($A176,INDIRECT(Adrese!F$2),3,FALSE)</f>
        <v>178</v>
      </c>
      <c r="P176" s="5">
        <f t="shared" ca="1" si="64"/>
        <v>172.8</v>
      </c>
      <c r="Q176" s="5">
        <f t="shared" ca="1" si="51"/>
        <v>3.4205262752974139</v>
      </c>
      <c r="T176" t="s">
        <v>228</v>
      </c>
      <c r="U176">
        <f ca="1">+VLOOKUP($T176,INDIRECT(Adrese!B$2),4,FALSE)</f>
        <v>92945</v>
      </c>
      <c r="V176">
        <f ca="1">+VLOOKUP($T176,INDIRECT(Adrese!C$2),4,FALSE)</f>
        <v>92782</v>
      </c>
      <c r="W176">
        <f ca="1">+VLOOKUP($T176,INDIRECT(Adrese!D$2),4,FALSE)</f>
        <v>93061</v>
      </c>
      <c r="X176">
        <f ca="1">+VLOOKUP($T176,INDIRECT(Adrese!E$2),4,FALSE)</f>
        <v>92056</v>
      </c>
      <c r="Y176">
        <f ca="1">+VLOOKUP($T176,INDIRECT(Adrese!F$2),4,FALSE)</f>
        <v>93720</v>
      </c>
      <c r="Z176">
        <f t="shared" ca="1" si="52"/>
        <v>464564</v>
      </c>
      <c r="AA176" s="5">
        <f t="shared" ca="1" si="65"/>
        <v>92912.8</v>
      </c>
      <c r="AB176" s="5">
        <f t="shared" ca="1" si="53"/>
        <v>597.03157370443989</v>
      </c>
      <c r="AD176" t="s">
        <v>228</v>
      </c>
      <c r="AE176">
        <f ca="1">+VLOOKUP($A176,INDIRECT(Adrese!B$2),5,FALSE)</f>
        <v>18320</v>
      </c>
      <c r="AF176">
        <f ca="1">+VLOOKUP($A176,INDIRECT(Adrese!C$2),5,FALSE)</f>
        <v>18432</v>
      </c>
      <c r="AG176">
        <f ca="1">+VLOOKUP($A176,INDIRECT(Adrese!D$2),5,FALSE)</f>
        <v>18527</v>
      </c>
      <c r="AH176">
        <f ca="1">+VLOOKUP($A176,INDIRECT(Adrese!E$2),5,FALSE)</f>
        <v>18133</v>
      </c>
      <c r="AI176">
        <f ca="1">+VLOOKUP($A176,INDIRECT(Adrese!F$2),5,FALSE)</f>
        <v>18612</v>
      </c>
      <c r="AJ176" s="5">
        <f t="shared" ca="1" si="66"/>
        <v>18404.8</v>
      </c>
      <c r="AK176" s="5">
        <f t="shared" ca="1" si="54"/>
        <v>186.86278388164936</v>
      </c>
      <c r="AM176" t="s">
        <v>228</v>
      </c>
      <c r="AN176" s="5">
        <f ca="1">+VLOOKUP($A176,INDIRECT(Adrese!B$2),6,FALSE)</f>
        <v>0.4045132743362832</v>
      </c>
      <c r="AO176" s="5">
        <f ca="1">+VLOOKUP($A176,INDIRECT(Adrese!C$2),6,FALSE)</f>
        <v>0.407699115</v>
      </c>
      <c r="AP176" s="5">
        <f ca="1">+VLOOKUP($A176,INDIRECT(Adrese!D$2),6,FALSE)</f>
        <v>0.409800885</v>
      </c>
      <c r="AQ176" s="5">
        <f ca="1">+VLOOKUP($A176,INDIRECT(Adrese!E$2),6,FALSE)</f>
        <v>0.40073008799999998</v>
      </c>
      <c r="AR176" s="5">
        <f ca="1">+VLOOKUP($A176,INDIRECT(Adrese!F$2),6,FALSE)</f>
        <v>0.41137168099999999</v>
      </c>
      <c r="AS176" s="5" t="str">
        <f t="shared" ca="1" si="55"/>
        <v>0.41 (0.00)</v>
      </c>
      <c r="AT176" s="5">
        <f t="shared" ca="1" si="67"/>
        <v>0.40682300866725657</v>
      </c>
      <c r="AU176" s="5">
        <f t="shared" ca="1" si="56"/>
        <v>4.265685310920495E-3</v>
      </c>
      <c r="AW176" t="s">
        <v>228</v>
      </c>
      <c r="AX176" s="5">
        <f ca="1">+VLOOKUP($A176,INDIRECT(Adrese!B$2),7,FALSE)</f>
        <v>0.23008849557522121</v>
      </c>
      <c r="AY176" s="5">
        <f ca="1">+VLOOKUP($A176,INDIRECT(Adrese!C$2),7,FALSE)</f>
        <v>0.243362832</v>
      </c>
      <c r="AZ176" s="5">
        <f ca="1">+VLOOKUP($A176,INDIRECT(Adrese!D$2),7,FALSE)</f>
        <v>0.23893805300000001</v>
      </c>
      <c r="BA176" s="5">
        <f ca="1">+VLOOKUP($A176,INDIRECT(Adrese!E$2),7,FALSE)</f>
        <v>0.25221238899999998</v>
      </c>
      <c r="BB176" s="5">
        <f ca="1">+VLOOKUP($A176,INDIRECT(Adrese!F$2),7,FALSE)</f>
        <v>0.21238938099999999</v>
      </c>
      <c r="BC176" s="5" t="str">
        <f t="shared" ca="1" si="57"/>
        <v>0.24 (0.02)</v>
      </c>
      <c r="BD176">
        <f t="shared" ca="1" si="68"/>
        <v>0.23539823011504427</v>
      </c>
      <c r="BE176" s="5">
        <f t="shared" ca="1" si="58"/>
        <v>1.5135071743581989E-2</v>
      </c>
      <c r="BG176" t="s">
        <v>228</v>
      </c>
      <c r="BH176" s="5">
        <f ca="1">+VLOOKUP($BG176,INDIRECT(Adrese!B$2),8,FALSE)</f>
        <v>4.1852172652106237E-2</v>
      </c>
      <c r="BI176" s="5">
        <f ca="1">+VLOOKUP($BG176,INDIRECT(Adrese!C$2),8,FALSE)</f>
        <v>4.2095028999999999E-2</v>
      </c>
      <c r="BJ176" s="5">
        <f ca="1">+VLOOKUP($BG176,INDIRECT(Adrese!D$2),8,FALSE)</f>
        <v>4.2251792000000003E-2</v>
      </c>
      <c r="BK176" s="5">
        <f ca="1">+VLOOKUP($BG176,INDIRECT(Adrese!E$2),8,FALSE)</f>
        <v>4.1268365000000001E-2</v>
      </c>
      <c r="BL176" s="5">
        <f ca="1">+VLOOKUP($BG176,INDIRECT(Adrese!F$2),8,FALSE)</f>
        <v>4.2358933000000001E-2</v>
      </c>
      <c r="BM176" s="5" t="str">
        <f t="shared" ca="1" si="59"/>
        <v>0.04 (0.00)</v>
      </c>
      <c r="BN176" s="5">
        <f t="shared" ca="1" si="69"/>
        <v>4.1965258330421251E-2</v>
      </c>
      <c r="BO176" s="5">
        <f t="shared" ca="1" si="60"/>
        <v>4.336964377818627E-4</v>
      </c>
      <c r="BQ176" t="s">
        <v>228</v>
      </c>
      <c r="BR176" s="5">
        <f ca="1">+VLOOKUP($BG176,INDIRECT(Adrese!B$2),9,FALSE)</f>
        <v>4.4762711951913002E-3</v>
      </c>
      <c r="BS176" s="5">
        <f ca="1">+VLOOKUP($BG176,INDIRECT(Adrese!C$2),9,FALSE)</f>
        <v>4.5978199999999999E-3</v>
      </c>
      <c r="BT176" s="5">
        <f ca="1">+VLOOKUP($BG176,INDIRECT(Adrese!D$2),9,FALSE)</f>
        <v>4.9227300000000002E-3</v>
      </c>
      <c r="BU176" s="5">
        <f ca="1">+VLOOKUP($BG176,INDIRECT(Adrese!E$2),9,FALSE)</f>
        <v>3.1307869999999999E-3</v>
      </c>
      <c r="BV176" s="5">
        <f ca="1">+VLOOKUP($BG176,INDIRECT(Adrese!F$2),9,FALSE)</f>
        <v>4.8882659999999996E-3</v>
      </c>
      <c r="BW176" s="5" t="str">
        <f t="shared" ca="1" si="61"/>
        <v>0.00 (0.00)</v>
      </c>
      <c r="BX176" s="5">
        <f t="shared" ca="1" si="70"/>
        <v>4.40317483903826E-3</v>
      </c>
      <c r="BY176" s="5">
        <f t="shared" ca="1" si="62"/>
        <v>7.3611337928105799E-4</v>
      </c>
    </row>
    <row r="177" spans="1:77" x14ac:dyDescent="0.25">
      <c r="A177" t="s">
        <v>229</v>
      </c>
      <c r="B177" s="12">
        <f ca="1">+VLOOKUP($A177,INDIRECT(Adrese!B$2),2,FALSE)</f>
        <v>175</v>
      </c>
      <c r="C177" s="12">
        <f ca="1">+VLOOKUP($A177,INDIRECT(Adrese!C$2),2,FALSE)</f>
        <v>169</v>
      </c>
      <c r="D177" s="12">
        <f ca="1">+VLOOKUP($A177,INDIRECT(Adrese!D$2),2,FALSE)</f>
        <v>167</v>
      </c>
      <c r="E177" s="12">
        <f ca="1">+VLOOKUP($A177,INDIRECT(Adrese!E$2),2,FALSE)</f>
        <v>169</v>
      </c>
      <c r="F177" s="12">
        <f ca="1">+VLOOKUP($A177,INDIRECT(Adrese!F$2),2,FALSE)</f>
        <v>173</v>
      </c>
      <c r="G177" s="5">
        <f t="shared" ca="1" si="63"/>
        <v>170.6</v>
      </c>
      <c r="H177" s="5">
        <f t="shared" ca="1" si="50"/>
        <v>3.2863353450309964</v>
      </c>
      <c r="J177" t="s">
        <v>229</v>
      </c>
      <c r="K177">
        <f ca="1">+VLOOKUP($A177,INDIRECT(Adrese!B$2),3,FALSE)</f>
        <v>96</v>
      </c>
      <c r="L177">
        <f ca="1">+VLOOKUP($A177,INDIRECT(Adrese!C$2),3,FALSE)</f>
        <v>101</v>
      </c>
      <c r="M177">
        <f ca="1">+VLOOKUP($A177,INDIRECT(Adrese!D$2),3,FALSE)</f>
        <v>103</v>
      </c>
      <c r="N177">
        <f ca="1">+VLOOKUP($A177,INDIRECT(Adrese!E$2),3,FALSE)</f>
        <v>102</v>
      </c>
      <c r="O177">
        <f ca="1">+VLOOKUP($A177,INDIRECT(Adrese!F$2),3,FALSE)</f>
        <v>94</v>
      </c>
      <c r="P177" s="5">
        <f t="shared" ca="1" si="64"/>
        <v>99.2</v>
      </c>
      <c r="Q177" s="5">
        <f t="shared" ca="1" si="51"/>
        <v>3.9623225512317899</v>
      </c>
      <c r="T177" t="s">
        <v>229</v>
      </c>
      <c r="U177">
        <f ca="1">+VLOOKUP($T177,INDIRECT(Adrese!B$2),4,FALSE)</f>
        <v>92904</v>
      </c>
      <c r="V177">
        <f ca="1">+VLOOKUP($T177,INDIRECT(Adrese!C$2),4,FALSE)</f>
        <v>93934</v>
      </c>
      <c r="W177">
        <f ca="1">+VLOOKUP($T177,INDIRECT(Adrese!D$2),4,FALSE)</f>
        <v>95162</v>
      </c>
      <c r="X177">
        <f ca="1">+VLOOKUP($T177,INDIRECT(Adrese!E$2),4,FALSE)</f>
        <v>94363</v>
      </c>
      <c r="Y177">
        <f ca="1">+VLOOKUP($T177,INDIRECT(Adrese!F$2),4,FALSE)</f>
        <v>93202</v>
      </c>
      <c r="Z177">
        <f t="shared" ca="1" si="52"/>
        <v>469565</v>
      </c>
      <c r="AA177" s="5">
        <f t="shared" ca="1" si="65"/>
        <v>93913</v>
      </c>
      <c r="AB177" s="5">
        <f t="shared" ca="1" si="53"/>
        <v>906.44139358261873</v>
      </c>
      <c r="AD177" t="s">
        <v>229</v>
      </c>
      <c r="AE177">
        <f ca="1">+VLOOKUP($A177,INDIRECT(Adrese!B$2),5,FALSE)</f>
        <v>14719</v>
      </c>
      <c r="AF177">
        <f ca="1">+VLOOKUP($A177,INDIRECT(Adrese!C$2),5,FALSE)</f>
        <v>15253</v>
      </c>
      <c r="AG177">
        <f ca="1">+VLOOKUP($A177,INDIRECT(Adrese!D$2),5,FALSE)</f>
        <v>14914</v>
      </c>
      <c r="AH177">
        <f ca="1">+VLOOKUP($A177,INDIRECT(Adrese!E$2),5,FALSE)</f>
        <v>14599</v>
      </c>
      <c r="AI177">
        <f ca="1">+VLOOKUP($A177,INDIRECT(Adrese!F$2),5,FALSE)</f>
        <v>14971</v>
      </c>
      <c r="AJ177" s="5">
        <f t="shared" ca="1" si="66"/>
        <v>14891.2</v>
      </c>
      <c r="AK177" s="5">
        <f t="shared" ca="1" si="54"/>
        <v>251.40644383149768</v>
      </c>
      <c r="AM177" t="s">
        <v>229</v>
      </c>
      <c r="AN177" s="5">
        <f ca="1">+VLOOKUP($A177,INDIRECT(Adrese!B$2),6,FALSE)</f>
        <v>0.32126106194690268</v>
      </c>
      <c r="AO177" s="5">
        <f ca="1">+VLOOKUP($A177,INDIRECT(Adrese!C$2),6,FALSE)</f>
        <v>0.33307522099999998</v>
      </c>
      <c r="AP177" s="5">
        <f ca="1">+VLOOKUP($A177,INDIRECT(Adrese!D$2),6,FALSE)</f>
        <v>0.32557522100000003</v>
      </c>
      <c r="AQ177" s="5">
        <f ca="1">+VLOOKUP($A177,INDIRECT(Adrese!E$2),6,FALSE)</f>
        <v>0.31860619499999998</v>
      </c>
      <c r="AR177" s="5">
        <f ca="1">+VLOOKUP($A177,INDIRECT(Adrese!F$2),6,FALSE)</f>
        <v>0.32683628300000001</v>
      </c>
      <c r="AS177" s="5" t="str">
        <f t="shared" ca="1" si="55"/>
        <v>0.33 (0.01)</v>
      </c>
      <c r="AT177" s="5">
        <f t="shared" ca="1" si="67"/>
        <v>0.32507079638938052</v>
      </c>
      <c r="AU177" s="5">
        <f t="shared" ca="1" si="56"/>
        <v>5.5620892691718923E-3</v>
      </c>
      <c r="AW177" t="s">
        <v>229</v>
      </c>
      <c r="AX177" s="5">
        <f ca="1">+VLOOKUP($A177,INDIRECT(Adrese!B$2),7,FALSE)</f>
        <v>0.5752212389380531</v>
      </c>
      <c r="AY177" s="5">
        <f ca="1">+VLOOKUP($A177,INDIRECT(Adrese!C$2),7,FALSE)</f>
        <v>0.55309734499999996</v>
      </c>
      <c r="AZ177" s="5">
        <f ca="1">+VLOOKUP($A177,INDIRECT(Adrese!D$2),7,FALSE)</f>
        <v>0.54424778799999995</v>
      </c>
      <c r="BA177" s="5">
        <f ca="1">+VLOOKUP($A177,INDIRECT(Adrese!E$2),7,FALSE)</f>
        <v>0.54867256600000003</v>
      </c>
      <c r="BB177" s="5">
        <f ca="1">+VLOOKUP($A177,INDIRECT(Adrese!F$2),7,FALSE)</f>
        <v>0.584070796</v>
      </c>
      <c r="BC177" s="5" t="str">
        <f t="shared" ca="1" si="57"/>
        <v>0.56 (0.02)</v>
      </c>
      <c r="BD177">
        <f t="shared" ca="1" si="68"/>
        <v>0.56106194678761057</v>
      </c>
      <c r="BE177" s="5">
        <f t="shared" ca="1" si="58"/>
        <v>1.7532400505568712E-2</v>
      </c>
      <c r="BG177" t="s">
        <v>229</v>
      </c>
      <c r="BH177" s="5">
        <f ca="1">+VLOOKUP($BG177,INDIRECT(Adrese!B$2),8,FALSE)</f>
        <v>2.8963503171661228E-2</v>
      </c>
      <c r="BI177" s="5">
        <f ca="1">+VLOOKUP($BG177,INDIRECT(Adrese!C$2),8,FALSE)</f>
        <v>3.0215344000000002E-2</v>
      </c>
      <c r="BJ177" s="5">
        <f ca="1">+VLOOKUP($BG177,INDIRECT(Adrese!D$2),8,FALSE)</f>
        <v>2.9448776999999999E-2</v>
      </c>
      <c r="BK177" s="5">
        <f ca="1">+VLOOKUP($BG177,INDIRECT(Adrese!E$2),8,FALSE)</f>
        <v>2.8651474E-2</v>
      </c>
      <c r="BL177" s="5">
        <f ca="1">+VLOOKUP($BG177,INDIRECT(Adrese!F$2),8,FALSE)</f>
        <v>2.9532975E-2</v>
      </c>
      <c r="BM177" s="5" t="str">
        <f t="shared" ca="1" si="59"/>
        <v>0.03 (0.00)</v>
      </c>
      <c r="BN177" s="5">
        <f t="shared" ca="1" si="69"/>
        <v>2.9362414634332246E-2</v>
      </c>
      <c r="BO177" s="5">
        <f t="shared" ca="1" si="60"/>
        <v>5.9762127220211881E-4</v>
      </c>
      <c r="BQ177" t="s">
        <v>229</v>
      </c>
      <c r="BR177" s="5">
        <f ca="1">+VLOOKUP($BG177,INDIRECT(Adrese!B$2),9,FALSE)</f>
        <v>-2.528427494572761E-2</v>
      </c>
      <c r="BS177" s="5">
        <f ca="1">+VLOOKUP($BG177,INDIRECT(Adrese!C$2),9,FALSE)</f>
        <v>-2.2687968999999999E-2</v>
      </c>
      <c r="BT177" s="5">
        <f ca="1">+VLOOKUP($BG177,INDIRECT(Adrese!D$2),9,FALSE)</f>
        <v>-2.4097799999999999E-2</v>
      </c>
      <c r="BU177" s="5">
        <f ca="1">+VLOOKUP($BG177,INDIRECT(Adrese!E$2),9,FALSE)</f>
        <v>-2.6126891999999999E-2</v>
      </c>
      <c r="BV177" s="5">
        <f ca="1">+VLOOKUP($BG177,INDIRECT(Adrese!F$2),9,FALSE)</f>
        <v>-2.4487524E-2</v>
      </c>
      <c r="BW177" s="5" t="str">
        <f t="shared" ca="1" si="61"/>
        <v>-0.02 (0.00)</v>
      </c>
      <c r="BX177" s="5">
        <f t="shared" ca="1" si="70"/>
        <v>-2.4536891989145521E-2</v>
      </c>
      <c r="BY177" s="5">
        <f t="shared" ca="1" si="62"/>
        <v>1.2942600696325952E-3</v>
      </c>
    </row>
    <row r="178" spans="1:77" x14ac:dyDescent="0.25">
      <c r="A178" t="s">
        <v>230</v>
      </c>
      <c r="B178" s="12">
        <f ca="1">+VLOOKUP($A178,INDIRECT(Adrese!B$2),2,FALSE)</f>
        <v>176</v>
      </c>
      <c r="C178" s="12">
        <f ca="1">+VLOOKUP($A178,INDIRECT(Adrese!C$2),2,FALSE)</f>
        <v>174</v>
      </c>
      <c r="D178" s="12">
        <f ca="1">+VLOOKUP($A178,INDIRECT(Adrese!D$2),2,FALSE)</f>
        <v>173</v>
      </c>
      <c r="E178" s="12">
        <f ca="1">+VLOOKUP($A178,INDIRECT(Adrese!E$2),2,FALSE)</f>
        <v>175</v>
      </c>
      <c r="F178" s="12">
        <f ca="1">+VLOOKUP($A178,INDIRECT(Adrese!F$2),2,FALSE)</f>
        <v>175</v>
      </c>
      <c r="G178" s="5">
        <f t="shared" ca="1" si="63"/>
        <v>174.6</v>
      </c>
      <c r="H178" s="5">
        <f t="shared" ca="1" si="50"/>
        <v>1.1401754250991381</v>
      </c>
      <c r="J178" t="s">
        <v>230</v>
      </c>
      <c r="K178">
        <f ca="1">+VLOOKUP($A178,INDIRECT(Adrese!B$2),3,FALSE)</f>
        <v>133</v>
      </c>
      <c r="L178">
        <f ca="1">+VLOOKUP($A178,INDIRECT(Adrese!C$2),3,FALSE)</f>
        <v>134</v>
      </c>
      <c r="M178">
        <f ca="1">+VLOOKUP($A178,INDIRECT(Adrese!D$2),3,FALSE)</f>
        <v>131</v>
      </c>
      <c r="N178">
        <f ca="1">+VLOOKUP($A178,INDIRECT(Adrese!E$2),3,FALSE)</f>
        <v>132</v>
      </c>
      <c r="O178">
        <f ca="1">+VLOOKUP($A178,INDIRECT(Adrese!F$2),3,FALSE)</f>
        <v>131</v>
      </c>
      <c r="P178" s="5">
        <f t="shared" ca="1" si="64"/>
        <v>132.19999999999999</v>
      </c>
      <c r="Q178" s="5">
        <f t="shared" ca="1" si="51"/>
        <v>1.3038404810405297</v>
      </c>
      <c r="T178" t="s">
        <v>230</v>
      </c>
      <c r="U178">
        <f ca="1">+VLOOKUP($T178,INDIRECT(Adrese!B$2),4,FALSE)</f>
        <v>92898</v>
      </c>
      <c r="V178">
        <f ca="1">+VLOOKUP($T178,INDIRECT(Adrese!C$2),4,FALSE)</f>
        <v>92648</v>
      </c>
      <c r="W178">
        <f ca="1">+VLOOKUP($T178,INDIRECT(Adrese!D$2),4,FALSE)</f>
        <v>93489</v>
      </c>
      <c r="X178">
        <f ca="1">+VLOOKUP($T178,INDIRECT(Adrese!E$2),4,FALSE)</f>
        <v>92486</v>
      </c>
      <c r="Y178">
        <f ca="1">+VLOOKUP($T178,INDIRECT(Adrese!F$2),4,FALSE)</f>
        <v>92506</v>
      </c>
      <c r="Z178">
        <f t="shared" ca="1" si="52"/>
        <v>464027</v>
      </c>
      <c r="AA178" s="5">
        <f t="shared" ca="1" si="65"/>
        <v>92805.4</v>
      </c>
      <c r="AB178" s="5">
        <f t="shared" ca="1" si="53"/>
        <v>416.02740294360416</v>
      </c>
      <c r="AD178" t="s">
        <v>230</v>
      </c>
      <c r="AE178">
        <f ca="1">+VLOOKUP($A178,INDIRECT(Adrese!B$2),5,FALSE)</f>
        <v>20291</v>
      </c>
      <c r="AF178">
        <f ca="1">+VLOOKUP($A178,INDIRECT(Adrese!C$2),5,FALSE)</f>
        <v>20148</v>
      </c>
      <c r="AG178">
        <f ca="1">+VLOOKUP($A178,INDIRECT(Adrese!D$2),5,FALSE)</f>
        <v>20783</v>
      </c>
      <c r="AH178">
        <f ca="1">+VLOOKUP($A178,INDIRECT(Adrese!E$2),5,FALSE)</f>
        <v>20053</v>
      </c>
      <c r="AI178">
        <f ca="1">+VLOOKUP($A178,INDIRECT(Adrese!F$2),5,FALSE)</f>
        <v>19968</v>
      </c>
      <c r="AJ178" s="5">
        <f t="shared" ca="1" si="66"/>
        <v>20248.599999999999</v>
      </c>
      <c r="AK178" s="5">
        <f t="shared" ca="1" si="54"/>
        <v>321.90728478864838</v>
      </c>
      <c r="AM178" t="s">
        <v>230</v>
      </c>
      <c r="AN178" s="5">
        <f ca="1">+VLOOKUP($A178,INDIRECT(Adrese!B$2),6,FALSE)</f>
        <v>0.44891592920353979</v>
      </c>
      <c r="AO178" s="5">
        <f ca="1">+VLOOKUP($A178,INDIRECT(Adrese!C$2),6,FALSE)</f>
        <v>0.44575221199999998</v>
      </c>
      <c r="AP178" s="5">
        <f ca="1">+VLOOKUP($A178,INDIRECT(Adrese!D$2),6,FALSE)</f>
        <v>0.45980088499999999</v>
      </c>
      <c r="AQ178" s="5">
        <f ca="1">+VLOOKUP($A178,INDIRECT(Adrese!E$2),6,FALSE)</f>
        <v>0.44365044199999998</v>
      </c>
      <c r="AR178" s="5">
        <f ca="1">+VLOOKUP($A178,INDIRECT(Adrese!F$2),6,FALSE)</f>
        <v>0.44176991199999999</v>
      </c>
      <c r="AS178" s="5" t="str">
        <f t="shared" ca="1" si="55"/>
        <v>0.45 (0.01)</v>
      </c>
      <c r="AT178" s="5">
        <f t="shared" ca="1" si="67"/>
        <v>0.44797787604070793</v>
      </c>
      <c r="AU178" s="5">
        <f t="shared" ca="1" si="56"/>
        <v>7.1218425972022952E-3</v>
      </c>
      <c r="AW178" t="s">
        <v>230</v>
      </c>
      <c r="AX178" s="5">
        <f ca="1">+VLOOKUP($A178,INDIRECT(Adrese!B$2),7,FALSE)</f>
        <v>0.41150442477876098</v>
      </c>
      <c r="AY178" s="5">
        <f ca="1">+VLOOKUP($A178,INDIRECT(Adrese!C$2),7,FALSE)</f>
        <v>0.40707964600000002</v>
      </c>
      <c r="AZ178" s="5">
        <f ca="1">+VLOOKUP($A178,INDIRECT(Adrese!D$2),7,FALSE)</f>
        <v>0.42035398200000001</v>
      </c>
      <c r="BA178" s="5">
        <f ca="1">+VLOOKUP($A178,INDIRECT(Adrese!E$2),7,FALSE)</f>
        <v>0.415929204</v>
      </c>
      <c r="BB178" s="5">
        <f ca="1">+VLOOKUP($A178,INDIRECT(Adrese!F$2),7,FALSE)</f>
        <v>0.42035398200000001</v>
      </c>
      <c r="BC178" s="5" t="str">
        <f t="shared" ca="1" si="57"/>
        <v>0.42 (0.01)</v>
      </c>
      <c r="BD178">
        <f t="shared" ca="1" si="68"/>
        <v>0.41504424775575222</v>
      </c>
      <c r="BE178" s="5">
        <f t="shared" ca="1" si="58"/>
        <v>5.7692055536155652E-3</v>
      </c>
      <c r="BG178" t="s">
        <v>230</v>
      </c>
      <c r="BH178" s="5">
        <f ca="1">+VLOOKUP($BG178,INDIRECT(Adrese!B$2),8,FALSE)</f>
        <v>4.7107309317529357E-2</v>
      </c>
      <c r="BI178" s="5">
        <f ca="1">+VLOOKUP($BG178,INDIRECT(Adrese!C$2),8,FALSE)</f>
        <v>4.6764541999999999E-2</v>
      </c>
      <c r="BJ178" s="5">
        <f ca="1">+VLOOKUP($BG178,INDIRECT(Adrese!D$2),8,FALSE)</f>
        <v>4.8265821E-2</v>
      </c>
      <c r="BK178" s="5">
        <f ca="1">+VLOOKUP($BG178,INDIRECT(Adrese!E$2),8,FALSE)</f>
        <v>4.6577384999999999E-2</v>
      </c>
      <c r="BL178" s="5">
        <f ca="1">+VLOOKUP($BG178,INDIRECT(Adrese!F$2),8,FALSE)</f>
        <v>4.6691033E-2</v>
      </c>
      <c r="BM178" s="5" t="str">
        <f t="shared" ca="1" si="59"/>
        <v>0.05 (0.00)</v>
      </c>
      <c r="BN178" s="5">
        <f t="shared" ca="1" si="69"/>
        <v>4.7081218063505868E-2</v>
      </c>
      <c r="BO178" s="5">
        <f t="shared" ca="1" si="60"/>
        <v>6.9107538292674704E-4</v>
      </c>
      <c r="BQ178" t="s">
        <v>230</v>
      </c>
      <c r="BR178" s="5">
        <f ca="1">+VLOOKUP($BG178,INDIRECT(Adrese!B$2),9,FALSE)</f>
        <v>1.8677484150300121E-2</v>
      </c>
      <c r="BS178" s="5">
        <f ca="1">+VLOOKUP($BG178,INDIRECT(Adrese!C$2),9,FALSE)</f>
        <v>1.8283391999999999E-2</v>
      </c>
      <c r="BT178" s="5">
        <f ca="1">+VLOOKUP($BG178,INDIRECT(Adrese!D$2),9,FALSE)</f>
        <v>2.1124061E-2</v>
      </c>
      <c r="BU178" s="5">
        <f ca="1">+VLOOKUP($BG178,INDIRECT(Adrese!E$2),9,FALSE)</f>
        <v>1.8216752999999999E-2</v>
      </c>
      <c r="BV178" s="5">
        <f ca="1">+VLOOKUP($BG178,INDIRECT(Adrese!F$2),9,FALSE)</f>
        <v>1.9073161000000002E-2</v>
      </c>
      <c r="BW178" s="5" t="str">
        <f t="shared" ca="1" si="61"/>
        <v>0.02 (0.00)</v>
      </c>
      <c r="BX178" s="5">
        <f t="shared" ca="1" si="70"/>
        <v>1.9074970230060027E-2</v>
      </c>
      <c r="BY178" s="5">
        <f t="shared" ca="1" si="62"/>
        <v>1.1958160758083131E-3</v>
      </c>
    </row>
    <row r="179" spans="1:77" x14ac:dyDescent="0.25">
      <c r="A179" t="s">
        <v>231</v>
      </c>
      <c r="B179" s="12">
        <f ca="1">+VLOOKUP($A179,INDIRECT(Adrese!B$2),2,FALSE)</f>
        <v>177</v>
      </c>
      <c r="C179" s="12">
        <f ca="1">+VLOOKUP($A179,INDIRECT(Adrese!C$2),2,FALSE)</f>
        <v>183</v>
      </c>
      <c r="D179" s="12">
        <f ca="1">+VLOOKUP($A179,INDIRECT(Adrese!D$2),2,FALSE)</f>
        <v>177</v>
      </c>
      <c r="E179" s="12">
        <f ca="1">+VLOOKUP($A179,INDIRECT(Adrese!E$2),2,FALSE)</f>
        <v>183</v>
      </c>
      <c r="F179" s="12">
        <f ca="1">+VLOOKUP($A179,INDIRECT(Adrese!F$2),2,FALSE)</f>
        <v>177</v>
      </c>
      <c r="G179" s="5">
        <f t="shared" ca="1" si="63"/>
        <v>179.4</v>
      </c>
      <c r="H179" s="5">
        <f t="shared" ca="1" si="50"/>
        <v>3.2863353450309964</v>
      </c>
      <c r="J179" t="s">
        <v>231</v>
      </c>
      <c r="K179">
        <f ca="1">+VLOOKUP($A179,INDIRECT(Adrese!B$2),3,FALSE)</f>
        <v>42</v>
      </c>
      <c r="L179">
        <f ca="1">+VLOOKUP($A179,INDIRECT(Adrese!C$2),3,FALSE)</f>
        <v>39</v>
      </c>
      <c r="M179">
        <f ca="1">+VLOOKUP($A179,INDIRECT(Adrese!D$2),3,FALSE)</f>
        <v>40</v>
      </c>
      <c r="N179">
        <f ca="1">+VLOOKUP($A179,INDIRECT(Adrese!E$2),3,FALSE)</f>
        <v>42</v>
      </c>
      <c r="O179">
        <f ca="1">+VLOOKUP($A179,INDIRECT(Adrese!F$2),3,FALSE)</f>
        <v>42</v>
      </c>
      <c r="P179" s="5">
        <f t="shared" ca="1" si="64"/>
        <v>41</v>
      </c>
      <c r="Q179" s="5">
        <f t="shared" ca="1" si="51"/>
        <v>1.4142135623730951</v>
      </c>
      <c r="T179" t="s">
        <v>231</v>
      </c>
      <c r="U179">
        <f ca="1">+VLOOKUP($T179,INDIRECT(Adrese!B$2),4,FALSE)</f>
        <v>92382</v>
      </c>
      <c r="V179">
        <f ca="1">+VLOOKUP($T179,INDIRECT(Adrese!C$2),4,FALSE)</f>
        <v>90795</v>
      </c>
      <c r="W179">
        <f ca="1">+VLOOKUP($T179,INDIRECT(Adrese!D$2),4,FALSE)</f>
        <v>92441</v>
      </c>
      <c r="X179">
        <f ca="1">+VLOOKUP($T179,INDIRECT(Adrese!E$2),4,FALSE)</f>
        <v>90890</v>
      </c>
      <c r="Y179">
        <f ca="1">+VLOOKUP($T179,INDIRECT(Adrese!F$2),4,FALSE)</f>
        <v>92162</v>
      </c>
      <c r="Z179">
        <f t="shared" ca="1" si="52"/>
        <v>458670</v>
      </c>
      <c r="AA179" s="5">
        <f t="shared" ca="1" si="65"/>
        <v>91734</v>
      </c>
      <c r="AB179" s="5">
        <f t="shared" ca="1" si="53"/>
        <v>821.12636055603525</v>
      </c>
      <c r="AD179" t="s">
        <v>231</v>
      </c>
      <c r="AE179">
        <f ca="1">+VLOOKUP($A179,INDIRECT(Adrese!B$2),5,FALSE)</f>
        <v>43575</v>
      </c>
      <c r="AF179">
        <f ca="1">+VLOOKUP($A179,INDIRECT(Adrese!C$2),5,FALSE)</f>
        <v>43474</v>
      </c>
      <c r="AG179">
        <f ca="1">+VLOOKUP($A179,INDIRECT(Adrese!D$2),5,FALSE)</f>
        <v>43526</v>
      </c>
      <c r="AH179">
        <f ca="1">+VLOOKUP($A179,INDIRECT(Adrese!E$2),5,FALSE)</f>
        <v>43247</v>
      </c>
      <c r="AI179">
        <f ca="1">+VLOOKUP($A179,INDIRECT(Adrese!F$2),5,FALSE)</f>
        <v>43402</v>
      </c>
      <c r="AJ179" s="5">
        <f t="shared" ca="1" si="66"/>
        <v>43444.800000000003</v>
      </c>
      <c r="AK179" s="5">
        <f t="shared" ca="1" si="54"/>
        <v>127.82292439151907</v>
      </c>
      <c r="AM179" t="s">
        <v>231</v>
      </c>
      <c r="AN179" s="5">
        <f ca="1">+VLOOKUP($A179,INDIRECT(Adrese!B$2),6,FALSE)</f>
        <v>0.95964601769911506</v>
      </c>
      <c r="AO179" s="5">
        <f ca="1">+VLOOKUP($A179,INDIRECT(Adrese!C$2),6,FALSE)</f>
        <v>0.95741150399999997</v>
      </c>
      <c r="AP179" s="5">
        <f ca="1">+VLOOKUP($A179,INDIRECT(Adrese!D$2),6,FALSE)</f>
        <v>0.95856194699999997</v>
      </c>
      <c r="AQ179" s="5">
        <f ca="1">+VLOOKUP($A179,INDIRECT(Adrese!E$2),6,FALSE)</f>
        <v>0.95238938100000003</v>
      </c>
      <c r="AR179" s="5">
        <f ca="1">+VLOOKUP($A179,INDIRECT(Adrese!F$2),6,FALSE)</f>
        <v>0.95581858399999997</v>
      </c>
      <c r="AS179" s="5" t="str">
        <f t="shared" ca="1" si="55"/>
        <v>0.96 (0.00)</v>
      </c>
      <c r="AT179" s="5">
        <f t="shared" ca="1" si="67"/>
        <v>0.95676548673982309</v>
      </c>
      <c r="AU179" s="5">
        <f t="shared" ca="1" si="56"/>
        <v>2.8279406207997707E-3</v>
      </c>
      <c r="AW179" t="s">
        <v>231</v>
      </c>
      <c r="AX179" s="5">
        <f ca="1">+VLOOKUP($A179,INDIRECT(Adrese!B$2),7,FALSE)</f>
        <v>0.81415929203539827</v>
      </c>
      <c r="AY179" s="5">
        <f ca="1">+VLOOKUP($A179,INDIRECT(Adrese!C$2),7,FALSE)</f>
        <v>0.82743362799999998</v>
      </c>
      <c r="AZ179" s="5">
        <f ca="1">+VLOOKUP($A179,INDIRECT(Adrese!D$2),7,FALSE)</f>
        <v>0.82300885000000001</v>
      </c>
      <c r="BA179" s="5">
        <f ca="1">+VLOOKUP($A179,INDIRECT(Adrese!E$2),7,FALSE)</f>
        <v>0.81415929200000003</v>
      </c>
      <c r="BB179" s="5">
        <f ca="1">+VLOOKUP($A179,INDIRECT(Adrese!F$2),7,FALSE)</f>
        <v>0.81415929200000003</v>
      </c>
      <c r="BC179" s="5" t="str">
        <f t="shared" ca="1" si="57"/>
        <v>0.82 (0.01)</v>
      </c>
      <c r="BD179">
        <f t="shared" ca="1" si="68"/>
        <v>0.81858407080707973</v>
      </c>
      <c r="BE179" s="5">
        <f t="shared" ca="1" si="58"/>
        <v>6.2575821124926691E-3</v>
      </c>
      <c r="BG179" t="s">
        <v>231</v>
      </c>
      <c r="BH179" s="5">
        <f ca="1">+VLOOKUP($BG179,INDIRECT(Adrese!B$2),8,FALSE)</f>
        <v>8.503146486295364E-2</v>
      </c>
      <c r="BI179" s="5">
        <f ca="1">+VLOOKUP($BG179,INDIRECT(Adrese!C$2),8,FALSE)</f>
        <v>8.4728499999999998E-2</v>
      </c>
      <c r="BJ179" s="5">
        <f ca="1">+VLOOKUP($BG179,INDIRECT(Adrese!D$2),8,FALSE)</f>
        <v>8.5087461000000003E-2</v>
      </c>
      <c r="BK179" s="5">
        <f ca="1">+VLOOKUP($BG179,INDIRECT(Adrese!E$2),8,FALSE)</f>
        <v>8.4294132999999993E-2</v>
      </c>
      <c r="BL179" s="5">
        <f ca="1">+VLOOKUP($BG179,INDIRECT(Adrese!F$2),8,FALSE)</f>
        <v>8.4901596999999995E-2</v>
      </c>
      <c r="BM179" s="5" t="str">
        <f t="shared" ca="1" si="59"/>
        <v>0.08 (0.00)</v>
      </c>
      <c r="BN179" s="5">
        <f t="shared" ca="1" si="69"/>
        <v>8.4808631172590715E-2</v>
      </c>
      <c r="BO179" s="5">
        <f t="shared" ca="1" si="60"/>
        <v>3.1905052331084678E-4</v>
      </c>
      <c r="BQ179" t="s">
        <v>231</v>
      </c>
      <c r="BR179" s="5">
        <f ca="1">+VLOOKUP($BG179,INDIRECT(Adrese!B$2),9,FALSE)</f>
        <v>6.7296564460478533E-2</v>
      </c>
      <c r="BS179" s="5">
        <f ca="1">+VLOOKUP($BG179,INDIRECT(Adrese!C$2),9,FALSE)</f>
        <v>6.6717628000000001E-2</v>
      </c>
      <c r="BT179" s="5">
        <f ca="1">+VLOOKUP($BG179,INDIRECT(Adrese!D$2),9,FALSE)</f>
        <v>6.7510063999999995E-2</v>
      </c>
      <c r="BU179" s="5">
        <f ca="1">+VLOOKUP($BG179,INDIRECT(Adrese!E$2),9,FALSE)</f>
        <v>6.6263359999999993E-2</v>
      </c>
      <c r="BV179" s="5">
        <f ca="1">+VLOOKUP($BG179,INDIRECT(Adrese!F$2),9,FALSE)</f>
        <v>6.7297896999999995E-2</v>
      </c>
      <c r="BW179" s="5" t="str">
        <f t="shared" ca="1" si="61"/>
        <v>0.07 (0.00)</v>
      </c>
      <c r="BX179" s="5">
        <f t="shared" ca="1" si="70"/>
        <v>6.7017102692095695E-2</v>
      </c>
      <c r="BY179" s="5">
        <f t="shared" ca="1" si="62"/>
        <v>5.1423931965654916E-4</v>
      </c>
    </row>
    <row r="180" spans="1:77" x14ac:dyDescent="0.25">
      <c r="A180" t="s">
        <v>232</v>
      </c>
      <c r="B180" s="12">
        <f ca="1">+VLOOKUP($A180,INDIRECT(Adrese!B$2),2,FALSE)</f>
        <v>178</v>
      </c>
      <c r="C180" s="12">
        <f ca="1">+VLOOKUP($A180,INDIRECT(Adrese!C$2),2,FALSE)</f>
        <v>144</v>
      </c>
      <c r="D180" s="12">
        <f ca="1">+VLOOKUP($A180,INDIRECT(Adrese!D$2),2,FALSE)</f>
        <v>166</v>
      </c>
      <c r="E180" s="12">
        <f ca="1">+VLOOKUP($A180,INDIRECT(Adrese!E$2),2,FALSE)</f>
        <v>149</v>
      </c>
      <c r="F180" s="12">
        <f ca="1">+VLOOKUP($A180,INDIRECT(Adrese!F$2),2,FALSE)</f>
        <v>164</v>
      </c>
      <c r="G180" s="5">
        <f t="shared" ca="1" si="63"/>
        <v>160.19999999999999</v>
      </c>
      <c r="H180" s="5">
        <f t="shared" ca="1" si="50"/>
        <v>13.718600511714014</v>
      </c>
      <c r="J180" t="s">
        <v>232</v>
      </c>
      <c r="K180">
        <f ca="1">+VLOOKUP($A180,INDIRECT(Adrese!B$2),3,FALSE)</f>
        <v>97</v>
      </c>
      <c r="L180">
        <f ca="1">+VLOOKUP($A180,INDIRECT(Adrese!C$2),3,FALSE)</f>
        <v>80</v>
      </c>
      <c r="M180">
        <f ca="1">+VLOOKUP($A180,INDIRECT(Adrese!D$2),3,FALSE)</f>
        <v>79</v>
      </c>
      <c r="N180">
        <f ca="1">+VLOOKUP($A180,INDIRECT(Adrese!E$2),3,FALSE)</f>
        <v>75</v>
      </c>
      <c r="O180">
        <f ca="1">+VLOOKUP($A180,INDIRECT(Adrese!F$2),3,FALSE)</f>
        <v>82</v>
      </c>
      <c r="P180" s="5">
        <f t="shared" ca="1" si="64"/>
        <v>82.6</v>
      </c>
      <c r="Q180" s="5">
        <f t="shared" ca="1" si="51"/>
        <v>8.4439327330338205</v>
      </c>
      <c r="T180" t="s">
        <v>232</v>
      </c>
      <c r="U180">
        <f ca="1">+VLOOKUP($T180,INDIRECT(Adrese!B$2),4,FALSE)</f>
        <v>92065</v>
      </c>
      <c r="V180">
        <f ca="1">+VLOOKUP($T180,INDIRECT(Adrese!C$2),4,FALSE)</f>
        <v>100465</v>
      </c>
      <c r="W180">
        <f ca="1">+VLOOKUP($T180,INDIRECT(Adrese!D$2),4,FALSE)</f>
        <v>95905</v>
      </c>
      <c r="X180">
        <f ca="1">+VLOOKUP($T180,INDIRECT(Adrese!E$2),4,FALSE)</f>
        <v>98957</v>
      </c>
      <c r="Y180">
        <f ca="1">+VLOOKUP($T180,INDIRECT(Adrese!F$2),4,FALSE)</f>
        <v>95349</v>
      </c>
      <c r="Z180">
        <f t="shared" ca="1" si="52"/>
        <v>482741</v>
      </c>
      <c r="AA180" s="5">
        <f t="shared" ca="1" si="65"/>
        <v>96548.2</v>
      </c>
      <c r="AB180" s="5">
        <f t="shared" ca="1" si="53"/>
        <v>3282.3203987423285</v>
      </c>
      <c r="AD180" t="s">
        <v>232</v>
      </c>
      <c r="AE180">
        <f ca="1">+VLOOKUP($A180,INDIRECT(Adrese!B$2),5,FALSE)</f>
        <v>24800</v>
      </c>
      <c r="AF180">
        <f ca="1">+VLOOKUP($A180,INDIRECT(Adrese!C$2),5,FALSE)</f>
        <v>28500</v>
      </c>
      <c r="AG180">
        <f ca="1">+VLOOKUP($A180,INDIRECT(Adrese!D$2),5,FALSE)</f>
        <v>28400</v>
      </c>
      <c r="AH180">
        <f ca="1">+VLOOKUP($A180,INDIRECT(Adrese!E$2),5,FALSE)</f>
        <v>29100</v>
      </c>
      <c r="AI180">
        <f ca="1">+VLOOKUP($A180,INDIRECT(Adrese!F$2),5,FALSE)</f>
        <v>27600</v>
      </c>
      <c r="AJ180" s="5">
        <f t="shared" ca="1" si="66"/>
        <v>27680</v>
      </c>
      <c r="AK180" s="5">
        <f t="shared" ca="1" si="54"/>
        <v>1696.1721610732798</v>
      </c>
      <c r="AM180" t="s">
        <v>232</v>
      </c>
      <c r="AN180" s="5">
        <f ca="1">+VLOOKUP($A180,INDIRECT(Adrese!B$2),6,FALSE)</f>
        <v>0.54867256637168138</v>
      </c>
      <c r="AO180" s="5">
        <f ca="1">+VLOOKUP($A180,INDIRECT(Adrese!C$2),6,FALSE)</f>
        <v>0.62831858399999996</v>
      </c>
      <c r="AP180" s="5">
        <f ca="1">+VLOOKUP($A180,INDIRECT(Adrese!D$2),6,FALSE)</f>
        <v>0.62389380500000002</v>
      </c>
      <c r="AQ180" s="5">
        <f ca="1">+VLOOKUP($A180,INDIRECT(Adrese!E$2),6,FALSE)</f>
        <v>0.64159292000000001</v>
      </c>
      <c r="AR180" s="5">
        <f ca="1">+VLOOKUP($A180,INDIRECT(Adrese!F$2),6,FALSE)</f>
        <v>0.60619469000000004</v>
      </c>
      <c r="AS180" s="5" t="str">
        <f t="shared" ca="1" si="55"/>
        <v>0.61 (0.04)</v>
      </c>
      <c r="AT180" s="5">
        <f t="shared" ca="1" si="67"/>
        <v>0.60973451307433635</v>
      </c>
      <c r="AU180" s="5">
        <f t="shared" ca="1" si="56"/>
        <v>3.6407083838048998E-2</v>
      </c>
      <c r="AW180" t="s">
        <v>232</v>
      </c>
      <c r="AX180" s="5">
        <f ca="1">+VLOOKUP($A180,INDIRECT(Adrese!B$2),7,FALSE)</f>
        <v>0.57079646017699115</v>
      </c>
      <c r="AY180" s="5">
        <f ca="1">+VLOOKUP($A180,INDIRECT(Adrese!C$2),7,FALSE)</f>
        <v>0.64601769899999995</v>
      </c>
      <c r="AZ180" s="5">
        <f ca="1">+VLOOKUP($A180,INDIRECT(Adrese!D$2),7,FALSE)</f>
        <v>0.65044247799999999</v>
      </c>
      <c r="BA180" s="5">
        <f ca="1">+VLOOKUP($A180,INDIRECT(Adrese!E$2),7,FALSE)</f>
        <v>0.66814159299999998</v>
      </c>
      <c r="BB180" s="5">
        <f ca="1">+VLOOKUP($A180,INDIRECT(Adrese!F$2),7,FALSE)</f>
        <v>0.63716814200000005</v>
      </c>
      <c r="BC180" s="5" t="str">
        <f t="shared" ca="1" si="57"/>
        <v>0.63 (0.04)</v>
      </c>
      <c r="BD180">
        <f t="shared" ca="1" si="68"/>
        <v>0.63451327443539829</v>
      </c>
      <c r="BE180" s="5">
        <f t="shared" ca="1" si="58"/>
        <v>3.7362534246466052E-2</v>
      </c>
      <c r="BG180" t="s">
        <v>232</v>
      </c>
      <c r="BH180" s="5">
        <f ca="1">+VLOOKUP($BG180,INDIRECT(Adrese!B$2),8,FALSE)</f>
        <v>4.7421818432054959E-2</v>
      </c>
      <c r="BI180" s="5">
        <f ca="1">+VLOOKUP($BG180,INDIRECT(Adrese!C$2),8,FALSE)</f>
        <v>5.5950693000000003E-2</v>
      </c>
      <c r="BJ180" s="5">
        <f ca="1">+VLOOKUP($BG180,INDIRECT(Adrese!D$2),8,FALSE)</f>
        <v>5.5686762000000001E-2</v>
      </c>
      <c r="BK180" s="5">
        <f ca="1">+VLOOKUP($BG180,INDIRECT(Adrese!E$2),8,FALSE)</f>
        <v>5.7121753999999997E-2</v>
      </c>
      <c r="BL180" s="5">
        <f ca="1">+VLOOKUP($BG180,INDIRECT(Adrese!F$2),8,FALSE)</f>
        <v>5.3990752000000003E-2</v>
      </c>
      <c r="BM180" s="5" t="str">
        <f t="shared" ca="1" si="59"/>
        <v>0.05 (0.00)</v>
      </c>
      <c r="BN180" s="5">
        <f t="shared" ca="1" si="69"/>
        <v>5.4034355886410992E-2</v>
      </c>
      <c r="BO180" s="5">
        <f t="shared" ca="1" si="60"/>
        <v>3.8620711377805252E-3</v>
      </c>
      <c r="BQ180" t="s">
        <v>232</v>
      </c>
      <c r="BR180" s="5">
        <f ca="1">+VLOOKUP($BG180,INDIRECT(Adrese!B$2),9,FALSE)</f>
        <v>5.2234993173722022E-4</v>
      </c>
      <c r="BS180" s="5">
        <f ca="1">+VLOOKUP($BG180,INDIRECT(Adrese!C$2),9,FALSE)</f>
        <v>1.8548313E-2</v>
      </c>
      <c r="BT180" s="5">
        <f ca="1">+VLOOKUP($BG180,INDIRECT(Adrese!D$2),9,FALSE)</f>
        <v>1.5734537E-2</v>
      </c>
      <c r="BU180" s="5">
        <f ca="1">+VLOOKUP($BG180,INDIRECT(Adrese!E$2),9,FALSE)</f>
        <v>2.0646899999999999E-2</v>
      </c>
      <c r="BV180" s="5">
        <f ca="1">+VLOOKUP($BG180,INDIRECT(Adrese!F$2),9,FALSE)</f>
        <v>1.3943506E-2</v>
      </c>
      <c r="BW180" s="5" t="str">
        <f t="shared" ca="1" si="61"/>
        <v>0.01 (0.01)</v>
      </c>
      <c r="BX180" s="5">
        <f t="shared" ca="1" si="70"/>
        <v>1.3879121186347442E-2</v>
      </c>
      <c r="BY180" s="5">
        <f t="shared" ca="1" si="62"/>
        <v>7.8970601152733959E-3</v>
      </c>
    </row>
    <row r="181" spans="1:77" x14ac:dyDescent="0.25">
      <c r="A181" t="s">
        <v>233</v>
      </c>
      <c r="B181" s="12">
        <f ca="1">+VLOOKUP($A181,INDIRECT(Adrese!B$2),2,FALSE)</f>
        <v>179</v>
      </c>
      <c r="C181" s="12">
        <f ca="1">+VLOOKUP($A181,INDIRECT(Adrese!C$2),2,FALSE)</f>
        <v>177</v>
      </c>
      <c r="D181" s="12">
        <f ca="1">+VLOOKUP($A181,INDIRECT(Adrese!D$2),2,FALSE)</f>
        <v>179</v>
      </c>
      <c r="E181" s="12">
        <f ca="1">+VLOOKUP($A181,INDIRECT(Adrese!E$2),2,FALSE)</f>
        <v>180</v>
      </c>
      <c r="F181" s="12">
        <f ca="1">+VLOOKUP($A181,INDIRECT(Adrese!F$2),2,FALSE)</f>
        <v>184</v>
      </c>
      <c r="G181" s="5">
        <f t="shared" ca="1" si="63"/>
        <v>179.8</v>
      </c>
      <c r="H181" s="5">
        <f t="shared" ca="1" si="50"/>
        <v>2.5884358211089569</v>
      </c>
      <c r="J181" t="s">
        <v>233</v>
      </c>
      <c r="K181">
        <f ca="1">+VLOOKUP($A181,INDIRECT(Adrese!B$2),3,FALSE)</f>
        <v>136</v>
      </c>
      <c r="L181">
        <f ca="1">+VLOOKUP($A181,INDIRECT(Adrese!C$2),3,FALSE)</f>
        <v>135</v>
      </c>
      <c r="M181">
        <f ca="1">+VLOOKUP($A181,INDIRECT(Adrese!D$2),3,FALSE)</f>
        <v>135</v>
      </c>
      <c r="N181">
        <f ca="1">+VLOOKUP($A181,INDIRECT(Adrese!E$2),3,FALSE)</f>
        <v>138</v>
      </c>
      <c r="O181">
        <f ca="1">+VLOOKUP($A181,INDIRECT(Adrese!F$2),3,FALSE)</f>
        <v>139</v>
      </c>
      <c r="P181" s="5">
        <f t="shared" ca="1" si="64"/>
        <v>136.6</v>
      </c>
      <c r="Q181" s="5">
        <f t="shared" ca="1" si="51"/>
        <v>1.8165902124584949</v>
      </c>
      <c r="T181" t="s">
        <v>233</v>
      </c>
      <c r="U181">
        <f ca="1">+VLOOKUP($T181,INDIRECT(Adrese!B$2),4,FALSE)</f>
        <v>91954</v>
      </c>
      <c r="V181">
        <f ca="1">+VLOOKUP($T181,INDIRECT(Adrese!C$2),4,FALSE)</f>
        <v>91415</v>
      </c>
      <c r="W181">
        <f ca="1">+VLOOKUP($T181,INDIRECT(Adrese!D$2),4,FALSE)</f>
        <v>90981</v>
      </c>
      <c r="X181">
        <f ca="1">+VLOOKUP($T181,INDIRECT(Adrese!E$2),4,FALSE)</f>
        <v>90957</v>
      </c>
      <c r="Y181">
        <f ca="1">+VLOOKUP($T181,INDIRECT(Adrese!F$2),4,FALSE)</f>
        <v>90806</v>
      </c>
      <c r="Z181">
        <f t="shared" ca="1" si="52"/>
        <v>456113</v>
      </c>
      <c r="AA181" s="5">
        <f t="shared" ca="1" si="65"/>
        <v>91222.6</v>
      </c>
      <c r="AB181" s="5">
        <f t="shared" ca="1" si="53"/>
        <v>467.55566513517942</v>
      </c>
      <c r="AD181" t="s">
        <v>233</v>
      </c>
      <c r="AE181">
        <f ca="1">+VLOOKUP($A181,INDIRECT(Adrese!B$2),5,FALSE)</f>
        <v>19495</v>
      </c>
      <c r="AF181">
        <f ca="1">+VLOOKUP($A181,INDIRECT(Adrese!C$2),5,FALSE)</f>
        <v>19174</v>
      </c>
      <c r="AG181">
        <f ca="1">+VLOOKUP($A181,INDIRECT(Adrese!D$2),5,FALSE)</f>
        <v>18954</v>
      </c>
      <c r="AH181">
        <f ca="1">+VLOOKUP($A181,INDIRECT(Adrese!E$2),5,FALSE)</f>
        <v>18883</v>
      </c>
      <c r="AI181">
        <f ca="1">+VLOOKUP($A181,INDIRECT(Adrese!F$2),5,FALSE)</f>
        <v>18754</v>
      </c>
      <c r="AJ181" s="5">
        <f t="shared" ca="1" si="66"/>
        <v>19052</v>
      </c>
      <c r="AK181" s="5">
        <f t="shared" ca="1" si="54"/>
        <v>290.73269509981156</v>
      </c>
      <c r="AM181" t="s">
        <v>233</v>
      </c>
      <c r="AN181" s="5">
        <f ca="1">+VLOOKUP($A181,INDIRECT(Adrese!B$2),6,FALSE)</f>
        <v>0.43130530973451331</v>
      </c>
      <c r="AO181" s="5">
        <f ca="1">+VLOOKUP($A181,INDIRECT(Adrese!C$2),6,FALSE)</f>
        <v>0.42420353999999999</v>
      </c>
      <c r="AP181" s="5">
        <f ca="1">+VLOOKUP($A181,INDIRECT(Adrese!D$2),6,FALSE)</f>
        <v>0.41933628299999998</v>
      </c>
      <c r="AQ181" s="5">
        <f ca="1">+VLOOKUP($A181,INDIRECT(Adrese!E$2),6,FALSE)</f>
        <v>0.41776548699999999</v>
      </c>
      <c r="AR181" s="5">
        <f ca="1">+VLOOKUP($A181,INDIRECT(Adrese!F$2),6,FALSE)</f>
        <v>0.41491150399999999</v>
      </c>
      <c r="AS181" s="5" t="str">
        <f t="shared" ca="1" si="55"/>
        <v>0.42 (0.01)</v>
      </c>
      <c r="AT181" s="5">
        <f t="shared" ca="1" si="67"/>
        <v>0.42150442474690275</v>
      </c>
      <c r="AU181" s="5">
        <f t="shared" ca="1" si="56"/>
        <v>6.4321393753301471E-3</v>
      </c>
      <c r="AW181" t="s">
        <v>233</v>
      </c>
      <c r="AX181" s="5">
        <f ca="1">+VLOOKUP($A181,INDIRECT(Adrese!B$2),7,FALSE)</f>
        <v>0.39823008849557517</v>
      </c>
      <c r="AY181" s="5">
        <f ca="1">+VLOOKUP($A181,INDIRECT(Adrese!C$2),7,FALSE)</f>
        <v>0.40265486700000003</v>
      </c>
      <c r="AZ181" s="5">
        <f ca="1">+VLOOKUP($A181,INDIRECT(Adrese!D$2),7,FALSE)</f>
        <v>0.40265486700000003</v>
      </c>
      <c r="BA181" s="5">
        <f ca="1">+VLOOKUP($A181,INDIRECT(Adrese!E$2),7,FALSE)</f>
        <v>0.38938053099999997</v>
      </c>
      <c r="BB181" s="5">
        <f ca="1">+VLOOKUP($A181,INDIRECT(Adrese!F$2),7,FALSE)</f>
        <v>0.38495575199999998</v>
      </c>
      <c r="BC181" s="5" t="str">
        <f t="shared" ca="1" si="57"/>
        <v>0.40 (0.01)</v>
      </c>
      <c r="BD181">
        <f t="shared" ca="1" si="68"/>
        <v>0.39557522109911508</v>
      </c>
      <c r="BE181" s="5">
        <f t="shared" ca="1" si="58"/>
        <v>8.038009741654896E-3</v>
      </c>
      <c r="BG181" t="s">
        <v>233</v>
      </c>
      <c r="BH181" s="5">
        <f ca="1">+VLOOKUP($BG181,INDIRECT(Adrese!B$2),8,FALSE)</f>
        <v>4.5554126779360243E-2</v>
      </c>
      <c r="BI181" s="5">
        <f ca="1">+VLOOKUP($BG181,INDIRECT(Adrese!C$2),8,FALSE)</f>
        <v>4.5111378000000001E-2</v>
      </c>
      <c r="BJ181" s="5">
        <f ca="1">+VLOOKUP($BG181,INDIRECT(Adrese!D$2),8,FALSE)</f>
        <v>4.4506696999999998E-2</v>
      </c>
      <c r="BK181" s="5">
        <f ca="1">+VLOOKUP($BG181,INDIRECT(Adrese!E$2),8,FALSE)</f>
        <v>4.4196794999999997E-2</v>
      </c>
      <c r="BL181" s="5">
        <f ca="1">+VLOOKUP($BG181,INDIRECT(Adrese!F$2),8,FALSE)</f>
        <v>4.3845057E-2</v>
      </c>
      <c r="BM181" s="5" t="str">
        <f t="shared" ca="1" si="59"/>
        <v>0.04 (0.00)</v>
      </c>
      <c r="BN181" s="5">
        <f t="shared" ca="1" si="69"/>
        <v>4.464281075587205E-2</v>
      </c>
      <c r="BO181" s="5">
        <f t="shared" ca="1" si="60"/>
        <v>6.8991307803368868E-4</v>
      </c>
      <c r="BQ181" t="s">
        <v>233</v>
      </c>
      <c r="BR181" s="5">
        <f ca="1">+VLOOKUP($BG181,INDIRECT(Adrese!B$2),9,FALSE)</f>
        <v>1.638481063827249E-2</v>
      </c>
      <c r="BS181" s="5">
        <f ca="1">+VLOOKUP($BG181,INDIRECT(Adrese!C$2),9,FALSE)</f>
        <v>1.6394368999999999E-2</v>
      </c>
      <c r="BT181" s="5">
        <f ca="1">+VLOOKUP($BG181,INDIRECT(Adrese!D$2),9,FALSE)</f>
        <v>1.4873693E-2</v>
      </c>
      <c r="BU181" s="5">
        <f ca="1">+VLOOKUP($BG181,INDIRECT(Adrese!E$2),9,FALSE)</f>
        <v>1.3718889999999999E-2</v>
      </c>
      <c r="BV181" s="5">
        <f ca="1">+VLOOKUP($BG181,INDIRECT(Adrese!F$2),9,FALSE)</f>
        <v>1.2901803E-2</v>
      </c>
      <c r="BW181" s="5" t="str">
        <f t="shared" ca="1" si="61"/>
        <v>0.01 (0.00)</v>
      </c>
      <c r="BX181" s="5">
        <f t="shared" ca="1" si="70"/>
        <v>1.4854713127654498E-2</v>
      </c>
      <c r="BY181" s="5">
        <f t="shared" ca="1" si="62"/>
        <v>1.5665288839351137E-3</v>
      </c>
    </row>
    <row r="182" spans="1:77" x14ac:dyDescent="0.25">
      <c r="A182" t="s">
        <v>234</v>
      </c>
      <c r="B182" s="12">
        <f ca="1">+VLOOKUP($A182,INDIRECT(Adrese!B$2),2,FALSE)</f>
        <v>180</v>
      </c>
      <c r="C182" s="12">
        <f ca="1">+VLOOKUP($A182,INDIRECT(Adrese!C$2),2,FALSE)</f>
        <v>186</v>
      </c>
      <c r="D182" s="12">
        <f ca="1">+VLOOKUP($A182,INDIRECT(Adrese!D$2),2,FALSE)</f>
        <v>190</v>
      </c>
      <c r="E182" s="12">
        <f ca="1">+VLOOKUP($A182,INDIRECT(Adrese!E$2),2,FALSE)</f>
        <v>187</v>
      </c>
      <c r="F182" s="12">
        <f ca="1">+VLOOKUP($A182,INDIRECT(Adrese!F$2),2,FALSE)</f>
        <v>185</v>
      </c>
      <c r="G182" s="5">
        <f t="shared" ca="1" si="63"/>
        <v>185.6</v>
      </c>
      <c r="H182" s="5">
        <f t="shared" ca="1" si="50"/>
        <v>3.6469165057620936</v>
      </c>
      <c r="J182" t="s">
        <v>234</v>
      </c>
      <c r="K182">
        <f ca="1">+VLOOKUP($A182,INDIRECT(Adrese!B$2),3,FALSE)</f>
        <v>102</v>
      </c>
      <c r="L182">
        <f ca="1">+VLOOKUP($A182,INDIRECT(Adrese!C$2),3,FALSE)</f>
        <v>102</v>
      </c>
      <c r="M182">
        <f ca="1">+VLOOKUP($A182,INDIRECT(Adrese!D$2),3,FALSE)</f>
        <v>97</v>
      </c>
      <c r="N182">
        <f ca="1">+VLOOKUP($A182,INDIRECT(Adrese!E$2),3,FALSE)</f>
        <v>103</v>
      </c>
      <c r="O182">
        <f ca="1">+VLOOKUP($A182,INDIRECT(Adrese!F$2),3,FALSE)</f>
        <v>107</v>
      </c>
      <c r="P182" s="5">
        <f t="shared" ca="1" si="64"/>
        <v>102.2</v>
      </c>
      <c r="Q182" s="5">
        <f t="shared" ca="1" si="51"/>
        <v>3.5637059362410923</v>
      </c>
      <c r="T182" t="s">
        <v>234</v>
      </c>
      <c r="U182">
        <f ca="1">+VLOOKUP($T182,INDIRECT(Adrese!B$2),4,FALSE)</f>
        <v>90904</v>
      </c>
      <c r="V182">
        <f ca="1">+VLOOKUP($T182,INDIRECT(Adrese!C$2),4,FALSE)</f>
        <v>90048</v>
      </c>
      <c r="W182">
        <f ca="1">+VLOOKUP($T182,INDIRECT(Adrese!D$2),4,FALSE)</f>
        <v>89100</v>
      </c>
      <c r="X182">
        <f ca="1">+VLOOKUP($T182,INDIRECT(Adrese!E$2),4,FALSE)</f>
        <v>90214</v>
      </c>
      <c r="Y182">
        <f ca="1">+VLOOKUP($T182,INDIRECT(Adrese!F$2),4,FALSE)</f>
        <v>90588</v>
      </c>
      <c r="Z182">
        <f t="shared" ca="1" si="52"/>
        <v>450854</v>
      </c>
      <c r="AA182" s="5">
        <f t="shared" ca="1" si="65"/>
        <v>90170.8</v>
      </c>
      <c r="AB182" s="5">
        <f t="shared" ca="1" si="53"/>
        <v>684.68912653846053</v>
      </c>
      <c r="AD182" t="s">
        <v>234</v>
      </c>
      <c r="AE182">
        <f ca="1">+VLOOKUP($A182,INDIRECT(Adrese!B$2),5,FALSE)</f>
        <v>18683</v>
      </c>
      <c r="AF182">
        <f ca="1">+VLOOKUP($A182,INDIRECT(Adrese!C$2),5,FALSE)</f>
        <v>18735</v>
      </c>
      <c r="AG182">
        <f ca="1">+VLOOKUP($A182,INDIRECT(Adrese!D$2),5,FALSE)</f>
        <v>18567</v>
      </c>
      <c r="AH182">
        <f ca="1">+VLOOKUP($A182,INDIRECT(Adrese!E$2),5,FALSE)</f>
        <v>18507</v>
      </c>
      <c r="AI182">
        <f ca="1">+VLOOKUP($A182,INDIRECT(Adrese!F$2),5,FALSE)</f>
        <v>18807</v>
      </c>
      <c r="AJ182" s="5">
        <f t="shared" ca="1" si="66"/>
        <v>18659.8</v>
      </c>
      <c r="AK182" s="5">
        <f t="shared" ca="1" si="54"/>
        <v>122.29145513894257</v>
      </c>
      <c r="AM182" t="s">
        <v>234</v>
      </c>
      <c r="AN182" s="5">
        <f ca="1">+VLOOKUP($A182,INDIRECT(Adrese!B$2),6,FALSE)</f>
        <v>0.41141592920353981</v>
      </c>
      <c r="AO182" s="5">
        <f ca="1">+VLOOKUP($A182,INDIRECT(Adrese!C$2),6,FALSE)</f>
        <v>0.41311946900000002</v>
      </c>
      <c r="AP182" s="5">
        <f ca="1">+VLOOKUP($A182,INDIRECT(Adrese!D$2),6,FALSE)</f>
        <v>0.40918141600000002</v>
      </c>
      <c r="AQ182" s="5">
        <f ca="1">+VLOOKUP($A182,INDIRECT(Adrese!E$2),6,FALSE)</f>
        <v>0.40783185799999999</v>
      </c>
      <c r="AR182" s="5">
        <f ca="1">+VLOOKUP($A182,INDIRECT(Adrese!F$2),6,FALSE)</f>
        <v>0.41457964600000002</v>
      </c>
      <c r="AS182" s="5" t="str">
        <f t="shared" ca="1" si="55"/>
        <v>0.41 (0.00)</v>
      </c>
      <c r="AT182" s="5">
        <f t="shared" ca="1" si="67"/>
        <v>0.41122566364070801</v>
      </c>
      <c r="AU182" s="5">
        <f t="shared" ca="1" si="56"/>
        <v>2.764451235470007E-3</v>
      </c>
      <c r="AW182" t="s">
        <v>234</v>
      </c>
      <c r="AX182" s="5">
        <f ca="1">+VLOOKUP($A182,INDIRECT(Adrese!B$2),7,FALSE)</f>
        <v>0.54867256637168138</v>
      </c>
      <c r="AY182" s="5">
        <f ca="1">+VLOOKUP($A182,INDIRECT(Adrese!C$2),7,FALSE)</f>
        <v>0.54867256600000003</v>
      </c>
      <c r="AZ182" s="5">
        <f ca="1">+VLOOKUP($A182,INDIRECT(Adrese!D$2),7,FALSE)</f>
        <v>0.57079645999999995</v>
      </c>
      <c r="BA182" s="5">
        <f ca="1">+VLOOKUP($A182,INDIRECT(Adrese!E$2),7,FALSE)</f>
        <v>0.54424778799999995</v>
      </c>
      <c r="BB182" s="5">
        <f ca="1">+VLOOKUP($A182,INDIRECT(Adrese!F$2),7,FALSE)</f>
        <v>0.52654867299999997</v>
      </c>
      <c r="BC182" s="5" t="str">
        <f t="shared" ca="1" si="57"/>
        <v>0.55 (0.02)</v>
      </c>
      <c r="BD182">
        <f t="shared" ca="1" si="68"/>
        <v>0.54778761067433623</v>
      </c>
      <c r="BE182" s="5">
        <f t="shared" ca="1" si="58"/>
        <v>1.5768610099703349E-2</v>
      </c>
      <c r="BG182" t="s">
        <v>234</v>
      </c>
      <c r="BH182" s="5">
        <f ca="1">+VLOOKUP($BG182,INDIRECT(Adrese!B$2),8,FALSE)</f>
        <v>3.8655078695953138E-2</v>
      </c>
      <c r="BI182" s="5">
        <f ca="1">+VLOOKUP($BG182,INDIRECT(Adrese!C$2),8,FALSE)</f>
        <v>3.8566681999999998E-2</v>
      </c>
      <c r="BJ182" s="5">
        <f ca="1">+VLOOKUP($BG182,INDIRECT(Adrese!D$2),8,FALSE)</f>
        <v>3.8100185000000002E-2</v>
      </c>
      <c r="BK182" s="5">
        <f ca="1">+VLOOKUP($BG182,INDIRECT(Adrese!E$2),8,FALSE)</f>
        <v>3.8276699999999997E-2</v>
      </c>
      <c r="BL182" s="5">
        <f ca="1">+VLOOKUP($BG182,INDIRECT(Adrese!F$2),8,FALSE)</f>
        <v>3.8852744000000002E-2</v>
      </c>
      <c r="BM182" s="5" t="str">
        <f t="shared" ca="1" si="59"/>
        <v>0.04 (0.00)</v>
      </c>
      <c r="BN182" s="5">
        <f t="shared" ca="1" si="69"/>
        <v>3.8490277939190624E-2</v>
      </c>
      <c r="BO182" s="5">
        <f t="shared" ca="1" si="60"/>
        <v>3.0090137607346567E-4</v>
      </c>
      <c r="BQ182" t="s">
        <v>234</v>
      </c>
      <c r="BR182" s="5">
        <f ca="1">+VLOOKUP($BG182,INDIRECT(Adrese!B$2),9,FALSE)</f>
        <v>-9.1663632223288327E-3</v>
      </c>
      <c r="BS182" s="5">
        <f ca="1">+VLOOKUP($BG182,INDIRECT(Adrese!C$2),9,FALSE)</f>
        <v>-9.7721949999999991E-3</v>
      </c>
      <c r="BT182" s="5">
        <f ca="1">+VLOOKUP($BG182,INDIRECT(Adrese!D$2),9,FALSE)</f>
        <v>-1.1052184E-2</v>
      </c>
      <c r="BU182" s="5">
        <f ca="1">+VLOOKUP($BG182,INDIRECT(Adrese!E$2),9,FALSE)</f>
        <v>-1.00403E-2</v>
      </c>
      <c r="BV182" s="5">
        <f ca="1">+VLOOKUP($BG182,INDIRECT(Adrese!F$2),9,FALSE)</f>
        <v>-9.1745200000000002E-3</v>
      </c>
      <c r="BW182" s="5" t="str">
        <f t="shared" ca="1" si="61"/>
        <v>-0.01 (0.00)</v>
      </c>
      <c r="BX182" s="5">
        <f t="shared" ca="1" si="70"/>
        <v>-9.8411124444657654E-3</v>
      </c>
      <c r="BY182" s="5">
        <f t="shared" ca="1" si="62"/>
        <v>7.76329763832475E-4</v>
      </c>
    </row>
    <row r="183" spans="1:77" x14ac:dyDescent="0.25">
      <c r="A183" t="s">
        <v>235</v>
      </c>
      <c r="B183" s="12">
        <f ca="1">+VLOOKUP($A183,INDIRECT(Adrese!B$2),2,FALSE)</f>
        <v>181</v>
      </c>
      <c r="C183" s="12">
        <f ca="1">+VLOOKUP($A183,INDIRECT(Adrese!C$2),2,FALSE)</f>
        <v>187</v>
      </c>
      <c r="D183" s="12">
        <f ca="1">+VLOOKUP($A183,INDIRECT(Adrese!D$2),2,FALSE)</f>
        <v>186</v>
      </c>
      <c r="E183" s="12">
        <f ca="1">+VLOOKUP($A183,INDIRECT(Adrese!E$2),2,FALSE)</f>
        <v>182</v>
      </c>
      <c r="F183" s="12">
        <f ca="1">+VLOOKUP($A183,INDIRECT(Adrese!F$2),2,FALSE)</f>
        <v>183</v>
      </c>
      <c r="G183" s="5">
        <f t="shared" ca="1" si="63"/>
        <v>183.8</v>
      </c>
      <c r="H183" s="5">
        <f t="shared" ca="1" si="50"/>
        <v>2.5884358211089569</v>
      </c>
      <c r="J183" t="s">
        <v>235</v>
      </c>
      <c r="K183">
        <f ca="1">+VLOOKUP($A183,INDIRECT(Adrese!B$2),3,FALSE)</f>
        <v>78</v>
      </c>
      <c r="L183">
        <f ca="1">+VLOOKUP($A183,INDIRECT(Adrese!C$2),3,FALSE)</f>
        <v>79</v>
      </c>
      <c r="M183">
        <f ca="1">+VLOOKUP($A183,INDIRECT(Adrese!D$2),3,FALSE)</f>
        <v>77</v>
      </c>
      <c r="N183">
        <f ca="1">+VLOOKUP($A183,INDIRECT(Adrese!E$2),3,FALSE)</f>
        <v>79</v>
      </c>
      <c r="O183">
        <f ca="1">+VLOOKUP($A183,INDIRECT(Adrese!F$2),3,FALSE)</f>
        <v>78</v>
      </c>
      <c r="P183" s="5">
        <f t="shared" ca="1" si="64"/>
        <v>78.2</v>
      </c>
      <c r="Q183" s="5">
        <f t="shared" ca="1" si="51"/>
        <v>0.83666002653407556</v>
      </c>
      <c r="T183" t="s">
        <v>235</v>
      </c>
      <c r="U183">
        <f ca="1">+VLOOKUP($T183,INDIRECT(Adrese!B$2),4,FALSE)</f>
        <v>90883</v>
      </c>
      <c r="V183">
        <f ca="1">+VLOOKUP($T183,INDIRECT(Adrese!C$2),4,FALSE)</f>
        <v>89941</v>
      </c>
      <c r="W183">
        <f ca="1">+VLOOKUP($T183,INDIRECT(Adrese!D$2),4,FALSE)</f>
        <v>89859</v>
      </c>
      <c r="X183">
        <f ca="1">+VLOOKUP($T183,INDIRECT(Adrese!E$2),4,FALSE)</f>
        <v>90918</v>
      </c>
      <c r="Y183">
        <f ca="1">+VLOOKUP($T183,INDIRECT(Adrese!F$2),4,FALSE)</f>
        <v>90839</v>
      </c>
      <c r="Z183">
        <f t="shared" ca="1" si="52"/>
        <v>452440</v>
      </c>
      <c r="AA183" s="5">
        <f t="shared" ca="1" si="65"/>
        <v>90488</v>
      </c>
      <c r="AB183" s="5">
        <f t="shared" ca="1" si="53"/>
        <v>538.27873820168668</v>
      </c>
      <c r="AD183" t="s">
        <v>235</v>
      </c>
      <c r="AE183">
        <f ca="1">+VLOOKUP($A183,INDIRECT(Adrese!B$2),5,FALSE)</f>
        <v>34050</v>
      </c>
      <c r="AF183">
        <f ca="1">+VLOOKUP($A183,INDIRECT(Adrese!C$2),5,FALSE)</f>
        <v>34050</v>
      </c>
      <c r="AG183">
        <f ca="1">+VLOOKUP($A183,INDIRECT(Adrese!D$2),5,FALSE)</f>
        <v>34050</v>
      </c>
      <c r="AH183">
        <f ca="1">+VLOOKUP($A183,INDIRECT(Adrese!E$2),5,FALSE)</f>
        <v>34050</v>
      </c>
      <c r="AI183">
        <f ca="1">+VLOOKUP($A183,INDIRECT(Adrese!F$2),5,FALSE)</f>
        <v>34050</v>
      </c>
      <c r="AJ183" s="5">
        <f t="shared" ca="1" si="66"/>
        <v>34050</v>
      </c>
      <c r="AK183" s="5">
        <f t="shared" ca="1" si="54"/>
        <v>0</v>
      </c>
      <c r="AM183" t="s">
        <v>235</v>
      </c>
      <c r="AN183" s="5">
        <f ca="1">+VLOOKUP($A183,INDIRECT(Adrese!B$2),6,FALSE)</f>
        <v>0.75</v>
      </c>
      <c r="AO183" s="5">
        <f ca="1">+VLOOKUP($A183,INDIRECT(Adrese!C$2),6,FALSE)</f>
        <v>0.75</v>
      </c>
      <c r="AP183" s="5">
        <f ca="1">+VLOOKUP($A183,INDIRECT(Adrese!D$2),6,FALSE)</f>
        <v>0.75</v>
      </c>
      <c r="AQ183" s="5">
        <f ca="1">+VLOOKUP($A183,INDIRECT(Adrese!E$2),6,FALSE)</f>
        <v>0.75</v>
      </c>
      <c r="AR183" s="5">
        <f ca="1">+VLOOKUP($A183,INDIRECT(Adrese!F$2),6,FALSE)</f>
        <v>0.75</v>
      </c>
      <c r="AS183" s="5" t="str">
        <f t="shared" ca="1" si="55"/>
        <v>0.75 (0.00)</v>
      </c>
      <c r="AT183" s="5">
        <f t="shared" ca="1" si="67"/>
        <v>0.75</v>
      </c>
      <c r="AU183" s="5">
        <f t="shared" ca="1" si="56"/>
        <v>0</v>
      </c>
      <c r="AW183" t="s">
        <v>235</v>
      </c>
      <c r="AX183" s="5">
        <f ca="1">+VLOOKUP($A183,INDIRECT(Adrese!B$2),7,FALSE)</f>
        <v>0.65486725663716816</v>
      </c>
      <c r="AY183" s="5">
        <f ca="1">+VLOOKUP($A183,INDIRECT(Adrese!C$2),7,FALSE)</f>
        <v>0.65044247799999999</v>
      </c>
      <c r="AZ183" s="5">
        <f ca="1">+VLOOKUP($A183,INDIRECT(Adrese!D$2),7,FALSE)</f>
        <v>0.659292035</v>
      </c>
      <c r="BA183" s="5">
        <f ca="1">+VLOOKUP($A183,INDIRECT(Adrese!E$2),7,FALSE)</f>
        <v>0.65044247799999999</v>
      </c>
      <c r="BB183" s="5">
        <f ca="1">+VLOOKUP($A183,INDIRECT(Adrese!F$2),7,FALSE)</f>
        <v>0.65486725700000004</v>
      </c>
      <c r="BC183" s="5" t="str">
        <f t="shared" ca="1" si="57"/>
        <v>0.65 (0.00)</v>
      </c>
      <c r="BD183">
        <f t="shared" ca="1" si="68"/>
        <v>0.65398230092743359</v>
      </c>
      <c r="BE183" s="5">
        <f t="shared" ca="1" si="58"/>
        <v>3.7020353352955004E-3</v>
      </c>
      <c r="BG183" t="s">
        <v>235</v>
      </c>
      <c r="BH183" s="5">
        <f ca="1">+VLOOKUP($BG183,INDIRECT(Adrese!B$2),8,FALSE)</f>
        <v>6.7345588374079529E-2</v>
      </c>
      <c r="BI183" s="5">
        <f ca="1">+VLOOKUP($BG183,INDIRECT(Adrese!C$2),8,FALSE)</f>
        <v>6.7347313000000006E-2</v>
      </c>
      <c r="BJ183" s="5">
        <f ca="1">+VLOOKUP($BG183,INDIRECT(Adrese!D$2),8,FALSE)</f>
        <v>6.7377713000000006E-2</v>
      </c>
      <c r="BK183" s="5">
        <f ca="1">+VLOOKUP($BG183,INDIRECT(Adrese!E$2),8,FALSE)</f>
        <v>6.7342195999999993E-2</v>
      </c>
      <c r="BL183" s="5">
        <f ca="1">+VLOOKUP($BG183,INDIRECT(Adrese!F$2),8,FALSE)</f>
        <v>6.7478572000000001E-2</v>
      </c>
      <c r="BM183" s="5" t="str">
        <f t="shared" ca="1" si="59"/>
        <v>0.07 (0.00)</v>
      </c>
      <c r="BN183" s="5">
        <f t="shared" ca="1" si="69"/>
        <v>6.7378276474815896E-2</v>
      </c>
      <c r="BO183" s="5">
        <f t="shared" ca="1" si="60"/>
        <v>5.7854470962038945E-5</v>
      </c>
      <c r="BQ183" t="s">
        <v>235</v>
      </c>
      <c r="BR183" s="5">
        <f ca="1">+VLOOKUP($BG183,INDIRECT(Adrese!B$2),9,FALSE)</f>
        <v>3.8363731923116817E-2</v>
      </c>
      <c r="BS183" s="5">
        <f ca="1">+VLOOKUP($BG183,INDIRECT(Adrese!C$2),9,FALSE)</f>
        <v>3.8404542999999999E-2</v>
      </c>
      <c r="BT183" s="5">
        <f ca="1">+VLOOKUP($BG183,INDIRECT(Adrese!D$2),9,FALSE)</f>
        <v>3.8260084999999999E-2</v>
      </c>
      <c r="BU183" s="5">
        <f ca="1">+VLOOKUP($BG183,INDIRECT(Adrese!E$2),9,FALSE)</f>
        <v>3.840756E-2</v>
      </c>
      <c r="BV183" s="5">
        <f ca="1">+VLOOKUP($BG183,INDIRECT(Adrese!F$2),9,FALSE)</f>
        <v>3.8465355E-2</v>
      </c>
      <c r="BW183" s="5" t="str">
        <f t="shared" ca="1" si="61"/>
        <v>0.04 (0.00)</v>
      </c>
      <c r="BX183" s="5">
        <f t="shared" ca="1" si="70"/>
        <v>3.8380254984623365E-2</v>
      </c>
      <c r="BY183" s="5">
        <f t="shared" ca="1" si="62"/>
        <v>7.6307471683129593E-5</v>
      </c>
    </row>
    <row r="184" spans="1:77" x14ac:dyDescent="0.25">
      <c r="A184" t="s">
        <v>236</v>
      </c>
      <c r="B184" s="12">
        <f ca="1">+VLOOKUP($A184,INDIRECT(Adrese!B$2),2,FALSE)</f>
        <v>182</v>
      </c>
      <c r="C184" s="12">
        <f ca="1">+VLOOKUP($A184,INDIRECT(Adrese!C$2),2,FALSE)</f>
        <v>180</v>
      </c>
      <c r="D184" s="12">
        <f ca="1">+VLOOKUP($A184,INDIRECT(Adrese!D$2),2,FALSE)</f>
        <v>183</v>
      </c>
      <c r="E184" s="12">
        <f ca="1">+VLOOKUP($A184,INDIRECT(Adrese!E$2),2,FALSE)</f>
        <v>185</v>
      </c>
      <c r="F184" s="12">
        <f ca="1">+VLOOKUP($A184,INDIRECT(Adrese!F$2),2,FALSE)</f>
        <v>189</v>
      </c>
      <c r="G184" s="5">
        <f t="shared" ca="1" si="63"/>
        <v>183.8</v>
      </c>
      <c r="H184" s="5">
        <f t="shared" ca="1" si="50"/>
        <v>3.4205262752974139</v>
      </c>
      <c r="J184" t="s">
        <v>236</v>
      </c>
      <c r="K184">
        <f ca="1">+VLOOKUP($A184,INDIRECT(Adrese!B$2),3,FALSE)</f>
        <v>78</v>
      </c>
      <c r="L184">
        <f ca="1">+VLOOKUP($A184,INDIRECT(Adrese!C$2),3,FALSE)</f>
        <v>80</v>
      </c>
      <c r="M184">
        <f ca="1">+VLOOKUP($A184,INDIRECT(Adrese!D$2),3,FALSE)</f>
        <v>81</v>
      </c>
      <c r="N184">
        <f ca="1">+VLOOKUP($A184,INDIRECT(Adrese!E$2),3,FALSE)</f>
        <v>81</v>
      </c>
      <c r="O184">
        <f ca="1">+VLOOKUP($A184,INDIRECT(Adrese!F$2),3,FALSE)</f>
        <v>86</v>
      </c>
      <c r="P184" s="5">
        <f t="shared" ca="1" si="64"/>
        <v>81.2</v>
      </c>
      <c r="Q184" s="5">
        <f t="shared" ca="1" si="51"/>
        <v>2.9495762407505248</v>
      </c>
      <c r="T184" t="s">
        <v>236</v>
      </c>
      <c r="U184">
        <f ca="1">+VLOOKUP($T184,INDIRECT(Adrese!B$2),4,FALSE)</f>
        <v>90874</v>
      </c>
      <c r="V184">
        <f ca="1">+VLOOKUP($T184,INDIRECT(Adrese!C$2),4,FALSE)</f>
        <v>90950</v>
      </c>
      <c r="W184">
        <f ca="1">+VLOOKUP($T184,INDIRECT(Adrese!D$2),4,FALSE)</f>
        <v>90556</v>
      </c>
      <c r="X184">
        <f ca="1">+VLOOKUP($T184,INDIRECT(Adrese!E$2),4,FALSE)</f>
        <v>90669</v>
      </c>
      <c r="Y184">
        <f ca="1">+VLOOKUP($T184,INDIRECT(Adrese!F$2),4,FALSE)</f>
        <v>89581</v>
      </c>
      <c r="Z184">
        <f t="shared" ca="1" si="52"/>
        <v>452630</v>
      </c>
      <c r="AA184" s="5">
        <f t="shared" ca="1" si="65"/>
        <v>90526</v>
      </c>
      <c r="AB184" s="5">
        <f t="shared" ca="1" si="53"/>
        <v>551.19279748559848</v>
      </c>
      <c r="AD184" t="s">
        <v>236</v>
      </c>
      <c r="AE184">
        <f ca="1">+VLOOKUP($A184,INDIRECT(Adrese!B$2),5,FALSE)</f>
        <v>25322</v>
      </c>
      <c r="AF184">
        <f ca="1">+VLOOKUP($A184,INDIRECT(Adrese!C$2),5,FALSE)</f>
        <v>25279</v>
      </c>
      <c r="AG184">
        <f ca="1">+VLOOKUP($A184,INDIRECT(Adrese!D$2),5,FALSE)</f>
        <v>24915</v>
      </c>
      <c r="AH184">
        <f ca="1">+VLOOKUP($A184,INDIRECT(Adrese!E$2),5,FALSE)</f>
        <v>25142</v>
      </c>
      <c r="AI184">
        <f ca="1">+VLOOKUP($A184,INDIRECT(Adrese!F$2),5,FALSE)</f>
        <v>25030</v>
      </c>
      <c r="AJ184" s="5">
        <f t="shared" ca="1" si="66"/>
        <v>25137.599999999999</v>
      </c>
      <c r="AK184" s="5">
        <f t="shared" ca="1" si="54"/>
        <v>169.66525867130255</v>
      </c>
      <c r="AM184" t="s">
        <v>236</v>
      </c>
      <c r="AN184" s="5">
        <f ca="1">+VLOOKUP($A184,INDIRECT(Adrese!B$2),6,FALSE)</f>
        <v>0.55657079646017704</v>
      </c>
      <c r="AO184" s="5">
        <f ca="1">+VLOOKUP($A184,INDIRECT(Adrese!C$2),6,FALSE)</f>
        <v>0.55546460200000003</v>
      </c>
      <c r="AP184" s="5">
        <f ca="1">+VLOOKUP($A184,INDIRECT(Adrese!D$2),6,FALSE)</f>
        <v>0.547522124</v>
      </c>
      <c r="AQ184" s="5">
        <f ca="1">+VLOOKUP($A184,INDIRECT(Adrese!E$2),6,FALSE)</f>
        <v>0.55241150400000005</v>
      </c>
      <c r="AR184" s="5">
        <f ca="1">+VLOOKUP($A184,INDIRECT(Adrese!F$2),6,FALSE)</f>
        <v>0.54997787600000003</v>
      </c>
      <c r="AS184" s="5" t="str">
        <f t="shared" ca="1" si="55"/>
        <v>0.55 (0.00)</v>
      </c>
      <c r="AT184" s="5">
        <f t="shared" ca="1" si="67"/>
        <v>0.55238938049203534</v>
      </c>
      <c r="AU184" s="5">
        <f t="shared" ca="1" si="56"/>
        <v>3.7565694438426909E-3</v>
      </c>
      <c r="AW184" t="s">
        <v>236</v>
      </c>
      <c r="AX184" s="5">
        <f ca="1">+VLOOKUP($A184,INDIRECT(Adrese!B$2),7,FALSE)</f>
        <v>0.65486725663716816</v>
      </c>
      <c r="AY184" s="5">
        <f ca="1">+VLOOKUP($A184,INDIRECT(Adrese!C$2),7,FALSE)</f>
        <v>0.64601769899999995</v>
      </c>
      <c r="AZ184" s="5">
        <f ca="1">+VLOOKUP($A184,INDIRECT(Adrese!D$2),7,FALSE)</f>
        <v>0.64159292000000001</v>
      </c>
      <c r="BA184" s="5">
        <f ca="1">+VLOOKUP($A184,INDIRECT(Adrese!E$2),7,FALSE)</f>
        <v>0.64159292000000001</v>
      </c>
      <c r="BB184" s="5">
        <f ca="1">+VLOOKUP($A184,INDIRECT(Adrese!F$2),7,FALSE)</f>
        <v>0.61946902699999995</v>
      </c>
      <c r="BC184" s="5" t="str">
        <f t="shared" ca="1" si="57"/>
        <v>0.64 (0.01)</v>
      </c>
      <c r="BD184">
        <f t="shared" ca="1" si="68"/>
        <v>0.64070796452743362</v>
      </c>
      <c r="BE184" s="5">
        <f t="shared" ca="1" si="58"/>
        <v>1.3051222096886469E-2</v>
      </c>
      <c r="BG184" t="s">
        <v>236</v>
      </c>
      <c r="BH184" s="5">
        <f ca="1">+VLOOKUP($BG184,INDIRECT(Adrese!B$2),8,FALSE)</f>
        <v>5.1245242613451668E-2</v>
      </c>
      <c r="BI184" s="5">
        <f ca="1">+VLOOKUP($BG184,INDIRECT(Adrese!C$2),8,FALSE)</f>
        <v>5.1009744000000003E-2</v>
      </c>
      <c r="BJ184" s="5">
        <f ca="1">+VLOOKUP($BG184,INDIRECT(Adrese!D$2),8,FALSE)</f>
        <v>5.0347444999999998E-2</v>
      </c>
      <c r="BK184" s="5">
        <f ca="1">+VLOOKUP($BG184,INDIRECT(Adrese!E$2),8,FALSE)</f>
        <v>5.0758957E-2</v>
      </c>
      <c r="BL184" s="5">
        <f ca="1">+VLOOKUP($BG184,INDIRECT(Adrese!F$2),8,FALSE)</f>
        <v>5.0651326000000003E-2</v>
      </c>
      <c r="BM184" s="5" t="str">
        <f t="shared" ca="1" si="59"/>
        <v>0.05 (0.00)</v>
      </c>
      <c r="BN184" s="5">
        <f t="shared" ca="1" si="69"/>
        <v>5.0802542922690333E-2</v>
      </c>
      <c r="BO184" s="5">
        <f t="shared" ca="1" si="60"/>
        <v>3.430727737085196E-4</v>
      </c>
      <c r="BQ184" t="s">
        <v>236</v>
      </c>
      <c r="BR184" s="5">
        <f ca="1">+VLOOKUP($BG184,INDIRECT(Adrese!B$2),9,FALSE)</f>
        <v>1.479311581450749E-2</v>
      </c>
      <c r="BS184" s="5">
        <f ca="1">+VLOOKUP($BG184,INDIRECT(Adrese!C$2),9,FALSE)</f>
        <v>1.3883866E-2</v>
      </c>
      <c r="BT184" s="5">
        <f ca="1">+VLOOKUP($BG184,INDIRECT(Adrese!D$2),9,FALSE)</f>
        <v>1.2885695000000001E-2</v>
      </c>
      <c r="BU184" s="5">
        <f ca="1">+VLOOKUP($BG184,INDIRECT(Adrese!E$2),9,FALSE)</f>
        <v>1.3612987E-2</v>
      </c>
      <c r="BV184" s="5">
        <f ca="1">+VLOOKUP($BG184,INDIRECT(Adrese!F$2),9,FALSE)</f>
        <v>1.2967832E-2</v>
      </c>
      <c r="BW184" s="5" t="str">
        <f t="shared" ca="1" si="61"/>
        <v>0.01 (0.00)</v>
      </c>
      <c r="BX184" s="5">
        <f t="shared" ca="1" si="70"/>
        <v>1.3628699162901497E-2</v>
      </c>
      <c r="BY184" s="5">
        <f t="shared" ca="1" si="62"/>
        <v>7.7621255440208454E-4</v>
      </c>
    </row>
    <row r="185" spans="1:77" x14ac:dyDescent="0.25">
      <c r="A185" t="s">
        <v>237</v>
      </c>
      <c r="B185" s="12">
        <f ca="1">+VLOOKUP($A185,INDIRECT(Adrese!B$2),2,FALSE)</f>
        <v>183</v>
      </c>
      <c r="C185" s="12">
        <f ca="1">+VLOOKUP($A185,INDIRECT(Adrese!C$2),2,FALSE)</f>
        <v>184</v>
      </c>
      <c r="D185" s="12">
        <f ca="1">+VLOOKUP($A185,INDIRECT(Adrese!D$2),2,FALSE)</f>
        <v>188</v>
      </c>
      <c r="E185" s="12">
        <f ca="1">+VLOOKUP($A185,INDIRECT(Adrese!E$2),2,FALSE)</f>
        <v>184</v>
      </c>
      <c r="F185" s="12">
        <f ca="1">+VLOOKUP($A185,INDIRECT(Adrese!F$2),2,FALSE)</f>
        <v>187</v>
      </c>
      <c r="G185" s="5">
        <f t="shared" ca="1" si="63"/>
        <v>185.2</v>
      </c>
      <c r="H185" s="5">
        <f t="shared" ca="1" si="50"/>
        <v>2.16794833886788</v>
      </c>
      <c r="J185" t="s">
        <v>237</v>
      </c>
      <c r="K185">
        <f ca="1">+VLOOKUP($A185,INDIRECT(Adrese!B$2),3,FALSE)</f>
        <v>72</v>
      </c>
      <c r="L185">
        <f ca="1">+VLOOKUP($A185,INDIRECT(Adrese!C$2),3,FALSE)</f>
        <v>73</v>
      </c>
      <c r="M185">
        <f ca="1">+VLOOKUP($A185,INDIRECT(Adrese!D$2),3,FALSE)</f>
        <v>71</v>
      </c>
      <c r="N185">
        <f ca="1">+VLOOKUP($A185,INDIRECT(Adrese!E$2),3,FALSE)</f>
        <v>73</v>
      </c>
      <c r="O185">
        <f ca="1">+VLOOKUP($A185,INDIRECT(Adrese!F$2),3,FALSE)</f>
        <v>71</v>
      </c>
      <c r="P185" s="5">
        <f t="shared" ca="1" si="64"/>
        <v>72</v>
      </c>
      <c r="Q185" s="5">
        <f t="shared" ca="1" si="51"/>
        <v>1</v>
      </c>
      <c r="T185" t="s">
        <v>237</v>
      </c>
      <c r="U185">
        <f ca="1">+VLOOKUP($T185,INDIRECT(Adrese!B$2),4,FALSE)</f>
        <v>90568</v>
      </c>
      <c r="V185">
        <f ca="1">+VLOOKUP($T185,INDIRECT(Adrese!C$2),4,FALSE)</f>
        <v>90527</v>
      </c>
      <c r="W185">
        <f ca="1">+VLOOKUP($T185,INDIRECT(Adrese!D$2),4,FALSE)</f>
        <v>89405</v>
      </c>
      <c r="X185">
        <f ca="1">+VLOOKUP($T185,INDIRECT(Adrese!E$2),4,FALSE)</f>
        <v>90786</v>
      </c>
      <c r="Y185">
        <f ca="1">+VLOOKUP($T185,INDIRECT(Adrese!F$2),4,FALSE)</f>
        <v>90019</v>
      </c>
      <c r="Z185">
        <f t="shared" ca="1" si="52"/>
        <v>451305</v>
      </c>
      <c r="AA185" s="5">
        <f t="shared" ca="1" si="65"/>
        <v>90261</v>
      </c>
      <c r="AB185" s="5">
        <f t="shared" ca="1" si="53"/>
        <v>554.96171039090621</v>
      </c>
      <c r="AD185" t="s">
        <v>237</v>
      </c>
      <c r="AE185">
        <f ca="1">+VLOOKUP($A185,INDIRECT(Adrese!B$2),5,FALSE)</f>
        <v>30418</v>
      </c>
      <c r="AF185">
        <f ca="1">+VLOOKUP($A185,INDIRECT(Adrese!C$2),5,FALSE)</f>
        <v>30418</v>
      </c>
      <c r="AG185">
        <f ca="1">+VLOOKUP($A185,INDIRECT(Adrese!D$2),5,FALSE)</f>
        <v>30418</v>
      </c>
      <c r="AH185">
        <f ca="1">+VLOOKUP($A185,INDIRECT(Adrese!E$2),5,FALSE)</f>
        <v>30418</v>
      </c>
      <c r="AI185">
        <f ca="1">+VLOOKUP($A185,INDIRECT(Adrese!F$2),5,FALSE)</f>
        <v>30418</v>
      </c>
      <c r="AJ185" s="5">
        <f t="shared" ca="1" si="66"/>
        <v>30418</v>
      </c>
      <c r="AK185" s="5">
        <f t="shared" ca="1" si="54"/>
        <v>0</v>
      </c>
      <c r="AM185" t="s">
        <v>237</v>
      </c>
      <c r="AN185" s="5">
        <f ca="1">+VLOOKUP($A185,INDIRECT(Adrese!B$2),6,FALSE)</f>
        <v>0.67</v>
      </c>
      <c r="AO185" s="5">
        <f ca="1">+VLOOKUP($A185,INDIRECT(Adrese!C$2),6,FALSE)</f>
        <v>0.67</v>
      </c>
      <c r="AP185" s="5">
        <f ca="1">+VLOOKUP($A185,INDIRECT(Adrese!D$2),6,FALSE)</f>
        <v>0.67</v>
      </c>
      <c r="AQ185" s="5">
        <f ca="1">+VLOOKUP($A185,INDIRECT(Adrese!E$2),6,FALSE)</f>
        <v>0.67</v>
      </c>
      <c r="AR185" s="5">
        <f ca="1">+VLOOKUP($A185,INDIRECT(Adrese!F$2),6,FALSE)</f>
        <v>0.67</v>
      </c>
      <c r="AS185" s="5" t="str">
        <f t="shared" ca="1" si="55"/>
        <v>0.67 (0.00)</v>
      </c>
      <c r="AT185" s="5">
        <f t="shared" ca="1" si="67"/>
        <v>0.67</v>
      </c>
      <c r="AU185" s="5">
        <f t="shared" ca="1" si="56"/>
        <v>0</v>
      </c>
      <c r="AW185" t="s">
        <v>237</v>
      </c>
      <c r="AX185" s="5">
        <f ca="1">+VLOOKUP($A185,INDIRECT(Adrese!B$2),7,FALSE)</f>
        <v>0.68141592920353977</v>
      </c>
      <c r="AY185" s="5">
        <f ca="1">+VLOOKUP($A185,INDIRECT(Adrese!C$2),7,FALSE)</f>
        <v>0.67699114999999999</v>
      </c>
      <c r="AZ185" s="5">
        <f ca="1">+VLOOKUP($A185,INDIRECT(Adrese!D$2),7,FALSE)</f>
        <v>0.68584070799999997</v>
      </c>
      <c r="BA185" s="5">
        <f ca="1">+VLOOKUP($A185,INDIRECT(Adrese!E$2),7,FALSE)</f>
        <v>0.67699114999999999</v>
      </c>
      <c r="BB185" s="5">
        <f ca="1">+VLOOKUP($A185,INDIRECT(Adrese!F$2),7,FALSE)</f>
        <v>0.68584070799999997</v>
      </c>
      <c r="BC185" s="5" t="str">
        <f t="shared" ca="1" si="57"/>
        <v>0.68 (0.00)</v>
      </c>
      <c r="BD185">
        <f t="shared" ca="1" si="68"/>
        <v>0.68141592904070802</v>
      </c>
      <c r="BE185" s="5">
        <f t="shared" ca="1" si="58"/>
        <v>4.4247789999999907E-3</v>
      </c>
      <c r="BG185" t="s">
        <v>237</v>
      </c>
      <c r="BH185" s="5">
        <f ca="1">+VLOOKUP($BG185,INDIRECT(Adrese!B$2),8,FALSE)</f>
        <v>6.0162058947511053E-2</v>
      </c>
      <c r="BI185" s="5">
        <f ca="1">+VLOOKUP($BG185,INDIRECT(Adrese!C$2),8,FALSE)</f>
        <v>6.0163599999999998E-2</v>
      </c>
      <c r="BJ185" s="5">
        <f ca="1">+VLOOKUP($BG185,INDIRECT(Adrese!D$2),8,FALSE)</f>
        <v>6.0190756999999998E-2</v>
      </c>
      <c r="BK185" s="5">
        <f ca="1">+VLOOKUP($BG185,INDIRECT(Adrese!E$2),8,FALSE)</f>
        <v>6.0159029000000003E-2</v>
      </c>
      <c r="BL185" s="5">
        <f ca="1">+VLOOKUP($BG185,INDIRECT(Adrese!F$2),8,FALSE)</f>
        <v>6.0280858E-2</v>
      </c>
      <c r="BM185" s="5" t="str">
        <f t="shared" ca="1" si="59"/>
        <v>0.06 (0.00)</v>
      </c>
      <c r="BN185" s="5">
        <f t="shared" ca="1" si="69"/>
        <v>6.0191260589502214E-2</v>
      </c>
      <c r="BO185" s="5">
        <f t="shared" ca="1" si="60"/>
        <v>5.1683336383027166E-5</v>
      </c>
      <c r="BQ185" t="s">
        <v>237</v>
      </c>
      <c r="BR185" s="5">
        <f ca="1">+VLOOKUP($BG185,INDIRECT(Adrese!B$2),9,FALSE)</f>
        <v>2.6087337707719441E-2</v>
      </c>
      <c r="BS185" s="5">
        <f ca="1">+VLOOKUP($BG185,INDIRECT(Adrese!C$2),9,FALSE)</f>
        <v>2.6115089000000001E-2</v>
      </c>
      <c r="BT185" s="5">
        <f ca="1">+VLOOKUP($BG185,INDIRECT(Adrese!D$2),9,FALSE)</f>
        <v>2.6016858E-2</v>
      </c>
      <c r="BU185" s="5">
        <f ca="1">+VLOOKUP($BG185,INDIRECT(Adrese!E$2),9,FALSE)</f>
        <v>2.6117141E-2</v>
      </c>
      <c r="BV185" s="5">
        <f ca="1">+VLOOKUP($BG185,INDIRECT(Adrese!F$2),9,FALSE)</f>
        <v>2.6156440999999999E-2</v>
      </c>
      <c r="BW185" s="5" t="str">
        <f t="shared" ca="1" si="61"/>
        <v>0.03 (0.00)</v>
      </c>
      <c r="BX185" s="5">
        <f t="shared" ca="1" si="70"/>
        <v>2.6098573341543883E-2</v>
      </c>
      <c r="BY185" s="5">
        <f t="shared" ca="1" si="62"/>
        <v>5.1888889275658518E-5</v>
      </c>
    </row>
    <row r="186" spans="1:77" x14ac:dyDescent="0.25">
      <c r="A186" t="s">
        <v>238</v>
      </c>
      <c r="B186" s="12">
        <f ca="1">+VLOOKUP($A186,INDIRECT(Adrese!B$2),2,FALSE)</f>
        <v>184</v>
      </c>
      <c r="C186" s="12">
        <f ca="1">+VLOOKUP($A186,INDIRECT(Adrese!C$2),2,FALSE)</f>
        <v>179</v>
      </c>
      <c r="D186" s="12">
        <f ca="1">+VLOOKUP($A186,INDIRECT(Adrese!D$2),2,FALSE)</f>
        <v>182</v>
      </c>
      <c r="E186" s="12">
        <f ca="1">+VLOOKUP($A186,INDIRECT(Adrese!E$2),2,FALSE)</f>
        <v>178</v>
      </c>
      <c r="F186" s="12">
        <f ca="1">+VLOOKUP($A186,INDIRECT(Adrese!F$2),2,FALSE)</f>
        <v>182</v>
      </c>
      <c r="G186" s="5">
        <f t="shared" ca="1" si="63"/>
        <v>181</v>
      </c>
      <c r="H186" s="5">
        <f t="shared" ca="1" si="50"/>
        <v>2.4494897427831779</v>
      </c>
      <c r="J186" t="s">
        <v>238</v>
      </c>
      <c r="K186">
        <f ca="1">+VLOOKUP($A186,INDIRECT(Adrese!B$2),3,FALSE)</f>
        <v>178</v>
      </c>
      <c r="L186">
        <f ca="1">+VLOOKUP($A186,INDIRECT(Adrese!C$2),3,FALSE)</f>
        <v>180</v>
      </c>
      <c r="M186">
        <f ca="1">+VLOOKUP($A186,INDIRECT(Adrese!D$2),3,FALSE)</f>
        <v>179</v>
      </c>
      <c r="N186">
        <f ca="1">+VLOOKUP($A186,INDIRECT(Adrese!E$2),3,FALSE)</f>
        <v>181</v>
      </c>
      <c r="O186">
        <f ca="1">+VLOOKUP($A186,INDIRECT(Adrese!F$2),3,FALSE)</f>
        <v>182</v>
      </c>
      <c r="P186" s="5">
        <f t="shared" ca="1" si="64"/>
        <v>180</v>
      </c>
      <c r="Q186" s="5">
        <f t="shared" ca="1" si="51"/>
        <v>1.5811388300841898</v>
      </c>
      <c r="T186" t="s">
        <v>238</v>
      </c>
      <c r="U186">
        <f ca="1">+VLOOKUP($T186,INDIRECT(Adrese!B$2),4,FALSE)</f>
        <v>90538</v>
      </c>
      <c r="V186">
        <f ca="1">+VLOOKUP($T186,INDIRECT(Adrese!C$2),4,FALSE)</f>
        <v>91286</v>
      </c>
      <c r="W186">
        <f ca="1">+VLOOKUP($T186,INDIRECT(Adrese!D$2),4,FALSE)</f>
        <v>90834</v>
      </c>
      <c r="X186">
        <f ca="1">+VLOOKUP($T186,INDIRECT(Adrese!E$2),4,FALSE)</f>
        <v>91382</v>
      </c>
      <c r="Y186">
        <f ca="1">+VLOOKUP($T186,INDIRECT(Adrese!F$2),4,FALSE)</f>
        <v>91032</v>
      </c>
      <c r="Z186">
        <f t="shared" ca="1" si="52"/>
        <v>455072</v>
      </c>
      <c r="AA186" s="5">
        <f t="shared" ca="1" si="65"/>
        <v>91014.399999999994</v>
      </c>
      <c r="AB186" s="5">
        <f t="shared" ca="1" si="53"/>
        <v>342.31096973366192</v>
      </c>
      <c r="AD186" t="s">
        <v>238</v>
      </c>
      <c r="AE186">
        <f ca="1">+VLOOKUP($A186,INDIRECT(Adrese!B$2),5,FALSE)</f>
        <v>15425</v>
      </c>
      <c r="AF186">
        <f ca="1">+VLOOKUP($A186,INDIRECT(Adrese!C$2),5,FALSE)</f>
        <v>15665</v>
      </c>
      <c r="AG186">
        <f ca="1">+VLOOKUP($A186,INDIRECT(Adrese!D$2),5,FALSE)</f>
        <v>15348</v>
      </c>
      <c r="AH186">
        <f ca="1">+VLOOKUP($A186,INDIRECT(Adrese!E$2),5,FALSE)</f>
        <v>15786</v>
      </c>
      <c r="AI186">
        <f ca="1">+VLOOKUP($A186,INDIRECT(Adrese!F$2),5,FALSE)</f>
        <v>15455</v>
      </c>
      <c r="AJ186" s="5">
        <f t="shared" ca="1" si="66"/>
        <v>15535.8</v>
      </c>
      <c r="AK186" s="5">
        <f t="shared" ca="1" si="54"/>
        <v>182.59709745776354</v>
      </c>
      <c r="AM186" t="s">
        <v>238</v>
      </c>
      <c r="AN186" s="5">
        <f ca="1">+VLOOKUP($A186,INDIRECT(Adrese!B$2),6,FALSE)</f>
        <v>0.33685840707964598</v>
      </c>
      <c r="AO186" s="5">
        <f ca="1">+VLOOKUP($A186,INDIRECT(Adrese!C$2),6,FALSE)</f>
        <v>0.34216814200000001</v>
      </c>
      <c r="AP186" s="5">
        <f ca="1">+VLOOKUP($A186,INDIRECT(Adrese!D$2),6,FALSE)</f>
        <v>0.33515486700000002</v>
      </c>
      <c r="AQ186" s="5">
        <f ca="1">+VLOOKUP($A186,INDIRECT(Adrese!E$2),6,FALSE)</f>
        <v>0.34484513300000003</v>
      </c>
      <c r="AR186" s="5">
        <f ca="1">+VLOOKUP($A186,INDIRECT(Adrese!F$2),6,FALSE)</f>
        <v>0.33752212399999998</v>
      </c>
      <c r="AS186" s="5" t="str">
        <f t="shared" ca="1" si="55"/>
        <v>0.34 (0.00)</v>
      </c>
      <c r="AT186" s="5">
        <f t="shared" ca="1" si="67"/>
        <v>0.33930973461592917</v>
      </c>
      <c r="AU186" s="5">
        <f t="shared" ca="1" si="56"/>
        <v>4.0397590074750947E-3</v>
      </c>
      <c r="AW186" t="s">
        <v>238</v>
      </c>
      <c r="AX186" s="5">
        <f ca="1">+VLOOKUP($A186,INDIRECT(Adrese!B$2),7,FALSE)</f>
        <v>0.21238938053097339</v>
      </c>
      <c r="AY186" s="5">
        <f ca="1">+VLOOKUP($A186,INDIRECT(Adrese!C$2),7,FALSE)</f>
        <v>0.20353982300000001</v>
      </c>
      <c r="AZ186" s="5">
        <f ca="1">+VLOOKUP($A186,INDIRECT(Adrese!D$2),7,FALSE)</f>
        <v>0.207964602</v>
      </c>
      <c r="BA186" s="5">
        <f ca="1">+VLOOKUP($A186,INDIRECT(Adrese!E$2),7,FALSE)</f>
        <v>0.19911504399999999</v>
      </c>
      <c r="BB186" s="5">
        <f ca="1">+VLOOKUP($A186,INDIRECT(Adrese!F$2),7,FALSE)</f>
        <v>0.194690265</v>
      </c>
      <c r="BC186" s="5" t="str">
        <f t="shared" ca="1" si="57"/>
        <v>0.20 (0.01)</v>
      </c>
      <c r="BD186">
        <f t="shared" ca="1" si="68"/>
        <v>0.20353982290619471</v>
      </c>
      <c r="BE186" s="5">
        <f t="shared" ca="1" si="58"/>
        <v>6.9961897431218565E-3</v>
      </c>
      <c r="BG186" t="s">
        <v>238</v>
      </c>
      <c r="BH186" s="5">
        <f ca="1">+VLOOKUP($BG186,INDIRECT(Adrese!B$2),8,FALSE)</f>
        <v>3.6039658383360207E-2</v>
      </c>
      <c r="BI186" s="5">
        <f ca="1">+VLOOKUP($BG186,INDIRECT(Adrese!C$2),8,FALSE)</f>
        <v>3.6535117999999998E-2</v>
      </c>
      <c r="BJ186" s="5">
        <f ca="1">+VLOOKUP($BG186,INDIRECT(Adrese!D$2),8,FALSE)</f>
        <v>3.5811000000000003E-2</v>
      </c>
      <c r="BK186" s="5">
        <f ca="1">+VLOOKUP($BG186,INDIRECT(Adrese!E$2),8,FALSE)</f>
        <v>3.6924687999999997E-2</v>
      </c>
      <c r="BL186" s="5">
        <f ca="1">+VLOOKUP($BG186,INDIRECT(Adrese!F$2),8,FALSE)</f>
        <v>3.6001777999999998E-2</v>
      </c>
      <c r="BM186" s="5" t="str">
        <f t="shared" ca="1" si="59"/>
        <v>0.04 (0.00)</v>
      </c>
      <c r="BN186" s="5">
        <f t="shared" ca="1" si="69"/>
        <v>3.6262448476672038E-2</v>
      </c>
      <c r="BO186" s="5">
        <f t="shared" ca="1" si="60"/>
        <v>4.5670014927339469E-4</v>
      </c>
      <c r="BQ186" t="s">
        <v>238</v>
      </c>
      <c r="BR186" s="5">
        <f ca="1">+VLOOKUP($BG186,INDIRECT(Adrese!B$2),9,FALSE)</f>
        <v>-4.579261674731723E-3</v>
      </c>
      <c r="BS186" s="5">
        <f ca="1">+VLOOKUP($BG186,INDIRECT(Adrese!C$2),9,FALSE)</f>
        <v>-3.656907E-3</v>
      </c>
      <c r="BT186" s="5">
        <f ca="1">+VLOOKUP($BG186,INDIRECT(Adrese!D$2),9,FALSE)</f>
        <v>-5.1304430000000002E-3</v>
      </c>
      <c r="BU186" s="5">
        <f ca="1">+VLOOKUP($BG186,INDIRECT(Adrese!E$2),9,FALSE)</f>
        <v>-2.589493E-3</v>
      </c>
      <c r="BV186" s="5">
        <f ca="1">+VLOOKUP($BG186,INDIRECT(Adrese!F$2),9,FALSE)</f>
        <v>-5.3358040000000004E-3</v>
      </c>
      <c r="BW186" s="5" t="str">
        <f t="shared" ca="1" si="61"/>
        <v>0.00 (0.00)</v>
      </c>
      <c r="BX186" s="5">
        <f t="shared" ca="1" si="70"/>
        <v>-4.2583817349463446E-3</v>
      </c>
      <c r="BY186" s="5">
        <f t="shared" ca="1" si="62"/>
        <v>1.1370196776448712E-3</v>
      </c>
    </row>
    <row r="187" spans="1:77" x14ac:dyDescent="0.25">
      <c r="A187" t="s">
        <v>239</v>
      </c>
      <c r="B187" s="12">
        <f ca="1">+VLOOKUP($A187,INDIRECT(Adrese!B$2),2,FALSE)</f>
        <v>185</v>
      </c>
      <c r="C187" s="12">
        <f ca="1">+VLOOKUP($A187,INDIRECT(Adrese!C$2),2,FALSE)</f>
        <v>185</v>
      </c>
      <c r="D187" s="12">
        <f ca="1">+VLOOKUP($A187,INDIRECT(Adrese!D$2),2,FALSE)</f>
        <v>178</v>
      </c>
      <c r="E187" s="12">
        <f ca="1">+VLOOKUP($A187,INDIRECT(Adrese!E$2),2,FALSE)</f>
        <v>181</v>
      </c>
      <c r="F187" s="12">
        <f ca="1">+VLOOKUP($A187,INDIRECT(Adrese!F$2),2,FALSE)</f>
        <v>176</v>
      </c>
      <c r="G187" s="5">
        <f t="shared" ca="1" si="63"/>
        <v>181</v>
      </c>
      <c r="H187" s="5">
        <f t="shared" ca="1" si="50"/>
        <v>4.0620192023179804</v>
      </c>
      <c r="J187" t="s">
        <v>239</v>
      </c>
      <c r="K187">
        <f ca="1">+VLOOKUP($A187,INDIRECT(Adrese!B$2),3,FALSE)</f>
        <v>181</v>
      </c>
      <c r="L187">
        <f ca="1">+VLOOKUP($A187,INDIRECT(Adrese!C$2),3,FALSE)</f>
        <v>179</v>
      </c>
      <c r="M187">
        <f ca="1">+VLOOKUP($A187,INDIRECT(Adrese!D$2),3,FALSE)</f>
        <v>176</v>
      </c>
      <c r="N187">
        <f ca="1">+VLOOKUP($A187,INDIRECT(Adrese!E$2),3,FALSE)</f>
        <v>180</v>
      </c>
      <c r="O187">
        <f ca="1">+VLOOKUP($A187,INDIRECT(Adrese!F$2),3,FALSE)</f>
        <v>182</v>
      </c>
      <c r="P187" s="5">
        <f t="shared" ca="1" si="64"/>
        <v>179.6</v>
      </c>
      <c r="Q187" s="5">
        <f t="shared" ca="1" si="51"/>
        <v>2.3021728866442674</v>
      </c>
      <c r="T187" t="s">
        <v>239</v>
      </c>
      <c r="U187">
        <f ca="1">+VLOOKUP($T187,INDIRECT(Adrese!B$2),4,FALSE)</f>
        <v>90348</v>
      </c>
      <c r="V187">
        <f ca="1">+VLOOKUP($T187,INDIRECT(Adrese!C$2),4,FALSE)</f>
        <v>90323</v>
      </c>
      <c r="W187">
        <f ca="1">+VLOOKUP($T187,INDIRECT(Adrese!D$2),4,FALSE)</f>
        <v>91415</v>
      </c>
      <c r="X187">
        <f ca="1">+VLOOKUP($T187,INDIRECT(Adrese!E$2),4,FALSE)</f>
        <v>90926</v>
      </c>
      <c r="Y187">
        <f ca="1">+VLOOKUP($T187,INDIRECT(Adrese!F$2),4,FALSE)</f>
        <v>92346</v>
      </c>
      <c r="Z187">
        <f t="shared" ca="1" si="52"/>
        <v>455358</v>
      </c>
      <c r="AA187" s="5">
        <f t="shared" ca="1" si="65"/>
        <v>91071.6</v>
      </c>
      <c r="AB187" s="5">
        <f t="shared" ca="1" si="53"/>
        <v>843.68495304823352</v>
      </c>
      <c r="AD187" t="s">
        <v>239</v>
      </c>
      <c r="AE187">
        <f ca="1">+VLOOKUP($A187,INDIRECT(Adrese!B$2),5,FALSE)</f>
        <v>9279</v>
      </c>
      <c r="AF187">
        <f ca="1">+VLOOKUP($A187,INDIRECT(Adrese!C$2),5,FALSE)</f>
        <v>8905</v>
      </c>
      <c r="AG187">
        <f ca="1">+VLOOKUP($A187,INDIRECT(Adrese!D$2),5,FALSE)</f>
        <v>9221</v>
      </c>
      <c r="AH187">
        <f ca="1">+VLOOKUP($A187,INDIRECT(Adrese!E$2),5,FALSE)</f>
        <v>9270</v>
      </c>
      <c r="AI187">
        <f ca="1">+VLOOKUP($A187,INDIRECT(Adrese!F$2),5,FALSE)</f>
        <v>9705</v>
      </c>
      <c r="AJ187" s="5">
        <f t="shared" ca="1" si="66"/>
        <v>9276</v>
      </c>
      <c r="AK187" s="5">
        <f t="shared" ca="1" si="54"/>
        <v>284.93508032532606</v>
      </c>
      <c r="AM187" t="s">
        <v>239</v>
      </c>
      <c r="AN187" s="5">
        <f ca="1">+VLOOKUP($A187,INDIRECT(Adrese!B$2),6,FALSE)</f>
        <v>0.2009070796460177</v>
      </c>
      <c r="AO187" s="5">
        <f ca="1">+VLOOKUP($A187,INDIRECT(Adrese!C$2),6,FALSE)</f>
        <v>0.192632743</v>
      </c>
      <c r="AP187" s="5">
        <f ca="1">+VLOOKUP($A187,INDIRECT(Adrese!D$2),6,FALSE)</f>
        <v>0.199623894</v>
      </c>
      <c r="AQ187" s="5">
        <f ca="1">+VLOOKUP($A187,INDIRECT(Adrese!E$2),6,FALSE)</f>
        <v>0.20070796499999999</v>
      </c>
      <c r="AR187" s="5">
        <f ca="1">+VLOOKUP($A187,INDIRECT(Adrese!F$2),6,FALSE)</f>
        <v>0.21033185800000001</v>
      </c>
      <c r="AS187" s="5" t="str">
        <f t="shared" ca="1" si="55"/>
        <v>0.20 (0.01)</v>
      </c>
      <c r="AT187" s="5">
        <f t="shared" ca="1" si="67"/>
        <v>0.20084070792920355</v>
      </c>
      <c r="AU187" s="5">
        <f t="shared" ca="1" si="56"/>
        <v>6.3038734119144034E-3</v>
      </c>
      <c r="AW187" t="s">
        <v>239</v>
      </c>
      <c r="AX187" s="5">
        <f ca="1">+VLOOKUP($A187,INDIRECT(Adrese!B$2),7,FALSE)</f>
        <v>0.19911504424778759</v>
      </c>
      <c r="AY187" s="5">
        <f ca="1">+VLOOKUP($A187,INDIRECT(Adrese!C$2),7,FALSE)</f>
        <v>0.207964602</v>
      </c>
      <c r="AZ187" s="5">
        <f ca="1">+VLOOKUP($A187,INDIRECT(Adrese!D$2),7,FALSE)</f>
        <v>0.221238938</v>
      </c>
      <c r="BA187" s="5">
        <f ca="1">+VLOOKUP($A187,INDIRECT(Adrese!E$2),7,FALSE)</f>
        <v>0.20353982300000001</v>
      </c>
      <c r="BB187" s="5">
        <f ca="1">+VLOOKUP($A187,INDIRECT(Adrese!F$2),7,FALSE)</f>
        <v>0.194690265</v>
      </c>
      <c r="BC187" s="5" t="str">
        <f t="shared" ca="1" si="57"/>
        <v>0.21 (0.01)</v>
      </c>
      <c r="BD187">
        <f t="shared" ca="1" si="68"/>
        <v>0.20530973444955752</v>
      </c>
      <c r="BE187" s="5">
        <f t="shared" ca="1" si="58"/>
        <v>1.01866058145867E-2</v>
      </c>
      <c r="BG187" t="s">
        <v>239</v>
      </c>
      <c r="BH187" s="5">
        <f ca="1">+VLOOKUP($BG187,INDIRECT(Adrese!B$2),8,FALSE)</f>
        <v>2.0353546942639921E-2</v>
      </c>
      <c r="BI187" s="5">
        <f ca="1">+VLOOKUP($BG187,INDIRECT(Adrese!C$2),8,FALSE)</f>
        <v>1.9469624000000001E-2</v>
      </c>
      <c r="BJ187" s="5">
        <f ca="1">+VLOOKUP($BG187,INDIRECT(Adrese!D$2),8,FALSE)</f>
        <v>2.0089355E-2</v>
      </c>
      <c r="BK187" s="5">
        <f ca="1">+VLOOKUP($BG187,INDIRECT(Adrese!E$2),8,FALSE)</f>
        <v>2.0293967999999999E-2</v>
      </c>
      <c r="BL187" s="5">
        <f ca="1">+VLOOKUP($BG187,INDIRECT(Adrese!F$2),8,FALSE)</f>
        <v>2.1308186E-2</v>
      </c>
      <c r="BM187" s="5" t="str">
        <f t="shared" ca="1" si="59"/>
        <v>0.02 (0.00)</v>
      </c>
      <c r="BN187" s="5">
        <f t="shared" ca="1" si="69"/>
        <v>2.0302935988527983E-2</v>
      </c>
      <c r="BO187" s="5">
        <f t="shared" ca="1" si="60"/>
        <v>6.6204138615797619E-4</v>
      </c>
      <c r="BQ187" t="s">
        <v>239</v>
      </c>
      <c r="BR187" s="5">
        <f ca="1">+VLOOKUP($BG187,INDIRECT(Adrese!B$2),9,FALSE)</f>
        <v>-4.0896831622695799E-2</v>
      </c>
      <c r="BS187" s="5">
        <f ca="1">+VLOOKUP($BG187,INDIRECT(Adrese!C$2),9,FALSE)</f>
        <v>-4.2461405000000001E-2</v>
      </c>
      <c r="BT187" s="5">
        <f ca="1">+VLOOKUP($BG187,INDIRECT(Adrese!D$2),9,FALSE)</f>
        <v>-4.1582109999999999E-2</v>
      </c>
      <c r="BU187" s="5">
        <f ca="1">+VLOOKUP($BG187,INDIRECT(Adrese!E$2),9,FALSE)</f>
        <v>-4.1118542000000001E-2</v>
      </c>
      <c r="BV187" s="5">
        <f ca="1">+VLOOKUP($BG187,INDIRECT(Adrese!F$2),9,FALSE)</f>
        <v>-3.9205332000000002E-2</v>
      </c>
      <c r="BW187" s="5" t="str">
        <f t="shared" ca="1" si="61"/>
        <v>-0.04 (0.00)</v>
      </c>
      <c r="BX187" s="5">
        <f t="shared" ca="1" si="70"/>
        <v>-4.1052844124539162E-2</v>
      </c>
      <c r="BY187" s="5">
        <f t="shared" ca="1" si="62"/>
        <v>1.1943746552795966E-3</v>
      </c>
    </row>
    <row r="188" spans="1:77" x14ac:dyDescent="0.25">
      <c r="A188" t="s">
        <v>240</v>
      </c>
      <c r="B188" s="12">
        <f ca="1">+VLOOKUP($A188,INDIRECT(Adrese!B$2),2,FALSE)</f>
        <v>186</v>
      </c>
      <c r="C188" s="12">
        <f ca="1">+VLOOKUP($A188,INDIRECT(Adrese!C$2),2,FALSE)</f>
        <v>176</v>
      </c>
      <c r="D188" s="12">
        <f ca="1">+VLOOKUP($A188,INDIRECT(Adrese!D$2),2,FALSE)</f>
        <v>180</v>
      </c>
      <c r="E188" s="12">
        <f ca="1">+VLOOKUP($A188,INDIRECT(Adrese!E$2),2,FALSE)</f>
        <v>179</v>
      </c>
      <c r="F188" s="12">
        <f ca="1">+VLOOKUP($A188,INDIRECT(Adrese!F$2),2,FALSE)</f>
        <v>186</v>
      </c>
      <c r="G188" s="5">
        <f t="shared" ca="1" si="63"/>
        <v>181.4</v>
      </c>
      <c r="H188" s="5">
        <f t="shared" ca="1" si="50"/>
        <v>4.4497190922573973</v>
      </c>
      <c r="J188" t="s">
        <v>240</v>
      </c>
      <c r="K188">
        <f ca="1">+VLOOKUP($A188,INDIRECT(Adrese!B$2),3,FALSE)</f>
        <v>159</v>
      </c>
      <c r="L188">
        <f ca="1">+VLOOKUP($A188,INDIRECT(Adrese!C$2),3,FALSE)</f>
        <v>161</v>
      </c>
      <c r="M188">
        <f ca="1">+VLOOKUP($A188,INDIRECT(Adrese!D$2),3,FALSE)</f>
        <v>164</v>
      </c>
      <c r="N188">
        <f ca="1">+VLOOKUP($A188,INDIRECT(Adrese!E$2),3,FALSE)</f>
        <v>163</v>
      </c>
      <c r="O188">
        <f ca="1">+VLOOKUP($A188,INDIRECT(Adrese!F$2),3,FALSE)</f>
        <v>164</v>
      </c>
      <c r="P188" s="5">
        <f t="shared" ca="1" si="64"/>
        <v>162.19999999999999</v>
      </c>
      <c r="Q188" s="5">
        <f t="shared" ca="1" si="51"/>
        <v>2.16794833886788</v>
      </c>
      <c r="T188" t="s">
        <v>240</v>
      </c>
      <c r="U188">
        <f ca="1">+VLOOKUP($T188,INDIRECT(Adrese!B$2),4,FALSE)</f>
        <v>90042</v>
      </c>
      <c r="V188">
        <f ca="1">+VLOOKUP($T188,INDIRECT(Adrese!C$2),4,FALSE)</f>
        <v>91577</v>
      </c>
      <c r="W188">
        <f ca="1">+VLOOKUP($T188,INDIRECT(Adrese!D$2),4,FALSE)</f>
        <v>90918</v>
      </c>
      <c r="X188">
        <f ca="1">+VLOOKUP($T188,INDIRECT(Adrese!E$2),4,FALSE)</f>
        <v>91034</v>
      </c>
      <c r="Y188">
        <f ca="1">+VLOOKUP($T188,INDIRECT(Adrese!F$2),4,FALSE)</f>
        <v>90528</v>
      </c>
      <c r="Z188">
        <f t="shared" ca="1" si="52"/>
        <v>454099</v>
      </c>
      <c r="AA188" s="5">
        <f t="shared" ca="1" si="65"/>
        <v>90819.8</v>
      </c>
      <c r="AB188" s="5">
        <f t="shared" ca="1" si="53"/>
        <v>574.23792978172389</v>
      </c>
      <c r="AD188" t="s">
        <v>240</v>
      </c>
      <c r="AE188">
        <f ca="1">+VLOOKUP($A188,INDIRECT(Adrese!B$2),5,FALSE)</f>
        <v>17195</v>
      </c>
      <c r="AF188">
        <f ca="1">+VLOOKUP($A188,INDIRECT(Adrese!C$2),5,FALSE)</f>
        <v>18131</v>
      </c>
      <c r="AG188">
        <f ca="1">+VLOOKUP($A188,INDIRECT(Adrese!D$2),5,FALSE)</f>
        <v>17508</v>
      </c>
      <c r="AH188">
        <f ca="1">+VLOOKUP($A188,INDIRECT(Adrese!E$2),5,FALSE)</f>
        <v>17861</v>
      </c>
      <c r="AI188">
        <f ca="1">+VLOOKUP($A188,INDIRECT(Adrese!F$2),5,FALSE)</f>
        <v>17282</v>
      </c>
      <c r="AJ188" s="5">
        <f t="shared" ca="1" si="66"/>
        <v>17595.400000000001</v>
      </c>
      <c r="AK188" s="5">
        <f t="shared" ca="1" si="54"/>
        <v>394.83832134178664</v>
      </c>
      <c r="AM188" t="s">
        <v>240</v>
      </c>
      <c r="AN188" s="5">
        <f ca="1">+VLOOKUP($A188,INDIRECT(Adrese!B$2),6,FALSE)</f>
        <v>0.3804203539823009</v>
      </c>
      <c r="AO188" s="5">
        <f ca="1">+VLOOKUP($A188,INDIRECT(Adrese!C$2),6,FALSE)</f>
        <v>0.40112831900000001</v>
      </c>
      <c r="AP188" s="5">
        <f ca="1">+VLOOKUP($A188,INDIRECT(Adrese!D$2),6,FALSE)</f>
        <v>0.38734513300000001</v>
      </c>
      <c r="AQ188" s="5">
        <f ca="1">+VLOOKUP($A188,INDIRECT(Adrese!E$2),6,FALSE)</f>
        <v>0.39515486700000002</v>
      </c>
      <c r="AR188" s="5">
        <f ca="1">+VLOOKUP($A188,INDIRECT(Adrese!F$2),6,FALSE)</f>
        <v>0.382345133</v>
      </c>
      <c r="AS188" s="5" t="str">
        <f t="shared" ca="1" si="55"/>
        <v>0.39 (0.01)</v>
      </c>
      <c r="AT188" s="5">
        <f t="shared" ca="1" si="67"/>
        <v>0.38927876119646021</v>
      </c>
      <c r="AU188" s="5">
        <f t="shared" ca="1" si="56"/>
        <v>8.7353611243981919E-3</v>
      </c>
      <c r="AW188" t="s">
        <v>240</v>
      </c>
      <c r="AX188" s="5">
        <f ca="1">+VLOOKUP($A188,INDIRECT(Adrese!B$2),7,FALSE)</f>
        <v>0.29646017699115051</v>
      </c>
      <c r="AY188" s="5">
        <f ca="1">+VLOOKUP($A188,INDIRECT(Adrese!C$2),7,FALSE)</f>
        <v>0.28761061900000001</v>
      </c>
      <c r="AZ188" s="5">
        <f ca="1">+VLOOKUP($A188,INDIRECT(Adrese!D$2),7,FALSE)</f>
        <v>0.27433628300000001</v>
      </c>
      <c r="BA188" s="5">
        <f ca="1">+VLOOKUP($A188,INDIRECT(Adrese!E$2),7,FALSE)</f>
        <v>0.278761062</v>
      </c>
      <c r="BB188" s="5">
        <f ca="1">+VLOOKUP($A188,INDIRECT(Adrese!F$2),7,FALSE)</f>
        <v>0.27433628300000001</v>
      </c>
      <c r="BC188" s="5" t="str">
        <f t="shared" ca="1" si="57"/>
        <v>0.28 (0.01)</v>
      </c>
      <c r="BD188">
        <f t="shared" ca="1" si="68"/>
        <v>0.28230088479823012</v>
      </c>
      <c r="BE188" s="5">
        <f t="shared" ca="1" si="58"/>
        <v>9.5926917722497403E-3</v>
      </c>
      <c r="BG188" t="s">
        <v>240</v>
      </c>
      <c r="BH188" s="5">
        <f ca="1">+VLOOKUP($BG188,INDIRECT(Adrese!B$2),8,FALSE)</f>
        <v>3.9135009380495488E-2</v>
      </c>
      <c r="BI188" s="5">
        <f ca="1">+VLOOKUP($BG188,INDIRECT(Adrese!C$2),8,FALSE)</f>
        <v>4.1493954999999999E-2</v>
      </c>
      <c r="BJ188" s="5">
        <f ca="1">+VLOOKUP($BG188,INDIRECT(Adrese!D$2),8,FALSE)</f>
        <v>4.0056359E-2</v>
      </c>
      <c r="BK188" s="5">
        <f ca="1">+VLOOKUP($BG188,INDIRECT(Adrese!E$2),8,FALSE)</f>
        <v>4.0828845000000002E-2</v>
      </c>
      <c r="BL188" s="5">
        <f ca="1">+VLOOKUP($BG188,INDIRECT(Adrese!F$2),8,FALSE)</f>
        <v>3.9597805999999999E-2</v>
      </c>
      <c r="BM188" s="5" t="str">
        <f t="shared" ca="1" si="59"/>
        <v>0.04 (0.00)</v>
      </c>
      <c r="BN188" s="5">
        <f t="shared" ca="1" si="69"/>
        <v>4.0222394876099098E-2</v>
      </c>
      <c r="BO188" s="5">
        <f t="shared" ca="1" si="60"/>
        <v>9.4666959571728835E-4</v>
      </c>
      <c r="BQ188" t="s">
        <v>240</v>
      </c>
      <c r="BR188" s="5">
        <f ca="1">+VLOOKUP($BG188,INDIRECT(Adrese!B$2),9,FALSE)</f>
        <v>3.5485680193079008E-4</v>
      </c>
      <c r="BS188" s="5">
        <f ca="1">+VLOOKUP($BG188,INDIRECT(Adrese!C$2),9,FALSE)</f>
        <v>5.9596329999999998E-3</v>
      </c>
      <c r="BT188" s="5">
        <f ca="1">+VLOOKUP($BG188,INDIRECT(Adrese!D$2),9,FALSE)</f>
        <v>2.9966849999999998E-3</v>
      </c>
      <c r="BU188" s="5">
        <f ca="1">+VLOOKUP($BG188,INDIRECT(Adrese!E$2),9,FALSE)</f>
        <v>4.106887E-3</v>
      </c>
      <c r="BV188" s="5">
        <f ca="1">+VLOOKUP($BG188,INDIRECT(Adrese!F$2),9,FALSE)</f>
        <v>1.4749380000000001E-3</v>
      </c>
      <c r="BW188" s="5" t="str">
        <f t="shared" ca="1" si="61"/>
        <v>0.00 (0.00)</v>
      </c>
      <c r="BX188" s="5">
        <f t="shared" ca="1" si="70"/>
        <v>2.9785999603861579E-3</v>
      </c>
      <c r="BY188" s="5">
        <f t="shared" ca="1" si="62"/>
        <v>2.196869599472248E-3</v>
      </c>
    </row>
    <row r="189" spans="1:77" x14ac:dyDescent="0.25">
      <c r="A189" t="s">
        <v>241</v>
      </c>
      <c r="B189" s="12">
        <f ca="1">+VLOOKUP($A189,INDIRECT(Adrese!B$2),2,FALSE)</f>
        <v>187</v>
      </c>
      <c r="C189" s="12">
        <f ca="1">+VLOOKUP($A189,INDIRECT(Adrese!C$2),2,FALSE)</f>
        <v>189</v>
      </c>
      <c r="D189" s="12">
        <f ca="1">+VLOOKUP($A189,INDIRECT(Adrese!D$2),2,FALSE)</f>
        <v>187</v>
      </c>
      <c r="E189" s="12">
        <f ca="1">+VLOOKUP($A189,INDIRECT(Adrese!E$2),2,FALSE)</f>
        <v>189</v>
      </c>
      <c r="F189" s="12">
        <f ca="1">+VLOOKUP($A189,INDIRECT(Adrese!F$2),2,FALSE)</f>
        <v>188</v>
      </c>
      <c r="G189" s="5">
        <f t="shared" ca="1" si="63"/>
        <v>188</v>
      </c>
      <c r="H189" s="5">
        <f t="shared" ca="1" si="50"/>
        <v>1</v>
      </c>
      <c r="J189" t="s">
        <v>241</v>
      </c>
      <c r="K189">
        <f ca="1">+VLOOKUP($A189,INDIRECT(Adrese!B$2),3,FALSE)</f>
        <v>64</v>
      </c>
      <c r="L189">
        <f ca="1">+VLOOKUP($A189,INDIRECT(Adrese!C$2),3,FALSE)</f>
        <v>63</v>
      </c>
      <c r="M189">
        <f ca="1">+VLOOKUP($A189,INDIRECT(Adrese!D$2),3,FALSE)</f>
        <v>63</v>
      </c>
      <c r="N189">
        <f ca="1">+VLOOKUP($A189,INDIRECT(Adrese!E$2),3,FALSE)</f>
        <v>63</v>
      </c>
      <c r="O189">
        <f ca="1">+VLOOKUP($A189,INDIRECT(Adrese!F$2),3,FALSE)</f>
        <v>66</v>
      </c>
      <c r="P189" s="5">
        <f t="shared" ca="1" si="64"/>
        <v>63.8</v>
      </c>
      <c r="Q189" s="5">
        <f t="shared" ca="1" si="51"/>
        <v>1.3038404810405297</v>
      </c>
      <c r="T189" t="s">
        <v>241</v>
      </c>
      <c r="U189">
        <f ca="1">+VLOOKUP($T189,INDIRECT(Adrese!B$2),4,FALSE)</f>
        <v>89875</v>
      </c>
      <c r="V189">
        <f ca="1">+VLOOKUP($T189,INDIRECT(Adrese!C$2),4,FALSE)</f>
        <v>89147</v>
      </c>
      <c r="W189">
        <f ca="1">+VLOOKUP($T189,INDIRECT(Adrese!D$2),4,FALSE)</f>
        <v>89636</v>
      </c>
      <c r="X189">
        <f ca="1">+VLOOKUP($T189,INDIRECT(Adrese!E$2),4,FALSE)</f>
        <v>89555</v>
      </c>
      <c r="Y189">
        <f ca="1">+VLOOKUP($T189,INDIRECT(Adrese!F$2),4,FALSE)</f>
        <v>89846</v>
      </c>
      <c r="Z189">
        <f t="shared" ca="1" si="52"/>
        <v>448059</v>
      </c>
      <c r="AA189" s="5">
        <f t="shared" ca="1" si="65"/>
        <v>89611.8</v>
      </c>
      <c r="AB189" s="5">
        <f t="shared" ca="1" si="53"/>
        <v>293.24682436473205</v>
      </c>
      <c r="AD189" t="s">
        <v>241</v>
      </c>
      <c r="AE189">
        <f ca="1">+VLOOKUP($A189,INDIRECT(Adrese!B$2),5,FALSE)</f>
        <v>37909</v>
      </c>
      <c r="AF189">
        <f ca="1">+VLOOKUP($A189,INDIRECT(Adrese!C$2),5,FALSE)</f>
        <v>37909</v>
      </c>
      <c r="AG189">
        <f ca="1">+VLOOKUP($A189,INDIRECT(Adrese!D$2),5,FALSE)</f>
        <v>37909</v>
      </c>
      <c r="AH189">
        <f ca="1">+VLOOKUP($A189,INDIRECT(Adrese!E$2),5,FALSE)</f>
        <v>37909</v>
      </c>
      <c r="AI189">
        <f ca="1">+VLOOKUP($A189,INDIRECT(Adrese!F$2),5,FALSE)</f>
        <v>37909</v>
      </c>
      <c r="AJ189" s="5">
        <f t="shared" ca="1" si="66"/>
        <v>37909</v>
      </c>
      <c r="AK189" s="5">
        <f t="shared" ca="1" si="54"/>
        <v>0</v>
      </c>
      <c r="AM189" t="s">
        <v>241</v>
      </c>
      <c r="AN189" s="5">
        <f ca="1">+VLOOKUP($A189,INDIRECT(Adrese!B$2),6,FALSE)</f>
        <v>0.83499999999999996</v>
      </c>
      <c r="AO189" s="5">
        <f ca="1">+VLOOKUP($A189,INDIRECT(Adrese!C$2),6,FALSE)</f>
        <v>0.83499999999999996</v>
      </c>
      <c r="AP189" s="5">
        <f ca="1">+VLOOKUP($A189,INDIRECT(Adrese!D$2),6,FALSE)</f>
        <v>0.83499999999999996</v>
      </c>
      <c r="AQ189" s="5">
        <f ca="1">+VLOOKUP($A189,INDIRECT(Adrese!E$2),6,FALSE)</f>
        <v>0.83499999999999996</v>
      </c>
      <c r="AR189" s="5">
        <f ca="1">+VLOOKUP($A189,INDIRECT(Adrese!F$2),6,FALSE)</f>
        <v>0.83499999999999996</v>
      </c>
      <c r="AS189" s="5" t="str">
        <f t="shared" ca="1" si="55"/>
        <v>0.84 (0.00)</v>
      </c>
      <c r="AT189" s="5">
        <f t="shared" ca="1" si="67"/>
        <v>0.83499999999999996</v>
      </c>
      <c r="AU189" s="5">
        <f t="shared" ca="1" si="56"/>
        <v>0</v>
      </c>
      <c r="AW189" t="s">
        <v>241</v>
      </c>
      <c r="AX189" s="5">
        <f ca="1">+VLOOKUP($A189,INDIRECT(Adrese!B$2),7,FALSE)</f>
        <v>0.7168141592920354</v>
      </c>
      <c r="AY189" s="5">
        <f ca="1">+VLOOKUP($A189,INDIRECT(Adrese!C$2),7,FALSE)</f>
        <v>0.72123893800000005</v>
      </c>
      <c r="AZ189" s="5">
        <f ca="1">+VLOOKUP($A189,INDIRECT(Adrese!D$2),7,FALSE)</f>
        <v>0.72123893800000005</v>
      </c>
      <c r="BA189" s="5">
        <f ca="1">+VLOOKUP($A189,INDIRECT(Adrese!E$2),7,FALSE)</f>
        <v>0.72123893800000005</v>
      </c>
      <c r="BB189" s="5">
        <f ca="1">+VLOOKUP($A189,INDIRECT(Adrese!F$2),7,FALSE)</f>
        <v>0.707964602</v>
      </c>
      <c r="BC189" s="5" t="str">
        <f t="shared" ca="1" si="57"/>
        <v>0.72 (0.01)</v>
      </c>
      <c r="BD189">
        <f t="shared" ca="1" si="68"/>
        <v>0.71769911505840711</v>
      </c>
      <c r="BE189" s="5">
        <f t="shared" ca="1" si="58"/>
        <v>5.7692055468282688E-3</v>
      </c>
      <c r="BG189" t="s">
        <v>241</v>
      </c>
      <c r="BH189" s="5">
        <f ca="1">+VLOOKUP($BG189,INDIRECT(Adrese!B$2),8,FALSE)</f>
        <v>7.4978088389808531E-2</v>
      </c>
      <c r="BI189" s="5">
        <f ca="1">+VLOOKUP($BG189,INDIRECT(Adrese!C$2),8,FALSE)</f>
        <v>7.4980009E-2</v>
      </c>
      <c r="BJ189" s="5">
        <f ca="1">+VLOOKUP($BG189,INDIRECT(Adrese!D$2),8,FALSE)</f>
        <v>7.5013853000000005E-2</v>
      </c>
      <c r="BK189" s="5">
        <f ca="1">+VLOOKUP($BG189,INDIRECT(Adrese!E$2),8,FALSE)</f>
        <v>7.4974312000000001E-2</v>
      </c>
      <c r="BL189" s="5">
        <f ca="1">+VLOOKUP($BG189,INDIRECT(Adrese!F$2),8,FALSE)</f>
        <v>7.5126144000000006E-2</v>
      </c>
      <c r="BM189" s="5" t="str">
        <f t="shared" ca="1" si="59"/>
        <v>0.08 (0.00)</v>
      </c>
      <c r="BN189" s="5">
        <f t="shared" ca="1" si="69"/>
        <v>7.5014481277961703E-2</v>
      </c>
      <c r="BO189" s="5">
        <f t="shared" ca="1" si="60"/>
        <v>6.4411391411308357E-5</v>
      </c>
      <c r="BQ189" t="s">
        <v>241</v>
      </c>
      <c r="BR189" s="5">
        <f ca="1">+VLOOKUP($BG189,INDIRECT(Adrese!B$2),9,FALSE)</f>
        <v>5.140740077697651E-2</v>
      </c>
      <c r="BS189" s="5">
        <f ca="1">+VLOOKUP($BG189,INDIRECT(Adrese!C$2),9,FALSE)</f>
        <v>5.1462086999999997E-2</v>
      </c>
      <c r="BT189" s="5">
        <f ca="1">+VLOOKUP($BG189,INDIRECT(Adrese!D$2),9,FALSE)</f>
        <v>5.1268514000000001E-2</v>
      </c>
      <c r="BU189" s="5">
        <f ca="1">+VLOOKUP($BG189,INDIRECT(Adrese!E$2),9,FALSE)</f>
        <v>5.1466129999999999E-2</v>
      </c>
      <c r="BV189" s="5">
        <f ca="1">+VLOOKUP($BG189,INDIRECT(Adrese!F$2),9,FALSE)</f>
        <v>5.1543575000000001E-2</v>
      </c>
      <c r="BW189" s="5" t="str">
        <f t="shared" ca="1" si="61"/>
        <v>0.05 (0.00)</v>
      </c>
      <c r="BX189" s="5">
        <f t="shared" ca="1" si="70"/>
        <v>5.1429541355395306E-2</v>
      </c>
      <c r="BY189" s="5">
        <f t="shared" ca="1" si="62"/>
        <v>1.0225169240273967E-4</v>
      </c>
    </row>
    <row r="190" spans="1:77" x14ac:dyDescent="0.25">
      <c r="A190" t="s">
        <v>242</v>
      </c>
      <c r="B190" s="12">
        <f ca="1">+VLOOKUP($A190,INDIRECT(Adrese!B$2),2,FALSE)</f>
        <v>188</v>
      </c>
      <c r="C190" s="12">
        <f ca="1">+VLOOKUP($A190,INDIRECT(Adrese!C$2),2,FALSE)</f>
        <v>188</v>
      </c>
      <c r="D190" s="12">
        <f ca="1">+VLOOKUP($A190,INDIRECT(Adrese!D$2),2,FALSE)</f>
        <v>189</v>
      </c>
      <c r="E190" s="12">
        <f ca="1">+VLOOKUP($A190,INDIRECT(Adrese!E$2),2,FALSE)</f>
        <v>194</v>
      </c>
      <c r="F190" s="12">
        <f ca="1">+VLOOKUP($A190,INDIRECT(Adrese!F$2),2,FALSE)</f>
        <v>179</v>
      </c>
      <c r="G190" s="5">
        <f t="shared" ca="1" si="63"/>
        <v>187.6</v>
      </c>
      <c r="H190" s="5">
        <f t="shared" ca="1" si="50"/>
        <v>5.4129474410897434</v>
      </c>
      <c r="J190" t="s">
        <v>242</v>
      </c>
      <c r="K190">
        <f ca="1">+VLOOKUP($A190,INDIRECT(Adrese!B$2),3,FALSE)</f>
        <v>121</v>
      </c>
      <c r="L190">
        <f ca="1">+VLOOKUP($A190,INDIRECT(Adrese!C$2),3,FALSE)</f>
        <v>124</v>
      </c>
      <c r="M190">
        <f ca="1">+VLOOKUP($A190,INDIRECT(Adrese!D$2),3,FALSE)</f>
        <v>119</v>
      </c>
      <c r="N190">
        <f ca="1">+VLOOKUP($A190,INDIRECT(Adrese!E$2),3,FALSE)</f>
        <v>120</v>
      </c>
      <c r="O190">
        <f ca="1">+VLOOKUP($A190,INDIRECT(Adrese!F$2),3,FALSE)</f>
        <v>120</v>
      </c>
      <c r="P190" s="5">
        <f t="shared" ca="1" si="64"/>
        <v>120.8</v>
      </c>
      <c r="Q190" s="5">
        <f t="shared" ca="1" si="51"/>
        <v>1.9235384061671343</v>
      </c>
      <c r="T190" t="s">
        <v>242</v>
      </c>
      <c r="U190">
        <f ca="1">+VLOOKUP($T190,INDIRECT(Adrese!B$2),4,FALSE)</f>
        <v>89476</v>
      </c>
      <c r="V190">
        <f ca="1">+VLOOKUP($T190,INDIRECT(Adrese!C$2),4,FALSE)</f>
        <v>89886</v>
      </c>
      <c r="W190">
        <f ca="1">+VLOOKUP($T190,INDIRECT(Adrese!D$2),4,FALSE)</f>
        <v>89194</v>
      </c>
      <c r="X190">
        <f ca="1">+VLOOKUP($T190,INDIRECT(Adrese!E$2),4,FALSE)</f>
        <v>87108</v>
      </c>
      <c r="Y190">
        <f ca="1">+VLOOKUP($T190,INDIRECT(Adrese!F$2),4,FALSE)</f>
        <v>91359</v>
      </c>
      <c r="Z190">
        <f t="shared" ca="1" si="52"/>
        <v>447023</v>
      </c>
      <c r="AA190" s="5">
        <f t="shared" ca="1" si="65"/>
        <v>89404.6</v>
      </c>
      <c r="AB190" s="5">
        <f t="shared" ca="1" si="53"/>
        <v>1530.951272901917</v>
      </c>
      <c r="AD190" t="s">
        <v>242</v>
      </c>
      <c r="AE190">
        <f ca="1">+VLOOKUP($A190,INDIRECT(Adrese!B$2),5,FALSE)</f>
        <v>6397</v>
      </c>
      <c r="AF190">
        <f ca="1">+VLOOKUP($A190,INDIRECT(Adrese!C$2),5,FALSE)</f>
        <v>6580</v>
      </c>
      <c r="AG190">
        <f ca="1">+VLOOKUP($A190,INDIRECT(Adrese!D$2),5,FALSE)</f>
        <v>7470</v>
      </c>
      <c r="AH190">
        <f ca="1">+VLOOKUP($A190,INDIRECT(Adrese!E$2),5,FALSE)</f>
        <v>6165</v>
      </c>
      <c r="AI190">
        <f ca="1">+VLOOKUP($A190,INDIRECT(Adrese!F$2),5,FALSE)</f>
        <v>7836</v>
      </c>
      <c r="AJ190" s="5">
        <f t="shared" ca="1" si="66"/>
        <v>6889.6</v>
      </c>
      <c r="AK190" s="5">
        <f t="shared" ca="1" si="54"/>
        <v>723.89384580890032</v>
      </c>
      <c r="AM190" t="s">
        <v>242</v>
      </c>
      <c r="AN190" s="5">
        <f ca="1">+VLOOKUP($A190,INDIRECT(Adrese!B$2),6,FALSE)</f>
        <v>0.14006637168141589</v>
      </c>
      <c r="AO190" s="5">
        <f ca="1">+VLOOKUP($A190,INDIRECT(Adrese!C$2),6,FALSE)</f>
        <v>0.14123893800000001</v>
      </c>
      <c r="AP190" s="5">
        <f ca="1">+VLOOKUP($A190,INDIRECT(Adrese!D$2),6,FALSE)</f>
        <v>0.160884956</v>
      </c>
      <c r="AQ190" s="5">
        <f ca="1">+VLOOKUP($A190,INDIRECT(Adrese!E$2),6,FALSE)</f>
        <v>0.13207964599999999</v>
      </c>
      <c r="AR190" s="5">
        <f ca="1">+VLOOKUP($A190,INDIRECT(Adrese!F$2),6,FALSE)</f>
        <v>0.16955752199999999</v>
      </c>
      <c r="AS190" s="5" t="str">
        <f t="shared" ca="1" si="55"/>
        <v>0.15 (0.02)</v>
      </c>
      <c r="AT190" s="5">
        <f t="shared" ca="1" si="67"/>
        <v>0.14876548673628315</v>
      </c>
      <c r="AU190" s="5">
        <f t="shared" ca="1" si="56"/>
        <v>1.5731585150072225E-2</v>
      </c>
      <c r="AW190" t="s">
        <v>242</v>
      </c>
      <c r="AX190" s="5">
        <f ca="1">+VLOOKUP($A190,INDIRECT(Adrese!B$2),7,FALSE)</f>
        <v>0.46460176991150443</v>
      </c>
      <c r="AY190" s="5">
        <f ca="1">+VLOOKUP($A190,INDIRECT(Adrese!C$2),7,FALSE)</f>
        <v>0.45132743400000003</v>
      </c>
      <c r="AZ190" s="5">
        <f ca="1">+VLOOKUP($A190,INDIRECT(Adrese!D$2),7,FALSE)</f>
        <v>0.47345132699999998</v>
      </c>
      <c r="BA190" s="5">
        <f ca="1">+VLOOKUP($A190,INDIRECT(Adrese!E$2),7,FALSE)</f>
        <v>0.46902654900000001</v>
      </c>
      <c r="BB190" s="5">
        <f ca="1">+VLOOKUP($A190,INDIRECT(Adrese!F$2),7,FALSE)</f>
        <v>0.46902654900000001</v>
      </c>
      <c r="BC190" s="5" t="str">
        <f t="shared" ca="1" si="57"/>
        <v>0.47 (0.01)</v>
      </c>
      <c r="BD190">
        <f t="shared" ca="1" si="68"/>
        <v>0.46548672578230088</v>
      </c>
      <c r="BE190" s="5">
        <f t="shared" ca="1" si="58"/>
        <v>8.5112316977580746E-3</v>
      </c>
      <c r="BG190" t="s">
        <v>242</v>
      </c>
      <c r="BH190" s="5">
        <f ca="1">+VLOOKUP($BG190,INDIRECT(Adrese!B$2),8,FALSE)</f>
        <v>1.2603881503259841E-2</v>
      </c>
      <c r="BI190" s="5">
        <f ca="1">+VLOOKUP($BG190,INDIRECT(Adrese!C$2),8,FALSE)</f>
        <v>1.3053278999999999E-2</v>
      </c>
      <c r="BJ190" s="5">
        <f ca="1">+VLOOKUP($BG190,INDIRECT(Adrese!D$2),8,FALSE)</f>
        <v>1.467356E-2</v>
      </c>
      <c r="BK190" s="5">
        <f ca="1">+VLOOKUP($BG190,INDIRECT(Adrese!E$2),8,FALSE)</f>
        <v>1.2116716E-2</v>
      </c>
      <c r="BL190" s="5">
        <f ca="1">+VLOOKUP($BG190,INDIRECT(Adrese!F$2),8,FALSE)</f>
        <v>1.5477238000000001E-2</v>
      </c>
      <c r="BM190" s="5" t="str">
        <f t="shared" ca="1" si="59"/>
        <v>0.01 (0.00)</v>
      </c>
      <c r="BN190" s="5">
        <f t="shared" ca="1" si="69"/>
        <v>1.3584934900651968E-2</v>
      </c>
      <c r="BO190" s="5">
        <f t="shared" ca="1" si="60"/>
        <v>1.4288724691340589E-3</v>
      </c>
      <c r="BQ190" t="s">
        <v>242</v>
      </c>
      <c r="BR190" s="5">
        <f ca="1">+VLOOKUP($BG190,INDIRECT(Adrese!B$2),9,FALSE)</f>
        <v>-5.6045591680203538E-2</v>
      </c>
      <c r="BS190" s="5">
        <f ca="1">+VLOOKUP($BG190,INDIRECT(Adrese!C$2),9,FALSE)</f>
        <v>-5.5548129000000002E-2</v>
      </c>
      <c r="BT190" s="5">
        <f ca="1">+VLOOKUP($BG190,INDIRECT(Adrese!D$2),9,FALSE)</f>
        <v>-5.3071657000000001E-2</v>
      </c>
      <c r="BU190" s="5">
        <f ca="1">+VLOOKUP($BG190,INDIRECT(Adrese!E$2),9,FALSE)</f>
        <v>-5.7244913000000001E-2</v>
      </c>
      <c r="BV190" s="5">
        <f ca="1">+VLOOKUP($BG190,INDIRECT(Adrese!F$2),9,FALSE)</f>
        <v>-5.1506324999999999E-2</v>
      </c>
      <c r="BW190" s="5" t="str">
        <f t="shared" ca="1" si="61"/>
        <v>-0.05 (0.00)</v>
      </c>
      <c r="BX190" s="5">
        <f t="shared" ca="1" si="70"/>
        <v>-5.4683323136040705E-2</v>
      </c>
      <c r="BY190" s="5">
        <f t="shared" ca="1" si="62"/>
        <v>2.3375303361860039E-3</v>
      </c>
    </row>
    <row r="191" spans="1:77" x14ac:dyDescent="0.25">
      <c r="A191" t="s">
        <v>243</v>
      </c>
      <c r="B191" s="12">
        <f ca="1">+VLOOKUP($A191,INDIRECT(Adrese!B$2),2,FALSE)</f>
        <v>189</v>
      </c>
      <c r="C191" s="12">
        <f ca="1">+VLOOKUP($A191,INDIRECT(Adrese!C$2),2,FALSE)</f>
        <v>178</v>
      </c>
      <c r="D191" s="12">
        <f ca="1">+VLOOKUP($A191,INDIRECT(Adrese!D$2),2,FALSE)</f>
        <v>184</v>
      </c>
      <c r="E191" s="12">
        <f ca="1">+VLOOKUP($A191,INDIRECT(Adrese!E$2),2,FALSE)</f>
        <v>186</v>
      </c>
      <c r="F191" s="12">
        <f ca="1">+VLOOKUP($A191,INDIRECT(Adrese!F$2),2,FALSE)</f>
        <v>181</v>
      </c>
      <c r="G191" s="5">
        <f t="shared" ca="1" si="63"/>
        <v>183.6</v>
      </c>
      <c r="H191" s="5">
        <f t="shared" ca="1" si="50"/>
        <v>4.2778499272414878</v>
      </c>
      <c r="J191" t="s">
        <v>243</v>
      </c>
      <c r="K191">
        <f ca="1">+VLOOKUP($A191,INDIRECT(Adrese!B$2),3,FALSE)</f>
        <v>40</v>
      </c>
      <c r="L191">
        <f ca="1">+VLOOKUP($A191,INDIRECT(Adrese!C$2),3,FALSE)</f>
        <v>42</v>
      </c>
      <c r="M191">
        <f ca="1">+VLOOKUP($A191,INDIRECT(Adrese!D$2),3,FALSE)</f>
        <v>44</v>
      </c>
      <c r="N191">
        <f ca="1">+VLOOKUP($A191,INDIRECT(Adrese!E$2),3,FALSE)</f>
        <v>43</v>
      </c>
      <c r="O191">
        <f ca="1">+VLOOKUP($A191,INDIRECT(Adrese!F$2),3,FALSE)</f>
        <v>41</v>
      </c>
      <c r="P191" s="5">
        <f t="shared" ca="1" si="64"/>
        <v>42</v>
      </c>
      <c r="Q191" s="5">
        <f t="shared" ca="1" si="51"/>
        <v>1.5811388300841898</v>
      </c>
      <c r="T191" t="s">
        <v>243</v>
      </c>
      <c r="U191">
        <f ca="1">+VLOOKUP($T191,INDIRECT(Adrese!B$2),4,FALSE)</f>
        <v>89446</v>
      </c>
      <c r="V191">
        <f ca="1">+VLOOKUP($T191,INDIRECT(Adrese!C$2),4,FALSE)</f>
        <v>91368</v>
      </c>
      <c r="W191">
        <f ca="1">+VLOOKUP($T191,INDIRECT(Adrese!D$2),4,FALSE)</f>
        <v>90319</v>
      </c>
      <c r="X191">
        <f ca="1">+VLOOKUP($T191,INDIRECT(Adrese!E$2),4,FALSE)</f>
        <v>90628</v>
      </c>
      <c r="Y191">
        <f ca="1">+VLOOKUP($T191,INDIRECT(Adrese!F$2),4,FALSE)</f>
        <v>91064</v>
      </c>
      <c r="Z191">
        <f t="shared" ca="1" si="52"/>
        <v>452825</v>
      </c>
      <c r="AA191" s="5">
        <f t="shared" ca="1" si="65"/>
        <v>90565</v>
      </c>
      <c r="AB191" s="5">
        <f t="shared" ca="1" si="53"/>
        <v>743.3801181091676</v>
      </c>
      <c r="AD191" t="s">
        <v>243</v>
      </c>
      <c r="AE191">
        <f ca="1">+VLOOKUP($A191,INDIRECT(Adrese!B$2),5,FALSE)</f>
        <v>41509</v>
      </c>
      <c r="AF191">
        <f ca="1">+VLOOKUP($A191,INDIRECT(Adrese!C$2),5,FALSE)</f>
        <v>41684</v>
      </c>
      <c r="AG191">
        <f ca="1">+VLOOKUP($A191,INDIRECT(Adrese!D$2),5,FALSE)</f>
        <v>41663</v>
      </c>
      <c r="AH191">
        <f ca="1">+VLOOKUP($A191,INDIRECT(Adrese!E$2),5,FALSE)</f>
        <v>41912</v>
      </c>
      <c r="AI191">
        <f ca="1">+VLOOKUP($A191,INDIRECT(Adrese!F$2),5,FALSE)</f>
        <v>41696</v>
      </c>
      <c r="AJ191" s="5">
        <f t="shared" ca="1" si="66"/>
        <v>41692.800000000003</v>
      </c>
      <c r="AK191" s="5">
        <f t="shared" ca="1" si="54"/>
        <v>143.88085348648721</v>
      </c>
      <c r="AM191" t="s">
        <v>243</v>
      </c>
      <c r="AN191" s="5">
        <f ca="1">+VLOOKUP($A191,INDIRECT(Adrese!B$2),6,FALSE)</f>
        <v>0.91834070796460177</v>
      </c>
      <c r="AO191" s="5">
        <f ca="1">+VLOOKUP($A191,INDIRECT(Adrese!C$2),6,FALSE)</f>
        <v>0.92221238900000002</v>
      </c>
      <c r="AP191" s="5">
        <f ca="1">+VLOOKUP($A191,INDIRECT(Adrese!D$2),6,FALSE)</f>
        <v>0.92174778800000001</v>
      </c>
      <c r="AQ191" s="5">
        <f ca="1">+VLOOKUP($A191,INDIRECT(Adrese!E$2),6,FALSE)</f>
        <v>0.92725663700000005</v>
      </c>
      <c r="AR191" s="5">
        <f ca="1">+VLOOKUP($A191,INDIRECT(Adrese!F$2),6,FALSE)</f>
        <v>0.92247787599999997</v>
      </c>
      <c r="AS191" s="5" t="str">
        <f t="shared" ca="1" si="55"/>
        <v>0.92 (0.00)</v>
      </c>
      <c r="AT191" s="5">
        <f t="shared" ca="1" si="67"/>
        <v>0.92240707959292045</v>
      </c>
      <c r="AU191" s="5">
        <f t="shared" ca="1" si="56"/>
        <v>3.1832046441785051E-3</v>
      </c>
      <c r="AW191" t="s">
        <v>243</v>
      </c>
      <c r="AX191" s="5">
        <f ca="1">+VLOOKUP($A191,INDIRECT(Adrese!B$2),7,FALSE)</f>
        <v>0.82300884955752207</v>
      </c>
      <c r="AY191" s="5">
        <f ca="1">+VLOOKUP($A191,INDIRECT(Adrese!C$2),7,FALSE)</f>
        <v>0.81415929200000003</v>
      </c>
      <c r="AZ191" s="5">
        <f ca="1">+VLOOKUP($A191,INDIRECT(Adrese!D$2),7,FALSE)</f>
        <v>0.80530973500000003</v>
      </c>
      <c r="BA191" s="5">
        <f ca="1">+VLOOKUP($A191,INDIRECT(Adrese!E$2),7,FALSE)</f>
        <v>0.80973451299999999</v>
      </c>
      <c r="BB191" s="5">
        <f ca="1">+VLOOKUP($A191,INDIRECT(Adrese!F$2),7,FALSE)</f>
        <v>0.81858407099999997</v>
      </c>
      <c r="BC191" s="5" t="str">
        <f t="shared" ca="1" si="57"/>
        <v>0.81 (0.01)</v>
      </c>
      <c r="BD191">
        <f t="shared" ca="1" si="68"/>
        <v>0.81415929211150428</v>
      </c>
      <c r="BE191" s="5">
        <f t="shared" ca="1" si="58"/>
        <v>6.9961894352895118E-3</v>
      </c>
      <c r="BG191" t="s">
        <v>243</v>
      </c>
      <c r="BH191" s="5">
        <f ca="1">+VLOOKUP($BG191,INDIRECT(Adrese!B$2),8,FALSE)</f>
        <v>8.3991807419946857E-2</v>
      </c>
      <c r="BI191" s="5">
        <f ca="1">+VLOOKUP($BG191,INDIRECT(Adrese!C$2),8,FALSE)</f>
        <v>8.4480276000000007E-2</v>
      </c>
      <c r="BJ191" s="5">
        <f ca="1">+VLOOKUP($BG191,INDIRECT(Adrese!D$2),8,FALSE)</f>
        <v>8.4420991000000001E-2</v>
      </c>
      <c r="BK191" s="5">
        <f ca="1">+VLOOKUP($BG191,INDIRECT(Adrese!E$2),8,FALSE)</f>
        <v>8.4838905000000006E-2</v>
      </c>
      <c r="BL191" s="5">
        <f ca="1">+VLOOKUP($BG191,INDIRECT(Adrese!F$2),8,FALSE)</f>
        <v>8.4667704999999996E-2</v>
      </c>
      <c r="BM191" s="5" t="str">
        <f t="shared" ca="1" si="59"/>
        <v>0.08 (0.00)</v>
      </c>
      <c r="BN191" s="5">
        <f t="shared" ca="1" si="69"/>
        <v>8.4479936883989373E-2</v>
      </c>
      <c r="BO191" s="5">
        <f t="shared" ca="1" si="60"/>
        <v>3.1853574352331068E-4</v>
      </c>
      <c r="BQ191" t="s">
        <v>243</v>
      </c>
      <c r="BR191" s="5">
        <f ca="1">+VLOOKUP($BG191,INDIRECT(Adrese!B$2),9,FALSE)</f>
        <v>7.3038499998328787E-2</v>
      </c>
      <c r="BS191" s="5">
        <f ca="1">+VLOOKUP($BG191,INDIRECT(Adrese!C$2),9,FALSE)</f>
        <v>7.4011555000000007E-2</v>
      </c>
      <c r="BT191" s="5">
        <f ca="1">+VLOOKUP($BG191,INDIRECT(Adrese!D$2),9,FALSE)</f>
        <v>7.3151740000000007E-2</v>
      </c>
      <c r="BU191" s="5">
        <f ca="1">+VLOOKUP($BG191,INDIRECT(Adrese!E$2),9,FALSE)</f>
        <v>7.4192257999999997E-2</v>
      </c>
      <c r="BV191" s="5">
        <f ca="1">+VLOOKUP($BG191,INDIRECT(Adrese!F$2),9,FALSE)</f>
        <v>7.4151602999999996E-2</v>
      </c>
      <c r="BW191" s="5" t="str">
        <f t="shared" ca="1" si="61"/>
        <v>0.07 (0.00)</v>
      </c>
      <c r="BX191" s="5">
        <f t="shared" ca="1" si="70"/>
        <v>7.3709131199665767E-2</v>
      </c>
      <c r="BY191" s="5">
        <f t="shared" ca="1" si="62"/>
        <v>5.6592493141147376E-4</v>
      </c>
    </row>
    <row r="192" spans="1:77" x14ac:dyDescent="0.25">
      <c r="A192" t="s">
        <v>244</v>
      </c>
      <c r="B192" s="12">
        <f ca="1">+VLOOKUP($A192,INDIRECT(Adrese!B$2),2,FALSE)</f>
        <v>190</v>
      </c>
      <c r="C192" s="12">
        <f ca="1">+VLOOKUP($A192,INDIRECT(Adrese!C$2),2,FALSE)</f>
        <v>192</v>
      </c>
      <c r="D192" s="12">
        <f ca="1">+VLOOKUP($A192,INDIRECT(Adrese!D$2),2,FALSE)</f>
        <v>185</v>
      </c>
      <c r="E192" s="12">
        <f ca="1">+VLOOKUP($A192,INDIRECT(Adrese!E$2),2,FALSE)</f>
        <v>188</v>
      </c>
      <c r="F192" s="12">
        <f ca="1">+VLOOKUP($A192,INDIRECT(Adrese!F$2),2,FALSE)</f>
        <v>190</v>
      </c>
      <c r="G192" s="5">
        <f t="shared" ca="1" si="63"/>
        <v>189</v>
      </c>
      <c r="H192" s="5">
        <f t="shared" ca="1" si="50"/>
        <v>2.6457513110645907</v>
      </c>
      <c r="J192" t="s">
        <v>244</v>
      </c>
      <c r="K192">
        <f ca="1">+VLOOKUP($A192,INDIRECT(Adrese!B$2),3,FALSE)</f>
        <v>83</v>
      </c>
      <c r="L192">
        <f ca="1">+VLOOKUP($A192,INDIRECT(Adrese!C$2),3,FALSE)</f>
        <v>83</v>
      </c>
      <c r="M192">
        <f ca="1">+VLOOKUP($A192,INDIRECT(Adrese!D$2),3,FALSE)</f>
        <v>80</v>
      </c>
      <c r="N192">
        <f ca="1">+VLOOKUP($A192,INDIRECT(Adrese!E$2),3,FALSE)</f>
        <v>85</v>
      </c>
      <c r="O192">
        <f ca="1">+VLOOKUP($A192,INDIRECT(Adrese!F$2),3,FALSE)</f>
        <v>79</v>
      </c>
      <c r="P192" s="5">
        <f t="shared" ca="1" si="64"/>
        <v>82</v>
      </c>
      <c r="Q192" s="5">
        <f t="shared" ca="1" si="51"/>
        <v>2.4494897427831779</v>
      </c>
      <c r="T192" t="s">
        <v>244</v>
      </c>
      <c r="U192">
        <f ca="1">+VLOOKUP($T192,INDIRECT(Adrese!B$2),4,FALSE)</f>
        <v>89025</v>
      </c>
      <c r="V192">
        <f ca="1">+VLOOKUP($T192,INDIRECT(Adrese!C$2),4,FALSE)</f>
        <v>88304</v>
      </c>
      <c r="W192">
        <f ca="1">+VLOOKUP($T192,INDIRECT(Adrese!D$2),4,FALSE)</f>
        <v>89959</v>
      </c>
      <c r="X192">
        <f ca="1">+VLOOKUP($T192,INDIRECT(Adrese!E$2),4,FALSE)</f>
        <v>90116</v>
      </c>
      <c r="Y192">
        <f ca="1">+VLOOKUP($T192,INDIRECT(Adrese!F$2),4,FALSE)</f>
        <v>88881</v>
      </c>
      <c r="Z192">
        <f t="shared" ca="1" si="52"/>
        <v>446285</v>
      </c>
      <c r="AA192" s="5">
        <f t="shared" ca="1" si="65"/>
        <v>89257</v>
      </c>
      <c r="AB192" s="5">
        <f t="shared" ca="1" si="53"/>
        <v>763.88709898780201</v>
      </c>
      <c r="AD192" t="s">
        <v>244</v>
      </c>
      <c r="AE192">
        <f ca="1">+VLOOKUP($A192,INDIRECT(Adrese!B$2),5,FALSE)</f>
        <v>21347</v>
      </c>
      <c r="AF192">
        <f ca="1">+VLOOKUP($A192,INDIRECT(Adrese!C$2),5,FALSE)</f>
        <v>21370</v>
      </c>
      <c r="AG192">
        <f ca="1">+VLOOKUP($A192,INDIRECT(Adrese!D$2),5,FALSE)</f>
        <v>21639</v>
      </c>
      <c r="AH192">
        <f ca="1">+VLOOKUP($A192,INDIRECT(Adrese!E$2),5,FALSE)</f>
        <v>21520</v>
      </c>
      <c r="AI192">
        <f ca="1">+VLOOKUP($A192,INDIRECT(Adrese!F$2),5,FALSE)</f>
        <v>21411</v>
      </c>
      <c r="AJ192" s="5">
        <f t="shared" ca="1" si="66"/>
        <v>21457.4</v>
      </c>
      <c r="AK192" s="5">
        <f t="shared" ca="1" si="54"/>
        <v>121.32312228095682</v>
      </c>
      <c r="AM192" t="s">
        <v>244</v>
      </c>
      <c r="AN192" s="5">
        <f ca="1">+VLOOKUP($A192,INDIRECT(Adrese!B$2),6,FALSE)</f>
        <v>0.46997787610619468</v>
      </c>
      <c r="AO192" s="5">
        <f ca="1">+VLOOKUP($A192,INDIRECT(Adrese!C$2),6,FALSE)</f>
        <v>0.47037610600000002</v>
      </c>
      <c r="AP192" s="5">
        <f ca="1">+VLOOKUP($A192,INDIRECT(Adrese!D$2),6,FALSE)</f>
        <v>0.47661504399999999</v>
      </c>
      <c r="AQ192" s="5">
        <f ca="1">+VLOOKUP($A192,INDIRECT(Adrese!E$2),6,FALSE)</f>
        <v>0.47376106200000001</v>
      </c>
      <c r="AR192" s="5">
        <f ca="1">+VLOOKUP($A192,INDIRECT(Adrese!F$2),6,FALSE)</f>
        <v>0.47141592900000001</v>
      </c>
      <c r="AS192" s="5" t="str">
        <f t="shared" ca="1" si="55"/>
        <v>0.47 (0.00)</v>
      </c>
      <c r="AT192" s="5">
        <f t="shared" ca="1" si="67"/>
        <v>0.47242920342123895</v>
      </c>
      <c r="AU192" s="5">
        <f t="shared" ca="1" si="56"/>
        <v>2.7634239768781037E-3</v>
      </c>
      <c r="AW192" t="s">
        <v>244</v>
      </c>
      <c r="AX192" s="5">
        <f ca="1">+VLOOKUP($A192,INDIRECT(Adrese!B$2),7,FALSE)</f>
        <v>0.63274336283185839</v>
      </c>
      <c r="AY192" s="5">
        <f ca="1">+VLOOKUP($A192,INDIRECT(Adrese!C$2),7,FALSE)</f>
        <v>0.632743363</v>
      </c>
      <c r="AZ192" s="5">
        <f ca="1">+VLOOKUP($A192,INDIRECT(Adrese!D$2),7,FALSE)</f>
        <v>0.64601769899999995</v>
      </c>
      <c r="BA192" s="5">
        <f ca="1">+VLOOKUP($A192,INDIRECT(Adrese!E$2),7,FALSE)</f>
        <v>0.62389380500000002</v>
      </c>
      <c r="BB192" s="5">
        <f ca="1">+VLOOKUP($A192,INDIRECT(Adrese!F$2),7,FALSE)</f>
        <v>0.65044247799999999</v>
      </c>
      <c r="BC192" s="5" t="str">
        <f t="shared" ca="1" si="57"/>
        <v>0.64 (0.01)</v>
      </c>
      <c r="BD192">
        <f t="shared" ca="1" si="68"/>
        <v>0.63716814156637169</v>
      </c>
      <c r="BE192" s="5">
        <f t="shared" ca="1" si="58"/>
        <v>1.0838450281432906E-2</v>
      </c>
      <c r="BG192" t="s">
        <v>244</v>
      </c>
      <c r="BH192" s="5">
        <f ca="1">+VLOOKUP($BG192,INDIRECT(Adrese!B$2),8,FALSE)</f>
        <v>4.365462565927019E-2</v>
      </c>
      <c r="BI192" s="5">
        <f ca="1">+VLOOKUP($BG192,INDIRECT(Adrese!C$2),8,FALSE)</f>
        <v>4.3973683999999999E-2</v>
      </c>
      <c r="BJ192" s="5">
        <f ca="1">+VLOOKUP($BG192,INDIRECT(Adrese!D$2),8,FALSE)</f>
        <v>4.4527730000000001E-2</v>
      </c>
      <c r="BK192" s="5">
        <f ca="1">+VLOOKUP($BG192,INDIRECT(Adrese!E$2),8,FALSE)</f>
        <v>4.4208819000000003E-2</v>
      </c>
      <c r="BL192" s="5">
        <f ca="1">+VLOOKUP($BG192,INDIRECT(Adrese!F$2),8,FALSE)</f>
        <v>4.3907008999999997E-2</v>
      </c>
      <c r="BM192" s="5" t="str">
        <f t="shared" ca="1" si="59"/>
        <v>0.04 (0.00)</v>
      </c>
      <c r="BN192" s="5">
        <f t="shared" ca="1" si="69"/>
        <v>4.4054373531854041E-2</v>
      </c>
      <c r="BO192" s="5">
        <f t="shared" ca="1" si="60"/>
        <v>3.3013073773928729E-4</v>
      </c>
      <c r="BQ192" t="s">
        <v>244</v>
      </c>
      <c r="BR192" s="5">
        <f ca="1">+VLOOKUP($BG192,INDIRECT(Adrese!B$2),9,FALSE)</f>
        <v>-1.5745261804011399E-3</v>
      </c>
      <c r="BS192" s="5">
        <f ca="1">+VLOOKUP($BG192,INDIRECT(Adrese!C$2),9,FALSE)</f>
        <v>-1.8472399999999999E-4</v>
      </c>
      <c r="BT192" s="5">
        <f ca="1">+VLOOKUP($BG192,INDIRECT(Adrese!D$2),9,FALSE)</f>
        <v>8.5897199999999995E-4</v>
      </c>
      <c r="BU192" s="5">
        <f ca="1">+VLOOKUP($BG192,INDIRECT(Adrese!E$2),9,FALSE)</f>
        <v>2.66495E-4</v>
      </c>
      <c r="BV192" s="5">
        <f ca="1">+VLOOKUP($BG192,INDIRECT(Adrese!F$2),9,FALSE)</f>
        <v>-1.0473679999999999E-3</v>
      </c>
      <c r="BW192" s="5" t="str">
        <f t="shared" ca="1" si="61"/>
        <v>0.00 (0.00)</v>
      </c>
      <c r="BX192" s="5">
        <f t="shared" ca="1" si="70"/>
        <v>-3.3623023608022798E-4</v>
      </c>
      <c r="BY192" s="5">
        <f t="shared" ca="1" si="62"/>
        <v>9.8155921878213424E-4</v>
      </c>
    </row>
    <row r="193" spans="1:77" x14ac:dyDescent="0.25">
      <c r="A193" t="s">
        <v>245</v>
      </c>
      <c r="B193" s="12">
        <f ca="1">+VLOOKUP($A193,INDIRECT(Adrese!B$2),2,FALSE)</f>
        <v>191</v>
      </c>
      <c r="C193" s="12">
        <f ca="1">+VLOOKUP($A193,INDIRECT(Adrese!C$2),2,FALSE)</f>
        <v>190</v>
      </c>
      <c r="D193" s="12">
        <f ca="1">+VLOOKUP($A193,INDIRECT(Adrese!D$2),2,FALSE)</f>
        <v>193</v>
      </c>
      <c r="E193" s="12">
        <f ca="1">+VLOOKUP($A193,INDIRECT(Adrese!E$2),2,FALSE)</f>
        <v>191</v>
      </c>
      <c r="F193" s="12">
        <f ca="1">+VLOOKUP($A193,INDIRECT(Adrese!F$2),2,FALSE)</f>
        <v>193</v>
      </c>
      <c r="G193" s="5">
        <f t="shared" ca="1" si="63"/>
        <v>191.6</v>
      </c>
      <c r="H193" s="5">
        <f t="shared" ca="1" si="50"/>
        <v>1.3416407864998738</v>
      </c>
      <c r="J193" t="s">
        <v>245</v>
      </c>
      <c r="K193">
        <f ca="1">+VLOOKUP($A193,INDIRECT(Adrese!B$2),3,FALSE)</f>
        <v>179</v>
      </c>
      <c r="L193">
        <f ca="1">+VLOOKUP($A193,INDIRECT(Adrese!C$2),3,FALSE)</f>
        <v>177</v>
      </c>
      <c r="M193">
        <f ca="1">+VLOOKUP($A193,INDIRECT(Adrese!D$2),3,FALSE)</f>
        <v>181</v>
      </c>
      <c r="N193">
        <f ca="1">+VLOOKUP($A193,INDIRECT(Adrese!E$2),3,FALSE)</f>
        <v>183</v>
      </c>
      <c r="O193">
        <f ca="1">+VLOOKUP($A193,INDIRECT(Adrese!F$2),3,FALSE)</f>
        <v>181</v>
      </c>
      <c r="P193" s="5">
        <f t="shared" ca="1" si="64"/>
        <v>180.2</v>
      </c>
      <c r="Q193" s="5">
        <f t="shared" ca="1" si="51"/>
        <v>2.2803508501982761</v>
      </c>
      <c r="T193" t="s">
        <v>245</v>
      </c>
      <c r="U193">
        <f ca="1">+VLOOKUP($T193,INDIRECT(Adrese!B$2),4,FALSE)</f>
        <v>88906</v>
      </c>
      <c r="V193">
        <f ca="1">+VLOOKUP($T193,INDIRECT(Adrese!C$2),4,FALSE)</f>
        <v>88758</v>
      </c>
      <c r="W193">
        <f ca="1">+VLOOKUP($T193,INDIRECT(Adrese!D$2),4,FALSE)</f>
        <v>88031</v>
      </c>
      <c r="X193">
        <f ca="1">+VLOOKUP($T193,INDIRECT(Adrese!E$2),4,FALSE)</f>
        <v>88296</v>
      </c>
      <c r="Y193">
        <f ca="1">+VLOOKUP($T193,INDIRECT(Adrese!F$2),4,FALSE)</f>
        <v>88232</v>
      </c>
      <c r="Z193">
        <f t="shared" ca="1" si="52"/>
        <v>442223</v>
      </c>
      <c r="AA193" s="5">
        <f t="shared" ca="1" si="65"/>
        <v>88444.6</v>
      </c>
      <c r="AB193" s="5">
        <f t="shared" ca="1" si="53"/>
        <v>370.62622681078574</v>
      </c>
      <c r="AD193" t="s">
        <v>245</v>
      </c>
      <c r="AE193">
        <f ca="1">+VLOOKUP($A193,INDIRECT(Adrese!B$2),5,FALSE)</f>
        <v>759</v>
      </c>
      <c r="AF193">
        <f ca="1">+VLOOKUP($A193,INDIRECT(Adrese!C$2),5,FALSE)</f>
        <v>766</v>
      </c>
      <c r="AG193">
        <f ca="1">+VLOOKUP($A193,INDIRECT(Adrese!D$2),5,FALSE)</f>
        <v>755</v>
      </c>
      <c r="AH193">
        <f ca="1">+VLOOKUP($A193,INDIRECT(Adrese!E$2),5,FALSE)</f>
        <v>761</v>
      </c>
      <c r="AI193">
        <f ca="1">+VLOOKUP($A193,INDIRECT(Adrese!F$2),5,FALSE)</f>
        <v>773</v>
      </c>
      <c r="AJ193" s="5">
        <f t="shared" ca="1" si="66"/>
        <v>762.8</v>
      </c>
      <c r="AK193" s="5">
        <f t="shared" ca="1" si="54"/>
        <v>6.9426219830839129</v>
      </c>
      <c r="AM193" t="s">
        <v>245</v>
      </c>
      <c r="AN193" s="5">
        <f ca="1">+VLOOKUP($A193,INDIRECT(Adrese!B$2),6,FALSE)</f>
        <v>1.6725663716814158E-2</v>
      </c>
      <c r="AO193" s="5">
        <f ca="1">+VLOOKUP($A193,INDIRECT(Adrese!C$2),6,FALSE)</f>
        <v>1.6880531000000001E-2</v>
      </c>
      <c r="AP193" s="5">
        <f ca="1">+VLOOKUP($A193,INDIRECT(Adrese!D$2),6,FALSE)</f>
        <v>1.6637168000000001E-2</v>
      </c>
      <c r="AQ193" s="5">
        <f ca="1">+VLOOKUP($A193,INDIRECT(Adrese!E$2),6,FALSE)</f>
        <v>1.6747788E-2</v>
      </c>
      <c r="AR193" s="5">
        <f ca="1">+VLOOKUP($A193,INDIRECT(Adrese!F$2),6,FALSE)</f>
        <v>1.7035398E-2</v>
      </c>
      <c r="AS193" s="5" t="str">
        <f t="shared" ca="1" si="55"/>
        <v>0.02 (0.00)</v>
      </c>
      <c r="AT193" s="5">
        <f t="shared" ca="1" si="67"/>
        <v>1.6805309743362834E-2</v>
      </c>
      <c r="AU193" s="5">
        <f t="shared" ca="1" si="56"/>
        <v>1.5534053693256467E-4</v>
      </c>
      <c r="AW193" t="s">
        <v>245</v>
      </c>
      <c r="AX193" s="5">
        <f ca="1">+VLOOKUP($A193,INDIRECT(Adrese!B$2),7,FALSE)</f>
        <v>0.20796460176991149</v>
      </c>
      <c r="AY193" s="5">
        <f ca="1">+VLOOKUP($A193,INDIRECT(Adrese!C$2),7,FALSE)</f>
        <v>0.21681415900000001</v>
      </c>
      <c r="AZ193" s="5">
        <f ca="1">+VLOOKUP($A193,INDIRECT(Adrese!D$2),7,FALSE)</f>
        <v>0.19911504399999999</v>
      </c>
      <c r="BA193" s="5">
        <f ca="1">+VLOOKUP($A193,INDIRECT(Adrese!E$2),7,FALSE)</f>
        <v>0.19026548700000001</v>
      </c>
      <c r="BB193" s="5">
        <f ca="1">+VLOOKUP($A193,INDIRECT(Adrese!F$2),7,FALSE)</f>
        <v>0.19911504399999999</v>
      </c>
      <c r="BC193" s="5" t="str">
        <f t="shared" ca="1" si="57"/>
        <v>0.20 (0.01)</v>
      </c>
      <c r="BD193">
        <f t="shared" ca="1" si="68"/>
        <v>0.20265486715398229</v>
      </c>
      <c r="BE193" s="5">
        <f t="shared" ca="1" si="58"/>
        <v>1.0090047866525819E-2</v>
      </c>
      <c r="BG193" t="s">
        <v>245</v>
      </c>
      <c r="BH193" s="5">
        <f ca="1">+VLOOKUP($BG193,INDIRECT(Adrese!B$2),8,FALSE)</f>
        <v>1.502790419237753E-3</v>
      </c>
      <c r="BI193" s="5">
        <f ca="1">+VLOOKUP($BG193,INDIRECT(Adrese!C$2),8,FALSE)</f>
        <v>1.513471E-3</v>
      </c>
      <c r="BJ193" s="5">
        <f ca="1">+VLOOKUP($BG193,INDIRECT(Adrese!D$2),8,FALSE)</f>
        <v>1.4870910000000001E-3</v>
      </c>
      <c r="BK193" s="5">
        <f ca="1">+VLOOKUP($BG193,INDIRECT(Adrese!E$2),8,FALSE)</f>
        <v>1.5146300000000001E-3</v>
      </c>
      <c r="BL193" s="5">
        <f ca="1">+VLOOKUP($BG193,INDIRECT(Adrese!F$2),8,FALSE)</f>
        <v>1.5351449999999999E-3</v>
      </c>
      <c r="BM193" s="5" t="str">
        <f t="shared" ca="1" si="59"/>
        <v>0.00 (0.00)</v>
      </c>
      <c r="BN193" s="5">
        <f t="shared" ca="1" si="69"/>
        <v>1.5106254838475508E-3</v>
      </c>
      <c r="BO193" s="5">
        <f t="shared" ca="1" si="60"/>
        <v>1.7611075716361157E-5</v>
      </c>
      <c r="BQ193" t="s">
        <v>245</v>
      </c>
      <c r="BR193" s="5">
        <f ca="1">+VLOOKUP($BG193,INDIRECT(Adrese!B$2),9,FALSE)</f>
        <v>-7.4137463764628347E-2</v>
      </c>
      <c r="BS193" s="5">
        <f ca="1">+VLOOKUP($BG193,INDIRECT(Adrese!C$2),9,FALSE)</f>
        <v>-7.4208763999999997E-2</v>
      </c>
      <c r="BT193" s="5">
        <f ca="1">+VLOOKUP($BG193,INDIRECT(Adrese!D$2),9,FALSE)</f>
        <v>-7.3991514999999994E-2</v>
      </c>
      <c r="BU193" s="5">
        <f ca="1">+VLOOKUP($BG193,INDIRECT(Adrese!E$2),9,FALSE)</f>
        <v>-7.4177832999999999E-2</v>
      </c>
      <c r="BV193" s="5">
        <f ca="1">+VLOOKUP($BG193,INDIRECT(Adrese!F$2),9,FALSE)</f>
        <v>-7.4271822000000001E-2</v>
      </c>
      <c r="BW193" s="5" t="str">
        <f t="shared" ca="1" si="61"/>
        <v>-0.07 (0.00)</v>
      </c>
      <c r="BX193" s="5">
        <f t="shared" ca="1" si="70"/>
        <v>-7.4157479552925676E-2</v>
      </c>
      <c r="BY193" s="5">
        <f t="shared" ca="1" si="62"/>
        <v>1.0495643993040152E-4</v>
      </c>
    </row>
    <row r="194" spans="1:77" x14ac:dyDescent="0.25">
      <c r="A194" t="s">
        <v>246</v>
      </c>
      <c r="B194" s="12">
        <f ca="1">+VLOOKUP($A194,INDIRECT(Adrese!B$2),2,FALSE)</f>
        <v>192</v>
      </c>
      <c r="C194" s="12">
        <f ca="1">+VLOOKUP($A194,INDIRECT(Adrese!C$2),2,FALSE)</f>
        <v>191</v>
      </c>
      <c r="D194" s="12">
        <f ca="1">+VLOOKUP($A194,INDIRECT(Adrese!D$2),2,FALSE)</f>
        <v>191</v>
      </c>
      <c r="E194" s="12">
        <f ca="1">+VLOOKUP($A194,INDIRECT(Adrese!E$2),2,FALSE)</f>
        <v>190</v>
      </c>
      <c r="F194" s="12">
        <f ca="1">+VLOOKUP($A194,INDIRECT(Adrese!F$2),2,FALSE)</f>
        <v>191</v>
      </c>
      <c r="G194" s="5">
        <f t="shared" ca="1" si="63"/>
        <v>191</v>
      </c>
      <c r="H194" s="5">
        <f t="shared" ca="1" si="50"/>
        <v>0.70710678118654757</v>
      </c>
      <c r="J194" t="s">
        <v>246</v>
      </c>
      <c r="K194">
        <f ca="1">+VLOOKUP($A194,INDIRECT(Adrese!B$2),3,FALSE)</f>
        <v>65</v>
      </c>
      <c r="L194">
        <f ca="1">+VLOOKUP($A194,INDIRECT(Adrese!C$2),3,FALSE)</f>
        <v>63</v>
      </c>
      <c r="M194">
        <f ca="1">+VLOOKUP($A194,INDIRECT(Adrese!D$2),3,FALSE)</f>
        <v>61</v>
      </c>
      <c r="N194">
        <f ca="1">+VLOOKUP($A194,INDIRECT(Adrese!E$2),3,FALSE)</f>
        <v>62</v>
      </c>
      <c r="O194">
        <f ca="1">+VLOOKUP($A194,INDIRECT(Adrese!F$2),3,FALSE)</f>
        <v>63</v>
      </c>
      <c r="P194" s="5">
        <f t="shared" ca="1" si="64"/>
        <v>62.8</v>
      </c>
      <c r="Q194" s="5">
        <f t="shared" ca="1" si="51"/>
        <v>1.4832396974191324</v>
      </c>
      <c r="T194" t="s">
        <v>246</v>
      </c>
      <c r="U194">
        <f ca="1">+VLOOKUP($T194,INDIRECT(Adrese!B$2),4,FALSE)</f>
        <v>88524</v>
      </c>
      <c r="V194">
        <f ca="1">+VLOOKUP($T194,INDIRECT(Adrese!C$2),4,FALSE)</f>
        <v>88543</v>
      </c>
      <c r="W194">
        <f ca="1">+VLOOKUP($T194,INDIRECT(Adrese!D$2),4,FALSE)</f>
        <v>88295</v>
      </c>
      <c r="X194">
        <f ca="1">+VLOOKUP($T194,INDIRECT(Adrese!E$2),4,FALSE)</f>
        <v>88790</v>
      </c>
      <c r="Y194">
        <f ca="1">+VLOOKUP($T194,INDIRECT(Adrese!F$2),4,FALSE)</f>
        <v>88687</v>
      </c>
      <c r="Z194">
        <f t="shared" ca="1" si="52"/>
        <v>442839</v>
      </c>
      <c r="AA194" s="5">
        <f t="shared" ca="1" si="65"/>
        <v>88567.8</v>
      </c>
      <c r="AB194" s="5">
        <f t="shared" ca="1" si="53"/>
        <v>187.43985702085885</v>
      </c>
      <c r="AD194" t="s">
        <v>246</v>
      </c>
      <c r="AE194">
        <f ca="1">+VLOOKUP($A194,INDIRECT(Adrese!B$2),5,FALSE)</f>
        <v>30418</v>
      </c>
      <c r="AF194">
        <f ca="1">+VLOOKUP($A194,INDIRECT(Adrese!C$2),5,FALSE)</f>
        <v>30418</v>
      </c>
      <c r="AG194">
        <f ca="1">+VLOOKUP($A194,INDIRECT(Adrese!D$2),5,FALSE)</f>
        <v>30418</v>
      </c>
      <c r="AH194">
        <f ca="1">+VLOOKUP($A194,INDIRECT(Adrese!E$2),5,FALSE)</f>
        <v>30418</v>
      </c>
      <c r="AI194">
        <f ca="1">+VLOOKUP($A194,INDIRECT(Adrese!F$2),5,FALSE)</f>
        <v>30418</v>
      </c>
      <c r="AJ194" s="5">
        <f t="shared" ca="1" si="66"/>
        <v>30418</v>
      </c>
      <c r="AK194" s="5">
        <f t="shared" ca="1" si="54"/>
        <v>0</v>
      </c>
      <c r="AM194" t="s">
        <v>246</v>
      </c>
      <c r="AN194" s="5">
        <f ca="1">+VLOOKUP($A194,INDIRECT(Adrese!B$2),6,FALSE)</f>
        <v>0.67</v>
      </c>
      <c r="AO194" s="5">
        <f ca="1">+VLOOKUP($A194,INDIRECT(Adrese!C$2),6,FALSE)</f>
        <v>0.67</v>
      </c>
      <c r="AP194" s="5">
        <f ca="1">+VLOOKUP($A194,INDIRECT(Adrese!D$2),6,FALSE)</f>
        <v>0.67</v>
      </c>
      <c r="AQ194" s="5">
        <f ca="1">+VLOOKUP($A194,INDIRECT(Adrese!E$2),6,FALSE)</f>
        <v>0.67</v>
      </c>
      <c r="AR194" s="5">
        <f ca="1">+VLOOKUP($A194,INDIRECT(Adrese!F$2),6,FALSE)</f>
        <v>0.67</v>
      </c>
      <c r="AS194" s="5" t="str">
        <f t="shared" ca="1" si="55"/>
        <v>0.67 (0.00)</v>
      </c>
      <c r="AT194" s="5">
        <f t="shared" ca="1" si="67"/>
        <v>0.67</v>
      </c>
      <c r="AU194" s="5">
        <f t="shared" ca="1" si="56"/>
        <v>0</v>
      </c>
      <c r="AW194" t="s">
        <v>246</v>
      </c>
      <c r="AX194" s="5">
        <f ca="1">+VLOOKUP($A194,INDIRECT(Adrese!B$2),7,FALSE)</f>
        <v>0.71238938053097345</v>
      </c>
      <c r="AY194" s="5">
        <f ca="1">+VLOOKUP($A194,INDIRECT(Adrese!C$2),7,FALSE)</f>
        <v>0.72123893800000005</v>
      </c>
      <c r="AZ194" s="5">
        <f ca="1">+VLOOKUP($A194,INDIRECT(Adrese!D$2),7,FALSE)</f>
        <v>0.73008849600000003</v>
      </c>
      <c r="BA194" s="5">
        <f ca="1">+VLOOKUP($A194,INDIRECT(Adrese!E$2),7,FALSE)</f>
        <v>0.72566371699999999</v>
      </c>
      <c r="BB194" s="5">
        <f ca="1">+VLOOKUP($A194,INDIRECT(Adrese!F$2),7,FALSE)</f>
        <v>0.72123893800000005</v>
      </c>
      <c r="BC194" s="5" t="str">
        <f t="shared" ca="1" si="57"/>
        <v>0.72 (0.01)</v>
      </c>
      <c r="BD194">
        <f t="shared" ca="1" si="68"/>
        <v>0.72212389390619458</v>
      </c>
      <c r="BE194" s="5">
        <f t="shared" ca="1" si="58"/>
        <v>6.5630076682163139E-3</v>
      </c>
      <c r="BG194" t="s">
        <v>246</v>
      </c>
      <c r="BH194" s="5">
        <f ca="1">+VLOOKUP($BG194,INDIRECT(Adrese!B$2),8,FALSE)</f>
        <v>6.0162058947511053E-2</v>
      </c>
      <c r="BI194" s="5">
        <f ca="1">+VLOOKUP($BG194,INDIRECT(Adrese!C$2),8,FALSE)</f>
        <v>6.0163599999999998E-2</v>
      </c>
      <c r="BJ194" s="5">
        <f ca="1">+VLOOKUP($BG194,INDIRECT(Adrese!D$2),8,FALSE)</f>
        <v>6.0190756999999998E-2</v>
      </c>
      <c r="BK194" s="5">
        <f ca="1">+VLOOKUP($BG194,INDIRECT(Adrese!E$2),8,FALSE)</f>
        <v>6.0159029000000003E-2</v>
      </c>
      <c r="BL194" s="5">
        <f ca="1">+VLOOKUP($BG194,INDIRECT(Adrese!F$2),8,FALSE)</f>
        <v>6.0280858E-2</v>
      </c>
      <c r="BM194" s="5" t="str">
        <f t="shared" ca="1" si="59"/>
        <v>0.06 (0.00)</v>
      </c>
      <c r="BN194" s="5">
        <f t="shared" ca="1" si="69"/>
        <v>6.0191260589502214E-2</v>
      </c>
      <c r="BO194" s="5">
        <f t="shared" ca="1" si="60"/>
        <v>5.1683336383027166E-5</v>
      </c>
      <c r="BQ194" t="s">
        <v>246</v>
      </c>
      <c r="BR194" s="5">
        <f ca="1">+VLOOKUP($BG194,INDIRECT(Adrese!B$2),9,FALSE)</f>
        <v>2.6087337707719441E-2</v>
      </c>
      <c r="BS194" s="5">
        <f ca="1">+VLOOKUP($BG194,INDIRECT(Adrese!C$2),9,FALSE)</f>
        <v>2.6115089000000001E-2</v>
      </c>
      <c r="BT194" s="5">
        <f ca="1">+VLOOKUP($BG194,INDIRECT(Adrese!D$2),9,FALSE)</f>
        <v>2.6016858E-2</v>
      </c>
      <c r="BU194" s="5">
        <f ca="1">+VLOOKUP($BG194,INDIRECT(Adrese!E$2),9,FALSE)</f>
        <v>2.6117141E-2</v>
      </c>
      <c r="BV194" s="5">
        <f ca="1">+VLOOKUP($BG194,INDIRECT(Adrese!F$2),9,FALSE)</f>
        <v>2.6156440999999999E-2</v>
      </c>
      <c r="BW194" s="5" t="str">
        <f t="shared" ca="1" si="61"/>
        <v>0.03 (0.00)</v>
      </c>
      <c r="BX194" s="5">
        <f t="shared" ca="1" si="70"/>
        <v>2.6098573341543883E-2</v>
      </c>
      <c r="BY194" s="5">
        <f t="shared" ca="1" si="62"/>
        <v>5.1888889275658518E-5</v>
      </c>
    </row>
    <row r="195" spans="1:77" x14ac:dyDescent="0.25">
      <c r="A195" t="s">
        <v>247</v>
      </c>
      <c r="B195" s="12">
        <f ca="1">+VLOOKUP($A195,INDIRECT(Adrese!B$2),2,FALSE)</f>
        <v>193</v>
      </c>
      <c r="C195" s="12">
        <f ca="1">+VLOOKUP($A195,INDIRECT(Adrese!C$2),2,FALSE)</f>
        <v>193</v>
      </c>
      <c r="D195" s="12">
        <f ca="1">+VLOOKUP($A195,INDIRECT(Adrese!D$2),2,FALSE)</f>
        <v>192</v>
      </c>
      <c r="E195" s="12">
        <f ca="1">+VLOOKUP($A195,INDIRECT(Adrese!E$2),2,FALSE)</f>
        <v>193</v>
      </c>
      <c r="F195" s="12">
        <f ca="1">+VLOOKUP($A195,INDIRECT(Adrese!F$2),2,FALSE)</f>
        <v>194</v>
      </c>
      <c r="G195" s="5">
        <f t="shared" ca="1" si="63"/>
        <v>193</v>
      </c>
      <c r="H195" s="5">
        <f t="shared" ca="1" si="50"/>
        <v>0.70710678118654757</v>
      </c>
      <c r="J195" t="s">
        <v>247</v>
      </c>
      <c r="K195">
        <f ca="1">+VLOOKUP($A195,INDIRECT(Adrese!B$2),3,FALSE)</f>
        <v>86</v>
      </c>
      <c r="L195">
        <f ca="1">+VLOOKUP($A195,INDIRECT(Adrese!C$2),3,FALSE)</f>
        <v>88</v>
      </c>
      <c r="M195">
        <f ca="1">+VLOOKUP($A195,INDIRECT(Adrese!D$2),3,FALSE)</f>
        <v>84</v>
      </c>
      <c r="N195">
        <f ca="1">+VLOOKUP($A195,INDIRECT(Adrese!E$2),3,FALSE)</f>
        <v>84</v>
      </c>
      <c r="O195">
        <f ca="1">+VLOOKUP($A195,INDIRECT(Adrese!F$2),3,FALSE)</f>
        <v>86</v>
      </c>
      <c r="P195" s="5">
        <f t="shared" ca="1" si="64"/>
        <v>85.6</v>
      </c>
      <c r="Q195" s="5">
        <f t="shared" ca="1" si="51"/>
        <v>1.6733200530681511</v>
      </c>
      <c r="T195" t="s">
        <v>247</v>
      </c>
      <c r="U195">
        <f ca="1">+VLOOKUP($T195,INDIRECT(Adrese!B$2),4,FALSE)</f>
        <v>87879</v>
      </c>
      <c r="V195">
        <f ca="1">+VLOOKUP($T195,INDIRECT(Adrese!C$2),4,FALSE)</f>
        <v>87847</v>
      </c>
      <c r="W195">
        <f ca="1">+VLOOKUP($T195,INDIRECT(Adrese!D$2),4,FALSE)</f>
        <v>88239</v>
      </c>
      <c r="X195">
        <f ca="1">+VLOOKUP($T195,INDIRECT(Adrese!E$2),4,FALSE)</f>
        <v>87870</v>
      </c>
      <c r="Y195">
        <f ca="1">+VLOOKUP($T195,INDIRECT(Adrese!F$2),4,FALSE)</f>
        <v>87981</v>
      </c>
      <c r="Z195">
        <f t="shared" ca="1" si="52"/>
        <v>439816</v>
      </c>
      <c r="AA195" s="5">
        <f t="shared" ca="1" si="65"/>
        <v>87963.199999999997</v>
      </c>
      <c r="AB195" s="5">
        <f t="shared" ca="1" si="53"/>
        <v>162.5275361284973</v>
      </c>
      <c r="AD195" t="s">
        <v>247</v>
      </c>
      <c r="AE195">
        <f ca="1">+VLOOKUP($A195,INDIRECT(Adrese!B$2),5,FALSE)</f>
        <v>22700</v>
      </c>
      <c r="AF195">
        <f ca="1">+VLOOKUP($A195,INDIRECT(Adrese!C$2),5,FALSE)</f>
        <v>22700</v>
      </c>
      <c r="AG195">
        <f ca="1">+VLOOKUP($A195,INDIRECT(Adrese!D$2),5,FALSE)</f>
        <v>22700</v>
      </c>
      <c r="AH195">
        <f ca="1">+VLOOKUP($A195,INDIRECT(Adrese!E$2),5,FALSE)</f>
        <v>22700</v>
      </c>
      <c r="AI195">
        <f ca="1">+VLOOKUP($A195,INDIRECT(Adrese!F$2),5,FALSE)</f>
        <v>22700</v>
      </c>
      <c r="AJ195" s="5">
        <f t="shared" ca="1" si="66"/>
        <v>22700</v>
      </c>
      <c r="AK195" s="5">
        <f t="shared" ca="1" si="54"/>
        <v>0</v>
      </c>
      <c r="AM195" t="s">
        <v>247</v>
      </c>
      <c r="AN195" s="5">
        <f ca="1">+VLOOKUP($A195,INDIRECT(Adrese!B$2),6,FALSE)</f>
        <v>0.5</v>
      </c>
      <c r="AO195" s="5">
        <f ca="1">+VLOOKUP($A195,INDIRECT(Adrese!C$2),6,FALSE)</f>
        <v>0.5</v>
      </c>
      <c r="AP195" s="5">
        <f ca="1">+VLOOKUP($A195,INDIRECT(Adrese!D$2),6,FALSE)</f>
        <v>0.5</v>
      </c>
      <c r="AQ195" s="5">
        <f ca="1">+VLOOKUP($A195,INDIRECT(Adrese!E$2),6,FALSE)</f>
        <v>0.5</v>
      </c>
      <c r="AR195" s="5">
        <f ca="1">+VLOOKUP($A195,INDIRECT(Adrese!F$2),6,FALSE)</f>
        <v>0.5</v>
      </c>
      <c r="AS195" s="5" t="str">
        <f t="shared" ca="1" si="55"/>
        <v>0.50 (0.00)</v>
      </c>
      <c r="AT195" s="5">
        <f t="shared" ca="1" si="67"/>
        <v>0.5</v>
      </c>
      <c r="AU195" s="5">
        <f t="shared" ca="1" si="56"/>
        <v>0</v>
      </c>
      <c r="AW195" t="s">
        <v>247</v>
      </c>
      <c r="AX195" s="5">
        <f ca="1">+VLOOKUP($A195,INDIRECT(Adrese!B$2),7,FALSE)</f>
        <v>0.61946902654867253</v>
      </c>
      <c r="AY195" s="5">
        <f ca="1">+VLOOKUP($A195,INDIRECT(Adrese!C$2),7,FALSE)</f>
        <v>0.61061946899999997</v>
      </c>
      <c r="AZ195" s="5">
        <f ca="1">+VLOOKUP($A195,INDIRECT(Adrese!D$2),7,FALSE)</f>
        <v>0.62831858399999996</v>
      </c>
      <c r="BA195" s="5">
        <f ca="1">+VLOOKUP($A195,INDIRECT(Adrese!E$2),7,FALSE)</f>
        <v>0.62831858399999996</v>
      </c>
      <c r="BB195" s="5">
        <f ca="1">+VLOOKUP($A195,INDIRECT(Adrese!F$2),7,FALSE)</f>
        <v>0.61946902699999995</v>
      </c>
      <c r="BC195" s="5" t="str">
        <f t="shared" ca="1" si="57"/>
        <v>0.62 (0.01)</v>
      </c>
      <c r="BD195">
        <f t="shared" ca="1" si="68"/>
        <v>0.62123893810973452</v>
      </c>
      <c r="BE195" s="5">
        <f t="shared" ca="1" si="58"/>
        <v>7.4040709799753687E-3</v>
      </c>
      <c r="BG195" t="s">
        <v>247</v>
      </c>
      <c r="BH195" s="5">
        <f ca="1">+VLOOKUP($BG195,INDIRECT(Adrese!B$2),8,FALSE)</f>
        <v>4.4897058916053022E-2</v>
      </c>
      <c r="BI195" s="5">
        <f ca="1">+VLOOKUP($BG195,INDIRECT(Adrese!C$2),8,FALSE)</f>
        <v>4.4898209000000001E-2</v>
      </c>
      <c r="BJ195" s="5">
        <f ca="1">+VLOOKUP($BG195,INDIRECT(Adrese!D$2),8,FALSE)</f>
        <v>4.4918474999999999E-2</v>
      </c>
      <c r="BK195" s="5">
        <f ca="1">+VLOOKUP($BG195,INDIRECT(Adrese!E$2),8,FALSE)</f>
        <v>4.4894798E-2</v>
      </c>
      <c r="BL195" s="5">
        <f ca="1">+VLOOKUP($BG195,INDIRECT(Adrese!F$2),8,FALSE)</f>
        <v>4.4985715000000003E-2</v>
      </c>
      <c r="BM195" s="5" t="str">
        <f t="shared" ca="1" si="59"/>
        <v>0.04 (0.00)</v>
      </c>
      <c r="BN195" s="5">
        <f t="shared" ca="1" si="69"/>
        <v>4.4918851183210609E-2</v>
      </c>
      <c r="BO195" s="5">
        <f t="shared" ca="1" si="60"/>
        <v>3.8569644046790904E-5</v>
      </c>
      <c r="BQ195" t="s">
        <v>247</v>
      </c>
      <c r="BR195" s="5">
        <f ca="1">+VLOOKUP($BG195,INDIRECT(Adrese!B$2),9,FALSE)</f>
        <v>0</v>
      </c>
      <c r="BS195" s="5">
        <f ca="1">+VLOOKUP($BG195,INDIRECT(Adrese!C$2),9,FALSE)</f>
        <v>0</v>
      </c>
      <c r="BT195" s="5">
        <f ca="1">+VLOOKUP($BG195,INDIRECT(Adrese!D$2),9,FALSE)</f>
        <v>0</v>
      </c>
      <c r="BU195" s="5">
        <f ca="1">+VLOOKUP($BG195,INDIRECT(Adrese!E$2),9,FALSE)</f>
        <v>0</v>
      </c>
      <c r="BV195" s="5">
        <f ca="1">+VLOOKUP($BG195,INDIRECT(Adrese!F$2),9,FALSE)</f>
        <v>0</v>
      </c>
      <c r="BW195" s="5" t="str">
        <f t="shared" ca="1" si="61"/>
        <v>0.00 (0.00)</v>
      </c>
      <c r="BX195" s="5">
        <f t="shared" ca="1" si="70"/>
        <v>0</v>
      </c>
      <c r="BY195" s="5">
        <f t="shared" ca="1" si="62"/>
        <v>0</v>
      </c>
    </row>
    <row r="196" spans="1:77" x14ac:dyDescent="0.25">
      <c r="A196" t="s">
        <v>248</v>
      </c>
      <c r="B196" s="12">
        <f ca="1">+VLOOKUP($A196,INDIRECT(Adrese!B$2),2,FALSE)</f>
        <v>194</v>
      </c>
      <c r="C196" s="12">
        <f ca="1">+VLOOKUP($A196,INDIRECT(Adrese!C$2),2,FALSE)</f>
        <v>195</v>
      </c>
      <c r="D196" s="12">
        <f ca="1">+VLOOKUP($A196,INDIRECT(Adrese!D$2),2,FALSE)</f>
        <v>194</v>
      </c>
      <c r="E196" s="12">
        <f ca="1">+VLOOKUP($A196,INDIRECT(Adrese!E$2),2,FALSE)</f>
        <v>192</v>
      </c>
      <c r="F196" s="12">
        <f ca="1">+VLOOKUP($A196,INDIRECT(Adrese!F$2),2,FALSE)</f>
        <v>192</v>
      </c>
      <c r="G196" s="5">
        <f t="shared" ca="1" si="63"/>
        <v>193.4</v>
      </c>
      <c r="H196" s="5">
        <f t="shared" ref="H196:H229" ca="1" si="71">+_xlfn.STDEV.S(B196:F196)</f>
        <v>1.3416407864998738</v>
      </c>
      <c r="J196" t="s">
        <v>248</v>
      </c>
      <c r="K196">
        <f ca="1">+VLOOKUP($A196,INDIRECT(Adrese!B$2),3,FALSE)</f>
        <v>72</v>
      </c>
      <c r="L196">
        <f ca="1">+VLOOKUP($A196,INDIRECT(Adrese!C$2),3,FALSE)</f>
        <v>73</v>
      </c>
      <c r="M196">
        <f ca="1">+VLOOKUP($A196,INDIRECT(Adrese!D$2),3,FALSE)</f>
        <v>72</v>
      </c>
      <c r="N196">
        <f ca="1">+VLOOKUP($A196,INDIRECT(Adrese!E$2),3,FALSE)</f>
        <v>70</v>
      </c>
      <c r="O196">
        <f ca="1">+VLOOKUP($A196,INDIRECT(Adrese!F$2),3,FALSE)</f>
        <v>72</v>
      </c>
      <c r="P196" s="5">
        <f t="shared" ca="1" si="64"/>
        <v>71.8</v>
      </c>
      <c r="Q196" s="5">
        <f t="shared" ref="Q196:Q229" ca="1" si="72">+_xlfn.STDEV.S(K196:O196)</f>
        <v>1.0954451150103321</v>
      </c>
      <c r="T196" t="s">
        <v>248</v>
      </c>
      <c r="U196">
        <f ca="1">+VLOOKUP($T196,INDIRECT(Adrese!B$2),4,FALSE)</f>
        <v>87609</v>
      </c>
      <c r="V196">
        <f ca="1">+VLOOKUP($T196,INDIRECT(Adrese!C$2),4,FALSE)</f>
        <v>87568</v>
      </c>
      <c r="W196">
        <f ca="1">+VLOOKUP($T196,INDIRECT(Adrese!D$2),4,FALSE)</f>
        <v>87590</v>
      </c>
      <c r="X196">
        <f ca="1">+VLOOKUP($T196,INDIRECT(Adrese!E$2),4,FALSE)</f>
        <v>87971</v>
      </c>
      <c r="Y196">
        <f ca="1">+VLOOKUP($T196,INDIRECT(Adrese!F$2),4,FALSE)</f>
        <v>88504</v>
      </c>
      <c r="Z196">
        <f t="shared" ref="Z196:Z229" ca="1" si="73">SUM(U196:Y196)</f>
        <v>439242</v>
      </c>
      <c r="AA196" s="5">
        <f t="shared" ca="1" si="65"/>
        <v>87848.4</v>
      </c>
      <c r="AB196" s="5">
        <f t="shared" ref="AB196:AB229" ca="1" si="74">+_xlfn.STDEV.S(U196:Y196)</f>
        <v>402.35220889166249</v>
      </c>
      <c r="AD196" t="s">
        <v>248</v>
      </c>
      <c r="AE196">
        <f ca="1">+VLOOKUP($A196,INDIRECT(Adrese!B$2),5,FALSE)</f>
        <v>36688</v>
      </c>
      <c r="AF196">
        <f ca="1">+VLOOKUP($A196,INDIRECT(Adrese!C$2),5,FALSE)</f>
        <v>36735</v>
      </c>
      <c r="AG196">
        <f ca="1">+VLOOKUP($A196,INDIRECT(Adrese!D$2),5,FALSE)</f>
        <v>36712</v>
      </c>
      <c r="AH196">
        <f ca="1">+VLOOKUP($A196,INDIRECT(Adrese!E$2),5,FALSE)</f>
        <v>36646</v>
      </c>
      <c r="AI196">
        <f ca="1">+VLOOKUP($A196,INDIRECT(Adrese!F$2),5,FALSE)</f>
        <v>36544</v>
      </c>
      <c r="AJ196" s="5">
        <f t="shared" ca="1" si="66"/>
        <v>36665</v>
      </c>
      <c r="AK196" s="5">
        <f t="shared" ref="AK196:AK229" ca="1" si="75">+_xlfn.STDEV.S(AE196:AI196)</f>
        <v>75.232971495216105</v>
      </c>
      <c r="AM196" t="s">
        <v>248</v>
      </c>
      <c r="AN196" s="5">
        <f ca="1">+VLOOKUP($A196,INDIRECT(Adrese!B$2),6,FALSE)</f>
        <v>0.80834070796460178</v>
      </c>
      <c r="AO196" s="5">
        <f ca="1">+VLOOKUP($A196,INDIRECT(Adrese!C$2),6,FALSE)</f>
        <v>0.80938053099999996</v>
      </c>
      <c r="AP196" s="5">
        <f ca="1">+VLOOKUP($A196,INDIRECT(Adrese!D$2),6,FALSE)</f>
        <v>0.80887168099999995</v>
      </c>
      <c r="AQ196" s="5">
        <f ca="1">+VLOOKUP($A196,INDIRECT(Adrese!E$2),6,FALSE)</f>
        <v>0.80741150399999995</v>
      </c>
      <c r="AR196" s="5">
        <f ca="1">+VLOOKUP($A196,INDIRECT(Adrese!F$2),6,FALSE)</f>
        <v>0.80515486700000005</v>
      </c>
      <c r="AS196" s="5" t="str">
        <f t="shared" ref="AS196:AS229" ca="1" si="76">TEXT(AT196,"0.00")&amp;" ("&amp;TEXT(AU196,"0.00")&amp;")"</f>
        <v>0.81 (0.00)</v>
      </c>
      <c r="AT196" s="5">
        <f t="shared" ca="1" si="67"/>
        <v>0.80783185819292025</v>
      </c>
      <c r="AU196" s="5">
        <f t="shared" ref="AU196:AU229" ca="1" si="77">+_xlfn.STDEV.S(AN196:AR196)</f>
        <v>1.6644463432422198E-3</v>
      </c>
      <c r="AW196" t="s">
        <v>248</v>
      </c>
      <c r="AX196" s="5">
        <f ca="1">+VLOOKUP($A196,INDIRECT(Adrese!B$2),7,FALSE)</f>
        <v>0.68141592920353977</v>
      </c>
      <c r="AY196" s="5">
        <f ca="1">+VLOOKUP($A196,INDIRECT(Adrese!C$2),7,FALSE)</f>
        <v>0.67699114999999999</v>
      </c>
      <c r="AZ196" s="5">
        <f ca="1">+VLOOKUP($A196,INDIRECT(Adrese!D$2),7,FALSE)</f>
        <v>0.68141592900000003</v>
      </c>
      <c r="BA196" s="5">
        <f ca="1">+VLOOKUP($A196,INDIRECT(Adrese!E$2),7,FALSE)</f>
        <v>0.69026548700000001</v>
      </c>
      <c r="BB196" s="5">
        <f ca="1">+VLOOKUP($A196,INDIRECT(Adrese!F$2),7,FALSE)</f>
        <v>0.68141592900000003</v>
      </c>
      <c r="BC196" s="5" t="str">
        <f t="shared" ref="BC196:BC229" ca="1" si="78">TEXT(BD196,"0.00")&amp;" ("&amp;TEXT(BE196,"0.00")&amp;")"</f>
        <v>0.68 (0.00)</v>
      </c>
      <c r="BD196">
        <f t="shared" ca="1" si="68"/>
        <v>0.68230088484070794</v>
      </c>
      <c r="BE196" s="5">
        <f t="shared" ref="BE196:BE229" ca="1" si="79">+_xlfn.STDEV.S(AX196:BB196)</f>
        <v>4.8471025312600323E-3</v>
      </c>
      <c r="BG196" t="s">
        <v>248</v>
      </c>
      <c r="BH196" s="5">
        <f ca="1">+VLOOKUP($BG196,INDIRECT(Adrese!B$2),8,FALSE)</f>
        <v>6.9700614015565834E-2</v>
      </c>
      <c r="BI196" s="5">
        <f ca="1">+VLOOKUP($BG196,INDIRECT(Adrese!C$2),8,FALSE)</f>
        <v>6.9790948000000005E-2</v>
      </c>
      <c r="BJ196" s="5">
        <f ca="1">+VLOOKUP($BG196,INDIRECT(Adrese!D$2),8,FALSE)</f>
        <v>6.9781033000000006E-2</v>
      </c>
      <c r="BK196" s="5">
        <f ca="1">+VLOOKUP($BG196,INDIRECT(Adrese!E$2),8,FALSE)</f>
        <v>6.9617584999999996E-2</v>
      </c>
      <c r="BL196" s="5">
        <f ca="1">+VLOOKUP($BG196,INDIRECT(Adrese!F$2),8,FALSE)</f>
        <v>6.9466695999999994E-2</v>
      </c>
      <c r="BM196" s="5" t="str">
        <f t="shared" ref="BM196:BM229" ca="1" si="80">TEXT(BN196,"0.00")&amp;" ("&amp;TEXT(BO196,"0.00")&amp;")"</f>
        <v>0.07 (0.00)</v>
      </c>
      <c r="BN196" s="5">
        <f t="shared" ca="1" si="69"/>
        <v>6.9671375203113159E-2</v>
      </c>
      <c r="BO196" s="5">
        <f t="shared" ref="BO196:BO229" ca="1" si="81">+_xlfn.STDEV.S(BH196:BL196)</f>
        <v>1.3413086563600696E-4</v>
      </c>
      <c r="BQ196" t="s">
        <v>248</v>
      </c>
      <c r="BR196" s="5">
        <f ca="1">+VLOOKUP($BG196,INDIRECT(Adrese!B$2),9,FALSE)</f>
        <v>3.8251600008090081E-2</v>
      </c>
      <c r="BS196" s="5">
        <f ca="1">+VLOOKUP($BG196,INDIRECT(Adrese!C$2),9,FALSE)</f>
        <v>3.8432465999999998E-2</v>
      </c>
      <c r="BT196" s="5">
        <f ca="1">+VLOOKUP($BG196,INDIRECT(Adrese!D$2),9,FALSE)</f>
        <v>3.8305185999999998E-2</v>
      </c>
      <c r="BU196" s="5">
        <f ca="1">+VLOOKUP($BG196,INDIRECT(Adrese!E$2),9,FALSE)</f>
        <v>3.8168140000000003E-2</v>
      </c>
      <c r="BV196" s="5">
        <f ca="1">+VLOOKUP($BG196,INDIRECT(Adrese!F$2),9,FALSE)</f>
        <v>3.7605675999999998E-2</v>
      </c>
      <c r="BW196" s="5" t="str">
        <f t="shared" ref="BW196:BW229" ca="1" si="82">TEXT(BX196,"0.00")&amp;" ("&amp;TEXT(BY196,"0.00")&amp;")"</f>
        <v>0.04 (0.00)</v>
      </c>
      <c r="BX196" s="5">
        <f t="shared" ca="1" si="70"/>
        <v>3.8152613601618021E-2</v>
      </c>
      <c r="BY196" s="5">
        <f t="shared" ref="BY196:BY229" ca="1" si="83">+_xlfn.STDEV.S(BR196:BV196)</f>
        <v>3.204589753013704E-4</v>
      </c>
    </row>
    <row r="197" spans="1:77" x14ac:dyDescent="0.25">
      <c r="A197" t="s">
        <v>249</v>
      </c>
      <c r="B197" s="12">
        <f ca="1">+VLOOKUP($A197,INDIRECT(Adrese!B$2),2,FALSE)</f>
        <v>195</v>
      </c>
      <c r="C197" s="12">
        <f ca="1">+VLOOKUP($A197,INDIRECT(Adrese!C$2),2,FALSE)</f>
        <v>197</v>
      </c>
      <c r="D197" s="12">
        <f ca="1">+VLOOKUP($A197,INDIRECT(Adrese!D$2),2,FALSE)</f>
        <v>200</v>
      </c>
      <c r="E197" s="12">
        <f ca="1">+VLOOKUP($A197,INDIRECT(Adrese!E$2),2,FALSE)</f>
        <v>199</v>
      </c>
      <c r="F197" s="12">
        <f ca="1">+VLOOKUP($A197,INDIRECT(Adrese!F$2),2,FALSE)</f>
        <v>195</v>
      </c>
      <c r="G197" s="5">
        <f t="shared" ca="1" si="63"/>
        <v>197.2</v>
      </c>
      <c r="H197" s="5">
        <f t="shared" ca="1" si="71"/>
        <v>2.2803508501982761</v>
      </c>
      <c r="J197" t="s">
        <v>249</v>
      </c>
      <c r="K197">
        <f ca="1">+VLOOKUP($A197,INDIRECT(Adrese!B$2),3,FALSE)</f>
        <v>192</v>
      </c>
      <c r="L197">
        <f ca="1">+VLOOKUP($A197,INDIRECT(Adrese!C$2),3,FALSE)</f>
        <v>189</v>
      </c>
      <c r="M197">
        <f ca="1">+VLOOKUP($A197,INDIRECT(Adrese!D$2),3,FALSE)</f>
        <v>184</v>
      </c>
      <c r="N197">
        <f ca="1">+VLOOKUP($A197,INDIRECT(Adrese!E$2),3,FALSE)</f>
        <v>190</v>
      </c>
      <c r="O197">
        <f ca="1">+VLOOKUP($A197,INDIRECT(Adrese!F$2),3,FALSE)</f>
        <v>188</v>
      </c>
      <c r="P197" s="5">
        <f t="shared" ca="1" si="64"/>
        <v>188.6</v>
      </c>
      <c r="Q197" s="5">
        <f t="shared" ca="1" si="72"/>
        <v>2.9664793948382648</v>
      </c>
      <c r="T197" t="s">
        <v>249</v>
      </c>
      <c r="U197">
        <f ca="1">+VLOOKUP($T197,INDIRECT(Adrese!B$2),4,FALSE)</f>
        <v>87349</v>
      </c>
      <c r="V197">
        <f ca="1">+VLOOKUP($T197,INDIRECT(Adrese!C$2),4,FALSE)</f>
        <v>86496</v>
      </c>
      <c r="W197">
        <f ca="1">+VLOOKUP($T197,INDIRECT(Adrese!D$2),4,FALSE)</f>
        <v>85820</v>
      </c>
      <c r="X197">
        <f ca="1">+VLOOKUP($T197,INDIRECT(Adrese!E$2),4,FALSE)</f>
        <v>86643</v>
      </c>
      <c r="Y197">
        <f ca="1">+VLOOKUP($T197,INDIRECT(Adrese!F$2),4,FALSE)</f>
        <v>87725</v>
      </c>
      <c r="Z197">
        <f t="shared" ca="1" si="73"/>
        <v>434033</v>
      </c>
      <c r="AA197" s="5">
        <f t="shared" ca="1" si="65"/>
        <v>86806.6</v>
      </c>
      <c r="AB197" s="5">
        <f t="shared" ca="1" si="74"/>
        <v>747.37427036258077</v>
      </c>
      <c r="AD197" t="s">
        <v>249</v>
      </c>
      <c r="AE197">
        <f ca="1">+VLOOKUP($A197,INDIRECT(Adrese!B$2),5,FALSE)</f>
        <v>12074</v>
      </c>
      <c r="AF197">
        <f ca="1">+VLOOKUP($A197,INDIRECT(Adrese!C$2),5,FALSE)</f>
        <v>11578</v>
      </c>
      <c r="AG197">
        <f ca="1">+VLOOKUP($A197,INDIRECT(Adrese!D$2),5,FALSE)</f>
        <v>11589</v>
      </c>
      <c r="AH197">
        <f ca="1">+VLOOKUP($A197,INDIRECT(Adrese!E$2),5,FALSE)</f>
        <v>11824</v>
      </c>
      <c r="AI197">
        <f ca="1">+VLOOKUP($A197,INDIRECT(Adrese!F$2),5,FALSE)</f>
        <v>12182</v>
      </c>
      <c r="AJ197" s="5">
        <f t="shared" ca="1" si="66"/>
        <v>11849.4</v>
      </c>
      <c r="AK197" s="5">
        <f t="shared" ca="1" si="75"/>
        <v>275.30855417149684</v>
      </c>
      <c r="AM197" t="s">
        <v>249</v>
      </c>
      <c r="AN197" s="5">
        <f ca="1">+VLOOKUP($A197,INDIRECT(Adrese!B$2),6,FALSE)</f>
        <v>0.2669911504424779</v>
      </c>
      <c r="AO197" s="5">
        <f ca="1">+VLOOKUP($A197,INDIRECT(Adrese!C$2),6,FALSE)</f>
        <v>0.25597345100000002</v>
      </c>
      <c r="AP197" s="5">
        <f ca="1">+VLOOKUP($A197,INDIRECT(Adrese!D$2),6,FALSE)</f>
        <v>0.25615044199999998</v>
      </c>
      <c r="AQ197" s="5">
        <f ca="1">+VLOOKUP($A197,INDIRECT(Adrese!E$2),6,FALSE)</f>
        <v>0.26106194700000002</v>
      </c>
      <c r="AR197" s="5">
        <f ca="1">+VLOOKUP($A197,INDIRECT(Adrese!F$2),6,FALSE)</f>
        <v>0.26933628300000001</v>
      </c>
      <c r="AS197" s="5" t="str">
        <f t="shared" ca="1" si="76"/>
        <v>0.26 (0.01)</v>
      </c>
      <c r="AT197" s="5">
        <f t="shared" ca="1" si="67"/>
        <v>0.26190265468849561</v>
      </c>
      <c r="AU197" s="5">
        <f t="shared" ca="1" si="77"/>
        <v>6.1258023050607619E-3</v>
      </c>
      <c r="AW197" t="s">
        <v>249</v>
      </c>
      <c r="AX197" s="5">
        <f ca="1">+VLOOKUP($A197,INDIRECT(Adrese!B$2),7,FALSE)</f>
        <v>0.15044247787610621</v>
      </c>
      <c r="AY197" s="5">
        <f ca="1">+VLOOKUP($A197,INDIRECT(Adrese!C$2),7,FALSE)</f>
        <v>0.16371681399999999</v>
      </c>
      <c r="AZ197" s="5">
        <f ca="1">+VLOOKUP($A197,INDIRECT(Adrese!D$2),7,FALSE)</f>
        <v>0.18584070799999999</v>
      </c>
      <c r="BA197" s="5">
        <f ca="1">+VLOOKUP($A197,INDIRECT(Adrese!E$2),7,FALSE)</f>
        <v>0.159292035</v>
      </c>
      <c r="BB197" s="5">
        <f ca="1">+VLOOKUP($A197,INDIRECT(Adrese!F$2),7,FALSE)</f>
        <v>0.16814159300000001</v>
      </c>
      <c r="BC197" s="5" t="str">
        <f t="shared" ca="1" si="78"/>
        <v>0.17 (0.01)</v>
      </c>
      <c r="BD197">
        <f t="shared" ca="1" si="68"/>
        <v>0.16548672557522123</v>
      </c>
      <c r="BE197" s="5">
        <f t="shared" ca="1" si="79"/>
        <v>1.3126015091513102E-2</v>
      </c>
      <c r="BG197" t="s">
        <v>249</v>
      </c>
      <c r="BH197" s="5">
        <f ca="1">+VLOOKUP($BG197,INDIRECT(Adrese!B$2),8,FALSE)</f>
        <v>2.6504074319502299E-2</v>
      </c>
      <c r="BI197" s="5">
        <f ca="1">+VLOOKUP($BG197,INDIRECT(Adrese!C$2),8,FALSE)</f>
        <v>2.5735126000000001E-2</v>
      </c>
      <c r="BJ197" s="5">
        <f ca="1">+VLOOKUP($BG197,INDIRECT(Adrese!D$2),8,FALSE)</f>
        <v>2.5981723000000002E-2</v>
      </c>
      <c r="BK197" s="5">
        <f ca="1">+VLOOKUP($BG197,INDIRECT(Adrese!E$2),8,FALSE)</f>
        <v>2.651676E-2</v>
      </c>
      <c r="BL197" s="5">
        <f ca="1">+VLOOKUP($BG197,INDIRECT(Adrese!F$2),8,FALSE)</f>
        <v>2.7339456000000002E-2</v>
      </c>
      <c r="BM197" s="5" t="str">
        <f t="shared" ca="1" si="80"/>
        <v>0.03 (0.00)</v>
      </c>
      <c r="BN197" s="5">
        <f t="shared" ca="1" si="69"/>
        <v>2.641542786390046E-2</v>
      </c>
      <c r="BO197" s="5">
        <f t="shared" ca="1" si="81"/>
        <v>6.1702206751424458E-4</v>
      </c>
      <c r="BQ197" t="s">
        <v>249</v>
      </c>
      <c r="BR197" s="5">
        <f ca="1">+VLOOKUP($BG197,INDIRECT(Adrese!B$2),9,FALSE)</f>
        <v>-3.0120476139750049E-2</v>
      </c>
      <c r="BS197" s="5">
        <f ca="1">+VLOOKUP($BG197,INDIRECT(Adrese!C$2),9,FALSE)</f>
        <v>-3.1188655999999999E-2</v>
      </c>
      <c r="BT197" s="5">
        <f ca="1">+VLOOKUP($BG197,INDIRECT(Adrese!D$2),9,FALSE)</f>
        <v>-3.0123222000000002E-2</v>
      </c>
      <c r="BU197" s="5">
        <f ca="1">+VLOOKUP($BG197,INDIRECT(Adrese!E$2),9,FALSE)</f>
        <v>-2.8722975000000001E-2</v>
      </c>
      <c r="BV197" s="5">
        <f ca="1">+VLOOKUP($BG197,INDIRECT(Adrese!F$2),9,FALSE)</f>
        <v>-2.7400863000000001E-2</v>
      </c>
      <c r="BW197" s="5" t="str">
        <f t="shared" ca="1" si="82"/>
        <v>-0.03 (0.00)</v>
      </c>
      <c r="BX197" s="5">
        <f t="shared" ca="1" si="70"/>
        <v>-2.9511238427950011E-2</v>
      </c>
      <c r="BY197" s="5">
        <f t="shared" ca="1" si="83"/>
        <v>1.4692232532616662E-3</v>
      </c>
    </row>
    <row r="198" spans="1:77" x14ac:dyDescent="0.25">
      <c r="A198" t="s">
        <v>250</v>
      </c>
      <c r="B198" s="12">
        <f ca="1">+VLOOKUP($A198,INDIRECT(Adrese!B$2),2,FALSE)</f>
        <v>196</v>
      </c>
      <c r="C198" s="12">
        <f ca="1">+VLOOKUP($A198,INDIRECT(Adrese!C$2),2,FALSE)</f>
        <v>211</v>
      </c>
      <c r="D198" s="12">
        <f ca="1">+VLOOKUP($A198,INDIRECT(Adrese!D$2),2,FALSE)</f>
        <v>201</v>
      </c>
      <c r="E198" s="12">
        <f ca="1">+VLOOKUP($A198,INDIRECT(Adrese!E$2),2,FALSE)</f>
        <v>207</v>
      </c>
      <c r="F198" s="12">
        <f ca="1">+VLOOKUP($A198,INDIRECT(Adrese!F$2),2,FALSE)</f>
        <v>200</v>
      </c>
      <c r="G198" s="5">
        <f t="shared" ca="1" si="63"/>
        <v>203</v>
      </c>
      <c r="H198" s="5">
        <f t="shared" ca="1" si="71"/>
        <v>5.9581876439064922</v>
      </c>
      <c r="J198" t="s">
        <v>250</v>
      </c>
      <c r="K198">
        <f ca="1">+VLOOKUP($A198,INDIRECT(Adrese!B$2),3,FALSE)</f>
        <v>73</v>
      </c>
      <c r="L198">
        <f ca="1">+VLOOKUP($A198,INDIRECT(Adrese!C$2),3,FALSE)</f>
        <v>74</v>
      </c>
      <c r="M198">
        <f ca="1">+VLOOKUP($A198,INDIRECT(Adrese!D$2),3,FALSE)</f>
        <v>72</v>
      </c>
      <c r="N198">
        <f ca="1">+VLOOKUP($A198,INDIRECT(Adrese!E$2),3,FALSE)</f>
        <v>72</v>
      </c>
      <c r="O198">
        <f ca="1">+VLOOKUP($A198,INDIRECT(Adrese!F$2),3,FALSE)</f>
        <v>73</v>
      </c>
      <c r="P198" s="5">
        <f t="shared" ca="1" si="64"/>
        <v>72.8</v>
      </c>
      <c r="Q198" s="5">
        <f t="shared" ca="1" si="72"/>
        <v>0.83666002653407556</v>
      </c>
      <c r="T198" t="s">
        <v>250</v>
      </c>
      <c r="U198">
        <f ca="1">+VLOOKUP($T198,INDIRECT(Adrese!B$2),4,FALSE)</f>
        <v>86378</v>
      </c>
      <c r="V198">
        <f ca="1">+VLOOKUP($T198,INDIRECT(Adrese!C$2),4,FALSE)</f>
        <v>85117</v>
      </c>
      <c r="W198">
        <f ca="1">+VLOOKUP($T198,INDIRECT(Adrese!D$2),4,FALSE)</f>
        <v>85372</v>
      </c>
      <c r="X198">
        <f ca="1">+VLOOKUP($T198,INDIRECT(Adrese!E$2),4,FALSE)</f>
        <v>85211</v>
      </c>
      <c r="Y198">
        <f ca="1">+VLOOKUP($T198,INDIRECT(Adrese!F$2),4,FALSE)</f>
        <v>86166</v>
      </c>
      <c r="Z198">
        <f t="shared" ca="1" si="73"/>
        <v>428244</v>
      </c>
      <c r="AA198" s="5">
        <f t="shared" ca="1" si="65"/>
        <v>85648.8</v>
      </c>
      <c r="AB198" s="5">
        <f t="shared" ca="1" si="74"/>
        <v>581.01781384050526</v>
      </c>
      <c r="AD198" t="s">
        <v>250</v>
      </c>
      <c r="AE198">
        <f ca="1">+VLOOKUP($A198,INDIRECT(Adrese!B$2),5,FALSE)</f>
        <v>37781</v>
      </c>
      <c r="AF198">
        <f ca="1">+VLOOKUP($A198,INDIRECT(Adrese!C$2),5,FALSE)</f>
        <v>38012</v>
      </c>
      <c r="AG198">
        <f ca="1">+VLOOKUP($A198,INDIRECT(Adrese!D$2),5,FALSE)</f>
        <v>37923</v>
      </c>
      <c r="AH198">
        <f ca="1">+VLOOKUP($A198,INDIRECT(Adrese!E$2),5,FALSE)</f>
        <v>37988</v>
      </c>
      <c r="AI198">
        <f ca="1">+VLOOKUP($A198,INDIRECT(Adrese!F$2),5,FALSE)</f>
        <v>37789</v>
      </c>
      <c r="AJ198" s="5">
        <f t="shared" ca="1" si="66"/>
        <v>37898.6</v>
      </c>
      <c r="AK198" s="5">
        <f t="shared" ca="1" si="75"/>
        <v>108.73040053269371</v>
      </c>
      <c r="AM198" t="s">
        <v>250</v>
      </c>
      <c r="AN198" s="5">
        <f ca="1">+VLOOKUP($A198,INDIRECT(Adrese!B$2),6,FALSE)</f>
        <v>0.83183628318584069</v>
      </c>
      <c r="AO198" s="5">
        <f ca="1">+VLOOKUP($A198,INDIRECT(Adrese!C$2),6,FALSE)</f>
        <v>0.83694690299999996</v>
      </c>
      <c r="AP198" s="5">
        <f ca="1">+VLOOKUP($A198,INDIRECT(Adrese!D$2),6,FALSE)</f>
        <v>0.83497787599999995</v>
      </c>
      <c r="AQ198" s="5">
        <f ca="1">+VLOOKUP($A198,INDIRECT(Adrese!E$2),6,FALSE)</f>
        <v>0.83641592899999995</v>
      </c>
      <c r="AR198" s="5">
        <f ca="1">+VLOOKUP($A198,INDIRECT(Adrese!F$2),6,FALSE)</f>
        <v>0.83201327400000002</v>
      </c>
      <c r="AS198" s="5" t="str">
        <f t="shared" ca="1" si="76"/>
        <v>0.83 (0.00)</v>
      </c>
      <c r="AT198" s="5">
        <f t="shared" ca="1" si="67"/>
        <v>0.83443805303716823</v>
      </c>
      <c r="AU198" s="5">
        <f t="shared" ca="1" si="77"/>
        <v>2.4055399617297995E-3</v>
      </c>
      <c r="AW198" t="s">
        <v>250</v>
      </c>
      <c r="AX198" s="5">
        <f ca="1">+VLOOKUP($A198,INDIRECT(Adrese!B$2),7,FALSE)</f>
        <v>0.67699115044247793</v>
      </c>
      <c r="AY198" s="5">
        <f ca="1">+VLOOKUP($A198,INDIRECT(Adrese!C$2),7,FALSE)</f>
        <v>0.67256637200000002</v>
      </c>
      <c r="AZ198" s="5">
        <f ca="1">+VLOOKUP($A198,INDIRECT(Adrese!D$2),7,FALSE)</f>
        <v>0.68141592900000003</v>
      </c>
      <c r="BA198" s="5">
        <f ca="1">+VLOOKUP($A198,INDIRECT(Adrese!E$2),7,FALSE)</f>
        <v>0.68141592900000003</v>
      </c>
      <c r="BB198" s="5">
        <f ca="1">+VLOOKUP($A198,INDIRECT(Adrese!F$2),7,FALSE)</f>
        <v>0.67699114999999999</v>
      </c>
      <c r="BC198" s="5" t="str">
        <f t="shared" ca="1" si="78"/>
        <v>0.68 (0.00)</v>
      </c>
      <c r="BD198">
        <f t="shared" ca="1" si="68"/>
        <v>0.67787610608849558</v>
      </c>
      <c r="BE198" s="5">
        <f t="shared" ca="1" si="79"/>
        <v>3.702035330535737E-3</v>
      </c>
      <c r="BG198" t="s">
        <v>250</v>
      </c>
      <c r="BH198" s="5">
        <f ca="1">+VLOOKUP($BG198,INDIRECT(Adrese!B$2),8,FALSE)</f>
        <v>7.1406951051504103E-2</v>
      </c>
      <c r="BI198" s="5">
        <f ca="1">+VLOOKUP($BG198,INDIRECT(Adrese!C$2),8,FALSE)</f>
        <v>7.1829857999999996E-2</v>
      </c>
      <c r="BJ198" s="5">
        <f ca="1">+VLOOKUP($BG198,INDIRECT(Adrese!D$2),8,FALSE)</f>
        <v>7.1638514E-2</v>
      </c>
      <c r="BK198" s="5">
        <f ca="1">+VLOOKUP($BG198,INDIRECT(Adrese!E$2),8,FALSE)</f>
        <v>7.1781569000000003E-2</v>
      </c>
      <c r="BL198" s="5">
        <f ca="1">+VLOOKUP($BG198,INDIRECT(Adrese!F$2),8,FALSE)</f>
        <v>7.1581091999999999E-2</v>
      </c>
      <c r="BM198" s="5" t="str">
        <f t="shared" ca="1" si="80"/>
        <v>0.07 (0.00)</v>
      </c>
      <c r="BN198" s="5">
        <f t="shared" ca="1" si="69"/>
        <v>7.164759681030082E-2</v>
      </c>
      <c r="BO198" s="5">
        <f t="shared" ca="1" si="81"/>
        <v>1.6851072469305169E-4</v>
      </c>
      <c r="BQ198" t="s">
        <v>250</v>
      </c>
      <c r="BR198" s="5">
        <f ca="1">+VLOOKUP($BG198,INDIRECT(Adrese!B$2),9,FALSE)</f>
        <v>3.9678631813133532E-2</v>
      </c>
      <c r="BS198" s="5">
        <f ca="1">+VLOOKUP($BG198,INDIRECT(Adrese!C$2),9,FALSE)</f>
        <v>4.0070358E-2</v>
      </c>
      <c r="BT198" s="5">
        <f ca="1">+VLOOKUP($BG198,INDIRECT(Adrese!D$2),9,FALSE)</f>
        <v>3.9555568999999999E-2</v>
      </c>
      <c r="BU198" s="5">
        <f ca="1">+VLOOKUP($BG198,INDIRECT(Adrese!E$2),9,FALSE)</f>
        <v>3.9992575000000002E-2</v>
      </c>
      <c r="BV198" s="5">
        <f ca="1">+VLOOKUP($BG198,INDIRECT(Adrese!F$2),9,FALSE)</f>
        <v>3.9867670000000001E-2</v>
      </c>
      <c r="BW198" s="5" t="str">
        <f t="shared" ca="1" si="82"/>
        <v>0.04 (0.00)</v>
      </c>
      <c r="BX198" s="5">
        <f t="shared" ca="1" si="70"/>
        <v>3.9832960762626705E-2</v>
      </c>
      <c r="BY198" s="5">
        <f t="shared" ca="1" si="83"/>
        <v>2.1436096826882062E-4</v>
      </c>
    </row>
    <row r="199" spans="1:77" x14ac:dyDescent="0.25">
      <c r="A199" t="s">
        <v>251</v>
      </c>
      <c r="B199" s="12">
        <f ca="1">+VLOOKUP($A199,INDIRECT(Adrese!B$2),2,FALSE)</f>
        <v>197</v>
      </c>
      <c r="C199" s="12">
        <f ca="1">+VLOOKUP($A199,INDIRECT(Adrese!C$2),2,FALSE)</f>
        <v>202</v>
      </c>
      <c r="D199" s="12">
        <f ca="1">+VLOOKUP($A199,INDIRECT(Adrese!D$2),2,FALSE)</f>
        <v>199</v>
      </c>
      <c r="E199" s="12">
        <f ca="1">+VLOOKUP($A199,INDIRECT(Adrese!E$2),2,FALSE)</f>
        <v>201</v>
      </c>
      <c r="F199" s="12">
        <f ca="1">+VLOOKUP($A199,INDIRECT(Adrese!F$2),2,FALSE)</f>
        <v>201</v>
      </c>
      <c r="G199" s="5">
        <f t="shared" ca="1" si="63"/>
        <v>200</v>
      </c>
      <c r="H199" s="5">
        <f t="shared" ca="1" si="71"/>
        <v>2</v>
      </c>
      <c r="J199" t="s">
        <v>251</v>
      </c>
      <c r="K199">
        <f ca="1">+VLOOKUP($A199,INDIRECT(Adrese!B$2),3,FALSE)</f>
        <v>116</v>
      </c>
      <c r="L199">
        <f ca="1">+VLOOKUP($A199,INDIRECT(Adrese!C$2),3,FALSE)</f>
        <v>118</v>
      </c>
      <c r="M199">
        <f ca="1">+VLOOKUP($A199,INDIRECT(Adrese!D$2),3,FALSE)</f>
        <v>118</v>
      </c>
      <c r="N199">
        <f ca="1">+VLOOKUP($A199,INDIRECT(Adrese!E$2),3,FALSE)</f>
        <v>121</v>
      </c>
      <c r="O199">
        <f ca="1">+VLOOKUP($A199,INDIRECT(Adrese!F$2),3,FALSE)</f>
        <v>117</v>
      </c>
      <c r="P199" s="5">
        <f t="shared" ca="1" si="64"/>
        <v>118</v>
      </c>
      <c r="Q199" s="5">
        <f t="shared" ca="1" si="72"/>
        <v>1.8708286933869707</v>
      </c>
      <c r="T199" t="s">
        <v>251</v>
      </c>
      <c r="U199">
        <f ca="1">+VLOOKUP($T199,INDIRECT(Adrese!B$2),4,FALSE)</f>
        <v>86330</v>
      </c>
      <c r="V199">
        <f ca="1">+VLOOKUP($T199,INDIRECT(Adrese!C$2),4,FALSE)</f>
        <v>85900</v>
      </c>
      <c r="W199">
        <f ca="1">+VLOOKUP($T199,INDIRECT(Adrese!D$2),4,FALSE)</f>
        <v>86003</v>
      </c>
      <c r="X199">
        <f ca="1">+VLOOKUP($T199,INDIRECT(Adrese!E$2),4,FALSE)</f>
        <v>86373</v>
      </c>
      <c r="Y199">
        <f ca="1">+VLOOKUP($T199,INDIRECT(Adrese!F$2),4,FALSE)</f>
        <v>85968</v>
      </c>
      <c r="Z199">
        <f t="shared" ca="1" si="73"/>
        <v>430574</v>
      </c>
      <c r="AA199" s="5">
        <f t="shared" ca="1" si="65"/>
        <v>86114.8</v>
      </c>
      <c r="AB199" s="5">
        <f t="shared" ca="1" si="74"/>
        <v>219.75372579321606</v>
      </c>
      <c r="AD199" t="s">
        <v>251</v>
      </c>
      <c r="AE199">
        <f ca="1">+VLOOKUP($A199,INDIRECT(Adrese!B$2),5,FALSE)</f>
        <v>4511</v>
      </c>
      <c r="AF199">
        <f ca="1">+VLOOKUP($A199,INDIRECT(Adrese!C$2),5,FALSE)</f>
        <v>4501</v>
      </c>
      <c r="AG199">
        <f ca="1">+VLOOKUP($A199,INDIRECT(Adrese!D$2),5,FALSE)</f>
        <v>4526</v>
      </c>
      <c r="AH199">
        <f ca="1">+VLOOKUP($A199,INDIRECT(Adrese!E$2),5,FALSE)</f>
        <v>4493</v>
      </c>
      <c r="AI199">
        <f ca="1">+VLOOKUP($A199,INDIRECT(Adrese!F$2),5,FALSE)</f>
        <v>4583</v>
      </c>
      <c r="AJ199" s="5">
        <f t="shared" ca="1" si="66"/>
        <v>4522.8</v>
      </c>
      <c r="AK199" s="5">
        <f t="shared" ca="1" si="75"/>
        <v>35.835736353534024</v>
      </c>
      <c r="AM199" t="s">
        <v>251</v>
      </c>
      <c r="AN199" s="5">
        <f ca="1">+VLOOKUP($A199,INDIRECT(Adrese!B$2),6,FALSE)</f>
        <v>9.9247787610619476E-2</v>
      </c>
      <c r="AO199" s="5">
        <f ca="1">+VLOOKUP($A199,INDIRECT(Adrese!C$2),6,FALSE)</f>
        <v>9.9137167999999998E-2</v>
      </c>
      <c r="AP199" s="5">
        <f ca="1">+VLOOKUP($A199,INDIRECT(Adrese!D$2),6,FALSE)</f>
        <v>9.9623894000000005E-2</v>
      </c>
      <c r="AQ199" s="5">
        <f ca="1">+VLOOKUP($A199,INDIRECT(Adrese!E$2),6,FALSE)</f>
        <v>9.9004424999999993E-2</v>
      </c>
      <c r="AR199" s="5">
        <f ca="1">+VLOOKUP($A199,INDIRECT(Adrese!F$2),6,FALSE)</f>
        <v>0.101017699</v>
      </c>
      <c r="AS199" s="5" t="str">
        <f t="shared" ca="1" si="76"/>
        <v>0.10 (0.00)</v>
      </c>
      <c r="AT199" s="5">
        <f t="shared" ca="1" si="67"/>
        <v>9.9606194722123897E-2</v>
      </c>
      <c r="AU199" s="5">
        <f t="shared" ca="1" si="77"/>
        <v>8.2207452718841044E-4</v>
      </c>
      <c r="AW199" t="s">
        <v>251</v>
      </c>
      <c r="AX199" s="5">
        <f ca="1">+VLOOKUP($A199,INDIRECT(Adrese!B$2),7,FALSE)</f>
        <v>0.48672566371681408</v>
      </c>
      <c r="AY199" s="5">
        <f ca="1">+VLOOKUP($A199,INDIRECT(Adrese!C$2),7,FALSE)</f>
        <v>0.47787610600000002</v>
      </c>
      <c r="AZ199" s="5">
        <f ca="1">+VLOOKUP($A199,INDIRECT(Adrese!D$2),7,FALSE)</f>
        <v>0.47787610600000002</v>
      </c>
      <c r="BA199" s="5">
        <f ca="1">+VLOOKUP($A199,INDIRECT(Adrese!E$2),7,FALSE)</f>
        <v>0.46460177000000003</v>
      </c>
      <c r="BB199" s="5">
        <f ca="1">+VLOOKUP($A199,INDIRECT(Adrese!F$2),7,FALSE)</f>
        <v>0.48230088500000001</v>
      </c>
      <c r="BC199" s="5" t="str">
        <f t="shared" ca="1" si="78"/>
        <v>0.48 (0.01)</v>
      </c>
      <c r="BD199">
        <f t="shared" ca="1" si="68"/>
        <v>0.47787610614336284</v>
      </c>
      <c r="BE199" s="5">
        <f t="shared" ca="1" si="79"/>
        <v>8.2780030385196171E-3</v>
      </c>
      <c r="BG199" t="s">
        <v>251</v>
      </c>
      <c r="BH199" s="5">
        <f ca="1">+VLOOKUP($BG199,INDIRECT(Adrese!B$2),8,FALSE)</f>
        <v>8.850589202249369E-3</v>
      </c>
      <c r="BI199" s="5">
        <f ca="1">+VLOOKUP($BG199,INDIRECT(Adrese!C$2),8,FALSE)</f>
        <v>8.8668540000000004E-3</v>
      </c>
      <c r="BJ199" s="5">
        <f ca="1">+VLOOKUP($BG199,INDIRECT(Adrese!D$2),8,FALSE)</f>
        <v>8.9470910000000008E-3</v>
      </c>
      <c r="BK199" s="5">
        <f ca="1">+VLOOKUP($BG199,INDIRECT(Adrese!E$2),8,FALSE)</f>
        <v>8.8830660000000002E-3</v>
      </c>
      <c r="BL199" s="5">
        <f ca="1">+VLOOKUP($BG199,INDIRECT(Adrese!F$2),8,FALSE)</f>
        <v>9.1408059999999996E-3</v>
      </c>
      <c r="BM199" s="5" t="str">
        <f t="shared" ca="1" si="80"/>
        <v>0.01 (0.00)</v>
      </c>
      <c r="BN199" s="5">
        <f t="shared" ca="1" si="69"/>
        <v>8.9376812404498747E-3</v>
      </c>
      <c r="BO199" s="5">
        <f t="shared" ca="1" si="81"/>
        <v>1.1930272116987472E-4</v>
      </c>
      <c r="BQ199" t="s">
        <v>251</v>
      </c>
      <c r="BR199" s="5">
        <f ca="1">+VLOOKUP($BG199,INDIRECT(Adrese!B$2),9,FALSE)</f>
        <v>-6.1864017599026183E-2</v>
      </c>
      <c r="BS199" s="5">
        <f ca="1">+VLOOKUP($BG199,INDIRECT(Adrese!C$2),9,FALSE)</f>
        <v>-6.1723714999999998E-2</v>
      </c>
      <c r="BT199" s="5">
        <f ca="1">+VLOOKUP($BG199,INDIRECT(Adrese!D$2),9,FALSE)</f>
        <v>-6.1178286999999998E-2</v>
      </c>
      <c r="BU199" s="5">
        <f ca="1">+VLOOKUP($BG199,INDIRECT(Adrese!E$2),9,FALSE)</f>
        <v>-6.1598903000000003E-2</v>
      </c>
      <c r="BV199" s="5">
        <f ca="1">+VLOOKUP($BG199,INDIRECT(Adrese!F$2),9,FALSE)</f>
        <v>-6.1109615999999999E-2</v>
      </c>
      <c r="BW199" s="5" t="str">
        <f t="shared" ca="1" si="82"/>
        <v>-0.06 (0.00)</v>
      </c>
      <c r="BX199" s="5">
        <f t="shared" ca="1" si="70"/>
        <v>-6.1494907719805238E-2</v>
      </c>
      <c r="BY199" s="5">
        <f t="shared" ca="1" si="83"/>
        <v>3.3470445256669339E-4</v>
      </c>
    </row>
    <row r="200" spans="1:77" x14ac:dyDescent="0.25">
      <c r="A200" t="s">
        <v>252</v>
      </c>
      <c r="B200" s="12">
        <f ca="1">+VLOOKUP($A200,INDIRECT(Adrese!B$2),2,FALSE)</f>
        <v>198</v>
      </c>
      <c r="C200" s="12">
        <f ca="1">+VLOOKUP($A200,INDIRECT(Adrese!C$2),2,FALSE)</f>
        <v>201</v>
      </c>
      <c r="D200" s="12">
        <f ca="1">+VLOOKUP($A200,INDIRECT(Adrese!D$2),2,FALSE)</f>
        <v>197</v>
      </c>
      <c r="E200" s="12">
        <f ca="1">+VLOOKUP($A200,INDIRECT(Adrese!E$2),2,FALSE)</f>
        <v>197</v>
      </c>
      <c r="F200" s="12">
        <f ca="1">+VLOOKUP($A200,INDIRECT(Adrese!F$2),2,FALSE)</f>
        <v>198</v>
      </c>
      <c r="G200" s="5">
        <f t="shared" ca="1" si="63"/>
        <v>198.2</v>
      </c>
      <c r="H200" s="5">
        <f t="shared" ca="1" si="71"/>
        <v>1.6431676725154984</v>
      </c>
      <c r="J200" t="s">
        <v>252</v>
      </c>
      <c r="K200">
        <f ca="1">+VLOOKUP($A200,INDIRECT(Adrese!B$2),3,FALSE)</f>
        <v>83</v>
      </c>
      <c r="L200">
        <f ca="1">+VLOOKUP($A200,INDIRECT(Adrese!C$2),3,FALSE)</f>
        <v>85</v>
      </c>
      <c r="M200">
        <f ca="1">+VLOOKUP($A200,INDIRECT(Adrese!D$2),3,FALSE)</f>
        <v>86</v>
      </c>
      <c r="N200">
        <f ca="1">+VLOOKUP($A200,INDIRECT(Adrese!E$2),3,FALSE)</f>
        <v>87</v>
      </c>
      <c r="O200">
        <f ca="1">+VLOOKUP($A200,INDIRECT(Adrese!F$2),3,FALSE)</f>
        <v>83</v>
      </c>
      <c r="P200" s="5">
        <f t="shared" ca="1" si="64"/>
        <v>84.8</v>
      </c>
      <c r="Q200" s="5">
        <f t="shared" ca="1" si="72"/>
        <v>1.7888543819998317</v>
      </c>
      <c r="T200" t="s">
        <v>252</v>
      </c>
      <c r="U200">
        <f ca="1">+VLOOKUP($T200,INDIRECT(Adrese!B$2),4,FALSE)</f>
        <v>86056</v>
      </c>
      <c r="V200">
        <f ca="1">+VLOOKUP($T200,INDIRECT(Adrese!C$2),4,FALSE)</f>
        <v>85942</v>
      </c>
      <c r="W200">
        <f ca="1">+VLOOKUP($T200,INDIRECT(Adrese!D$2),4,FALSE)</f>
        <v>86119</v>
      </c>
      <c r="X200">
        <f ca="1">+VLOOKUP($T200,INDIRECT(Adrese!E$2),4,FALSE)</f>
        <v>86745</v>
      </c>
      <c r="Y200">
        <f ca="1">+VLOOKUP($T200,INDIRECT(Adrese!F$2),4,FALSE)</f>
        <v>86499</v>
      </c>
      <c r="Z200">
        <f t="shared" ca="1" si="73"/>
        <v>431361</v>
      </c>
      <c r="AA200" s="5">
        <f t="shared" ca="1" si="65"/>
        <v>86272.2</v>
      </c>
      <c r="AB200" s="5">
        <f t="shared" ca="1" si="74"/>
        <v>336.98026648455249</v>
      </c>
      <c r="AD200" t="s">
        <v>252</v>
      </c>
      <c r="AE200">
        <f ca="1">+VLOOKUP($A200,INDIRECT(Adrese!B$2),5,FALSE)</f>
        <v>22700</v>
      </c>
      <c r="AF200">
        <f ca="1">+VLOOKUP($A200,INDIRECT(Adrese!C$2),5,FALSE)</f>
        <v>22700</v>
      </c>
      <c r="AG200">
        <f ca="1">+VLOOKUP($A200,INDIRECT(Adrese!D$2),5,FALSE)</f>
        <v>22700</v>
      </c>
      <c r="AH200">
        <f ca="1">+VLOOKUP($A200,INDIRECT(Adrese!E$2),5,FALSE)</f>
        <v>22700</v>
      </c>
      <c r="AI200">
        <f ca="1">+VLOOKUP($A200,INDIRECT(Adrese!F$2),5,FALSE)</f>
        <v>22700</v>
      </c>
      <c r="AJ200" s="5">
        <f t="shared" ca="1" si="66"/>
        <v>22700</v>
      </c>
      <c r="AK200" s="5">
        <f t="shared" ca="1" si="75"/>
        <v>0</v>
      </c>
      <c r="AM200" t="s">
        <v>252</v>
      </c>
      <c r="AN200" s="5">
        <f ca="1">+VLOOKUP($A200,INDIRECT(Adrese!B$2),6,FALSE)</f>
        <v>0.5</v>
      </c>
      <c r="AO200" s="5">
        <f ca="1">+VLOOKUP($A200,INDIRECT(Adrese!C$2),6,FALSE)</f>
        <v>0.5</v>
      </c>
      <c r="AP200" s="5">
        <f ca="1">+VLOOKUP($A200,INDIRECT(Adrese!D$2),6,FALSE)</f>
        <v>0.5</v>
      </c>
      <c r="AQ200" s="5">
        <f ca="1">+VLOOKUP($A200,INDIRECT(Adrese!E$2),6,FALSE)</f>
        <v>0.5</v>
      </c>
      <c r="AR200" s="5">
        <f ca="1">+VLOOKUP($A200,INDIRECT(Adrese!F$2),6,FALSE)</f>
        <v>0.5</v>
      </c>
      <c r="AS200" s="5" t="str">
        <f t="shared" ca="1" si="76"/>
        <v>0.50 (0.00)</v>
      </c>
      <c r="AT200" s="5">
        <f t="shared" ca="1" si="67"/>
        <v>0.5</v>
      </c>
      <c r="AU200" s="5">
        <f t="shared" ca="1" si="77"/>
        <v>0</v>
      </c>
      <c r="AW200" t="s">
        <v>252</v>
      </c>
      <c r="AX200" s="5">
        <f ca="1">+VLOOKUP($A200,INDIRECT(Adrese!B$2),7,FALSE)</f>
        <v>0.63274336283185839</v>
      </c>
      <c r="AY200" s="5">
        <f ca="1">+VLOOKUP($A200,INDIRECT(Adrese!C$2),7,FALSE)</f>
        <v>0.62389380500000002</v>
      </c>
      <c r="AZ200" s="5">
        <f ca="1">+VLOOKUP($A200,INDIRECT(Adrese!D$2),7,FALSE)</f>
        <v>0.61946902699999995</v>
      </c>
      <c r="BA200" s="5">
        <f ca="1">+VLOOKUP($A200,INDIRECT(Adrese!E$2),7,FALSE)</f>
        <v>0.61504424800000002</v>
      </c>
      <c r="BB200" s="5">
        <f ca="1">+VLOOKUP($A200,INDIRECT(Adrese!F$2),7,FALSE)</f>
        <v>0.632743363</v>
      </c>
      <c r="BC200" s="5" t="str">
        <f t="shared" ca="1" si="78"/>
        <v>0.62 (0.01)</v>
      </c>
      <c r="BD200">
        <f t="shared" ca="1" si="68"/>
        <v>0.62477876116637165</v>
      </c>
      <c r="BE200" s="5">
        <f t="shared" ca="1" si="79"/>
        <v>7.9152847860690899E-3</v>
      </c>
      <c r="BG200" t="s">
        <v>252</v>
      </c>
      <c r="BH200" s="5">
        <f ca="1">+VLOOKUP($BG200,INDIRECT(Adrese!B$2),8,FALSE)</f>
        <v>4.4897058916053022E-2</v>
      </c>
      <c r="BI200" s="5">
        <f ca="1">+VLOOKUP($BG200,INDIRECT(Adrese!C$2),8,FALSE)</f>
        <v>4.4898209000000001E-2</v>
      </c>
      <c r="BJ200" s="5">
        <f ca="1">+VLOOKUP($BG200,INDIRECT(Adrese!D$2),8,FALSE)</f>
        <v>4.4918474999999999E-2</v>
      </c>
      <c r="BK200" s="5">
        <f ca="1">+VLOOKUP($BG200,INDIRECT(Adrese!E$2),8,FALSE)</f>
        <v>4.4894798E-2</v>
      </c>
      <c r="BL200" s="5">
        <f ca="1">+VLOOKUP($BG200,INDIRECT(Adrese!F$2),8,FALSE)</f>
        <v>4.4985715000000003E-2</v>
      </c>
      <c r="BM200" s="5" t="str">
        <f t="shared" ca="1" si="80"/>
        <v>0.04 (0.00)</v>
      </c>
      <c r="BN200" s="5">
        <f t="shared" ca="1" si="69"/>
        <v>4.4918851183210609E-2</v>
      </c>
      <c r="BO200" s="5">
        <f t="shared" ca="1" si="81"/>
        <v>3.8569644046790904E-5</v>
      </c>
      <c r="BQ200" t="s">
        <v>252</v>
      </c>
      <c r="BR200" s="5">
        <f ca="1">+VLOOKUP($BG200,INDIRECT(Adrese!B$2),9,FALSE)</f>
        <v>0</v>
      </c>
      <c r="BS200" s="5">
        <f ca="1">+VLOOKUP($BG200,INDIRECT(Adrese!C$2),9,FALSE)</f>
        <v>0</v>
      </c>
      <c r="BT200" s="5">
        <f ca="1">+VLOOKUP($BG200,INDIRECT(Adrese!D$2),9,FALSE)</f>
        <v>0</v>
      </c>
      <c r="BU200" s="5">
        <f ca="1">+VLOOKUP($BG200,INDIRECT(Adrese!E$2),9,FALSE)</f>
        <v>0</v>
      </c>
      <c r="BV200" s="5">
        <f ca="1">+VLOOKUP($BG200,INDIRECT(Adrese!F$2),9,FALSE)</f>
        <v>0</v>
      </c>
      <c r="BW200" s="5" t="str">
        <f t="shared" ca="1" si="82"/>
        <v>0.00 (0.00)</v>
      </c>
      <c r="BX200" s="5">
        <f t="shared" ca="1" si="70"/>
        <v>0</v>
      </c>
      <c r="BY200" s="5">
        <f t="shared" ca="1" si="83"/>
        <v>0</v>
      </c>
    </row>
    <row r="201" spans="1:77" x14ac:dyDescent="0.25">
      <c r="A201" t="s">
        <v>253</v>
      </c>
      <c r="B201" s="12">
        <f ca="1">+VLOOKUP($A201,INDIRECT(Adrese!B$2),2,FALSE)</f>
        <v>199</v>
      </c>
      <c r="C201" s="12">
        <f ca="1">+VLOOKUP($A201,INDIRECT(Adrese!C$2),2,FALSE)</f>
        <v>196</v>
      </c>
      <c r="D201" s="12">
        <f ca="1">+VLOOKUP($A201,INDIRECT(Adrese!D$2),2,FALSE)</f>
        <v>196</v>
      </c>
      <c r="E201" s="12">
        <f ca="1">+VLOOKUP($A201,INDIRECT(Adrese!E$2),2,FALSE)</f>
        <v>195</v>
      </c>
      <c r="F201" s="12">
        <f ca="1">+VLOOKUP($A201,INDIRECT(Adrese!F$2),2,FALSE)</f>
        <v>196</v>
      </c>
      <c r="G201" s="5">
        <f t="shared" ca="1" si="63"/>
        <v>196.4</v>
      </c>
      <c r="H201" s="5">
        <f t="shared" ca="1" si="71"/>
        <v>1.51657508881031</v>
      </c>
      <c r="J201" t="s">
        <v>253</v>
      </c>
      <c r="K201">
        <f ca="1">+VLOOKUP($A201,INDIRECT(Adrese!B$2),3,FALSE)</f>
        <v>61</v>
      </c>
      <c r="L201">
        <f ca="1">+VLOOKUP($A201,INDIRECT(Adrese!C$2),3,FALSE)</f>
        <v>62</v>
      </c>
      <c r="M201">
        <f ca="1">+VLOOKUP($A201,INDIRECT(Adrese!D$2),3,FALSE)</f>
        <v>59</v>
      </c>
      <c r="N201">
        <f ca="1">+VLOOKUP($A201,INDIRECT(Adrese!E$2),3,FALSE)</f>
        <v>62</v>
      </c>
      <c r="O201">
        <f ca="1">+VLOOKUP($A201,INDIRECT(Adrese!F$2),3,FALSE)</f>
        <v>62</v>
      </c>
      <c r="P201" s="5">
        <f t="shared" ca="1" si="64"/>
        <v>61.2</v>
      </c>
      <c r="Q201" s="5">
        <f t="shared" ca="1" si="72"/>
        <v>1.3038404810405297</v>
      </c>
      <c r="T201" t="s">
        <v>253</v>
      </c>
      <c r="U201">
        <f ca="1">+VLOOKUP($T201,INDIRECT(Adrese!B$2),4,FALSE)</f>
        <v>85954</v>
      </c>
      <c r="V201">
        <f ca="1">+VLOOKUP($T201,INDIRECT(Adrese!C$2),4,FALSE)</f>
        <v>86821</v>
      </c>
      <c r="W201">
        <f ca="1">+VLOOKUP($T201,INDIRECT(Adrese!D$2),4,FALSE)</f>
        <v>86195</v>
      </c>
      <c r="X201">
        <f ca="1">+VLOOKUP($T201,INDIRECT(Adrese!E$2),4,FALSE)</f>
        <v>86807</v>
      </c>
      <c r="Y201">
        <f ca="1">+VLOOKUP($T201,INDIRECT(Adrese!F$2),4,FALSE)</f>
        <v>86960</v>
      </c>
      <c r="Z201">
        <f t="shared" ca="1" si="73"/>
        <v>432737</v>
      </c>
      <c r="AA201" s="5">
        <f t="shared" ca="1" si="65"/>
        <v>86547.4</v>
      </c>
      <c r="AB201" s="5">
        <f t="shared" ca="1" si="74"/>
        <v>444.07127806242994</v>
      </c>
      <c r="AD201" t="s">
        <v>253</v>
      </c>
      <c r="AE201">
        <f ca="1">+VLOOKUP($A201,INDIRECT(Adrese!B$2),5,FALSE)</f>
        <v>40860</v>
      </c>
      <c r="AF201">
        <f ca="1">+VLOOKUP($A201,INDIRECT(Adrese!C$2),5,FALSE)</f>
        <v>40860</v>
      </c>
      <c r="AG201">
        <f ca="1">+VLOOKUP($A201,INDIRECT(Adrese!D$2),5,FALSE)</f>
        <v>40860</v>
      </c>
      <c r="AH201">
        <f ca="1">+VLOOKUP($A201,INDIRECT(Adrese!E$2),5,FALSE)</f>
        <v>40860</v>
      </c>
      <c r="AI201">
        <f ca="1">+VLOOKUP($A201,INDIRECT(Adrese!F$2),5,FALSE)</f>
        <v>40860</v>
      </c>
      <c r="AJ201" s="5">
        <f t="shared" ca="1" si="66"/>
        <v>40860</v>
      </c>
      <c r="AK201" s="5">
        <f t="shared" ca="1" si="75"/>
        <v>0</v>
      </c>
      <c r="AM201" t="s">
        <v>253</v>
      </c>
      <c r="AN201" s="5">
        <f ca="1">+VLOOKUP($A201,INDIRECT(Adrese!B$2),6,FALSE)</f>
        <v>0.9</v>
      </c>
      <c r="AO201" s="5">
        <f ca="1">+VLOOKUP($A201,INDIRECT(Adrese!C$2),6,FALSE)</f>
        <v>0.9</v>
      </c>
      <c r="AP201" s="5">
        <f ca="1">+VLOOKUP($A201,INDIRECT(Adrese!D$2),6,FALSE)</f>
        <v>0.9</v>
      </c>
      <c r="AQ201" s="5">
        <f ca="1">+VLOOKUP($A201,INDIRECT(Adrese!E$2),6,FALSE)</f>
        <v>0.9</v>
      </c>
      <c r="AR201" s="5">
        <f ca="1">+VLOOKUP($A201,INDIRECT(Adrese!F$2),6,FALSE)</f>
        <v>0.9</v>
      </c>
      <c r="AS201" s="5" t="str">
        <f t="shared" ca="1" si="76"/>
        <v>0.90 (0.00)</v>
      </c>
      <c r="AT201" s="5">
        <f t="shared" ca="1" si="67"/>
        <v>0.9</v>
      </c>
      <c r="AU201" s="5">
        <f t="shared" ca="1" si="77"/>
        <v>0</v>
      </c>
      <c r="AW201" t="s">
        <v>253</v>
      </c>
      <c r="AX201" s="5">
        <f ca="1">+VLOOKUP($A201,INDIRECT(Adrese!B$2),7,FALSE)</f>
        <v>0.73008849557522126</v>
      </c>
      <c r="AY201" s="5">
        <f ca="1">+VLOOKUP($A201,INDIRECT(Adrese!C$2),7,FALSE)</f>
        <v>0.72566371699999999</v>
      </c>
      <c r="AZ201" s="5">
        <f ca="1">+VLOOKUP($A201,INDIRECT(Adrese!D$2),7,FALSE)</f>
        <v>0.73893805300000004</v>
      </c>
      <c r="BA201" s="5">
        <f ca="1">+VLOOKUP($A201,INDIRECT(Adrese!E$2),7,FALSE)</f>
        <v>0.72566371699999999</v>
      </c>
      <c r="BB201" s="5">
        <f ca="1">+VLOOKUP($A201,INDIRECT(Adrese!F$2),7,FALSE)</f>
        <v>0.72566371699999999</v>
      </c>
      <c r="BC201" s="5" t="str">
        <f t="shared" ca="1" si="78"/>
        <v>0.73 (0.01)</v>
      </c>
      <c r="BD201">
        <f t="shared" ca="1" si="68"/>
        <v>0.72920353991504427</v>
      </c>
      <c r="BE201" s="5">
        <f t="shared" ca="1" si="79"/>
        <v>5.769205541737793E-3</v>
      </c>
      <c r="BG201" t="s">
        <v>253</v>
      </c>
      <c r="BH201" s="5">
        <f ca="1">+VLOOKUP($BG201,INDIRECT(Adrese!B$2),8,FALSE)</f>
        <v>8.0814706048895416E-2</v>
      </c>
      <c r="BI201" s="5">
        <f ca="1">+VLOOKUP($BG201,INDIRECT(Adrese!C$2),8,FALSE)</f>
        <v>8.0816776000000007E-2</v>
      </c>
      <c r="BJ201" s="5">
        <f ca="1">+VLOOKUP($BG201,INDIRECT(Adrese!D$2),8,FALSE)</f>
        <v>8.0853254999999999E-2</v>
      </c>
      <c r="BK201" s="5">
        <f ca="1">+VLOOKUP($BG201,INDIRECT(Adrese!E$2),8,FALSE)</f>
        <v>8.0810636000000005E-2</v>
      </c>
      <c r="BL201" s="5">
        <f ca="1">+VLOOKUP($BG201,INDIRECT(Adrese!F$2),8,FALSE)</f>
        <v>8.0974287000000006E-2</v>
      </c>
      <c r="BM201" s="5" t="str">
        <f t="shared" ca="1" si="80"/>
        <v>0.08 (0.00)</v>
      </c>
      <c r="BN201" s="5">
        <f t="shared" ca="1" si="69"/>
        <v>8.0853932009779084E-2</v>
      </c>
      <c r="BO201" s="5">
        <f t="shared" ca="1" si="81"/>
        <v>6.9425448407012903E-5</v>
      </c>
      <c r="BQ201" t="s">
        <v>253</v>
      </c>
      <c r="BR201" s="5">
        <f ca="1">+VLOOKUP($BG201,INDIRECT(Adrese!B$2),9,FALSE)</f>
        <v>6.138197107698689E-2</v>
      </c>
      <c r="BS201" s="5">
        <f ca="1">+VLOOKUP($BG201,INDIRECT(Adrese!C$2),9,FALSE)</f>
        <v>6.1447267999999999E-2</v>
      </c>
      <c r="BT201" s="5">
        <f ca="1">+VLOOKUP($BG201,INDIRECT(Adrese!D$2),9,FALSE)</f>
        <v>6.1216135999999997E-2</v>
      </c>
      <c r="BU201" s="5">
        <f ca="1">+VLOOKUP($BG201,INDIRECT(Adrese!E$2),9,FALSE)</f>
        <v>6.1452095999999998E-2</v>
      </c>
      <c r="BV201" s="5">
        <f ca="1">+VLOOKUP($BG201,INDIRECT(Adrese!F$2),9,FALSE)</f>
        <v>6.1544568000000001E-2</v>
      </c>
      <c r="BW201" s="5" t="str">
        <f t="shared" ca="1" si="82"/>
        <v>0.06 (0.00)</v>
      </c>
      <c r="BX201" s="5">
        <f t="shared" ca="1" si="70"/>
        <v>6.140840781539738E-2</v>
      </c>
      <c r="BY201" s="5">
        <f t="shared" ca="1" si="83"/>
        <v>1.2209189103522779E-4</v>
      </c>
    </row>
    <row r="202" spans="1:77" x14ac:dyDescent="0.25">
      <c r="A202" t="s">
        <v>254</v>
      </c>
      <c r="B202" s="12">
        <f ca="1">+VLOOKUP($A202,INDIRECT(Adrese!B$2),2,FALSE)</f>
        <v>200</v>
      </c>
      <c r="C202" s="12">
        <f ca="1">+VLOOKUP($A202,INDIRECT(Adrese!C$2),2,FALSE)</f>
        <v>199</v>
      </c>
      <c r="D202" s="12">
        <f ca="1">+VLOOKUP($A202,INDIRECT(Adrese!D$2),2,FALSE)</f>
        <v>195</v>
      </c>
      <c r="E202" s="12">
        <f ca="1">+VLOOKUP($A202,INDIRECT(Adrese!E$2),2,FALSE)</f>
        <v>196</v>
      </c>
      <c r="F202" s="12">
        <f ca="1">+VLOOKUP($A202,INDIRECT(Adrese!F$2),2,FALSE)</f>
        <v>204</v>
      </c>
      <c r="G202" s="5">
        <f t="shared" ca="1" si="63"/>
        <v>198.8</v>
      </c>
      <c r="H202" s="5">
        <f t="shared" ca="1" si="71"/>
        <v>3.5637059362410923</v>
      </c>
      <c r="J202" t="s">
        <v>254</v>
      </c>
      <c r="K202">
        <f ca="1">+VLOOKUP($A202,INDIRECT(Adrese!B$2),3,FALSE)</f>
        <v>209</v>
      </c>
      <c r="L202">
        <f ca="1">+VLOOKUP($A202,INDIRECT(Adrese!C$2),3,FALSE)</f>
        <v>208</v>
      </c>
      <c r="M202">
        <f ca="1">+VLOOKUP($A202,INDIRECT(Adrese!D$2),3,FALSE)</f>
        <v>205</v>
      </c>
      <c r="N202">
        <f ca="1">+VLOOKUP($A202,INDIRECT(Adrese!E$2),3,FALSE)</f>
        <v>210</v>
      </c>
      <c r="O202">
        <f ca="1">+VLOOKUP($A202,INDIRECT(Adrese!F$2),3,FALSE)</f>
        <v>207</v>
      </c>
      <c r="P202" s="5">
        <f t="shared" ca="1" si="64"/>
        <v>207.8</v>
      </c>
      <c r="Q202" s="5">
        <f t="shared" ca="1" si="72"/>
        <v>1.9235384061671346</v>
      </c>
      <c r="T202" t="s">
        <v>254</v>
      </c>
      <c r="U202">
        <f ca="1">+VLOOKUP($T202,INDIRECT(Adrese!B$2),4,FALSE)</f>
        <v>85941</v>
      </c>
      <c r="V202">
        <f ca="1">+VLOOKUP($T202,INDIRECT(Adrese!C$2),4,FALSE)</f>
        <v>86060</v>
      </c>
      <c r="W202">
        <f ca="1">+VLOOKUP($T202,INDIRECT(Adrese!D$2),4,FALSE)</f>
        <v>86855</v>
      </c>
      <c r="X202">
        <f ca="1">+VLOOKUP($T202,INDIRECT(Adrese!E$2),4,FALSE)</f>
        <v>86802</v>
      </c>
      <c r="Y202">
        <f ca="1">+VLOOKUP($T202,INDIRECT(Adrese!F$2),4,FALSE)</f>
        <v>85876</v>
      </c>
      <c r="Z202">
        <f t="shared" ca="1" si="73"/>
        <v>431534</v>
      </c>
      <c r="AA202" s="5">
        <f t="shared" ca="1" si="65"/>
        <v>86306.8</v>
      </c>
      <c r="AB202" s="5">
        <f t="shared" ca="1" si="74"/>
        <v>481.15870562632449</v>
      </c>
      <c r="AD202" t="s">
        <v>254</v>
      </c>
      <c r="AE202">
        <f ca="1">+VLOOKUP($A202,INDIRECT(Adrese!B$2),5,FALSE)</f>
        <v>846</v>
      </c>
      <c r="AF202">
        <f ca="1">+VLOOKUP($A202,INDIRECT(Adrese!C$2),5,FALSE)</f>
        <v>849</v>
      </c>
      <c r="AG202">
        <f ca="1">+VLOOKUP($A202,INDIRECT(Adrese!D$2),5,FALSE)</f>
        <v>969</v>
      </c>
      <c r="AH202">
        <f ca="1">+VLOOKUP($A202,INDIRECT(Adrese!E$2),5,FALSE)</f>
        <v>845</v>
      </c>
      <c r="AI202">
        <f ca="1">+VLOOKUP($A202,INDIRECT(Adrese!F$2),5,FALSE)</f>
        <v>848</v>
      </c>
      <c r="AJ202" s="5">
        <f t="shared" ca="1" si="66"/>
        <v>871.4</v>
      </c>
      <c r="AK202" s="5">
        <f t="shared" ca="1" si="75"/>
        <v>54.582964375343337</v>
      </c>
      <c r="AM202" t="s">
        <v>254</v>
      </c>
      <c r="AN202" s="5">
        <f ca="1">+VLOOKUP($A202,INDIRECT(Adrese!B$2),6,FALSE)</f>
        <v>1.4314159292035399E-2</v>
      </c>
      <c r="AO202" s="5">
        <f ca="1">+VLOOKUP($A202,INDIRECT(Adrese!C$2),6,FALSE)</f>
        <v>1.4380531E-2</v>
      </c>
      <c r="AP202" s="5">
        <f ca="1">+VLOOKUP($A202,INDIRECT(Adrese!D$2),6,FALSE)</f>
        <v>1.7035398E-2</v>
      </c>
      <c r="AQ202" s="5">
        <f ca="1">+VLOOKUP($A202,INDIRECT(Adrese!E$2),6,FALSE)</f>
        <v>1.4292035E-2</v>
      </c>
      <c r="AR202" s="5">
        <f ca="1">+VLOOKUP($A202,INDIRECT(Adrese!F$2),6,FALSE)</f>
        <v>1.4358407E-2</v>
      </c>
      <c r="AS202" s="5" t="str">
        <f t="shared" ca="1" si="76"/>
        <v>0.01 (0.00)</v>
      </c>
      <c r="AT202" s="5">
        <f t="shared" ca="1" si="67"/>
        <v>1.487610605840708E-2</v>
      </c>
      <c r="AU202" s="5">
        <f t="shared" ca="1" si="77"/>
        <v>1.2075876585286921E-3</v>
      </c>
      <c r="AW202" t="s">
        <v>254</v>
      </c>
      <c r="AX202" s="5">
        <f ca="1">+VLOOKUP($A202,INDIRECT(Adrese!B$2),7,FALSE)</f>
        <v>7.5221238938053103E-2</v>
      </c>
      <c r="AY202" s="5">
        <f ca="1">+VLOOKUP($A202,INDIRECT(Adrese!C$2),7,FALSE)</f>
        <v>7.9646017999999999E-2</v>
      </c>
      <c r="AZ202" s="5">
        <f ca="1">+VLOOKUP($A202,INDIRECT(Adrese!D$2),7,FALSE)</f>
        <v>9.2920353999999997E-2</v>
      </c>
      <c r="BA202" s="5">
        <f ca="1">+VLOOKUP($A202,INDIRECT(Adrese!E$2),7,FALSE)</f>
        <v>7.0796460000000005E-2</v>
      </c>
      <c r="BB202" s="5">
        <f ca="1">+VLOOKUP($A202,INDIRECT(Adrese!F$2),7,FALSE)</f>
        <v>8.4070796000000003E-2</v>
      </c>
      <c r="BC202" s="5" t="str">
        <f t="shared" ca="1" si="78"/>
        <v>0.08 (0.01)</v>
      </c>
      <c r="BD202">
        <f t="shared" ca="1" si="68"/>
        <v>8.0530973387610616E-2</v>
      </c>
      <c r="BE202" s="5">
        <f t="shared" ca="1" si="79"/>
        <v>8.5112318870754853E-3</v>
      </c>
      <c r="BG202" t="s">
        <v>254</v>
      </c>
      <c r="BH202" s="5">
        <f ca="1">+VLOOKUP($BG202,INDIRECT(Adrese!B$2),8,FALSE)</f>
        <v>7.7087634490903968E-4</v>
      </c>
      <c r="BI202" s="5">
        <f ca="1">+VLOOKUP($BG202,INDIRECT(Adrese!C$2),8,FALSE)</f>
        <v>7.7744700000000001E-4</v>
      </c>
      <c r="BJ202" s="5">
        <f ca="1">+VLOOKUP($BG202,INDIRECT(Adrese!D$2),8,FALSE)</f>
        <v>1.0171889999999999E-3</v>
      </c>
      <c r="BK202" s="5">
        <f ca="1">+VLOOKUP($BG202,INDIRECT(Adrese!E$2),8,FALSE)</f>
        <v>7.7885400000000005E-4</v>
      </c>
      <c r="BL202" s="5">
        <f ca="1">+VLOOKUP($BG202,INDIRECT(Adrese!F$2),8,FALSE)</f>
        <v>7.7126500000000004E-4</v>
      </c>
      <c r="BM202" s="5" t="str">
        <f t="shared" ca="1" si="80"/>
        <v>0.00 (0.00)</v>
      </c>
      <c r="BN202" s="5">
        <f t="shared" ca="1" si="69"/>
        <v>8.2312626898180794E-4</v>
      </c>
      <c r="BO202" s="5">
        <f t="shared" ca="1" si="81"/>
        <v>1.0854333094640423E-4</v>
      </c>
      <c r="BQ202" t="s">
        <v>254</v>
      </c>
      <c r="BR202" s="5">
        <f ca="1">+VLOOKUP($BG202,INDIRECT(Adrese!B$2),9,FALSE)</f>
        <v>-7.8269908520555098E-2</v>
      </c>
      <c r="BS202" s="5">
        <f ca="1">+VLOOKUP($BG202,INDIRECT(Adrese!C$2),9,FALSE)</f>
        <v>-7.8354292000000006E-2</v>
      </c>
      <c r="BT202" s="5">
        <f ca="1">+VLOOKUP($BG202,INDIRECT(Adrese!D$2),9,FALSE)</f>
        <v>-7.7640877999999997E-2</v>
      </c>
      <c r="BU202" s="5">
        <f ca="1">+VLOOKUP($BG202,INDIRECT(Adrese!E$2),9,FALSE)</f>
        <v>-7.8335145999999994E-2</v>
      </c>
      <c r="BV202" s="5">
        <f ca="1">+VLOOKUP($BG202,INDIRECT(Adrese!F$2),9,FALSE)</f>
        <v>-7.8529768999999999E-2</v>
      </c>
      <c r="BW202" s="5" t="str">
        <f t="shared" ca="1" si="82"/>
        <v>-0.08 (0.00)</v>
      </c>
      <c r="BX202" s="5">
        <f t="shared" ca="1" si="70"/>
        <v>-7.8225998704111024E-2</v>
      </c>
      <c r="BY202" s="5">
        <f t="shared" ca="1" si="83"/>
        <v>3.4093364640129932E-4</v>
      </c>
    </row>
    <row r="203" spans="1:77" x14ac:dyDescent="0.25">
      <c r="A203" t="s">
        <v>255</v>
      </c>
      <c r="B203" s="12">
        <f ca="1">+VLOOKUP($A203,INDIRECT(Adrese!B$2),2,FALSE)</f>
        <v>201</v>
      </c>
      <c r="C203" s="12">
        <f ca="1">+VLOOKUP($A203,INDIRECT(Adrese!C$2),2,FALSE)</f>
        <v>198</v>
      </c>
      <c r="D203" s="12">
        <f ca="1">+VLOOKUP($A203,INDIRECT(Adrese!D$2),2,FALSE)</f>
        <v>210</v>
      </c>
      <c r="E203" s="12">
        <f ca="1">+VLOOKUP($A203,INDIRECT(Adrese!E$2),2,FALSE)</f>
        <v>202</v>
      </c>
      <c r="F203" s="12">
        <f ca="1">+VLOOKUP($A203,INDIRECT(Adrese!F$2),2,FALSE)</f>
        <v>214</v>
      </c>
      <c r="G203" s="5">
        <f t="shared" ca="1" si="63"/>
        <v>205</v>
      </c>
      <c r="H203" s="5">
        <f t="shared" ca="1" si="71"/>
        <v>6.7082039324993694</v>
      </c>
      <c r="J203" t="s">
        <v>255</v>
      </c>
      <c r="K203">
        <f ca="1">+VLOOKUP($A203,INDIRECT(Adrese!B$2),3,FALSE)</f>
        <v>71</v>
      </c>
      <c r="L203">
        <f ca="1">+VLOOKUP($A203,INDIRECT(Adrese!C$2),3,FALSE)</f>
        <v>74</v>
      </c>
      <c r="M203">
        <f ca="1">+VLOOKUP($A203,INDIRECT(Adrese!D$2),3,FALSE)</f>
        <v>72</v>
      </c>
      <c r="N203">
        <f ca="1">+VLOOKUP($A203,INDIRECT(Adrese!E$2),3,FALSE)</f>
        <v>72</v>
      </c>
      <c r="O203">
        <f ca="1">+VLOOKUP($A203,INDIRECT(Adrese!F$2),3,FALSE)</f>
        <v>71</v>
      </c>
      <c r="P203" s="5">
        <f t="shared" ca="1" si="64"/>
        <v>72</v>
      </c>
      <c r="Q203" s="5">
        <f t="shared" ca="1" si="72"/>
        <v>1.2247448713915889</v>
      </c>
      <c r="T203" t="s">
        <v>255</v>
      </c>
      <c r="U203">
        <f ca="1">+VLOOKUP($T203,INDIRECT(Adrese!B$2),4,FALSE)</f>
        <v>85662</v>
      </c>
      <c r="V203">
        <f ca="1">+VLOOKUP($T203,INDIRECT(Adrese!C$2),4,FALSE)</f>
        <v>86208</v>
      </c>
      <c r="W203">
        <f ca="1">+VLOOKUP($T203,INDIRECT(Adrese!D$2),4,FALSE)</f>
        <v>84795</v>
      </c>
      <c r="X203">
        <f ca="1">+VLOOKUP($T203,INDIRECT(Adrese!E$2),4,FALSE)</f>
        <v>85776</v>
      </c>
      <c r="Y203">
        <f ca="1">+VLOOKUP($T203,INDIRECT(Adrese!F$2),4,FALSE)</f>
        <v>84720</v>
      </c>
      <c r="Z203">
        <f t="shared" ca="1" si="73"/>
        <v>427161</v>
      </c>
      <c r="AA203" s="5">
        <f t="shared" ca="1" si="65"/>
        <v>85432.2</v>
      </c>
      <c r="AB203" s="5">
        <f t="shared" ca="1" si="74"/>
        <v>649.25434153342405</v>
      </c>
      <c r="AD203" t="s">
        <v>255</v>
      </c>
      <c r="AE203">
        <f ca="1">+VLOOKUP($A203,INDIRECT(Adrese!B$2),5,FALSE)</f>
        <v>22700</v>
      </c>
      <c r="AF203">
        <f ca="1">+VLOOKUP($A203,INDIRECT(Adrese!C$2),5,FALSE)</f>
        <v>22700</v>
      </c>
      <c r="AG203">
        <f ca="1">+VLOOKUP($A203,INDIRECT(Adrese!D$2),5,FALSE)</f>
        <v>22700</v>
      </c>
      <c r="AH203">
        <f ca="1">+VLOOKUP($A203,INDIRECT(Adrese!E$2),5,FALSE)</f>
        <v>22700</v>
      </c>
      <c r="AI203">
        <f ca="1">+VLOOKUP($A203,INDIRECT(Adrese!F$2),5,FALSE)</f>
        <v>22700</v>
      </c>
      <c r="AJ203" s="5">
        <f t="shared" ca="1" si="66"/>
        <v>22700</v>
      </c>
      <c r="AK203" s="5">
        <f t="shared" ca="1" si="75"/>
        <v>0</v>
      </c>
      <c r="AM203" t="s">
        <v>255</v>
      </c>
      <c r="AN203" s="5">
        <f ca="1">+VLOOKUP($A203,INDIRECT(Adrese!B$2),6,FALSE)</f>
        <v>0.5</v>
      </c>
      <c r="AO203" s="5">
        <f ca="1">+VLOOKUP($A203,INDIRECT(Adrese!C$2),6,FALSE)</f>
        <v>0.5</v>
      </c>
      <c r="AP203" s="5">
        <f ca="1">+VLOOKUP($A203,INDIRECT(Adrese!D$2),6,FALSE)</f>
        <v>0.5</v>
      </c>
      <c r="AQ203" s="5">
        <f ca="1">+VLOOKUP($A203,INDIRECT(Adrese!E$2),6,FALSE)</f>
        <v>0.5</v>
      </c>
      <c r="AR203" s="5">
        <f ca="1">+VLOOKUP($A203,INDIRECT(Adrese!F$2),6,FALSE)</f>
        <v>0.5</v>
      </c>
      <c r="AS203" s="5" t="str">
        <f t="shared" ca="1" si="76"/>
        <v>0.50 (0.00)</v>
      </c>
      <c r="AT203" s="5">
        <f t="shared" ca="1" si="67"/>
        <v>0.5</v>
      </c>
      <c r="AU203" s="5">
        <f t="shared" ca="1" si="77"/>
        <v>0</v>
      </c>
      <c r="AW203" t="s">
        <v>255</v>
      </c>
      <c r="AX203" s="5">
        <f ca="1">+VLOOKUP($A203,INDIRECT(Adrese!B$2),7,FALSE)</f>
        <v>0.68584070796460173</v>
      </c>
      <c r="AY203" s="5">
        <f ca="1">+VLOOKUP($A203,INDIRECT(Adrese!C$2),7,FALSE)</f>
        <v>0.67256637200000002</v>
      </c>
      <c r="AZ203" s="5">
        <f ca="1">+VLOOKUP($A203,INDIRECT(Adrese!D$2),7,FALSE)</f>
        <v>0.68141592900000003</v>
      </c>
      <c r="BA203" s="5">
        <f ca="1">+VLOOKUP($A203,INDIRECT(Adrese!E$2),7,FALSE)</f>
        <v>0.68141592900000003</v>
      </c>
      <c r="BB203" s="5">
        <f ca="1">+VLOOKUP($A203,INDIRECT(Adrese!F$2),7,FALSE)</f>
        <v>0.68584070799999997</v>
      </c>
      <c r="BC203" s="5" t="str">
        <f t="shared" ca="1" si="78"/>
        <v>0.68 (0.01)</v>
      </c>
      <c r="BD203">
        <f t="shared" ca="1" si="68"/>
        <v>0.68141592919292027</v>
      </c>
      <c r="BE203" s="5">
        <f t="shared" ca="1" si="79"/>
        <v>5.4192249718172571E-3</v>
      </c>
      <c r="BG203" t="s">
        <v>255</v>
      </c>
      <c r="BH203" s="5">
        <f ca="1">+VLOOKUP($BG203,INDIRECT(Adrese!B$2),8,FALSE)</f>
        <v>4.4897058916053022E-2</v>
      </c>
      <c r="BI203" s="5">
        <f ca="1">+VLOOKUP($BG203,INDIRECT(Adrese!C$2),8,FALSE)</f>
        <v>4.4898209000000001E-2</v>
      </c>
      <c r="BJ203" s="5">
        <f ca="1">+VLOOKUP($BG203,INDIRECT(Adrese!D$2),8,FALSE)</f>
        <v>4.4918474999999999E-2</v>
      </c>
      <c r="BK203" s="5">
        <f ca="1">+VLOOKUP($BG203,INDIRECT(Adrese!E$2),8,FALSE)</f>
        <v>4.4894798E-2</v>
      </c>
      <c r="BL203" s="5">
        <f ca="1">+VLOOKUP($BG203,INDIRECT(Adrese!F$2),8,FALSE)</f>
        <v>4.4985715000000003E-2</v>
      </c>
      <c r="BM203" s="5" t="str">
        <f t="shared" ca="1" si="80"/>
        <v>0.04 (0.00)</v>
      </c>
      <c r="BN203" s="5">
        <f t="shared" ca="1" si="69"/>
        <v>4.4918851183210609E-2</v>
      </c>
      <c r="BO203" s="5">
        <f t="shared" ca="1" si="81"/>
        <v>3.8569644046790904E-5</v>
      </c>
      <c r="BQ203" t="s">
        <v>255</v>
      </c>
      <c r="BR203" s="5">
        <f ca="1">+VLOOKUP($BG203,INDIRECT(Adrese!B$2),9,FALSE)</f>
        <v>0</v>
      </c>
      <c r="BS203" s="5">
        <f ca="1">+VLOOKUP($BG203,INDIRECT(Adrese!C$2),9,FALSE)</f>
        <v>0</v>
      </c>
      <c r="BT203" s="5">
        <f ca="1">+VLOOKUP($BG203,INDIRECT(Adrese!D$2),9,FALSE)</f>
        <v>0</v>
      </c>
      <c r="BU203" s="5">
        <f ca="1">+VLOOKUP($BG203,INDIRECT(Adrese!E$2),9,FALSE)</f>
        <v>0</v>
      </c>
      <c r="BV203" s="5">
        <f ca="1">+VLOOKUP($BG203,INDIRECT(Adrese!F$2),9,FALSE)</f>
        <v>0</v>
      </c>
      <c r="BW203" s="5" t="str">
        <f t="shared" ca="1" si="82"/>
        <v>0.00 (0.00)</v>
      </c>
      <c r="BX203" s="5">
        <f t="shared" ca="1" si="70"/>
        <v>0</v>
      </c>
      <c r="BY203" s="5">
        <f t="shared" ca="1" si="83"/>
        <v>0</v>
      </c>
    </row>
    <row r="204" spans="1:77" x14ac:dyDescent="0.25">
      <c r="A204" t="s">
        <v>256</v>
      </c>
      <c r="B204" s="12">
        <f ca="1">+VLOOKUP($A204,INDIRECT(Adrese!B$2),2,FALSE)</f>
        <v>202</v>
      </c>
      <c r="C204" s="12">
        <f ca="1">+VLOOKUP($A204,INDIRECT(Adrese!C$2),2,FALSE)</f>
        <v>208</v>
      </c>
      <c r="D204" s="12">
        <f ca="1">+VLOOKUP($A204,INDIRECT(Adrese!D$2),2,FALSE)</f>
        <v>209</v>
      </c>
      <c r="E204" s="12">
        <f ca="1">+VLOOKUP($A204,INDIRECT(Adrese!E$2),2,FALSE)</f>
        <v>198</v>
      </c>
      <c r="F204" s="12">
        <f ca="1">+VLOOKUP($A204,INDIRECT(Adrese!F$2),2,FALSE)</f>
        <v>206</v>
      </c>
      <c r="G204" s="5">
        <f t="shared" ca="1" si="63"/>
        <v>204.6</v>
      </c>
      <c r="H204" s="5">
        <f t="shared" ca="1" si="71"/>
        <v>4.5607017003965522</v>
      </c>
      <c r="J204" t="s">
        <v>256</v>
      </c>
      <c r="K204">
        <f ca="1">+VLOOKUP($A204,INDIRECT(Adrese!B$2),3,FALSE)</f>
        <v>190</v>
      </c>
      <c r="L204">
        <f ca="1">+VLOOKUP($A204,INDIRECT(Adrese!C$2),3,FALSE)</f>
        <v>187</v>
      </c>
      <c r="M204">
        <f ca="1">+VLOOKUP($A204,INDIRECT(Adrese!D$2),3,FALSE)</f>
        <v>192</v>
      </c>
      <c r="N204">
        <f ca="1">+VLOOKUP($A204,INDIRECT(Adrese!E$2),3,FALSE)</f>
        <v>186</v>
      </c>
      <c r="O204">
        <f ca="1">+VLOOKUP($A204,INDIRECT(Adrese!F$2),3,FALSE)</f>
        <v>185</v>
      </c>
      <c r="P204" s="5">
        <f t="shared" ca="1" si="64"/>
        <v>188</v>
      </c>
      <c r="Q204" s="5">
        <f t="shared" ca="1" si="72"/>
        <v>2.9154759474226504</v>
      </c>
      <c r="T204" t="s">
        <v>256</v>
      </c>
      <c r="U204">
        <f ca="1">+VLOOKUP($T204,INDIRECT(Adrese!B$2),4,FALSE)</f>
        <v>85633</v>
      </c>
      <c r="V204">
        <f ca="1">+VLOOKUP($T204,INDIRECT(Adrese!C$2),4,FALSE)</f>
        <v>85327</v>
      </c>
      <c r="W204">
        <f ca="1">+VLOOKUP($T204,INDIRECT(Adrese!D$2),4,FALSE)</f>
        <v>84907</v>
      </c>
      <c r="X204">
        <f ca="1">+VLOOKUP($T204,INDIRECT(Adrese!E$2),4,FALSE)</f>
        <v>86655</v>
      </c>
      <c r="Y204">
        <f ca="1">+VLOOKUP($T204,INDIRECT(Adrese!F$2),4,FALSE)</f>
        <v>85561</v>
      </c>
      <c r="Z204">
        <f t="shared" ca="1" si="73"/>
        <v>428083</v>
      </c>
      <c r="AA204" s="5">
        <f t="shared" ca="1" si="65"/>
        <v>85616.6</v>
      </c>
      <c r="AB204" s="5">
        <f t="shared" ca="1" si="74"/>
        <v>645.95572603700941</v>
      </c>
      <c r="AD204" t="s">
        <v>256</v>
      </c>
      <c r="AE204">
        <f ca="1">+VLOOKUP($A204,INDIRECT(Adrese!B$2),5,FALSE)</f>
        <v>12054</v>
      </c>
      <c r="AF204">
        <f ca="1">+VLOOKUP($A204,INDIRECT(Adrese!C$2),5,FALSE)</f>
        <v>11622</v>
      </c>
      <c r="AG204">
        <f ca="1">+VLOOKUP($A204,INDIRECT(Adrese!D$2),5,FALSE)</f>
        <v>11260</v>
      </c>
      <c r="AH204">
        <f ca="1">+VLOOKUP($A204,INDIRECT(Adrese!E$2),5,FALSE)</f>
        <v>12021</v>
      </c>
      <c r="AI204">
        <f ca="1">+VLOOKUP($A204,INDIRECT(Adrese!F$2),5,FALSE)</f>
        <v>11771</v>
      </c>
      <c r="AJ204" s="5">
        <f t="shared" ca="1" si="66"/>
        <v>11745.6</v>
      </c>
      <c r="AK204" s="5">
        <f t="shared" ca="1" si="75"/>
        <v>325.07122296506037</v>
      </c>
      <c r="AM204" t="s">
        <v>256</v>
      </c>
      <c r="AN204" s="5">
        <f ca="1">+VLOOKUP($A204,INDIRECT(Adrese!B$2),6,FALSE)</f>
        <v>0.26661504424778759</v>
      </c>
      <c r="AO204" s="5">
        <f ca="1">+VLOOKUP($A204,INDIRECT(Adrese!C$2),6,FALSE)</f>
        <v>0.256946903</v>
      </c>
      <c r="AP204" s="5">
        <f ca="1">+VLOOKUP($A204,INDIRECT(Adrese!D$2),6,FALSE)</f>
        <v>0.24898230099999999</v>
      </c>
      <c r="AQ204" s="5">
        <f ca="1">+VLOOKUP($A204,INDIRECT(Adrese!E$2),6,FALSE)</f>
        <v>0.26588495600000001</v>
      </c>
      <c r="AR204" s="5">
        <f ca="1">+VLOOKUP($A204,INDIRECT(Adrese!F$2),6,FALSE)</f>
        <v>0.260132743</v>
      </c>
      <c r="AS204" s="5" t="str">
        <f t="shared" ca="1" si="76"/>
        <v>0.26 (0.01)</v>
      </c>
      <c r="AT204" s="5">
        <f t="shared" ca="1" si="67"/>
        <v>0.25971238944955755</v>
      </c>
      <c r="AU204" s="5">
        <f t="shared" ca="1" si="77"/>
        <v>7.2233411872303565E-3</v>
      </c>
      <c r="AW204" t="s">
        <v>256</v>
      </c>
      <c r="AX204" s="5">
        <f ca="1">+VLOOKUP($A204,INDIRECT(Adrese!B$2),7,FALSE)</f>
        <v>0.15929203539823009</v>
      </c>
      <c r="AY204" s="5">
        <f ca="1">+VLOOKUP($A204,INDIRECT(Adrese!C$2),7,FALSE)</f>
        <v>0.172566372</v>
      </c>
      <c r="AZ204" s="5">
        <f ca="1">+VLOOKUP($A204,INDIRECT(Adrese!D$2),7,FALSE)</f>
        <v>0.15044247799999999</v>
      </c>
      <c r="BA204" s="5">
        <f ca="1">+VLOOKUP($A204,INDIRECT(Adrese!E$2),7,FALSE)</f>
        <v>0.17699115000000001</v>
      </c>
      <c r="BB204" s="5">
        <f ca="1">+VLOOKUP($A204,INDIRECT(Adrese!F$2),7,FALSE)</f>
        <v>0.181415929</v>
      </c>
      <c r="BC204" s="5" t="str">
        <f t="shared" ca="1" si="78"/>
        <v>0.17 (0.01)</v>
      </c>
      <c r="BD204">
        <f t="shared" ca="1" si="68"/>
        <v>0.16814159287964603</v>
      </c>
      <c r="BE204" s="5">
        <f t="shared" ca="1" si="79"/>
        <v>1.2900335907121327E-2</v>
      </c>
      <c r="BG204" t="s">
        <v>256</v>
      </c>
      <c r="BH204" s="5">
        <f ca="1">+VLOOKUP($BG204,INDIRECT(Adrese!B$2),8,FALSE)</f>
        <v>2.718785745348706E-2</v>
      </c>
      <c r="BI204" s="5">
        <f ca="1">+VLOOKUP($BG204,INDIRECT(Adrese!C$2),8,FALSE)</f>
        <v>2.6419997000000001E-2</v>
      </c>
      <c r="BJ204" s="5">
        <f ca="1">+VLOOKUP($BG204,INDIRECT(Adrese!D$2),8,FALSE)</f>
        <v>2.5124848000000002E-2</v>
      </c>
      <c r="BK204" s="5">
        <f ca="1">+VLOOKUP($BG204,INDIRECT(Adrese!E$2),8,FALSE)</f>
        <v>2.7308974E-2</v>
      </c>
      <c r="BL204" s="5">
        <f ca="1">+VLOOKUP($BG204,INDIRECT(Adrese!F$2),8,FALSE)</f>
        <v>2.6487891999999999E-2</v>
      </c>
      <c r="BM204" s="5" t="str">
        <f t="shared" ca="1" si="80"/>
        <v>0.03 (0.00)</v>
      </c>
      <c r="BN204" s="5">
        <f t="shared" ca="1" si="69"/>
        <v>2.6505913690697415E-2</v>
      </c>
      <c r="BO204" s="5">
        <f t="shared" ca="1" si="81"/>
        <v>8.696266522310557E-4</v>
      </c>
      <c r="BQ204" t="s">
        <v>256</v>
      </c>
      <c r="BR204" s="5">
        <f ca="1">+VLOOKUP($BG204,INDIRECT(Adrese!B$2),9,FALSE)</f>
        <v>-2.69539123791298E-2</v>
      </c>
      <c r="BS204" s="5">
        <f ca="1">+VLOOKUP($BG204,INDIRECT(Adrese!C$2),9,FALSE)</f>
        <v>-2.7871645E-2</v>
      </c>
      <c r="BT204" s="5">
        <f ca="1">+VLOOKUP($BG204,INDIRECT(Adrese!D$2),9,FALSE)</f>
        <v>-3.1871057000000001E-2</v>
      </c>
      <c r="BU204" s="5">
        <f ca="1">+VLOOKUP($BG204,INDIRECT(Adrese!E$2),9,FALSE)</f>
        <v>-2.6055584999999999E-2</v>
      </c>
      <c r="BV204" s="5">
        <f ca="1">+VLOOKUP($BG204,INDIRECT(Adrese!F$2),9,FALSE)</f>
        <v>-2.8663734E-2</v>
      </c>
      <c r="BW204" s="5" t="str">
        <f t="shared" ca="1" si="82"/>
        <v>-0.03 (0.00)</v>
      </c>
      <c r="BX204" s="5">
        <f t="shared" ca="1" si="70"/>
        <v>-2.828318667582596E-2</v>
      </c>
      <c r="BY204" s="5">
        <f t="shared" ca="1" si="83"/>
        <v>2.2313771343032817E-3</v>
      </c>
    </row>
    <row r="205" spans="1:77" x14ac:dyDescent="0.25">
      <c r="A205" t="s">
        <v>257</v>
      </c>
      <c r="B205" s="12">
        <f ca="1">+VLOOKUP($A205,INDIRECT(Adrese!B$2),2,FALSE)</f>
        <v>203</v>
      </c>
      <c r="C205" s="12">
        <f ca="1">+VLOOKUP($A205,INDIRECT(Adrese!C$2),2,FALSE)</f>
        <v>204</v>
      </c>
      <c r="D205" s="12">
        <f ca="1">+VLOOKUP($A205,INDIRECT(Adrese!D$2),2,FALSE)</f>
        <v>216</v>
      </c>
      <c r="E205" s="12">
        <f ca="1">+VLOOKUP($A205,INDIRECT(Adrese!E$2),2,FALSE)</f>
        <v>220</v>
      </c>
      <c r="F205" s="12">
        <f ca="1">+VLOOKUP($A205,INDIRECT(Adrese!F$2),2,FALSE)</f>
        <v>205</v>
      </c>
      <c r="G205" s="5">
        <f t="shared" ca="1" si="63"/>
        <v>209.6</v>
      </c>
      <c r="H205" s="5">
        <f t="shared" ca="1" si="71"/>
        <v>7.8294316524253533</v>
      </c>
      <c r="J205" t="s">
        <v>257</v>
      </c>
      <c r="K205">
        <f ca="1">+VLOOKUP($A205,INDIRECT(Adrese!B$2),3,FALSE)</f>
        <v>84</v>
      </c>
      <c r="L205">
        <f ca="1">+VLOOKUP($A205,INDIRECT(Adrese!C$2),3,FALSE)</f>
        <v>85</v>
      </c>
      <c r="M205">
        <f ca="1">+VLOOKUP($A205,INDIRECT(Adrese!D$2),3,FALSE)</f>
        <v>84</v>
      </c>
      <c r="N205">
        <f ca="1">+VLOOKUP($A205,INDIRECT(Adrese!E$2),3,FALSE)</f>
        <v>83</v>
      </c>
      <c r="O205">
        <f ca="1">+VLOOKUP($A205,INDIRECT(Adrese!F$2),3,FALSE)</f>
        <v>79</v>
      </c>
      <c r="P205" s="5">
        <f t="shared" ca="1" si="64"/>
        <v>83</v>
      </c>
      <c r="Q205" s="5">
        <f t="shared" ca="1" si="72"/>
        <v>2.3452078799117149</v>
      </c>
      <c r="T205" t="s">
        <v>257</v>
      </c>
      <c r="U205">
        <f ca="1">+VLOOKUP($T205,INDIRECT(Adrese!B$2),4,FALSE)</f>
        <v>85527</v>
      </c>
      <c r="V205">
        <f ca="1">+VLOOKUP($T205,INDIRECT(Adrese!C$2),4,FALSE)</f>
        <v>85753</v>
      </c>
      <c r="W205">
        <f ca="1">+VLOOKUP($T205,INDIRECT(Adrese!D$2),4,FALSE)</f>
        <v>84232</v>
      </c>
      <c r="X205">
        <f ca="1">+VLOOKUP($T205,INDIRECT(Adrese!E$2),4,FALSE)</f>
        <v>83664</v>
      </c>
      <c r="Y205">
        <f ca="1">+VLOOKUP($T205,INDIRECT(Adrese!F$2),4,FALSE)</f>
        <v>85659</v>
      </c>
      <c r="Z205">
        <f t="shared" ca="1" si="73"/>
        <v>424835</v>
      </c>
      <c r="AA205" s="5">
        <f t="shared" ca="1" si="65"/>
        <v>84967</v>
      </c>
      <c r="AB205" s="5">
        <f t="shared" ca="1" si="74"/>
        <v>955.02539233258085</v>
      </c>
      <c r="AD205" t="s">
        <v>257</v>
      </c>
      <c r="AE205">
        <f ca="1">+VLOOKUP($A205,INDIRECT(Adrese!B$2),5,FALSE)</f>
        <v>26509</v>
      </c>
      <c r="AF205">
        <f ca="1">+VLOOKUP($A205,INDIRECT(Adrese!C$2),5,FALSE)</f>
        <v>26509</v>
      </c>
      <c r="AG205">
        <f ca="1">+VLOOKUP($A205,INDIRECT(Adrese!D$2),5,FALSE)</f>
        <v>26123</v>
      </c>
      <c r="AH205">
        <f ca="1">+VLOOKUP($A205,INDIRECT(Adrese!E$2),5,FALSE)</f>
        <v>25930</v>
      </c>
      <c r="AI205">
        <f ca="1">+VLOOKUP($A205,INDIRECT(Adrese!F$2),5,FALSE)</f>
        <v>26123</v>
      </c>
      <c r="AJ205" s="5">
        <f t="shared" ca="1" si="66"/>
        <v>26238.799999999999</v>
      </c>
      <c r="AK205" s="5">
        <f t="shared" ca="1" si="75"/>
        <v>258.93667179447561</v>
      </c>
      <c r="AM205" t="s">
        <v>257</v>
      </c>
      <c r="AN205" s="5">
        <f ca="1">+VLOOKUP($A205,INDIRECT(Adrese!B$2),6,FALSE)</f>
        <v>0.58216814159292041</v>
      </c>
      <c r="AO205" s="5">
        <f ca="1">+VLOOKUP($A205,INDIRECT(Adrese!C$2),6,FALSE)</f>
        <v>0.582168142</v>
      </c>
      <c r="AP205" s="5">
        <f ca="1">+VLOOKUP($A205,INDIRECT(Adrese!D$2),6,FALSE)</f>
        <v>0.573628319</v>
      </c>
      <c r="AQ205" s="5">
        <f ca="1">+VLOOKUP($A205,INDIRECT(Adrese!E$2),6,FALSE)</f>
        <v>0.56935840699999996</v>
      </c>
      <c r="AR205" s="5">
        <f ca="1">+VLOOKUP($A205,INDIRECT(Adrese!F$2),6,FALSE)</f>
        <v>0.573628319</v>
      </c>
      <c r="AS205" s="5" t="str">
        <f t="shared" ca="1" si="76"/>
        <v>0.58 (0.01)</v>
      </c>
      <c r="AT205" s="5">
        <f t="shared" ca="1" si="67"/>
        <v>0.57619026571858412</v>
      </c>
      <c r="AU205" s="5">
        <f t="shared" ca="1" si="77"/>
        <v>5.7286874660193486E-3</v>
      </c>
      <c r="AW205" t="s">
        <v>257</v>
      </c>
      <c r="AX205" s="5">
        <f ca="1">+VLOOKUP($A205,INDIRECT(Adrese!B$2),7,FALSE)</f>
        <v>0.62831858407079644</v>
      </c>
      <c r="AY205" s="5">
        <f ca="1">+VLOOKUP($A205,INDIRECT(Adrese!C$2),7,FALSE)</f>
        <v>0.62389380500000002</v>
      </c>
      <c r="AZ205" s="5">
        <f ca="1">+VLOOKUP($A205,INDIRECT(Adrese!D$2),7,FALSE)</f>
        <v>0.62831858399999996</v>
      </c>
      <c r="BA205" s="5">
        <f ca="1">+VLOOKUP($A205,INDIRECT(Adrese!E$2),7,FALSE)</f>
        <v>0.632743363</v>
      </c>
      <c r="BB205" s="5">
        <f ca="1">+VLOOKUP($A205,INDIRECT(Adrese!F$2),7,FALSE)</f>
        <v>0.65044247799999999</v>
      </c>
      <c r="BC205" s="5" t="str">
        <f t="shared" ca="1" si="78"/>
        <v>0.63 (0.01)</v>
      </c>
      <c r="BD205">
        <f t="shared" ca="1" si="68"/>
        <v>0.63274336281415933</v>
      </c>
      <c r="BE205" s="5">
        <f t="shared" ca="1" si="79"/>
        <v>1.0377026143719515E-2</v>
      </c>
      <c r="BG205" t="s">
        <v>257</v>
      </c>
      <c r="BH205" s="5">
        <f ca="1">+VLOOKUP($BG205,INDIRECT(Adrese!B$2),8,FALSE)</f>
        <v>5.4409980899765717E-2</v>
      </c>
      <c r="BI205" s="5">
        <f ca="1">+VLOOKUP($BG205,INDIRECT(Adrese!C$2),8,FALSE)</f>
        <v>5.4105513000000001E-2</v>
      </c>
      <c r="BJ205" s="5">
        <f ca="1">+VLOOKUP($BG205,INDIRECT(Adrese!D$2),8,FALSE)</f>
        <v>5.3642255E-2</v>
      </c>
      <c r="BK205" s="5">
        <f ca="1">+VLOOKUP($BG205,INDIRECT(Adrese!E$2),8,FALSE)</f>
        <v>5.2855552E-2</v>
      </c>
      <c r="BL205" s="5">
        <f ca="1">+VLOOKUP($BG205,INDIRECT(Adrese!F$2),8,FALSE)</f>
        <v>5.3193981000000001E-2</v>
      </c>
      <c r="BM205" s="5" t="str">
        <f t="shared" ca="1" si="80"/>
        <v>0.05 (0.00)</v>
      </c>
      <c r="BN205" s="5">
        <f t="shared" ca="1" si="69"/>
        <v>5.3641456379953142E-2</v>
      </c>
      <c r="BO205" s="5">
        <f t="shared" ca="1" si="81"/>
        <v>6.3715363768289499E-4</v>
      </c>
      <c r="BQ205" t="s">
        <v>257</v>
      </c>
      <c r="BR205" s="5">
        <f ca="1">+VLOOKUP($BG205,INDIRECT(Adrese!B$2),9,FALSE)</f>
        <v>1.442751302583597E-2</v>
      </c>
      <c r="BS205" s="5">
        <f ca="1">+VLOOKUP($BG205,INDIRECT(Adrese!C$2),9,FALSE)</f>
        <v>1.2126455E-2</v>
      </c>
      <c r="BT205" s="5">
        <f ca="1">+VLOOKUP($BG205,INDIRECT(Adrese!D$2),9,FALSE)</f>
        <v>1.2811678999999999E-2</v>
      </c>
      <c r="BU205" s="5">
        <f ca="1">+VLOOKUP($BG205,INDIRECT(Adrese!E$2),9,FALSE)</f>
        <v>1.0437896E-2</v>
      </c>
      <c r="BV205" s="5">
        <f ca="1">+VLOOKUP($BG205,INDIRECT(Adrese!F$2),9,FALSE)</f>
        <v>1.0028241E-2</v>
      </c>
      <c r="BW205" s="5" t="str">
        <f t="shared" ca="1" si="82"/>
        <v>0.01 (0.00)</v>
      </c>
      <c r="BX205" s="5">
        <f t="shared" ca="1" si="70"/>
        <v>1.1966356805167194E-2</v>
      </c>
      <c r="BY205" s="5">
        <f t="shared" ca="1" si="83"/>
        <v>1.7951306564407445E-3</v>
      </c>
    </row>
    <row r="206" spans="1:77" x14ac:dyDescent="0.25">
      <c r="A206" t="s">
        <v>258</v>
      </c>
      <c r="B206" s="12">
        <f ca="1">+VLOOKUP($A206,INDIRECT(Adrese!B$2),2,FALSE)</f>
        <v>204</v>
      </c>
      <c r="C206" s="12">
        <f ca="1">+VLOOKUP($A206,INDIRECT(Adrese!C$2),2,FALSE)</f>
        <v>221</v>
      </c>
      <c r="D206" s="12">
        <f ca="1">+VLOOKUP($A206,INDIRECT(Adrese!D$2),2,FALSE)</f>
        <v>207</v>
      </c>
      <c r="E206" s="12">
        <f ca="1">+VLOOKUP($A206,INDIRECT(Adrese!E$2),2,FALSE)</f>
        <v>222</v>
      </c>
      <c r="F206" s="12">
        <f ca="1">+VLOOKUP($A206,INDIRECT(Adrese!F$2),2,FALSE)</f>
        <v>202</v>
      </c>
      <c r="G206" s="5">
        <f t="shared" ca="1" si="63"/>
        <v>211.2</v>
      </c>
      <c r="H206" s="5">
        <f t="shared" ca="1" si="71"/>
        <v>9.5760116958992896</v>
      </c>
      <c r="J206" t="s">
        <v>258</v>
      </c>
      <c r="K206">
        <f ca="1">+VLOOKUP($A206,INDIRECT(Adrese!B$2),3,FALSE)</f>
        <v>202</v>
      </c>
      <c r="L206">
        <f ca="1">+VLOOKUP($A206,INDIRECT(Adrese!C$2),3,FALSE)</f>
        <v>199</v>
      </c>
      <c r="M206">
        <f ca="1">+VLOOKUP($A206,INDIRECT(Adrese!D$2),3,FALSE)</f>
        <v>197</v>
      </c>
      <c r="N206">
        <f ca="1">+VLOOKUP($A206,INDIRECT(Adrese!E$2),3,FALSE)</f>
        <v>194</v>
      </c>
      <c r="O206">
        <f ca="1">+VLOOKUP($A206,INDIRECT(Adrese!F$2),3,FALSE)</f>
        <v>203</v>
      </c>
      <c r="P206" s="5">
        <f t="shared" ca="1" si="64"/>
        <v>199</v>
      </c>
      <c r="Q206" s="5">
        <f t="shared" ca="1" si="72"/>
        <v>3.6742346141747673</v>
      </c>
      <c r="T206" t="s">
        <v>258</v>
      </c>
      <c r="U206">
        <f ca="1">+VLOOKUP($T206,INDIRECT(Adrese!B$2),4,FALSE)</f>
        <v>85413</v>
      </c>
      <c r="V206">
        <f ca="1">+VLOOKUP($T206,INDIRECT(Adrese!C$2),4,FALSE)</f>
        <v>83628</v>
      </c>
      <c r="W206">
        <f ca="1">+VLOOKUP($T206,INDIRECT(Adrese!D$2),4,FALSE)</f>
        <v>85135</v>
      </c>
      <c r="X206">
        <f ca="1">+VLOOKUP($T206,INDIRECT(Adrese!E$2),4,FALSE)</f>
        <v>83475</v>
      </c>
      <c r="Y206">
        <f ca="1">+VLOOKUP($T206,INDIRECT(Adrese!F$2),4,FALSE)</f>
        <v>85901</v>
      </c>
      <c r="Z206">
        <f t="shared" ca="1" si="73"/>
        <v>423552</v>
      </c>
      <c r="AA206" s="5">
        <f t="shared" ca="1" si="65"/>
        <v>84710.399999999994</v>
      </c>
      <c r="AB206" s="5">
        <f t="shared" ca="1" si="74"/>
        <v>1094.2192650470015</v>
      </c>
      <c r="AD206" t="s">
        <v>258</v>
      </c>
      <c r="AE206">
        <f ca="1">+VLOOKUP($A206,INDIRECT(Adrese!B$2),5,FALSE)</f>
        <v>7570</v>
      </c>
      <c r="AF206">
        <f ca="1">+VLOOKUP($A206,INDIRECT(Adrese!C$2),5,FALSE)</f>
        <v>7091</v>
      </c>
      <c r="AG206">
        <f ca="1">+VLOOKUP($A206,INDIRECT(Adrese!D$2),5,FALSE)</f>
        <v>7449</v>
      </c>
      <c r="AH206">
        <f ca="1">+VLOOKUP($A206,INDIRECT(Adrese!E$2),5,FALSE)</f>
        <v>7113</v>
      </c>
      <c r="AI206">
        <f ca="1">+VLOOKUP($A206,INDIRECT(Adrese!F$2),5,FALSE)</f>
        <v>7597</v>
      </c>
      <c r="AJ206" s="5">
        <f t="shared" ca="1" si="66"/>
        <v>7364</v>
      </c>
      <c r="AK206" s="5">
        <f t="shared" ca="1" si="75"/>
        <v>245.70307283385773</v>
      </c>
      <c r="AM206" t="s">
        <v>258</v>
      </c>
      <c r="AN206" s="5">
        <f ca="1">+VLOOKUP($A206,INDIRECT(Adrese!B$2),6,FALSE)</f>
        <v>0.1674557522123894</v>
      </c>
      <c r="AO206" s="5">
        <f ca="1">+VLOOKUP($A206,INDIRECT(Adrese!C$2),6,FALSE)</f>
        <v>0.156792035</v>
      </c>
      <c r="AP206" s="5">
        <f ca="1">+VLOOKUP($A206,INDIRECT(Adrese!D$2),6,FALSE)</f>
        <v>0.164734513</v>
      </c>
      <c r="AQ206" s="5">
        <f ca="1">+VLOOKUP($A206,INDIRECT(Adrese!E$2),6,FALSE)</f>
        <v>0.157300885</v>
      </c>
      <c r="AR206" s="5">
        <f ca="1">+VLOOKUP($A206,INDIRECT(Adrese!F$2),6,FALSE)</f>
        <v>0.168030973</v>
      </c>
      <c r="AS206" s="5" t="str">
        <f t="shared" ca="1" si="76"/>
        <v>0.16 (0.01)</v>
      </c>
      <c r="AT206" s="5">
        <f t="shared" ca="1" si="67"/>
        <v>0.16286283164247789</v>
      </c>
      <c r="AU206" s="5">
        <f t="shared" ca="1" si="77"/>
        <v>5.4565927529236242E-3</v>
      </c>
      <c r="AW206" t="s">
        <v>258</v>
      </c>
      <c r="AX206" s="5">
        <f ca="1">+VLOOKUP($A206,INDIRECT(Adrese!B$2),7,FALSE)</f>
        <v>0.1061946902654867</v>
      </c>
      <c r="AY206" s="5">
        <f ca="1">+VLOOKUP($A206,INDIRECT(Adrese!C$2),7,FALSE)</f>
        <v>0.11946902700000001</v>
      </c>
      <c r="AZ206" s="5">
        <f ca="1">+VLOOKUP($A206,INDIRECT(Adrese!D$2),7,FALSE)</f>
        <v>0.12831858400000001</v>
      </c>
      <c r="BA206" s="5">
        <f ca="1">+VLOOKUP($A206,INDIRECT(Adrese!E$2),7,FALSE)</f>
        <v>0.14159292000000001</v>
      </c>
      <c r="BB206" s="5">
        <f ca="1">+VLOOKUP($A206,INDIRECT(Adrese!F$2),7,FALSE)</f>
        <v>0.101769912</v>
      </c>
      <c r="BC206" s="5" t="str">
        <f t="shared" ca="1" si="78"/>
        <v>0.12 (0.02)</v>
      </c>
      <c r="BD206">
        <f t="shared" ca="1" si="68"/>
        <v>0.11946902665309733</v>
      </c>
      <c r="BE206" s="5">
        <f t="shared" ca="1" si="79"/>
        <v>1.6257675019019365E-2</v>
      </c>
      <c r="BG206" t="s">
        <v>258</v>
      </c>
      <c r="BH206" s="5">
        <f ca="1">+VLOOKUP($BG206,INDIRECT(Adrese!B$2),8,FALSE)</f>
        <v>1.6352977079097379E-2</v>
      </c>
      <c r="BI206" s="5">
        <f ca="1">+VLOOKUP($BG206,INDIRECT(Adrese!C$2),8,FALSE)</f>
        <v>1.5824603999999999E-2</v>
      </c>
      <c r="BJ206" s="5">
        <f ca="1">+VLOOKUP($BG206,INDIRECT(Adrese!D$2),8,FALSE)</f>
        <v>1.6082402999999999E-2</v>
      </c>
      <c r="BK206" s="5">
        <f ca="1">+VLOOKUP($BG206,INDIRECT(Adrese!E$2),8,FALSE)</f>
        <v>1.5656906000000002E-2</v>
      </c>
      <c r="BL206" s="5">
        <f ca="1">+VLOOKUP($BG206,INDIRECT(Adrese!F$2),8,FALSE)</f>
        <v>1.6773682000000002E-2</v>
      </c>
      <c r="BM206" s="5" t="str">
        <f t="shared" ca="1" si="80"/>
        <v>0.02 (0.00)</v>
      </c>
      <c r="BN206" s="5">
        <f t="shared" ca="1" si="69"/>
        <v>1.6138114415819475E-2</v>
      </c>
      <c r="BO206" s="5">
        <f t="shared" ca="1" si="81"/>
        <v>4.4245513904444124E-4</v>
      </c>
      <c r="BQ206" t="s">
        <v>258</v>
      </c>
      <c r="BR206" s="5">
        <f ca="1">+VLOOKUP($BG206,INDIRECT(Adrese!B$2),9,FALSE)</f>
        <v>-5.0119216921373243E-2</v>
      </c>
      <c r="BS206" s="5">
        <f ca="1">+VLOOKUP($BG206,INDIRECT(Adrese!C$2),9,FALSE)</f>
        <v>-4.9399629E-2</v>
      </c>
      <c r="BT206" s="5">
        <f ca="1">+VLOOKUP($BG206,INDIRECT(Adrese!D$2),9,FALSE)</f>
        <v>-5.0487164000000001E-2</v>
      </c>
      <c r="BU206" s="5">
        <f ca="1">+VLOOKUP($BG206,INDIRECT(Adrese!E$2),9,FALSE)</f>
        <v>-5.0392169000000001E-2</v>
      </c>
      <c r="BV206" s="5">
        <f ca="1">+VLOOKUP($BG206,INDIRECT(Adrese!F$2),9,FALSE)</f>
        <v>-4.8725048E-2</v>
      </c>
      <c r="BW206" s="5" t="str">
        <f t="shared" ca="1" si="82"/>
        <v>-0.05 (0.00)</v>
      </c>
      <c r="BX206" s="5">
        <f t="shared" ca="1" si="70"/>
        <v>-4.9824645384274648E-2</v>
      </c>
      <c r="BY206" s="5">
        <f t="shared" ca="1" si="83"/>
        <v>7.4792039941807761E-4</v>
      </c>
    </row>
    <row r="207" spans="1:77" x14ac:dyDescent="0.25">
      <c r="A207" t="s">
        <v>259</v>
      </c>
      <c r="B207" s="12">
        <f ca="1">+VLOOKUP($A207,INDIRECT(Adrese!B$2),2,FALSE)</f>
        <v>205</v>
      </c>
      <c r="C207" s="12">
        <f ca="1">+VLOOKUP($A207,INDIRECT(Adrese!C$2),2,FALSE)</f>
        <v>212</v>
      </c>
      <c r="D207" s="12">
        <f ca="1">+VLOOKUP($A207,INDIRECT(Adrese!D$2),2,FALSE)</f>
        <v>211</v>
      </c>
      <c r="E207" s="12">
        <f ca="1">+VLOOKUP($A207,INDIRECT(Adrese!E$2),2,FALSE)</f>
        <v>206</v>
      </c>
      <c r="F207" s="12">
        <f ca="1">+VLOOKUP($A207,INDIRECT(Adrese!F$2),2,FALSE)</f>
        <v>213</v>
      </c>
      <c r="G207" s="5">
        <f t="shared" ca="1" si="63"/>
        <v>209.4</v>
      </c>
      <c r="H207" s="5">
        <f t="shared" ca="1" si="71"/>
        <v>3.6469165057620936</v>
      </c>
      <c r="J207" t="s">
        <v>259</v>
      </c>
      <c r="K207">
        <f ca="1">+VLOOKUP($A207,INDIRECT(Adrese!B$2),3,FALSE)</f>
        <v>179</v>
      </c>
      <c r="L207">
        <f ca="1">+VLOOKUP($A207,INDIRECT(Adrese!C$2),3,FALSE)</f>
        <v>180</v>
      </c>
      <c r="M207">
        <f ca="1">+VLOOKUP($A207,INDIRECT(Adrese!D$2),3,FALSE)</f>
        <v>178</v>
      </c>
      <c r="N207">
        <f ca="1">+VLOOKUP($A207,INDIRECT(Adrese!E$2),3,FALSE)</f>
        <v>180</v>
      </c>
      <c r="O207">
        <f ca="1">+VLOOKUP($A207,INDIRECT(Adrese!F$2),3,FALSE)</f>
        <v>178</v>
      </c>
      <c r="P207" s="5">
        <f t="shared" ca="1" si="64"/>
        <v>179</v>
      </c>
      <c r="Q207" s="5">
        <f t="shared" ca="1" si="72"/>
        <v>1</v>
      </c>
      <c r="T207" t="s">
        <v>259</v>
      </c>
      <c r="U207">
        <f ca="1">+VLOOKUP($T207,INDIRECT(Adrese!B$2),4,FALSE)</f>
        <v>85382</v>
      </c>
      <c r="V207">
        <f ca="1">+VLOOKUP($T207,INDIRECT(Adrese!C$2),4,FALSE)</f>
        <v>85037</v>
      </c>
      <c r="W207">
        <f ca="1">+VLOOKUP($T207,INDIRECT(Adrese!D$2),4,FALSE)</f>
        <v>84657</v>
      </c>
      <c r="X207">
        <f ca="1">+VLOOKUP($T207,INDIRECT(Adrese!E$2),4,FALSE)</f>
        <v>85213</v>
      </c>
      <c r="Y207">
        <f ca="1">+VLOOKUP($T207,INDIRECT(Adrese!F$2),4,FALSE)</f>
        <v>84752</v>
      </c>
      <c r="Z207">
        <f t="shared" ca="1" si="73"/>
        <v>425041</v>
      </c>
      <c r="AA207" s="5">
        <f t="shared" ca="1" si="65"/>
        <v>85008.2</v>
      </c>
      <c r="AB207" s="5">
        <f t="shared" ca="1" si="74"/>
        <v>304.74530349129253</v>
      </c>
      <c r="AD207" t="s">
        <v>259</v>
      </c>
      <c r="AE207">
        <f ca="1">+VLOOKUP($A207,INDIRECT(Adrese!B$2),5,FALSE)</f>
        <v>4463</v>
      </c>
      <c r="AF207">
        <f ca="1">+VLOOKUP($A207,INDIRECT(Adrese!C$2),5,FALSE)</f>
        <v>4427</v>
      </c>
      <c r="AG207">
        <f ca="1">+VLOOKUP($A207,INDIRECT(Adrese!D$2),5,FALSE)</f>
        <v>4365</v>
      </c>
      <c r="AH207">
        <f ca="1">+VLOOKUP($A207,INDIRECT(Adrese!E$2),5,FALSE)</f>
        <v>4357</v>
      </c>
      <c r="AI207">
        <f ca="1">+VLOOKUP($A207,INDIRECT(Adrese!F$2),5,FALSE)</f>
        <v>4563</v>
      </c>
      <c r="AJ207" s="5">
        <f t="shared" ca="1" si="66"/>
        <v>4435</v>
      </c>
      <c r="AK207" s="5">
        <f t="shared" ca="1" si="75"/>
        <v>83.988094394384262</v>
      </c>
      <c r="AM207" t="s">
        <v>259</v>
      </c>
      <c r="AN207" s="5">
        <f ca="1">+VLOOKUP($A207,INDIRECT(Adrese!B$2),6,FALSE)</f>
        <v>9.4336283185840711E-2</v>
      </c>
      <c r="AO207" s="5">
        <f ca="1">+VLOOKUP($A207,INDIRECT(Adrese!C$2),6,FALSE)</f>
        <v>9.3539822999999994E-2</v>
      </c>
      <c r="AP207" s="5">
        <f ca="1">+VLOOKUP($A207,INDIRECT(Adrese!D$2),6,FALSE)</f>
        <v>9.2168141999999995E-2</v>
      </c>
      <c r="AQ207" s="5">
        <f ca="1">+VLOOKUP($A207,INDIRECT(Adrese!E$2),6,FALSE)</f>
        <v>9.1991149999999994E-2</v>
      </c>
      <c r="AR207" s="5">
        <f ca="1">+VLOOKUP($A207,INDIRECT(Adrese!F$2),6,FALSE)</f>
        <v>9.6548673000000002E-2</v>
      </c>
      <c r="AS207" s="5" t="str">
        <f t="shared" ca="1" si="76"/>
        <v>0.09 (0.00)</v>
      </c>
      <c r="AT207" s="5">
        <f t="shared" ca="1" si="67"/>
        <v>9.3716814237168156E-2</v>
      </c>
      <c r="AU207" s="5">
        <f t="shared" ca="1" si="77"/>
        <v>1.8581438646299647E-3</v>
      </c>
      <c r="AW207" t="s">
        <v>259</v>
      </c>
      <c r="AX207" s="5">
        <f ca="1">+VLOOKUP($A207,INDIRECT(Adrese!B$2),7,FALSE)</f>
        <v>0.20796460176991149</v>
      </c>
      <c r="AY207" s="5">
        <f ca="1">+VLOOKUP($A207,INDIRECT(Adrese!C$2),7,FALSE)</f>
        <v>0.20353982300000001</v>
      </c>
      <c r="AZ207" s="5">
        <f ca="1">+VLOOKUP($A207,INDIRECT(Adrese!D$2),7,FALSE)</f>
        <v>0.21238938099999999</v>
      </c>
      <c r="BA207" s="5">
        <f ca="1">+VLOOKUP($A207,INDIRECT(Adrese!E$2),7,FALSE)</f>
        <v>0.20353982300000001</v>
      </c>
      <c r="BB207" s="5">
        <f ca="1">+VLOOKUP($A207,INDIRECT(Adrese!F$2),7,FALSE)</f>
        <v>0.21238938099999999</v>
      </c>
      <c r="BC207" s="5" t="str">
        <f t="shared" ca="1" si="78"/>
        <v>0.21 (0.00)</v>
      </c>
      <c r="BD207">
        <f t="shared" ca="1" si="68"/>
        <v>0.20796460195398231</v>
      </c>
      <c r="BE207" s="5">
        <f t="shared" ca="1" si="79"/>
        <v>4.4247789999999915E-3</v>
      </c>
      <c r="BG207" t="s">
        <v>259</v>
      </c>
      <c r="BH207" s="5">
        <f ca="1">+VLOOKUP($BG207,INDIRECT(Adrese!B$2),8,FALSE)</f>
        <v>9.0278099437330183E-3</v>
      </c>
      <c r="BI207" s="5">
        <f ca="1">+VLOOKUP($BG207,INDIRECT(Adrese!C$2),8,FALSE)</f>
        <v>9.0985249999999997E-3</v>
      </c>
      <c r="BJ207" s="5">
        <f ca="1">+VLOOKUP($BG207,INDIRECT(Adrese!D$2),8,FALSE)</f>
        <v>8.9967380000000007E-3</v>
      </c>
      <c r="BK207" s="5">
        <f ca="1">+VLOOKUP($BG207,INDIRECT(Adrese!E$2),8,FALSE)</f>
        <v>8.9343589999999994E-3</v>
      </c>
      <c r="BL207" s="5">
        <f ca="1">+VLOOKUP($BG207,INDIRECT(Adrese!F$2),8,FALSE)</f>
        <v>9.2692520000000004E-3</v>
      </c>
      <c r="BM207" s="5" t="str">
        <f t="shared" ca="1" si="80"/>
        <v>0.01 (0.00)</v>
      </c>
      <c r="BN207" s="5">
        <f t="shared" ca="1" si="69"/>
        <v>9.065336788746603E-3</v>
      </c>
      <c r="BO207" s="5">
        <f t="shared" ca="1" si="81"/>
        <v>1.2840571424769449E-4</v>
      </c>
      <c r="BQ207" t="s">
        <v>259</v>
      </c>
      <c r="BR207" s="5">
        <f ca="1">+VLOOKUP($BG207,INDIRECT(Adrese!B$2),9,FALSE)</f>
        <v>-6.3489000587587566E-2</v>
      </c>
      <c r="BS207" s="5">
        <f ca="1">+VLOOKUP($BG207,INDIRECT(Adrese!C$2),9,FALSE)</f>
        <v>-6.2897068E-2</v>
      </c>
      <c r="BT207" s="5">
        <f ca="1">+VLOOKUP($BG207,INDIRECT(Adrese!D$2),9,FALSE)</f>
        <v>-6.2894795000000003E-2</v>
      </c>
      <c r="BU207" s="5">
        <f ca="1">+VLOOKUP($BG207,INDIRECT(Adrese!E$2),9,FALSE)</f>
        <v>-6.3369815999999995E-2</v>
      </c>
      <c r="BV207" s="5">
        <f ca="1">+VLOOKUP($BG207,INDIRECT(Adrese!F$2),9,FALSE)</f>
        <v>-6.3272220000000004E-2</v>
      </c>
      <c r="BW207" s="5" t="str">
        <f t="shared" ca="1" si="82"/>
        <v>-0.06 (0.00)</v>
      </c>
      <c r="BX207" s="5">
        <f t="shared" ca="1" si="70"/>
        <v>-6.3184579917517511E-2</v>
      </c>
      <c r="BY207" s="5">
        <f t="shared" ca="1" si="83"/>
        <v>2.7445561381219806E-4</v>
      </c>
    </row>
    <row r="208" spans="1:77" x14ac:dyDescent="0.25">
      <c r="A208" t="s">
        <v>21</v>
      </c>
      <c r="B208" s="12">
        <f ca="1">+VLOOKUP($A208,INDIRECT(Adrese!B$2),2,FALSE)</f>
        <v>206</v>
      </c>
      <c r="C208" s="12">
        <f ca="1">+VLOOKUP($A208,INDIRECT(Adrese!C$2),2,FALSE)</f>
        <v>213</v>
      </c>
      <c r="D208" s="12">
        <f ca="1">+VLOOKUP($A208,INDIRECT(Adrese!D$2),2,FALSE)</f>
        <v>213</v>
      </c>
      <c r="E208" s="12">
        <f ca="1">+VLOOKUP($A208,INDIRECT(Adrese!E$2),2,FALSE)</f>
        <v>205</v>
      </c>
      <c r="F208" s="12">
        <f ca="1">+VLOOKUP($A208,INDIRECT(Adrese!F$2),2,FALSE)</f>
        <v>207</v>
      </c>
      <c r="G208" s="5">
        <f t="shared" ca="1" si="63"/>
        <v>208.8</v>
      </c>
      <c r="H208" s="5">
        <f t="shared" ca="1" si="71"/>
        <v>3.8987177379235853</v>
      </c>
      <c r="J208" t="s">
        <v>21</v>
      </c>
      <c r="K208">
        <f ca="1">+VLOOKUP($A208,INDIRECT(Adrese!B$2),3,FALSE)</f>
        <v>81</v>
      </c>
      <c r="L208">
        <f ca="1">+VLOOKUP($A208,INDIRECT(Adrese!C$2),3,FALSE)</f>
        <v>80</v>
      </c>
      <c r="M208">
        <f ca="1">+VLOOKUP($A208,INDIRECT(Adrese!D$2),3,FALSE)</f>
        <v>73</v>
      </c>
      <c r="N208">
        <f ca="1">+VLOOKUP($A208,INDIRECT(Adrese!E$2),3,FALSE)</f>
        <v>81</v>
      </c>
      <c r="O208">
        <f ca="1">+VLOOKUP($A208,INDIRECT(Adrese!F$2),3,FALSE)</f>
        <v>78</v>
      </c>
      <c r="P208" s="5">
        <f t="shared" ca="1" si="64"/>
        <v>78.599999999999994</v>
      </c>
      <c r="Q208" s="5">
        <f t="shared" ca="1" si="72"/>
        <v>3.3615472627943221</v>
      </c>
      <c r="T208" t="s">
        <v>21</v>
      </c>
      <c r="U208">
        <f ca="1">+VLOOKUP($T208,INDIRECT(Adrese!B$2),4,FALSE)</f>
        <v>85312</v>
      </c>
      <c r="V208">
        <f ca="1">+VLOOKUP($T208,INDIRECT(Adrese!C$2),4,FALSE)</f>
        <v>84975</v>
      </c>
      <c r="W208">
        <f ca="1">+VLOOKUP($T208,INDIRECT(Adrese!D$2),4,FALSE)</f>
        <v>84477</v>
      </c>
      <c r="X208">
        <f ca="1">+VLOOKUP($T208,INDIRECT(Adrese!E$2),4,FALSE)</f>
        <v>85223</v>
      </c>
      <c r="Y208">
        <f ca="1">+VLOOKUP($T208,INDIRECT(Adrese!F$2),4,FALSE)</f>
        <v>85186</v>
      </c>
      <c r="Z208">
        <f t="shared" ca="1" si="73"/>
        <v>425173</v>
      </c>
      <c r="AA208" s="5">
        <f t="shared" ca="1" si="65"/>
        <v>85034.6</v>
      </c>
      <c r="AB208" s="5">
        <f t="shared" ca="1" si="74"/>
        <v>335.34951915874274</v>
      </c>
      <c r="AD208" t="s">
        <v>21</v>
      </c>
      <c r="AE208">
        <f ca="1">+VLOOKUP($A208,INDIRECT(Adrese!B$2),5,FALSE)</f>
        <v>22598</v>
      </c>
      <c r="AF208">
        <f ca="1">+VLOOKUP($A208,INDIRECT(Adrese!C$2),5,FALSE)</f>
        <v>22578</v>
      </c>
      <c r="AG208">
        <f ca="1">+VLOOKUP($A208,INDIRECT(Adrese!D$2),5,FALSE)</f>
        <v>22702</v>
      </c>
      <c r="AH208">
        <f ca="1">+VLOOKUP($A208,INDIRECT(Adrese!E$2),5,FALSE)</f>
        <v>22762</v>
      </c>
      <c r="AI208">
        <f ca="1">+VLOOKUP($A208,INDIRECT(Adrese!F$2),5,FALSE)</f>
        <v>22603</v>
      </c>
      <c r="AJ208" s="5">
        <f t="shared" ca="1" si="66"/>
        <v>22648.6</v>
      </c>
      <c r="AK208" s="5">
        <f t="shared" ca="1" si="75"/>
        <v>79.585174498772076</v>
      </c>
      <c r="AM208" t="s">
        <v>21</v>
      </c>
      <c r="AN208" s="5">
        <f ca="1">+VLOOKUP($A208,INDIRECT(Adrese!B$2),6,FALSE)</f>
        <v>0.49805309734513281</v>
      </c>
      <c r="AO208" s="5">
        <f ca="1">+VLOOKUP($A208,INDIRECT(Adrese!C$2),6,FALSE)</f>
        <v>0.49721238899999998</v>
      </c>
      <c r="AP208" s="5">
        <f ca="1">+VLOOKUP($A208,INDIRECT(Adrese!D$2),6,FALSE)</f>
        <v>0.50002212400000001</v>
      </c>
      <c r="AQ208" s="5">
        <f ca="1">+VLOOKUP($A208,INDIRECT(Adrese!E$2),6,FALSE)</f>
        <v>0.50106194699999995</v>
      </c>
      <c r="AR208" s="5">
        <f ca="1">+VLOOKUP($A208,INDIRECT(Adrese!F$2),6,FALSE)</f>
        <v>0.49774336299999999</v>
      </c>
      <c r="AS208" s="5" t="str">
        <f t="shared" ca="1" si="76"/>
        <v>0.50 (0.00)</v>
      </c>
      <c r="AT208" s="5">
        <f t="shared" ca="1" si="67"/>
        <v>0.49881858406902657</v>
      </c>
      <c r="AU208" s="5">
        <f t="shared" ca="1" si="77"/>
        <v>1.6434048859771773E-3</v>
      </c>
      <c r="AW208" t="s">
        <v>21</v>
      </c>
      <c r="AX208" s="5">
        <f ca="1">+VLOOKUP($A208,INDIRECT(Adrese!B$2),7,FALSE)</f>
        <v>0.6415929203539823</v>
      </c>
      <c r="AY208" s="5">
        <f ca="1">+VLOOKUP($A208,INDIRECT(Adrese!C$2),7,FALSE)</f>
        <v>0.64601769899999995</v>
      </c>
      <c r="AZ208" s="5">
        <f ca="1">+VLOOKUP($A208,INDIRECT(Adrese!D$2),7,FALSE)</f>
        <v>0.67699114999999999</v>
      </c>
      <c r="BA208" s="5">
        <f ca="1">+VLOOKUP($A208,INDIRECT(Adrese!E$2),7,FALSE)</f>
        <v>0.64159292000000001</v>
      </c>
      <c r="BB208" s="5">
        <f ca="1">+VLOOKUP($A208,INDIRECT(Adrese!F$2),7,FALSE)</f>
        <v>0.65486725700000004</v>
      </c>
      <c r="BC208" s="5" t="str">
        <f t="shared" ca="1" si="78"/>
        <v>0.65 (0.01)</v>
      </c>
      <c r="BD208">
        <f t="shared" ca="1" si="68"/>
        <v>0.6522123892707965</v>
      </c>
      <c r="BE208" s="5">
        <f t="shared" ca="1" si="79"/>
        <v>1.4874102839788007E-2</v>
      </c>
      <c r="BG208" t="s">
        <v>21</v>
      </c>
      <c r="BH208" s="5">
        <f ca="1">+VLOOKUP($BG208,INDIRECT(Adrese!B$2),8,FALSE)</f>
        <v>4.456231662350521E-2</v>
      </c>
      <c r="BI208" s="5">
        <f ca="1">+VLOOKUP($BG208,INDIRECT(Adrese!C$2),8,FALSE)</f>
        <v>4.4559273000000003E-2</v>
      </c>
      <c r="BJ208" s="5">
        <f ca="1">+VLOOKUP($BG208,INDIRECT(Adrese!D$2),8,FALSE)</f>
        <v>4.4830157000000002E-2</v>
      </c>
      <c r="BK208" s="5">
        <f ca="1">+VLOOKUP($BG208,INDIRECT(Adrese!E$2),8,FALSE)</f>
        <v>4.5012112999999999E-2</v>
      </c>
      <c r="BL208" s="5">
        <f ca="1">+VLOOKUP($BG208,INDIRECT(Adrese!F$2),8,FALSE)</f>
        <v>4.4767744999999998E-2</v>
      </c>
      <c r="BM208" s="5" t="str">
        <f t="shared" ca="1" si="80"/>
        <v>0.04 (0.00)</v>
      </c>
      <c r="BN208" s="5">
        <f t="shared" ca="1" si="69"/>
        <v>4.4746320924701044E-2</v>
      </c>
      <c r="BO208" s="5">
        <f t="shared" ca="1" si="81"/>
        <v>1.916881678724633E-4</v>
      </c>
      <c r="BQ208" t="s">
        <v>21</v>
      </c>
      <c r="BR208" s="5">
        <f ca="1">+VLOOKUP($BG208,INDIRECT(Adrese!B$2),9,FALSE)</f>
        <v>-9.5466064546712763E-4</v>
      </c>
      <c r="BS208" s="5">
        <f ca="1">+VLOOKUP($BG208,INDIRECT(Adrese!C$2),9,FALSE)</f>
        <v>-1.0468470000000001E-3</v>
      </c>
      <c r="BT208" s="5">
        <f ca="1">+VLOOKUP($BG208,INDIRECT(Adrese!D$2),9,FALSE)</f>
        <v>-2.50991E-4</v>
      </c>
      <c r="BU208" s="5">
        <f ca="1">+VLOOKUP($BG208,INDIRECT(Adrese!E$2),9,FALSE)</f>
        <v>1.51182E-4</v>
      </c>
      <c r="BV208" s="5">
        <f ca="1">+VLOOKUP($BG208,INDIRECT(Adrese!F$2),9,FALSE)</f>
        <v>-5.0837799999999998E-4</v>
      </c>
      <c r="BW208" s="5" t="str">
        <f t="shared" ca="1" si="82"/>
        <v>0.00 (0.00)</v>
      </c>
      <c r="BX208" s="5">
        <f t="shared" ca="1" si="70"/>
        <v>-5.2193892909342546E-4</v>
      </c>
      <c r="BY208" s="5">
        <f t="shared" ca="1" si="83"/>
        <v>4.9735928436738604E-4</v>
      </c>
    </row>
    <row r="209" spans="1:77" x14ac:dyDescent="0.25">
      <c r="A209" t="s">
        <v>260</v>
      </c>
      <c r="B209" s="12">
        <f ca="1">+VLOOKUP($A209,INDIRECT(Adrese!B$2),2,FALSE)</f>
        <v>207</v>
      </c>
      <c r="C209" s="12">
        <f ca="1">+VLOOKUP($A209,INDIRECT(Adrese!C$2),2,FALSE)</f>
        <v>210</v>
      </c>
      <c r="D209" s="12">
        <f ca="1">+VLOOKUP($A209,INDIRECT(Adrese!D$2),2,FALSE)</f>
        <v>215</v>
      </c>
      <c r="E209" s="12">
        <f ca="1">+VLOOKUP($A209,INDIRECT(Adrese!E$2),2,FALSE)</f>
        <v>214</v>
      </c>
      <c r="F209" s="12">
        <f ca="1">+VLOOKUP($A209,INDIRECT(Adrese!F$2),2,FALSE)</f>
        <v>218</v>
      </c>
      <c r="G209" s="5">
        <f t="shared" ca="1" si="63"/>
        <v>212.8</v>
      </c>
      <c r="H209" s="5">
        <f t="shared" ca="1" si="71"/>
        <v>4.32434966208793</v>
      </c>
      <c r="J209" t="s">
        <v>260</v>
      </c>
      <c r="K209">
        <f ca="1">+VLOOKUP($A209,INDIRECT(Adrese!B$2),3,FALSE)</f>
        <v>92</v>
      </c>
      <c r="L209">
        <f ca="1">+VLOOKUP($A209,INDIRECT(Adrese!C$2),3,FALSE)</f>
        <v>87</v>
      </c>
      <c r="M209">
        <f ca="1">+VLOOKUP($A209,INDIRECT(Adrese!D$2),3,FALSE)</f>
        <v>88</v>
      </c>
      <c r="N209">
        <f ca="1">+VLOOKUP($A209,INDIRECT(Adrese!E$2),3,FALSE)</f>
        <v>92</v>
      </c>
      <c r="O209">
        <f ca="1">+VLOOKUP($A209,INDIRECT(Adrese!F$2),3,FALSE)</f>
        <v>90</v>
      </c>
      <c r="P209" s="5">
        <f t="shared" ca="1" si="64"/>
        <v>89.8</v>
      </c>
      <c r="Q209" s="5">
        <f t="shared" ca="1" si="72"/>
        <v>2.2803508501982761</v>
      </c>
      <c r="T209" t="s">
        <v>260</v>
      </c>
      <c r="U209">
        <f ca="1">+VLOOKUP($T209,INDIRECT(Adrese!B$2),4,FALSE)</f>
        <v>85226</v>
      </c>
      <c r="V209">
        <f ca="1">+VLOOKUP($T209,INDIRECT(Adrese!C$2),4,FALSE)</f>
        <v>85217</v>
      </c>
      <c r="W209">
        <f ca="1">+VLOOKUP($T209,INDIRECT(Adrese!D$2),4,FALSE)</f>
        <v>84242</v>
      </c>
      <c r="X209">
        <f ca="1">+VLOOKUP($T209,INDIRECT(Adrese!E$2),4,FALSE)</f>
        <v>84328</v>
      </c>
      <c r="Y209">
        <f ca="1">+VLOOKUP($T209,INDIRECT(Adrese!F$2),4,FALSE)</f>
        <v>83981</v>
      </c>
      <c r="Z209">
        <f t="shared" ca="1" si="73"/>
        <v>422994</v>
      </c>
      <c r="AA209" s="5">
        <f t="shared" ca="1" si="65"/>
        <v>84598.8</v>
      </c>
      <c r="AB209" s="5">
        <f t="shared" ca="1" si="74"/>
        <v>582.63770904396495</v>
      </c>
      <c r="AD209" t="s">
        <v>260</v>
      </c>
      <c r="AE209">
        <f ca="1">+VLOOKUP($A209,INDIRECT(Adrese!B$2),5,FALSE)</f>
        <v>24603</v>
      </c>
      <c r="AF209">
        <f ca="1">+VLOOKUP($A209,INDIRECT(Adrese!C$2),5,FALSE)</f>
        <v>24653</v>
      </c>
      <c r="AG209">
        <f ca="1">+VLOOKUP($A209,INDIRECT(Adrese!D$2),5,FALSE)</f>
        <v>24490</v>
      </c>
      <c r="AH209">
        <f ca="1">+VLOOKUP($A209,INDIRECT(Adrese!E$2),5,FALSE)</f>
        <v>24307</v>
      </c>
      <c r="AI209">
        <f ca="1">+VLOOKUP($A209,INDIRECT(Adrese!F$2),5,FALSE)</f>
        <v>24633</v>
      </c>
      <c r="AJ209" s="5">
        <f t="shared" ca="1" si="66"/>
        <v>24537.200000000001</v>
      </c>
      <c r="AK209" s="5">
        <f t="shared" ca="1" si="75"/>
        <v>143.29759244313914</v>
      </c>
      <c r="AM209" t="s">
        <v>260</v>
      </c>
      <c r="AN209" s="5">
        <f ca="1">+VLOOKUP($A209,INDIRECT(Adrese!B$2),6,FALSE)</f>
        <v>0.54431415929203542</v>
      </c>
      <c r="AO209" s="5">
        <f ca="1">+VLOOKUP($A209,INDIRECT(Adrese!C$2),6,FALSE)</f>
        <v>0.545420354</v>
      </c>
      <c r="AP209" s="5">
        <f ca="1">+VLOOKUP($A209,INDIRECT(Adrese!D$2),6,FALSE)</f>
        <v>0.54181415899999996</v>
      </c>
      <c r="AQ209" s="5">
        <f ca="1">+VLOOKUP($A209,INDIRECT(Adrese!E$2),6,FALSE)</f>
        <v>0.53776548700000004</v>
      </c>
      <c r="AR209" s="5">
        <f ca="1">+VLOOKUP($A209,INDIRECT(Adrese!F$2),6,FALSE)</f>
        <v>0.54497787600000003</v>
      </c>
      <c r="AS209" s="5" t="str">
        <f t="shared" ca="1" si="76"/>
        <v>0.54 (0.00)</v>
      </c>
      <c r="AT209" s="5">
        <f t="shared" ca="1" si="67"/>
        <v>0.54285840705840704</v>
      </c>
      <c r="AU209" s="5">
        <f t="shared" ca="1" si="77"/>
        <v>3.1703006174667449E-3</v>
      </c>
      <c r="AW209" t="s">
        <v>260</v>
      </c>
      <c r="AX209" s="5">
        <f ca="1">+VLOOKUP($A209,INDIRECT(Adrese!B$2),7,FALSE)</f>
        <v>0.59292035398230092</v>
      </c>
      <c r="AY209" s="5">
        <f ca="1">+VLOOKUP($A209,INDIRECT(Adrese!C$2),7,FALSE)</f>
        <v>0.61504424800000002</v>
      </c>
      <c r="AZ209" s="5">
        <f ca="1">+VLOOKUP($A209,INDIRECT(Adrese!D$2),7,FALSE)</f>
        <v>0.61061946899999997</v>
      </c>
      <c r="BA209" s="5">
        <f ca="1">+VLOOKUP($A209,INDIRECT(Adrese!E$2),7,FALSE)</f>
        <v>0.59292035399999998</v>
      </c>
      <c r="BB209" s="5">
        <f ca="1">+VLOOKUP($A209,INDIRECT(Adrese!F$2),7,FALSE)</f>
        <v>0.60176991199999996</v>
      </c>
      <c r="BC209" s="5" t="str">
        <f t="shared" ca="1" si="78"/>
        <v>0.60 (0.01)</v>
      </c>
      <c r="BD209">
        <f t="shared" ca="1" si="68"/>
        <v>0.60265486739646013</v>
      </c>
      <c r="BE209" s="5">
        <f t="shared" ca="1" si="79"/>
        <v>1.009004805454998E-2</v>
      </c>
      <c r="BG209" t="s">
        <v>260</v>
      </c>
      <c r="BH209" s="5">
        <f ca="1">+VLOOKUP($BG209,INDIRECT(Adrese!B$2),8,FALSE)</f>
        <v>5.0589251910405107E-2</v>
      </c>
      <c r="BI209" s="5">
        <f ca="1">+VLOOKUP($BG209,INDIRECT(Adrese!C$2),8,FALSE)</f>
        <v>5.0660818000000003E-2</v>
      </c>
      <c r="BJ209" s="5">
        <f ca="1">+VLOOKUP($BG209,INDIRECT(Adrese!D$2),8,FALSE)</f>
        <v>5.0627510000000001E-2</v>
      </c>
      <c r="BK209" s="5">
        <f ca="1">+VLOOKUP($BG209,INDIRECT(Adrese!E$2),8,FALSE)</f>
        <v>5.0118084E-2</v>
      </c>
      <c r="BL209" s="5">
        <f ca="1">+VLOOKUP($BG209,INDIRECT(Adrese!F$2),8,FALSE)</f>
        <v>5.0786183999999998E-2</v>
      </c>
      <c r="BM209" s="5" t="str">
        <f t="shared" ca="1" si="80"/>
        <v>0.05 (0.00)</v>
      </c>
      <c r="BN209" s="5">
        <f t="shared" ca="1" si="69"/>
        <v>5.0556369582081026E-2</v>
      </c>
      <c r="BO209" s="5">
        <f t="shared" ca="1" si="81"/>
        <v>2.5591043195179435E-4</v>
      </c>
      <c r="BQ209" t="s">
        <v>260</v>
      </c>
      <c r="BR209" s="5">
        <f ca="1">+VLOOKUP($BG209,INDIRECT(Adrese!B$2),9,FALSE)</f>
        <v>1.756597688690844E-2</v>
      </c>
      <c r="BS209" s="5">
        <f ca="1">+VLOOKUP($BG209,INDIRECT(Adrese!C$2),9,FALSE)</f>
        <v>1.7606811999999999E-2</v>
      </c>
      <c r="BT209" s="5">
        <f ca="1">+VLOOKUP($BG209,INDIRECT(Adrese!D$2),9,FALSE)</f>
        <v>1.8393455E-2</v>
      </c>
      <c r="BU209" s="5">
        <f ca="1">+VLOOKUP($BG209,INDIRECT(Adrese!E$2),9,FALSE)</f>
        <v>1.7193542999999999E-2</v>
      </c>
      <c r="BV209" s="5">
        <f ca="1">+VLOOKUP($BG209,INDIRECT(Adrese!F$2),9,FALSE)</f>
        <v>1.8080908999999999E-2</v>
      </c>
      <c r="BW209" s="5" t="str">
        <f t="shared" ca="1" si="82"/>
        <v>0.02 (0.00)</v>
      </c>
      <c r="BX209" s="5">
        <f t="shared" ca="1" si="70"/>
        <v>1.7768139177381688E-2</v>
      </c>
      <c r="BY209" s="5">
        <f t="shared" ca="1" si="83"/>
        <v>4.7061174466604851E-4</v>
      </c>
    </row>
    <row r="210" spans="1:77" x14ac:dyDescent="0.25">
      <c r="A210" t="s">
        <v>261</v>
      </c>
      <c r="B210" s="12">
        <f ca="1">+VLOOKUP($A210,INDIRECT(Adrese!B$2),2,FALSE)</f>
        <v>208</v>
      </c>
      <c r="C210" s="12">
        <f ca="1">+VLOOKUP($A210,INDIRECT(Adrese!C$2),2,FALSE)</f>
        <v>194</v>
      </c>
      <c r="D210" s="12">
        <f ca="1">+VLOOKUP($A210,INDIRECT(Adrese!D$2),2,FALSE)</f>
        <v>198</v>
      </c>
      <c r="E210" s="12">
        <f ca="1">+VLOOKUP($A210,INDIRECT(Adrese!E$2),2,FALSE)</f>
        <v>200</v>
      </c>
      <c r="F210" s="12">
        <f ca="1">+VLOOKUP($A210,INDIRECT(Adrese!F$2),2,FALSE)</f>
        <v>199</v>
      </c>
      <c r="G210" s="5">
        <f t="shared" ca="1" si="63"/>
        <v>199.8</v>
      </c>
      <c r="H210" s="5">
        <f t="shared" ca="1" si="71"/>
        <v>5.1185935568278902</v>
      </c>
      <c r="J210" t="s">
        <v>261</v>
      </c>
      <c r="K210">
        <f ca="1">+VLOOKUP($A210,INDIRECT(Adrese!B$2),3,FALSE)</f>
        <v>74</v>
      </c>
      <c r="L210">
        <f ca="1">+VLOOKUP($A210,INDIRECT(Adrese!C$2),3,FALSE)</f>
        <v>77</v>
      </c>
      <c r="M210">
        <f ca="1">+VLOOKUP($A210,INDIRECT(Adrese!D$2),3,FALSE)</f>
        <v>76</v>
      </c>
      <c r="N210">
        <f ca="1">+VLOOKUP($A210,INDIRECT(Adrese!E$2),3,FALSE)</f>
        <v>79</v>
      </c>
      <c r="O210">
        <f ca="1">+VLOOKUP($A210,INDIRECT(Adrese!F$2),3,FALSE)</f>
        <v>79</v>
      </c>
      <c r="P210" s="5">
        <f t="shared" ca="1" si="64"/>
        <v>77</v>
      </c>
      <c r="Q210" s="5">
        <f t="shared" ca="1" si="72"/>
        <v>2.1213203435596424</v>
      </c>
      <c r="T210" t="s">
        <v>261</v>
      </c>
      <c r="U210">
        <f ca="1">+VLOOKUP($T210,INDIRECT(Adrese!B$2),4,FALSE)</f>
        <v>85126</v>
      </c>
      <c r="V210">
        <f ca="1">+VLOOKUP($T210,INDIRECT(Adrese!C$2),4,FALSE)</f>
        <v>87592</v>
      </c>
      <c r="W210">
        <f ca="1">+VLOOKUP($T210,INDIRECT(Adrese!D$2),4,FALSE)</f>
        <v>86092</v>
      </c>
      <c r="X210">
        <f ca="1">+VLOOKUP($T210,INDIRECT(Adrese!E$2),4,FALSE)</f>
        <v>86421</v>
      </c>
      <c r="Y210">
        <f ca="1">+VLOOKUP($T210,INDIRECT(Adrese!F$2),4,FALSE)</f>
        <v>86426</v>
      </c>
      <c r="Z210">
        <f t="shared" ca="1" si="73"/>
        <v>431657</v>
      </c>
      <c r="AA210" s="5">
        <f t="shared" ca="1" si="65"/>
        <v>86331.4</v>
      </c>
      <c r="AB210" s="5">
        <f t="shared" ca="1" si="74"/>
        <v>882.66516867949417</v>
      </c>
      <c r="AD210" t="s">
        <v>261</v>
      </c>
      <c r="AE210">
        <f ca="1">+VLOOKUP($A210,INDIRECT(Adrese!B$2),5,FALSE)</f>
        <v>36174</v>
      </c>
      <c r="AF210">
        <f ca="1">+VLOOKUP($A210,INDIRECT(Adrese!C$2),5,FALSE)</f>
        <v>35707</v>
      </c>
      <c r="AG210">
        <f ca="1">+VLOOKUP($A210,INDIRECT(Adrese!D$2),5,FALSE)</f>
        <v>35969</v>
      </c>
      <c r="AH210">
        <f ca="1">+VLOOKUP($A210,INDIRECT(Adrese!E$2),5,FALSE)</f>
        <v>35868</v>
      </c>
      <c r="AI210">
        <f ca="1">+VLOOKUP($A210,INDIRECT(Adrese!F$2),5,FALSE)</f>
        <v>35853</v>
      </c>
      <c r="AJ210" s="5">
        <f t="shared" ca="1" si="66"/>
        <v>35914.199999999997</v>
      </c>
      <c r="AK210" s="5">
        <f t="shared" ca="1" si="75"/>
        <v>172.70697727654201</v>
      </c>
      <c r="AM210" t="s">
        <v>261</v>
      </c>
      <c r="AN210" s="5">
        <f ca="1">+VLOOKUP($A210,INDIRECT(Adrese!B$2),6,FALSE)</f>
        <v>0.79707964601769909</v>
      </c>
      <c r="AO210" s="5">
        <f ca="1">+VLOOKUP($A210,INDIRECT(Adrese!C$2),6,FALSE)</f>
        <v>0.786747788</v>
      </c>
      <c r="AP210" s="5">
        <f ca="1">+VLOOKUP($A210,INDIRECT(Adrese!D$2),6,FALSE)</f>
        <v>0.79254424800000001</v>
      </c>
      <c r="AQ210" s="5">
        <f ca="1">+VLOOKUP($A210,INDIRECT(Adrese!E$2),6,FALSE)</f>
        <v>0.79030973500000001</v>
      </c>
      <c r="AR210" s="5">
        <f ca="1">+VLOOKUP($A210,INDIRECT(Adrese!F$2),6,FALSE)</f>
        <v>0.78997787600000002</v>
      </c>
      <c r="AS210" s="5" t="str">
        <f t="shared" ca="1" si="76"/>
        <v>0.79 (0.00)</v>
      </c>
      <c r="AT210" s="5">
        <f t="shared" ca="1" si="67"/>
        <v>0.79133185860353983</v>
      </c>
      <c r="AU210" s="5">
        <f t="shared" ca="1" si="77"/>
        <v>3.820950701620487E-3</v>
      </c>
      <c r="AW210" t="s">
        <v>261</v>
      </c>
      <c r="AX210" s="5">
        <f ca="1">+VLOOKUP($A210,INDIRECT(Adrese!B$2),7,FALSE)</f>
        <v>0.67256637168141598</v>
      </c>
      <c r="AY210" s="5">
        <f ca="1">+VLOOKUP($A210,INDIRECT(Adrese!C$2),7,FALSE)</f>
        <v>0.659292035</v>
      </c>
      <c r="AZ210" s="5">
        <f ca="1">+VLOOKUP($A210,INDIRECT(Adrese!D$2),7,FALSE)</f>
        <v>0.66371681400000004</v>
      </c>
      <c r="BA210" s="5">
        <f ca="1">+VLOOKUP($A210,INDIRECT(Adrese!E$2),7,FALSE)</f>
        <v>0.65044247799999999</v>
      </c>
      <c r="BB210" s="5">
        <f ca="1">+VLOOKUP($A210,INDIRECT(Adrese!F$2),7,FALSE)</f>
        <v>0.65044247799999999</v>
      </c>
      <c r="BC210" s="5" t="str">
        <f t="shared" ca="1" si="78"/>
        <v>0.66 (0.01)</v>
      </c>
      <c r="BD210">
        <f t="shared" ca="1" si="68"/>
        <v>0.65929203533628322</v>
      </c>
      <c r="BE210" s="5">
        <f t="shared" ca="1" si="79"/>
        <v>9.3863731244145203E-3</v>
      </c>
      <c r="BG210" t="s">
        <v>261</v>
      </c>
      <c r="BH210" s="5">
        <f ca="1">+VLOOKUP($BG210,INDIRECT(Adrese!B$2),8,FALSE)</f>
        <v>6.8619915666663242E-2</v>
      </c>
      <c r="BI210" s="5">
        <f ca="1">+VLOOKUP($BG210,INDIRECT(Adrese!C$2),8,FALSE)</f>
        <v>6.7766796000000004E-2</v>
      </c>
      <c r="BJ210" s="5">
        <f ca="1">+VLOOKUP($BG210,INDIRECT(Adrese!D$2),8,FALSE)</f>
        <v>6.8231890000000003E-2</v>
      </c>
      <c r="BK210" s="5">
        <f ca="1">+VLOOKUP($BG210,INDIRECT(Adrese!E$2),8,FALSE)</f>
        <v>6.7928207000000004E-2</v>
      </c>
      <c r="BL210" s="5">
        <f ca="1">+VLOOKUP($BG210,INDIRECT(Adrese!F$2),8,FALSE)</f>
        <v>6.8105731000000003E-2</v>
      </c>
      <c r="BM210" s="5" t="str">
        <f t="shared" ca="1" si="80"/>
        <v>0.07 (0.00)</v>
      </c>
      <c r="BN210" s="5">
        <f t="shared" ca="1" si="69"/>
        <v>6.8130507933332654E-2</v>
      </c>
      <c r="BO210" s="5">
        <f t="shared" ca="1" si="81"/>
        <v>3.2543209252727844E-4</v>
      </c>
      <c r="BQ210" t="s">
        <v>261</v>
      </c>
      <c r="BR210" s="5">
        <f ca="1">+VLOOKUP($BG210,INDIRECT(Adrese!B$2),9,FALSE)</f>
        <v>3.642205428419229E-2</v>
      </c>
      <c r="BS210" s="5">
        <f ca="1">+VLOOKUP($BG210,INDIRECT(Adrese!C$2),9,FALSE)</f>
        <v>3.5659285999999998E-2</v>
      </c>
      <c r="BT210" s="5">
        <f ca="1">+VLOOKUP($BG210,INDIRECT(Adrese!D$2),9,FALSE)</f>
        <v>3.5861851E-2</v>
      </c>
      <c r="BU210" s="5">
        <f ca="1">+VLOOKUP($BG210,INDIRECT(Adrese!E$2),9,FALSE)</f>
        <v>3.5410075999999999E-2</v>
      </c>
      <c r="BV210" s="5">
        <f ca="1">+VLOOKUP($BG210,INDIRECT(Adrese!F$2),9,FALSE)</f>
        <v>3.5757786999999999E-2</v>
      </c>
      <c r="BW210" s="5" t="str">
        <f t="shared" ca="1" si="82"/>
        <v>0.04 (0.00)</v>
      </c>
      <c r="BX210" s="5">
        <f t="shared" ca="1" si="70"/>
        <v>3.5822210856838455E-2</v>
      </c>
      <c r="BY210" s="5">
        <f t="shared" ca="1" si="83"/>
        <v>3.7481113938105272E-4</v>
      </c>
    </row>
    <row r="211" spans="1:77" x14ac:dyDescent="0.25">
      <c r="A211" t="s">
        <v>262</v>
      </c>
      <c r="B211" s="12">
        <f ca="1">+VLOOKUP($A211,INDIRECT(Adrese!B$2),2,FALSE)</f>
        <v>209</v>
      </c>
      <c r="C211" s="12">
        <f ca="1">+VLOOKUP($A211,INDIRECT(Adrese!C$2),2,FALSE)</f>
        <v>216</v>
      </c>
      <c r="D211" s="12">
        <f ca="1">+VLOOKUP($A211,INDIRECT(Adrese!D$2),2,FALSE)</f>
        <v>221</v>
      </c>
      <c r="E211" s="12">
        <f ca="1">+VLOOKUP($A211,INDIRECT(Adrese!E$2),2,FALSE)</f>
        <v>204</v>
      </c>
      <c r="F211" s="12">
        <f ca="1">+VLOOKUP($A211,INDIRECT(Adrese!F$2),2,FALSE)</f>
        <v>221</v>
      </c>
      <c r="G211" s="5">
        <f t="shared" ca="1" si="63"/>
        <v>214.2</v>
      </c>
      <c r="H211" s="5">
        <f t="shared" ca="1" si="71"/>
        <v>7.5299402388066801</v>
      </c>
      <c r="J211" t="s">
        <v>262</v>
      </c>
      <c r="K211">
        <f ca="1">+VLOOKUP($A211,INDIRECT(Adrese!B$2),3,FALSE)</f>
        <v>107</v>
      </c>
      <c r="L211">
        <f ca="1">+VLOOKUP($A211,INDIRECT(Adrese!C$2),3,FALSE)</f>
        <v>112</v>
      </c>
      <c r="M211">
        <f ca="1">+VLOOKUP($A211,INDIRECT(Adrese!D$2),3,FALSE)</f>
        <v>112</v>
      </c>
      <c r="N211">
        <f ca="1">+VLOOKUP($A211,INDIRECT(Adrese!E$2),3,FALSE)</f>
        <v>109</v>
      </c>
      <c r="O211">
        <f ca="1">+VLOOKUP($A211,INDIRECT(Adrese!F$2),3,FALSE)</f>
        <v>105</v>
      </c>
      <c r="P211" s="5">
        <f t="shared" ca="1" si="64"/>
        <v>109</v>
      </c>
      <c r="Q211" s="5">
        <f t="shared" ca="1" si="72"/>
        <v>3.082207001484488</v>
      </c>
      <c r="T211" t="s">
        <v>262</v>
      </c>
      <c r="U211">
        <f ca="1">+VLOOKUP($T211,INDIRECT(Adrese!B$2),4,FALSE)</f>
        <v>85125</v>
      </c>
      <c r="V211">
        <f ca="1">+VLOOKUP($T211,INDIRECT(Adrese!C$2),4,FALSE)</f>
        <v>84810</v>
      </c>
      <c r="W211">
        <f ca="1">+VLOOKUP($T211,INDIRECT(Adrese!D$2),4,FALSE)</f>
        <v>83583</v>
      </c>
      <c r="X211">
        <f ca="1">+VLOOKUP($T211,INDIRECT(Adrese!E$2),4,FALSE)</f>
        <v>85379</v>
      </c>
      <c r="Y211">
        <f ca="1">+VLOOKUP($T211,INDIRECT(Adrese!F$2),4,FALSE)</f>
        <v>82889</v>
      </c>
      <c r="Z211">
        <f t="shared" ca="1" si="73"/>
        <v>421786</v>
      </c>
      <c r="AA211" s="5">
        <f t="shared" ca="1" si="65"/>
        <v>84357.2</v>
      </c>
      <c r="AB211" s="5">
        <f t="shared" ca="1" si="74"/>
        <v>1071.6362255915017</v>
      </c>
      <c r="AD211" t="s">
        <v>262</v>
      </c>
      <c r="AE211">
        <f ca="1">+VLOOKUP($A211,INDIRECT(Adrese!B$2),5,FALSE)</f>
        <v>13725</v>
      </c>
      <c r="AF211">
        <f ca="1">+VLOOKUP($A211,INDIRECT(Adrese!C$2),5,FALSE)</f>
        <v>13586</v>
      </c>
      <c r="AG211">
        <f ca="1">+VLOOKUP($A211,INDIRECT(Adrese!D$2),5,FALSE)</f>
        <v>13365</v>
      </c>
      <c r="AH211">
        <f ca="1">+VLOOKUP($A211,INDIRECT(Adrese!E$2),5,FALSE)</f>
        <v>13757</v>
      </c>
      <c r="AI211">
        <f ca="1">+VLOOKUP($A211,INDIRECT(Adrese!F$2),5,FALSE)</f>
        <v>13504</v>
      </c>
      <c r="AJ211" s="5">
        <f t="shared" ca="1" si="66"/>
        <v>13587.4</v>
      </c>
      <c r="AK211" s="5">
        <f t="shared" ca="1" si="75"/>
        <v>161.33598482669638</v>
      </c>
      <c r="AM211" t="s">
        <v>262</v>
      </c>
      <c r="AN211" s="5">
        <f ca="1">+VLOOKUP($A211,INDIRECT(Adrese!B$2),6,FALSE)</f>
        <v>0.30225663716814161</v>
      </c>
      <c r="AO211" s="5">
        <f ca="1">+VLOOKUP($A211,INDIRECT(Adrese!C$2),6,FALSE)</f>
        <v>0.29924778800000001</v>
      </c>
      <c r="AP211" s="5">
        <f ca="1">+VLOOKUP($A211,INDIRECT(Adrese!D$2),6,FALSE)</f>
        <v>0.29446902699999999</v>
      </c>
      <c r="AQ211" s="5">
        <f ca="1">+VLOOKUP($A211,INDIRECT(Adrese!E$2),6,FALSE)</f>
        <v>0.30345132699999999</v>
      </c>
      <c r="AR211" s="5">
        <f ca="1">+VLOOKUP($A211,INDIRECT(Adrese!F$2),6,FALSE)</f>
        <v>0.29827433599999997</v>
      </c>
      <c r="AS211" s="5" t="str">
        <f t="shared" ca="1" si="76"/>
        <v>0.30 (0.00)</v>
      </c>
      <c r="AT211" s="5">
        <f t="shared" ca="1" si="67"/>
        <v>0.29953982303362831</v>
      </c>
      <c r="AU211" s="5">
        <f t="shared" ca="1" si="77"/>
        <v>3.5383843992788937E-3</v>
      </c>
      <c r="AW211" t="s">
        <v>262</v>
      </c>
      <c r="AX211" s="5">
        <f ca="1">+VLOOKUP($A211,INDIRECT(Adrese!B$2),7,FALSE)</f>
        <v>0.52654867256637172</v>
      </c>
      <c r="AY211" s="5">
        <f ca="1">+VLOOKUP($A211,INDIRECT(Adrese!C$2),7,FALSE)</f>
        <v>0.50442477900000005</v>
      </c>
      <c r="AZ211" s="5">
        <f ca="1">+VLOOKUP($A211,INDIRECT(Adrese!D$2),7,FALSE)</f>
        <v>0.50442477900000005</v>
      </c>
      <c r="BA211" s="5">
        <f ca="1">+VLOOKUP($A211,INDIRECT(Adrese!E$2),7,FALSE)</f>
        <v>0.51769911499999999</v>
      </c>
      <c r="BB211" s="5">
        <f ca="1">+VLOOKUP($A211,INDIRECT(Adrese!F$2),7,FALSE)</f>
        <v>0.53539822999999997</v>
      </c>
      <c r="BC211" s="5" t="str">
        <f t="shared" ca="1" si="78"/>
        <v>0.52 (0.01)</v>
      </c>
      <c r="BD211">
        <f t="shared" ca="1" si="68"/>
        <v>0.51769911511327427</v>
      </c>
      <c r="BE211" s="5">
        <f t="shared" ca="1" si="79"/>
        <v>1.3638083932370601E-2</v>
      </c>
      <c r="BG211" t="s">
        <v>262</v>
      </c>
      <c r="BH211" s="5">
        <f ca="1">+VLOOKUP($BG211,INDIRECT(Adrese!B$2),8,FALSE)</f>
        <v>2.794078191942153E-2</v>
      </c>
      <c r="BI211" s="5">
        <f ca="1">+VLOOKUP($BG211,INDIRECT(Adrese!C$2),8,FALSE)</f>
        <v>2.790395E-2</v>
      </c>
      <c r="BJ211" s="5">
        <f ca="1">+VLOOKUP($BG211,INDIRECT(Adrese!D$2),8,FALSE)</f>
        <v>2.7115911999999999E-2</v>
      </c>
      <c r="BK211" s="5">
        <f ca="1">+VLOOKUP($BG211,INDIRECT(Adrese!E$2),8,FALSE)</f>
        <v>2.827228E-2</v>
      </c>
      <c r="BL211" s="5">
        <f ca="1">+VLOOKUP($BG211,INDIRECT(Adrese!F$2),8,FALSE)</f>
        <v>2.7188604000000002E-2</v>
      </c>
      <c r="BM211" s="5" t="str">
        <f t="shared" ca="1" si="80"/>
        <v>0.03 (0.00)</v>
      </c>
      <c r="BN211" s="5">
        <f t="shared" ca="1" si="69"/>
        <v>2.7684305583884305E-2</v>
      </c>
      <c r="BO211" s="5">
        <f t="shared" ca="1" si="81"/>
        <v>5.0708209904665668E-4</v>
      </c>
      <c r="BQ211" t="s">
        <v>262</v>
      </c>
      <c r="BR211" s="5">
        <f ca="1">+VLOOKUP($BG211,INDIRECT(Adrese!B$2),9,FALSE)</f>
        <v>-2.8886296296689581E-2</v>
      </c>
      <c r="BS211" s="5">
        <f ca="1">+VLOOKUP($BG211,INDIRECT(Adrese!C$2),9,FALSE)</f>
        <v>-2.8397524E-2</v>
      </c>
      <c r="BT211" s="5">
        <f ca="1">+VLOOKUP($BG211,INDIRECT(Adrese!D$2),9,FALSE)</f>
        <v>-3.0613477E-2</v>
      </c>
      <c r="BU211" s="5">
        <f ca="1">+VLOOKUP($BG211,INDIRECT(Adrese!E$2),9,FALSE)</f>
        <v>-2.7515805000000001E-2</v>
      </c>
      <c r="BV211" s="5">
        <f ca="1">+VLOOKUP($BG211,INDIRECT(Adrese!F$2),9,FALSE)</f>
        <v>-3.1461467999999999E-2</v>
      </c>
      <c r="BW211" s="5" t="str">
        <f t="shared" ca="1" si="82"/>
        <v>-0.03 (0.00)</v>
      </c>
      <c r="BX211" s="5">
        <f t="shared" ca="1" si="70"/>
        <v>-2.9374914059337915E-2</v>
      </c>
      <c r="BY211" s="5">
        <f t="shared" ca="1" si="83"/>
        <v>1.6231197310930519E-3</v>
      </c>
    </row>
    <row r="212" spans="1:77" x14ac:dyDescent="0.25">
      <c r="A212" t="s">
        <v>263</v>
      </c>
      <c r="B212" s="12">
        <f ca="1">+VLOOKUP($A212,INDIRECT(Adrese!B$2),2,FALSE)</f>
        <v>210</v>
      </c>
      <c r="C212" s="12">
        <f ca="1">+VLOOKUP($A212,INDIRECT(Adrese!C$2),2,FALSE)</f>
        <v>215</v>
      </c>
      <c r="D212" s="12">
        <f ca="1">+VLOOKUP($A212,INDIRECT(Adrese!D$2),2,FALSE)</f>
        <v>208</v>
      </c>
      <c r="E212" s="12">
        <f ca="1">+VLOOKUP($A212,INDIRECT(Adrese!E$2),2,FALSE)</f>
        <v>210</v>
      </c>
      <c r="F212" s="12">
        <f ca="1">+VLOOKUP($A212,INDIRECT(Adrese!F$2),2,FALSE)</f>
        <v>209</v>
      </c>
      <c r="G212" s="5">
        <f t="shared" ref="G212:G229" ca="1" si="84">AVERAGE(B212:F212)</f>
        <v>210.4</v>
      </c>
      <c r="H212" s="5">
        <f t="shared" ca="1" si="71"/>
        <v>2.7018512172212592</v>
      </c>
      <c r="J212" t="s">
        <v>263</v>
      </c>
      <c r="K212">
        <f ca="1">+VLOOKUP($A212,INDIRECT(Adrese!B$2),3,FALSE)</f>
        <v>212</v>
      </c>
      <c r="L212">
        <f ca="1">+VLOOKUP($A212,INDIRECT(Adrese!C$2),3,FALSE)</f>
        <v>211</v>
      </c>
      <c r="M212">
        <f ca="1">+VLOOKUP($A212,INDIRECT(Adrese!D$2),3,FALSE)</f>
        <v>211</v>
      </c>
      <c r="N212">
        <f ca="1">+VLOOKUP($A212,INDIRECT(Adrese!E$2),3,FALSE)</f>
        <v>210</v>
      </c>
      <c r="O212">
        <f ca="1">+VLOOKUP($A212,INDIRECT(Adrese!F$2),3,FALSE)</f>
        <v>210</v>
      </c>
      <c r="P212" s="5">
        <f t="shared" ref="P212:P229" ca="1" si="85">AVERAGE(K212:O212)</f>
        <v>210.8</v>
      </c>
      <c r="Q212" s="5">
        <f t="shared" ca="1" si="72"/>
        <v>0.83666002653407556</v>
      </c>
      <c r="T212" t="s">
        <v>263</v>
      </c>
      <c r="U212">
        <f ca="1">+VLOOKUP($T212,INDIRECT(Adrese!B$2),4,FALSE)</f>
        <v>85108</v>
      </c>
      <c r="V212">
        <f ca="1">+VLOOKUP($T212,INDIRECT(Adrese!C$2),4,FALSE)</f>
        <v>84878</v>
      </c>
      <c r="W212">
        <f ca="1">+VLOOKUP($T212,INDIRECT(Adrese!D$2),4,FALSE)</f>
        <v>84998</v>
      </c>
      <c r="X212">
        <f ca="1">+VLOOKUP($T212,INDIRECT(Adrese!E$2),4,FALSE)</f>
        <v>84765</v>
      </c>
      <c r="Y212">
        <f ca="1">+VLOOKUP($T212,INDIRECT(Adrese!F$2),4,FALSE)</f>
        <v>85048</v>
      </c>
      <c r="Z212">
        <f t="shared" ca="1" si="73"/>
        <v>424797</v>
      </c>
      <c r="AA212" s="5">
        <f t="shared" ref="AA212:AA229" ca="1" si="86">AVERAGE(U212:Y212)</f>
        <v>84959.4</v>
      </c>
      <c r="AB212" s="5">
        <f t="shared" ca="1" si="74"/>
        <v>137.69458958143562</v>
      </c>
      <c r="AD212" t="s">
        <v>263</v>
      </c>
      <c r="AE212">
        <f ca="1">+VLOOKUP($A212,INDIRECT(Adrese!B$2),5,FALSE)</f>
        <v>3970</v>
      </c>
      <c r="AF212">
        <f ca="1">+VLOOKUP($A212,INDIRECT(Adrese!C$2),5,FALSE)</f>
        <v>3534</v>
      </c>
      <c r="AG212">
        <f ca="1">+VLOOKUP($A212,INDIRECT(Adrese!D$2),5,FALSE)</f>
        <v>3785</v>
      </c>
      <c r="AH212">
        <f ca="1">+VLOOKUP($A212,INDIRECT(Adrese!E$2),5,FALSE)</f>
        <v>3586</v>
      </c>
      <c r="AI212">
        <f ca="1">+VLOOKUP($A212,INDIRECT(Adrese!F$2),5,FALSE)</f>
        <v>3591</v>
      </c>
      <c r="AJ212" s="5">
        <f t="shared" ref="AJ212:AJ229" ca="1" si="87">AVERAGE(AE212:AI212)</f>
        <v>3693.2</v>
      </c>
      <c r="AK212" s="5">
        <f t="shared" ca="1" si="75"/>
        <v>181.88375408485498</v>
      </c>
      <c r="AM212" t="s">
        <v>263</v>
      </c>
      <c r="AN212" s="5">
        <f ca="1">+VLOOKUP($A212,INDIRECT(Adrese!B$2),6,FALSE)</f>
        <v>8.7831858407079647E-2</v>
      </c>
      <c r="AO212" s="5">
        <f ca="1">+VLOOKUP($A212,INDIRECT(Adrese!C$2),6,FALSE)</f>
        <v>7.8185841000000006E-2</v>
      </c>
      <c r="AP212" s="5">
        <f ca="1">+VLOOKUP($A212,INDIRECT(Adrese!D$2),6,FALSE)</f>
        <v>8.3738937999999999E-2</v>
      </c>
      <c r="AQ212" s="5">
        <f ca="1">+VLOOKUP($A212,INDIRECT(Adrese!E$2),6,FALSE)</f>
        <v>7.9336282999999994E-2</v>
      </c>
      <c r="AR212" s="5">
        <f ca="1">+VLOOKUP($A212,INDIRECT(Adrese!F$2),6,FALSE)</f>
        <v>7.9446902999999999E-2</v>
      </c>
      <c r="AS212" s="5" t="str">
        <f t="shared" ca="1" si="76"/>
        <v>0.08 (0.00)</v>
      </c>
      <c r="AT212" s="5">
        <f t="shared" ref="AT212:AT229" ca="1" si="88">AVERAGE(AN212:AR212)</f>
        <v>8.1707964681415932E-2</v>
      </c>
      <c r="AU212" s="5">
        <f t="shared" ca="1" si="77"/>
        <v>4.0239767685818608E-3</v>
      </c>
      <c r="AW212" t="s">
        <v>263</v>
      </c>
      <c r="AX212" s="5">
        <f ca="1">+VLOOKUP($A212,INDIRECT(Adrese!B$2),7,FALSE)</f>
        <v>6.1946902654867263E-2</v>
      </c>
      <c r="AY212" s="5">
        <f ca="1">+VLOOKUP($A212,INDIRECT(Adrese!C$2),7,FALSE)</f>
        <v>6.6371681000000002E-2</v>
      </c>
      <c r="AZ212" s="5">
        <f ca="1">+VLOOKUP($A212,INDIRECT(Adrese!D$2),7,FALSE)</f>
        <v>6.6371681000000002E-2</v>
      </c>
      <c r="BA212" s="5">
        <f ca="1">+VLOOKUP($A212,INDIRECT(Adrese!E$2),7,FALSE)</f>
        <v>7.0796460000000005E-2</v>
      </c>
      <c r="BB212" s="5">
        <f ca="1">+VLOOKUP($A212,INDIRECT(Adrese!F$2),7,FALSE)</f>
        <v>7.0796460000000005E-2</v>
      </c>
      <c r="BC212" s="5" t="str">
        <f t="shared" ca="1" si="78"/>
        <v>0.07 (0.00)</v>
      </c>
      <c r="BD212">
        <f t="shared" ref="BD212:BD229" ca="1" si="89">AVERAGE(AX212:BB212)</f>
        <v>6.725663693097346E-2</v>
      </c>
      <c r="BE212" s="5">
        <f t="shared" ca="1" si="79"/>
        <v>3.7020354807326007E-3</v>
      </c>
      <c r="BG212" t="s">
        <v>263</v>
      </c>
      <c r="BH212" s="5">
        <f ca="1">+VLOOKUP($BG212,INDIRECT(Adrese!B$2),8,FALSE)</f>
        <v>9.9702132523775255E-3</v>
      </c>
      <c r="BI212" s="5">
        <f ca="1">+VLOOKUP($BG212,INDIRECT(Adrese!C$2),8,FALSE)</f>
        <v>9.0753629999999995E-3</v>
      </c>
      <c r="BJ212" s="5">
        <f ca="1">+VLOOKUP($BG212,INDIRECT(Adrese!D$2),8,FALSE)</f>
        <v>9.4969900000000003E-3</v>
      </c>
      <c r="BK212" s="5">
        <f ca="1">+VLOOKUP($BG212,INDIRECT(Adrese!E$2),8,FALSE)</f>
        <v>8.9142470000000001E-3</v>
      </c>
      <c r="BL212" s="5">
        <f ca="1">+VLOOKUP($BG212,INDIRECT(Adrese!F$2),8,FALSE)</f>
        <v>8.9817669999999999E-3</v>
      </c>
      <c r="BM212" s="5" t="str">
        <f t="shared" ca="1" si="80"/>
        <v>0.01 (0.00)</v>
      </c>
      <c r="BN212" s="5">
        <f t="shared" ref="BN212:BN229" ca="1" si="90">AVERAGE(BH212:BL212)</f>
        <v>9.2877160504755054E-3</v>
      </c>
      <c r="BO212" s="5">
        <f t="shared" ca="1" si="81"/>
        <v>4.4378367132812E-4</v>
      </c>
      <c r="BQ212" t="s">
        <v>263</v>
      </c>
      <c r="BR212" s="5">
        <f ca="1">+VLOOKUP($BG212,INDIRECT(Adrese!B$2),9,FALSE)</f>
        <v>-5.527439710492691E-2</v>
      </c>
      <c r="BS212" s="5">
        <f ca="1">+VLOOKUP($BG212,INDIRECT(Adrese!C$2),9,FALSE)</f>
        <v>-5.6539240999999997E-2</v>
      </c>
      <c r="BT212" s="5">
        <f ca="1">+VLOOKUP($BG212,INDIRECT(Adrese!D$2),9,FALSE)</f>
        <v>-5.6162864E-2</v>
      </c>
      <c r="BU212" s="5">
        <f ca="1">+VLOOKUP($BG212,INDIRECT(Adrese!E$2),9,FALSE)</f>
        <v>-5.7463834999999998E-2</v>
      </c>
      <c r="BV212" s="5">
        <f ca="1">+VLOOKUP($BG212,INDIRECT(Adrese!F$2),9,FALSE)</f>
        <v>-5.7470864000000003E-2</v>
      </c>
      <c r="BW212" s="5" t="str">
        <f t="shared" ca="1" si="82"/>
        <v>-0.06 (0.00)</v>
      </c>
      <c r="BX212" s="5">
        <f t="shared" ref="BX212:BX229" ca="1" si="91">AVERAGE(BR212:BV212)</f>
        <v>-5.6582240220985382E-2</v>
      </c>
      <c r="BY212" s="5">
        <f t="shared" ca="1" si="83"/>
        <v>9.2938696716853627E-4</v>
      </c>
    </row>
    <row r="213" spans="1:77" x14ac:dyDescent="0.25">
      <c r="A213" t="s">
        <v>264</v>
      </c>
      <c r="B213" s="12">
        <f ca="1">+VLOOKUP($A213,INDIRECT(Adrese!B$2),2,FALSE)</f>
        <v>211</v>
      </c>
      <c r="C213" s="12">
        <f ca="1">+VLOOKUP($A213,INDIRECT(Adrese!C$2),2,FALSE)</f>
        <v>200</v>
      </c>
      <c r="D213" s="12">
        <f ca="1">+VLOOKUP($A213,INDIRECT(Adrese!D$2),2,FALSE)</f>
        <v>218</v>
      </c>
      <c r="E213" s="12">
        <f ca="1">+VLOOKUP($A213,INDIRECT(Adrese!E$2),2,FALSE)</f>
        <v>217</v>
      </c>
      <c r="F213" s="12">
        <f ca="1">+VLOOKUP($A213,INDIRECT(Adrese!F$2),2,FALSE)</f>
        <v>219</v>
      </c>
      <c r="G213" s="5">
        <f t="shared" ca="1" si="84"/>
        <v>213</v>
      </c>
      <c r="H213" s="5">
        <f t="shared" ca="1" si="71"/>
        <v>7.9056941504209481</v>
      </c>
      <c r="J213" t="s">
        <v>264</v>
      </c>
      <c r="K213">
        <f ca="1">+VLOOKUP($A213,INDIRECT(Adrese!B$2),3,FALSE)</f>
        <v>85</v>
      </c>
      <c r="L213">
        <f ca="1">+VLOOKUP($A213,INDIRECT(Adrese!C$2),3,FALSE)</f>
        <v>83</v>
      </c>
      <c r="M213">
        <f ca="1">+VLOOKUP($A213,INDIRECT(Adrese!D$2),3,FALSE)</f>
        <v>81</v>
      </c>
      <c r="N213">
        <f ca="1">+VLOOKUP($A213,INDIRECT(Adrese!E$2),3,FALSE)</f>
        <v>84</v>
      </c>
      <c r="O213">
        <f ca="1">+VLOOKUP($A213,INDIRECT(Adrese!F$2),3,FALSE)</f>
        <v>78</v>
      </c>
      <c r="P213" s="5">
        <f t="shared" ca="1" si="85"/>
        <v>82.2</v>
      </c>
      <c r="Q213" s="5">
        <f t="shared" ca="1" si="72"/>
        <v>2.7748873851023217</v>
      </c>
      <c r="T213" t="s">
        <v>264</v>
      </c>
      <c r="U213">
        <f ca="1">+VLOOKUP($T213,INDIRECT(Adrese!B$2),4,FALSE)</f>
        <v>85024</v>
      </c>
      <c r="V213">
        <f ca="1">+VLOOKUP($T213,INDIRECT(Adrese!C$2),4,FALSE)</f>
        <v>85947</v>
      </c>
      <c r="W213">
        <f ca="1">+VLOOKUP($T213,INDIRECT(Adrese!D$2),4,FALSE)</f>
        <v>84114</v>
      </c>
      <c r="X213">
        <f ca="1">+VLOOKUP($T213,INDIRECT(Adrese!E$2),4,FALSE)</f>
        <v>83998</v>
      </c>
      <c r="Y213">
        <f ca="1">+VLOOKUP($T213,INDIRECT(Adrese!F$2),4,FALSE)</f>
        <v>83723</v>
      </c>
      <c r="Z213">
        <f t="shared" ca="1" si="73"/>
        <v>422806</v>
      </c>
      <c r="AA213" s="5">
        <f t="shared" ca="1" si="86"/>
        <v>84561.2</v>
      </c>
      <c r="AB213" s="5">
        <f t="shared" ca="1" si="74"/>
        <v>915.74925607395392</v>
      </c>
      <c r="AD213" t="s">
        <v>264</v>
      </c>
      <c r="AE213">
        <f ca="1">+VLOOKUP($A213,INDIRECT(Adrese!B$2),5,FALSE)</f>
        <v>26986</v>
      </c>
      <c r="AF213">
        <f ca="1">+VLOOKUP($A213,INDIRECT(Adrese!C$2),5,FALSE)</f>
        <v>26813</v>
      </c>
      <c r="AG213">
        <f ca="1">+VLOOKUP($A213,INDIRECT(Adrese!D$2),5,FALSE)</f>
        <v>27164</v>
      </c>
      <c r="AH213">
        <f ca="1">+VLOOKUP($A213,INDIRECT(Adrese!E$2),5,FALSE)</f>
        <v>27204</v>
      </c>
      <c r="AI213">
        <f ca="1">+VLOOKUP($A213,INDIRECT(Adrese!F$2),5,FALSE)</f>
        <v>27246</v>
      </c>
      <c r="AJ213" s="5">
        <f t="shared" ca="1" si="87"/>
        <v>27082.6</v>
      </c>
      <c r="AK213" s="5">
        <f t="shared" ca="1" si="75"/>
        <v>180.33247073114703</v>
      </c>
      <c r="AM213" t="s">
        <v>264</v>
      </c>
      <c r="AN213" s="5">
        <f ca="1">+VLOOKUP($A213,INDIRECT(Adrese!B$2),6,FALSE)</f>
        <v>0.59482300884955752</v>
      </c>
      <c r="AO213" s="5">
        <f ca="1">+VLOOKUP($A213,INDIRECT(Adrese!C$2),6,FALSE)</f>
        <v>0.590995575</v>
      </c>
      <c r="AP213" s="5">
        <f ca="1">+VLOOKUP($A213,INDIRECT(Adrese!D$2),6,FALSE)</f>
        <v>0.59876106200000001</v>
      </c>
      <c r="AQ213" s="5">
        <f ca="1">+VLOOKUP($A213,INDIRECT(Adrese!E$2),6,FALSE)</f>
        <v>0.59964601799999995</v>
      </c>
      <c r="AR213" s="5">
        <f ca="1">+VLOOKUP($A213,INDIRECT(Adrese!F$2),6,FALSE)</f>
        <v>0.60057522100000005</v>
      </c>
      <c r="AS213" s="5" t="str">
        <f t="shared" ca="1" si="76"/>
        <v>0.60 (0.00)</v>
      </c>
      <c r="AT213" s="5">
        <f t="shared" ca="1" si="88"/>
        <v>0.59696017696991155</v>
      </c>
      <c r="AU213" s="5">
        <f t="shared" ca="1" si="77"/>
        <v>3.9896565172991985E-3</v>
      </c>
      <c r="AW213" t="s">
        <v>264</v>
      </c>
      <c r="AX213" s="5">
        <f ca="1">+VLOOKUP($A213,INDIRECT(Adrese!B$2),7,FALSE)</f>
        <v>0.62389380530973448</v>
      </c>
      <c r="AY213" s="5">
        <f ca="1">+VLOOKUP($A213,INDIRECT(Adrese!C$2),7,FALSE)</f>
        <v>0.632743363</v>
      </c>
      <c r="AZ213" s="5">
        <f ca="1">+VLOOKUP($A213,INDIRECT(Adrese!D$2),7,FALSE)</f>
        <v>0.64159292000000001</v>
      </c>
      <c r="BA213" s="5">
        <f ca="1">+VLOOKUP($A213,INDIRECT(Adrese!E$2),7,FALSE)</f>
        <v>0.62831858399999996</v>
      </c>
      <c r="BB213" s="5">
        <f ca="1">+VLOOKUP($A213,INDIRECT(Adrese!F$2),7,FALSE)</f>
        <v>0.65486725700000004</v>
      </c>
      <c r="BC213" s="5" t="str">
        <f t="shared" ca="1" si="78"/>
        <v>0.64 (0.01)</v>
      </c>
      <c r="BD213">
        <f t="shared" ca="1" si="89"/>
        <v>0.63628318586194688</v>
      </c>
      <c r="BE213" s="5">
        <f t="shared" ca="1" si="79"/>
        <v>1.2278262864325066E-2</v>
      </c>
      <c r="BG213" t="s">
        <v>264</v>
      </c>
      <c r="BH213" s="5">
        <f ca="1">+VLOOKUP($BG213,INDIRECT(Adrese!B$2),8,FALSE)</f>
        <v>4.9989926473090127E-2</v>
      </c>
      <c r="BI213" s="5">
        <f ca="1">+VLOOKUP($BG213,INDIRECT(Adrese!C$2),8,FALSE)</f>
        <v>4.9736760999999997E-2</v>
      </c>
      <c r="BJ213" s="5">
        <f ca="1">+VLOOKUP($BG213,INDIRECT(Adrese!D$2),8,FALSE)</f>
        <v>5.0304682000000003E-2</v>
      </c>
      <c r="BK213" s="5">
        <f ca="1">+VLOOKUP($BG213,INDIRECT(Adrese!E$2),8,FALSE)</f>
        <v>5.0382439000000001E-2</v>
      </c>
      <c r="BL213" s="5">
        <f ca="1">+VLOOKUP($BG213,INDIRECT(Adrese!F$2),8,FALSE)</f>
        <v>5.0518971000000003E-2</v>
      </c>
      <c r="BM213" s="5" t="str">
        <f t="shared" ca="1" si="80"/>
        <v>0.05 (0.00)</v>
      </c>
      <c r="BN213" s="5">
        <f t="shared" ca="1" si="90"/>
        <v>5.0186555894618033E-2</v>
      </c>
      <c r="BO213" s="5">
        <f t="shared" ca="1" si="81"/>
        <v>3.1772722053191729E-4</v>
      </c>
      <c r="BQ213" t="s">
        <v>264</v>
      </c>
      <c r="BR213" s="5">
        <f ca="1">+VLOOKUP($BG213,INDIRECT(Adrese!B$2),9,FALSE)</f>
        <v>7.5338296029264229E-3</v>
      </c>
      <c r="BS213" s="5">
        <f ca="1">+VLOOKUP($BG213,INDIRECT(Adrese!C$2),9,FALSE)</f>
        <v>7.547677E-3</v>
      </c>
      <c r="BT213" s="5">
        <f ca="1">+VLOOKUP($BG213,INDIRECT(Adrese!D$2),9,FALSE)</f>
        <v>7.7060439999999996E-3</v>
      </c>
      <c r="BU213" s="5">
        <f ca="1">+VLOOKUP($BG213,INDIRECT(Adrese!E$2),9,FALSE)</f>
        <v>7.7841669999999998E-3</v>
      </c>
      <c r="BV213" s="5">
        <f ca="1">+VLOOKUP($BG213,INDIRECT(Adrese!F$2),9,FALSE)</f>
        <v>7.8414269999999998E-3</v>
      </c>
      <c r="BW213" s="5" t="str">
        <f t="shared" ca="1" si="82"/>
        <v>0.01 (0.00)</v>
      </c>
      <c r="BX213" s="5">
        <f t="shared" ca="1" si="91"/>
        <v>7.6826289205852837E-3</v>
      </c>
      <c r="BY213" s="5">
        <f t="shared" ca="1" si="83"/>
        <v>1.3822837565640096E-4</v>
      </c>
    </row>
    <row r="214" spans="1:77" x14ac:dyDescent="0.25">
      <c r="A214" t="s">
        <v>265</v>
      </c>
      <c r="B214" s="12">
        <f ca="1">+VLOOKUP($A214,INDIRECT(Adrese!B$2),2,FALSE)</f>
        <v>212</v>
      </c>
      <c r="C214" s="12">
        <f ca="1">+VLOOKUP($A214,INDIRECT(Adrese!C$2),2,FALSE)</f>
        <v>217</v>
      </c>
      <c r="D214" s="12">
        <f ca="1">+VLOOKUP($A214,INDIRECT(Adrese!D$2),2,FALSE)</f>
        <v>212</v>
      </c>
      <c r="E214" s="12">
        <f ca="1">+VLOOKUP($A214,INDIRECT(Adrese!E$2),2,FALSE)</f>
        <v>215</v>
      </c>
      <c r="F214" s="12">
        <f ca="1">+VLOOKUP($A214,INDIRECT(Adrese!F$2),2,FALSE)</f>
        <v>212</v>
      </c>
      <c r="G214" s="5">
        <f t="shared" ca="1" si="84"/>
        <v>213.6</v>
      </c>
      <c r="H214" s="5">
        <f t="shared" ca="1" si="71"/>
        <v>2.3021728866442674</v>
      </c>
      <c r="J214" t="s">
        <v>265</v>
      </c>
      <c r="K214">
        <f ca="1">+VLOOKUP($A214,INDIRECT(Adrese!B$2),3,FALSE)</f>
        <v>152</v>
      </c>
      <c r="L214">
        <f ca="1">+VLOOKUP($A214,INDIRECT(Adrese!C$2),3,FALSE)</f>
        <v>155</v>
      </c>
      <c r="M214">
        <f ca="1">+VLOOKUP($A214,INDIRECT(Adrese!D$2),3,FALSE)</f>
        <v>155</v>
      </c>
      <c r="N214">
        <f ca="1">+VLOOKUP($A214,INDIRECT(Adrese!E$2),3,FALSE)</f>
        <v>152</v>
      </c>
      <c r="O214">
        <f ca="1">+VLOOKUP($A214,INDIRECT(Adrese!F$2),3,FALSE)</f>
        <v>156</v>
      </c>
      <c r="P214" s="5">
        <f t="shared" ca="1" si="85"/>
        <v>154</v>
      </c>
      <c r="Q214" s="5">
        <f t="shared" ca="1" si="72"/>
        <v>1.8708286933869707</v>
      </c>
      <c r="T214" t="s">
        <v>265</v>
      </c>
      <c r="U214">
        <f ca="1">+VLOOKUP($T214,INDIRECT(Adrese!B$2),4,FALSE)</f>
        <v>84879</v>
      </c>
      <c r="V214">
        <f ca="1">+VLOOKUP($T214,INDIRECT(Adrese!C$2),4,FALSE)</f>
        <v>84552</v>
      </c>
      <c r="W214">
        <f ca="1">+VLOOKUP($T214,INDIRECT(Adrese!D$2),4,FALSE)</f>
        <v>84623</v>
      </c>
      <c r="X214">
        <f ca="1">+VLOOKUP($T214,INDIRECT(Adrese!E$2),4,FALSE)</f>
        <v>84269</v>
      </c>
      <c r="Y214">
        <f ca="1">+VLOOKUP($T214,INDIRECT(Adrese!F$2),4,FALSE)</f>
        <v>84916</v>
      </c>
      <c r="Z214">
        <f t="shared" ca="1" si="73"/>
        <v>423239</v>
      </c>
      <c r="AA214" s="5">
        <f t="shared" ca="1" si="86"/>
        <v>84647.8</v>
      </c>
      <c r="AB214" s="5">
        <f t="shared" ca="1" si="74"/>
        <v>263.94450174231702</v>
      </c>
      <c r="AD214" t="s">
        <v>265</v>
      </c>
      <c r="AE214">
        <f ca="1">+VLOOKUP($A214,INDIRECT(Adrese!B$2),5,FALSE)</f>
        <v>3259</v>
      </c>
      <c r="AF214">
        <f ca="1">+VLOOKUP($A214,INDIRECT(Adrese!C$2),5,FALSE)</f>
        <v>3351</v>
      </c>
      <c r="AG214">
        <f ca="1">+VLOOKUP($A214,INDIRECT(Adrese!D$2),5,FALSE)</f>
        <v>3266</v>
      </c>
      <c r="AH214">
        <f ca="1">+VLOOKUP($A214,INDIRECT(Adrese!E$2),5,FALSE)</f>
        <v>3292</v>
      </c>
      <c r="AI214">
        <f ca="1">+VLOOKUP($A214,INDIRECT(Adrese!F$2),5,FALSE)</f>
        <v>3320</v>
      </c>
      <c r="AJ214" s="5">
        <f t="shared" ca="1" si="87"/>
        <v>3297.6</v>
      </c>
      <c r="AK214" s="5">
        <f t="shared" ca="1" si="75"/>
        <v>38.318402889473354</v>
      </c>
      <c r="AM214" t="s">
        <v>265</v>
      </c>
      <c r="AN214" s="5">
        <f ca="1">+VLOOKUP($A214,INDIRECT(Adrese!B$2),6,FALSE)</f>
        <v>7.2101769911504424E-2</v>
      </c>
      <c r="AO214" s="5">
        <f ca="1">+VLOOKUP($A214,INDIRECT(Adrese!C$2),6,FALSE)</f>
        <v>7.4137168000000003E-2</v>
      </c>
      <c r="AP214" s="5">
        <f ca="1">+VLOOKUP($A214,INDIRECT(Adrese!D$2),6,FALSE)</f>
        <v>7.2256636999999999E-2</v>
      </c>
      <c r="AQ214" s="5">
        <f ca="1">+VLOOKUP($A214,INDIRECT(Adrese!E$2),6,FALSE)</f>
        <v>7.2831857999999999E-2</v>
      </c>
      <c r="AR214" s="5">
        <f ca="1">+VLOOKUP($A214,INDIRECT(Adrese!F$2),6,FALSE)</f>
        <v>7.3451326999999997E-2</v>
      </c>
      <c r="AS214" s="5" t="str">
        <f t="shared" ca="1" si="76"/>
        <v>0.07 (0.00)</v>
      </c>
      <c r="AT214" s="5">
        <f t="shared" ca="1" si="88"/>
        <v>7.2955751982300893E-2</v>
      </c>
      <c r="AU214" s="5">
        <f t="shared" ca="1" si="77"/>
        <v>8.477522131515304E-4</v>
      </c>
      <c r="AW214" t="s">
        <v>265</v>
      </c>
      <c r="AX214" s="5">
        <f ca="1">+VLOOKUP($A214,INDIRECT(Adrese!B$2),7,FALSE)</f>
        <v>0.32743362831858408</v>
      </c>
      <c r="AY214" s="5">
        <f ca="1">+VLOOKUP($A214,INDIRECT(Adrese!C$2),7,FALSE)</f>
        <v>0.31415929199999998</v>
      </c>
      <c r="AZ214" s="5">
        <f ca="1">+VLOOKUP($A214,INDIRECT(Adrese!D$2),7,FALSE)</f>
        <v>0.31415929199999998</v>
      </c>
      <c r="BA214" s="5">
        <f ca="1">+VLOOKUP($A214,INDIRECT(Adrese!E$2),7,FALSE)</f>
        <v>0.32743362799999998</v>
      </c>
      <c r="BB214" s="5">
        <f ca="1">+VLOOKUP($A214,INDIRECT(Adrese!F$2),7,FALSE)</f>
        <v>0.30973451299999999</v>
      </c>
      <c r="BC214" s="5" t="str">
        <f t="shared" ca="1" si="78"/>
        <v>0.32 (0.01)</v>
      </c>
      <c r="BD214">
        <f t="shared" ca="1" si="89"/>
        <v>0.3185840706637168</v>
      </c>
      <c r="BE214" s="5">
        <f t="shared" ca="1" si="79"/>
        <v>8.2780030657188027E-3</v>
      </c>
      <c r="BG214" t="s">
        <v>265</v>
      </c>
      <c r="BH214" s="5">
        <f ca="1">+VLOOKUP($BG214,INDIRECT(Adrese!B$2),8,FALSE)</f>
        <v>6.354213549277829E-3</v>
      </c>
      <c r="BI214" s="5">
        <f ca="1">+VLOOKUP($BG214,INDIRECT(Adrese!C$2),8,FALSE)</f>
        <v>6.619855E-3</v>
      </c>
      <c r="BJ214" s="5">
        <f ca="1">+VLOOKUP($BG214,INDIRECT(Adrese!D$2),8,FALSE)</f>
        <v>6.3942829999999997E-3</v>
      </c>
      <c r="BK214" s="5">
        <f ca="1">+VLOOKUP($BG214,INDIRECT(Adrese!E$2),8,FALSE)</f>
        <v>6.4562120000000002E-3</v>
      </c>
      <c r="BL214" s="5">
        <f ca="1">+VLOOKUP($BG214,INDIRECT(Adrese!F$2),8,FALSE)</f>
        <v>6.518813E-3</v>
      </c>
      <c r="BM214" s="5" t="str">
        <f t="shared" ca="1" si="80"/>
        <v>0.01 (0.00)</v>
      </c>
      <c r="BN214" s="5">
        <f t="shared" ca="1" si="90"/>
        <v>6.4686753098555667E-3</v>
      </c>
      <c r="BO214" s="5">
        <f t="shared" ca="1" si="81"/>
        <v>1.0507156035048681E-4</v>
      </c>
      <c r="BQ214" t="s">
        <v>265</v>
      </c>
      <c r="BR214" s="5">
        <f ca="1">+VLOOKUP($BG214,INDIRECT(Adrese!B$2),9,FALSE)</f>
        <v>-6.6647723873565295E-2</v>
      </c>
      <c r="BS214" s="5">
        <f ca="1">+VLOOKUP($BG214,INDIRECT(Adrese!C$2),9,FALSE)</f>
        <v>-6.6022063000000006E-2</v>
      </c>
      <c r="BT214" s="5">
        <f ca="1">+VLOOKUP($BG214,INDIRECT(Adrese!D$2),9,FALSE)</f>
        <v>-6.6352491E-2</v>
      </c>
      <c r="BU214" s="5">
        <f ca="1">+VLOOKUP($BG214,INDIRECT(Adrese!E$2),9,FALSE)</f>
        <v>-6.6413061999999995E-2</v>
      </c>
      <c r="BV214" s="5">
        <f ca="1">+VLOOKUP($BG214,INDIRECT(Adrese!F$2),9,FALSE)</f>
        <v>-6.6461424000000005E-2</v>
      </c>
      <c r="BW214" s="5" t="str">
        <f t="shared" ca="1" si="82"/>
        <v>-0.07 (0.00)</v>
      </c>
      <c r="BX214" s="5">
        <f t="shared" ca="1" si="91"/>
        <v>-6.6379352774713046E-2</v>
      </c>
      <c r="BY214" s="5">
        <f t="shared" ca="1" si="83"/>
        <v>2.2818445534476182E-4</v>
      </c>
    </row>
    <row r="215" spans="1:77" x14ac:dyDescent="0.25">
      <c r="A215" t="s">
        <v>266</v>
      </c>
      <c r="B215" s="12">
        <f ca="1">+VLOOKUP($A215,INDIRECT(Adrese!B$2),2,FALSE)</f>
        <v>213</v>
      </c>
      <c r="C215" s="12">
        <f ca="1">+VLOOKUP($A215,INDIRECT(Adrese!C$2),2,FALSE)</f>
        <v>205</v>
      </c>
      <c r="D215" s="12">
        <f ca="1">+VLOOKUP($A215,INDIRECT(Adrese!D$2),2,FALSE)</f>
        <v>202</v>
      </c>
      <c r="E215" s="12">
        <f ca="1">+VLOOKUP($A215,INDIRECT(Adrese!E$2),2,FALSE)</f>
        <v>209</v>
      </c>
      <c r="F215" s="12">
        <f ca="1">+VLOOKUP($A215,INDIRECT(Adrese!F$2),2,FALSE)</f>
        <v>203</v>
      </c>
      <c r="G215" s="5">
        <f t="shared" ca="1" si="84"/>
        <v>206.4</v>
      </c>
      <c r="H215" s="5">
        <f t="shared" ca="1" si="71"/>
        <v>4.5607017003965522</v>
      </c>
      <c r="J215" t="s">
        <v>266</v>
      </c>
      <c r="K215">
        <f ca="1">+VLOOKUP($A215,INDIRECT(Adrese!B$2),3,FALSE)</f>
        <v>69</v>
      </c>
      <c r="L215">
        <f ca="1">+VLOOKUP($A215,INDIRECT(Adrese!C$2),3,FALSE)</f>
        <v>72</v>
      </c>
      <c r="M215">
        <f ca="1">+VLOOKUP($A215,INDIRECT(Adrese!D$2),3,FALSE)</f>
        <v>69</v>
      </c>
      <c r="N215">
        <f ca="1">+VLOOKUP($A215,INDIRECT(Adrese!E$2),3,FALSE)</f>
        <v>67</v>
      </c>
      <c r="O215">
        <f ca="1">+VLOOKUP($A215,INDIRECT(Adrese!F$2),3,FALSE)</f>
        <v>73</v>
      </c>
      <c r="P215" s="5">
        <f t="shared" ca="1" si="85"/>
        <v>70</v>
      </c>
      <c r="Q215" s="5">
        <f t="shared" ca="1" si="72"/>
        <v>2.4494897427831779</v>
      </c>
      <c r="T215" t="s">
        <v>266</v>
      </c>
      <c r="U215">
        <f ca="1">+VLOOKUP($T215,INDIRECT(Adrese!B$2),4,FALSE)</f>
        <v>84842</v>
      </c>
      <c r="V215">
        <f ca="1">+VLOOKUP($T215,INDIRECT(Adrese!C$2),4,FALSE)</f>
        <v>85724</v>
      </c>
      <c r="W215">
        <f ca="1">+VLOOKUP($T215,INDIRECT(Adrese!D$2),4,FALSE)</f>
        <v>85341</v>
      </c>
      <c r="X215">
        <f ca="1">+VLOOKUP($T215,INDIRECT(Adrese!E$2),4,FALSE)</f>
        <v>84815</v>
      </c>
      <c r="Y215">
        <f ca="1">+VLOOKUP($T215,INDIRECT(Adrese!F$2),4,FALSE)</f>
        <v>85889</v>
      </c>
      <c r="Z215">
        <f t="shared" ca="1" si="73"/>
        <v>426611</v>
      </c>
      <c r="AA215" s="5">
        <f t="shared" ca="1" si="86"/>
        <v>85322.2</v>
      </c>
      <c r="AB215" s="5">
        <f t="shared" ca="1" si="74"/>
        <v>492.67200042218758</v>
      </c>
      <c r="AD215" t="s">
        <v>266</v>
      </c>
      <c r="AE215">
        <f ca="1">+VLOOKUP($A215,INDIRECT(Adrese!B$2),5,FALSE)</f>
        <v>22700</v>
      </c>
      <c r="AF215">
        <f ca="1">+VLOOKUP($A215,INDIRECT(Adrese!C$2),5,FALSE)</f>
        <v>22700</v>
      </c>
      <c r="AG215">
        <f ca="1">+VLOOKUP($A215,INDIRECT(Adrese!D$2),5,FALSE)</f>
        <v>22700</v>
      </c>
      <c r="AH215">
        <f ca="1">+VLOOKUP($A215,INDIRECT(Adrese!E$2),5,FALSE)</f>
        <v>22700</v>
      </c>
      <c r="AI215">
        <f ca="1">+VLOOKUP($A215,INDIRECT(Adrese!F$2),5,FALSE)</f>
        <v>22700</v>
      </c>
      <c r="AJ215" s="5">
        <f t="shared" ca="1" si="87"/>
        <v>22700</v>
      </c>
      <c r="AK215" s="5">
        <f t="shared" ca="1" si="75"/>
        <v>0</v>
      </c>
      <c r="AM215" t="s">
        <v>266</v>
      </c>
      <c r="AN215" s="5">
        <f ca="1">+VLOOKUP($A215,INDIRECT(Adrese!B$2),6,FALSE)</f>
        <v>0.5</v>
      </c>
      <c r="AO215" s="5">
        <f ca="1">+VLOOKUP($A215,INDIRECT(Adrese!C$2),6,FALSE)</f>
        <v>0.5</v>
      </c>
      <c r="AP215" s="5">
        <f ca="1">+VLOOKUP($A215,INDIRECT(Adrese!D$2),6,FALSE)</f>
        <v>0.5</v>
      </c>
      <c r="AQ215" s="5">
        <f ca="1">+VLOOKUP($A215,INDIRECT(Adrese!E$2),6,FALSE)</f>
        <v>0.5</v>
      </c>
      <c r="AR215" s="5">
        <f ca="1">+VLOOKUP($A215,INDIRECT(Adrese!F$2),6,FALSE)</f>
        <v>0.5</v>
      </c>
      <c r="AS215" s="5" t="str">
        <f t="shared" ca="1" si="76"/>
        <v>0.50 (0.00)</v>
      </c>
      <c r="AT215" s="5">
        <f t="shared" ca="1" si="88"/>
        <v>0.5</v>
      </c>
      <c r="AU215" s="5">
        <f t="shared" ca="1" si="77"/>
        <v>0</v>
      </c>
      <c r="AW215" t="s">
        <v>266</v>
      </c>
      <c r="AX215" s="5">
        <f ca="1">+VLOOKUP($A215,INDIRECT(Adrese!B$2),7,FALSE)</f>
        <v>0.69469026548672563</v>
      </c>
      <c r="AY215" s="5">
        <f ca="1">+VLOOKUP($A215,INDIRECT(Adrese!C$2),7,FALSE)</f>
        <v>0.68141592900000003</v>
      </c>
      <c r="AZ215" s="5">
        <f ca="1">+VLOOKUP($A215,INDIRECT(Adrese!D$2),7,FALSE)</f>
        <v>0.69469026499999997</v>
      </c>
      <c r="BA215" s="5">
        <f ca="1">+VLOOKUP($A215,INDIRECT(Adrese!E$2),7,FALSE)</f>
        <v>0.70353982299999995</v>
      </c>
      <c r="BB215" s="5">
        <f ca="1">+VLOOKUP($A215,INDIRECT(Adrese!F$2),7,FALSE)</f>
        <v>0.67699114999999999</v>
      </c>
      <c r="BC215" s="5" t="str">
        <f t="shared" ca="1" si="78"/>
        <v>0.69 (0.01)</v>
      </c>
      <c r="BD215">
        <f t="shared" ca="1" si="89"/>
        <v>0.69026548649734509</v>
      </c>
      <c r="BE215" s="5">
        <f t="shared" ca="1" si="79"/>
        <v>1.0838450313948254E-2</v>
      </c>
      <c r="BG215" t="s">
        <v>266</v>
      </c>
      <c r="BH215" s="5">
        <f ca="1">+VLOOKUP($BG215,INDIRECT(Adrese!B$2),8,FALSE)</f>
        <v>4.4897058916053022E-2</v>
      </c>
      <c r="BI215" s="5">
        <f ca="1">+VLOOKUP($BG215,INDIRECT(Adrese!C$2),8,FALSE)</f>
        <v>4.4898209000000001E-2</v>
      </c>
      <c r="BJ215" s="5">
        <f ca="1">+VLOOKUP($BG215,INDIRECT(Adrese!D$2),8,FALSE)</f>
        <v>4.4918474999999999E-2</v>
      </c>
      <c r="BK215" s="5">
        <f ca="1">+VLOOKUP($BG215,INDIRECT(Adrese!E$2),8,FALSE)</f>
        <v>4.4894798E-2</v>
      </c>
      <c r="BL215" s="5">
        <f ca="1">+VLOOKUP($BG215,INDIRECT(Adrese!F$2),8,FALSE)</f>
        <v>4.4985715000000003E-2</v>
      </c>
      <c r="BM215" s="5" t="str">
        <f t="shared" ca="1" si="80"/>
        <v>0.04 (0.00)</v>
      </c>
      <c r="BN215" s="5">
        <f t="shared" ca="1" si="90"/>
        <v>4.4918851183210609E-2</v>
      </c>
      <c r="BO215" s="5">
        <f t="shared" ca="1" si="81"/>
        <v>3.8569644046790904E-5</v>
      </c>
      <c r="BQ215" t="s">
        <v>266</v>
      </c>
      <c r="BR215" s="5">
        <f ca="1">+VLOOKUP($BG215,INDIRECT(Adrese!B$2),9,FALSE)</f>
        <v>0</v>
      </c>
      <c r="BS215" s="5">
        <f ca="1">+VLOOKUP($BG215,INDIRECT(Adrese!C$2),9,FALSE)</f>
        <v>0</v>
      </c>
      <c r="BT215" s="5">
        <f ca="1">+VLOOKUP($BG215,INDIRECT(Adrese!D$2),9,FALSE)</f>
        <v>0</v>
      </c>
      <c r="BU215" s="5">
        <f ca="1">+VLOOKUP($BG215,INDIRECT(Adrese!E$2),9,FALSE)</f>
        <v>0</v>
      </c>
      <c r="BV215" s="5">
        <f ca="1">+VLOOKUP($BG215,INDIRECT(Adrese!F$2),9,FALSE)</f>
        <v>0</v>
      </c>
      <c r="BW215" s="5" t="str">
        <f t="shared" ca="1" si="82"/>
        <v>0.00 (0.00)</v>
      </c>
      <c r="BX215" s="5">
        <f t="shared" ca="1" si="91"/>
        <v>0</v>
      </c>
      <c r="BY215" s="5">
        <f t="shared" ca="1" si="83"/>
        <v>0</v>
      </c>
    </row>
    <row r="216" spans="1:77" x14ac:dyDescent="0.25">
      <c r="A216" t="s">
        <v>267</v>
      </c>
      <c r="B216" s="12">
        <f ca="1">+VLOOKUP($A216,INDIRECT(Adrese!B$2),2,FALSE)</f>
        <v>214</v>
      </c>
      <c r="C216" s="12">
        <f ca="1">+VLOOKUP($A216,INDIRECT(Adrese!C$2),2,FALSE)</f>
        <v>214</v>
      </c>
      <c r="D216" s="12">
        <f ca="1">+VLOOKUP($A216,INDIRECT(Adrese!D$2),2,FALSE)</f>
        <v>219</v>
      </c>
      <c r="E216" s="12">
        <f ca="1">+VLOOKUP($A216,INDIRECT(Adrese!E$2),2,FALSE)</f>
        <v>218</v>
      </c>
      <c r="F216" s="12">
        <f ca="1">+VLOOKUP($A216,INDIRECT(Adrese!F$2),2,FALSE)</f>
        <v>215</v>
      </c>
      <c r="G216" s="5">
        <f t="shared" ca="1" si="84"/>
        <v>216</v>
      </c>
      <c r="H216" s="5">
        <f t="shared" ca="1" si="71"/>
        <v>2.3452078799117149</v>
      </c>
      <c r="J216" t="s">
        <v>267</v>
      </c>
      <c r="K216">
        <f ca="1">+VLOOKUP($A216,INDIRECT(Adrese!B$2),3,FALSE)</f>
        <v>197</v>
      </c>
      <c r="L216">
        <f ca="1">+VLOOKUP($A216,INDIRECT(Adrese!C$2),3,FALSE)</f>
        <v>203</v>
      </c>
      <c r="M216">
        <f ca="1">+VLOOKUP($A216,INDIRECT(Adrese!D$2),3,FALSE)</f>
        <v>205</v>
      </c>
      <c r="N216">
        <f ca="1">+VLOOKUP($A216,INDIRECT(Adrese!E$2),3,FALSE)</f>
        <v>203</v>
      </c>
      <c r="O216">
        <f ca="1">+VLOOKUP($A216,INDIRECT(Adrese!F$2),3,FALSE)</f>
        <v>200</v>
      </c>
      <c r="P216" s="5">
        <f t="shared" ca="1" si="85"/>
        <v>201.6</v>
      </c>
      <c r="Q216" s="5">
        <f t="shared" ca="1" si="72"/>
        <v>3.1304951684997055</v>
      </c>
      <c r="T216" t="s">
        <v>267</v>
      </c>
      <c r="U216">
        <f ca="1">+VLOOKUP($T216,INDIRECT(Adrese!B$2),4,FALSE)</f>
        <v>84631</v>
      </c>
      <c r="V216">
        <f ca="1">+VLOOKUP($T216,INDIRECT(Adrese!C$2),4,FALSE)</f>
        <v>84921</v>
      </c>
      <c r="W216">
        <f ca="1">+VLOOKUP($T216,INDIRECT(Adrese!D$2),4,FALSE)</f>
        <v>83934</v>
      </c>
      <c r="X216">
        <f ca="1">+VLOOKUP($T216,INDIRECT(Adrese!E$2),4,FALSE)</f>
        <v>83680</v>
      </c>
      <c r="Y216">
        <f ca="1">+VLOOKUP($T216,INDIRECT(Adrese!F$2),4,FALSE)</f>
        <v>84700</v>
      </c>
      <c r="Z216">
        <f t="shared" ca="1" si="73"/>
        <v>421866</v>
      </c>
      <c r="AA216" s="5">
        <f t="shared" ca="1" si="86"/>
        <v>84373.2</v>
      </c>
      <c r="AB216" s="5">
        <f t="shared" ca="1" si="74"/>
        <v>535.4359905721692</v>
      </c>
      <c r="AD216" t="s">
        <v>267</v>
      </c>
      <c r="AE216">
        <f ca="1">+VLOOKUP($A216,INDIRECT(Adrese!B$2),5,FALSE)</f>
        <v>5331</v>
      </c>
      <c r="AF216">
        <f ca="1">+VLOOKUP($A216,INDIRECT(Adrese!C$2),5,FALSE)</f>
        <v>5415</v>
      </c>
      <c r="AG216">
        <f ca="1">+VLOOKUP($A216,INDIRECT(Adrese!D$2),5,FALSE)</f>
        <v>5235</v>
      </c>
      <c r="AH216">
        <f ca="1">+VLOOKUP($A216,INDIRECT(Adrese!E$2),5,FALSE)</f>
        <v>5388</v>
      </c>
      <c r="AI216">
        <f ca="1">+VLOOKUP($A216,INDIRECT(Adrese!F$2),5,FALSE)</f>
        <v>5312</v>
      </c>
      <c r="AJ216" s="5">
        <f t="shared" ca="1" si="87"/>
        <v>5336.2</v>
      </c>
      <c r="AK216" s="5">
        <f t="shared" ca="1" si="75"/>
        <v>70.261653837637496</v>
      </c>
      <c r="AM216" t="s">
        <v>267</v>
      </c>
      <c r="AN216" s="5">
        <f ca="1">+VLOOKUP($A216,INDIRECT(Adrese!B$2),6,FALSE)</f>
        <v>0.1179203539823009</v>
      </c>
      <c r="AO216" s="5">
        <f ca="1">+VLOOKUP($A216,INDIRECT(Adrese!C$2),6,FALSE)</f>
        <v>0.119712389</v>
      </c>
      <c r="AP216" s="5">
        <f ca="1">+VLOOKUP($A216,INDIRECT(Adrese!D$2),6,FALSE)</f>
        <v>0.11577433600000001</v>
      </c>
      <c r="AQ216" s="5">
        <f ca="1">+VLOOKUP($A216,INDIRECT(Adrese!E$2),6,FALSE)</f>
        <v>0.119159292</v>
      </c>
      <c r="AR216" s="5">
        <f ca="1">+VLOOKUP($A216,INDIRECT(Adrese!F$2),6,FALSE)</f>
        <v>0.11749999999999999</v>
      </c>
      <c r="AS216" s="5" t="str">
        <f t="shared" ca="1" si="76"/>
        <v>0.12 (0.00)</v>
      </c>
      <c r="AT216" s="5">
        <f t="shared" ca="1" si="88"/>
        <v>0.11801327419646017</v>
      </c>
      <c r="AU216" s="5">
        <f t="shared" ca="1" si="77"/>
        <v>1.539908823287762E-3</v>
      </c>
      <c r="AW216" t="s">
        <v>267</v>
      </c>
      <c r="AX216" s="5">
        <f ca="1">+VLOOKUP($A216,INDIRECT(Adrese!B$2),7,FALSE)</f>
        <v>0.12831858407079649</v>
      </c>
      <c r="AY216" s="5">
        <f ca="1">+VLOOKUP($A216,INDIRECT(Adrese!C$2),7,FALSE)</f>
        <v>0.101769912</v>
      </c>
      <c r="AZ216" s="5">
        <f ca="1">+VLOOKUP($A216,INDIRECT(Adrese!D$2),7,FALSE)</f>
        <v>9.2920353999999997E-2</v>
      </c>
      <c r="BA216" s="5">
        <f ca="1">+VLOOKUP($A216,INDIRECT(Adrese!E$2),7,FALSE)</f>
        <v>0.101769912</v>
      </c>
      <c r="BB216" s="5">
        <f ca="1">+VLOOKUP($A216,INDIRECT(Adrese!F$2),7,FALSE)</f>
        <v>0.115044248</v>
      </c>
      <c r="BC216" s="5" t="str">
        <f t="shared" ca="1" si="78"/>
        <v>0.11 (0.01)</v>
      </c>
      <c r="BD216">
        <f t="shared" ca="1" si="89"/>
        <v>0.10796460201415929</v>
      </c>
      <c r="BE216" s="5">
        <f t="shared" ca="1" si="79"/>
        <v>1.3851748444703117E-2</v>
      </c>
      <c r="BG216" t="s">
        <v>267</v>
      </c>
      <c r="BH216" s="5">
        <f ca="1">+VLOOKUP($BG216,INDIRECT(Adrese!B$2),8,FALSE)</f>
        <v>1.184243638639065E-2</v>
      </c>
      <c r="BI216" s="5">
        <f ca="1">+VLOOKUP($BG216,INDIRECT(Adrese!C$2),8,FALSE)</f>
        <v>1.1773392000000001E-2</v>
      </c>
      <c r="BJ216" s="5">
        <f ca="1">+VLOOKUP($BG216,INDIRECT(Adrese!D$2),8,FALSE)</f>
        <v>1.1674116999999999E-2</v>
      </c>
      <c r="BK216" s="5">
        <f ca="1">+VLOOKUP($BG216,INDIRECT(Adrese!E$2),8,FALSE)</f>
        <v>1.17363E-2</v>
      </c>
      <c r="BL216" s="5">
        <f ca="1">+VLOOKUP($BG216,INDIRECT(Adrese!F$2),8,FALSE)</f>
        <v>1.1724241999999999E-2</v>
      </c>
      <c r="BM216" s="5" t="str">
        <f t="shared" ca="1" si="80"/>
        <v>0.01 (0.00)</v>
      </c>
      <c r="BN216" s="5">
        <f t="shared" ca="1" si="90"/>
        <v>1.1750097477278129E-2</v>
      </c>
      <c r="BO216" s="5">
        <f t="shared" ca="1" si="81"/>
        <v>6.2651851402937268E-5</v>
      </c>
      <c r="BQ216" t="s">
        <v>267</v>
      </c>
      <c r="BR216" s="5">
        <f ca="1">+VLOOKUP($BG216,INDIRECT(Adrese!B$2),9,FALSE)</f>
        <v>-5.6620948663238503E-2</v>
      </c>
      <c r="BS216" s="5">
        <f ca="1">+VLOOKUP($BG216,INDIRECT(Adrese!C$2),9,FALSE)</f>
        <v>-5.7680043E-2</v>
      </c>
      <c r="BT216" s="5">
        <f ca="1">+VLOOKUP($BG216,INDIRECT(Adrese!D$2),9,FALSE)</f>
        <v>-5.6981057000000002E-2</v>
      </c>
      <c r="BU216" s="5">
        <f ca="1">+VLOOKUP($BG216,INDIRECT(Adrese!E$2),9,FALSE)</f>
        <v>-5.7803449999999999E-2</v>
      </c>
      <c r="BV216" s="5">
        <f ca="1">+VLOOKUP($BG216,INDIRECT(Adrese!F$2),9,FALSE)</f>
        <v>-5.7578838E-2</v>
      </c>
      <c r="BW216" s="5" t="str">
        <f t="shared" ca="1" si="82"/>
        <v>-0.06 (0.00)</v>
      </c>
      <c r="BX216" s="5">
        <f t="shared" ca="1" si="91"/>
        <v>-5.7332867332647711E-2</v>
      </c>
      <c r="BY216" s="5">
        <f t="shared" ca="1" si="83"/>
        <v>5.0820253394259589E-4</v>
      </c>
    </row>
    <row r="217" spans="1:77" x14ac:dyDescent="0.25">
      <c r="A217" t="s">
        <v>268</v>
      </c>
      <c r="B217" s="12">
        <f ca="1">+VLOOKUP($A217,INDIRECT(Adrese!B$2),2,FALSE)</f>
        <v>215</v>
      </c>
      <c r="C217" s="12">
        <f ca="1">+VLOOKUP($A217,INDIRECT(Adrese!C$2),2,FALSE)</f>
        <v>218</v>
      </c>
      <c r="D217" s="12">
        <f ca="1">+VLOOKUP($A217,INDIRECT(Adrese!D$2),2,FALSE)</f>
        <v>203</v>
      </c>
      <c r="E217" s="12">
        <f ca="1">+VLOOKUP($A217,INDIRECT(Adrese!E$2),2,FALSE)</f>
        <v>216</v>
      </c>
      <c r="F217" s="12">
        <f ca="1">+VLOOKUP($A217,INDIRECT(Adrese!F$2),2,FALSE)</f>
        <v>208</v>
      </c>
      <c r="G217" s="5">
        <f t="shared" ca="1" si="84"/>
        <v>212</v>
      </c>
      <c r="H217" s="5">
        <f t="shared" ca="1" si="71"/>
        <v>6.2849025449882676</v>
      </c>
      <c r="J217" t="s">
        <v>268</v>
      </c>
      <c r="K217">
        <f ca="1">+VLOOKUP($A217,INDIRECT(Adrese!B$2),3,FALSE)</f>
        <v>106</v>
      </c>
      <c r="L217">
        <f ca="1">+VLOOKUP($A217,INDIRECT(Adrese!C$2),3,FALSE)</f>
        <v>105</v>
      </c>
      <c r="M217">
        <f ca="1">+VLOOKUP($A217,INDIRECT(Adrese!D$2),3,FALSE)</f>
        <v>106</v>
      </c>
      <c r="N217">
        <f ca="1">+VLOOKUP($A217,INDIRECT(Adrese!E$2),3,FALSE)</f>
        <v>103</v>
      </c>
      <c r="O217">
        <f ca="1">+VLOOKUP($A217,INDIRECT(Adrese!F$2),3,FALSE)</f>
        <v>106</v>
      </c>
      <c r="P217" s="5">
        <f t="shared" ca="1" si="85"/>
        <v>105.2</v>
      </c>
      <c r="Q217" s="5">
        <f t="shared" ca="1" si="72"/>
        <v>1.3038404810405297</v>
      </c>
      <c r="T217" t="s">
        <v>268</v>
      </c>
      <c r="U217">
        <f ca="1">+VLOOKUP($T217,INDIRECT(Adrese!B$2),4,FALSE)</f>
        <v>84368</v>
      </c>
      <c r="V217">
        <f ca="1">+VLOOKUP($T217,INDIRECT(Adrese!C$2),4,FALSE)</f>
        <v>84463</v>
      </c>
      <c r="W217">
        <f ca="1">+VLOOKUP($T217,INDIRECT(Adrese!D$2),4,FALSE)</f>
        <v>85327</v>
      </c>
      <c r="X217">
        <f ca="1">+VLOOKUP($T217,INDIRECT(Adrese!E$2),4,FALSE)</f>
        <v>84254</v>
      </c>
      <c r="Y217">
        <f ca="1">+VLOOKUP($T217,INDIRECT(Adrese!F$2),4,FALSE)</f>
        <v>85064</v>
      </c>
      <c r="Z217">
        <f t="shared" ca="1" si="73"/>
        <v>423476</v>
      </c>
      <c r="AA217" s="5">
        <f t="shared" ca="1" si="86"/>
        <v>84695.2</v>
      </c>
      <c r="AB217" s="5">
        <f t="shared" ca="1" si="74"/>
        <v>471.91598828605072</v>
      </c>
      <c r="AD217" t="s">
        <v>268</v>
      </c>
      <c r="AE217">
        <f ca="1">+VLOOKUP($A217,INDIRECT(Adrese!B$2),5,FALSE)</f>
        <v>14982</v>
      </c>
      <c r="AF217">
        <f ca="1">+VLOOKUP($A217,INDIRECT(Adrese!C$2),5,FALSE)</f>
        <v>14982</v>
      </c>
      <c r="AG217">
        <f ca="1">+VLOOKUP($A217,INDIRECT(Adrese!D$2),5,FALSE)</f>
        <v>14982</v>
      </c>
      <c r="AH217">
        <f ca="1">+VLOOKUP($A217,INDIRECT(Adrese!E$2),5,FALSE)</f>
        <v>14982</v>
      </c>
      <c r="AI217">
        <f ca="1">+VLOOKUP($A217,INDIRECT(Adrese!F$2),5,FALSE)</f>
        <v>14982</v>
      </c>
      <c r="AJ217" s="5">
        <f t="shared" ca="1" si="87"/>
        <v>14982</v>
      </c>
      <c r="AK217" s="5">
        <f t="shared" ca="1" si="75"/>
        <v>0</v>
      </c>
      <c r="AM217" t="s">
        <v>268</v>
      </c>
      <c r="AN217" s="5">
        <f ca="1">+VLOOKUP($A217,INDIRECT(Adrese!B$2),6,FALSE)</f>
        <v>0.33</v>
      </c>
      <c r="AO217" s="5">
        <f ca="1">+VLOOKUP($A217,INDIRECT(Adrese!C$2),6,FALSE)</f>
        <v>0.33</v>
      </c>
      <c r="AP217" s="5">
        <f ca="1">+VLOOKUP($A217,INDIRECT(Adrese!D$2),6,FALSE)</f>
        <v>0.33</v>
      </c>
      <c r="AQ217" s="5">
        <f ca="1">+VLOOKUP($A217,INDIRECT(Adrese!E$2),6,FALSE)</f>
        <v>0.33</v>
      </c>
      <c r="AR217" s="5">
        <f ca="1">+VLOOKUP($A217,INDIRECT(Adrese!F$2),6,FALSE)</f>
        <v>0.33</v>
      </c>
      <c r="AS217" s="5" t="str">
        <f t="shared" ca="1" si="76"/>
        <v>0.33 (0.00)</v>
      </c>
      <c r="AT217" s="5">
        <f t="shared" ca="1" si="88"/>
        <v>0.33</v>
      </c>
      <c r="AU217" s="5">
        <f t="shared" ca="1" si="77"/>
        <v>0</v>
      </c>
      <c r="AW217" t="s">
        <v>268</v>
      </c>
      <c r="AX217" s="5">
        <f ca="1">+VLOOKUP($A217,INDIRECT(Adrese!B$2),7,FALSE)</f>
        <v>0.53097345132743368</v>
      </c>
      <c r="AY217" s="5">
        <f ca="1">+VLOOKUP($A217,INDIRECT(Adrese!C$2),7,FALSE)</f>
        <v>0.53539822999999997</v>
      </c>
      <c r="AZ217" s="5">
        <f ca="1">+VLOOKUP($A217,INDIRECT(Adrese!D$2),7,FALSE)</f>
        <v>0.53097345100000004</v>
      </c>
      <c r="BA217" s="5">
        <f ca="1">+VLOOKUP($A217,INDIRECT(Adrese!E$2),7,FALSE)</f>
        <v>0.54424778799999995</v>
      </c>
      <c r="BB217" s="5">
        <f ca="1">+VLOOKUP($A217,INDIRECT(Adrese!F$2),7,FALSE)</f>
        <v>0.53097345100000004</v>
      </c>
      <c r="BC217" s="5" t="str">
        <f t="shared" ca="1" si="78"/>
        <v>0.53 (0.01)</v>
      </c>
      <c r="BD217">
        <f t="shared" ca="1" si="89"/>
        <v>0.53451327426548667</v>
      </c>
      <c r="BE217" s="5">
        <f t="shared" ca="1" si="79"/>
        <v>5.7692059296319698E-3</v>
      </c>
      <c r="BG217" t="s">
        <v>268</v>
      </c>
      <c r="BH217" s="5">
        <f ca="1">+VLOOKUP($BG217,INDIRECT(Adrese!B$2),8,FALSE)</f>
        <v>2.963205888459499E-2</v>
      </c>
      <c r="BI217" s="5">
        <f ca="1">+VLOOKUP($BG217,INDIRECT(Adrese!C$2),8,FALSE)</f>
        <v>2.9632817999999998E-2</v>
      </c>
      <c r="BJ217" s="5">
        <f ca="1">+VLOOKUP($BG217,INDIRECT(Adrese!D$2),8,FALSE)</f>
        <v>2.9646194000000001E-2</v>
      </c>
      <c r="BK217" s="5">
        <f ca="1">+VLOOKUP($BG217,INDIRECT(Adrese!E$2),8,FALSE)</f>
        <v>2.9630566000000001E-2</v>
      </c>
      <c r="BL217" s="5">
        <f ca="1">+VLOOKUP($BG217,INDIRECT(Adrese!F$2),8,FALSE)</f>
        <v>2.9690571999999998E-2</v>
      </c>
      <c r="BM217" s="5" t="str">
        <f t="shared" ca="1" si="80"/>
        <v>0.03 (0.00)</v>
      </c>
      <c r="BN217" s="5">
        <f t="shared" ca="1" si="90"/>
        <v>2.9646441776918997E-2</v>
      </c>
      <c r="BO217" s="5">
        <f t="shared" ca="1" si="81"/>
        <v>2.5456105183751549E-5</v>
      </c>
      <c r="BQ217" t="s">
        <v>268</v>
      </c>
      <c r="BR217" s="5">
        <f ca="1">+VLOOKUP($BG217,INDIRECT(Adrese!B$2),9,FALSE)</f>
        <v>-2.608733770771942E-2</v>
      </c>
      <c r="BS217" s="5">
        <f ca="1">+VLOOKUP($BG217,INDIRECT(Adrese!C$2),9,FALSE)</f>
        <v>-2.6115089000000001E-2</v>
      </c>
      <c r="BT217" s="5">
        <f ca="1">+VLOOKUP($BG217,INDIRECT(Adrese!D$2),9,FALSE)</f>
        <v>-2.6016858E-2</v>
      </c>
      <c r="BU217" s="5">
        <f ca="1">+VLOOKUP($BG217,INDIRECT(Adrese!E$2),9,FALSE)</f>
        <v>-2.6117141E-2</v>
      </c>
      <c r="BV217" s="5">
        <f ca="1">+VLOOKUP($BG217,INDIRECT(Adrese!F$2),9,FALSE)</f>
        <v>-2.6156440999999999E-2</v>
      </c>
      <c r="BW217" s="5" t="str">
        <f t="shared" ca="1" si="82"/>
        <v>-0.03 (0.00)</v>
      </c>
      <c r="BX217" s="5">
        <f t="shared" ca="1" si="91"/>
        <v>-2.6098573341543883E-2</v>
      </c>
      <c r="BY217" s="5">
        <f t="shared" ca="1" si="83"/>
        <v>5.1888889275659643E-5</v>
      </c>
    </row>
    <row r="218" spans="1:77" x14ac:dyDescent="0.25">
      <c r="A218" t="s">
        <v>23</v>
      </c>
      <c r="B218" s="12">
        <f ca="1">+VLOOKUP($A218,INDIRECT(Adrese!B$2),2,FALSE)</f>
        <v>216</v>
      </c>
      <c r="C218" s="12">
        <f ca="1">+VLOOKUP($A218,INDIRECT(Adrese!C$2),2,FALSE)</f>
        <v>206</v>
      </c>
      <c r="D218" s="12">
        <f ca="1">+VLOOKUP($A218,INDIRECT(Adrese!D$2),2,FALSE)</f>
        <v>205</v>
      </c>
      <c r="E218" s="12">
        <f ca="1">+VLOOKUP($A218,INDIRECT(Adrese!E$2),2,FALSE)</f>
        <v>213</v>
      </c>
      <c r="F218" s="12">
        <f ca="1">+VLOOKUP($A218,INDIRECT(Adrese!F$2),2,FALSE)</f>
        <v>216</v>
      </c>
      <c r="G218" s="5">
        <f t="shared" ca="1" si="84"/>
        <v>211.2</v>
      </c>
      <c r="H218" s="5">
        <f t="shared" ca="1" si="71"/>
        <v>5.3572380943915494</v>
      </c>
      <c r="J218" t="s">
        <v>23</v>
      </c>
      <c r="K218">
        <f ca="1">+VLOOKUP($A218,INDIRECT(Adrese!B$2),3,FALSE)</f>
        <v>77</v>
      </c>
      <c r="L218">
        <f ca="1">+VLOOKUP($A218,INDIRECT(Adrese!C$2),3,FALSE)</f>
        <v>81</v>
      </c>
      <c r="M218">
        <f ca="1">+VLOOKUP($A218,INDIRECT(Adrese!D$2),3,FALSE)</f>
        <v>72</v>
      </c>
      <c r="N218">
        <f ca="1">+VLOOKUP($A218,INDIRECT(Adrese!E$2),3,FALSE)</f>
        <v>80</v>
      </c>
      <c r="O218">
        <f ca="1">+VLOOKUP($A218,INDIRECT(Adrese!F$2),3,FALSE)</f>
        <v>79</v>
      </c>
      <c r="P218" s="5">
        <f t="shared" ca="1" si="85"/>
        <v>77.8</v>
      </c>
      <c r="Q218" s="5">
        <f t="shared" ca="1" si="72"/>
        <v>3.5637059362410923</v>
      </c>
      <c r="T218" t="s">
        <v>23</v>
      </c>
      <c r="U218">
        <f ca="1">+VLOOKUP($T218,INDIRECT(Adrese!B$2),4,FALSE)</f>
        <v>84097</v>
      </c>
      <c r="V218">
        <f ca="1">+VLOOKUP($T218,INDIRECT(Adrese!C$2),4,FALSE)</f>
        <v>85567</v>
      </c>
      <c r="W218">
        <f ca="1">+VLOOKUP($T218,INDIRECT(Adrese!D$2),4,FALSE)</f>
        <v>85239</v>
      </c>
      <c r="X218">
        <f ca="1">+VLOOKUP($T218,INDIRECT(Adrese!E$2),4,FALSE)</f>
        <v>84332</v>
      </c>
      <c r="Y218">
        <f ca="1">+VLOOKUP($T218,INDIRECT(Adrese!F$2),4,FALSE)</f>
        <v>84435</v>
      </c>
      <c r="Z218">
        <f t="shared" ca="1" si="73"/>
        <v>423670</v>
      </c>
      <c r="AA218" s="5">
        <f t="shared" ca="1" si="86"/>
        <v>84734</v>
      </c>
      <c r="AB218" s="5">
        <f t="shared" ca="1" si="74"/>
        <v>633.57872439026869</v>
      </c>
      <c r="AD218" t="s">
        <v>23</v>
      </c>
      <c r="AE218">
        <f ca="1">+VLOOKUP($A218,INDIRECT(Adrese!B$2),5,FALSE)</f>
        <v>22767</v>
      </c>
      <c r="AF218">
        <f ca="1">+VLOOKUP($A218,INDIRECT(Adrese!C$2),5,FALSE)</f>
        <v>22726</v>
      </c>
      <c r="AG218">
        <f ca="1">+VLOOKUP($A218,INDIRECT(Adrese!D$2),5,FALSE)</f>
        <v>22698</v>
      </c>
      <c r="AH218">
        <f ca="1">+VLOOKUP($A218,INDIRECT(Adrese!E$2),5,FALSE)</f>
        <v>22796</v>
      </c>
      <c r="AI218">
        <f ca="1">+VLOOKUP($A218,INDIRECT(Adrese!F$2),5,FALSE)</f>
        <v>22463</v>
      </c>
      <c r="AJ218" s="5">
        <f t="shared" ca="1" si="87"/>
        <v>22690</v>
      </c>
      <c r="AK218" s="5">
        <f t="shared" ca="1" si="75"/>
        <v>132.33858092030457</v>
      </c>
      <c r="AM218" t="s">
        <v>23</v>
      </c>
      <c r="AN218" s="5">
        <f ca="1">+VLOOKUP($A218,INDIRECT(Adrese!B$2),6,FALSE)</f>
        <v>0.50139380530973454</v>
      </c>
      <c r="AO218" s="5">
        <f ca="1">+VLOOKUP($A218,INDIRECT(Adrese!C$2),6,FALSE)</f>
        <v>0.50081858400000001</v>
      </c>
      <c r="AP218" s="5">
        <f ca="1">+VLOOKUP($A218,INDIRECT(Adrese!D$2),6,FALSE)</f>
        <v>0.49991150400000001</v>
      </c>
      <c r="AQ218" s="5">
        <f ca="1">+VLOOKUP($A218,INDIRECT(Adrese!E$2),6,FALSE)</f>
        <v>0.50214601800000003</v>
      </c>
      <c r="AR218" s="5">
        <f ca="1">+VLOOKUP($A218,INDIRECT(Adrese!F$2),6,FALSE)</f>
        <v>0.49466814199999998</v>
      </c>
      <c r="AS218" s="5" t="str">
        <f t="shared" ca="1" si="76"/>
        <v>0.50 (0.00)</v>
      </c>
      <c r="AT218" s="5">
        <f t="shared" ca="1" si="88"/>
        <v>0.49978761066194693</v>
      </c>
      <c r="AU218" s="5">
        <f t="shared" ca="1" si="77"/>
        <v>2.976120015322443E-3</v>
      </c>
      <c r="AW218" t="s">
        <v>23</v>
      </c>
      <c r="AX218" s="5">
        <f ca="1">+VLOOKUP($A218,INDIRECT(Adrese!B$2),7,FALSE)</f>
        <v>0.65929203539823011</v>
      </c>
      <c r="AY218" s="5">
        <f ca="1">+VLOOKUP($A218,INDIRECT(Adrese!C$2),7,FALSE)</f>
        <v>0.64159292000000001</v>
      </c>
      <c r="AZ218" s="5">
        <f ca="1">+VLOOKUP($A218,INDIRECT(Adrese!D$2),7,FALSE)</f>
        <v>0.68141592900000003</v>
      </c>
      <c r="BA218" s="5">
        <f ca="1">+VLOOKUP($A218,INDIRECT(Adrese!E$2),7,FALSE)</f>
        <v>0.64601769899999995</v>
      </c>
      <c r="BB218" s="5">
        <f ca="1">+VLOOKUP($A218,INDIRECT(Adrese!F$2),7,FALSE)</f>
        <v>0.65044247799999999</v>
      </c>
      <c r="BC218" s="5" t="str">
        <f t="shared" ca="1" si="78"/>
        <v>0.66 (0.02)</v>
      </c>
      <c r="BD218">
        <f t="shared" ca="1" si="89"/>
        <v>0.65575221227964609</v>
      </c>
      <c r="BE218" s="5">
        <f t="shared" ca="1" si="79"/>
        <v>1.576861034132318E-2</v>
      </c>
      <c r="BG218" t="s">
        <v>23</v>
      </c>
      <c r="BH218" s="5">
        <f ca="1">+VLOOKUP($BG218,INDIRECT(Adrese!B$2),8,FALSE)</f>
        <v>4.5009574104264941E-2</v>
      </c>
      <c r="BI218" s="5">
        <f ca="1">+VLOOKUP($BG218,INDIRECT(Adrese!C$2),8,FALSE)</f>
        <v>4.5101623E-2</v>
      </c>
      <c r="BJ218" s="5">
        <f ca="1">+VLOOKUP($BG218,INDIRECT(Adrese!D$2),8,FALSE)</f>
        <v>4.4975043999999999E-2</v>
      </c>
      <c r="BK218" s="5">
        <f ca="1">+VLOOKUP($BG218,INDIRECT(Adrese!E$2),8,FALSE)</f>
        <v>4.5042530999999997E-2</v>
      </c>
      <c r="BL218" s="5">
        <f ca="1">+VLOOKUP($BG218,INDIRECT(Adrese!F$2),8,FALSE)</f>
        <v>4.4426285000000003E-2</v>
      </c>
      <c r="BM218" s="5" t="str">
        <f t="shared" ca="1" si="80"/>
        <v>0.04 (0.00)</v>
      </c>
      <c r="BN218" s="5">
        <f t="shared" ca="1" si="90"/>
        <v>4.4911011420852985E-2</v>
      </c>
      <c r="BO218" s="5">
        <f t="shared" ca="1" si="81"/>
        <v>2.7495665596164988E-4</v>
      </c>
      <c r="BQ218" t="s">
        <v>23</v>
      </c>
      <c r="BR218" s="5">
        <f ca="1">+VLOOKUP($BG218,INDIRECT(Adrese!B$2),9,FALSE)</f>
        <v>1.1205944704850841E-4</v>
      </c>
      <c r="BS218" s="5">
        <f ca="1">+VLOOKUP($BG218,INDIRECT(Adrese!C$2),9,FALSE)</f>
        <v>8.8153700000000005E-4</v>
      </c>
      <c r="BT218" s="5">
        <f ca="1">+VLOOKUP($BG218,INDIRECT(Adrese!D$2),9,FALSE)</f>
        <v>3.9363000000000001E-4</v>
      </c>
      <c r="BU218" s="5">
        <f ca="1">+VLOOKUP($BG218,INDIRECT(Adrese!E$2),9,FALSE)</f>
        <v>1.28221E-4</v>
      </c>
      <c r="BV218" s="5">
        <f ca="1">+VLOOKUP($BG218,INDIRECT(Adrese!F$2),9,FALSE)</f>
        <v>-1.0961510000000001E-3</v>
      </c>
      <c r="BW218" s="5" t="str">
        <f t="shared" ca="1" si="82"/>
        <v>0.00 (0.00)</v>
      </c>
      <c r="BX218" s="5">
        <f t="shared" ca="1" si="91"/>
        <v>8.3859289409701687E-5</v>
      </c>
      <c r="BY218" s="5">
        <f t="shared" ca="1" si="83"/>
        <v>7.2928648631424625E-4</v>
      </c>
    </row>
    <row r="219" spans="1:77" x14ac:dyDescent="0.25">
      <c r="A219" t="s">
        <v>269</v>
      </c>
      <c r="B219" s="12">
        <f ca="1">+VLOOKUP($A219,INDIRECT(Adrese!B$2),2,FALSE)</f>
        <v>217</v>
      </c>
      <c r="C219" s="12">
        <f ca="1">+VLOOKUP($A219,INDIRECT(Adrese!C$2),2,FALSE)</f>
        <v>203</v>
      </c>
      <c r="D219" s="12">
        <f ca="1">+VLOOKUP($A219,INDIRECT(Adrese!D$2),2,FALSE)</f>
        <v>214</v>
      </c>
      <c r="E219" s="12">
        <f ca="1">+VLOOKUP($A219,INDIRECT(Adrese!E$2),2,FALSE)</f>
        <v>208</v>
      </c>
      <c r="F219" s="12">
        <f ca="1">+VLOOKUP($A219,INDIRECT(Adrese!F$2),2,FALSE)</f>
        <v>211</v>
      </c>
      <c r="G219" s="5">
        <f t="shared" ca="1" si="84"/>
        <v>210.6</v>
      </c>
      <c r="H219" s="5">
        <f t="shared" ca="1" si="71"/>
        <v>5.4129474410897434</v>
      </c>
      <c r="J219" t="s">
        <v>269</v>
      </c>
      <c r="K219">
        <f ca="1">+VLOOKUP($A219,INDIRECT(Adrese!B$2),3,FALSE)</f>
        <v>173</v>
      </c>
      <c r="L219">
        <f ca="1">+VLOOKUP($A219,INDIRECT(Adrese!C$2),3,FALSE)</f>
        <v>173</v>
      </c>
      <c r="M219">
        <f ca="1">+VLOOKUP($A219,INDIRECT(Adrese!D$2),3,FALSE)</f>
        <v>175</v>
      </c>
      <c r="N219">
        <f ca="1">+VLOOKUP($A219,INDIRECT(Adrese!E$2),3,FALSE)</f>
        <v>170</v>
      </c>
      <c r="O219">
        <f ca="1">+VLOOKUP($A219,INDIRECT(Adrese!F$2),3,FALSE)</f>
        <v>171</v>
      </c>
      <c r="P219" s="5">
        <f t="shared" ca="1" si="85"/>
        <v>172.4</v>
      </c>
      <c r="Q219" s="5">
        <f t="shared" ca="1" si="72"/>
        <v>1.9493588689617927</v>
      </c>
      <c r="T219" t="s">
        <v>269</v>
      </c>
      <c r="U219">
        <f ca="1">+VLOOKUP($T219,INDIRECT(Adrese!B$2),4,FALSE)</f>
        <v>84063</v>
      </c>
      <c r="V219">
        <f ca="1">+VLOOKUP($T219,INDIRECT(Adrese!C$2),4,FALSE)</f>
        <v>85774</v>
      </c>
      <c r="W219">
        <f ca="1">+VLOOKUP($T219,INDIRECT(Adrese!D$2),4,FALSE)</f>
        <v>84371</v>
      </c>
      <c r="X219">
        <f ca="1">+VLOOKUP($T219,INDIRECT(Adrese!E$2),4,FALSE)</f>
        <v>85011</v>
      </c>
      <c r="Y219">
        <f ca="1">+VLOOKUP($T219,INDIRECT(Adrese!F$2),4,FALSE)</f>
        <v>84925</v>
      </c>
      <c r="Z219">
        <f t="shared" ca="1" si="73"/>
        <v>424144</v>
      </c>
      <c r="AA219" s="5">
        <f t="shared" ca="1" si="86"/>
        <v>84828.800000000003</v>
      </c>
      <c r="AB219" s="5">
        <f t="shared" ca="1" si="74"/>
        <v>658.0054711018746</v>
      </c>
      <c r="AD219" t="s">
        <v>269</v>
      </c>
      <c r="AE219">
        <f ca="1">+VLOOKUP($A219,INDIRECT(Adrese!B$2),5,FALSE)</f>
        <v>3894</v>
      </c>
      <c r="AF219">
        <f ca="1">+VLOOKUP($A219,INDIRECT(Adrese!C$2),5,FALSE)</f>
        <v>4567</v>
      </c>
      <c r="AG219">
        <f ca="1">+VLOOKUP($A219,INDIRECT(Adrese!D$2),5,FALSE)</f>
        <v>3924</v>
      </c>
      <c r="AH219">
        <f ca="1">+VLOOKUP($A219,INDIRECT(Adrese!E$2),5,FALSE)</f>
        <v>3888</v>
      </c>
      <c r="AI219">
        <f ca="1">+VLOOKUP($A219,INDIRECT(Adrese!F$2),5,FALSE)</f>
        <v>4262</v>
      </c>
      <c r="AJ219" s="5">
        <f t="shared" ca="1" si="87"/>
        <v>4107</v>
      </c>
      <c r="AK219" s="5">
        <f t="shared" ca="1" si="75"/>
        <v>301.01661083734234</v>
      </c>
      <c r="AM219" t="s">
        <v>269</v>
      </c>
      <c r="AN219" s="5">
        <f ca="1">+VLOOKUP($A219,INDIRECT(Adrese!B$2),6,FALSE)</f>
        <v>8.1792035398230087E-2</v>
      </c>
      <c r="AO219" s="5">
        <f ca="1">+VLOOKUP($A219,INDIRECT(Adrese!C$2),6,FALSE)</f>
        <v>9.6681416000000006E-2</v>
      </c>
      <c r="AP219" s="5">
        <f ca="1">+VLOOKUP($A219,INDIRECT(Adrese!D$2),6,FALSE)</f>
        <v>8.2455751999999993E-2</v>
      </c>
      <c r="AQ219" s="5">
        <f ca="1">+VLOOKUP($A219,INDIRECT(Adrese!E$2),6,FALSE)</f>
        <v>8.1659291999999994E-2</v>
      </c>
      <c r="AR219" s="5">
        <f ca="1">+VLOOKUP($A219,INDIRECT(Adrese!F$2),6,FALSE)</f>
        <v>8.9933628000000002E-2</v>
      </c>
      <c r="AS219" s="5" t="str">
        <f t="shared" ca="1" si="76"/>
        <v>0.09 (0.01)</v>
      </c>
      <c r="AT219" s="5">
        <f t="shared" ca="1" si="88"/>
        <v>8.6504424679646016E-2</v>
      </c>
      <c r="AU219" s="5">
        <f t="shared" ca="1" si="77"/>
        <v>6.65965955655349E-3</v>
      </c>
      <c r="AW219" t="s">
        <v>269</v>
      </c>
      <c r="AX219" s="5">
        <f ca="1">+VLOOKUP($A219,INDIRECT(Adrese!B$2),7,FALSE)</f>
        <v>0.23451327433628319</v>
      </c>
      <c r="AY219" s="5">
        <f ca="1">+VLOOKUP($A219,INDIRECT(Adrese!C$2),7,FALSE)</f>
        <v>0.23451327399999999</v>
      </c>
      <c r="AZ219" s="5">
        <f ca="1">+VLOOKUP($A219,INDIRECT(Adrese!D$2),7,FALSE)</f>
        <v>0.22566371700000001</v>
      </c>
      <c r="BA219" s="5">
        <f ca="1">+VLOOKUP($A219,INDIRECT(Adrese!E$2),7,FALSE)</f>
        <v>0.24778761099999999</v>
      </c>
      <c r="BB219" s="5">
        <f ca="1">+VLOOKUP($A219,INDIRECT(Adrese!F$2),7,FALSE)</f>
        <v>0.243362832</v>
      </c>
      <c r="BC219" s="5" t="str">
        <f t="shared" ca="1" si="78"/>
        <v>0.24 (0.01)</v>
      </c>
      <c r="BD219">
        <f t="shared" ca="1" si="89"/>
        <v>0.23716814166725664</v>
      </c>
      <c r="BE219" s="5">
        <f t="shared" ca="1" si="79"/>
        <v>8.6254818275264787E-3</v>
      </c>
      <c r="BG219" t="s">
        <v>269</v>
      </c>
      <c r="BH219" s="5">
        <f ca="1">+VLOOKUP($BG219,INDIRECT(Adrese!B$2),8,FALSE)</f>
        <v>7.4957642526436996E-3</v>
      </c>
      <c r="BI219" s="5">
        <f ca="1">+VLOOKUP($BG219,INDIRECT(Adrese!C$2),8,FALSE)</f>
        <v>9.0659539999999993E-3</v>
      </c>
      <c r="BJ219" s="5">
        <f ca="1">+VLOOKUP($BG219,INDIRECT(Adrese!D$2),8,FALSE)</f>
        <v>7.5077470000000004E-3</v>
      </c>
      <c r="BK219" s="5">
        <f ca="1">+VLOOKUP($BG219,INDIRECT(Adrese!E$2),8,FALSE)</f>
        <v>7.3616350000000001E-3</v>
      </c>
      <c r="BL219" s="5">
        <f ca="1">+VLOOKUP($BG219,INDIRECT(Adrese!F$2),8,FALSE)</f>
        <v>8.3794990000000003E-3</v>
      </c>
      <c r="BM219" s="5" t="str">
        <f t="shared" ca="1" si="80"/>
        <v>0.01 (0.00)</v>
      </c>
      <c r="BN219" s="5">
        <f t="shared" ca="1" si="90"/>
        <v>7.9621198505287396E-3</v>
      </c>
      <c r="BO219" s="5">
        <f t="shared" ca="1" si="81"/>
        <v>7.3776342255548626E-4</v>
      </c>
      <c r="BQ219" t="s">
        <v>269</v>
      </c>
      <c r="BR219" s="5">
        <f ca="1">+VLOOKUP($BG219,INDIRECT(Adrese!B$2),9,FALSE)</f>
        <v>-6.6322026128595668E-2</v>
      </c>
      <c r="BS219" s="5">
        <f ca="1">+VLOOKUP($BG219,INDIRECT(Adrese!C$2),9,FALSE)</f>
        <v>-6.2946348999999999E-2</v>
      </c>
      <c r="BT219" s="5">
        <f ca="1">+VLOOKUP($BG219,INDIRECT(Adrese!D$2),9,FALSE)</f>
        <v>-6.6230619000000004E-2</v>
      </c>
      <c r="BU219" s="5">
        <f ca="1">+VLOOKUP($BG219,INDIRECT(Adrese!E$2),9,FALSE)</f>
        <v>-6.6500171999999996E-2</v>
      </c>
      <c r="BV219" s="5">
        <f ca="1">+VLOOKUP($BG219,INDIRECT(Adrese!F$2),9,FALSE)</f>
        <v>-6.4673458000000003E-2</v>
      </c>
      <c r="BW219" s="5" t="str">
        <f t="shared" ca="1" si="82"/>
        <v>-0.07 (0.00)</v>
      </c>
      <c r="BX219" s="5">
        <f t="shared" ca="1" si="91"/>
        <v>-6.5334524825719137E-2</v>
      </c>
      <c r="BY219" s="5">
        <f t="shared" ca="1" si="83"/>
        <v>1.5229305671867945E-3</v>
      </c>
    </row>
    <row r="220" spans="1:77" x14ac:dyDescent="0.25">
      <c r="A220" t="s">
        <v>270</v>
      </c>
      <c r="B220" s="12">
        <f ca="1">+VLOOKUP($A220,INDIRECT(Adrese!B$2),2,FALSE)</f>
        <v>218</v>
      </c>
      <c r="C220" s="12">
        <f ca="1">+VLOOKUP($A220,INDIRECT(Adrese!C$2),2,FALSE)</f>
        <v>207</v>
      </c>
      <c r="D220" s="12">
        <f ca="1">+VLOOKUP($A220,INDIRECT(Adrese!D$2),2,FALSE)</f>
        <v>204</v>
      </c>
      <c r="E220" s="12">
        <f ca="1">+VLOOKUP($A220,INDIRECT(Adrese!E$2),2,FALSE)</f>
        <v>203</v>
      </c>
      <c r="F220" s="12">
        <f ca="1">+VLOOKUP($A220,INDIRECT(Adrese!F$2),2,FALSE)</f>
        <v>197</v>
      </c>
      <c r="G220" s="5">
        <f t="shared" ca="1" si="84"/>
        <v>205.8</v>
      </c>
      <c r="H220" s="5">
        <f t="shared" ca="1" si="71"/>
        <v>7.7265775088327429</v>
      </c>
      <c r="J220" t="s">
        <v>270</v>
      </c>
      <c r="K220">
        <f ca="1">+VLOOKUP($A220,INDIRECT(Adrese!B$2),3,FALSE)</f>
        <v>84</v>
      </c>
      <c r="L220">
        <f ca="1">+VLOOKUP($A220,INDIRECT(Adrese!C$2),3,FALSE)</f>
        <v>91</v>
      </c>
      <c r="M220">
        <f ca="1">+VLOOKUP($A220,INDIRECT(Adrese!D$2),3,FALSE)</f>
        <v>87</v>
      </c>
      <c r="N220">
        <f ca="1">+VLOOKUP($A220,INDIRECT(Adrese!E$2),3,FALSE)</f>
        <v>90</v>
      </c>
      <c r="O220">
        <f ca="1">+VLOOKUP($A220,INDIRECT(Adrese!F$2),3,FALSE)</f>
        <v>91</v>
      </c>
      <c r="P220" s="5">
        <f t="shared" ca="1" si="85"/>
        <v>88.6</v>
      </c>
      <c r="Q220" s="5">
        <f t="shared" ca="1" si="72"/>
        <v>3.049590136395381</v>
      </c>
      <c r="T220" t="s">
        <v>270</v>
      </c>
      <c r="U220">
        <f ca="1">+VLOOKUP($T220,INDIRECT(Adrese!B$2),4,FALSE)</f>
        <v>83689</v>
      </c>
      <c r="V220">
        <f ca="1">+VLOOKUP($T220,INDIRECT(Adrese!C$2),4,FALSE)</f>
        <v>85525</v>
      </c>
      <c r="W220">
        <f ca="1">+VLOOKUP($T220,INDIRECT(Adrese!D$2),4,FALSE)</f>
        <v>85312</v>
      </c>
      <c r="X220">
        <f ca="1">+VLOOKUP($T220,INDIRECT(Adrese!E$2),4,FALSE)</f>
        <v>85568</v>
      </c>
      <c r="Y220">
        <f ca="1">+VLOOKUP($T220,INDIRECT(Adrese!F$2),4,FALSE)</f>
        <v>86869</v>
      </c>
      <c r="Z220">
        <f t="shared" ca="1" si="73"/>
        <v>426963</v>
      </c>
      <c r="AA220" s="5">
        <f t="shared" ca="1" si="86"/>
        <v>85392.6</v>
      </c>
      <c r="AB220" s="5">
        <f t="shared" ca="1" si="74"/>
        <v>1133.2256174301742</v>
      </c>
      <c r="AD220" t="s">
        <v>270</v>
      </c>
      <c r="AE220">
        <f ca="1">+VLOOKUP($A220,INDIRECT(Adrese!B$2),5,FALSE)</f>
        <v>16725</v>
      </c>
      <c r="AF220">
        <f ca="1">+VLOOKUP($A220,INDIRECT(Adrese!C$2),5,FALSE)</f>
        <v>16498</v>
      </c>
      <c r="AG220">
        <f ca="1">+VLOOKUP($A220,INDIRECT(Adrese!D$2),5,FALSE)</f>
        <v>16563</v>
      </c>
      <c r="AH220">
        <f ca="1">+VLOOKUP($A220,INDIRECT(Adrese!E$2),5,FALSE)</f>
        <v>16526</v>
      </c>
      <c r="AI220">
        <f ca="1">+VLOOKUP($A220,INDIRECT(Adrese!F$2),5,FALSE)</f>
        <v>16377</v>
      </c>
      <c r="AJ220" s="5">
        <f t="shared" ca="1" si="87"/>
        <v>16537.8</v>
      </c>
      <c r="AK220" s="5">
        <f t="shared" ca="1" si="75"/>
        <v>125.75651076584465</v>
      </c>
      <c r="AM220" t="s">
        <v>270</v>
      </c>
      <c r="AN220" s="5">
        <f ca="1">+VLOOKUP($A220,INDIRECT(Adrese!B$2),6,FALSE)</f>
        <v>0.36783185840707971</v>
      </c>
      <c r="AO220" s="5">
        <f ca="1">+VLOOKUP($A220,INDIRECT(Adrese!C$2),6,FALSE)</f>
        <v>0.36280973500000002</v>
      </c>
      <c r="AP220" s="5">
        <f ca="1">+VLOOKUP($A220,INDIRECT(Adrese!D$2),6,FALSE)</f>
        <v>0.364225664</v>
      </c>
      <c r="AQ220" s="5">
        <f ca="1">+VLOOKUP($A220,INDIRECT(Adrese!E$2),6,FALSE)</f>
        <v>0.36340707999999999</v>
      </c>
      <c r="AR220" s="5">
        <f ca="1">+VLOOKUP($A220,INDIRECT(Adrese!F$2),6,FALSE)</f>
        <v>0.36011061900000002</v>
      </c>
      <c r="AS220" s="5" t="str">
        <f t="shared" ca="1" si="76"/>
        <v>0.36 (0.00)</v>
      </c>
      <c r="AT220" s="5">
        <f t="shared" ca="1" si="88"/>
        <v>0.36367699128141601</v>
      </c>
      <c r="AU220" s="5">
        <f t="shared" ca="1" si="77"/>
        <v>2.7887254880672075E-3</v>
      </c>
      <c r="AW220" t="s">
        <v>270</v>
      </c>
      <c r="AX220" s="5">
        <f ca="1">+VLOOKUP($A220,INDIRECT(Adrese!B$2),7,FALSE)</f>
        <v>0.62831858407079644</v>
      </c>
      <c r="AY220" s="5">
        <f ca="1">+VLOOKUP($A220,INDIRECT(Adrese!C$2),7,FALSE)</f>
        <v>0.59734513300000003</v>
      </c>
      <c r="AZ220" s="5">
        <f ca="1">+VLOOKUP($A220,INDIRECT(Adrese!D$2),7,FALSE)</f>
        <v>0.61504424800000002</v>
      </c>
      <c r="BA220" s="5">
        <f ca="1">+VLOOKUP($A220,INDIRECT(Adrese!E$2),7,FALSE)</f>
        <v>0.60176991199999996</v>
      </c>
      <c r="BB220" s="5">
        <f ca="1">+VLOOKUP($A220,INDIRECT(Adrese!F$2),7,FALSE)</f>
        <v>0.59734513300000003</v>
      </c>
      <c r="BC220" s="5" t="str">
        <f t="shared" ca="1" si="78"/>
        <v>0.61 (0.01)</v>
      </c>
      <c r="BD220">
        <f t="shared" ca="1" si="89"/>
        <v>0.60796460201415936</v>
      </c>
      <c r="BE220" s="5">
        <f t="shared" ca="1" si="79"/>
        <v>1.3493761535461864E-2</v>
      </c>
      <c r="BG220" t="s">
        <v>270</v>
      </c>
      <c r="BH220" s="5">
        <f ca="1">+VLOOKUP($BG220,INDIRECT(Adrese!B$2),8,FALSE)</f>
        <v>3.1601107229436758E-2</v>
      </c>
      <c r="BI220" s="5">
        <f ca="1">+VLOOKUP($BG220,INDIRECT(Adrese!C$2),8,FALSE)</f>
        <v>3.1333912999999998E-2</v>
      </c>
      <c r="BJ220" s="5">
        <f ca="1">+VLOOKUP($BG220,INDIRECT(Adrese!D$2),8,FALSE)</f>
        <v>3.1541384999999998E-2</v>
      </c>
      <c r="BK220" s="5">
        <f ca="1">+VLOOKUP($BG220,INDIRECT(Adrese!E$2),8,FALSE)</f>
        <v>3.1567984E-2</v>
      </c>
      <c r="BL220" s="5">
        <f ca="1">+VLOOKUP($BG220,INDIRECT(Adrese!F$2),8,FALSE)</f>
        <v>3.1163361000000001E-2</v>
      </c>
      <c r="BM220" s="5" t="str">
        <f t="shared" ca="1" si="80"/>
        <v>0.03 (0.00)</v>
      </c>
      <c r="BN220" s="5">
        <f t="shared" ca="1" si="90"/>
        <v>3.1441550045887348E-2</v>
      </c>
      <c r="BO220" s="5">
        <f t="shared" ca="1" si="81"/>
        <v>1.8734055656512518E-4</v>
      </c>
      <c r="BQ220" t="s">
        <v>270</v>
      </c>
      <c r="BR220" s="5">
        <f ca="1">+VLOOKUP($BG220,INDIRECT(Adrese!B$2),9,FALSE)</f>
        <v>-2.285771467753157E-2</v>
      </c>
      <c r="BS220" s="5">
        <f ca="1">+VLOOKUP($BG220,INDIRECT(Adrese!C$2),9,FALSE)</f>
        <v>-2.2845906999999999E-2</v>
      </c>
      <c r="BT220" s="5">
        <f ca="1">+VLOOKUP($BG220,INDIRECT(Adrese!D$2),9,FALSE)</f>
        <v>-2.2108134000000002E-2</v>
      </c>
      <c r="BU220" s="5">
        <f ca="1">+VLOOKUP($BG220,INDIRECT(Adrese!E$2),9,FALSE)</f>
        <v>-2.1934641000000001E-2</v>
      </c>
      <c r="BV220" s="5">
        <f ca="1">+VLOOKUP($BG220,INDIRECT(Adrese!F$2),9,FALSE)</f>
        <v>-2.3231129E-2</v>
      </c>
      <c r="BW220" s="5" t="str">
        <f t="shared" ca="1" si="82"/>
        <v>-0.02 (0.00)</v>
      </c>
      <c r="BX220" s="5">
        <f t="shared" ca="1" si="91"/>
        <v>-2.2595505135506316E-2</v>
      </c>
      <c r="BY220" s="5">
        <f t="shared" ca="1" si="83"/>
        <v>5.4994196605371779E-4</v>
      </c>
    </row>
    <row r="221" spans="1:77" x14ac:dyDescent="0.25">
      <c r="A221" t="s">
        <v>271</v>
      </c>
      <c r="B221" s="12">
        <f ca="1">+VLOOKUP($A221,INDIRECT(Adrese!B$2),2,FALSE)</f>
        <v>219</v>
      </c>
      <c r="C221" s="12">
        <f ca="1">+VLOOKUP($A221,INDIRECT(Adrese!C$2),2,FALSE)</f>
        <v>220</v>
      </c>
      <c r="D221" s="12">
        <f ca="1">+VLOOKUP($A221,INDIRECT(Adrese!D$2),2,FALSE)</f>
        <v>220</v>
      </c>
      <c r="E221" s="12">
        <f ca="1">+VLOOKUP($A221,INDIRECT(Adrese!E$2),2,FALSE)</f>
        <v>221</v>
      </c>
      <c r="F221" s="12">
        <f ca="1">+VLOOKUP($A221,INDIRECT(Adrese!F$2),2,FALSE)</f>
        <v>217</v>
      </c>
      <c r="G221" s="5">
        <f t="shared" ca="1" si="84"/>
        <v>219.4</v>
      </c>
      <c r="H221" s="5">
        <f t="shared" ca="1" si="71"/>
        <v>1.51657508881031</v>
      </c>
      <c r="J221" t="s">
        <v>271</v>
      </c>
      <c r="K221">
        <f ca="1">+VLOOKUP($A221,INDIRECT(Adrese!B$2),3,FALSE)</f>
        <v>75</v>
      </c>
      <c r="L221">
        <f ca="1">+VLOOKUP($A221,INDIRECT(Adrese!C$2),3,FALSE)</f>
        <v>78</v>
      </c>
      <c r="M221">
        <f ca="1">+VLOOKUP($A221,INDIRECT(Adrese!D$2),3,FALSE)</f>
        <v>75</v>
      </c>
      <c r="N221">
        <f ca="1">+VLOOKUP($A221,INDIRECT(Adrese!E$2),3,FALSE)</f>
        <v>73</v>
      </c>
      <c r="O221">
        <f ca="1">+VLOOKUP($A221,INDIRECT(Adrese!F$2),3,FALSE)</f>
        <v>73</v>
      </c>
      <c r="P221" s="5">
        <f t="shared" ca="1" si="85"/>
        <v>74.8</v>
      </c>
      <c r="Q221" s="5">
        <f t="shared" ca="1" si="72"/>
        <v>2.0493901531919194</v>
      </c>
      <c r="T221" t="s">
        <v>271</v>
      </c>
      <c r="U221">
        <f ca="1">+VLOOKUP($T221,INDIRECT(Adrese!B$2),4,FALSE)</f>
        <v>83687</v>
      </c>
      <c r="V221">
        <f ca="1">+VLOOKUP($T221,INDIRECT(Adrese!C$2),4,FALSE)</f>
        <v>83738</v>
      </c>
      <c r="W221">
        <f ca="1">+VLOOKUP($T221,INDIRECT(Adrese!D$2),4,FALSE)</f>
        <v>83717</v>
      </c>
      <c r="X221">
        <f ca="1">+VLOOKUP($T221,INDIRECT(Adrese!E$2),4,FALSE)</f>
        <v>83498</v>
      </c>
      <c r="Y221">
        <f ca="1">+VLOOKUP($T221,INDIRECT(Adrese!F$2),4,FALSE)</f>
        <v>84101</v>
      </c>
      <c r="Z221">
        <f t="shared" ca="1" si="73"/>
        <v>418741</v>
      </c>
      <c r="AA221" s="5">
        <f t="shared" ca="1" si="86"/>
        <v>83748.2</v>
      </c>
      <c r="AB221" s="5">
        <f t="shared" ca="1" si="74"/>
        <v>219.02671069985962</v>
      </c>
      <c r="AD221" t="s">
        <v>271</v>
      </c>
      <c r="AE221">
        <f ca="1">+VLOOKUP($A221,INDIRECT(Adrese!B$2),5,FALSE)</f>
        <v>27377</v>
      </c>
      <c r="AF221">
        <f ca="1">+VLOOKUP($A221,INDIRECT(Adrese!C$2),5,FALSE)</f>
        <v>27360</v>
      </c>
      <c r="AG221">
        <f ca="1">+VLOOKUP($A221,INDIRECT(Adrese!D$2),5,FALSE)</f>
        <v>27351</v>
      </c>
      <c r="AH221">
        <f ca="1">+VLOOKUP($A221,INDIRECT(Adrese!E$2),5,FALSE)</f>
        <v>27410</v>
      </c>
      <c r="AI221">
        <f ca="1">+VLOOKUP($A221,INDIRECT(Adrese!F$2),5,FALSE)</f>
        <v>27274</v>
      </c>
      <c r="AJ221" s="5">
        <f t="shared" ca="1" si="87"/>
        <v>27354.400000000001</v>
      </c>
      <c r="AK221" s="5">
        <f t="shared" ca="1" si="75"/>
        <v>50.272258751721111</v>
      </c>
      <c r="AM221" t="s">
        <v>271</v>
      </c>
      <c r="AN221" s="5">
        <f ca="1">+VLOOKUP($A221,INDIRECT(Adrese!B$2),6,FALSE)</f>
        <v>0.60347345132743357</v>
      </c>
      <c r="AO221" s="5">
        <f ca="1">+VLOOKUP($A221,INDIRECT(Adrese!C$2),6,FALSE)</f>
        <v>0.60309734500000001</v>
      </c>
      <c r="AP221" s="5">
        <f ca="1">+VLOOKUP($A221,INDIRECT(Adrese!D$2),6,FALSE)</f>
        <v>0.60289822999999998</v>
      </c>
      <c r="AQ221" s="5">
        <f ca="1">+VLOOKUP($A221,INDIRECT(Adrese!E$2),6,FALSE)</f>
        <v>0.60420353999999998</v>
      </c>
      <c r="AR221" s="5">
        <f ca="1">+VLOOKUP($A221,INDIRECT(Adrese!F$2),6,FALSE)</f>
        <v>0.60119469000000003</v>
      </c>
      <c r="AS221" s="5" t="str">
        <f t="shared" ca="1" si="76"/>
        <v>0.60 (0.00)</v>
      </c>
      <c r="AT221" s="5">
        <f t="shared" ca="1" si="88"/>
        <v>0.60297345126548674</v>
      </c>
      <c r="AU221" s="5">
        <f t="shared" ca="1" si="77"/>
        <v>1.1122182668604418E-3</v>
      </c>
      <c r="AW221" t="s">
        <v>271</v>
      </c>
      <c r="AX221" s="5">
        <f ca="1">+VLOOKUP($A221,INDIRECT(Adrese!B$2),7,FALSE)</f>
        <v>0.66814159292035402</v>
      </c>
      <c r="AY221" s="5">
        <f ca="1">+VLOOKUP($A221,INDIRECT(Adrese!C$2),7,FALSE)</f>
        <v>0.65486725700000004</v>
      </c>
      <c r="AZ221" s="5">
        <f ca="1">+VLOOKUP($A221,INDIRECT(Adrese!D$2),7,FALSE)</f>
        <v>0.66814159299999998</v>
      </c>
      <c r="BA221" s="5">
        <f ca="1">+VLOOKUP($A221,INDIRECT(Adrese!E$2),7,FALSE)</f>
        <v>0.67699114999999999</v>
      </c>
      <c r="BB221" s="5">
        <f ca="1">+VLOOKUP($A221,INDIRECT(Adrese!F$2),7,FALSE)</f>
        <v>0.67699114999999999</v>
      </c>
      <c r="BC221" s="5" t="str">
        <f t="shared" ca="1" si="78"/>
        <v>0.67 (0.01)</v>
      </c>
      <c r="BD221">
        <f t="shared" ca="1" si="89"/>
        <v>0.66902654858407085</v>
      </c>
      <c r="BE221" s="5">
        <f t="shared" ca="1" si="79"/>
        <v>9.0680976850784703E-3</v>
      </c>
      <c r="BG221" t="s">
        <v>271</v>
      </c>
      <c r="BH221" s="5">
        <f ca="1">+VLOOKUP($BG221,INDIRECT(Adrese!B$2),8,FALSE)</f>
        <v>5.1702010747501317E-2</v>
      </c>
      <c r="BI221" s="5">
        <f ca="1">+VLOOKUP($BG221,INDIRECT(Adrese!C$2),8,FALSE)</f>
        <v>5.1627008000000002E-2</v>
      </c>
      <c r="BJ221" s="5">
        <f ca="1">+VLOOKUP($BG221,INDIRECT(Adrese!D$2),8,FALSE)</f>
        <v>5.1665304000000002E-2</v>
      </c>
      <c r="BK221" s="5">
        <f ca="1">+VLOOKUP($BG221,INDIRECT(Adrese!E$2),8,FALSE)</f>
        <v>5.1716682999999999E-2</v>
      </c>
      <c r="BL221" s="5">
        <f ca="1">+VLOOKUP($BG221,INDIRECT(Adrese!F$2),8,FALSE)</f>
        <v>5.1670761000000003E-2</v>
      </c>
      <c r="BM221" s="5" t="str">
        <f t="shared" ca="1" si="80"/>
        <v>0.05 (0.00)</v>
      </c>
      <c r="BN221" s="5">
        <f t="shared" ca="1" si="90"/>
        <v>5.167635334950027E-2</v>
      </c>
      <c r="BO221" s="5">
        <f t="shared" ca="1" si="81"/>
        <v>3.4903827856806356E-5</v>
      </c>
      <c r="BQ221" t="s">
        <v>271</v>
      </c>
      <c r="BR221" s="5">
        <f ca="1">+VLOOKUP($BG221,INDIRECT(Adrese!B$2),9,FALSE)</f>
        <v>1.2769084299270071E-2</v>
      </c>
      <c r="BS221" s="5">
        <f ca="1">+VLOOKUP($BG221,INDIRECT(Adrese!C$2),9,FALSE)</f>
        <v>1.2542915999999999E-2</v>
      </c>
      <c r="BT221" s="5">
        <f ca="1">+VLOOKUP($BG221,INDIRECT(Adrese!D$2),9,FALSE)</f>
        <v>1.2699126E-2</v>
      </c>
      <c r="BU221" s="5">
        <f ca="1">+VLOOKUP($BG221,INDIRECT(Adrese!E$2),9,FALSE)</f>
        <v>1.2582097E-2</v>
      </c>
      <c r="BV221" s="5">
        <f ca="1">+VLOOKUP($BG221,INDIRECT(Adrese!F$2),9,FALSE)</f>
        <v>1.283724E-2</v>
      </c>
      <c r="BW221" s="5" t="str">
        <f t="shared" ca="1" si="82"/>
        <v>0.01 (0.00)</v>
      </c>
      <c r="BX221" s="5">
        <f t="shared" ca="1" si="91"/>
        <v>1.2686092659854015E-2</v>
      </c>
      <c r="BY221" s="5">
        <f t="shared" ca="1" si="83"/>
        <v>1.237110057724816E-4</v>
      </c>
    </row>
    <row r="222" spans="1:77" x14ac:dyDescent="0.25">
      <c r="A222" t="s">
        <v>272</v>
      </c>
      <c r="B222" s="12">
        <f ca="1">+VLOOKUP($A222,INDIRECT(Adrese!B$2),2,FALSE)</f>
        <v>220</v>
      </c>
      <c r="C222" s="12">
        <f ca="1">+VLOOKUP($A222,INDIRECT(Adrese!C$2),2,FALSE)</f>
        <v>209</v>
      </c>
      <c r="D222" s="12">
        <f ca="1">+VLOOKUP($A222,INDIRECT(Adrese!D$2),2,FALSE)</f>
        <v>206</v>
      </c>
      <c r="E222" s="12">
        <f ca="1">+VLOOKUP($A222,INDIRECT(Adrese!E$2),2,FALSE)</f>
        <v>211</v>
      </c>
      <c r="F222" s="12">
        <f ca="1">+VLOOKUP($A222,INDIRECT(Adrese!F$2),2,FALSE)</f>
        <v>220</v>
      </c>
      <c r="G222" s="5">
        <f t="shared" ca="1" si="84"/>
        <v>213.2</v>
      </c>
      <c r="H222" s="5">
        <f t="shared" ca="1" si="71"/>
        <v>6.4575537163851759</v>
      </c>
      <c r="J222" t="s">
        <v>272</v>
      </c>
      <c r="K222">
        <f ca="1">+VLOOKUP($A222,INDIRECT(Adrese!B$2),3,FALSE)</f>
        <v>188</v>
      </c>
      <c r="L222">
        <f ca="1">+VLOOKUP($A222,INDIRECT(Adrese!C$2),3,FALSE)</f>
        <v>193</v>
      </c>
      <c r="M222">
        <f ca="1">+VLOOKUP($A222,INDIRECT(Adrese!D$2),3,FALSE)</f>
        <v>190</v>
      </c>
      <c r="N222">
        <f ca="1">+VLOOKUP($A222,INDIRECT(Adrese!E$2),3,FALSE)</f>
        <v>200</v>
      </c>
      <c r="O222">
        <f ca="1">+VLOOKUP($A222,INDIRECT(Adrese!F$2),3,FALSE)</f>
        <v>187</v>
      </c>
      <c r="P222" s="5">
        <f t="shared" ca="1" si="85"/>
        <v>191.6</v>
      </c>
      <c r="Q222" s="5">
        <f t="shared" ca="1" si="72"/>
        <v>5.2249401910452526</v>
      </c>
      <c r="T222" t="s">
        <v>272</v>
      </c>
      <c r="U222">
        <f ca="1">+VLOOKUP($T222,INDIRECT(Adrese!B$2),4,FALSE)</f>
        <v>83339</v>
      </c>
      <c r="V222">
        <f ca="1">+VLOOKUP($T222,INDIRECT(Adrese!C$2),4,FALSE)</f>
        <v>85285</v>
      </c>
      <c r="W222">
        <f ca="1">+VLOOKUP($T222,INDIRECT(Adrese!D$2),4,FALSE)</f>
        <v>85136</v>
      </c>
      <c r="X222">
        <f ca="1">+VLOOKUP($T222,INDIRECT(Adrese!E$2),4,FALSE)</f>
        <v>84552</v>
      </c>
      <c r="Y222">
        <f ca="1">+VLOOKUP($T222,INDIRECT(Adrese!F$2),4,FALSE)</f>
        <v>83107</v>
      </c>
      <c r="Z222">
        <f t="shared" ca="1" si="73"/>
        <v>421419</v>
      </c>
      <c r="AA222" s="5">
        <f t="shared" ca="1" si="86"/>
        <v>84283.8</v>
      </c>
      <c r="AB222" s="5">
        <f t="shared" ca="1" si="74"/>
        <v>1009.7131770953571</v>
      </c>
      <c r="AD222" t="s">
        <v>272</v>
      </c>
      <c r="AE222">
        <f ca="1">+VLOOKUP($A222,INDIRECT(Adrese!B$2),5,FALSE)</f>
        <v>8662</v>
      </c>
      <c r="AF222">
        <f ca="1">+VLOOKUP($A222,INDIRECT(Adrese!C$2),5,FALSE)</f>
        <v>8952</v>
      </c>
      <c r="AG222">
        <f ca="1">+VLOOKUP($A222,INDIRECT(Adrese!D$2),5,FALSE)</f>
        <v>9074</v>
      </c>
      <c r="AH222">
        <f ca="1">+VLOOKUP($A222,INDIRECT(Adrese!E$2),5,FALSE)</f>
        <v>9181</v>
      </c>
      <c r="AI222">
        <f ca="1">+VLOOKUP($A222,INDIRECT(Adrese!F$2),5,FALSE)</f>
        <v>8404</v>
      </c>
      <c r="AJ222" s="5">
        <f t="shared" ca="1" si="87"/>
        <v>8854.6</v>
      </c>
      <c r="AK222" s="5">
        <f t="shared" ca="1" si="75"/>
        <v>317.92105938424402</v>
      </c>
      <c r="AM222" t="s">
        <v>272</v>
      </c>
      <c r="AN222" s="5">
        <f ca="1">+VLOOKUP($A222,INDIRECT(Adrese!B$2),6,FALSE)</f>
        <v>0.19161504424778761</v>
      </c>
      <c r="AO222" s="5">
        <f ca="1">+VLOOKUP($A222,INDIRECT(Adrese!C$2),6,FALSE)</f>
        <v>0.19792035399999999</v>
      </c>
      <c r="AP222" s="5">
        <f ca="1">+VLOOKUP($A222,INDIRECT(Adrese!D$2),6,FALSE)</f>
        <v>0.200685841</v>
      </c>
      <c r="AQ222" s="5">
        <f ca="1">+VLOOKUP($A222,INDIRECT(Adrese!E$2),6,FALSE)</f>
        <v>0.203030973</v>
      </c>
      <c r="AR222" s="5">
        <f ca="1">+VLOOKUP($A222,INDIRECT(Adrese!F$2),6,FALSE)</f>
        <v>0.18588495599999999</v>
      </c>
      <c r="AS222" s="5" t="str">
        <f t="shared" ca="1" si="76"/>
        <v>0.20 (0.01)</v>
      </c>
      <c r="AT222" s="5">
        <f t="shared" ca="1" si="88"/>
        <v>0.19582743364955751</v>
      </c>
      <c r="AU222" s="5">
        <f t="shared" ca="1" si="77"/>
        <v>7.0084324751259041E-3</v>
      </c>
      <c r="AW222" t="s">
        <v>272</v>
      </c>
      <c r="AX222" s="5">
        <f ca="1">+VLOOKUP($A222,INDIRECT(Adrese!B$2),7,FALSE)</f>
        <v>0.16814159292035399</v>
      </c>
      <c r="AY222" s="5">
        <f ca="1">+VLOOKUP($A222,INDIRECT(Adrese!C$2),7,FALSE)</f>
        <v>0.146017699</v>
      </c>
      <c r="AZ222" s="5">
        <f ca="1">+VLOOKUP($A222,INDIRECT(Adrese!D$2),7,FALSE)</f>
        <v>0.159292035</v>
      </c>
      <c r="BA222" s="5">
        <f ca="1">+VLOOKUP($A222,INDIRECT(Adrese!E$2),7,FALSE)</f>
        <v>0.115044248</v>
      </c>
      <c r="BB222" s="5">
        <f ca="1">+VLOOKUP($A222,INDIRECT(Adrese!F$2),7,FALSE)</f>
        <v>0.172566372</v>
      </c>
      <c r="BC222" s="5" t="str">
        <f t="shared" ca="1" si="78"/>
        <v>0.15 (0.02)</v>
      </c>
      <c r="BD222">
        <f t="shared" ca="1" si="89"/>
        <v>0.15221238938407081</v>
      </c>
      <c r="BE222" s="5">
        <f t="shared" ca="1" si="79"/>
        <v>2.3119204347132091E-2</v>
      </c>
      <c r="BG222" t="s">
        <v>272</v>
      </c>
      <c r="BH222" s="5">
        <f ca="1">+VLOOKUP($BG222,INDIRECT(Adrese!B$2),8,FALSE)</f>
        <v>1.946890925488029E-2</v>
      </c>
      <c r="BI222" s="5">
        <f ca="1">+VLOOKUP($BG222,INDIRECT(Adrese!C$2),8,FALSE)</f>
        <v>2.0038331999999999E-2</v>
      </c>
      <c r="BJ222" s="5">
        <f ca="1">+VLOOKUP($BG222,INDIRECT(Adrese!D$2),8,FALSE)</f>
        <v>1.9973206E-2</v>
      </c>
      <c r="BK222" s="5">
        <f ca="1">+VLOOKUP($BG222,INDIRECT(Adrese!E$2),8,FALSE)</f>
        <v>2.0228363999999999E-2</v>
      </c>
      <c r="BL222" s="5">
        <f ca="1">+VLOOKUP($BG222,INDIRECT(Adrese!F$2),8,FALSE)</f>
        <v>1.9028186999999998E-2</v>
      </c>
      <c r="BM222" s="5" t="str">
        <f t="shared" ca="1" si="80"/>
        <v>0.02 (0.00)</v>
      </c>
      <c r="BN222" s="5">
        <f t="shared" ca="1" si="90"/>
        <v>1.9747399650976057E-2</v>
      </c>
      <c r="BO222" s="5">
        <f t="shared" ca="1" si="81"/>
        <v>4.9035206281857391E-4</v>
      </c>
      <c r="BQ222" t="s">
        <v>272</v>
      </c>
      <c r="BR222" s="5">
        <f ca="1">+VLOOKUP($BG222,INDIRECT(Adrese!B$2),9,FALSE)</f>
        <v>-4.2098379278363657E-2</v>
      </c>
      <c r="BS222" s="5">
        <f ca="1">+VLOOKUP($BG222,INDIRECT(Adrese!C$2),9,FALSE)</f>
        <v>-4.1301857999999997E-2</v>
      </c>
      <c r="BT222" s="5">
        <f ca="1">+VLOOKUP($BG222,INDIRECT(Adrese!D$2),9,FALSE)</f>
        <v>-4.2396335E-2</v>
      </c>
      <c r="BU222" s="5">
        <f ca="1">+VLOOKUP($BG222,INDIRECT(Adrese!E$2),9,FALSE)</f>
        <v>-4.1699736000000001E-2</v>
      </c>
      <c r="BV222" s="5">
        <f ca="1">+VLOOKUP($BG222,INDIRECT(Adrese!F$2),9,FALSE)</f>
        <v>-4.3289244999999997E-2</v>
      </c>
      <c r="BW222" s="5" t="str">
        <f t="shared" ca="1" si="82"/>
        <v>-0.04 (0.00)</v>
      </c>
      <c r="BX222" s="5">
        <f t="shared" ca="1" si="91"/>
        <v>-4.2157110655672729E-2</v>
      </c>
      <c r="BY222" s="5">
        <f t="shared" ca="1" si="83"/>
        <v>7.5548899990201277E-4</v>
      </c>
    </row>
    <row r="223" spans="1:77" x14ac:dyDescent="0.25">
      <c r="A223" t="s">
        <v>273</v>
      </c>
      <c r="B223" s="12">
        <f ca="1">+VLOOKUP($A223,INDIRECT(Adrese!B$2),2,FALSE)</f>
        <v>221</v>
      </c>
      <c r="C223" s="12">
        <f ca="1">+VLOOKUP($A223,INDIRECT(Adrese!C$2),2,FALSE)</f>
        <v>222</v>
      </c>
      <c r="D223" s="12">
        <f ca="1">+VLOOKUP($A223,INDIRECT(Adrese!D$2),2,FALSE)</f>
        <v>224</v>
      </c>
      <c r="E223" s="12">
        <f ca="1">+VLOOKUP($A223,INDIRECT(Adrese!E$2),2,FALSE)</f>
        <v>223</v>
      </c>
      <c r="F223" s="12">
        <f ca="1">+VLOOKUP($A223,INDIRECT(Adrese!F$2),2,FALSE)</f>
        <v>223</v>
      </c>
      <c r="G223" s="5">
        <f t="shared" ca="1" si="84"/>
        <v>222.6</v>
      </c>
      <c r="H223" s="5">
        <f t="shared" ca="1" si="71"/>
        <v>1.1401754250991381</v>
      </c>
      <c r="J223" t="s">
        <v>273</v>
      </c>
      <c r="K223">
        <f ca="1">+VLOOKUP($A223,INDIRECT(Adrese!B$2),3,FALSE)</f>
        <v>102</v>
      </c>
      <c r="L223">
        <f ca="1">+VLOOKUP($A223,INDIRECT(Adrese!C$2),3,FALSE)</f>
        <v>102</v>
      </c>
      <c r="M223">
        <f ca="1">+VLOOKUP($A223,INDIRECT(Adrese!D$2),3,FALSE)</f>
        <v>102</v>
      </c>
      <c r="N223">
        <f ca="1">+VLOOKUP($A223,INDIRECT(Adrese!E$2),3,FALSE)</f>
        <v>98</v>
      </c>
      <c r="O223">
        <f ca="1">+VLOOKUP($A223,INDIRECT(Adrese!F$2),3,FALSE)</f>
        <v>100</v>
      </c>
      <c r="P223" s="5">
        <f t="shared" ca="1" si="85"/>
        <v>100.8</v>
      </c>
      <c r="Q223" s="5">
        <f t="shared" ca="1" si="72"/>
        <v>1.7888543819998317</v>
      </c>
      <c r="T223" t="s">
        <v>273</v>
      </c>
      <c r="U223">
        <f ca="1">+VLOOKUP($T223,INDIRECT(Adrese!B$2),4,FALSE)</f>
        <v>83152</v>
      </c>
      <c r="V223">
        <f ca="1">+VLOOKUP($T223,INDIRECT(Adrese!C$2),4,FALSE)</f>
        <v>83071</v>
      </c>
      <c r="W223">
        <f ca="1">+VLOOKUP($T223,INDIRECT(Adrese!D$2),4,FALSE)</f>
        <v>83116</v>
      </c>
      <c r="X223">
        <f ca="1">+VLOOKUP($T223,INDIRECT(Adrese!E$2),4,FALSE)</f>
        <v>82659</v>
      </c>
      <c r="Y223">
        <f ca="1">+VLOOKUP($T223,INDIRECT(Adrese!F$2),4,FALSE)</f>
        <v>82410</v>
      </c>
      <c r="Z223">
        <f t="shared" ca="1" si="73"/>
        <v>414408</v>
      </c>
      <c r="AA223" s="5">
        <f t="shared" ca="1" si="86"/>
        <v>82881.600000000006</v>
      </c>
      <c r="AB223" s="5">
        <f t="shared" ca="1" si="74"/>
        <v>330.10952727844739</v>
      </c>
      <c r="AD223" t="s">
        <v>273</v>
      </c>
      <c r="AE223">
        <f ca="1">+VLOOKUP($A223,INDIRECT(Adrese!B$2),5,FALSE)</f>
        <v>18417</v>
      </c>
      <c r="AF223">
        <f ca="1">+VLOOKUP($A223,INDIRECT(Adrese!C$2),5,FALSE)</f>
        <v>18276</v>
      </c>
      <c r="AG223">
        <f ca="1">+VLOOKUP($A223,INDIRECT(Adrese!D$2),5,FALSE)</f>
        <v>18316</v>
      </c>
      <c r="AH223">
        <f ca="1">+VLOOKUP($A223,INDIRECT(Adrese!E$2),5,FALSE)</f>
        <v>18261</v>
      </c>
      <c r="AI223">
        <f ca="1">+VLOOKUP($A223,INDIRECT(Adrese!F$2),5,FALSE)</f>
        <v>18300</v>
      </c>
      <c r="AJ223" s="5">
        <f t="shared" ca="1" si="87"/>
        <v>18314</v>
      </c>
      <c r="AK223" s="5">
        <f t="shared" ca="1" si="75"/>
        <v>61.363670033660796</v>
      </c>
      <c r="AM223" t="s">
        <v>273</v>
      </c>
      <c r="AN223" s="5">
        <f ca="1">+VLOOKUP($A223,INDIRECT(Adrese!B$2),6,FALSE)</f>
        <v>0.40745575221238939</v>
      </c>
      <c r="AO223" s="5">
        <f ca="1">+VLOOKUP($A223,INDIRECT(Adrese!C$2),6,FALSE)</f>
        <v>0.40433628300000002</v>
      </c>
      <c r="AP223" s="5">
        <f ca="1">+VLOOKUP($A223,INDIRECT(Adrese!D$2),6,FALSE)</f>
        <v>0.40522123900000001</v>
      </c>
      <c r="AQ223" s="5">
        <f ca="1">+VLOOKUP($A223,INDIRECT(Adrese!E$2),6,FALSE)</f>
        <v>0.404004425</v>
      </c>
      <c r="AR223" s="5">
        <f ca="1">+VLOOKUP($A223,INDIRECT(Adrese!F$2),6,FALSE)</f>
        <v>0.40486725699999998</v>
      </c>
      <c r="AS223" s="5" t="str">
        <f t="shared" ca="1" si="76"/>
        <v>0.41 (0.00)</v>
      </c>
      <c r="AT223" s="5">
        <f t="shared" ca="1" si="88"/>
        <v>0.40517699124247786</v>
      </c>
      <c r="AU223" s="5">
        <f t="shared" ca="1" si="77"/>
        <v>1.3576032801383879E-3</v>
      </c>
      <c r="AW223" t="s">
        <v>273</v>
      </c>
      <c r="AX223" s="5">
        <f ca="1">+VLOOKUP($A223,INDIRECT(Adrese!B$2),7,FALSE)</f>
        <v>0.54867256637168138</v>
      </c>
      <c r="AY223" s="5">
        <f ca="1">+VLOOKUP($A223,INDIRECT(Adrese!C$2),7,FALSE)</f>
        <v>0.54867256600000003</v>
      </c>
      <c r="AZ223" s="5">
        <f ca="1">+VLOOKUP($A223,INDIRECT(Adrese!D$2),7,FALSE)</f>
        <v>0.54867256600000003</v>
      </c>
      <c r="BA223" s="5">
        <f ca="1">+VLOOKUP($A223,INDIRECT(Adrese!E$2),7,FALSE)</f>
        <v>0.56637168100000002</v>
      </c>
      <c r="BB223" s="5">
        <f ca="1">+VLOOKUP($A223,INDIRECT(Adrese!F$2),7,FALSE)</f>
        <v>0.55752212400000001</v>
      </c>
      <c r="BC223" s="5" t="str">
        <f t="shared" ca="1" si="78"/>
        <v>0.55 (0.01)</v>
      </c>
      <c r="BD223">
        <f t="shared" ca="1" si="89"/>
        <v>0.55398230067433629</v>
      </c>
      <c r="BE223" s="5">
        <f t="shared" ca="1" si="79"/>
        <v>7.9152848498860763E-3</v>
      </c>
      <c r="BG223" t="s">
        <v>273</v>
      </c>
      <c r="BH223" s="5">
        <f ca="1">+VLOOKUP($BG223,INDIRECT(Adrese!B$2),8,FALSE)</f>
        <v>3.5627237294242907E-2</v>
      </c>
      <c r="BI223" s="5">
        <f ca="1">+VLOOKUP($BG223,INDIRECT(Adrese!C$2),8,FALSE)</f>
        <v>3.5351023000000002E-2</v>
      </c>
      <c r="BJ223" s="5">
        <f ca="1">+VLOOKUP($BG223,INDIRECT(Adrese!D$2),8,FALSE)</f>
        <v>3.5519373E-2</v>
      </c>
      <c r="BK223" s="5">
        <f ca="1">+VLOOKUP($BG223,INDIRECT(Adrese!E$2),8,FALSE)</f>
        <v>3.5458523999999998E-2</v>
      </c>
      <c r="BL223" s="5">
        <f ca="1">+VLOOKUP($BG223,INDIRECT(Adrese!F$2),8,FALSE)</f>
        <v>3.5599991999999997E-2</v>
      </c>
      <c r="BM223" s="5" t="str">
        <f t="shared" ca="1" si="80"/>
        <v>0.04 (0.00)</v>
      </c>
      <c r="BN223" s="5">
        <f t="shared" ca="1" si="90"/>
        <v>3.5511229858848581E-2</v>
      </c>
      <c r="BO223" s="5">
        <f t="shared" ca="1" si="81"/>
        <v>1.116320951781562E-4</v>
      </c>
      <c r="BQ223" t="s">
        <v>273</v>
      </c>
      <c r="BR223" s="5">
        <f ca="1">+VLOOKUP($BG223,INDIRECT(Adrese!B$2),9,FALSE)</f>
        <v>-9.3039615999375314E-3</v>
      </c>
      <c r="BS223" s="5">
        <f ca="1">+VLOOKUP($BG223,INDIRECT(Adrese!C$2),9,FALSE)</f>
        <v>-9.7802159999999996E-3</v>
      </c>
      <c r="BT223" s="5">
        <f ca="1">+VLOOKUP($BG223,INDIRECT(Adrese!D$2),9,FALSE)</f>
        <v>-9.1927190000000002E-3</v>
      </c>
      <c r="BU223" s="5">
        <f ca="1">+VLOOKUP($BG223,INDIRECT(Adrese!E$2),9,FALSE)</f>
        <v>-9.2326089999999993E-3</v>
      </c>
      <c r="BV223" s="5">
        <f ca="1">+VLOOKUP($BG223,INDIRECT(Adrese!F$2),9,FALSE)</f>
        <v>-9.1189530000000008E-3</v>
      </c>
      <c r="BW223" s="5" t="str">
        <f t="shared" ca="1" si="82"/>
        <v>-0.01 (0.00)</v>
      </c>
      <c r="BX223" s="5">
        <f t="shared" ca="1" si="91"/>
        <v>-9.3256917199875059E-3</v>
      </c>
      <c r="BY223" s="5">
        <f t="shared" ca="1" si="83"/>
        <v>2.6275062064697497E-4</v>
      </c>
    </row>
    <row r="224" spans="1:77" x14ac:dyDescent="0.25">
      <c r="A224" t="s">
        <v>274</v>
      </c>
      <c r="B224" s="12">
        <f ca="1">+VLOOKUP($A224,INDIRECT(Adrese!B$2),2,FALSE)</f>
        <v>222</v>
      </c>
      <c r="C224" s="12">
        <f ca="1">+VLOOKUP($A224,INDIRECT(Adrese!C$2),2,FALSE)</f>
        <v>225</v>
      </c>
      <c r="D224" s="12">
        <f ca="1">+VLOOKUP($A224,INDIRECT(Adrese!D$2),2,FALSE)</f>
        <v>225</v>
      </c>
      <c r="E224" s="12">
        <f ca="1">+VLOOKUP($A224,INDIRECT(Adrese!E$2),2,FALSE)</f>
        <v>219</v>
      </c>
      <c r="F224" s="12">
        <f ca="1">+VLOOKUP($A224,INDIRECT(Adrese!F$2),2,FALSE)</f>
        <v>222</v>
      </c>
      <c r="G224" s="5">
        <f t="shared" ca="1" si="84"/>
        <v>222.6</v>
      </c>
      <c r="H224" s="5">
        <f t="shared" ca="1" si="71"/>
        <v>2.5099800796022267</v>
      </c>
      <c r="J224" t="s">
        <v>274</v>
      </c>
      <c r="K224">
        <f ca="1">+VLOOKUP($A224,INDIRECT(Adrese!B$2),3,FALSE)</f>
        <v>75</v>
      </c>
      <c r="L224">
        <f ca="1">+VLOOKUP($A224,INDIRECT(Adrese!C$2),3,FALSE)</f>
        <v>71</v>
      </c>
      <c r="M224">
        <f ca="1">+VLOOKUP($A224,INDIRECT(Adrese!D$2),3,FALSE)</f>
        <v>74</v>
      </c>
      <c r="N224">
        <f ca="1">+VLOOKUP($A224,INDIRECT(Adrese!E$2),3,FALSE)</f>
        <v>72</v>
      </c>
      <c r="O224">
        <f ca="1">+VLOOKUP($A224,INDIRECT(Adrese!F$2),3,FALSE)</f>
        <v>69</v>
      </c>
      <c r="P224" s="5">
        <f t="shared" ca="1" si="85"/>
        <v>72.2</v>
      </c>
      <c r="Q224" s="5">
        <f t="shared" ca="1" si="72"/>
        <v>2.3874672772626644</v>
      </c>
      <c r="T224" t="s">
        <v>274</v>
      </c>
      <c r="U224">
        <f ca="1">+VLOOKUP($T224,INDIRECT(Adrese!B$2),4,FALSE)</f>
        <v>82991</v>
      </c>
      <c r="V224">
        <f ca="1">+VLOOKUP($T224,INDIRECT(Adrese!C$2),4,FALSE)</f>
        <v>82261</v>
      </c>
      <c r="W224">
        <f ca="1">+VLOOKUP($T224,INDIRECT(Adrese!D$2),4,FALSE)</f>
        <v>82770</v>
      </c>
      <c r="X224">
        <f ca="1">+VLOOKUP($T224,INDIRECT(Adrese!E$2),4,FALSE)</f>
        <v>83665</v>
      </c>
      <c r="Y224">
        <f ca="1">+VLOOKUP($T224,INDIRECT(Adrese!F$2),4,FALSE)</f>
        <v>82473</v>
      </c>
      <c r="Z224">
        <f t="shared" ca="1" si="73"/>
        <v>414160</v>
      </c>
      <c r="AA224" s="5">
        <f t="shared" ca="1" si="86"/>
        <v>82832</v>
      </c>
      <c r="AB224" s="5">
        <f t="shared" ca="1" si="74"/>
        <v>542.66380015622929</v>
      </c>
      <c r="AD224" t="s">
        <v>274</v>
      </c>
      <c r="AE224">
        <f ca="1">+VLOOKUP($A224,INDIRECT(Adrese!B$2),5,FALSE)</f>
        <v>33868</v>
      </c>
      <c r="AF224">
        <f ca="1">+VLOOKUP($A224,INDIRECT(Adrese!C$2),5,FALSE)</f>
        <v>33969</v>
      </c>
      <c r="AG224">
        <f ca="1">+VLOOKUP($A224,INDIRECT(Adrese!D$2),5,FALSE)</f>
        <v>33958</v>
      </c>
      <c r="AH224">
        <f ca="1">+VLOOKUP($A224,INDIRECT(Adrese!E$2),5,FALSE)</f>
        <v>33703</v>
      </c>
      <c r="AI224">
        <f ca="1">+VLOOKUP($A224,INDIRECT(Adrese!F$2),5,FALSE)</f>
        <v>33964</v>
      </c>
      <c r="AJ224" s="5">
        <f t="shared" ca="1" si="87"/>
        <v>33892.400000000001</v>
      </c>
      <c r="AK224" s="5">
        <f t="shared" ca="1" si="75"/>
        <v>113.75983473968306</v>
      </c>
      <c r="AM224" t="s">
        <v>274</v>
      </c>
      <c r="AN224" s="5">
        <f ca="1">+VLOOKUP($A224,INDIRECT(Adrese!B$2),6,FALSE)</f>
        <v>0.74707964601769916</v>
      </c>
      <c r="AO224" s="5">
        <f ca="1">+VLOOKUP($A224,INDIRECT(Adrese!C$2),6,FALSE)</f>
        <v>0.74931415899999998</v>
      </c>
      <c r="AP224" s="5">
        <f ca="1">+VLOOKUP($A224,INDIRECT(Adrese!D$2),6,FALSE)</f>
        <v>0.74907079600000004</v>
      </c>
      <c r="AQ224" s="5">
        <f ca="1">+VLOOKUP($A224,INDIRECT(Adrese!E$2),6,FALSE)</f>
        <v>0.74342920400000001</v>
      </c>
      <c r="AR224" s="5">
        <f ca="1">+VLOOKUP($A224,INDIRECT(Adrese!F$2),6,FALSE)</f>
        <v>0.74920354</v>
      </c>
      <c r="AS224" s="5" t="str">
        <f t="shared" ca="1" si="76"/>
        <v>0.75 (0.00)</v>
      </c>
      <c r="AT224" s="5">
        <f t="shared" ca="1" si="88"/>
        <v>0.74761946900353971</v>
      </c>
      <c r="AU224" s="5">
        <f t="shared" ca="1" si="77"/>
        <v>2.5168102239002416E-3</v>
      </c>
      <c r="AW224" t="s">
        <v>274</v>
      </c>
      <c r="AX224" s="5">
        <f ca="1">+VLOOKUP($A224,INDIRECT(Adrese!B$2),7,FALSE)</f>
        <v>0.66814159292035402</v>
      </c>
      <c r="AY224" s="5">
        <f ca="1">+VLOOKUP($A224,INDIRECT(Adrese!C$2),7,FALSE)</f>
        <v>0.68584070799999997</v>
      </c>
      <c r="AZ224" s="5">
        <f ca="1">+VLOOKUP($A224,INDIRECT(Adrese!D$2),7,FALSE)</f>
        <v>0.67256637200000002</v>
      </c>
      <c r="BA224" s="5">
        <f ca="1">+VLOOKUP($A224,INDIRECT(Adrese!E$2),7,FALSE)</f>
        <v>0.68141592900000003</v>
      </c>
      <c r="BB224" s="5">
        <f ca="1">+VLOOKUP($A224,INDIRECT(Adrese!F$2),7,FALSE)</f>
        <v>0.69469026499999997</v>
      </c>
      <c r="BC224" s="5" t="str">
        <f t="shared" ca="1" si="78"/>
        <v>0.68 (0.01)</v>
      </c>
      <c r="BD224">
        <f t="shared" ca="1" si="89"/>
        <v>0.68053097338407087</v>
      </c>
      <c r="BE224" s="5">
        <f t="shared" ca="1" si="79"/>
        <v>1.0564014278205899E-2</v>
      </c>
      <c r="BG224" t="s">
        <v>274</v>
      </c>
      <c r="BH224" s="5">
        <f ca="1">+VLOOKUP($BG224,INDIRECT(Adrese!B$2),8,FALSE)</f>
        <v>6.5104127794682706E-2</v>
      </c>
      <c r="BI224" s="5">
        <f ca="1">+VLOOKUP($BG224,INDIRECT(Adrese!C$2),8,FALSE)</f>
        <v>6.5254487999999999E-2</v>
      </c>
      <c r="BJ224" s="5">
        <f ca="1">+VLOOKUP($BG224,INDIRECT(Adrese!D$2),8,FALSE)</f>
        <v>6.5445993999999993E-2</v>
      </c>
      <c r="BK224" s="5">
        <f ca="1">+VLOOKUP($BG224,INDIRECT(Adrese!E$2),8,FALSE)</f>
        <v>6.4901027999999999E-2</v>
      </c>
      <c r="BL224" s="5">
        <f ca="1">+VLOOKUP($BG224,INDIRECT(Adrese!F$2),8,FALSE)</f>
        <v>6.5324507000000004E-2</v>
      </c>
      <c r="BM224" s="5" t="str">
        <f t="shared" ca="1" si="80"/>
        <v>0.07 (0.00)</v>
      </c>
      <c r="BN224" s="5">
        <f t="shared" ca="1" si="90"/>
        <v>6.520602895893654E-2</v>
      </c>
      <c r="BO224" s="5">
        <f t="shared" ca="1" si="81"/>
        <v>2.1058132516685023E-4</v>
      </c>
      <c r="BQ224" t="s">
        <v>274</v>
      </c>
      <c r="BR224" s="5">
        <f ca="1">+VLOOKUP($BG224,INDIRECT(Adrese!B$2),9,FALSE)</f>
        <v>3.2860937598688328E-2</v>
      </c>
      <c r="BS224" s="5">
        <f ca="1">+VLOOKUP($BG224,INDIRECT(Adrese!C$2),9,FALSE)</f>
        <v>3.2867663999999998E-2</v>
      </c>
      <c r="BT224" s="5">
        <f ca="1">+VLOOKUP($BG224,INDIRECT(Adrese!D$2),9,FALSE)</f>
        <v>3.3701702E-2</v>
      </c>
      <c r="BU224" s="5">
        <f ca="1">+VLOOKUP($BG224,INDIRECT(Adrese!E$2),9,FALSE)</f>
        <v>3.2742015999999999E-2</v>
      </c>
      <c r="BV224" s="5">
        <f ca="1">+VLOOKUP($BG224,INDIRECT(Adrese!F$2),9,FALSE)</f>
        <v>3.2617927999999997E-2</v>
      </c>
      <c r="BW224" s="5" t="str">
        <f t="shared" ca="1" si="82"/>
        <v>0.03 (0.00)</v>
      </c>
      <c r="BX224" s="5">
        <f t="shared" ca="1" si="91"/>
        <v>3.2958049519737659E-2</v>
      </c>
      <c r="BY224" s="5">
        <f t="shared" ca="1" si="83"/>
        <v>4.2806903900754399E-4</v>
      </c>
    </row>
    <row r="225" spans="1:77" x14ac:dyDescent="0.25">
      <c r="A225" t="s">
        <v>275</v>
      </c>
      <c r="B225" s="12">
        <f ca="1">+VLOOKUP($A225,INDIRECT(Adrese!B$2),2,FALSE)</f>
        <v>223</v>
      </c>
      <c r="C225" s="12">
        <f ca="1">+VLOOKUP($A225,INDIRECT(Adrese!C$2),2,FALSE)</f>
        <v>226</v>
      </c>
      <c r="D225" s="12">
        <f ca="1">+VLOOKUP($A225,INDIRECT(Adrese!D$2),2,FALSE)</f>
        <v>227</v>
      </c>
      <c r="E225" s="12">
        <f ca="1">+VLOOKUP($A225,INDIRECT(Adrese!E$2),2,FALSE)</f>
        <v>226</v>
      </c>
      <c r="F225" s="12">
        <f ca="1">+VLOOKUP($A225,INDIRECT(Adrese!F$2),2,FALSE)</f>
        <v>227</v>
      </c>
      <c r="G225" s="5">
        <f t="shared" ca="1" si="84"/>
        <v>225.8</v>
      </c>
      <c r="H225" s="5">
        <f t="shared" ca="1" si="71"/>
        <v>1.6431676725154984</v>
      </c>
      <c r="J225" t="s">
        <v>275</v>
      </c>
      <c r="K225">
        <f ca="1">+VLOOKUP($A225,INDIRECT(Adrese!B$2),3,FALSE)</f>
        <v>197</v>
      </c>
      <c r="L225">
        <f ca="1">+VLOOKUP($A225,INDIRECT(Adrese!C$2),3,FALSE)</f>
        <v>199</v>
      </c>
      <c r="M225">
        <f ca="1">+VLOOKUP($A225,INDIRECT(Adrese!D$2),3,FALSE)</f>
        <v>193</v>
      </c>
      <c r="N225">
        <f ca="1">+VLOOKUP($A225,INDIRECT(Adrese!E$2),3,FALSE)</f>
        <v>195</v>
      </c>
      <c r="O225">
        <f ca="1">+VLOOKUP($A225,INDIRECT(Adrese!F$2),3,FALSE)</f>
        <v>196</v>
      </c>
      <c r="P225" s="5">
        <f t="shared" ca="1" si="85"/>
        <v>196</v>
      </c>
      <c r="Q225" s="5">
        <f t="shared" ca="1" si="72"/>
        <v>2.2360679774997898</v>
      </c>
      <c r="T225" t="s">
        <v>275</v>
      </c>
      <c r="U225">
        <f ca="1">+VLOOKUP($T225,INDIRECT(Adrese!B$2),4,FALSE)</f>
        <v>82768</v>
      </c>
      <c r="V225">
        <f ca="1">+VLOOKUP($T225,INDIRECT(Adrese!C$2),4,FALSE)</f>
        <v>81876</v>
      </c>
      <c r="W225">
        <f ca="1">+VLOOKUP($T225,INDIRECT(Adrese!D$2),4,FALSE)</f>
        <v>80989</v>
      </c>
      <c r="X225">
        <f ca="1">+VLOOKUP($T225,INDIRECT(Adrese!E$2),4,FALSE)</f>
        <v>81633</v>
      </c>
      <c r="Y225">
        <f ca="1">+VLOOKUP($T225,INDIRECT(Adrese!F$2),4,FALSE)</f>
        <v>81295</v>
      </c>
      <c r="Z225">
        <f t="shared" ca="1" si="73"/>
        <v>408561</v>
      </c>
      <c r="AA225" s="5">
        <f t="shared" ca="1" si="86"/>
        <v>81712.2</v>
      </c>
      <c r="AB225" s="5">
        <f t="shared" ca="1" si="74"/>
        <v>679.13378652515883</v>
      </c>
      <c r="AD225" t="s">
        <v>275</v>
      </c>
      <c r="AE225">
        <f ca="1">+VLOOKUP($A225,INDIRECT(Adrese!B$2),5,FALSE)</f>
        <v>3791</v>
      </c>
      <c r="AF225">
        <f ca="1">+VLOOKUP($A225,INDIRECT(Adrese!C$2),5,FALSE)</f>
        <v>3395</v>
      </c>
      <c r="AG225">
        <f ca="1">+VLOOKUP($A225,INDIRECT(Adrese!D$2),5,FALSE)</f>
        <v>4583</v>
      </c>
      <c r="AH225">
        <f ca="1">+VLOOKUP($A225,INDIRECT(Adrese!E$2),5,FALSE)</f>
        <v>4187</v>
      </c>
      <c r="AI225">
        <f ca="1">+VLOOKUP($A225,INDIRECT(Adrese!F$2),5,FALSE)</f>
        <v>3989</v>
      </c>
      <c r="AJ225" s="5">
        <f t="shared" ca="1" si="87"/>
        <v>3989</v>
      </c>
      <c r="AK225" s="5">
        <f t="shared" ca="1" si="75"/>
        <v>442.74145954495833</v>
      </c>
      <c r="AM225" t="s">
        <v>275</v>
      </c>
      <c r="AN225" s="5">
        <f ca="1">+VLOOKUP($A225,INDIRECT(Adrese!B$2),6,FALSE)</f>
        <v>7.9469026548672564E-2</v>
      </c>
      <c r="AO225" s="5">
        <f ca="1">+VLOOKUP($A225,INDIRECT(Adrese!C$2),6,FALSE)</f>
        <v>7.0707964999999998E-2</v>
      </c>
      <c r="AP225" s="5">
        <f ca="1">+VLOOKUP($A225,INDIRECT(Adrese!D$2),6,FALSE)</f>
        <v>9.6991149999999998E-2</v>
      </c>
      <c r="AQ225" s="5">
        <f ca="1">+VLOOKUP($A225,INDIRECT(Adrese!E$2),6,FALSE)</f>
        <v>8.8230087999999998E-2</v>
      </c>
      <c r="AR225" s="5">
        <f ca="1">+VLOOKUP($A225,INDIRECT(Adrese!F$2),6,FALSE)</f>
        <v>8.3849558000000005E-2</v>
      </c>
      <c r="AS225" s="5" t="str">
        <f t="shared" ca="1" si="76"/>
        <v>0.08 (0.01)</v>
      </c>
      <c r="AT225" s="5">
        <f t="shared" ca="1" si="88"/>
        <v>8.384955750973451E-2</v>
      </c>
      <c r="AU225" s="5">
        <f t="shared" ca="1" si="77"/>
        <v>9.7951646967915813E-3</v>
      </c>
      <c r="AW225" t="s">
        <v>275</v>
      </c>
      <c r="AX225" s="5">
        <f ca="1">+VLOOKUP($A225,INDIRECT(Adrese!B$2),7,FALSE)</f>
        <v>0.12831858407079649</v>
      </c>
      <c r="AY225" s="5">
        <f ca="1">+VLOOKUP($A225,INDIRECT(Adrese!C$2),7,FALSE)</f>
        <v>0.11946902700000001</v>
      </c>
      <c r="AZ225" s="5">
        <f ca="1">+VLOOKUP($A225,INDIRECT(Adrese!D$2),7,FALSE)</f>
        <v>0.146017699</v>
      </c>
      <c r="BA225" s="5">
        <f ca="1">+VLOOKUP($A225,INDIRECT(Adrese!E$2),7,FALSE)</f>
        <v>0.13716814199999999</v>
      </c>
      <c r="BB225" s="5">
        <f ca="1">+VLOOKUP($A225,INDIRECT(Adrese!F$2),7,FALSE)</f>
        <v>0.132743363</v>
      </c>
      <c r="BC225" s="5" t="str">
        <f t="shared" ca="1" si="78"/>
        <v>0.13 (0.01)</v>
      </c>
      <c r="BD225">
        <f t="shared" ca="1" si="89"/>
        <v>0.13274336301415929</v>
      </c>
      <c r="BE225" s="5">
        <f t="shared" ca="1" si="79"/>
        <v>9.8941059506778596E-3</v>
      </c>
      <c r="BG225" t="s">
        <v>275</v>
      </c>
      <c r="BH225" s="5">
        <f ca="1">+VLOOKUP($BG225,INDIRECT(Adrese!B$2),8,FALSE)</f>
        <v>4.7830819936556506E-3</v>
      </c>
      <c r="BI225" s="5">
        <f ca="1">+VLOOKUP($BG225,INDIRECT(Adrese!C$2),8,FALSE)</f>
        <v>4.1699659999999998E-3</v>
      </c>
      <c r="BJ225" s="5">
        <f ca="1">+VLOOKUP($BG225,INDIRECT(Adrese!D$2),8,FALSE)</f>
        <v>6.0469290000000004E-3</v>
      </c>
      <c r="BK225" s="5">
        <f ca="1">+VLOOKUP($BG225,INDIRECT(Adrese!E$2),8,FALSE)</f>
        <v>5.2205710000000002E-3</v>
      </c>
      <c r="BL225" s="5">
        <f ca="1">+VLOOKUP($BG225,INDIRECT(Adrese!F$2),8,FALSE)</f>
        <v>4.7457489999999996E-3</v>
      </c>
      <c r="BM225" s="5" t="str">
        <f t="shared" ca="1" si="80"/>
        <v>0.00 (0.00)</v>
      </c>
      <c r="BN225" s="5">
        <f t="shared" ca="1" si="90"/>
        <v>4.9932593987311296E-3</v>
      </c>
      <c r="BO225" s="5">
        <f t="shared" ca="1" si="81"/>
        <v>6.9734104858886641E-4</v>
      </c>
      <c r="BQ225" t="s">
        <v>275</v>
      </c>
      <c r="BR225" s="5">
        <f ca="1">+VLOOKUP($BG225,INDIRECT(Adrese!B$2),9,FALSE)</f>
        <v>-7.8954084032801838E-2</v>
      </c>
      <c r="BS225" s="5">
        <f ca="1">+VLOOKUP($BG225,INDIRECT(Adrese!C$2),9,FALSE)</f>
        <v>-7.9326451000000006E-2</v>
      </c>
      <c r="BT225" s="5">
        <f ca="1">+VLOOKUP($BG225,INDIRECT(Adrese!D$2),9,FALSE)</f>
        <v>-7.8123921999999998E-2</v>
      </c>
      <c r="BU225" s="5">
        <f ca="1">+VLOOKUP($BG225,INDIRECT(Adrese!E$2),9,FALSE)</f>
        <v>-7.9437832E-2</v>
      </c>
      <c r="BV225" s="5">
        <f ca="1">+VLOOKUP($BG225,INDIRECT(Adrese!F$2),9,FALSE)</f>
        <v>-8.0535526999999996E-2</v>
      </c>
      <c r="BW225" s="5" t="str">
        <f t="shared" ca="1" si="82"/>
        <v>-0.08 (0.00)</v>
      </c>
      <c r="BX225" s="5">
        <f t="shared" ca="1" si="91"/>
        <v>-7.9275563206560359E-2</v>
      </c>
      <c r="BY225" s="5">
        <f t="shared" ca="1" si="83"/>
        <v>8.7264766908423251E-4</v>
      </c>
    </row>
    <row r="226" spans="1:77" x14ac:dyDescent="0.25">
      <c r="A226" t="s">
        <v>276</v>
      </c>
      <c r="B226" s="12">
        <f ca="1">+VLOOKUP($A226,INDIRECT(Adrese!B$2),2,FALSE)</f>
        <v>224</v>
      </c>
      <c r="C226" s="12">
        <f ca="1">+VLOOKUP($A226,INDIRECT(Adrese!C$2),2,FALSE)</f>
        <v>219</v>
      </c>
      <c r="D226" s="12">
        <f ca="1">+VLOOKUP($A226,INDIRECT(Adrese!D$2),2,FALSE)</f>
        <v>223</v>
      </c>
      <c r="E226" s="12">
        <f ca="1">+VLOOKUP($A226,INDIRECT(Adrese!E$2),2,FALSE)</f>
        <v>212</v>
      </c>
      <c r="F226" s="12">
        <f ca="1">+VLOOKUP($A226,INDIRECT(Adrese!F$2),2,FALSE)</f>
        <v>210</v>
      </c>
      <c r="G226" s="5">
        <f t="shared" ca="1" si="84"/>
        <v>217.6</v>
      </c>
      <c r="H226" s="5">
        <f t="shared" ca="1" si="71"/>
        <v>6.3482280992415507</v>
      </c>
      <c r="J226" t="s">
        <v>276</v>
      </c>
      <c r="K226">
        <f ca="1">+VLOOKUP($A226,INDIRECT(Adrese!B$2),3,FALSE)</f>
        <v>204</v>
      </c>
      <c r="L226">
        <f ca="1">+VLOOKUP($A226,INDIRECT(Adrese!C$2),3,FALSE)</f>
        <v>202</v>
      </c>
      <c r="M226">
        <f ca="1">+VLOOKUP($A226,INDIRECT(Adrese!D$2),3,FALSE)</f>
        <v>201</v>
      </c>
      <c r="N226">
        <f ca="1">+VLOOKUP($A226,INDIRECT(Adrese!E$2),3,FALSE)</f>
        <v>206</v>
      </c>
      <c r="O226">
        <f ca="1">+VLOOKUP($A226,INDIRECT(Adrese!F$2),3,FALSE)</f>
        <v>198</v>
      </c>
      <c r="P226" s="5">
        <f t="shared" ca="1" si="85"/>
        <v>202.2</v>
      </c>
      <c r="Q226" s="5">
        <f t="shared" ca="1" si="72"/>
        <v>3.03315017762062</v>
      </c>
      <c r="T226" t="s">
        <v>276</v>
      </c>
      <c r="U226">
        <f ca="1">+VLOOKUP($T226,INDIRECT(Adrese!B$2),4,FALSE)</f>
        <v>82506</v>
      </c>
      <c r="V226">
        <f ca="1">+VLOOKUP($T226,INDIRECT(Adrese!C$2),4,FALSE)</f>
        <v>84256</v>
      </c>
      <c r="W226">
        <f ca="1">+VLOOKUP($T226,INDIRECT(Adrese!D$2),4,FALSE)</f>
        <v>83178</v>
      </c>
      <c r="X226">
        <f ca="1">+VLOOKUP($T226,INDIRECT(Adrese!E$2),4,FALSE)</f>
        <v>84507</v>
      </c>
      <c r="Y226">
        <f ca="1">+VLOOKUP($T226,INDIRECT(Adrese!F$2),4,FALSE)</f>
        <v>84951</v>
      </c>
      <c r="Z226">
        <f t="shared" ca="1" si="73"/>
        <v>419398</v>
      </c>
      <c r="AA226" s="5">
        <f t="shared" ca="1" si="86"/>
        <v>83879.600000000006</v>
      </c>
      <c r="AB226" s="5">
        <f t="shared" ca="1" si="74"/>
        <v>1007.7481332158349</v>
      </c>
      <c r="AD226" t="s">
        <v>276</v>
      </c>
      <c r="AE226">
        <f ca="1">+VLOOKUP($A226,INDIRECT(Adrese!B$2),5,FALSE)</f>
        <v>4071</v>
      </c>
      <c r="AF226">
        <f ca="1">+VLOOKUP($A226,INDIRECT(Adrese!C$2),5,FALSE)</f>
        <v>4284</v>
      </c>
      <c r="AG226">
        <f ca="1">+VLOOKUP($A226,INDIRECT(Adrese!D$2),5,FALSE)</f>
        <v>4221</v>
      </c>
      <c r="AH226">
        <f ca="1">+VLOOKUP($A226,INDIRECT(Adrese!E$2),5,FALSE)</f>
        <v>4324</v>
      </c>
      <c r="AI226">
        <f ca="1">+VLOOKUP($A226,INDIRECT(Adrese!F$2),5,FALSE)</f>
        <v>4139</v>
      </c>
      <c r="AJ226" s="5">
        <f t="shared" ca="1" si="87"/>
        <v>4207.8</v>
      </c>
      <c r="AK226" s="5">
        <f t="shared" ca="1" si="75"/>
        <v>103.5987451661457</v>
      </c>
      <c r="AM226" t="s">
        <v>276</v>
      </c>
      <c r="AN226" s="5">
        <f ca="1">+VLOOKUP($A226,INDIRECT(Adrese!B$2),6,FALSE)</f>
        <v>9.0022123893805303E-2</v>
      </c>
      <c r="AO226" s="5">
        <f ca="1">+VLOOKUP($A226,INDIRECT(Adrese!C$2),6,FALSE)</f>
        <v>9.4646017999999998E-2</v>
      </c>
      <c r="AP226" s="5">
        <f ca="1">+VLOOKUP($A226,INDIRECT(Adrese!D$2),6,FALSE)</f>
        <v>9.3274335999999999E-2</v>
      </c>
      <c r="AQ226" s="5">
        <f ca="1">+VLOOKUP($A226,INDIRECT(Adrese!E$2),6,FALSE)</f>
        <v>9.5486725999999994E-2</v>
      </c>
      <c r="AR226" s="5">
        <f ca="1">+VLOOKUP($A226,INDIRECT(Adrese!F$2),6,FALSE)</f>
        <v>9.1482301000000002E-2</v>
      </c>
      <c r="AS226" s="5" t="str">
        <f t="shared" ca="1" si="76"/>
        <v>0.09 (0.00)</v>
      </c>
      <c r="AT226" s="5">
        <f t="shared" ca="1" si="88"/>
        <v>9.2982300978761062E-2</v>
      </c>
      <c r="AU226" s="5">
        <f t="shared" ca="1" si="77"/>
        <v>2.2437709206811957E-3</v>
      </c>
      <c r="AW226" t="s">
        <v>276</v>
      </c>
      <c r="AX226" s="5">
        <f ca="1">+VLOOKUP($A226,INDIRECT(Adrese!B$2),7,FALSE)</f>
        <v>9.7345132743362831E-2</v>
      </c>
      <c r="AY226" s="5">
        <f ca="1">+VLOOKUP($A226,INDIRECT(Adrese!C$2),7,FALSE)</f>
        <v>0.10619468999999999</v>
      </c>
      <c r="AZ226" s="5">
        <f ca="1">+VLOOKUP($A226,INDIRECT(Adrese!D$2),7,FALSE)</f>
        <v>0.110619469</v>
      </c>
      <c r="BA226" s="5">
        <f ca="1">+VLOOKUP($A226,INDIRECT(Adrese!E$2),7,FALSE)</f>
        <v>8.8495575000000007E-2</v>
      </c>
      <c r="BB226" s="5">
        <f ca="1">+VLOOKUP($A226,INDIRECT(Adrese!F$2),7,FALSE)</f>
        <v>0.123893805</v>
      </c>
      <c r="BC226" s="5" t="str">
        <f t="shared" ca="1" si="78"/>
        <v>0.11 (0.01)</v>
      </c>
      <c r="BD226">
        <f t="shared" ca="1" si="89"/>
        <v>0.10530973434867257</v>
      </c>
      <c r="BE226" s="5">
        <f t="shared" ca="1" si="79"/>
        <v>1.3421018440115728E-2</v>
      </c>
      <c r="BG226" t="s">
        <v>276</v>
      </c>
      <c r="BH226" s="5">
        <f ca="1">+VLOOKUP($BG226,INDIRECT(Adrese!B$2),8,FALSE)</f>
        <v>8.8687279854697074E-3</v>
      </c>
      <c r="BI226" s="5">
        <f ca="1">+VLOOKUP($BG226,INDIRECT(Adrese!C$2),8,FALSE)</f>
        <v>9.2693540000000005E-3</v>
      </c>
      <c r="BJ226" s="5">
        <f ca="1">+VLOOKUP($BG226,INDIRECT(Adrese!D$2),8,FALSE)</f>
        <v>9.1795350000000008E-3</v>
      </c>
      <c r="BK226" s="5">
        <f ca="1">+VLOOKUP($BG226,INDIRECT(Adrese!E$2),8,FALSE)</f>
        <v>9.3909560000000007E-3</v>
      </c>
      <c r="BL226" s="5">
        <f ca="1">+VLOOKUP($BG226,INDIRECT(Adrese!F$2),8,FALSE)</f>
        <v>8.8962750000000004E-3</v>
      </c>
      <c r="BM226" s="5" t="str">
        <f t="shared" ca="1" si="80"/>
        <v>0.01 (0.00)</v>
      </c>
      <c r="BN226" s="5">
        <f t="shared" ca="1" si="90"/>
        <v>9.1209695970939416E-3</v>
      </c>
      <c r="BO226" s="5">
        <f t="shared" ca="1" si="81"/>
        <v>2.3046365645991185E-4</v>
      </c>
      <c r="BQ226" t="s">
        <v>276</v>
      </c>
      <c r="BR226" s="5">
        <f ca="1">+VLOOKUP($BG226,INDIRECT(Adrese!B$2),9,FALSE)</f>
        <v>-6.1906140409138298E-2</v>
      </c>
      <c r="BS226" s="5">
        <f ca="1">+VLOOKUP($BG226,INDIRECT(Adrese!C$2),9,FALSE)</f>
        <v>-6.1454321999999999E-2</v>
      </c>
      <c r="BT226" s="5">
        <f ca="1">+VLOOKUP($BG226,INDIRECT(Adrese!D$2),9,FALSE)</f>
        <v>-6.1381224999999998E-2</v>
      </c>
      <c r="BU226" s="5">
        <f ca="1">+VLOOKUP($BG226,INDIRECT(Adrese!E$2),9,FALSE)</f>
        <v>-6.1382671E-2</v>
      </c>
      <c r="BV226" s="5">
        <f ca="1">+VLOOKUP($BG226,INDIRECT(Adrese!F$2),9,FALSE)</f>
        <v>-6.2368701999999998E-2</v>
      </c>
      <c r="BW226" s="5" t="str">
        <f t="shared" ca="1" si="82"/>
        <v>-0.06 (0.00)</v>
      </c>
      <c r="BX226" s="5">
        <f t="shared" ca="1" si="91"/>
        <v>-6.1698612081827656E-2</v>
      </c>
      <c r="BY226" s="5">
        <f t="shared" ca="1" si="83"/>
        <v>4.3368176006417398E-4</v>
      </c>
    </row>
    <row r="227" spans="1:77" x14ac:dyDescent="0.25">
      <c r="A227" t="s">
        <v>277</v>
      </c>
      <c r="B227" s="12">
        <f ca="1">+VLOOKUP($A227,INDIRECT(Adrese!B$2),2,FALSE)</f>
        <v>225</v>
      </c>
      <c r="C227" s="12">
        <f ca="1">+VLOOKUP($A227,INDIRECT(Adrese!C$2),2,FALSE)</f>
        <v>223</v>
      </c>
      <c r="D227" s="12">
        <f ca="1">+VLOOKUP($A227,INDIRECT(Adrese!D$2),2,FALSE)</f>
        <v>222</v>
      </c>
      <c r="E227" s="12">
        <f ca="1">+VLOOKUP($A227,INDIRECT(Adrese!E$2),2,FALSE)</f>
        <v>224</v>
      </c>
      <c r="F227" s="12">
        <f ca="1">+VLOOKUP($A227,INDIRECT(Adrese!F$2),2,FALSE)</f>
        <v>225</v>
      </c>
      <c r="G227" s="5">
        <f t="shared" ca="1" si="84"/>
        <v>223.8</v>
      </c>
      <c r="H227" s="5">
        <f t="shared" ca="1" si="71"/>
        <v>1.3038404810405297</v>
      </c>
      <c r="J227" t="s">
        <v>277</v>
      </c>
      <c r="K227">
        <f ca="1">+VLOOKUP($A227,INDIRECT(Adrese!B$2),3,FALSE)</f>
        <v>66</v>
      </c>
      <c r="L227">
        <f ca="1">+VLOOKUP($A227,INDIRECT(Adrese!C$2),3,FALSE)</f>
        <v>65</v>
      </c>
      <c r="M227">
        <f ca="1">+VLOOKUP($A227,INDIRECT(Adrese!D$2),3,FALSE)</f>
        <v>67</v>
      </c>
      <c r="N227">
        <f ca="1">+VLOOKUP($A227,INDIRECT(Adrese!E$2),3,FALSE)</f>
        <v>66</v>
      </c>
      <c r="O227">
        <f ca="1">+VLOOKUP($A227,INDIRECT(Adrese!F$2),3,FALSE)</f>
        <v>64</v>
      </c>
      <c r="P227" s="5">
        <f t="shared" ca="1" si="85"/>
        <v>65.599999999999994</v>
      </c>
      <c r="Q227" s="5">
        <f t="shared" ca="1" si="72"/>
        <v>1.1401754250991381</v>
      </c>
      <c r="T227" t="s">
        <v>277</v>
      </c>
      <c r="U227">
        <f ca="1">+VLOOKUP($T227,INDIRECT(Adrese!B$2),4,FALSE)</f>
        <v>82366</v>
      </c>
      <c r="V227">
        <f ca="1">+VLOOKUP($T227,INDIRECT(Adrese!C$2),4,FALSE)</f>
        <v>82529</v>
      </c>
      <c r="W227">
        <f ca="1">+VLOOKUP($T227,INDIRECT(Adrese!D$2),4,FALSE)</f>
        <v>83552</v>
      </c>
      <c r="X227">
        <f ca="1">+VLOOKUP($T227,INDIRECT(Adrese!E$2),4,FALSE)</f>
        <v>82118</v>
      </c>
      <c r="Y227">
        <f ca="1">+VLOOKUP($T227,INDIRECT(Adrese!F$2),4,FALSE)</f>
        <v>82002</v>
      </c>
      <c r="Z227">
        <f t="shared" ca="1" si="73"/>
        <v>412567</v>
      </c>
      <c r="AA227" s="5">
        <f t="shared" ca="1" si="86"/>
        <v>82513.399999999994</v>
      </c>
      <c r="AB227" s="5">
        <f t="shared" ca="1" si="74"/>
        <v>616.14348978139833</v>
      </c>
      <c r="AD227" t="s">
        <v>277</v>
      </c>
      <c r="AE227">
        <f ca="1">+VLOOKUP($A227,INDIRECT(Adrese!B$2),5,FALSE)</f>
        <v>32404</v>
      </c>
      <c r="AF227">
        <f ca="1">+VLOOKUP($A227,INDIRECT(Adrese!C$2),5,FALSE)</f>
        <v>32375</v>
      </c>
      <c r="AG227">
        <f ca="1">+VLOOKUP($A227,INDIRECT(Adrese!D$2),5,FALSE)</f>
        <v>32181</v>
      </c>
      <c r="AH227">
        <f ca="1">+VLOOKUP($A227,INDIRECT(Adrese!E$2),5,FALSE)</f>
        <v>32406</v>
      </c>
      <c r="AI227">
        <f ca="1">+VLOOKUP($A227,INDIRECT(Adrese!F$2),5,FALSE)</f>
        <v>32460</v>
      </c>
      <c r="AJ227" s="5">
        <f t="shared" ca="1" si="87"/>
        <v>32365.200000000001</v>
      </c>
      <c r="AK227" s="5">
        <f t="shared" ca="1" si="75"/>
        <v>107.45091902817771</v>
      </c>
      <c r="AM227" t="s">
        <v>277</v>
      </c>
      <c r="AN227" s="5">
        <f ca="1">+VLOOKUP($A227,INDIRECT(Adrese!B$2),6,FALSE)</f>
        <v>0.71418141592920359</v>
      </c>
      <c r="AO227" s="5">
        <f ca="1">+VLOOKUP($A227,INDIRECT(Adrese!C$2),6,FALSE)</f>
        <v>0.71353982299999996</v>
      </c>
      <c r="AP227" s="5">
        <f ca="1">+VLOOKUP($A227,INDIRECT(Adrese!D$2),6,FALSE)</f>
        <v>0.70924778799999999</v>
      </c>
      <c r="AQ227" s="5">
        <f ca="1">+VLOOKUP($A227,INDIRECT(Adrese!E$2),6,FALSE)</f>
        <v>0.71422566399999998</v>
      </c>
      <c r="AR227" s="5">
        <f ca="1">+VLOOKUP($A227,INDIRECT(Adrese!F$2),6,FALSE)</f>
        <v>0.71542035400000004</v>
      </c>
      <c r="AS227" s="5" t="str">
        <f t="shared" ca="1" si="76"/>
        <v>0.71 (0.00)</v>
      </c>
      <c r="AT227" s="5">
        <f t="shared" ca="1" si="88"/>
        <v>0.71332300898584067</v>
      </c>
      <c r="AU227" s="5">
        <f t="shared" ca="1" si="77"/>
        <v>2.3772325855704528E-3</v>
      </c>
      <c r="AW227" t="s">
        <v>277</v>
      </c>
      <c r="AX227" s="5">
        <f ca="1">+VLOOKUP($A227,INDIRECT(Adrese!B$2),7,FALSE)</f>
        <v>0.70796460176991149</v>
      </c>
      <c r="AY227" s="5">
        <f ca="1">+VLOOKUP($A227,INDIRECT(Adrese!C$2),7,FALSE)</f>
        <v>0.71238938100000004</v>
      </c>
      <c r="AZ227" s="5">
        <f ca="1">+VLOOKUP($A227,INDIRECT(Adrese!D$2),7,FALSE)</f>
        <v>0.70353982299999995</v>
      </c>
      <c r="BA227" s="5">
        <f ca="1">+VLOOKUP($A227,INDIRECT(Adrese!E$2),7,FALSE)</f>
        <v>0.707964602</v>
      </c>
      <c r="BB227" s="5">
        <f ca="1">+VLOOKUP($A227,INDIRECT(Adrese!F$2),7,FALSE)</f>
        <v>0.71681415900000001</v>
      </c>
      <c r="BC227" s="5" t="str">
        <f t="shared" ca="1" si="78"/>
        <v>0.71 (0.01)</v>
      </c>
      <c r="BD227">
        <f t="shared" ca="1" si="89"/>
        <v>0.7097345133539823</v>
      </c>
      <c r="BE227" s="5">
        <f t="shared" ca="1" si="79"/>
        <v>5.0450239466516581E-3</v>
      </c>
      <c r="BG227" t="s">
        <v>277</v>
      </c>
      <c r="BH227" s="5">
        <f ca="1">+VLOOKUP($BG227,INDIRECT(Adrese!B$2),8,FALSE)</f>
        <v>6.109930073720482E-2</v>
      </c>
      <c r="BI227" s="5">
        <f ca="1">+VLOOKUP($BG227,INDIRECT(Adrese!C$2),8,FALSE)</f>
        <v>6.1100862999999998E-2</v>
      </c>
      <c r="BJ227" s="5">
        <f ca="1">+VLOOKUP($BG227,INDIRECT(Adrese!D$2),8,FALSE)</f>
        <v>6.0776677000000001E-2</v>
      </c>
      <c r="BK227" s="5">
        <f ca="1">+VLOOKUP($BG227,INDIRECT(Adrese!E$2),8,FALSE)</f>
        <v>6.1115249000000003E-2</v>
      </c>
      <c r="BL227" s="5">
        <f ca="1">+VLOOKUP($BG227,INDIRECT(Adrese!F$2),8,FALSE)</f>
        <v>6.1370186E-2</v>
      </c>
      <c r="BM227" s="5" t="str">
        <f t="shared" ca="1" si="80"/>
        <v>0.06 (0.00)</v>
      </c>
      <c r="BN227" s="5">
        <f t="shared" ca="1" si="90"/>
        <v>6.1092455147440973E-2</v>
      </c>
      <c r="BO227" s="5">
        <f t="shared" ca="1" si="81"/>
        <v>2.1064625481050469E-4</v>
      </c>
      <c r="BQ227" t="s">
        <v>277</v>
      </c>
      <c r="BR227" s="5">
        <f ca="1">+VLOOKUP($BG227,INDIRECT(Adrese!B$2),9,FALSE)</f>
        <v>2.5034908219278229E-2</v>
      </c>
      <c r="BS227" s="5">
        <f ca="1">+VLOOKUP($BG227,INDIRECT(Adrese!C$2),9,FALSE)</f>
        <v>2.5273640999999999E-2</v>
      </c>
      <c r="BT227" s="5">
        <f ca="1">+VLOOKUP($BG227,INDIRECT(Adrese!D$2),9,FALSE)</f>
        <v>2.4954458999999998E-2</v>
      </c>
      <c r="BU227" s="5">
        <f ca="1">+VLOOKUP($BG227,INDIRECT(Adrese!E$2),9,FALSE)</f>
        <v>2.5113712999999999E-2</v>
      </c>
      <c r="BV227" s="5">
        <f ca="1">+VLOOKUP($BG227,INDIRECT(Adrese!F$2),9,FALSE)</f>
        <v>2.5440122999999999E-2</v>
      </c>
      <c r="BW227" s="5" t="str">
        <f t="shared" ca="1" si="82"/>
        <v>0.03 (0.00)</v>
      </c>
      <c r="BX227" s="5">
        <f t="shared" ca="1" si="91"/>
        <v>2.5163368843855644E-2</v>
      </c>
      <c r="BY227" s="5">
        <f t="shared" ca="1" si="83"/>
        <v>1.9452761315525674E-4</v>
      </c>
    </row>
    <row r="228" spans="1:77" x14ac:dyDescent="0.25">
      <c r="A228" t="s">
        <v>278</v>
      </c>
      <c r="B228" s="12">
        <f ca="1">+VLOOKUP($A228,INDIRECT(Adrese!B$2),2,FALSE)</f>
        <v>226</v>
      </c>
      <c r="C228" s="12">
        <f ca="1">+VLOOKUP($A228,INDIRECT(Adrese!C$2),2,FALSE)</f>
        <v>224</v>
      </c>
      <c r="D228" s="12">
        <f ca="1">+VLOOKUP($A228,INDIRECT(Adrese!D$2),2,FALSE)</f>
        <v>217</v>
      </c>
      <c r="E228" s="12">
        <f ca="1">+VLOOKUP($A228,INDIRECT(Adrese!E$2),2,FALSE)</f>
        <v>225</v>
      </c>
      <c r="F228" s="12">
        <f ca="1">+VLOOKUP($A228,INDIRECT(Adrese!F$2),2,FALSE)</f>
        <v>224</v>
      </c>
      <c r="G228" s="5">
        <f t="shared" ca="1" si="84"/>
        <v>223.2</v>
      </c>
      <c r="H228" s="5">
        <f t="shared" ca="1" si="71"/>
        <v>3.5637059362410923</v>
      </c>
      <c r="J228" t="s">
        <v>278</v>
      </c>
      <c r="K228">
        <f ca="1">+VLOOKUP($A228,INDIRECT(Adrese!B$2),3,FALSE)</f>
        <v>78</v>
      </c>
      <c r="L228">
        <f ca="1">+VLOOKUP($A228,INDIRECT(Adrese!C$2),3,FALSE)</f>
        <v>81</v>
      </c>
      <c r="M228">
        <f ca="1">+VLOOKUP($A228,INDIRECT(Adrese!D$2),3,FALSE)</f>
        <v>80</v>
      </c>
      <c r="N228">
        <f ca="1">+VLOOKUP($A228,INDIRECT(Adrese!E$2),3,FALSE)</f>
        <v>74</v>
      </c>
      <c r="O228">
        <f ca="1">+VLOOKUP($A228,INDIRECT(Adrese!F$2),3,FALSE)</f>
        <v>77</v>
      </c>
      <c r="P228" s="5">
        <f t="shared" ca="1" si="85"/>
        <v>78</v>
      </c>
      <c r="Q228" s="5">
        <f t="shared" ca="1" si="72"/>
        <v>2.7386127875258306</v>
      </c>
      <c r="T228" t="s">
        <v>278</v>
      </c>
      <c r="U228">
        <f ca="1">+VLOOKUP($T228,INDIRECT(Adrese!B$2),4,FALSE)</f>
        <v>82097</v>
      </c>
      <c r="V228">
        <f ca="1">+VLOOKUP($T228,INDIRECT(Adrese!C$2),4,FALSE)</f>
        <v>82390</v>
      </c>
      <c r="W228">
        <f ca="1">+VLOOKUP($T228,INDIRECT(Adrese!D$2),4,FALSE)</f>
        <v>84163</v>
      </c>
      <c r="X228">
        <f ca="1">+VLOOKUP($T228,INDIRECT(Adrese!E$2),4,FALSE)</f>
        <v>81862</v>
      </c>
      <c r="Y228">
        <f ca="1">+VLOOKUP($T228,INDIRECT(Adrese!F$2),4,FALSE)</f>
        <v>82334</v>
      </c>
      <c r="Z228">
        <f t="shared" ca="1" si="73"/>
        <v>412846</v>
      </c>
      <c r="AA228" s="5">
        <f t="shared" ca="1" si="86"/>
        <v>82569.2</v>
      </c>
      <c r="AB228" s="5">
        <f t="shared" ca="1" si="74"/>
        <v>915.25062141470301</v>
      </c>
      <c r="AD228" t="s">
        <v>278</v>
      </c>
      <c r="AE228">
        <f ca="1">+VLOOKUP($A228,INDIRECT(Adrese!B$2),5,FALSE)</f>
        <v>27590</v>
      </c>
      <c r="AF228">
        <f ca="1">+VLOOKUP($A228,INDIRECT(Adrese!C$2),5,FALSE)</f>
        <v>27589</v>
      </c>
      <c r="AG228">
        <f ca="1">+VLOOKUP($A228,INDIRECT(Adrese!D$2),5,FALSE)</f>
        <v>27180</v>
      </c>
      <c r="AH228">
        <f ca="1">+VLOOKUP($A228,INDIRECT(Adrese!E$2),5,FALSE)</f>
        <v>27696</v>
      </c>
      <c r="AI228">
        <f ca="1">+VLOOKUP($A228,INDIRECT(Adrese!F$2),5,FALSE)</f>
        <v>27559</v>
      </c>
      <c r="AJ228" s="5">
        <f t="shared" ca="1" si="87"/>
        <v>27522.799999999999</v>
      </c>
      <c r="AK228" s="5">
        <f t="shared" ca="1" si="75"/>
        <v>198.56913153861552</v>
      </c>
      <c r="AM228" t="s">
        <v>278</v>
      </c>
      <c r="AN228" s="5">
        <f ca="1">+VLOOKUP($A228,INDIRECT(Adrese!B$2),6,FALSE)</f>
        <v>0.60818584070796455</v>
      </c>
      <c r="AO228" s="5">
        <f ca="1">+VLOOKUP($A228,INDIRECT(Adrese!C$2),6,FALSE)</f>
        <v>0.60816371700000005</v>
      </c>
      <c r="AP228" s="5">
        <f ca="1">+VLOOKUP($A228,INDIRECT(Adrese!D$2),6,FALSE)</f>
        <v>0.59911504400000004</v>
      </c>
      <c r="AQ228" s="5">
        <f ca="1">+VLOOKUP($A228,INDIRECT(Adrese!E$2),6,FALSE)</f>
        <v>0.61053097300000003</v>
      </c>
      <c r="AR228" s="5">
        <f ca="1">+VLOOKUP($A228,INDIRECT(Adrese!F$2),6,FALSE)</f>
        <v>0.60750000000000004</v>
      </c>
      <c r="AS228" s="5" t="str">
        <f t="shared" ca="1" si="76"/>
        <v>0.61 (0.00)</v>
      </c>
      <c r="AT228" s="5">
        <f t="shared" ca="1" si="88"/>
        <v>0.6066991149415929</v>
      </c>
      <c r="AU228" s="5">
        <f t="shared" ca="1" si="77"/>
        <v>4.393122403187638E-3</v>
      </c>
      <c r="AW228" t="s">
        <v>278</v>
      </c>
      <c r="AX228" s="5">
        <f ca="1">+VLOOKUP($A228,INDIRECT(Adrese!B$2),7,FALSE)</f>
        <v>0.65486725663716816</v>
      </c>
      <c r="AY228" s="5">
        <f ca="1">+VLOOKUP($A228,INDIRECT(Adrese!C$2),7,FALSE)</f>
        <v>0.64159292000000001</v>
      </c>
      <c r="AZ228" s="5">
        <f ca="1">+VLOOKUP($A228,INDIRECT(Adrese!D$2),7,FALSE)</f>
        <v>0.64601769899999995</v>
      </c>
      <c r="BA228" s="5">
        <f ca="1">+VLOOKUP($A228,INDIRECT(Adrese!E$2),7,FALSE)</f>
        <v>0.67256637200000002</v>
      </c>
      <c r="BB228" s="5">
        <f ca="1">+VLOOKUP($A228,INDIRECT(Adrese!F$2),7,FALSE)</f>
        <v>0.659292035</v>
      </c>
      <c r="BC228" s="5" t="str">
        <f t="shared" ca="1" si="78"/>
        <v>0.65 (0.01)</v>
      </c>
      <c r="BD228">
        <f t="shared" ca="1" si="89"/>
        <v>0.65486725652743361</v>
      </c>
      <c r="BE228" s="5">
        <f t="shared" ca="1" si="79"/>
        <v>1.2117755894940309E-2</v>
      </c>
      <c r="BG228" t="s">
        <v>278</v>
      </c>
      <c r="BH228" s="5">
        <f ca="1">+VLOOKUP($BG228,INDIRECT(Adrese!B$2),8,FALSE)</f>
        <v>5.1497182501938132E-2</v>
      </c>
      <c r="BI228" s="5">
        <f ca="1">+VLOOKUP($BG228,INDIRECT(Adrese!C$2),8,FALSE)</f>
        <v>5.1152950000000003E-2</v>
      </c>
      <c r="BJ228" s="5">
        <f ca="1">+VLOOKUP($BG228,INDIRECT(Adrese!D$2),8,FALSE)</f>
        <v>5.0864965999999998E-2</v>
      </c>
      <c r="BK228" s="5">
        <f ca="1">+VLOOKUP($BG228,INDIRECT(Adrese!E$2),8,FALSE)</f>
        <v>5.1575129999999997E-2</v>
      </c>
      <c r="BL228" s="5">
        <f ca="1">+VLOOKUP($BG228,INDIRECT(Adrese!F$2),8,FALSE)</f>
        <v>5.1710269000000003E-2</v>
      </c>
      <c r="BM228" s="5" t="str">
        <f t="shared" ca="1" si="80"/>
        <v>0.05 (0.00)</v>
      </c>
      <c r="BN228" s="5">
        <f t="shared" ca="1" si="90"/>
        <v>5.1360099500387627E-2</v>
      </c>
      <c r="BO228" s="5">
        <f t="shared" ca="1" si="81"/>
        <v>3.4486107429419028E-4</v>
      </c>
      <c r="BQ228" t="s">
        <v>278</v>
      </c>
      <c r="BR228" s="5">
        <f ca="1">+VLOOKUP($BG228,INDIRECT(Adrese!B$2),9,FALSE)</f>
        <v>1.043766075496471E-2</v>
      </c>
      <c r="BS228" s="5">
        <f ca="1">+VLOOKUP($BG228,INDIRECT(Adrese!C$2),9,FALSE)</f>
        <v>8.9745510000000008E-3</v>
      </c>
      <c r="BT228" s="5">
        <f ca="1">+VLOOKUP($BG228,INDIRECT(Adrese!D$2),9,FALSE)</f>
        <v>1.0029231E-2</v>
      </c>
      <c r="BU228" s="5">
        <f ca="1">+VLOOKUP($BG228,INDIRECT(Adrese!E$2),9,FALSE)</f>
        <v>1.011606E-2</v>
      </c>
      <c r="BV228" s="5">
        <f ca="1">+VLOOKUP($BG228,INDIRECT(Adrese!F$2),9,FALSE)</f>
        <v>1.0935736999999999E-2</v>
      </c>
      <c r="BW228" s="5" t="str">
        <f t="shared" ca="1" si="82"/>
        <v>0.01 (0.00)</v>
      </c>
      <c r="BX228" s="5">
        <f t="shared" ca="1" si="91"/>
        <v>1.0098647950992943E-2</v>
      </c>
      <c r="BY228" s="5">
        <f t="shared" ca="1" si="83"/>
        <v>7.2186626271625754E-4</v>
      </c>
    </row>
    <row r="229" spans="1:77" x14ac:dyDescent="0.25">
      <c r="A229" t="s">
        <v>279</v>
      </c>
      <c r="B229" s="12">
        <f ca="1">+VLOOKUP($A229,INDIRECT(Adrese!B$2),2,FALSE)</f>
        <v>227</v>
      </c>
      <c r="C229" s="12">
        <f ca="1">+VLOOKUP($A229,INDIRECT(Adrese!C$2),2,FALSE)</f>
        <v>227</v>
      </c>
      <c r="D229" s="12">
        <f ca="1">+VLOOKUP($A229,INDIRECT(Adrese!D$2),2,FALSE)</f>
        <v>226</v>
      </c>
      <c r="E229" s="12">
        <f ca="1">+VLOOKUP($A229,INDIRECT(Adrese!E$2),2,FALSE)</f>
        <v>227</v>
      </c>
      <c r="F229" s="12">
        <f ca="1">+VLOOKUP($A229,INDIRECT(Adrese!F$2),2,FALSE)</f>
        <v>226</v>
      </c>
      <c r="G229" s="5">
        <f t="shared" ca="1" si="84"/>
        <v>226.6</v>
      </c>
      <c r="H229" s="5">
        <f t="shared" ca="1" si="71"/>
        <v>0.54772255750516607</v>
      </c>
      <c r="J229" t="s">
        <v>279</v>
      </c>
      <c r="K229">
        <f ca="1">+VLOOKUP($A229,INDIRECT(Adrese!B$2),3,FALSE)</f>
        <v>210</v>
      </c>
      <c r="L229">
        <f ca="1">+VLOOKUP($A229,INDIRECT(Adrese!C$2),3,FALSE)</f>
        <v>211</v>
      </c>
      <c r="M229">
        <f ca="1">+VLOOKUP($A229,INDIRECT(Adrese!D$2),3,FALSE)</f>
        <v>212</v>
      </c>
      <c r="N229">
        <f ca="1">+VLOOKUP($A229,INDIRECT(Adrese!E$2),3,FALSE)</f>
        <v>211</v>
      </c>
      <c r="O229">
        <f ca="1">+VLOOKUP($A229,INDIRECT(Adrese!F$2),3,FALSE)</f>
        <v>211</v>
      </c>
      <c r="P229" s="5">
        <f t="shared" ca="1" si="85"/>
        <v>211</v>
      </c>
      <c r="Q229" s="5">
        <f t="shared" ca="1" si="72"/>
        <v>0.70710678118654757</v>
      </c>
      <c r="T229" t="s">
        <v>279</v>
      </c>
      <c r="U229">
        <f ca="1">+VLOOKUP($T229,INDIRECT(Adrese!B$2),4,FALSE)</f>
        <v>81060</v>
      </c>
      <c r="V229">
        <f ca="1">+VLOOKUP($T229,INDIRECT(Adrese!C$2),4,FALSE)</f>
        <v>80712</v>
      </c>
      <c r="W229">
        <f ca="1">+VLOOKUP($T229,INDIRECT(Adrese!D$2),4,FALSE)</f>
        <v>81684</v>
      </c>
      <c r="X229">
        <f ca="1">+VLOOKUP($T229,INDIRECT(Adrese!E$2),4,FALSE)</f>
        <v>80668</v>
      </c>
      <c r="Y229">
        <f ca="1">+VLOOKUP($T229,INDIRECT(Adrese!F$2),4,FALSE)</f>
        <v>81756</v>
      </c>
      <c r="Z229">
        <f t="shared" ca="1" si="73"/>
        <v>405880</v>
      </c>
      <c r="AA229" s="5">
        <f t="shared" ca="1" si="86"/>
        <v>81176</v>
      </c>
      <c r="AB229" s="5">
        <f t="shared" ca="1" si="74"/>
        <v>519.92307123265846</v>
      </c>
      <c r="AD229" t="s">
        <v>279</v>
      </c>
      <c r="AE229">
        <f ca="1">+VLOOKUP($A229,INDIRECT(Adrese!B$2),5,FALSE)</f>
        <v>0</v>
      </c>
      <c r="AF229">
        <f ca="1">+VLOOKUP($A229,INDIRECT(Adrese!C$2),5,FALSE)</f>
        <v>0</v>
      </c>
      <c r="AG229">
        <f ca="1">+VLOOKUP($A229,INDIRECT(Adrese!D$2),5,FALSE)</f>
        <v>0</v>
      </c>
      <c r="AH229">
        <f ca="1">+VLOOKUP($A229,INDIRECT(Adrese!E$2),5,FALSE)</f>
        <v>0</v>
      </c>
      <c r="AI229">
        <f ca="1">+VLOOKUP($A229,INDIRECT(Adrese!F$2),5,FALSE)</f>
        <v>0</v>
      </c>
      <c r="AJ229" s="5">
        <f t="shared" ca="1" si="87"/>
        <v>0</v>
      </c>
      <c r="AK229" s="5">
        <f t="shared" ca="1" si="75"/>
        <v>0</v>
      </c>
      <c r="AM229" t="s">
        <v>279</v>
      </c>
      <c r="AN229" s="5">
        <f ca="1">+VLOOKUP($A229,INDIRECT(Adrese!B$2),6,FALSE)</f>
        <v>0</v>
      </c>
      <c r="AO229" s="5">
        <f ca="1">+VLOOKUP($A229,INDIRECT(Adrese!C$2),6,FALSE)</f>
        <v>0</v>
      </c>
      <c r="AP229" s="5">
        <f ca="1">+VLOOKUP($A229,INDIRECT(Adrese!D$2),6,FALSE)</f>
        <v>0</v>
      </c>
      <c r="AQ229" s="5">
        <f ca="1">+VLOOKUP($A229,INDIRECT(Adrese!E$2),6,FALSE)</f>
        <v>0</v>
      </c>
      <c r="AR229" s="5">
        <f ca="1">+VLOOKUP($A229,INDIRECT(Adrese!F$2),6,FALSE)</f>
        <v>0</v>
      </c>
      <c r="AS229" s="5" t="str">
        <f t="shared" ca="1" si="76"/>
        <v>0.00 (0.00)</v>
      </c>
      <c r="AT229" s="5">
        <f t="shared" ca="1" si="88"/>
        <v>0</v>
      </c>
      <c r="AU229" s="5">
        <f t="shared" ca="1" si="77"/>
        <v>0</v>
      </c>
      <c r="AW229" t="s">
        <v>279</v>
      </c>
      <c r="AX229" s="5">
        <f ca="1">+VLOOKUP($A229,INDIRECT(Adrese!B$2),7,FALSE)</f>
        <v>7.0796460176991149E-2</v>
      </c>
      <c r="AY229" s="5">
        <f ca="1">+VLOOKUP($A229,INDIRECT(Adrese!C$2),7,FALSE)</f>
        <v>6.6371681000000002E-2</v>
      </c>
      <c r="AZ229" s="5">
        <f ca="1">+VLOOKUP($A229,INDIRECT(Adrese!D$2),7,FALSE)</f>
        <v>6.1946902999999998E-2</v>
      </c>
      <c r="BA229" s="5">
        <f ca="1">+VLOOKUP($A229,INDIRECT(Adrese!E$2),7,FALSE)</f>
        <v>6.6371681000000002E-2</v>
      </c>
      <c r="BB229" s="5">
        <f ca="1">+VLOOKUP($A229,INDIRECT(Adrese!F$2),7,FALSE)</f>
        <v>6.6371681000000002E-2</v>
      </c>
      <c r="BC229" s="5" t="str">
        <f t="shared" ca="1" si="78"/>
        <v>0.07 (0.00)</v>
      </c>
      <c r="BD229">
        <f t="shared" ca="1" si="89"/>
        <v>6.6371681235398244E-2</v>
      </c>
      <c r="BE229" s="5">
        <f t="shared" ca="1" si="79"/>
        <v>3.128790945174278E-3</v>
      </c>
      <c r="BG229" t="s">
        <v>279</v>
      </c>
      <c r="BH229" s="5">
        <f ca="1">+VLOOKUP($BG229,INDIRECT(Adrese!B$2),8,FALSE)</f>
        <v>0</v>
      </c>
      <c r="BI229" s="5">
        <f ca="1">+VLOOKUP($BG229,INDIRECT(Adrese!C$2),8,FALSE)</f>
        <v>0</v>
      </c>
      <c r="BJ229" s="5">
        <f ca="1">+VLOOKUP($BG229,INDIRECT(Adrese!D$2),8,FALSE)</f>
        <v>0</v>
      </c>
      <c r="BK229" s="5">
        <f ca="1">+VLOOKUP($BG229,INDIRECT(Adrese!E$2),8,FALSE)</f>
        <v>0</v>
      </c>
      <c r="BL229" s="5">
        <f ca="1">+VLOOKUP($BG229,INDIRECT(Adrese!F$2),8,FALSE)</f>
        <v>0</v>
      </c>
      <c r="BM229" s="5" t="str">
        <f t="shared" ca="1" si="80"/>
        <v>0.00 (0.00)</v>
      </c>
      <c r="BN229" s="5">
        <f t="shared" ca="1" si="90"/>
        <v>0</v>
      </c>
      <c r="BO229" s="5">
        <f t="shared" ca="1" si="81"/>
        <v>0</v>
      </c>
      <c r="BQ229" t="s">
        <v>279</v>
      </c>
      <c r="BR229" s="5">
        <f ca="1">+VLOOKUP($BG229,INDIRECT(Adrese!B$2),9,FALSE)</f>
        <v>-7.6727463846233634E-2</v>
      </c>
      <c r="BS229" s="5">
        <f ca="1">+VLOOKUP($BG229,INDIRECT(Adrese!C$2),9,FALSE)</f>
        <v>-7.6809084999999999E-2</v>
      </c>
      <c r="BT229" s="5">
        <f ca="1">+VLOOKUP($BG229,INDIRECT(Adrese!D$2),9,FALSE)</f>
        <v>-7.6520169999999998E-2</v>
      </c>
      <c r="BU229" s="5">
        <f ca="1">+VLOOKUP($BG229,INDIRECT(Adrese!E$2),9,FALSE)</f>
        <v>-7.6815119000000001E-2</v>
      </c>
      <c r="BV229" s="5">
        <f ca="1">+VLOOKUP($BG229,INDIRECT(Adrese!F$2),9,FALSE)</f>
        <v>-7.6930709999999999E-2</v>
      </c>
      <c r="BW229" s="5" t="str">
        <f t="shared" ca="1" si="82"/>
        <v>-0.08 (0.00)</v>
      </c>
      <c r="BX229" s="5">
        <f t="shared" ca="1" si="91"/>
        <v>-7.6760509569246724E-2</v>
      </c>
      <c r="BY229" s="5">
        <f t="shared" ca="1" si="83"/>
        <v>1.5261477433707319E-4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44"/>
  <sheetViews>
    <sheetView workbookViewId="0">
      <selection activeCell="J9" sqref="J9"/>
    </sheetView>
  </sheetViews>
  <sheetFormatPr defaultRowHeight="15" x14ac:dyDescent="0.25"/>
  <sheetData>
    <row r="1" spans="1:9" x14ac:dyDescent="0.25">
      <c r="A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5">
      <c r="A2" t="s">
        <v>69</v>
      </c>
      <c r="B2" s="1">
        <v>1</v>
      </c>
      <c r="C2">
        <v>39</v>
      </c>
      <c r="D2">
        <v>130681</v>
      </c>
      <c r="E2">
        <v>36331</v>
      </c>
      <c r="F2">
        <v>0.79935840707964601</v>
      </c>
      <c r="G2">
        <v>0.82743362831858402</v>
      </c>
      <c r="H2">
        <v>7.7202708379944418E-2</v>
      </c>
      <c r="I2">
        <v>7.6680845881938631E-2</v>
      </c>
    </row>
    <row r="3" spans="1:9" x14ac:dyDescent="0.25">
      <c r="A3" t="s">
        <v>8</v>
      </c>
      <c r="B3" s="1">
        <v>2</v>
      </c>
      <c r="C3">
        <v>47</v>
      </c>
      <c r="D3">
        <v>130630</v>
      </c>
      <c r="E3">
        <v>34561</v>
      </c>
      <c r="F3">
        <v>0.76019911504424775</v>
      </c>
      <c r="G3">
        <v>0.79203539823008851</v>
      </c>
      <c r="H3">
        <v>7.4616940721368152E-2</v>
      </c>
      <c r="I3">
        <v>7.5916951992802004E-2</v>
      </c>
    </row>
    <row r="4" spans="1:9" x14ac:dyDescent="0.25">
      <c r="A4" t="s">
        <v>70</v>
      </c>
      <c r="B4" s="1">
        <v>3</v>
      </c>
      <c r="C4">
        <v>46</v>
      </c>
      <c r="D4">
        <v>130248</v>
      </c>
      <c r="E4">
        <v>34404</v>
      </c>
      <c r="F4">
        <v>0.75672566371681416</v>
      </c>
      <c r="G4">
        <v>0.79646017699115046</v>
      </c>
      <c r="H4">
        <v>7.3698666827020143E-2</v>
      </c>
      <c r="I4">
        <v>7.2413107324563825E-2</v>
      </c>
    </row>
    <row r="5" spans="1:9" x14ac:dyDescent="0.25">
      <c r="A5" t="s">
        <v>71</v>
      </c>
      <c r="B5" s="1">
        <v>4</v>
      </c>
      <c r="C5">
        <v>44</v>
      </c>
      <c r="D5">
        <v>129913</v>
      </c>
      <c r="E5">
        <v>34485</v>
      </c>
      <c r="F5">
        <v>0.7585176991150443</v>
      </c>
      <c r="G5">
        <v>0.80530973451327437</v>
      </c>
      <c r="H5">
        <v>7.4128798180819563E-2</v>
      </c>
      <c r="I5">
        <v>7.4430933635062341E-2</v>
      </c>
    </row>
    <row r="6" spans="1:9" x14ac:dyDescent="0.25">
      <c r="A6" t="s">
        <v>72</v>
      </c>
      <c r="B6" s="1">
        <v>5</v>
      </c>
      <c r="C6">
        <v>62</v>
      </c>
      <c r="D6">
        <v>129208</v>
      </c>
      <c r="E6">
        <v>32767</v>
      </c>
      <c r="F6">
        <v>0.72050884955752215</v>
      </c>
      <c r="G6">
        <v>0.72566371681415931</v>
      </c>
      <c r="H6">
        <v>7.0108468673005492E-2</v>
      </c>
      <c r="I6">
        <v>6.6746665579984238E-2</v>
      </c>
    </row>
    <row r="7" spans="1:9" x14ac:dyDescent="0.25">
      <c r="A7" t="s">
        <v>73</v>
      </c>
      <c r="B7" s="1">
        <v>6</v>
      </c>
      <c r="C7">
        <v>51</v>
      </c>
      <c r="D7">
        <v>128912</v>
      </c>
      <c r="E7">
        <v>32603</v>
      </c>
      <c r="F7">
        <v>0.71688053097345128</v>
      </c>
      <c r="G7">
        <v>0.77433628318584069</v>
      </c>
      <c r="H7">
        <v>7.2026930905785241E-2</v>
      </c>
      <c r="I7">
        <v>7.5758040046945779E-2</v>
      </c>
    </row>
    <row r="8" spans="1:9" x14ac:dyDescent="0.25">
      <c r="A8" t="s">
        <v>74</v>
      </c>
      <c r="B8" s="1">
        <v>7</v>
      </c>
      <c r="C8">
        <v>48</v>
      </c>
      <c r="D8">
        <v>128227</v>
      </c>
      <c r="E8">
        <v>33058</v>
      </c>
      <c r="F8">
        <v>0.72694690265486728</v>
      </c>
      <c r="G8">
        <v>0.78761061946902655</v>
      </c>
      <c r="H8">
        <v>7.3902367468486024E-2</v>
      </c>
      <c r="I8">
        <v>8.0896687231745021E-2</v>
      </c>
    </row>
    <row r="9" spans="1:9" x14ac:dyDescent="0.25">
      <c r="A9" t="s">
        <v>75</v>
      </c>
      <c r="B9" s="1">
        <v>8</v>
      </c>
      <c r="C9">
        <v>46</v>
      </c>
      <c r="D9">
        <v>128023</v>
      </c>
      <c r="E9">
        <v>33186</v>
      </c>
      <c r="F9">
        <v>0.72977876106194695</v>
      </c>
      <c r="G9">
        <v>0.79646017699115046</v>
      </c>
      <c r="H9">
        <v>7.5123159898718678E-2</v>
      </c>
      <c r="I9">
        <v>8.5277742518690136E-2</v>
      </c>
    </row>
    <row r="10" spans="1:9" x14ac:dyDescent="0.25">
      <c r="A10" t="s">
        <v>76</v>
      </c>
      <c r="B10" s="1">
        <v>9</v>
      </c>
      <c r="C10">
        <v>42</v>
      </c>
      <c r="D10">
        <v>127587</v>
      </c>
      <c r="E10">
        <v>33011</v>
      </c>
      <c r="F10">
        <v>0.72590707964601775</v>
      </c>
      <c r="G10">
        <v>0.81415929203539827</v>
      </c>
      <c r="H10">
        <v>7.4337677994965656E-2</v>
      </c>
      <c r="I10">
        <v>8.3334059823669288E-2</v>
      </c>
    </row>
    <row r="11" spans="1:9" x14ac:dyDescent="0.25">
      <c r="A11" t="s">
        <v>77</v>
      </c>
      <c r="B11" s="1">
        <v>10</v>
      </c>
      <c r="C11">
        <v>37</v>
      </c>
      <c r="D11">
        <v>127572</v>
      </c>
      <c r="E11">
        <v>35631</v>
      </c>
      <c r="F11">
        <v>0.78387168141592922</v>
      </c>
      <c r="G11">
        <v>0.83628318584070793</v>
      </c>
      <c r="H11">
        <v>7.3776870727060934E-2</v>
      </c>
      <c r="I11">
        <v>6.6555901131224657E-2</v>
      </c>
    </row>
    <row r="12" spans="1:9" x14ac:dyDescent="0.25">
      <c r="A12" t="s">
        <v>78</v>
      </c>
      <c r="B12" s="1">
        <v>11</v>
      </c>
      <c r="C12">
        <v>44</v>
      </c>
      <c r="D12">
        <v>127313</v>
      </c>
      <c r="E12">
        <v>31469</v>
      </c>
      <c r="F12">
        <v>0.69179203539823009</v>
      </c>
      <c r="G12">
        <v>0.80530973451327437</v>
      </c>
      <c r="H12">
        <v>6.9699149790158024E-2</v>
      </c>
      <c r="I12">
        <v>7.2303675611152737E-2</v>
      </c>
    </row>
    <row r="13" spans="1:9" x14ac:dyDescent="0.25">
      <c r="A13" t="s">
        <v>79</v>
      </c>
      <c r="B13" s="1">
        <v>12</v>
      </c>
      <c r="C13">
        <v>47</v>
      </c>
      <c r="D13">
        <v>127058</v>
      </c>
      <c r="E13">
        <v>33395</v>
      </c>
      <c r="F13">
        <v>0.73440265486725664</v>
      </c>
      <c r="G13">
        <v>0.79203539823008851</v>
      </c>
      <c r="H13">
        <v>7.2926550109422214E-2</v>
      </c>
      <c r="I13">
        <v>7.4944550876885008E-2</v>
      </c>
    </row>
    <row r="14" spans="1:9" x14ac:dyDescent="0.25">
      <c r="A14" t="s">
        <v>80</v>
      </c>
      <c r="B14" s="1">
        <v>13</v>
      </c>
      <c r="C14">
        <v>38</v>
      </c>
      <c r="D14">
        <v>126427</v>
      </c>
      <c r="E14">
        <v>33547</v>
      </c>
      <c r="F14">
        <v>0.73776548672566367</v>
      </c>
      <c r="G14">
        <v>0.83185840707964598</v>
      </c>
      <c r="H14">
        <v>7.610030566794744E-2</v>
      </c>
      <c r="I14">
        <v>8.705226510298382E-2</v>
      </c>
    </row>
    <row r="15" spans="1:9" x14ac:dyDescent="0.25">
      <c r="A15" t="s">
        <v>81</v>
      </c>
      <c r="B15" s="1">
        <v>14</v>
      </c>
      <c r="C15">
        <v>46</v>
      </c>
      <c r="D15">
        <v>126290</v>
      </c>
      <c r="E15">
        <v>33343</v>
      </c>
      <c r="F15">
        <v>0.73325221238938054</v>
      </c>
      <c r="G15">
        <v>0.79646017699115046</v>
      </c>
      <c r="H15">
        <v>7.4433516874107666E-2</v>
      </c>
      <c r="I15">
        <v>8.0866873708440534E-2</v>
      </c>
    </row>
    <row r="16" spans="1:9" x14ac:dyDescent="0.25">
      <c r="A16" t="s">
        <v>82</v>
      </c>
      <c r="B16" s="1">
        <v>15</v>
      </c>
      <c r="C16">
        <v>39</v>
      </c>
      <c r="D16">
        <v>125929</v>
      </c>
      <c r="E16">
        <v>36656</v>
      </c>
      <c r="F16">
        <v>0.80654867256637164</v>
      </c>
      <c r="G16">
        <v>0.82743362831858402</v>
      </c>
      <c r="H16">
        <v>7.9587871435302104E-2</v>
      </c>
      <c r="I16">
        <v>8.4149960584087691E-2</v>
      </c>
    </row>
    <row r="17" spans="1:9" x14ac:dyDescent="0.25">
      <c r="A17" t="s">
        <v>83</v>
      </c>
      <c r="B17" s="1">
        <v>16</v>
      </c>
      <c r="C17">
        <v>48</v>
      </c>
      <c r="D17">
        <v>125435</v>
      </c>
      <c r="E17">
        <v>31218</v>
      </c>
      <c r="F17">
        <v>0.68623893805309732</v>
      </c>
      <c r="G17">
        <v>0.78761061946902655</v>
      </c>
      <c r="H17">
        <v>7.09005611052098E-2</v>
      </c>
      <c r="I17">
        <v>7.801712581174812E-2</v>
      </c>
    </row>
    <row r="18" spans="1:9" x14ac:dyDescent="0.25">
      <c r="A18" t="s">
        <v>84</v>
      </c>
      <c r="B18" s="1">
        <v>17</v>
      </c>
      <c r="C18">
        <v>47</v>
      </c>
      <c r="D18">
        <v>125287</v>
      </c>
      <c r="E18">
        <v>34523</v>
      </c>
      <c r="F18">
        <v>0.75935840707964597</v>
      </c>
      <c r="G18">
        <v>0.79203539823008851</v>
      </c>
      <c r="H18">
        <v>7.7110866797674663E-2</v>
      </c>
      <c r="I18">
        <v>8.5651487101798471E-2</v>
      </c>
    </row>
    <row r="19" spans="1:9" x14ac:dyDescent="0.25">
      <c r="A19" t="s">
        <v>85</v>
      </c>
      <c r="B19" s="1">
        <v>18</v>
      </c>
      <c r="C19">
        <v>173</v>
      </c>
      <c r="D19">
        <v>125107</v>
      </c>
      <c r="E19">
        <v>31618</v>
      </c>
      <c r="F19">
        <v>0.69513274336283182</v>
      </c>
      <c r="G19">
        <v>0.23451327433628319</v>
      </c>
      <c r="H19">
        <v>7.1785862518058033E-2</v>
      </c>
      <c r="I19">
        <v>7.9689018262521255E-2</v>
      </c>
    </row>
    <row r="20" spans="1:9" x14ac:dyDescent="0.25">
      <c r="A20" t="s">
        <v>86</v>
      </c>
      <c r="B20" s="1">
        <v>19</v>
      </c>
      <c r="C20">
        <v>18</v>
      </c>
      <c r="D20">
        <v>124825</v>
      </c>
      <c r="E20">
        <v>37469</v>
      </c>
      <c r="F20">
        <v>0.82453539823008848</v>
      </c>
      <c r="G20">
        <v>0.92035398230088494</v>
      </c>
      <c r="H20">
        <v>8.1781156794331622E-2</v>
      </c>
      <c r="I20">
        <v>8.840213863540243E-2</v>
      </c>
    </row>
    <row r="21" spans="1:9" x14ac:dyDescent="0.25">
      <c r="A21" t="s">
        <v>87</v>
      </c>
      <c r="B21" s="1">
        <v>20</v>
      </c>
      <c r="C21">
        <v>40</v>
      </c>
      <c r="D21">
        <v>124688</v>
      </c>
      <c r="E21">
        <v>34309</v>
      </c>
      <c r="F21">
        <v>0.7546238938053097</v>
      </c>
      <c r="G21">
        <v>0.82300884955752207</v>
      </c>
      <c r="H21">
        <v>7.7425917264913699E-2</v>
      </c>
      <c r="I21">
        <v>8.8003407784059934E-2</v>
      </c>
    </row>
    <row r="22" spans="1:9" x14ac:dyDescent="0.25">
      <c r="A22" t="s">
        <v>88</v>
      </c>
      <c r="B22" s="1">
        <v>21</v>
      </c>
      <c r="C22">
        <v>48</v>
      </c>
      <c r="D22">
        <v>124166</v>
      </c>
      <c r="E22">
        <v>30877</v>
      </c>
      <c r="F22">
        <v>0.67869469026548668</v>
      </c>
      <c r="G22">
        <v>0.78761061946902655</v>
      </c>
      <c r="H22">
        <v>6.7615028255490123E-2</v>
      </c>
      <c r="I22">
        <v>6.6344637276470428E-2</v>
      </c>
    </row>
    <row r="23" spans="1:9" x14ac:dyDescent="0.25">
      <c r="A23" t="s">
        <v>89</v>
      </c>
      <c r="B23" s="1">
        <v>22</v>
      </c>
      <c r="C23">
        <v>187</v>
      </c>
      <c r="D23">
        <v>124162</v>
      </c>
      <c r="E23">
        <v>30076</v>
      </c>
      <c r="F23">
        <v>0.66099557522123897</v>
      </c>
      <c r="G23">
        <v>0.17256637168141589</v>
      </c>
      <c r="H23">
        <v>6.9988745936239966E-2</v>
      </c>
      <c r="I23">
        <v>8.0125908260944886E-2</v>
      </c>
    </row>
    <row r="24" spans="1:9" x14ac:dyDescent="0.25">
      <c r="A24" t="s">
        <v>90</v>
      </c>
      <c r="B24" s="1">
        <v>23</v>
      </c>
      <c r="C24">
        <v>179</v>
      </c>
      <c r="D24">
        <v>124093</v>
      </c>
      <c r="E24">
        <v>30012</v>
      </c>
      <c r="F24">
        <v>0.65960176991150443</v>
      </c>
      <c r="G24">
        <v>0.20796460176991149</v>
      </c>
      <c r="H24">
        <v>6.8882280726193804E-2</v>
      </c>
      <c r="I24">
        <v>7.6312431029870273E-2</v>
      </c>
    </row>
    <row r="25" spans="1:9" x14ac:dyDescent="0.25">
      <c r="A25" t="s">
        <v>91</v>
      </c>
      <c r="B25" s="1">
        <v>24</v>
      </c>
      <c r="C25">
        <v>57</v>
      </c>
      <c r="D25">
        <v>123946</v>
      </c>
      <c r="E25">
        <v>28753</v>
      </c>
      <c r="F25">
        <v>0.63170353982300886</v>
      </c>
      <c r="G25">
        <v>0.74778761061946908</v>
      </c>
      <c r="H25">
        <v>6.6910085969239474E-2</v>
      </c>
      <c r="I25">
        <v>7.563891040056285E-2</v>
      </c>
    </row>
    <row r="26" spans="1:9" x14ac:dyDescent="0.25">
      <c r="A26" t="s">
        <v>92</v>
      </c>
      <c r="B26" s="1">
        <v>25</v>
      </c>
      <c r="C26">
        <v>45</v>
      </c>
      <c r="D26">
        <v>123697</v>
      </c>
      <c r="E26">
        <v>34291</v>
      </c>
      <c r="F26">
        <v>0.75422566371681421</v>
      </c>
      <c r="G26">
        <v>0.80088495575221241</v>
      </c>
      <c r="H26">
        <v>7.6516925315638945E-2</v>
      </c>
      <c r="I26">
        <v>8.444193125415321E-2</v>
      </c>
    </row>
    <row r="27" spans="1:9" x14ac:dyDescent="0.25">
      <c r="A27" t="s">
        <v>93</v>
      </c>
      <c r="B27" s="1">
        <v>26</v>
      </c>
      <c r="C27">
        <v>42</v>
      </c>
      <c r="D27">
        <v>123401</v>
      </c>
      <c r="E27">
        <v>30757</v>
      </c>
      <c r="F27">
        <v>0.67603982300884957</v>
      </c>
      <c r="G27">
        <v>0.81415929203539827</v>
      </c>
      <c r="H27">
        <v>7.0972607903567603E-2</v>
      </c>
      <c r="I27">
        <v>8.0663943882981967E-2</v>
      </c>
    </row>
    <row r="28" spans="1:9" x14ac:dyDescent="0.25">
      <c r="A28" t="s">
        <v>94</v>
      </c>
      <c r="B28" s="1">
        <v>27</v>
      </c>
      <c r="C28">
        <v>45</v>
      </c>
      <c r="D28">
        <v>123320</v>
      </c>
      <c r="E28">
        <v>30709</v>
      </c>
      <c r="F28">
        <v>0.67497787610619464</v>
      </c>
      <c r="G28">
        <v>0.80088495575221241</v>
      </c>
      <c r="H28">
        <v>7.1510619430765518E-2</v>
      </c>
      <c r="I28">
        <v>8.2995345549359931E-2</v>
      </c>
    </row>
    <row r="29" spans="1:9" x14ac:dyDescent="0.25">
      <c r="A29" t="s">
        <v>95</v>
      </c>
      <c r="B29" s="1">
        <v>28</v>
      </c>
      <c r="C29">
        <v>25</v>
      </c>
      <c r="D29">
        <v>123190</v>
      </c>
      <c r="E29">
        <v>36467</v>
      </c>
      <c r="F29">
        <v>0.80236725663716812</v>
      </c>
      <c r="G29">
        <v>0.88938053097345138</v>
      </c>
      <c r="H29">
        <v>7.9473223068666346E-2</v>
      </c>
      <c r="I29">
        <v>8.5097090159153219E-2</v>
      </c>
    </row>
    <row r="30" spans="1:9" x14ac:dyDescent="0.25">
      <c r="A30" t="s">
        <v>14</v>
      </c>
      <c r="B30" s="1">
        <v>29</v>
      </c>
      <c r="C30">
        <v>43</v>
      </c>
      <c r="D30">
        <v>123117</v>
      </c>
      <c r="E30">
        <v>33919</v>
      </c>
      <c r="F30">
        <v>0.74599557522123894</v>
      </c>
      <c r="G30">
        <v>0.80973451327433632</v>
      </c>
      <c r="H30">
        <v>7.5675008341901759E-2</v>
      </c>
      <c r="I30">
        <v>8.2178935113383353E-2</v>
      </c>
    </row>
    <row r="31" spans="1:9" x14ac:dyDescent="0.25">
      <c r="A31" t="s">
        <v>96</v>
      </c>
      <c r="B31" s="1">
        <v>30</v>
      </c>
      <c r="C31">
        <v>188</v>
      </c>
      <c r="D31">
        <v>122661</v>
      </c>
      <c r="E31">
        <v>27291</v>
      </c>
      <c r="F31">
        <v>0.59938053097345134</v>
      </c>
      <c r="G31">
        <v>0.16814159292035399</v>
      </c>
      <c r="H31">
        <v>6.3842641752969137E-2</v>
      </c>
      <c r="I31">
        <v>6.975060839679284E-2</v>
      </c>
    </row>
    <row r="32" spans="1:9" x14ac:dyDescent="0.25">
      <c r="A32" t="s">
        <v>97</v>
      </c>
      <c r="B32" s="1">
        <v>31</v>
      </c>
      <c r="C32">
        <v>49</v>
      </c>
      <c r="D32">
        <v>122643</v>
      </c>
      <c r="E32">
        <v>31099</v>
      </c>
      <c r="F32">
        <v>0.68360619469026551</v>
      </c>
      <c r="G32">
        <v>0.7831858407079646</v>
      </c>
      <c r="H32">
        <v>7.1519622313237344E-2</v>
      </c>
      <c r="I32">
        <v>8.1226597884732687E-2</v>
      </c>
    </row>
    <row r="33" spans="1:9" x14ac:dyDescent="0.25">
      <c r="A33" t="s">
        <v>98</v>
      </c>
      <c r="B33" s="1">
        <v>32</v>
      </c>
      <c r="C33">
        <v>55</v>
      </c>
      <c r="D33">
        <v>122525</v>
      </c>
      <c r="E33">
        <v>28730</v>
      </c>
      <c r="F33">
        <v>0.63119469026548669</v>
      </c>
      <c r="G33">
        <v>0.75663716814159288</v>
      </c>
      <c r="H33">
        <v>6.5751211881629038E-2</v>
      </c>
      <c r="I33">
        <v>7.0245926148366042E-2</v>
      </c>
    </row>
    <row r="34" spans="1:9" x14ac:dyDescent="0.25">
      <c r="A34" t="s">
        <v>99</v>
      </c>
      <c r="B34" s="1">
        <v>33</v>
      </c>
      <c r="C34">
        <v>0</v>
      </c>
      <c r="D34">
        <v>122392</v>
      </c>
      <c r="E34">
        <v>39853</v>
      </c>
      <c r="F34">
        <v>0.87727876106194691</v>
      </c>
      <c r="G34">
        <v>1</v>
      </c>
      <c r="H34">
        <v>8.4269225369145398E-2</v>
      </c>
      <c r="I34">
        <v>8.5228248373979604E-2</v>
      </c>
    </row>
    <row r="35" spans="1:9" x14ac:dyDescent="0.25">
      <c r="A35" t="s">
        <v>100</v>
      </c>
      <c r="B35" s="1">
        <v>34</v>
      </c>
      <c r="C35">
        <v>106</v>
      </c>
      <c r="D35">
        <v>122254</v>
      </c>
      <c r="E35">
        <v>25879</v>
      </c>
      <c r="F35">
        <v>0.56860619469026552</v>
      </c>
      <c r="G35">
        <v>0.53097345132743368</v>
      </c>
      <c r="H35">
        <v>5.5689001065839093E-2</v>
      </c>
      <c r="I35">
        <v>3.3442578201493302E-2</v>
      </c>
    </row>
    <row r="36" spans="1:9" x14ac:dyDescent="0.25">
      <c r="A36" t="s">
        <v>101</v>
      </c>
      <c r="B36" s="1">
        <v>35</v>
      </c>
      <c r="C36">
        <v>70</v>
      </c>
      <c r="D36">
        <v>122214</v>
      </c>
      <c r="E36">
        <v>27396</v>
      </c>
      <c r="F36">
        <v>0.60168141592920354</v>
      </c>
      <c r="G36">
        <v>0.69026548672566368</v>
      </c>
      <c r="H36">
        <v>6.4737932986943872E-2</v>
      </c>
      <c r="I36">
        <v>7.3138524108374389E-2</v>
      </c>
    </row>
    <row r="37" spans="1:9" x14ac:dyDescent="0.25">
      <c r="A37" t="s">
        <v>102</v>
      </c>
      <c r="B37" s="1">
        <v>36</v>
      </c>
      <c r="C37">
        <v>22</v>
      </c>
      <c r="D37">
        <v>122036</v>
      </c>
      <c r="E37">
        <v>36683</v>
      </c>
      <c r="F37">
        <v>0.80714601769911509</v>
      </c>
      <c r="G37">
        <v>0.90265486725663713</v>
      </c>
      <c r="H37">
        <v>8.12148182486334E-2</v>
      </c>
      <c r="I37">
        <v>8.9928825858308317E-2</v>
      </c>
    </row>
    <row r="38" spans="1:9" x14ac:dyDescent="0.25">
      <c r="A38" t="s">
        <v>103</v>
      </c>
      <c r="B38" s="1">
        <v>37</v>
      </c>
      <c r="C38">
        <v>27</v>
      </c>
      <c r="D38">
        <v>121980</v>
      </c>
      <c r="E38">
        <v>34221</v>
      </c>
      <c r="F38">
        <v>0.75267699115044251</v>
      </c>
      <c r="G38">
        <v>0.88053097345132747</v>
      </c>
      <c r="H38">
        <v>7.7289695525693369E-2</v>
      </c>
      <c r="I38">
        <v>8.7203341193164113E-2</v>
      </c>
    </row>
    <row r="39" spans="1:9" x14ac:dyDescent="0.25">
      <c r="A39" t="s">
        <v>104</v>
      </c>
      <c r="B39" s="1">
        <v>38</v>
      </c>
      <c r="C39">
        <v>36</v>
      </c>
      <c r="D39">
        <v>121952</v>
      </c>
      <c r="E39">
        <v>34940</v>
      </c>
      <c r="F39">
        <v>0.76858407079646018</v>
      </c>
      <c r="G39">
        <v>0.84070796460176989</v>
      </c>
      <c r="H39">
        <v>7.8762301067648449E-2</v>
      </c>
      <c r="I39">
        <v>8.955644968536651E-2</v>
      </c>
    </row>
    <row r="40" spans="1:9" x14ac:dyDescent="0.25">
      <c r="A40" t="s">
        <v>105</v>
      </c>
      <c r="B40" s="1">
        <v>39</v>
      </c>
      <c r="C40">
        <v>15</v>
      </c>
      <c r="D40">
        <v>121777</v>
      </c>
      <c r="E40">
        <v>36008</v>
      </c>
      <c r="F40">
        <v>0.79221238938053096</v>
      </c>
      <c r="G40">
        <v>0.9336283185840708</v>
      </c>
      <c r="H40">
        <v>7.9355783179144296E-2</v>
      </c>
      <c r="I40">
        <v>8.6289231696577415E-2</v>
      </c>
    </row>
    <row r="41" spans="1:9" x14ac:dyDescent="0.25">
      <c r="A41" t="s">
        <v>106</v>
      </c>
      <c r="B41" s="1">
        <v>40</v>
      </c>
      <c r="C41">
        <v>65</v>
      </c>
      <c r="D41">
        <v>121743</v>
      </c>
      <c r="E41">
        <v>28537</v>
      </c>
      <c r="F41">
        <v>0.6269247787610619</v>
      </c>
      <c r="G41">
        <v>0.71238938053097345</v>
      </c>
      <c r="H41">
        <v>6.6124947221391353E-2</v>
      </c>
      <c r="I41">
        <v>7.2382367660633815E-2</v>
      </c>
    </row>
    <row r="42" spans="1:9" x14ac:dyDescent="0.25">
      <c r="A42" t="s">
        <v>107</v>
      </c>
      <c r="B42" s="1">
        <v>41</v>
      </c>
      <c r="C42">
        <v>46</v>
      </c>
      <c r="D42">
        <v>121631</v>
      </c>
      <c r="E42">
        <v>31370</v>
      </c>
      <c r="F42">
        <v>0.68960176991150446</v>
      </c>
      <c r="G42">
        <v>0.79646017699115046</v>
      </c>
      <c r="H42">
        <v>7.2059560540409739E-2</v>
      </c>
      <c r="I42">
        <v>8.1318090858814737E-2</v>
      </c>
    </row>
    <row r="43" spans="1:9" x14ac:dyDescent="0.25">
      <c r="A43" t="s">
        <v>108</v>
      </c>
      <c r="B43" s="1">
        <v>42</v>
      </c>
      <c r="C43">
        <v>37</v>
      </c>
      <c r="D43">
        <v>121451</v>
      </c>
      <c r="E43">
        <v>35830</v>
      </c>
      <c r="F43">
        <v>0.78827433628318588</v>
      </c>
      <c r="G43">
        <v>0.83628318584070793</v>
      </c>
      <c r="H43">
        <v>7.8733761339529668E-2</v>
      </c>
      <c r="I43">
        <v>8.4354527398064455E-2</v>
      </c>
    </row>
    <row r="44" spans="1:9" x14ac:dyDescent="0.25">
      <c r="A44" t="s">
        <v>109</v>
      </c>
      <c r="B44" s="1">
        <v>43</v>
      </c>
      <c r="C44">
        <v>40</v>
      </c>
      <c r="D44">
        <v>121248</v>
      </c>
      <c r="E44">
        <v>34651</v>
      </c>
      <c r="F44">
        <v>0.76219026548672564</v>
      </c>
      <c r="G44">
        <v>0.82300884955752207</v>
      </c>
      <c r="H44">
        <v>7.8661705599198661E-2</v>
      </c>
      <c r="I44">
        <v>9.068812404753869E-2</v>
      </c>
    </row>
    <row r="45" spans="1:9" x14ac:dyDescent="0.25">
      <c r="A45" t="s">
        <v>110</v>
      </c>
      <c r="B45" s="1">
        <v>44</v>
      </c>
      <c r="C45">
        <v>69</v>
      </c>
      <c r="D45">
        <v>121095</v>
      </c>
      <c r="E45">
        <v>26377</v>
      </c>
      <c r="F45">
        <v>0.57913716814159288</v>
      </c>
      <c r="G45">
        <v>0.69469026548672563</v>
      </c>
      <c r="H45">
        <v>6.2590468926051551E-2</v>
      </c>
      <c r="I45">
        <v>6.9392313310713619E-2</v>
      </c>
    </row>
    <row r="46" spans="1:9" x14ac:dyDescent="0.25">
      <c r="A46" t="s">
        <v>111</v>
      </c>
      <c r="B46" s="1">
        <v>45</v>
      </c>
      <c r="C46">
        <v>36</v>
      </c>
      <c r="D46">
        <v>120921</v>
      </c>
      <c r="E46">
        <v>37474</v>
      </c>
      <c r="F46">
        <v>0.82464601769911505</v>
      </c>
      <c r="G46">
        <v>0.84070796460176989</v>
      </c>
      <c r="H46">
        <v>8.0215127067429975E-2</v>
      </c>
      <c r="I46">
        <v>8.1292930844953301E-2</v>
      </c>
    </row>
    <row r="47" spans="1:9" x14ac:dyDescent="0.25">
      <c r="A47" t="s">
        <v>112</v>
      </c>
      <c r="B47" s="1">
        <v>46</v>
      </c>
      <c r="C47">
        <v>0</v>
      </c>
      <c r="D47">
        <v>120915</v>
      </c>
      <c r="E47">
        <v>38191</v>
      </c>
      <c r="F47">
        <v>0.84050884955752214</v>
      </c>
      <c r="G47">
        <v>1</v>
      </c>
      <c r="H47">
        <v>8.2565543386259266E-2</v>
      </c>
      <c r="I47">
        <v>8.6983726776868886E-2</v>
      </c>
    </row>
    <row r="48" spans="1:9" x14ac:dyDescent="0.25">
      <c r="A48" t="s">
        <v>113</v>
      </c>
      <c r="B48" s="1">
        <v>47</v>
      </c>
      <c r="C48">
        <v>119</v>
      </c>
      <c r="D48">
        <v>120886</v>
      </c>
      <c r="E48">
        <v>26242</v>
      </c>
      <c r="F48">
        <v>0.57632743362831862</v>
      </c>
      <c r="G48">
        <v>0.47345132743362828</v>
      </c>
      <c r="H48">
        <v>5.7237624108476923E-2</v>
      </c>
      <c r="I48">
        <v>3.7588673160073E-2</v>
      </c>
    </row>
    <row r="49" spans="1:9" x14ac:dyDescent="0.25">
      <c r="A49" t="s">
        <v>114</v>
      </c>
      <c r="B49" s="1">
        <v>48</v>
      </c>
      <c r="C49">
        <v>66</v>
      </c>
      <c r="D49">
        <v>120846</v>
      </c>
      <c r="E49">
        <v>26741</v>
      </c>
      <c r="F49">
        <v>0.5871902654867257</v>
      </c>
      <c r="G49">
        <v>0.70796460176991149</v>
      </c>
      <c r="H49">
        <v>6.3319556188679585E-2</v>
      </c>
      <c r="I49">
        <v>7.0758640625200125E-2</v>
      </c>
    </row>
    <row r="50" spans="1:9" x14ac:dyDescent="0.25">
      <c r="A50" t="s">
        <v>115</v>
      </c>
      <c r="B50" s="1">
        <v>49</v>
      </c>
      <c r="C50">
        <v>24</v>
      </c>
      <c r="D50">
        <v>120693</v>
      </c>
      <c r="E50">
        <v>36595</v>
      </c>
      <c r="F50">
        <v>0.80519911504424779</v>
      </c>
      <c r="G50">
        <v>0.89380530973451322</v>
      </c>
      <c r="H50">
        <v>8.1345092502884339E-2</v>
      </c>
      <c r="I50">
        <v>9.0971850072973606E-2</v>
      </c>
    </row>
    <row r="51" spans="1:9" x14ac:dyDescent="0.25">
      <c r="A51" t="s">
        <v>116</v>
      </c>
      <c r="B51" s="1">
        <v>50</v>
      </c>
      <c r="C51">
        <v>38</v>
      </c>
      <c r="D51">
        <v>120678</v>
      </c>
      <c r="E51">
        <v>37295</v>
      </c>
      <c r="F51">
        <v>0.82068584070796458</v>
      </c>
      <c r="G51">
        <v>0.83185840707964598</v>
      </c>
      <c r="H51">
        <v>7.996870112459542E-2</v>
      </c>
      <c r="I51">
        <v>8.1166496382776857E-2</v>
      </c>
    </row>
    <row r="52" spans="1:9" x14ac:dyDescent="0.25">
      <c r="A52" t="s">
        <v>117</v>
      </c>
      <c r="B52" s="1">
        <v>51</v>
      </c>
      <c r="C52">
        <v>38</v>
      </c>
      <c r="D52">
        <v>120632</v>
      </c>
      <c r="E52">
        <v>33589</v>
      </c>
      <c r="F52">
        <v>0.73869469026548673</v>
      </c>
      <c r="G52">
        <v>0.83185840707964598</v>
      </c>
      <c r="H52">
        <v>7.6171029855226308E-2</v>
      </c>
      <c r="I52">
        <v>8.6187438841000136E-2</v>
      </c>
    </row>
    <row r="53" spans="1:9" x14ac:dyDescent="0.25">
      <c r="A53" t="s">
        <v>15</v>
      </c>
      <c r="B53" s="1">
        <v>52</v>
      </c>
      <c r="C53">
        <v>73</v>
      </c>
      <c r="D53">
        <v>120482</v>
      </c>
      <c r="E53">
        <v>25836</v>
      </c>
      <c r="F53">
        <v>0.56716814159292039</v>
      </c>
      <c r="G53">
        <v>0.67699115044247793</v>
      </c>
      <c r="H53">
        <v>6.1564851142300842E-2</v>
      </c>
      <c r="I53">
        <v>6.8260980701701737E-2</v>
      </c>
    </row>
    <row r="54" spans="1:9" x14ac:dyDescent="0.25">
      <c r="A54" t="s">
        <v>118</v>
      </c>
      <c r="B54" s="1">
        <v>53</v>
      </c>
      <c r="C54">
        <v>51</v>
      </c>
      <c r="D54">
        <v>120449</v>
      </c>
      <c r="E54">
        <v>31137</v>
      </c>
      <c r="F54">
        <v>0.6844469026548673</v>
      </c>
      <c r="G54">
        <v>0.77433628318584069</v>
      </c>
      <c r="H54">
        <v>7.1718275030227402E-2</v>
      </c>
      <c r="I54">
        <v>8.0932888580135642E-2</v>
      </c>
    </row>
    <row r="55" spans="1:9" x14ac:dyDescent="0.25">
      <c r="A55" t="s">
        <v>9</v>
      </c>
      <c r="B55" s="1">
        <v>54</v>
      </c>
      <c r="C55">
        <v>180</v>
      </c>
      <c r="D55">
        <v>120329</v>
      </c>
      <c r="E55">
        <v>34488</v>
      </c>
      <c r="F55">
        <v>0.75862831858407076</v>
      </c>
      <c r="G55">
        <v>0.2035398230088496</v>
      </c>
      <c r="H55">
        <v>7.7887137491773631E-2</v>
      </c>
      <c r="I55">
        <v>8.7937084740280447E-2</v>
      </c>
    </row>
    <row r="56" spans="1:9" x14ac:dyDescent="0.25">
      <c r="A56" t="s">
        <v>119</v>
      </c>
      <c r="B56" s="1">
        <v>55</v>
      </c>
      <c r="C56">
        <v>69</v>
      </c>
      <c r="D56">
        <v>120318</v>
      </c>
      <c r="E56">
        <v>25782</v>
      </c>
      <c r="F56">
        <v>0.5659734513274336</v>
      </c>
      <c r="G56">
        <v>0.69469026548672563</v>
      </c>
      <c r="H56">
        <v>6.1362841663181462E-2</v>
      </c>
      <c r="I56">
        <v>6.7966611671334748E-2</v>
      </c>
    </row>
    <row r="57" spans="1:9" x14ac:dyDescent="0.25">
      <c r="A57" t="s">
        <v>120</v>
      </c>
      <c r="B57" s="1">
        <v>56</v>
      </c>
      <c r="C57">
        <v>17</v>
      </c>
      <c r="D57">
        <v>120143</v>
      </c>
      <c r="E57">
        <v>39301</v>
      </c>
      <c r="F57">
        <v>0.86506637168141598</v>
      </c>
      <c r="G57">
        <v>0.9247787610619469</v>
      </c>
      <c r="H57">
        <v>8.3269850235614451E-2</v>
      </c>
      <c r="I57">
        <v>8.385876885796506E-2</v>
      </c>
    </row>
    <row r="58" spans="1:9" x14ac:dyDescent="0.25">
      <c r="A58" t="s">
        <v>121</v>
      </c>
      <c r="B58" s="1">
        <v>57</v>
      </c>
      <c r="C58">
        <v>0</v>
      </c>
      <c r="D58">
        <v>120140</v>
      </c>
      <c r="E58">
        <v>40616</v>
      </c>
      <c r="F58">
        <v>0.89415929203539823</v>
      </c>
      <c r="G58">
        <v>1</v>
      </c>
      <c r="H58">
        <v>8.5115299221253798E-2</v>
      </c>
      <c r="I58">
        <v>8.4350178895035516E-2</v>
      </c>
    </row>
    <row r="59" spans="1:9" x14ac:dyDescent="0.25">
      <c r="A59" t="s">
        <v>122</v>
      </c>
      <c r="B59" s="1">
        <v>58</v>
      </c>
      <c r="C59">
        <v>46</v>
      </c>
      <c r="D59">
        <v>119696</v>
      </c>
      <c r="E59">
        <v>34096</v>
      </c>
      <c r="F59">
        <v>0.74991150442477872</v>
      </c>
      <c r="G59">
        <v>0.79646017699115046</v>
      </c>
      <c r="H59">
        <v>7.2550083957557313E-2</v>
      </c>
      <c r="I59">
        <v>6.908340536435463E-2</v>
      </c>
    </row>
    <row r="60" spans="1:9" x14ac:dyDescent="0.25">
      <c r="A60" t="s">
        <v>123</v>
      </c>
      <c r="B60" s="1">
        <v>59</v>
      </c>
      <c r="C60">
        <v>0</v>
      </c>
      <c r="D60">
        <v>119685</v>
      </c>
      <c r="E60">
        <v>36124</v>
      </c>
      <c r="F60">
        <v>0.79477876106194689</v>
      </c>
      <c r="G60">
        <v>1</v>
      </c>
      <c r="H60">
        <v>8.0230001169066145E-2</v>
      </c>
      <c r="I60">
        <v>8.8173838619412637E-2</v>
      </c>
    </row>
    <row r="61" spans="1:9" x14ac:dyDescent="0.25">
      <c r="A61" t="s">
        <v>124</v>
      </c>
      <c r="B61" s="1">
        <v>60</v>
      </c>
      <c r="C61">
        <v>8</v>
      </c>
      <c r="D61">
        <v>119523</v>
      </c>
      <c r="E61">
        <v>39041</v>
      </c>
      <c r="F61">
        <v>0.85931415929203536</v>
      </c>
      <c r="G61">
        <v>0.96460176991150437</v>
      </c>
      <c r="H61">
        <v>8.3089240171199702E-2</v>
      </c>
      <c r="I61">
        <v>8.4376280054168362E-2</v>
      </c>
    </row>
    <row r="62" spans="1:9" x14ac:dyDescent="0.25">
      <c r="A62" t="s">
        <v>125</v>
      </c>
      <c r="B62" s="1">
        <v>61</v>
      </c>
      <c r="C62">
        <v>0</v>
      </c>
      <c r="D62">
        <v>119511</v>
      </c>
      <c r="E62">
        <v>36383</v>
      </c>
      <c r="F62">
        <v>0.80050884955752211</v>
      </c>
      <c r="G62">
        <v>1</v>
      </c>
      <c r="H62">
        <v>8.0620230479698171E-2</v>
      </c>
      <c r="I62">
        <v>8.8355239796246279E-2</v>
      </c>
    </row>
    <row r="63" spans="1:9" x14ac:dyDescent="0.25">
      <c r="A63" t="s">
        <v>11</v>
      </c>
      <c r="B63" s="1">
        <v>62</v>
      </c>
      <c r="C63">
        <v>0</v>
      </c>
      <c r="D63">
        <v>119383</v>
      </c>
      <c r="E63">
        <v>35905</v>
      </c>
      <c r="F63">
        <v>0.78993362831858405</v>
      </c>
      <c r="G63">
        <v>1</v>
      </c>
      <c r="H63">
        <v>7.9823051144479754E-2</v>
      </c>
      <c r="I63">
        <v>8.7587688017080459E-2</v>
      </c>
    </row>
    <row r="64" spans="1:9" x14ac:dyDescent="0.25">
      <c r="A64" t="s">
        <v>126</v>
      </c>
      <c r="B64" s="1">
        <v>63</v>
      </c>
      <c r="C64">
        <v>33</v>
      </c>
      <c r="D64">
        <v>119330</v>
      </c>
      <c r="E64">
        <v>34340</v>
      </c>
      <c r="F64">
        <v>0.75530973451327432</v>
      </c>
      <c r="G64">
        <v>0.85398230088495575</v>
      </c>
      <c r="H64">
        <v>7.7909925466584137E-2</v>
      </c>
      <c r="I64">
        <v>8.8513316822292146E-2</v>
      </c>
    </row>
    <row r="65" spans="1:9" x14ac:dyDescent="0.25">
      <c r="A65" t="s">
        <v>16</v>
      </c>
      <c r="B65" s="1">
        <v>64</v>
      </c>
      <c r="C65">
        <v>65</v>
      </c>
      <c r="D65">
        <v>119328</v>
      </c>
      <c r="E65">
        <v>26462</v>
      </c>
      <c r="F65">
        <v>0.58101769911504419</v>
      </c>
      <c r="G65">
        <v>0.71238938053097345</v>
      </c>
      <c r="H65">
        <v>6.2320380239840621E-2</v>
      </c>
      <c r="I65">
        <v>6.7858000002264676E-2</v>
      </c>
    </row>
    <row r="66" spans="1:9" x14ac:dyDescent="0.25">
      <c r="A66" t="s">
        <v>127</v>
      </c>
      <c r="B66" s="1">
        <v>65</v>
      </c>
      <c r="C66">
        <v>0</v>
      </c>
      <c r="D66">
        <v>119292</v>
      </c>
      <c r="E66">
        <v>39230</v>
      </c>
      <c r="F66">
        <v>0.86349557522123899</v>
      </c>
      <c r="G66">
        <v>1</v>
      </c>
      <c r="H66">
        <v>8.2583306859353625E-2</v>
      </c>
      <c r="I66">
        <v>8.1012510367786311E-2</v>
      </c>
    </row>
    <row r="67" spans="1:9" x14ac:dyDescent="0.25">
      <c r="A67" t="s">
        <v>128</v>
      </c>
      <c r="B67" s="1">
        <v>66</v>
      </c>
      <c r="C67">
        <v>0</v>
      </c>
      <c r="D67">
        <v>119203</v>
      </c>
      <c r="E67">
        <v>40360</v>
      </c>
      <c r="F67">
        <v>0.8884955752212389</v>
      </c>
      <c r="G67">
        <v>1</v>
      </c>
      <c r="H67">
        <v>8.5659723578613955E-2</v>
      </c>
      <c r="I67">
        <v>8.7990539730238959E-2</v>
      </c>
    </row>
    <row r="68" spans="1:9" x14ac:dyDescent="0.25">
      <c r="A68" t="s">
        <v>129</v>
      </c>
      <c r="B68" s="1">
        <v>67</v>
      </c>
      <c r="C68">
        <v>15</v>
      </c>
      <c r="D68">
        <v>119057</v>
      </c>
      <c r="E68">
        <v>34386</v>
      </c>
      <c r="F68">
        <v>0.75632743362831856</v>
      </c>
      <c r="G68">
        <v>0.9336283185840708</v>
      </c>
      <c r="H68">
        <v>7.7698591254819635E-2</v>
      </c>
      <c r="I68">
        <v>8.7426759491530392E-2</v>
      </c>
    </row>
    <row r="69" spans="1:9" x14ac:dyDescent="0.25">
      <c r="A69" t="s">
        <v>130</v>
      </c>
      <c r="B69" s="1">
        <v>68</v>
      </c>
      <c r="C69">
        <v>154</v>
      </c>
      <c r="D69">
        <v>119046</v>
      </c>
      <c r="E69">
        <v>35483</v>
      </c>
      <c r="F69">
        <v>0.78061946902654866</v>
      </c>
      <c r="G69">
        <v>0.31858407079646017</v>
      </c>
      <c r="H69">
        <v>7.9116896242038548E-2</v>
      </c>
      <c r="I69">
        <v>8.6983796889903195E-2</v>
      </c>
    </row>
    <row r="70" spans="1:9" x14ac:dyDescent="0.25">
      <c r="A70" t="s">
        <v>131</v>
      </c>
      <c r="B70" s="1">
        <v>69</v>
      </c>
      <c r="C70">
        <v>0</v>
      </c>
      <c r="D70">
        <v>118973</v>
      </c>
      <c r="E70">
        <v>35723</v>
      </c>
      <c r="F70">
        <v>0.78590707964601769</v>
      </c>
      <c r="G70">
        <v>1</v>
      </c>
      <c r="H70">
        <v>7.9552359579755899E-2</v>
      </c>
      <c r="I70">
        <v>8.778664165903563E-2</v>
      </c>
    </row>
    <row r="71" spans="1:9" x14ac:dyDescent="0.25">
      <c r="A71" t="s">
        <v>132</v>
      </c>
      <c r="B71" s="1">
        <v>70</v>
      </c>
      <c r="C71">
        <v>0</v>
      </c>
      <c r="D71">
        <v>118890</v>
      </c>
      <c r="E71">
        <v>37371</v>
      </c>
      <c r="F71">
        <v>0.82236725663716814</v>
      </c>
      <c r="G71">
        <v>1</v>
      </c>
      <c r="H71">
        <v>8.2015143283731995E-2</v>
      </c>
      <c r="I71">
        <v>8.8876386348275022E-2</v>
      </c>
    </row>
    <row r="72" spans="1:9" x14ac:dyDescent="0.25">
      <c r="A72" t="s">
        <v>133</v>
      </c>
      <c r="B72" s="1">
        <v>71</v>
      </c>
      <c r="C72">
        <v>67</v>
      </c>
      <c r="D72">
        <v>118844</v>
      </c>
      <c r="E72">
        <v>29244</v>
      </c>
      <c r="F72">
        <v>0.64256637168141595</v>
      </c>
      <c r="G72">
        <v>0.70353982300884954</v>
      </c>
      <c r="H72">
        <v>6.8364453000087547E-2</v>
      </c>
      <c r="I72">
        <v>7.6784564732223434E-2</v>
      </c>
    </row>
    <row r="73" spans="1:9" x14ac:dyDescent="0.25">
      <c r="A73" t="s">
        <v>134</v>
      </c>
      <c r="B73" s="1">
        <v>72</v>
      </c>
      <c r="C73">
        <v>34</v>
      </c>
      <c r="D73">
        <v>118795</v>
      </c>
      <c r="E73">
        <v>35330</v>
      </c>
      <c r="F73">
        <v>0.77721238938053094</v>
      </c>
      <c r="G73">
        <v>0.84955752212389379</v>
      </c>
      <c r="H73">
        <v>7.5157877691200206E-2</v>
      </c>
      <c r="I73">
        <v>7.1924175110079216E-2</v>
      </c>
    </row>
    <row r="74" spans="1:9" x14ac:dyDescent="0.25">
      <c r="A74" t="s">
        <v>135</v>
      </c>
      <c r="B74" s="1">
        <v>73</v>
      </c>
      <c r="C74">
        <v>0</v>
      </c>
      <c r="D74">
        <v>118667</v>
      </c>
      <c r="E74">
        <v>40541</v>
      </c>
      <c r="F74">
        <v>0.89249999999999996</v>
      </c>
      <c r="G74">
        <v>1</v>
      </c>
      <c r="H74">
        <v>8.5756799329589017E-2</v>
      </c>
      <c r="I74">
        <v>8.7159593931175033E-2</v>
      </c>
    </row>
    <row r="75" spans="1:9" x14ac:dyDescent="0.25">
      <c r="A75" t="s">
        <v>136</v>
      </c>
      <c r="B75" s="1">
        <v>74</v>
      </c>
      <c r="C75">
        <v>36</v>
      </c>
      <c r="D75">
        <v>118600</v>
      </c>
      <c r="E75">
        <v>36230</v>
      </c>
      <c r="F75">
        <v>0.79712389380530968</v>
      </c>
      <c r="G75">
        <v>0.84070796460176989</v>
      </c>
      <c r="H75">
        <v>8.1007593046667825E-2</v>
      </c>
      <c r="I75">
        <v>9.1782875808805744E-2</v>
      </c>
    </row>
    <row r="76" spans="1:9" x14ac:dyDescent="0.25">
      <c r="A76" t="s">
        <v>137</v>
      </c>
      <c r="B76" s="1">
        <v>75</v>
      </c>
      <c r="C76">
        <v>140</v>
      </c>
      <c r="D76">
        <v>118464</v>
      </c>
      <c r="E76">
        <v>38724</v>
      </c>
      <c r="F76">
        <v>0.85232300884955747</v>
      </c>
      <c r="G76">
        <v>0.38053097345132741</v>
      </c>
      <c r="H76">
        <v>8.3980395583695161E-2</v>
      </c>
      <c r="I76">
        <v>8.9775590469395872E-2</v>
      </c>
    </row>
    <row r="77" spans="1:9" x14ac:dyDescent="0.25">
      <c r="A77" t="s">
        <v>138</v>
      </c>
      <c r="B77" s="1">
        <v>76</v>
      </c>
      <c r="C77">
        <v>21</v>
      </c>
      <c r="D77">
        <v>118457</v>
      </c>
      <c r="E77">
        <v>36040</v>
      </c>
      <c r="F77">
        <v>0.79292035398230087</v>
      </c>
      <c r="G77">
        <v>0.90707964601769908</v>
      </c>
      <c r="H77">
        <v>8.0370446328272463E-2</v>
      </c>
      <c r="I77">
        <v>8.9810000749953545E-2</v>
      </c>
    </row>
    <row r="78" spans="1:9" x14ac:dyDescent="0.25">
      <c r="A78" t="s">
        <v>139</v>
      </c>
      <c r="B78" s="1">
        <v>77</v>
      </c>
      <c r="C78">
        <v>0</v>
      </c>
      <c r="D78">
        <v>118372</v>
      </c>
      <c r="E78">
        <v>37821</v>
      </c>
      <c r="F78">
        <v>0.83232300884955757</v>
      </c>
      <c r="G78">
        <v>1</v>
      </c>
      <c r="H78">
        <v>8.2773891129788293E-2</v>
      </c>
      <c r="I78">
        <v>9.0251328468879122E-2</v>
      </c>
    </row>
    <row r="79" spans="1:9" x14ac:dyDescent="0.25">
      <c r="A79" t="s">
        <v>140</v>
      </c>
      <c r="B79" s="1">
        <v>78</v>
      </c>
      <c r="C79">
        <v>65</v>
      </c>
      <c r="D79">
        <v>118321</v>
      </c>
      <c r="E79">
        <v>28651</v>
      </c>
      <c r="F79">
        <v>0.62944690265486725</v>
      </c>
      <c r="G79">
        <v>0.71238938053097345</v>
      </c>
      <c r="H79">
        <v>6.7576367261422382E-2</v>
      </c>
      <c r="I79">
        <v>7.7031151333801007E-2</v>
      </c>
    </row>
    <row r="80" spans="1:9" x14ac:dyDescent="0.25">
      <c r="A80" t="s">
        <v>141</v>
      </c>
      <c r="B80" s="1">
        <v>79</v>
      </c>
      <c r="C80">
        <v>14</v>
      </c>
      <c r="D80">
        <v>118294</v>
      </c>
      <c r="E80">
        <v>38046</v>
      </c>
      <c r="F80">
        <v>0.83730088495575217</v>
      </c>
      <c r="G80">
        <v>0.93805309734513276</v>
      </c>
      <c r="H80">
        <v>8.3405188689913839E-2</v>
      </c>
      <c r="I80">
        <v>9.1174842336067513E-2</v>
      </c>
    </row>
    <row r="81" spans="1:9" x14ac:dyDescent="0.25">
      <c r="A81" t="s">
        <v>142</v>
      </c>
      <c r="B81" s="1">
        <v>80</v>
      </c>
      <c r="C81">
        <v>51</v>
      </c>
      <c r="D81">
        <v>118281</v>
      </c>
      <c r="E81">
        <v>33665</v>
      </c>
      <c r="F81">
        <v>0.7403761061946903</v>
      </c>
      <c r="G81">
        <v>0.77433628318584069</v>
      </c>
      <c r="H81">
        <v>7.6310872101608737E-2</v>
      </c>
      <c r="I81">
        <v>8.579236532821613E-2</v>
      </c>
    </row>
    <row r="82" spans="1:9" x14ac:dyDescent="0.25">
      <c r="A82" t="s">
        <v>143</v>
      </c>
      <c r="B82" s="1">
        <v>81</v>
      </c>
      <c r="C82">
        <v>64</v>
      </c>
      <c r="D82">
        <v>118257</v>
      </c>
      <c r="E82">
        <v>29190</v>
      </c>
      <c r="F82">
        <v>0.64137168141592915</v>
      </c>
      <c r="G82">
        <v>0.7168141592920354</v>
      </c>
      <c r="H82">
        <v>6.8066894457942784E-2</v>
      </c>
      <c r="I82">
        <v>7.6204104289922941E-2</v>
      </c>
    </row>
    <row r="83" spans="1:9" x14ac:dyDescent="0.25">
      <c r="A83" t="s">
        <v>144</v>
      </c>
      <c r="B83" s="1">
        <v>82</v>
      </c>
      <c r="C83">
        <v>65</v>
      </c>
      <c r="D83">
        <v>118166</v>
      </c>
      <c r="E83">
        <v>28811</v>
      </c>
      <c r="F83">
        <v>0.63298672566371683</v>
      </c>
      <c r="G83">
        <v>0.71238938053097345</v>
      </c>
      <c r="H83">
        <v>6.8360849863785808E-2</v>
      </c>
      <c r="I83">
        <v>7.9490818158509807E-2</v>
      </c>
    </row>
    <row r="84" spans="1:9" x14ac:dyDescent="0.25">
      <c r="A84" t="s">
        <v>10</v>
      </c>
      <c r="B84" s="1">
        <v>83</v>
      </c>
      <c r="C84">
        <v>22</v>
      </c>
      <c r="D84">
        <v>118134</v>
      </c>
      <c r="E84">
        <v>40523</v>
      </c>
      <c r="F84">
        <v>0.89210176991150447</v>
      </c>
      <c r="G84">
        <v>0.90265486725663713</v>
      </c>
      <c r="H84">
        <v>8.383205681771691E-2</v>
      </c>
      <c r="I84">
        <v>7.9495225191605443E-2</v>
      </c>
    </row>
    <row r="85" spans="1:9" x14ac:dyDescent="0.25">
      <c r="A85" t="s">
        <v>13</v>
      </c>
      <c r="B85" s="1">
        <v>84</v>
      </c>
      <c r="C85">
        <v>193</v>
      </c>
      <c r="D85">
        <v>118132</v>
      </c>
      <c r="E85">
        <v>32022</v>
      </c>
      <c r="F85">
        <v>0.70407079646017701</v>
      </c>
      <c r="G85">
        <v>0.14601769911504431</v>
      </c>
      <c r="H85">
        <v>7.4034393857884656E-2</v>
      </c>
      <c r="I85">
        <v>8.4744498786120184E-2</v>
      </c>
    </row>
    <row r="86" spans="1:9" x14ac:dyDescent="0.25">
      <c r="A86" t="s">
        <v>145</v>
      </c>
      <c r="B86" s="1">
        <v>85</v>
      </c>
      <c r="C86">
        <v>0</v>
      </c>
      <c r="D86">
        <v>118060</v>
      </c>
      <c r="E86">
        <v>39543</v>
      </c>
      <c r="F86">
        <v>0.87042035398230089</v>
      </c>
      <c r="G86">
        <v>1</v>
      </c>
      <c r="H86">
        <v>8.4755817954057122E-2</v>
      </c>
      <c r="I86">
        <v>8.8699470838785016E-2</v>
      </c>
    </row>
    <row r="87" spans="1:9" x14ac:dyDescent="0.25">
      <c r="A87" t="s">
        <v>146</v>
      </c>
      <c r="B87" s="1">
        <v>86</v>
      </c>
      <c r="C87">
        <v>74</v>
      </c>
      <c r="D87">
        <v>118021</v>
      </c>
      <c r="E87">
        <v>27759</v>
      </c>
      <c r="F87">
        <v>0.60971238938053096</v>
      </c>
      <c r="G87">
        <v>0.67256637168141598</v>
      </c>
      <c r="H87">
        <v>6.5791105552848755E-2</v>
      </c>
      <c r="I87">
        <v>7.4295746768957296E-2</v>
      </c>
    </row>
    <row r="88" spans="1:9" x14ac:dyDescent="0.25">
      <c r="A88" t="s">
        <v>147</v>
      </c>
      <c r="B88" s="1">
        <v>87</v>
      </c>
      <c r="C88">
        <v>16</v>
      </c>
      <c r="D88">
        <v>117944</v>
      </c>
      <c r="E88">
        <v>38189</v>
      </c>
      <c r="F88">
        <v>0.84046460176991156</v>
      </c>
      <c r="G88">
        <v>0.92920353982300885</v>
      </c>
      <c r="H88">
        <v>8.3573550562684409E-2</v>
      </c>
      <c r="I88">
        <v>9.0945636767821664E-2</v>
      </c>
    </row>
    <row r="89" spans="1:9" x14ac:dyDescent="0.25">
      <c r="A89" t="s">
        <v>148</v>
      </c>
      <c r="B89" s="1">
        <v>88</v>
      </c>
      <c r="C89">
        <v>73</v>
      </c>
      <c r="D89">
        <v>117864</v>
      </c>
      <c r="E89">
        <v>28727</v>
      </c>
      <c r="F89">
        <v>0.63112831858407081</v>
      </c>
      <c r="G89">
        <v>0.67699115044247793</v>
      </c>
      <c r="H89">
        <v>6.7878900551771065E-2</v>
      </c>
      <c r="I89">
        <v>7.7836594270611792E-2</v>
      </c>
    </row>
    <row r="90" spans="1:9" x14ac:dyDescent="0.25">
      <c r="A90" t="s">
        <v>149</v>
      </c>
      <c r="B90" s="1">
        <v>89</v>
      </c>
      <c r="C90">
        <v>11</v>
      </c>
      <c r="D90">
        <v>117853</v>
      </c>
      <c r="E90">
        <v>36879</v>
      </c>
      <c r="F90">
        <v>0.81148230088495577</v>
      </c>
      <c r="G90">
        <v>0.95132743362831862</v>
      </c>
      <c r="H90">
        <v>8.167422439395193E-2</v>
      </c>
      <c r="I90">
        <v>9.0314073995765187E-2</v>
      </c>
    </row>
    <row r="91" spans="1:9" x14ac:dyDescent="0.25">
      <c r="A91" t="s">
        <v>150</v>
      </c>
      <c r="B91" s="1">
        <v>90</v>
      </c>
      <c r="C91">
        <v>26</v>
      </c>
      <c r="D91">
        <v>117694</v>
      </c>
      <c r="E91">
        <v>34948</v>
      </c>
      <c r="F91">
        <v>0.76876106194690264</v>
      </c>
      <c r="G91">
        <v>0.88495575221238942</v>
      </c>
      <c r="H91">
        <v>7.4210880566939127E-2</v>
      </c>
      <c r="I91">
        <v>6.9930559209385457E-2</v>
      </c>
    </row>
    <row r="92" spans="1:9" x14ac:dyDescent="0.25">
      <c r="A92" t="s">
        <v>151</v>
      </c>
      <c r="B92" s="1">
        <v>91</v>
      </c>
      <c r="C92">
        <v>22</v>
      </c>
      <c r="D92">
        <v>117631</v>
      </c>
      <c r="E92">
        <v>36154</v>
      </c>
      <c r="F92">
        <v>0.79544247787610622</v>
      </c>
      <c r="G92">
        <v>0.90265486725663713</v>
      </c>
      <c r="H92">
        <v>8.062773933705214E-2</v>
      </c>
      <c r="I92">
        <v>8.9704968581531166E-2</v>
      </c>
    </row>
    <row r="93" spans="1:9" x14ac:dyDescent="0.25">
      <c r="A93" t="s">
        <v>152</v>
      </c>
      <c r="B93" s="1">
        <v>92</v>
      </c>
      <c r="C93">
        <v>10</v>
      </c>
      <c r="D93">
        <v>117599</v>
      </c>
      <c r="E93">
        <v>37984</v>
      </c>
      <c r="F93">
        <v>0.83592920353982303</v>
      </c>
      <c r="G93">
        <v>0.95575221238938057</v>
      </c>
      <c r="H93">
        <v>8.2628205018835915E-2</v>
      </c>
      <c r="I93">
        <v>8.8429675792222592E-2</v>
      </c>
    </row>
    <row r="94" spans="1:9" x14ac:dyDescent="0.25">
      <c r="A94" t="s">
        <v>153</v>
      </c>
      <c r="B94" s="1">
        <v>93</v>
      </c>
      <c r="C94">
        <v>72</v>
      </c>
      <c r="D94">
        <v>117575</v>
      </c>
      <c r="E94">
        <v>29030</v>
      </c>
      <c r="F94">
        <v>0.63783185840707968</v>
      </c>
      <c r="G94">
        <v>0.68141592920353977</v>
      </c>
      <c r="H94">
        <v>6.871563806110198E-2</v>
      </c>
      <c r="I94">
        <v>7.944240400457897E-2</v>
      </c>
    </row>
    <row r="95" spans="1:9" x14ac:dyDescent="0.25">
      <c r="A95" t="s">
        <v>154</v>
      </c>
      <c r="B95" s="1">
        <v>94</v>
      </c>
      <c r="C95">
        <v>74</v>
      </c>
      <c r="D95">
        <v>117565</v>
      </c>
      <c r="E95">
        <v>28486</v>
      </c>
      <c r="F95">
        <v>0.6257964601769912</v>
      </c>
      <c r="G95">
        <v>0.67256637168141598</v>
      </c>
      <c r="H95">
        <v>6.7553675111005421E-2</v>
      </c>
      <c r="I95">
        <v>7.7426469315343152E-2</v>
      </c>
    </row>
    <row r="96" spans="1:9" x14ac:dyDescent="0.25">
      <c r="A96" t="s">
        <v>155</v>
      </c>
      <c r="B96" s="1">
        <v>95</v>
      </c>
      <c r="C96">
        <v>15</v>
      </c>
      <c r="D96">
        <v>117431</v>
      </c>
      <c r="E96">
        <v>38221</v>
      </c>
      <c r="F96">
        <v>0.84117256637168136</v>
      </c>
      <c r="G96">
        <v>0.9336283185840708</v>
      </c>
      <c r="H96">
        <v>8.3555358361309395E-2</v>
      </c>
      <c r="I96">
        <v>9.0500569605988221E-2</v>
      </c>
    </row>
    <row r="97" spans="1:9" x14ac:dyDescent="0.25">
      <c r="A97" t="s">
        <v>156</v>
      </c>
      <c r="B97" s="1">
        <v>96</v>
      </c>
      <c r="C97">
        <v>66</v>
      </c>
      <c r="D97">
        <v>117389</v>
      </c>
      <c r="E97">
        <v>28703</v>
      </c>
      <c r="F97">
        <v>0.63059734513274335</v>
      </c>
      <c r="G97">
        <v>0.70796460176991149</v>
      </c>
      <c r="H97">
        <v>6.7466664616333036E-2</v>
      </c>
      <c r="I97">
        <v>7.6069034456603082E-2</v>
      </c>
    </row>
    <row r="98" spans="1:9" x14ac:dyDescent="0.25">
      <c r="A98" t="s">
        <v>157</v>
      </c>
      <c r="B98" s="1">
        <v>97</v>
      </c>
      <c r="C98">
        <v>31</v>
      </c>
      <c r="D98">
        <v>117279</v>
      </c>
      <c r="E98">
        <v>36074</v>
      </c>
      <c r="F98">
        <v>0.79367256637168138</v>
      </c>
      <c r="G98">
        <v>0.86283185840707965</v>
      </c>
      <c r="H98">
        <v>7.9839583818676035E-2</v>
      </c>
      <c r="I98">
        <v>8.6989418299009025E-2</v>
      </c>
    </row>
    <row r="99" spans="1:9" x14ac:dyDescent="0.25">
      <c r="A99" t="s">
        <v>158</v>
      </c>
      <c r="B99" s="1">
        <v>98</v>
      </c>
      <c r="C99">
        <v>0</v>
      </c>
      <c r="D99">
        <v>117279</v>
      </c>
      <c r="E99">
        <v>38688</v>
      </c>
      <c r="F99">
        <v>0.85150442477876109</v>
      </c>
      <c r="G99">
        <v>1</v>
      </c>
      <c r="H99">
        <v>8.4489583342970395E-2</v>
      </c>
      <c r="I99">
        <v>9.2374835129516164E-2</v>
      </c>
    </row>
    <row r="100" spans="1:9" x14ac:dyDescent="0.25">
      <c r="A100" t="s">
        <v>159</v>
      </c>
      <c r="B100" s="1">
        <v>99</v>
      </c>
      <c r="C100">
        <v>15</v>
      </c>
      <c r="D100">
        <v>117241</v>
      </c>
      <c r="E100">
        <v>37742</v>
      </c>
      <c r="F100">
        <v>0.83057522123893801</v>
      </c>
      <c r="G100">
        <v>0.9336283185840708</v>
      </c>
      <c r="H100">
        <v>8.2860065138871383E-2</v>
      </c>
      <c r="I100">
        <v>9.0610739805201582E-2</v>
      </c>
    </row>
    <row r="101" spans="1:9" x14ac:dyDescent="0.25">
      <c r="A101" t="s">
        <v>160</v>
      </c>
      <c r="B101" s="1">
        <v>100</v>
      </c>
      <c r="C101">
        <v>51</v>
      </c>
      <c r="D101">
        <v>117224</v>
      </c>
      <c r="E101">
        <v>32825</v>
      </c>
      <c r="F101">
        <v>0.72179203539823011</v>
      </c>
      <c r="G101">
        <v>0.77433628318584069</v>
      </c>
      <c r="H101">
        <v>7.4656663036645685E-2</v>
      </c>
      <c r="I101">
        <v>8.3891237624586237E-2</v>
      </c>
    </row>
    <row r="102" spans="1:9" x14ac:dyDescent="0.25">
      <c r="A102" t="s">
        <v>161</v>
      </c>
      <c r="B102" s="1">
        <v>101</v>
      </c>
      <c r="C102">
        <v>13</v>
      </c>
      <c r="D102">
        <v>117122</v>
      </c>
      <c r="E102">
        <v>37282</v>
      </c>
      <c r="F102">
        <v>0.82039823008849555</v>
      </c>
      <c r="G102">
        <v>0.94247787610619471</v>
      </c>
      <c r="H102">
        <v>8.2617300537449034E-2</v>
      </c>
      <c r="I102">
        <v>9.2494106450714347E-2</v>
      </c>
    </row>
    <row r="103" spans="1:9" x14ac:dyDescent="0.25">
      <c r="A103" t="s">
        <v>162</v>
      </c>
      <c r="B103" s="1">
        <v>102</v>
      </c>
      <c r="C103">
        <v>23</v>
      </c>
      <c r="D103">
        <v>117114</v>
      </c>
      <c r="E103">
        <v>35958</v>
      </c>
      <c r="F103">
        <v>0.79110619469026544</v>
      </c>
      <c r="G103">
        <v>0.89823008849557517</v>
      </c>
      <c r="H103">
        <v>7.9249819323337717E-2</v>
      </c>
      <c r="I103">
        <v>8.4942509179058143E-2</v>
      </c>
    </row>
    <row r="104" spans="1:9" x14ac:dyDescent="0.25">
      <c r="A104" t="s">
        <v>163</v>
      </c>
      <c r="B104" s="1">
        <v>103</v>
      </c>
      <c r="C104">
        <v>78</v>
      </c>
      <c r="D104">
        <v>117094</v>
      </c>
      <c r="E104">
        <v>32080</v>
      </c>
      <c r="F104">
        <v>0.70533185840707968</v>
      </c>
      <c r="G104">
        <v>0.65486725663716816</v>
      </c>
      <c r="H104">
        <v>6.7985804550307824E-2</v>
      </c>
      <c r="I104">
        <v>5.188898120664704E-2</v>
      </c>
    </row>
    <row r="105" spans="1:9" x14ac:dyDescent="0.25">
      <c r="A105" t="s">
        <v>164</v>
      </c>
      <c r="B105" s="1">
        <v>104</v>
      </c>
      <c r="C105">
        <v>68</v>
      </c>
      <c r="D105">
        <v>117072</v>
      </c>
      <c r="E105">
        <v>34450</v>
      </c>
      <c r="F105">
        <v>0.75774336283185839</v>
      </c>
      <c r="G105">
        <v>0.69911504424778759</v>
      </c>
      <c r="H105">
        <v>7.7503706933166022E-2</v>
      </c>
      <c r="I105">
        <v>8.5735679492010219E-2</v>
      </c>
    </row>
    <row r="106" spans="1:9" x14ac:dyDescent="0.25">
      <c r="A106" t="s">
        <v>165</v>
      </c>
      <c r="B106" s="1">
        <v>105</v>
      </c>
      <c r="C106">
        <v>22</v>
      </c>
      <c r="D106">
        <v>117002</v>
      </c>
      <c r="E106">
        <v>35429</v>
      </c>
      <c r="F106">
        <v>0.77940265486725668</v>
      </c>
      <c r="G106">
        <v>0.90265486725663713</v>
      </c>
      <c r="H106">
        <v>7.9420180531232454E-2</v>
      </c>
      <c r="I106">
        <v>8.9236807586257377E-2</v>
      </c>
    </row>
    <row r="107" spans="1:9" x14ac:dyDescent="0.25">
      <c r="A107" t="s">
        <v>166</v>
      </c>
      <c r="B107" s="1">
        <v>106</v>
      </c>
      <c r="C107">
        <v>23</v>
      </c>
      <c r="D107">
        <v>116998</v>
      </c>
      <c r="E107">
        <v>35969</v>
      </c>
      <c r="F107">
        <v>0.79134955752212388</v>
      </c>
      <c r="G107">
        <v>0.89823008849557517</v>
      </c>
      <c r="H107">
        <v>7.9965742672552229E-2</v>
      </c>
      <c r="I107">
        <v>8.8226488272139747E-2</v>
      </c>
    </row>
    <row r="108" spans="1:9" x14ac:dyDescent="0.25">
      <c r="A108" t="s">
        <v>167</v>
      </c>
      <c r="B108" s="1">
        <v>107</v>
      </c>
      <c r="C108">
        <v>10</v>
      </c>
      <c r="D108">
        <v>116530</v>
      </c>
      <c r="E108">
        <v>39931</v>
      </c>
      <c r="F108">
        <v>0.87900442477876106</v>
      </c>
      <c r="G108">
        <v>0.95575221238938057</v>
      </c>
      <c r="H108">
        <v>8.4721349182948907E-2</v>
      </c>
      <c r="I108">
        <v>8.6200242537704794E-2</v>
      </c>
    </row>
    <row r="109" spans="1:9" x14ac:dyDescent="0.25">
      <c r="A109" t="s">
        <v>168</v>
      </c>
      <c r="B109" s="1">
        <v>108</v>
      </c>
      <c r="C109">
        <v>70</v>
      </c>
      <c r="D109">
        <v>116440</v>
      </c>
      <c r="E109">
        <v>29713</v>
      </c>
      <c r="F109">
        <v>0.65294247787610615</v>
      </c>
      <c r="G109">
        <v>0.69026548672566368</v>
      </c>
      <c r="H109">
        <v>7.0205026762446526E-2</v>
      </c>
      <c r="I109">
        <v>8.1489434295055799E-2</v>
      </c>
    </row>
    <row r="110" spans="1:9" x14ac:dyDescent="0.25">
      <c r="A110" t="s">
        <v>169</v>
      </c>
      <c r="B110" s="1">
        <v>109</v>
      </c>
      <c r="C110">
        <v>23</v>
      </c>
      <c r="D110">
        <v>116299</v>
      </c>
      <c r="E110">
        <v>35116</v>
      </c>
      <c r="F110">
        <v>0.77247787610619467</v>
      </c>
      <c r="G110">
        <v>0.89823008849557517</v>
      </c>
      <c r="H110">
        <v>7.4920872467458488E-2</v>
      </c>
      <c r="I110">
        <v>7.2062339596639907E-2</v>
      </c>
    </row>
    <row r="111" spans="1:9" x14ac:dyDescent="0.25">
      <c r="A111" t="s">
        <v>170</v>
      </c>
      <c r="B111" s="1">
        <v>110</v>
      </c>
      <c r="C111">
        <v>16</v>
      </c>
      <c r="D111">
        <v>116262</v>
      </c>
      <c r="E111">
        <v>37835</v>
      </c>
      <c r="F111">
        <v>0.83263274336283188</v>
      </c>
      <c r="G111">
        <v>0.92920353982300885</v>
      </c>
      <c r="H111">
        <v>8.2405496940750736E-2</v>
      </c>
      <c r="I111">
        <v>8.7644875366019712E-2</v>
      </c>
    </row>
    <row r="112" spans="1:9" x14ac:dyDescent="0.25">
      <c r="A112" t="s">
        <v>171</v>
      </c>
      <c r="B112" s="1">
        <v>111</v>
      </c>
      <c r="C112">
        <v>21</v>
      </c>
      <c r="D112">
        <v>116212</v>
      </c>
      <c r="E112">
        <v>35546</v>
      </c>
      <c r="F112">
        <v>0.78199115044247791</v>
      </c>
      <c r="G112">
        <v>0.90707964601769908</v>
      </c>
      <c r="H112">
        <v>7.571250477613653E-2</v>
      </c>
      <c r="I112">
        <v>7.2791406454619928E-2</v>
      </c>
    </row>
    <row r="113" spans="1:9" x14ac:dyDescent="0.25">
      <c r="A113" t="s">
        <v>172</v>
      </c>
      <c r="B113" s="1">
        <v>112</v>
      </c>
      <c r="C113">
        <v>24</v>
      </c>
      <c r="D113">
        <v>116022</v>
      </c>
      <c r="E113">
        <v>36480</v>
      </c>
      <c r="F113">
        <v>0.80265486725663715</v>
      </c>
      <c r="G113">
        <v>0.89380530973451322</v>
      </c>
      <c r="H113">
        <v>8.1391027818319028E-2</v>
      </c>
      <c r="I113">
        <v>9.144203403087979E-2</v>
      </c>
    </row>
    <row r="114" spans="1:9" x14ac:dyDescent="0.25">
      <c r="A114" t="s">
        <v>173</v>
      </c>
      <c r="B114" s="1">
        <v>113</v>
      </c>
      <c r="C114">
        <v>0</v>
      </c>
      <c r="D114">
        <v>115802</v>
      </c>
      <c r="E114">
        <v>39230</v>
      </c>
      <c r="F114">
        <v>0.86349557522123899</v>
      </c>
      <c r="G114">
        <v>1</v>
      </c>
      <c r="H114">
        <v>8.5118517513648642E-2</v>
      </c>
      <c r="I114">
        <v>9.1948183838700209E-2</v>
      </c>
    </row>
    <row r="115" spans="1:9" x14ac:dyDescent="0.25">
      <c r="A115" t="s">
        <v>174</v>
      </c>
      <c r="B115" s="1">
        <v>114</v>
      </c>
      <c r="C115">
        <v>28</v>
      </c>
      <c r="D115">
        <v>115458</v>
      </c>
      <c r="E115">
        <v>36801</v>
      </c>
      <c r="F115">
        <v>0.80975663716814161</v>
      </c>
      <c r="G115">
        <v>0.87610619469026552</v>
      </c>
      <c r="H115">
        <v>7.8310170355965242E-2</v>
      </c>
      <c r="I115">
        <v>7.6639698218676916E-2</v>
      </c>
    </row>
    <row r="116" spans="1:9" x14ac:dyDescent="0.25">
      <c r="A116" t="s">
        <v>175</v>
      </c>
      <c r="B116" s="1">
        <v>115</v>
      </c>
      <c r="C116">
        <v>55</v>
      </c>
      <c r="D116">
        <v>115451</v>
      </c>
      <c r="E116">
        <v>31961</v>
      </c>
      <c r="F116">
        <v>0.70267699115044246</v>
      </c>
      <c r="G116">
        <v>0.75663716814159288</v>
      </c>
      <c r="H116">
        <v>7.3406661139985591E-2</v>
      </c>
      <c r="I116">
        <v>8.2190878317554228E-2</v>
      </c>
    </row>
    <row r="117" spans="1:9" x14ac:dyDescent="0.25">
      <c r="A117" t="s">
        <v>176</v>
      </c>
      <c r="B117" s="1">
        <v>116</v>
      </c>
      <c r="C117">
        <v>72</v>
      </c>
      <c r="D117">
        <v>115369</v>
      </c>
      <c r="E117">
        <v>29279</v>
      </c>
      <c r="F117">
        <v>0.64334070796460174</v>
      </c>
      <c r="G117">
        <v>0.68141592920353977</v>
      </c>
      <c r="H117">
        <v>6.9194810835940437E-2</v>
      </c>
      <c r="I117">
        <v>7.967905291353472E-2</v>
      </c>
    </row>
    <row r="118" spans="1:9" x14ac:dyDescent="0.25">
      <c r="A118" t="s">
        <v>177</v>
      </c>
      <c r="B118" s="1">
        <v>117</v>
      </c>
      <c r="C118">
        <v>70</v>
      </c>
      <c r="D118">
        <v>114840</v>
      </c>
      <c r="E118">
        <v>30453</v>
      </c>
      <c r="F118">
        <v>0.66931415929203542</v>
      </c>
      <c r="G118">
        <v>0.69026548672566368</v>
      </c>
      <c r="H118">
        <v>7.1269455596218029E-2</v>
      </c>
      <c r="I118">
        <v>8.1871252884991558E-2</v>
      </c>
    </row>
    <row r="119" spans="1:9" x14ac:dyDescent="0.25">
      <c r="A119" t="s">
        <v>178</v>
      </c>
      <c r="B119" s="1">
        <v>118</v>
      </c>
      <c r="C119">
        <v>69</v>
      </c>
      <c r="D119">
        <v>114568</v>
      </c>
      <c r="E119">
        <v>30997</v>
      </c>
      <c r="F119">
        <v>0.68134955752212389</v>
      </c>
      <c r="G119">
        <v>0.69469026548672563</v>
      </c>
      <c r="H119">
        <v>7.2272635648842315E-2</v>
      </c>
      <c r="I119">
        <v>8.2560126528381073E-2</v>
      </c>
    </row>
    <row r="120" spans="1:9" x14ac:dyDescent="0.25">
      <c r="A120" t="s">
        <v>179</v>
      </c>
      <c r="B120" s="1">
        <v>119</v>
      </c>
      <c r="C120">
        <v>13</v>
      </c>
      <c r="D120">
        <v>112814</v>
      </c>
      <c r="E120">
        <v>40930</v>
      </c>
      <c r="F120">
        <v>0.90110619469026554</v>
      </c>
      <c r="G120">
        <v>0.94247787610619471</v>
      </c>
      <c r="H120">
        <v>8.3886648275791245E-2</v>
      </c>
      <c r="I120">
        <v>7.76149995206772E-2</v>
      </c>
    </row>
    <row r="121" spans="1:9" x14ac:dyDescent="0.25">
      <c r="A121" t="s">
        <v>180</v>
      </c>
      <c r="B121" s="1">
        <v>120</v>
      </c>
      <c r="C121">
        <v>106</v>
      </c>
      <c r="D121">
        <v>112402</v>
      </c>
      <c r="E121">
        <v>27007</v>
      </c>
      <c r="F121">
        <v>0.59327433628318582</v>
      </c>
      <c r="G121">
        <v>0.53097345132743368</v>
      </c>
      <c r="H121">
        <v>6.088058372097209E-2</v>
      </c>
      <c r="I121">
        <v>4.8784213602213918E-2</v>
      </c>
    </row>
    <row r="122" spans="1:9" x14ac:dyDescent="0.25">
      <c r="A122" t="s">
        <v>181</v>
      </c>
      <c r="B122" s="1">
        <v>121</v>
      </c>
      <c r="C122">
        <v>84</v>
      </c>
      <c r="D122">
        <v>111965</v>
      </c>
      <c r="E122">
        <v>29973</v>
      </c>
      <c r="F122">
        <v>0.65929203539823011</v>
      </c>
      <c r="G122">
        <v>0.62831858407079644</v>
      </c>
      <c r="H122">
        <v>6.5371243736875084E-2</v>
      </c>
      <c r="I122">
        <v>5.0084855032327201E-2</v>
      </c>
    </row>
    <row r="123" spans="1:9" x14ac:dyDescent="0.25">
      <c r="A123" t="s">
        <v>12</v>
      </c>
      <c r="B123" s="1">
        <v>122</v>
      </c>
      <c r="C123">
        <v>13</v>
      </c>
      <c r="D123">
        <v>110573</v>
      </c>
      <c r="E123">
        <v>43452</v>
      </c>
      <c r="F123">
        <v>0.95690265486725667</v>
      </c>
      <c r="G123">
        <v>0.94247787610619471</v>
      </c>
      <c r="H123">
        <v>8.6483124704265626E-2</v>
      </c>
      <c r="I123">
        <v>7.3744363634573498E-2</v>
      </c>
    </row>
    <row r="124" spans="1:9" x14ac:dyDescent="0.25">
      <c r="A124" t="s">
        <v>182</v>
      </c>
      <c r="B124" s="1">
        <v>123</v>
      </c>
      <c r="C124">
        <v>14</v>
      </c>
      <c r="D124">
        <v>110208</v>
      </c>
      <c r="E124">
        <v>42711</v>
      </c>
      <c r="F124">
        <v>0.94050884955752212</v>
      </c>
      <c r="G124">
        <v>0.93805309734513276</v>
      </c>
      <c r="H124">
        <v>8.6246187001119384E-2</v>
      </c>
      <c r="I124">
        <v>7.756397079830217E-2</v>
      </c>
    </row>
    <row r="125" spans="1:9" x14ac:dyDescent="0.25">
      <c r="A125" t="s">
        <v>183</v>
      </c>
      <c r="B125" s="1">
        <v>124</v>
      </c>
      <c r="C125">
        <v>104</v>
      </c>
      <c r="D125">
        <v>108536</v>
      </c>
      <c r="E125">
        <v>20355</v>
      </c>
      <c r="F125">
        <v>0.44606194690265488</v>
      </c>
      <c r="G125">
        <v>0.53982300884955747</v>
      </c>
      <c r="H125">
        <v>4.3475829452769968E-2</v>
      </c>
      <c r="I125">
        <v>1.2338928375908789E-2</v>
      </c>
    </row>
    <row r="126" spans="1:9" x14ac:dyDescent="0.25">
      <c r="A126" t="s">
        <v>184</v>
      </c>
      <c r="B126" s="1">
        <v>125</v>
      </c>
      <c r="C126">
        <v>96</v>
      </c>
      <c r="D126">
        <v>108303</v>
      </c>
      <c r="E126">
        <v>19519</v>
      </c>
      <c r="F126">
        <v>0.43037610619469019</v>
      </c>
      <c r="G126">
        <v>0.5752212389380531</v>
      </c>
      <c r="H126">
        <v>4.3038960556843801E-2</v>
      </c>
      <c r="I126">
        <v>8.9850971031902802E-3</v>
      </c>
    </row>
    <row r="127" spans="1:9" x14ac:dyDescent="0.25">
      <c r="A127" t="s">
        <v>185</v>
      </c>
      <c r="B127" s="1">
        <v>126</v>
      </c>
      <c r="C127">
        <v>0</v>
      </c>
      <c r="D127">
        <v>107904</v>
      </c>
      <c r="E127">
        <v>43521</v>
      </c>
      <c r="F127">
        <v>0.95842920353982297</v>
      </c>
      <c r="G127">
        <v>1</v>
      </c>
      <c r="H127">
        <v>8.6847169810861283E-2</v>
      </c>
      <c r="I127">
        <v>7.4947299010161852E-2</v>
      </c>
    </row>
    <row r="128" spans="1:9" x14ac:dyDescent="0.25">
      <c r="A128" t="s">
        <v>186</v>
      </c>
      <c r="B128" s="1">
        <v>127</v>
      </c>
      <c r="C128">
        <v>3</v>
      </c>
      <c r="D128">
        <v>107691</v>
      </c>
      <c r="E128">
        <v>44430</v>
      </c>
      <c r="F128">
        <v>0.97853982300884956</v>
      </c>
      <c r="G128">
        <v>0.98672566371681414</v>
      </c>
      <c r="H128">
        <v>8.8179976811485136E-2</v>
      </c>
      <c r="I128">
        <v>7.549788492290932E-2</v>
      </c>
    </row>
    <row r="129" spans="1:9" x14ac:dyDescent="0.25">
      <c r="A129" t="s">
        <v>17</v>
      </c>
      <c r="B129" s="1">
        <v>128</v>
      </c>
      <c r="C129">
        <v>101</v>
      </c>
      <c r="D129">
        <v>107553</v>
      </c>
      <c r="E129">
        <v>31706</v>
      </c>
      <c r="F129">
        <v>0.70035398230088497</v>
      </c>
      <c r="G129">
        <v>0.55309734513274333</v>
      </c>
      <c r="H129">
        <v>6.6510696075649411E-2</v>
      </c>
      <c r="I129">
        <v>4.7284328088478211E-2</v>
      </c>
    </row>
    <row r="130" spans="1:9" x14ac:dyDescent="0.25">
      <c r="A130" t="s">
        <v>187</v>
      </c>
      <c r="B130" s="1">
        <v>129</v>
      </c>
      <c r="C130">
        <v>0</v>
      </c>
      <c r="D130">
        <v>107535</v>
      </c>
      <c r="E130">
        <v>44958</v>
      </c>
      <c r="F130">
        <v>0.99022123893805314</v>
      </c>
      <c r="G130">
        <v>1</v>
      </c>
      <c r="H130">
        <v>8.9720464970169778E-2</v>
      </c>
      <c r="I130">
        <v>7.8857928204839958E-2</v>
      </c>
    </row>
    <row r="131" spans="1:9" x14ac:dyDescent="0.25">
      <c r="A131" t="s">
        <v>188</v>
      </c>
      <c r="B131" s="1">
        <v>130</v>
      </c>
      <c r="C131">
        <v>53</v>
      </c>
      <c r="D131">
        <v>107164</v>
      </c>
      <c r="E131">
        <v>30648</v>
      </c>
      <c r="F131">
        <v>0.67749999999999999</v>
      </c>
      <c r="G131">
        <v>0.76548672566371678</v>
      </c>
      <c r="H131">
        <v>6.810637108598154E-2</v>
      </c>
      <c r="I131">
        <v>6.0774282628842442E-2</v>
      </c>
    </row>
    <row r="132" spans="1:9" x14ac:dyDescent="0.25">
      <c r="A132" t="s">
        <v>189</v>
      </c>
      <c r="B132" s="1">
        <v>131</v>
      </c>
      <c r="C132">
        <v>48</v>
      </c>
      <c r="D132">
        <v>106968</v>
      </c>
      <c r="E132">
        <v>34703</v>
      </c>
      <c r="F132">
        <v>0.76338495575221244</v>
      </c>
      <c r="G132">
        <v>0.78761061946902655</v>
      </c>
      <c r="H132">
        <v>7.0344929020909205E-2</v>
      </c>
      <c r="I132">
        <v>5.0217539055629569E-2</v>
      </c>
    </row>
    <row r="133" spans="1:9" x14ac:dyDescent="0.25">
      <c r="A133" t="s">
        <v>190</v>
      </c>
      <c r="B133" s="1">
        <v>132</v>
      </c>
      <c r="C133">
        <v>53</v>
      </c>
      <c r="D133">
        <v>106643</v>
      </c>
      <c r="E133">
        <v>26352</v>
      </c>
      <c r="F133">
        <v>0.57860619469026553</v>
      </c>
      <c r="G133">
        <v>0.76548672566371678</v>
      </c>
      <c r="H133">
        <v>5.8972711028408391E-2</v>
      </c>
      <c r="I133">
        <v>4.0086386651623958E-2</v>
      </c>
    </row>
    <row r="134" spans="1:9" x14ac:dyDescent="0.25">
      <c r="A134" t="s">
        <v>191</v>
      </c>
      <c r="B134" s="1">
        <v>133</v>
      </c>
      <c r="C134">
        <v>52</v>
      </c>
      <c r="D134">
        <v>106444</v>
      </c>
      <c r="E134">
        <v>26291</v>
      </c>
      <c r="F134">
        <v>0.57725663716814157</v>
      </c>
      <c r="G134">
        <v>0.76991150442477874</v>
      </c>
      <c r="H134">
        <v>5.8871514169398918E-2</v>
      </c>
      <c r="I134">
        <v>3.9995789915180879E-2</v>
      </c>
    </row>
    <row r="135" spans="1:9" x14ac:dyDescent="0.25">
      <c r="A135" t="s">
        <v>192</v>
      </c>
      <c r="B135" s="1">
        <v>134</v>
      </c>
      <c r="C135">
        <v>9</v>
      </c>
      <c r="D135">
        <v>106249</v>
      </c>
      <c r="E135">
        <v>41982</v>
      </c>
      <c r="F135">
        <v>0.9243805309734513</v>
      </c>
      <c r="G135">
        <v>0.96017699115044253</v>
      </c>
      <c r="H135">
        <v>8.5064890451355332E-2</v>
      </c>
      <c r="I135">
        <v>7.6529228590633117E-2</v>
      </c>
    </row>
    <row r="136" spans="1:9" x14ac:dyDescent="0.25">
      <c r="A136" t="s">
        <v>193</v>
      </c>
      <c r="B136" s="1">
        <v>135</v>
      </c>
      <c r="C136">
        <v>62</v>
      </c>
      <c r="D136">
        <v>105927</v>
      </c>
      <c r="E136">
        <v>25912</v>
      </c>
      <c r="F136">
        <v>0.56887168141592925</v>
      </c>
      <c r="G136">
        <v>0.72566371681415931</v>
      </c>
      <c r="H136">
        <v>5.8109057546500087E-2</v>
      </c>
      <c r="I136">
        <v>3.8779610922524493E-2</v>
      </c>
    </row>
    <row r="137" spans="1:9" x14ac:dyDescent="0.25">
      <c r="A137" t="s">
        <v>194</v>
      </c>
      <c r="B137" s="1">
        <v>136</v>
      </c>
      <c r="C137">
        <v>54</v>
      </c>
      <c r="D137">
        <v>105923</v>
      </c>
      <c r="E137">
        <v>32753</v>
      </c>
      <c r="F137">
        <v>0.72022123893805312</v>
      </c>
      <c r="G137">
        <v>0.76106194690265483</v>
      </c>
      <c r="H137">
        <v>7.0725170098636062E-2</v>
      </c>
      <c r="I137">
        <v>5.7855441565097809E-2</v>
      </c>
    </row>
    <row r="138" spans="1:9" x14ac:dyDescent="0.25">
      <c r="A138" t="s">
        <v>195</v>
      </c>
      <c r="B138" s="1">
        <v>137</v>
      </c>
      <c r="C138">
        <v>61</v>
      </c>
      <c r="D138">
        <v>105353</v>
      </c>
      <c r="E138">
        <v>36724</v>
      </c>
      <c r="F138">
        <v>0.80807522123893805</v>
      </c>
      <c r="G138">
        <v>0.73008849557522126</v>
      </c>
      <c r="H138">
        <v>7.6365366027503337E-2</v>
      </c>
      <c r="I138">
        <v>6.4066543588900793E-2</v>
      </c>
    </row>
    <row r="139" spans="1:9" x14ac:dyDescent="0.25">
      <c r="A139" t="s">
        <v>196</v>
      </c>
      <c r="B139" s="1">
        <v>138</v>
      </c>
      <c r="C139">
        <v>84</v>
      </c>
      <c r="D139">
        <v>105301</v>
      </c>
      <c r="E139">
        <v>19041</v>
      </c>
      <c r="F139">
        <v>0.41688053097345129</v>
      </c>
      <c r="G139">
        <v>0.62831858407079644</v>
      </c>
      <c r="H139">
        <v>4.1375531505688221E-2</v>
      </c>
      <c r="I139">
        <v>4.8643783178376849E-3</v>
      </c>
    </row>
    <row r="140" spans="1:9" x14ac:dyDescent="0.25">
      <c r="A140" t="s">
        <v>197</v>
      </c>
      <c r="B140" s="1">
        <v>139</v>
      </c>
      <c r="C140">
        <v>0</v>
      </c>
      <c r="D140">
        <v>105279</v>
      </c>
      <c r="E140">
        <v>45400</v>
      </c>
      <c r="F140">
        <v>1</v>
      </c>
      <c r="G140">
        <v>1</v>
      </c>
      <c r="H140">
        <v>8.9794117832106043E-2</v>
      </c>
      <c r="I140">
        <v>7.6727463846233634E-2</v>
      </c>
    </row>
    <row r="141" spans="1:9" x14ac:dyDescent="0.25">
      <c r="A141" t="s">
        <v>198</v>
      </c>
      <c r="B141" s="1">
        <v>140</v>
      </c>
      <c r="C141">
        <v>23</v>
      </c>
      <c r="D141">
        <v>101902</v>
      </c>
      <c r="E141">
        <v>43475</v>
      </c>
      <c r="F141">
        <v>0.96183628318584069</v>
      </c>
      <c r="G141">
        <v>0.89823008849557517</v>
      </c>
      <c r="H141">
        <v>8.664337253011449E-2</v>
      </c>
      <c r="I141">
        <v>7.4228940781995434E-2</v>
      </c>
    </row>
    <row r="142" spans="1:9" x14ac:dyDescent="0.25">
      <c r="A142" t="s">
        <v>18</v>
      </c>
      <c r="B142" s="1">
        <v>141</v>
      </c>
      <c r="C142">
        <v>114</v>
      </c>
      <c r="D142">
        <v>101220</v>
      </c>
      <c r="E142">
        <v>13059</v>
      </c>
      <c r="F142">
        <v>0.28891592920353981</v>
      </c>
      <c r="G142">
        <v>0.49557522123893799</v>
      </c>
      <c r="H142">
        <v>2.814965331373093E-2</v>
      </c>
      <c r="I142">
        <v>-2.0292196156207091E-2</v>
      </c>
    </row>
    <row r="143" spans="1:9" x14ac:dyDescent="0.25">
      <c r="A143" t="s">
        <v>199</v>
      </c>
      <c r="B143" s="1">
        <v>142</v>
      </c>
      <c r="C143">
        <v>102</v>
      </c>
      <c r="D143">
        <v>100739</v>
      </c>
      <c r="E143">
        <v>23084</v>
      </c>
      <c r="F143">
        <v>0.50849557522123889</v>
      </c>
      <c r="G143">
        <v>0.54867256637168138</v>
      </c>
      <c r="H143">
        <v>4.935888122011093E-2</v>
      </c>
      <c r="I143">
        <v>1.3720508689100901E-2</v>
      </c>
    </row>
    <row r="144" spans="1:9" x14ac:dyDescent="0.25">
      <c r="A144" t="s">
        <v>200</v>
      </c>
      <c r="B144" s="1">
        <v>143</v>
      </c>
      <c r="C144">
        <v>107</v>
      </c>
      <c r="D144">
        <v>100145</v>
      </c>
      <c r="E144">
        <v>23853</v>
      </c>
      <c r="F144">
        <v>0.52340707964601774</v>
      </c>
      <c r="G144">
        <v>0.52654867256637172</v>
      </c>
      <c r="H144">
        <v>4.9764541099790359E-2</v>
      </c>
      <c r="I144">
        <v>2.433061424529346E-2</v>
      </c>
    </row>
    <row r="145" spans="1:9" x14ac:dyDescent="0.25">
      <c r="A145" t="s">
        <v>201</v>
      </c>
      <c r="B145" s="1">
        <v>144</v>
      </c>
      <c r="C145">
        <v>141</v>
      </c>
      <c r="D145">
        <v>99840</v>
      </c>
      <c r="E145">
        <v>21584</v>
      </c>
      <c r="F145">
        <v>0.47544247787610622</v>
      </c>
      <c r="G145">
        <v>0.37610619469026552</v>
      </c>
      <c r="H145">
        <v>4.8025705730950358E-2</v>
      </c>
      <c r="I145">
        <v>1.472090156787256E-2</v>
      </c>
    </row>
    <row r="146" spans="1:9" x14ac:dyDescent="0.25">
      <c r="A146" t="s">
        <v>202</v>
      </c>
      <c r="B146" s="1">
        <v>145</v>
      </c>
      <c r="C146">
        <v>60</v>
      </c>
      <c r="D146">
        <v>99835</v>
      </c>
      <c r="E146">
        <v>39036</v>
      </c>
      <c r="F146">
        <v>0.85946902654867252</v>
      </c>
      <c r="G146">
        <v>0.73451327433628322</v>
      </c>
      <c r="H146">
        <v>8.0330958912002343E-2</v>
      </c>
      <c r="I146">
        <v>6.7745579865932035E-2</v>
      </c>
    </row>
    <row r="147" spans="1:9" x14ac:dyDescent="0.25">
      <c r="A147" t="s">
        <v>203</v>
      </c>
      <c r="B147" s="1">
        <v>146</v>
      </c>
      <c r="C147">
        <v>80</v>
      </c>
      <c r="D147">
        <v>99739</v>
      </c>
      <c r="E147">
        <v>17194</v>
      </c>
      <c r="F147">
        <v>0.38035398230088502</v>
      </c>
      <c r="G147">
        <v>0.64601769911504425</v>
      </c>
      <c r="H147">
        <v>3.7286200020495569E-2</v>
      </c>
      <c r="I147">
        <v>-3.6394162793657258E-3</v>
      </c>
    </row>
    <row r="148" spans="1:9" x14ac:dyDescent="0.25">
      <c r="A148" t="s">
        <v>204</v>
      </c>
      <c r="B148" s="1">
        <v>147</v>
      </c>
      <c r="C148">
        <v>109</v>
      </c>
      <c r="D148">
        <v>99415</v>
      </c>
      <c r="E148">
        <v>24385</v>
      </c>
      <c r="F148">
        <v>0.53949115044247786</v>
      </c>
      <c r="G148">
        <v>0.51769911504424782</v>
      </c>
      <c r="H148">
        <v>5.4969100064723858E-2</v>
      </c>
      <c r="I148">
        <v>3.2176619899321558E-2</v>
      </c>
    </row>
    <row r="149" spans="1:9" x14ac:dyDescent="0.25">
      <c r="A149" t="s">
        <v>205</v>
      </c>
      <c r="B149" s="1">
        <v>148</v>
      </c>
      <c r="C149">
        <v>66</v>
      </c>
      <c r="D149">
        <v>99285</v>
      </c>
      <c r="E149">
        <v>39193</v>
      </c>
      <c r="F149">
        <v>0.86294247787610623</v>
      </c>
      <c r="G149">
        <v>0.70796460176991149</v>
      </c>
      <c r="H149">
        <v>8.063610039382825E-2</v>
      </c>
      <c r="I149">
        <v>6.8028547941789363E-2</v>
      </c>
    </row>
    <row r="150" spans="1:9" x14ac:dyDescent="0.25">
      <c r="A150" t="s">
        <v>206</v>
      </c>
      <c r="B150" s="1">
        <v>149</v>
      </c>
      <c r="C150">
        <v>65</v>
      </c>
      <c r="D150">
        <v>99053</v>
      </c>
      <c r="E150">
        <v>19689</v>
      </c>
      <c r="F150">
        <v>0.43119469026548668</v>
      </c>
      <c r="G150">
        <v>0.71238938053097345</v>
      </c>
      <c r="H150">
        <v>4.0058953775139697E-2</v>
      </c>
      <c r="I150">
        <v>-7.1667984196888933E-3</v>
      </c>
    </row>
    <row r="151" spans="1:9" x14ac:dyDescent="0.25">
      <c r="A151" t="s">
        <v>207</v>
      </c>
      <c r="B151" s="1">
        <v>150</v>
      </c>
      <c r="C151">
        <v>57</v>
      </c>
      <c r="D151">
        <v>99035</v>
      </c>
      <c r="E151">
        <v>38827</v>
      </c>
      <c r="F151">
        <v>0.85484513274336282</v>
      </c>
      <c r="G151">
        <v>0.74778761061946908</v>
      </c>
      <c r="H151">
        <v>7.9274239737984559E-2</v>
      </c>
      <c r="I151">
        <v>6.3315711814631581E-2</v>
      </c>
    </row>
    <row r="152" spans="1:9" x14ac:dyDescent="0.25">
      <c r="A152" t="s">
        <v>208</v>
      </c>
      <c r="B152" s="1">
        <v>151</v>
      </c>
      <c r="C152">
        <v>135</v>
      </c>
      <c r="D152">
        <v>98866</v>
      </c>
      <c r="E152">
        <v>11964</v>
      </c>
      <c r="F152">
        <v>0.26466814159292029</v>
      </c>
      <c r="G152">
        <v>0.40265486725663718</v>
      </c>
      <c r="H152">
        <v>2.6519185530291499E-2</v>
      </c>
      <c r="I152">
        <v>-2.356824068708065E-2</v>
      </c>
    </row>
    <row r="153" spans="1:9" x14ac:dyDescent="0.25">
      <c r="A153" t="s">
        <v>209</v>
      </c>
      <c r="B153" s="1">
        <v>152</v>
      </c>
      <c r="C153">
        <v>65</v>
      </c>
      <c r="D153">
        <v>98677</v>
      </c>
      <c r="E153">
        <v>39583</v>
      </c>
      <c r="F153">
        <v>0.87161504424778757</v>
      </c>
      <c r="G153">
        <v>0.71238938053097345</v>
      </c>
      <c r="H153">
        <v>8.040832723818786E-2</v>
      </c>
      <c r="I153">
        <v>6.4585801029098389E-2</v>
      </c>
    </row>
    <row r="154" spans="1:9" x14ac:dyDescent="0.25">
      <c r="A154" t="s">
        <v>19</v>
      </c>
      <c r="B154" s="1">
        <v>153</v>
      </c>
      <c r="C154">
        <v>175</v>
      </c>
      <c r="D154">
        <v>98443</v>
      </c>
      <c r="E154">
        <v>16720</v>
      </c>
      <c r="F154">
        <v>0.36951327433628323</v>
      </c>
      <c r="G154">
        <v>0.22566371681415931</v>
      </c>
      <c r="H154">
        <v>3.7488631292575757E-2</v>
      </c>
      <c r="I154">
        <v>-4.4544270068749611E-3</v>
      </c>
    </row>
    <row r="155" spans="1:9" x14ac:dyDescent="0.25">
      <c r="A155" t="s">
        <v>210</v>
      </c>
      <c r="B155" s="1">
        <v>154</v>
      </c>
      <c r="C155">
        <v>120</v>
      </c>
      <c r="D155">
        <v>97900</v>
      </c>
      <c r="E155">
        <v>22457</v>
      </c>
      <c r="F155">
        <v>0.49522123893805309</v>
      </c>
      <c r="G155">
        <v>0.46902654867256638</v>
      </c>
      <c r="H155">
        <v>4.8556381564260849E-2</v>
      </c>
      <c r="I155">
        <v>1.314936745596121E-2</v>
      </c>
    </row>
    <row r="156" spans="1:9" x14ac:dyDescent="0.25">
      <c r="A156" t="s">
        <v>211</v>
      </c>
      <c r="B156" s="1">
        <v>155</v>
      </c>
      <c r="C156">
        <v>42</v>
      </c>
      <c r="D156">
        <v>97352</v>
      </c>
      <c r="E156">
        <v>42089</v>
      </c>
      <c r="F156">
        <v>0.92676991150442478</v>
      </c>
      <c r="G156">
        <v>0.81415929203539827</v>
      </c>
      <c r="H156">
        <v>8.2164282134328026E-2</v>
      </c>
      <c r="I156">
        <v>6.4303112544829108E-2</v>
      </c>
    </row>
    <row r="157" spans="1:9" x14ac:dyDescent="0.25">
      <c r="A157" t="s">
        <v>212</v>
      </c>
      <c r="B157" s="1">
        <v>156</v>
      </c>
      <c r="C157">
        <v>101</v>
      </c>
      <c r="D157">
        <v>97318</v>
      </c>
      <c r="E157">
        <v>25868</v>
      </c>
      <c r="F157">
        <v>0.56915929203539828</v>
      </c>
      <c r="G157">
        <v>0.55309734513274333</v>
      </c>
      <c r="H157">
        <v>5.3554087652953712E-2</v>
      </c>
      <c r="I157">
        <v>1.965161243921738E-2</v>
      </c>
    </row>
    <row r="158" spans="1:9" x14ac:dyDescent="0.25">
      <c r="A158" t="s">
        <v>213</v>
      </c>
      <c r="B158" s="1">
        <v>157</v>
      </c>
      <c r="C158">
        <v>116</v>
      </c>
      <c r="D158">
        <v>97311</v>
      </c>
      <c r="E158">
        <v>14193</v>
      </c>
      <c r="F158">
        <v>0.31243362831858412</v>
      </c>
      <c r="G158">
        <v>0.48672566371681408</v>
      </c>
      <c r="H158">
        <v>2.869053834663465E-2</v>
      </c>
      <c r="I158">
        <v>-2.559561761333165E-2</v>
      </c>
    </row>
    <row r="159" spans="1:9" x14ac:dyDescent="0.25">
      <c r="A159" t="s">
        <v>214</v>
      </c>
      <c r="B159" s="1">
        <v>158</v>
      </c>
      <c r="C159">
        <v>38</v>
      </c>
      <c r="D159">
        <v>96760</v>
      </c>
      <c r="E159">
        <v>41541</v>
      </c>
      <c r="F159">
        <v>0.91904867256637168</v>
      </c>
      <c r="G159">
        <v>0.83185840707964598</v>
      </c>
      <c r="H159">
        <v>8.4000346284002728E-2</v>
      </c>
      <c r="I159">
        <v>7.2864983186076412E-2</v>
      </c>
    </row>
    <row r="160" spans="1:9" x14ac:dyDescent="0.25">
      <c r="A160" t="s">
        <v>215</v>
      </c>
      <c r="B160" s="1">
        <v>159</v>
      </c>
      <c r="C160">
        <v>89</v>
      </c>
      <c r="D160">
        <v>96539</v>
      </c>
      <c r="E160">
        <v>23073</v>
      </c>
      <c r="F160">
        <v>0.50818584070796458</v>
      </c>
      <c r="G160">
        <v>0.60619469026548678</v>
      </c>
      <c r="H160">
        <v>4.8795873171099402E-2</v>
      </c>
      <c r="I160">
        <v>1.23918102740784E-2</v>
      </c>
    </row>
    <row r="161" spans="1:9" x14ac:dyDescent="0.25">
      <c r="A161" t="s">
        <v>216</v>
      </c>
      <c r="B161" s="1">
        <v>160</v>
      </c>
      <c r="C161">
        <v>104</v>
      </c>
      <c r="D161">
        <v>96408</v>
      </c>
      <c r="E161">
        <v>22755</v>
      </c>
      <c r="F161">
        <v>0.50342920353982301</v>
      </c>
      <c r="G161">
        <v>0.53982300884955747</v>
      </c>
      <c r="H161">
        <v>5.1839315248486957E-2</v>
      </c>
      <c r="I161">
        <v>2.6952088843794471E-2</v>
      </c>
    </row>
    <row r="162" spans="1:9" x14ac:dyDescent="0.25">
      <c r="A162" t="s">
        <v>217</v>
      </c>
      <c r="B162" s="1">
        <v>161</v>
      </c>
      <c r="C162">
        <v>111</v>
      </c>
      <c r="D162">
        <v>96336</v>
      </c>
      <c r="E162">
        <v>23098</v>
      </c>
      <c r="F162">
        <v>0.51101769911504424</v>
      </c>
      <c r="G162">
        <v>0.50884955752212391</v>
      </c>
      <c r="H162">
        <v>5.356260387302602E-2</v>
      </c>
      <c r="I162">
        <v>3.2360954270950988E-2</v>
      </c>
    </row>
    <row r="163" spans="1:9" x14ac:dyDescent="0.25">
      <c r="A163" t="s">
        <v>218</v>
      </c>
      <c r="B163" s="1">
        <v>162</v>
      </c>
      <c r="C163">
        <v>126</v>
      </c>
      <c r="D163">
        <v>95755</v>
      </c>
      <c r="E163">
        <v>9715</v>
      </c>
      <c r="F163">
        <v>0.2107300884955752</v>
      </c>
      <c r="G163">
        <v>0.44247787610619471</v>
      </c>
      <c r="H163">
        <v>1.8589195460335571E-2</v>
      </c>
      <c r="I163">
        <v>-4.755774306982883E-2</v>
      </c>
    </row>
    <row r="164" spans="1:9" x14ac:dyDescent="0.25">
      <c r="A164" t="s">
        <v>219</v>
      </c>
      <c r="B164" s="1">
        <v>163</v>
      </c>
      <c r="C164">
        <v>96</v>
      </c>
      <c r="D164">
        <v>95753</v>
      </c>
      <c r="E164">
        <v>22445</v>
      </c>
      <c r="F164">
        <v>0.49440265486725671</v>
      </c>
      <c r="G164">
        <v>0.5752212389380531</v>
      </c>
      <c r="H164">
        <v>4.4299695901033879E-2</v>
      </c>
      <c r="I164">
        <v>-1.3794223391547049E-3</v>
      </c>
    </row>
    <row r="165" spans="1:9" x14ac:dyDescent="0.25">
      <c r="A165" t="s">
        <v>220</v>
      </c>
      <c r="B165" s="1">
        <v>164</v>
      </c>
      <c r="C165">
        <v>70</v>
      </c>
      <c r="D165">
        <v>95618</v>
      </c>
      <c r="E165">
        <v>40844</v>
      </c>
      <c r="F165">
        <v>0.89953539823008855</v>
      </c>
      <c r="G165">
        <v>0.69026548672566368</v>
      </c>
      <c r="H165">
        <v>8.0819409461745539E-2</v>
      </c>
      <c r="I165">
        <v>6.1515767108104552E-2</v>
      </c>
    </row>
    <row r="166" spans="1:9" x14ac:dyDescent="0.25">
      <c r="A166" t="s">
        <v>22</v>
      </c>
      <c r="B166" s="1">
        <v>165</v>
      </c>
      <c r="C166">
        <v>152</v>
      </c>
      <c r="D166">
        <v>94781</v>
      </c>
      <c r="E166">
        <v>19734</v>
      </c>
      <c r="F166">
        <v>0.43590707964601771</v>
      </c>
      <c r="G166">
        <v>0.32743362831858408</v>
      </c>
      <c r="H166">
        <v>4.4456423744337302E-2</v>
      </c>
      <c r="I166">
        <v>9.4949643339669893E-3</v>
      </c>
    </row>
    <row r="167" spans="1:9" x14ac:dyDescent="0.25">
      <c r="A167" t="s">
        <v>221</v>
      </c>
      <c r="B167" s="1">
        <v>166</v>
      </c>
      <c r="C167">
        <v>125</v>
      </c>
      <c r="D167">
        <v>94764</v>
      </c>
      <c r="E167">
        <v>21394</v>
      </c>
      <c r="F167">
        <v>0.47331858407079652</v>
      </c>
      <c r="G167">
        <v>0.44690265486725661</v>
      </c>
      <c r="H167">
        <v>4.967445203581565E-2</v>
      </c>
      <c r="I167">
        <v>2.472899841716816E-2</v>
      </c>
    </row>
    <row r="168" spans="1:9" x14ac:dyDescent="0.25">
      <c r="A168" t="s">
        <v>222</v>
      </c>
      <c r="B168" s="1">
        <v>167</v>
      </c>
      <c r="C168">
        <v>55</v>
      </c>
      <c r="D168">
        <v>94664</v>
      </c>
      <c r="E168">
        <v>34836</v>
      </c>
      <c r="F168">
        <v>0.76630530973451327</v>
      </c>
      <c r="G168">
        <v>0.75663716814159288</v>
      </c>
      <c r="H168">
        <v>7.2063197326843534E-2</v>
      </c>
      <c r="I168">
        <v>5.286550750872316E-2</v>
      </c>
    </row>
    <row r="169" spans="1:9" x14ac:dyDescent="0.25">
      <c r="A169" t="s">
        <v>223</v>
      </c>
      <c r="B169" s="1">
        <v>168</v>
      </c>
      <c r="C169">
        <v>150</v>
      </c>
      <c r="D169">
        <v>94656</v>
      </c>
      <c r="E169">
        <v>14740</v>
      </c>
      <c r="F169">
        <v>0.32371681415929199</v>
      </c>
      <c r="G169">
        <v>0.33628318584070799</v>
      </c>
      <c r="H169">
        <v>3.241516611256956E-2</v>
      </c>
      <c r="I169">
        <v>-1.556347311952083E-2</v>
      </c>
    </row>
    <row r="170" spans="1:9" x14ac:dyDescent="0.25">
      <c r="A170" t="s">
        <v>224</v>
      </c>
      <c r="B170" s="1">
        <v>169</v>
      </c>
      <c r="C170">
        <v>105</v>
      </c>
      <c r="D170">
        <v>94361</v>
      </c>
      <c r="E170">
        <v>10783</v>
      </c>
      <c r="F170">
        <v>0.23420353982300879</v>
      </c>
      <c r="G170">
        <v>0.53539823008849563</v>
      </c>
      <c r="H170">
        <v>2.1981743674517391E-2</v>
      </c>
      <c r="I170">
        <v>-3.4803726310505337E-2</v>
      </c>
    </row>
    <row r="171" spans="1:9" x14ac:dyDescent="0.25">
      <c r="A171" t="s">
        <v>225</v>
      </c>
      <c r="B171" s="1">
        <v>170</v>
      </c>
      <c r="C171">
        <v>119</v>
      </c>
      <c r="D171">
        <v>93516</v>
      </c>
      <c r="E171">
        <v>7942</v>
      </c>
      <c r="F171">
        <v>0.1742920353982301</v>
      </c>
      <c r="G171">
        <v>0.47345132743362828</v>
      </c>
      <c r="H171">
        <v>1.602817725711727E-2</v>
      </c>
      <c r="I171">
        <v>-4.7074799775515978E-2</v>
      </c>
    </row>
    <row r="172" spans="1:9" x14ac:dyDescent="0.25">
      <c r="A172" t="s">
        <v>226</v>
      </c>
      <c r="B172" s="1">
        <v>171</v>
      </c>
      <c r="C172">
        <v>140</v>
      </c>
      <c r="D172">
        <v>93500</v>
      </c>
      <c r="E172">
        <v>22077</v>
      </c>
      <c r="F172">
        <v>0.48816371681415932</v>
      </c>
      <c r="G172">
        <v>0.38053097345132741</v>
      </c>
      <c r="H172">
        <v>4.4537203822361641E-2</v>
      </c>
      <c r="I172">
        <v>2.2831617488275791E-3</v>
      </c>
    </row>
    <row r="173" spans="1:9" x14ac:dyDescent="0.25">
      <c r="A173" t="s">
        <v>20</v>
      </c>
      <c r="B173" s="1">
        <v>172</v>
      </c>
      <c r="C173">
        <v>174</v>
      </c>
      <c r="D173">
        <v>93373</v>
      </c>
      <c r="E173">
        <v>18643</v>
      </c>
      <c r="F173">
        <v>0.41243362831858399</v>
      </c>
      <c r="G173">
        <v>0.23008849557522121</v>
      </c>
      <c r="H173">
        <v>4.2357461767096642E-2</v>
      </c>
      <c r="I173">
        <v>4.6214938238540917E-3</v>
      </c>
    </row>
    <row r="174" spans="1:9" x14ac:dyDescent="0.25">
      <c r="A174" t="s">
        <v>227</v>
      </c>
      <c r="B174" s="1">
        <v>173</v>
      </c>
      <c r="C174">
        <v>178</v>
      </c>
      <c r="D174">
        <v>92957</v>
      </c>
      <c r="E174">
        <v>18466</v>
      </c>
      <c r="F174">
        <v>0.40829646017699123</v>
      </c>
      <c r="G174">
        <v>0.21238938053097339</v>
      </c>
      <c r="H174">
        <v>4.1650566037095327E-2</v>
      </c>
      <c r="I174">
        <v>2.0745422204392081E-3</v>
      </c>
    </row>
    <row r="175" spans="1:9" x14ac:dyDescent="0.25">
      <c r="A175" t="s">
        <v>228</v>
      </c>
      <c r="B175" s="1">
        <v>174</v>
      </c>
      <c r="C175">
        <v>174</v>
      </c>
      <c r="D175">
        <v>92945</v>
      </c>
      <c r="E175">
        <v>18320</v>
      </c>
      <c r="F175">
        <v>0.4045132743362832</v>
      </c>
      <c r="G175">
        <v>0.23008849557522121</v>
      </c>
      <c r="H175">
        <v>4.1852172652106237E-2</v>
      </c>
      <c r="I175">
        <v>4.4762711951913002E-3</v>
      </c>
    </row>
    <row r="176" spans="1:9" x14ac:dyDescent="0.25">
      <c r="A176" t="s">
        <v>229</v>
      </c>
      <c r="B176" s="1">
        <v>175</v>
      </c>
      <c r="C176">
        <v>96</v>
      </c>
      <c r="D176">
        <v>92904</v>
      </c>
      <c r="E176">
        <v>14719</v>
      </c>
      <c r="F176">
        <v>0.32126106194690268</v>
      </c>
      <c r="G176">
        <v>0.5752212389380531</v>
      </c>
      <c r="H176">
        <v>2.8963503171661228E-2</v>
      </c>
      <c r="I176">
        <v>-2.528427494572761E-2</v>
      </c>
    </row>
    <row r="177" spans="1:9" x14ac:dyDescent="0.25">
      <c r="A177" t="s">
        <v>230</v>
      </c>
      <c r="B177" s="1">
        <v>176</v>
      </c>
      <c r="C177">
        <v>133</v>
      </c>
      <c r="D177">
        <v>92898</v>
      </c>
      <c r="E177">
        <v>20291</v>
      </c>
      <c r="F177">
        <v>0.44891592920353979</v>
      </c>
      <c r="G177">
        <v>0.41150442477876098</v>
      </c>
      <c r="H177">
        <v>4.7107309317529357E-2</v>
      </c>
      <c r="I177">
        <v>1.8677484150300121E-2</v>
      </c>
    </row>
    <row r="178" spans="1:9" x14ac:dyDescent="0.25">
      <c r="A178" t="s">
        <v>231</v>
      </c>
      <c r="B178" s="1">
        <v>177</v>
      </c>
      <c r="C178">
        <v>42</v>
      </c>
      <c r="D178">
        <v>92382</v>
      </c>
      <c r="E178">
        <v>43575</v>
      </c>
      <c r="F178">
        <v>0.95964601769911506</v>
      </c>
      <c r="G178">
        <v>0.81415929203539827</v>
      </c>
      <c r="H178">
        <v>8.503146486295364E-2</v>
      </c>
      <c r="I178">
        <v>6.7296564460478533E-2</v>
      </c>
    </row>
    <row r="179" spans="1:9" x14ac:dyDescent="0.25">
      <c r="A179" t="s">
        <v>232</v>
      </c>
      <c r="B179" s="1">
        <v>178</v>
      </c>
      <c r="C179">
        <v>97</v>
      </c>
      <c r="D179">
        <v>92065</v>
      </c>
      <c r="E179">
        <v>24800</v>
      </c>
      <c r="F179">
        <v>0.54867256637168138</v>
      </c>
      <c r="G179">
        <v>0.57079646017699115</v>
      </c>
      <c r="H179">
        <v>4.7421818432054959E-2</v>
      </c>
      <c r="I179">
        <v>5.2234993173722022E-4</v>
      </c>
    </row>
    <row r="180" spans="1:9" x14ac:dyDescent="0.25">
      <c r="A180" t="s">
        <v>233</v>
      </c>
      <c r="B180" s="1">
        <v>179</v>
      </c>
      <c r="C180">
        <v>136</v>
      </c>
      <c r="D180">
        <v>91954</v>
      </c>
      <c r="E180">
        <v>19495</v>
      </c>
      <c r="F180">
        <v>0.43130530973451331</v>
      </c>
      <c r="G180">
        <v>0.39823008849557517</v>
      </c>
      <c r="H180">
        <v>4.5554126779360243E-2</v>
      </c>
      <c r="I180">
        <v>1.638481063827249E-2</v>
      </c>
    </row>
    <row r="181" spans="1:9" x14ac:dyDescent="0.25">
      <c r="A181" t="s">
        <v>234</v>
      </c>
      <c r="B181" s="1">
        <v>180</v>
      </c>
      <c r="C181">
        <v>102</v>
      </c>
      <c r="D181">
        <v>90904</v>
      </c>
      <c r="E181">
        <v>18683</v>
      </c>
      <c r="F181">
        <v>0.41141592920353981</v>
      </c>
      <c r="G181">
        <v>0.54867256637168138</v>
      </c>
      <c r="H181">
        <v>3.8655078695953138E-2</v>
      </c>
      <c r="I181">
        <v>-9.1663632223288327E-3</v>
      </c>
    </row>
    <row r="182" spans="1:9" x14ac:dyDescent="0.25">
      <c r="A182" t="s">
        <v>235</v>
      </c>
      <c r="B182" s="1">
        <v>181</v>
      </c>
      <c r="C182">
        <v>78</v>
      </c>
      <c r="D182">
        <v>90883</v>
      </c>
      <c r="E182">
        <v>34050</v>
      </c>
      <c r="F182">
        <v>0.75</v>
      </c>
      <c r="G182">
        <v>0.65486725663716816</v>
      </c>
      <c r="H182">
        <v>6.7345588374079529E-2</v>
      </c>
      <c r="I182">
        <v>3.8363731923116817E-2</v>
      </c>
    </row>
    <row r="183" spans="1:9" x14ac:dyDescent="0.25">
      <c r="A183" t="s">
        <v>236</v>
      </c>
      <c r="B183" s="1">
        <v>182</v>
      </c>
      <c r="C183">
        <v>78</v>
      </c>
      <c r="D183">
        <v>90874</v>
      </c>
      <c r="E183">
        <v>25322</v>
      </c>
      <c r="F183">
        <v>0.55657079646017704</v>
      </c>
      <c r="G183">
        <v>0.65486725663716816</v>
      </c>
      <c r="H183">
        <v>5.1245242613451668E-2</v>
      </c>
      <c r="I183">
        <v>1.479311581450749E-2</v>
      </c>
    </row>
    <row r="184" spans="1:9" x14ac:dyDescent="0.25">
      <c r="A184" t="s">
        <v>237</v>
      </c>
      <c r="B184" s="1">
        <v>183</v>
      </c>
      <c r="C184">
        <v>72</v>
      </c>
      <c r="D184">
        <v>90568</v>
      </c>
      <c r="E184">
        <v>30418</v>
      </c>
      <c r="F184">
        <v>0.67</v>
      </c>
      <c r="G184">
        <v>0.68141592920353977</v>
      </c>
      <c r="H184">
        <v>6.0162058947511053E-2</v>
      </c>
      <c r="I184">
        <v>2.6087337707719441E-2</v>
      </c>
    </row>
    <row r="185" spans="1:9" x14ac:dyDescent="0.25">
      <c r="A185" t="s">
        <v>238</v>
      </c>
      <c r="B185" s="1">
        <v>184</v>
      </c>
      <c r="C185">
        <v>178</v>
      </c>
      <c r="D185">
        <v>90538</v>
      </c>
      <c r="E185">
        <v>15425</v>
      </c>
      <c r="F185">
        <v>0.33685840707964598</v>
      </c>
      <c r="G185">
        <v>0.21238938053097339</v>
      </c>
      <c r="H185">
        <v>3.6039658383360207E-2</v>
      </c>
      <c r="I185">
        <v>-4.579261674731723E-3</v>
      </c>
    </row>
    <row r="186" spans="1:9" x14ac:dyDescent="0.25">
      <c r="A186" t="s">
        <v>239</v>
      </c>
      <c r="B186" s="1">
        <v>185</v>
      </c>
      <c r="C186">
        <v>181</v>
      </c>
      <c r="D186">
        <v>90348</v>
      </c>
      <c r="E186">
        <v>9279</v>
      </c>
      <c r="F186">
        <v>0.2009070796460177</v>
      </c>
      <c r="G186">
        <v>0.19911504424778759</v>
      </c>
      <c r="H186">
        <v>2.0353546942639921E-2</v>
      </c>
      <c r="I186">
        <v>-4.0896831622695799E-2</v>
      </c>
    </row>
    <row r="187" spans="1:9" x14ac:dyDescent="0.25">
      <c r="A187" t="s">
        <v>240</v>
      </c>
      <c r="B187" s="1">
        <v>186</v>
      </c>
      <c r="C187">
        <v>159</v>
      </c>
      <c r="D187">
        <v>90042</v>
      </c>
      <c r="E187">
        <v>17195</v>
      </c>
      <c r="F187">
        <v>0.3804203539823009</v>
      </c>
      <c r="G187">
        <v>0.29646017699115051</v>
      </c>
      <c r="H187">
        <v>3.9135009380495488E-2</v>
      </c>
      <c r="I187">
        <v>3.5485680193079008E-4</v>
      </c>
    </row>
    <row r="188" spans="1:9" x14ac:dyDescent="0.25">
      <c r="A188" t="s">
        <v>241</v>
      </c>
      <c r="B188" s="1">
        <v>187</v>
      </c>
      <c r="C188">
        <v>64</v>
      </c>
      <c r="D188">
        <v>89875</v>
      </c>
      <c r="E188">
        <v>37909</v>
      </c>
      <c r="F188">
        <v>0.83499999999999996</v>
      </c>
      <c r="G188">
        <v>0.7168141592920354</v>
      </c>
      <c r="H188">
        <v>7.4978088389808531E-2</v>
      </c>
      <c r="I188">
        <v>5.140740077697651E-2</v>
      </c>
    </row>
    <row r="189" spans="1:9" x14ac:dyDescent="0.25">
      <c r="A189" t="s">
        <v>242</v>
      </c>
      <c r="B189" s="1">
        <v>188</v>
      </c>
      <c r="C189">
        <v>121</v>
      </c>
      <c r="D189">
        <v>89476</v>
      </c>
      <c r="E189">
        <v>6397</v>
      </c>
      <c r="F189">
        <v>0.14006637168141589</v>
      </c>
      <c r="G189">
        <v>0.46460176991150443</v>
      </c>
      <c r="H189">
        <v>1.2603881503259841E-2</v>
      </c>
      <c r="I189">
        <v>-5.6045591680203538E-2</v>
      </c>
    </row>
    <row r="190" spans="1:9" x14ac:dyDescent="0.25">
      <c r="A190" t="s">
        <v>243</v>
      </c>
      <c r="B190" s="1">
        <v>189</v>
      </c>
      <c r="C190">
        <v>40</v>
      </c>
      <c r="D190">
        <v>89446</v>
      </c>
      <c r="E190">
        <v>41509</v>
      </c>
      <c r="F190">
        <v>0.91834070796460177</v>
      </c>
      <c r="G190">
        <v>0.82300884955752207</v>
      </c>
      <c r="H190">
        <v>8.3991807419946857E-2</v>
      </c>
      <c r="I190">
        <v>7.3038499998328787E-2</v>
      </c>
    </row>
    <row r="191" spans="1:9" x14ac:dyDescent="0.25">
      <c r="A191" t="s">
        <v>244</v>
      </c>
      <c r="B191" s="1">
        <v>190</v>
      </c>
      <c r="C191">
        <v>83</v>
      </c>
      <c r="D191">
        <v>89025</v>
      </c>
      <c r="E191">
        <v>21347</v>
      </c>
      <c r="F191">
        <v>0.46997787610619468</v>
      </c>
      <c r="G191">
        <v>0.63274336283185839</v>
      </c>
      <c r="H191">
        <v>4.365462565927019E-2</v>
      </c>
      <c r="I191">
        <v>-1.5745261804011399E-3</v>
      </c>
    </row>
    <row r="192" spans="1:9" x14ac:dyDescent="0.25">
      <c r="A192" t="s">
        <v>245</v>
      </c>
      <c r="B192" s="1">
        <v>191</v>
      </c>
      <c r="C192">
        <v>179</v>
      </c>
      <c r="D192">
        <v>88906</v>
      </c>
      <c r="E192">
        <v>759</v>
      </c>
      <c r="F192">
        <v>1.6725663716814158E-2</v>
      </c>
      <c r="G192">
        <v>0.20796460176991149</v>
      </c>
      <c r="H192">
        <v>1.502790419237753E-3</v>
      </c>
      <c r="I192">
        <v>-7.4137463764628347E-2</v>
      </c>
    </row>
    <row r="193" spans="1:9" x14ac:dyDescent="0.25">
      <c r="A193" t="s">
        <v>246</v>
      </c>
      <c r="B193" s="1">
        <v>192</v>
      </c>
      <c r="C193">
        <v>65</v>
      </c>
      <c r="D193">
        <v>88524</v>
      </c>
      <c r="E193">
        <v>30418</v>
      </c>
      <c r="F193">
        <v>0.67</v>
      </c>
      <c r="G193">
        <v>0.71238938053097345</v>
      </c>
      <c r="H193">
        <v>6.0162058947511053E-2</v>
      </c>
      <c r="I193">
        <v>2.6087337707719441E-2</v>
      </c>
    </row>
    <row r="194" spans="1:9" x14ac:dyDescent="0.25">
      <c r="A194" t="s">
        <v>247</v>
      </c>
      <c r="B194" s="1">
        <v>193</v>
      </c>
      <c r="C194">
        <v>86</v>
      </c>
      <c r="D194">
        <v>87879</v>
      </c>
      <c r="E194">
        <v>22700</v>
      </c>
      <c r="F194">
        <v>0.5</v>
      </c>
      <c r="G194">
        <v>0.61946902654867253</v>
      </c>
      <c r="H194">
        <v>4.4897058916053022E-2</v>
      </c>
      <c r="I194">
        <v>0</v>
      </c>
    </row>
    <row r="195" spans="1:9" x14ac:dyDescent="0.25">
      <c r="A195" t="s">
        <v>248</v>
      </c>
      <c r="B195" s="1">
        <v>194</v>
      </c>
      <c r="C195">
        <v>72</v>
      </c>
      <c r="D195">
        <v>87609</v>
      </c>
      <c r="E195">
        <v>36688</v>
      </c>
      <c r="F195">
        <v>0.80834070796460178</v>
      </c>
      <c r="G195">
        <v>0.68141592920353977</v>
      </c>
      <c r="H195">
        <v>6.9700614015565834E-2</v>
      </c>
      <c r="I195">
        <v>3.8251600008090081E-2</v>
      </c>
    </row>
    <row r="196" spans="1:9" x14ac:dyDescent="0.25">
      <c r="A196" t="s">
        <v>249</v>
      </c>
      <c r="B196" s="1">
        <v>195</v>
      </c>
      <c r="C196">
        <v>192</v>
      </c>
      <c r="D196">
        <v>87349</v>
      </c>
      <c r="E196">
        <v>12074</v>
      </c>
      <c r="F196">
        <v>0.2669911504424779</v>
      </c>
      <c r="G196">
        <v>0.15044247787610621</v>
      </c>
      <c r="H196">
        <v>2.6504074319502299E-2</v>
      </c>
      <c r="I196">
        <v>-3.0120476139750049E-2</v>
      </c>
    </row>
    <row r="197" spans="1:9" x14ac:dyDescent="0.25">
      <c r="A197" t="s">
        <v>250</v>
      </c>
      <c r="B197" s="1">
        <v>196</v>
      </c>
      <c r="C197">
        <v>73</v>
      </c>
      <c r="D197">
        <v>86378</v>
      </c>
      <c r="E197">
        <v>37781</v>
      </c>
      <c r="F197">
        <v>0.83183628318584069</v>
      </c>
      <c r="G197">
        <v>0.67699115044247793</v>
      </c>
      <c r="H197">
        <v>7.1406951051504103E-2</v>
      </c>
      <c r="I197">
        <v>3.9678631813133532E-2</v>
      </c>
    </row>
    <row r="198" spans="1:9" x14ac:dyDescent="0.25">
      <c r="A198" t="s">
        <v>251</v>
      </c>
      <c r="B198" s="1">
        <v>197</v>
      </c>
      <c r="C198">
        <v>116</v>
      </c>
      <c r="D198">
        <v>86330</v>
      </c>
      <c r="E198">
        <v>4511</v>
      </c>
      <c r="F198">
        <v>9.9247787610619476E-2</v>
      </c>
      <c r="G198">
        <v>0.48672566371681408</v>
      </c>
      <c r="H198">
        <v>8.850589202249369E-3</v>
      </c>
      <c r="I198">
        <v>-6.1864017599026183E-2</v>
      </c>
    </row>
    <row r="199" spans="1:9" x14ac:dyDescent="0.25">
      <c r="A199" t="s">
        <v>252</v>
      </c>
      <c r="B199" s="1">
        <v>198</v>
      </c>
      <c r="C199">
        <v>83</v>
      </c>
      <c r="D199">
        <v>86056</v>
      </c>
      <c r="E199">
        <v>22700</v>
      </c>
      <c r="F199">
        <v>0.5</v>
      </c>
      <c r="G199">
        <v>0.63274336283185839</v>
      </c>
      <c r="H199">
        <v>4.4897058916053022E-2</v>
      </c>
      <c r="I199">
        <v>0</v>
      </c>
    </row>
    <row r="200" spans="1:9" x14ac:dyDescent="0.25">
      <c r="A200" t="s">
        <v>253</v>
      </c>
      <c r="B200" s="1">
        <v>199</v>
      </c>
      <c r="C200">
        <v>61</v>
      </c>
      <c r="D200">
        <v>85954</v>
      </c>
      <c r="E200">
        <v>40860</v>
      </c>
      <c r="F200">
        <v>0.9</v>
      </c>
      <c r="G200">
        <v>0.73008849557522126</v>
      </c>
      <c r="H200">
        <v>8.0814706048895416E-2</v>
      </c>
      <c r="I200">
        <v>6.138197107698689E-2</v>
      </c>
    </row>
    <row r="201" spans="1:9" x14ac:dyDescent="0.25">
      <c r="A201" t="s">
        <v>254</v>
      </c>
      <c r="B201" s="1">
        <v>200</v>
      </c>
      <c r="C201">
        <v>209</v>
      </c>
      <c r="D201">
        <v>85941</v>
      </c>
      <c r="E201">
        <v>846</v>
      </c>
      <c r="F201">
        <v>1.4314159292035399E-2</v>
      </c>
      <c r="G201">
        <v>7.5221238938053103E-2</v>
      </c>
      <c r="H201">
        <v>7.7087634490903968E-4</v>
      </c>
      <c r="I201">
        <v>-7.8269908520555098E-2</v>
      </c>
    </row>
    <row r="202" spans="1:9" x14ac:dyDescent="0.25">
      <c r="A202" t="s">
        <v>255</v>
      </c>
      <c r="B202" s="1">
        <v>201</v>
      </c>
      <c r="C202">
        <v>71</v>
      </c>
      <c r="D202">
        <v>85662</v>
      </c>
      <c r="E202">
        <v>22700</v>
      </c>
      <c r="F202">
        <v>0.5</v>
      </c>
      <c r="G202">
        <v>0.68584070796460173</v>
      </c>
      <c r="H202">
        <v>4.4897058916053022E-2</v>
      </c>
      <c r="I202">
        <v>0</v>
      </c>
    </row>
    <row r="203" spans="1:9" x14ac:dyDescent="0.25">
      <c r="A203" t="s">
        <v>256</v>
      </c>
      <c r="B203" s="1">
        <v>202</v>
      </c>
      <c r="C203">
        <v>190</v>
      </c>
      <c r="D203">
        <v>85633</v>
      </c>
      <c r="E203">
        <v>12054</v>
      </c>
      <c r="F203">
        <v>0.26661504424778759</v>
      </c>
      <c r="G203">
        <v>0.15929203539823009</v>
      </c>
      <c r="H203">
        <v>2.718785745348706E-2</v>
      </c>
      <c r="I203">
        <v>-2.69539123791298E-2</v>
      </c>
    </row>
    <row r="204" spans="1:9" x14ac:dyDescent="0.25">
      <c r="A204" t="s">
        <v>257</v>
      </c>
      <c r="B204" s="1">
        <v>203</v>
      </c>
      <c r="C204">
        <v>84</v>
      </c>
      <c r="D204">
        <v>85527</v>
      </c>
      <c r="E204">
        <v>26509</v>
      </c>
      <c r="F204">
        <v>0.58216814159292041</v>
      </c>
      <c r="G204">
        <v>0.62831858407079644</v>
      </c>
      <c r="H204">
        <v>5.4409980899765717E-2</v>
      </c>
      <c r="I204">
        <v>1.442751302583597E-2</v>
      </c>
    </row>
    <row r="205" spans="1:9" x14ac:dyDescent="0.25">
      <c r="A205" t="s">
        <v>258</v>
      </c>
      <c r="B205" s="1">
        <v>204</v>
      </c>
      <c r="C205">
        <v>202</v>
      </c>
      <c r="D205">
        <v>85413</v>
      </c>
      <c r="E205">
        <v>7570</v>
      </c>
      <c r="F205">
        <v>0.1674557522123894</v>
      </c>
      <c r="G205">
        <v>0.1061946902654867</v>
      </c>
      <c r="H205">
        <v>1.6352977079097379E-2</v>
      </c>
      <c r="I205">
        <v>-5.0119216921373243E-2</v>
      </c>
    </row>
    <row r="206" spans="1:9" x14ac:dyDescent="0.25">
      <c r="A206" t="s">
        <v>259</v>
      </c>
      <c r="B206" s="1">
        <v>205</v>
      </c>
      <c r="C206">
        <v>179</v>
      </c>
      <c r="D206">
        <v>85382</v>
      </c>
      <c r="E206">
        <v>4463</v>
      </c>
      <c r="F206">
        <v>9.4336283185840711E-2</v>
      </c>
      <c r="G206">
        <v>0.20796460176991149</v>
      </c>
      <c r="H206">
        <v>9.0278099437330183E-3</v>
      </c>
      <c r="I206">
        <v>-6.3489000587587566E-2</v>
      </c>
    </row>
    <row r="207" spans="1:9" x14ac:dyDescent="0.25">
      <c r="A207" t="s">
        <v>21</v>
      </c>
      <c r="B207" s="1">
        <v>206</v>
      </c>
      <c r="C207">
        <v>81</v>
      </c>
      <c r="D207">
        <v>85312</v>
      </c>
      <c r="E207">
        <v>22598</v>
      </c>
      <c r="F207">
        <v>0.49805309734513281</v>
      </c>
      <c r="G207">
        <v>0.6415929203539823</v>
      </c>
      <c r="H207">
        <v>4.456231662350521E-2</v>
      </c>
      <c r="I207">
        <v>-9.5466064546712763E-4</v>
      </c>
    </row>
    <row r="208" spans="1:9" x14ac:dyDescent="0.25">
      <c r="A208" t="s">
        <v>260</v>
      </c>
      <c r="B208" s="1">
        <v>207</v>
      </c>
      <c r="C208">
        <v>92</v>
      </c>
      <c r="D208">
        <v>85226</v>
      </c>
      <c r="E208">
        <v>24603</v>
      </c>
      <c r="F208">
        <v>0.54431415929203542</v>
      </c>
      <c r="G208">
        <v>0.59292035398230092</v>
      </c>
      <c r="H208">
        <v>5.0589251910405107E-2</v>
      </c>
      <c r="I208">
        <v>1.756597688690844E-2</v>
      </c>
    </row>
    <row r="209" spans="1:9" x14ac:dyDescent="0.25">
      <c r="A209" t="s">
        <v>261</v>
      </c>
      <c r="B209" s="1">
        <v>208</v>
      </c>
      <c r="C209">
        <v>74</v>
      </c>
      <c r="D209">
        <v>85126</v>
      </c>
      <c r="E209">
        <v>36174</v>
      </c>
      <c r="F209">
        <v>0.79707964601769909</v>
      </c>
      <c r="G209">
        <v>0.67256637168141598</v>
      </c>
      <c r="H209">
        <v>6.8619915666663242E-2</v>
      </c>
      <c r="I209">
        <v>3.642205428419229E-2</v>
      </c>
    </row>
    <row r="210" spans="1:9" x14ac:dyDescent="0.25">
      <c r="A210" t="s">
        <v>262</v>
      </c>
      <c r="B210" s="1">
        <v>209</v>
      </c>
      <c r="C210">
        <v>107</v>
      </c>
      <c r="D210">
        <v>85125</v>
      </c>
      <c r="E210">
        <v>13725</v>
      </c>
      <c r="F210">
        <v>0.30225663716814161</v>
      </c>
      <c r="G210">
        <v>0.52654867256637172</v>
      </c>
      <c r="H210">
        <v>2.794078191942153E-2</v>
      </c>
      <c r="I210">
        <v>-2.8886296296689581E-2</v>
      </c>
    </row>
    <row r="211" spans="1:9" x14ac:dyDescent="0.25">
      <c r="A211" t="s">
        <v>263</v>
      </c>
      <c r="B211" s="1">
        <v>210</v>
      </c>
      <c r="C211">
        <v>212</v>
      </c>
      <c r="D211">
        <v>85108</v>
      </c>
      <c r="E211">
        <v>3970</v>
      </c>
      <c r="F211">
        <v>8.7831858407079647E-2</v>
      </c>
      <c r="G211">
        <v>6.1946902654867263E-2</v>
      </c>
      <c r="H211">
        <v>9.9702132523775255E-3</v>
      </c>
      <c r="I211">
        <v>-5.527439710492691E-2</v>
      </c>
    </row>
    <row r="212" spans="1:9" x14ac:dyDescent="0.25">
      <c r="A212" t="s">
        <v>264</v>
      </c>
      <c r="B212" s="1">
        <v>211</v>
      </c>
      <c r="C212">
        <v>85</v>
      </c>
      <c r="D212">
        <v>85024</v>
      </c>
      <c r="E212">
        <v>26986</v>
      </c>
      <c r="F212">
        <v>0.59482300884955752</v>
      </c>
      <c r="G212">
        <v>0.62389380530973448</v>
      </c>
      <c r="H212">
        <v>4.9989926473090127E-2</v>
      </c>
      <c r="I212">
        <v>7.5338296029264229E-3</v>
      </c>
    </row>
    <row r="213" spans="1:9" x14ac:dyDescent="0.25">
      <c r="A213" t="s">
        <v>265</v>
      </c>
      <c r="B213" s="1">
        <v>212</v>
      </c>
      <c r="C213">
        <v>152</v>
      </c>
      <c r="D213">
        <v>84879</v>
      </c>
      <c r="E213">
        <v>3259</v>
      </c>
      <c r="F213">
        <v>7.2101769911504424E-2</v>
      </c>
      <c r="G213">
        <v>0.32743362831858408</v>
      </c>
      <c r="H213">
        <v>6.354213549277829E-3</v>
      </c>
      <c r="I213">
        <v>-6.6647723873565295E-2</v>
      </c>
    </row>
    <row r="214" spans="1:9" x14ac:dyDescent="0.25">
      <c r="A214" t="s">
        <v>266</v>
      </c>
      <c r="B214" s="1">
        <v>213</v>
      </c>
      <c r="C214">
        <v>69</v>
      </c>
      <c r="D214">
        <v>84842</v>
      </c>
      <c r="E214">
        <v>22700</v>
      </c>
      <c r="F214">
        <v>0.5</v>
      </c>
      <c r="G214">
        <v>0.69469026548672563</v>
      </c>
      <c r="H214">
        <v>4.4897058916053022E-2</v>
      </c>
      <c r="I214">
        <v>0</v>
      </c>
    </row>
    <row r="215" spans="1:9" x14ac:dyDescent="0.25">
      <c r="A215" t="s">
        <v>267</v>
      </c>
      <c r="B215" s="1">
        <v>214</v>
      </c>
      <c r="C215">
        <v>197</v>
      </c>
      <c r="D215">
        <v>84631</v>
      </c>
      <c r="E215">
        <v>5331</v>
      </c>
      <c r="F215">
        <v>0.1179203539823009</v>
      </c>
      <c r="G215">
        <v>0.12831858407079649</v>
      </c>
      <c r="H215">
        <v>1.184243638639065E-2</v>
      </c>
      <c r="I215">
        <v>-5.6620948663238503E-2</v>
      </c>
    </row>
    <row r="216" spans="1:9" x14ac:dyDescent="0.25">
      <c r="A216" t="s">
        <v>268</v>
      </c>
      <c r="B216" s="1">
        <v>215</v>
      </c>
      <c r="C216">
        <v>106</v>
      </c>
      <c r="D216">
        <v>84368</v>
      </c>
      <c r="E216">
        <v>14982</v>
      </c>
      <c r="F216">
        <v>0.33</v>
      </c>
      <c r="G216">
        <v>0.53097345132743368</v>
      </c>
      <c r="H216">
        <v>2.963205888459499E-2</v>
      </c>
      <c r="I216">
        <v>-2.608733770771942E-2</v>
      </c>
    </row>
    <row r="217" spans="1:9" x14ac:dyDescent="0.25">
      <c r="A217" t="s">
        <v>23</v>
      </c>
      <c r="B217" s="1">
        <v>216</v>
      </c>
      <c r="C217">
        <v>77</v>
      </c>
      <c r="D217">
        <v>84097</v>
      </c>
      <c r="E217">
        <v>22767</v>
      </c>
      <c r="F217">
        <v>0.50139380530973454</v>
      </c>
      <c r="G217">
        <v>0.65929203539823011</v>
      </c>
      <c r="H217">
        <v>4.5009574104264941E-2</v>
      </c>
      <c r="I217">
        <v>1.1205944704850841E-4</v>
      </c>
    </row>
    <row r="218" spans="1:9" x14ac:dyDescent="0.25">
      <c r="A218" t="s">
        <v>269</v>
      </c>
      <c r="B218" s="1">
        <v>217</v>
      </c>
      <c r="C218">
        <v>173</v>
      </c>
      <c r="D218">
        <v>84063</v>
      </c>
      <c r="E218">
        <v>3894</v>
      </c>
      <c r="F218">
        <v>8.1792035398230087E-2</v>
      </c>
      <c r="G218">
        <v>0.23451327433628319</v>
      </c>
      <c r="H218">
        <v>7.4957642526436996E-3</v>
      </c>
      <c r="I218">
        <v>-6.6322026128595668E-2</v>
      </c>
    </row>
    <row r="219" spans="1:9" x14ac:dyDescent="0.25">
      <c r="A219" t="s">
        <v>270</v>
      </c>
      <c r="B219" s="1">
        <v>218</v>
      </c>
      <c r="C219">
        <v>84</v>
      </c>
      <c r="D219">
        <v>83689</v>
      </c>
      <c r="E219">
        <v>16725</v>
      </c>
      <c r="F219">
        <v>0.36783185840707971</v>
      </c>
      <c r="G219">
        <v>0.62831858407079644</v>
      </c>
      <c r="H219">
        <v>3.1601107229436758E-2</v>
      </c>
      <c r="I219">
        <v>-2.285771467753157E-2</v>
      </c>
    </row>
    <row r="220" spans="1:9" x14ac:dyDescent="0.25">
      <c r="A220" t="s">
        <v>271</v>
      </c>
      <c r="B220" s="1">
        <v>219</v>
      </c>
      <c r="C220">
        <v>75</v>
      </c>
      <c r="D220">
        <v>83687</v>
      </c>
      <c r="E220">
        <v>27377</v>
      </c>
      <c r="F220">
        <v>0.60347345132743357</v>
      </c>
      <c r="G220">
        <v>0.66814159292035402</v>
      </c>
      <c r="H220">
        <v>5.1702010747501317E-2</v>
      </c>
      <c r="I220">
        <v>1.2769084299270071E-2</v>
      </c>
    </row>
    <row r="221" spans="1:9" x14ac:dyDescent="0.25">
      <c r="A221" t="s">
        <v>272</v>
      </c>
      <c r="B221" s="1">
        <v>220</v>
      </c>
      <c r="C221">
        <v>188</v>
      </c>
      <c r="D221">
        <v>83339</v>
      </c>
      <c r="E221">
        <v>8662</v>
      </c>
      <c r="F221">
        <v>0.19161504424778761</v>
      </c>
      <c r="G221">
        <v>0.16814159292035399</v>
      </c>
      <c r="H221">
        <v>1.946890925488029E-2</v>
      </c>
      <c r="I221">
        <v>-4.2098379278363657E-2</v>
      </c>
    </row>
    <row r="222" spans="1:9" x14ac:dyDescent="0.25">
      <c r="A222" t="s">
        <v>273</v>
      </c>
      <c r="B222" s="1">
        <v>221</v>
      </c>
      <c r="C222">
        <v>102</v>
      </c>
      <c r="D222">
        <v>83152</v>
      </c>
      <c r="E222">
        <v>18417</v>
      </c>
      <c r="F222">
        <v>0.40745575221238939</v>
      </c>
      <c r="G222">
        <v>0.54867256637168138</v>
      </c>
      <c r="H222">
        <v>3.5627237294242907E-2</v>
      </c>
      <c r="I222">
        <v>-9.3039615999375314E-3</v>
      </c>
    </row>
    <row r="223" spans="1:9" x14ac:dyDescent="0.25">
      <c r="A223" t="s">
        <v>274</v>
      </c>
      <c r="B223" s="1">
        <v>222</v>
      </c>
      <c r="C223">
        <v>75</v>
      </c>
      <c r="D223">
        <v>82991</v>
      </c>
      <c r="E223">
        <v>33868</v>
      </c>
      <c r="F223">
        <v>0.74707964601769916</v>
      </c>
      <c r="G223">
        <v>0.66814159292035402</v>
      </c>
      <c r="H223">
        <v>6.5104127794682706E-2</v>
      </c>
      <c r="I223">
        <v>3.2860937598688328E-2</v>
      </c>
    </row>
    <row r="224" spans="1:9" x14ac:dyDescent="0.25">
      <c r="A224" t="s">
        <v>275</v>
      </c>
      <c r="B224" s="1">
        <v>223</v>
      </c>
      <c r="C224">
        <v>197</v>
      </c>
      <c r="D224">
        <v>82768</v>
      </c>
      <c r="E224">
        <v>3791</v>
      </c>
      <c r="F224">
        <v>7.9469026548672564E-2</v>
      </c>
      <c r="G224">
        <v>0.12831858407079649</v>
      </c>
      <c r="H224">
        <v>4.7830819936556506E-3</v>
      </c>
      <c r="I224">
        <v>-7.8954084032801838E-2</v>
      </c>
    </row>
    <row r="225" spans="1:9" x14ac:dyDescent="0.25">
      <c r="A225" t="s">
        <v>276</v>
      </c>
      <c r="B225" s="1">
        <v>224</v>
      </c>
      <c r="C225">
        <v>204</v>
      </c>
      <c r="D225">
        <v>82506</v>
      </c>
      <c r="E225">
        <v>4071</v>
      </c>
      <c r="F225">
        <v>9.0022123893805303E-2</v>
      </c>
      <c r="G225">
        <v>9.7345132743362831E-2</v>
      </c>
      <c r="H225">
        <v>8.8687279854697074E-3</v>
      </c>
      <c r="I225">
        <v>-6.1906140409138298E-2</v>
      </c>
    </row>
    <row r="226" spans="1:9" x14ac:dyDescent="0.25">
      <c r="A226" t="s">
        <v>277</v>
      </c>
      <c r="B226" s="1">
        <v>225</v>
      </c>
      <c r="C226">
        <v>66</v>
      </c>
      <c r="D226">
        <v>82366</v>
      </c>
      <c r="E226">
        <v>32404</v>
      </c>
      <c r="F226">
        <v>0.71418141592920359</v>
      </c>
      <c r="G226">
        <v>0.70796460176991149</v>
      </c>
      <c r="H226">
        <v>6.109930073720482E-2</v>
      </c>
      <c r="I226">
        <v>2.5034908219278229E-2</v>
      </c>
    </row>
    <row r="227" spans="1:9" x14ac:dyDescent="0.25">
      <c r="A227" t="s">
        <v>278</v>
      </c>
      <c r="B227" s="1">
        <v>226</v>
      </c>
      <c r="C227">
        <v>78</v>
      </c>
      <c r="D227">
        <v>82097</v>
      </c>
      <c r="E227">
        <v>27590</v>
      </c>
      <c r="F227">
        <v>0.60818584070796455</v>
      </c>
      <c r="G227">
        <v>0.65486725663716816</v>
      </c>
      <c r="H227">
        <v>5.1497182501938132E-2</v>
      </c>
      <c r="I227">
        <v>1.043766075496471E-2</v>
      </c>
    </row>
    <row r="228" spans="1:9" x14ac:dyDescent="0.25">
      <c r="A228" t="s">
        <v>279</v>
      </c>
      <c r="B228" s="1">
        <v>227</v>
      </c>
      <c r="C228">
        <v>210</v>
      </c>
      <c r="D228">
        <v>81060</v>
      </c>
      <c r="E228">
        <v>0</v>
      </c>
      <c r="F228">
        <v>0</v>
      </c>
      <c r="G228">
        <v>7.0796460176991149E-2</v>
      </c>
      <c r="H228">
        <v>0</v>
      </c>
      <c r="I228">
        <v>-7.6727463846233634E-2</v>
      </c>
    </row>
    <row r="230" spans="1:9" x14ac:dyDescent="0.25">
      <c r="A230" t="s">
        <v>0</v>
      </c>
      <c r="C230" t="s">
        <v>1</v>
      </c>
      <c r="D230" t="s">
        <v>2</v>
      </c>
      <c r="E230" t="s">
        <v>3</v>
      </c>
      <c r="F230" t="s">
        <v>4</v>
      </c>
      <c r="G230" t="s">
        <v>5</v>
      </c>
      <c r="H230" t="s">
        <v>6</v>
      </c>
      <c r="I230" t="s">
        <v>7</v>
      </c>
    </row>
    <row r="231" spans="1:9" x14ac:dyDescent="0.25">
      <c r="A231" t="s">
        <v>69</v>
      </c>
      <c r="B231" s="1">
        <v>1</v>
      </c>
      <c r="C231">
        <v>40</v>
      </c>
      <c r="D231">
        <v>130763</v>
      </c>
      <c r="E231">
        <v>36067</v>
      </c>
      <c r="F231">
        <v>0.79351769900000002</v>
      </c>
      <c r="G231">
        <v>0.82300885000000001</v>
      </c>
      <c r="H231">
        <v>7.6545564999999996E-2</v>
      </c>
      <c r="I231">
        <v>7.5418539000000007E-2</v>
      </c>
    </row>
    <row r="232" spans="1:9" x14ac:dyDescent="0.25">
      <c r="A232" t="s">
        <v>70</v>
      </c>
      <c r="B232" s="1">
        <v>2</v>
      </c>
      <c r="C232">
        <v>50</v>
      </c>
      <c r="D232">
        <v>130131</v>
      </c>
      <c r="E232">
        <v>33876</v>
      </c>
      <c r="F232">
        <v>0.74504424800000002</v>
      </c>
      <c r="G232">
        <v>0.77876106199999995</v>
      </c>
      <c r="H232">
        <v>7.2603384000000007E-2</v>
      </c>
      <c r="I232">
        <v>7.0961915E-2</v>
      </c>
    </row>
    <row r="233" spans="1:9" x14ac:dyDescent="0.25">
      <c r="A233" t="s">
        <v>8</v>
      </c>
      <c r="B233" s="1">
        <v>3</v>
      </c>
      <c r="C233">
        <v>50</v>
      </c>
      <c r="D233">
        <v>129322</v>
      </c>
      <c r="E233">
        <v>33658</v>
      </c>
      <c r="F233">
        <v>0.74022123900000003</v>
      </c>
      <c r="G233">
        <v>0.77876106199999995</v>
      </c>
      <c r="H233">
        <v>7.2782783000000004E-2</v>
      </c>
      <c r="I233">
        <v>7.3557862000000002E-2</v>
      </c>
    </row>
    <row r="234" spans="1:9" x14ac:dyDescent="0.25">
      <c r="A234" t="s">
        <v>71</v>
      </c>
      <c r="B234" s="1">
        <v>4</v>
      </c>
      <c r="C234">
        <v>48</v>
      </c>
      <c r="D234">
        <v>129306</v>
      </c>
      <c r="E234">
        <v>34017</v>
      </c>
      <c r="F234">
        <v>0.74816371699999995</v>
      </c>
      <c r="G234">
        <v>0.78761061899999996</v>
      </c>
      <c r="H234">
        <v>7.3469565000000001E-2</v>
      </c>
      <c r="I234">
        <v>7.4426251999999998E-2</v>
      </c>
    </row>
    <row r="235" spans="1:9" x14ac:dyDescent="0.25">
      <c r="A235" t="s">
        <v>75</v>
      </c>
      <c r="B235" s="1">
        <v>5</v>
      </c>
      <c r="C235">
        <v>45</v>
      </c>
      <c r="D235">
        <v>128831</v>
      </c>
      <c r="E235">
        <v>33556</v>
      </c>
      <c r="F235">
        <v>0.73796460200000003</v>
      </c>
      <c r="G235">
        <v>0.80088495599999998</v>
      </c>
      <c r="H235">
        <v>7.5586354999999994E-2</v>
      </c>
      <c r="I235">
        <v>8.5409572000000003E-2</v>
      </c>
    </row>
    <row r="236" spans="1:9" x14ac:dyDescent="0.25">
      <c r="A236" t="s">
        <v>72</v>
      </c>
      <c r="B236" s="1">
        <v>6</v>
      </c>
      <c r="C236">
        <v>62</v>
      </c>
      <c r="D236">
        <v>128662</v>
      </c>
      <c r="E236">
        <v>32811</v>
      </c>
      <c r="F236">
        <v>0.72148230099999999</v>
      </c>
      <c r="G236">
        <v>0.72566371699999999</v>
      </c>
      <c r="H236">
        <v>7.0181328000000001E-2</v>
      </c>
      <c r="I236">
        <v>6.6772286E-2</v>
      </c>
    </row>
    <row r="237" spans="1:9" x14ac:dyDescent="0.25">
      <c r="A237" t="s">
        <v>74</v>
      </c>
      <c r="B237" s="1">
        <v>7</v>
      </c>
      <c r="C237">
        <v>43</v>
      </c>
      <c r="D237">
        <v>128404</v>
      </c>
      <c r="E237">
        <v>33140</v>
      </c>
      <c r="F237">
        <v>0.72876106200000002</v>
      </c>
      <c r="G237">
        <v>0.80973451299999999</v>
      </c>
      <c r="H237">
        <v>7.3995284999999994E-2</v>
      </c>
      <c r="I237">
        <v>8.1262780000000007E-2</v>
      </c>
    </row>
    <row r="238" spans="1:9" x14ac:dyDescent="0.25">
      <c r="A238" t="s">
        <v>73</v>
      </c>
      <c r="B238" s="1">
        <v>8</v>
      </c>
      <c r="C238">
        <v>52</v>
      </c>
      <c r="D238">
        <v>128370</v>
      </c>
      <c r="E238">
        <v>32789</v>
      </c>
      <c r="F238">
        <v>0.720995575</v>
      </c>
      <c r="G238">
        <v>0.76991150399999997</v>
      </c>
      <c r="H238">
        <v>7.2270270999999997E-2</v>
      </c>
      <c r="I238">
        <v>7.5995523999999995E-2</v>
      </c>
    </row>
    <row r="239" spans="1:9" x14ac:dyDescent="0.25">
      <c r="A239" t="s">
        <v>76</v>
      </c>
      <c r="B239" s="1">
        <v>9</v>
      </c>
      <c r="C239">
        <v>44</v>
      </c>
      <c r="D239">
        <v>128307</v>
      </c>
      <c r="E239">
        <v>33118</v>
      </c>
      <c r="F239">
        <v>0.72827433600000002</v>
      </c>
      <c r="G239">
        <v>0.80530973500000003</v>
      </c>
      <c r="H239">
        <v>7.4674701999999996E-2</v>
      </c>
      <c r="I239">
        <v>8.4279283999999996E-2</v>
      </c>
    </row>
    <row r="240" spans="1:9" x14ac:dyDescent="0.25">
      <c r="A240" t="s">
        <v>78</v>
      </c>
      <c r="B240" s="1">
        <v>10</v>
      </c>
      <c r="C240">
        <v>42</v>
      </c>
      <c r="D240">
        <v>127869</v>
      </c>
      <c r="E240">
        <v>32187</v>
      </c>
      <c r="F240">
        <v>0.70767699100000003</v>
      </c>
      <c r="G240">
        <v>0.81415929200000003</v>
      </c>
      <c r="H240">
        <v>7.0952589999999996E-2</v>
      </c>
      <c r="I240">
        <v>7.3687379999999997E-2</v>
      </c>
    </row>
    <row r="241" spans="1:9" x14ac:dyDescent="0.25">
      <c r="A241" t="s">
        <v>77</v>
      </c>
      <c r="B241" s="1">
        <v>11</v>
      </c>
      <c r="C241">
        <v>38</v>
      </c>
      <c r="D241">
        <v>127184</v>
      </c>
      <c r="E241">
        <v>35594</v>
      </c>
      <c r="F241">
        <v>0.78305309700000003</v>
      </c>
      <c r="G241">
        <v>0.83185840700000002</v>
      </c>
      <c r="H241">
        <v>7.3636385999999998E-2</v>
      </c>
      <c r="I241">
        <v>6.6318780999999993E-2</v>
      </c>
    </row>
    <row r="242" spans="1:9" x14ac:dyDescent="0.25">
      <c r="A242" t="s">
        <v>80</v>
      </c>
      <c r="B242" s="1">
        <v>12</v>
      </c>
      <c r="C242">
        <v>38</v>
      </c>
      <c r="D242">
        <v>126691</v>
      </c>
      <c r="E242">
        <v>33572</v>
      </c>
      <c r="F242">
        <v>0.73831858399999994</v>
      </c>
      <c r="G242">
        <v>0.83185840700000002</v>
      </c>
      <c r="H242">
        <v>7.6232358E-2</v>
      </c>
      <c r="I242">
        <v>8.7387166000000002E-2</v>
      </c>
    </row>
    <row r="243" spans="1:9" x14ac:dyDescent="0.25">
      <c r="A243" t="s">
        <v>82</v>
      </c>
      <c r="B243" s="1">
        <v>13</v>
      </c>
      <c r="C243">
        <v>38</v>
      </c>
      <c r="D243">
        <v>126382</v>
      </c>
      <c r="E243">
        <v>36647</v>
      </c>
      <c r="F243">
        <v>0.80634955799999997</v>
      </c>
      <c r="G243">
        <v>0.83185840700000002</v>
      </c>
      <c r="H243">
        <v>7.9543823999999999E-2</v>
      </c>
      <c r="I243">
        <v>8.4117093000000004E-2</v>
      </c>
    </row>
    <row r="244" spans="1:9" x14ac:dyDescent="0.25">
      <c r="A244" t="s">
        <v>79</v>
      </c>
      <c r="B244" s="1">
        <v>14</v>
      </c>
      <c r="C244">
        <v>45</v>
      </c>
      <c r="D244">
        <v>126158</v>
      </c>
      <c r="E244">
        <v>32929</v>
      </c>
      <c r="F244">
        <v>0.72409292000000003</v>
      </c>
      <c r="G244">
        <v>0.80088495599999998</v>
      </c>
      <c r="H244">
        <v>7.2447191999999994E-2</v>
      </c>
      <c r="I244">
        <v>7.5699839000000005E-2</v>
      </c>
    </row>
    <row r="245" spans="1:9" x14ac:dyDescent="0.25">
      <c r="A245" t="s">
        <v>83</v>
      </c>
      <c r="B245" s="1">
        <v>15</v>
      </c>
      <c r="C245">
        <v>48</v>
      </c>
      <c r="D245">
        <v>126131</v>
      </c>
      <c r="E245">
        <v>31712</v>
      </c>
      <c r="F245">
        <v>0.69716814199999999</v>
      </c>
      <c r="G245">
        <v>0.78761061899999996</v>
      </c>
      <c r="H245">
        <v>7.1744121999999994E-2</v>
      </c>
      <c r="I245">
        <v>7.8889938000000007E-2</v>
      </c>
    </row>
    <row r="246" spans="1:9" x14ac:dyDescent="0.25">
      <c r="A246" t="s">
        <v>81</v>
      </c>
      <c r="B246" s="1">
        <v>16</v>
      </c>
      <c r="C246">
        <v>44</v>
      </c>
      <c r="D246">
        <v>125479</v>
      </c>
      <c r="E246">
        <v>33026</v>
      </c>
      <c r="F246">
        <v>0.72623893799999995</v>
      </c>
      <c r="G246">
        <v>0.80530973500000003</v>
      </c>
      <c r="H246">
        <v>7.4312296E-2</v>
      </c>
      <c r="I246">
        <v>8.2095876999999998E-2</v>
      </c>
    </row>
    <row r="247" spans="1:9" x14ac:dyDescent="0.25">
      <c r="A247" t="s">
        <v>84</v>
      </c>
      <c r="B247" s="1">
        <v>17</v>
      </c>
      <c r="C247">
        <v>47</v>
      </c>
      <c r="D247">
        <v>125403</v>
      </c>
      <c r="E247">
        <v>34581</v>
      </c>
      <c r="F247">
        <v>0.760641593</v>
      </c>
      <c r="G247">
        <v>0.792035398</v>
      </c>
      <c r="H247">
        <v>7.6877778999999993E-2</v>
      </c>
      <c r="I247">
        <v>8.4401309999999993E-2</v>
      </c>
    </row>
    <row r="248" spans="1:9" x14ac:dyDescent="0.25">
      <c r="A248" t="s">
        <v>91</v>
      </c>
      <c r="B248" s="1">
        <v>18</v>
      </c>
      <c r="C248">
        <v>56</v>
      </c>
      <c r="D248">
        <v>124542</v>
      </c>
      <c r="E248">
        <v>29026</v>
      </c>
      <c r="F248">
        <v>0.63774336300000001</v>
      </c>
      <c r="G248">
        <v>0.75221238899999998</v>
      </c>
      <c r="H248">
        <v>6.7455697999999994E-2</v>
      </c>
      <c r="I248">
        <v>7.6320622000000005E-2</v>
      </c>
    </row>
    <row r="249" spans="1:9" x14ac:dyDescent="0.25">
      <c r="A249" t="s">
        <v>87</v>
      </c>
      <c r="B249" s="1">
        <v>19</v>
      </c>
      <c r="C249">
        <v>41</v>
      </c>
      <c r="D249">
        <v>124426</v>
      </c>
      <c r="E249">
        <v>33949</v>
      </c>
      <c r="F249">
        <v>0.74665929200000003</v>
      </c>
      <c r="G249">
        <v>0.81858407099999997</v>
      </c>
      <c r="H249">
        <v>7.7053915000000001E-2</v>
      </c>
      <c r="I249">
        <v>8.8571391999999999E-2</v>
      </c>
    </row>
    <row r="250" spans="1:9" x14ac:dyDescent="0.25">
      <c r="A250" t="s">
        <v>89</v>
      </c>
      <c r="B250" s="1">
        <v>20</v>
      </c>
      <c r="C250">
        <v>188</v>
      </c>
      <c r="D250">
        <v>124419</v>
      </c>
      <c r="E250">
        <v>30298</v>
      </c>
      <c r="F250">
        <v>0.66590707999999998</v>
      </c>
      <c r="G250">
        <v>0.16814159300000001</v>
      </c>
      <c r="H250">
        <v>7.0344111000000001E-2</v>
      </c>
      <c r="I250">
        <v>8.0334111E-2</v>
      </c>
    </row>
    <row r="251" spans="1:9" x14ac:dyDescent="0.25">
      <c r="A251" t="s">
        <v>86</v>
      </c>
      <c r="B251" s="1">
        <v>21</v>
      </c>
      <c r="C251">
        <v>19</v>
      </c>
      <c r="D251">
        <v>124379</v>
      </c>
      <c r="E251">
        <v>37201</v>
      </c>
      <c r="F251">
        <v>0.81860619499999998</v>
      </c>
      <c r="G251">
        <v>0.915929204</v>
      </c>
      <c r="H251">
        <v>8.1097326999999997E-2</v>
      </c>
      <c r="I251">
        <v>8.7039546999999995E-2</v>
      </c>
    </row>
    <row r="252" spans="1:9" x14ac:dyDescent="0.25">
      <c r="A252" t="s">
        <v>85</v>
      </c>
      <c r="B252" s="1">
        <v>22</v>
      </c>
      <c r="C252">
        <v>173</v>
      </c>
      <c r="D252">
        <v>124332</v>
      </c>
      <c r="E252">
        <v>31194</v>
      </c>
      <c r="F252">
        <v>0.68575221200000003</v>
      </c>
      <c r="G252">
        <v>0.23451327399999999</v>
      </c>
      <c r="H252">
        <v>7.1020257000000003E-2</v>
      </c>
      <c r="I252">
        <v>7.8961719999999999E-2</v>
      </c>
    </row>
    <row r="253" spans="1:9" x14ac:dyDescent="0.25">
      <c r="A253" t="s">
        <v>92</v>
      </c>
      <c r="B253" s="1">
        <v>23</v>
      </c>
      <c r="C253">
        <v>47</v>
      </c>
      <c r="D253">
        <v>124309</v>
      </c>
      <c r="E253">
        <v>34957</v>
      </c>
      <c r="F253">
        <v>0.76896017699999997</v>
      </c>
      <c r="G253">
        <v>0.792035398</v>
      </c>
      <c r="H253">
        <v>7.7549593E-2</v>
      </c>
      <c r="I253">
        <v>8.5226370999999995E-2</v>
      </c>
    </row>
    <row r="254" spans="1:9" x14ac:dyDescent="0.25">
      <c r="A254" t="s">
        <v>88</v>
      </c>
      <c r="B254" s="1">
        <v>24</v>
      </c>
      <c r="C254">
        <v>47</v>
      </c>
      <c r="D254">
        <v>123845</v>
      </c>
      <c r="E254">
        <v>31193</v>
      </c>
      <c r="F254">
        <v>0.68568584099999996</v>
      </c>
      <c r="G254">
        <v>0.792035398</v>
      </c>
      <c r="H254">
        <v>6.8196132000000007E-2</v>
      </c>
      <c r="I254">
        <v>6.6881642000000005E-2</v>
      </c>
    </row>
    <row r="255" spans="1:9" x14ac:dyDescent="0.25">
      <c r="A255" t="s">
        <v>95</v>
      </c>
      <c r="B255" s="1">
        <v>25</v>
      </c>
      <c r="C255">
        <v>26</v>
      </c>
      <c r="D255">
        <v>123803</v>
      </c>
      <c r="E255">
        <v>36353</v>
      </c>
      <c r="F255">
        <v>0.79984513300000004</v>
      </c>
      <c r="G255">
        <v>0.88495575199999998</v>
      </c>
      <c r="H255">
        <v>7.9381867999999994E-2</v>
      </c>
      <c r="I255">
        <v>8.5389583000000005E-2</v>
      </c>
    </row>
    <row r="256" spans="1:9" x14ac:dyDescent="0.25">
      <c r="A256" t="s">
        <v>94</v>
      </c>
      <c r="B256" s="1">
        <v>26</v>
      </c>
      <c r="C256">
        <v>46</v>
      </c>
      <c r="D256">
        <v>123750</v>
      </c>
      <c r="E256">
        <v>30918</v>
      </c>
      <c r="F256">
        <v>0.67960176999999999</v>
      </c>
      <c r="G256">
        <v>0.79646017700000005</v>
      </c>
      <c r="H256">
        <v>7.1856745999999999E-2</v>
      </c>
      <c r="I256">
        <v>8.3263663000000002E-2</v>
      </c>
    </row>
    <row r="257" spans="1:9" x14ac:dyDescent="0.25">
      <c r="A257" t="s">
        <v>90</v>
      </c>
      <c r="B257" s="1">
        <v>27</v>
      </c>
      <c r="C257">
        <v>181</v>
      </c>
      <c r="D257">
        <v>123475</v>
      </c>
      <c r="E257">
        <v>29520</v>
      </c>
      <c r="F257">
        <v>0.64871681400000003</v>
      </c>
      <c r="G257">
        <v>0.19911504399999999</v>
      </c>
      <c r="H257">
        <v>6.7972415999999994E-2</v>
      </c>
      <c r="I257">
        <v>7.5408104000000004E-2</v>
      </c>
    </row>
    <row r="258" spans="1:9" x14ac:dyDescent="0.25">
      <c r="A258" t="s">
        <v>93</v>
      </c>
      <c r="B258" s="1">
        <v>28</v>
      </c>
      <c r="C258">
        <v>43</v>
      </c>
      <c r="D258">
        <v>123332</v>
      </c>
      <c r="E258">
        <v>30762</v>
      </c>
      <c r="F258">
        <v>0.67615044199999996</v>
      </c>
      <c r="G258">
        <v>0.80973451299999999</v>
      </c>
      <c r="H258">
        <v>7.1247240000000003E-2</v>
      </c>
      <c r="I258">
        <v>8.1592208999999999E-2</v>
      </c>
    </row>
    <row r="259" spans="1:9" x14ac:dyDescent="0.25">
      <c r="A259" t="s">
        <v>101</v>
      </c>
      <c r="B259" s="1">
        <v>29</v>
      </c>
      <c r="C259">
        <v>70</v>
      </c>
      <c r="D259">
        <v>123097</v>
      </c>
      <c r="E259">
        <v>27494</v>
      </c>
      <c r="F259">
        <v>0.60384955799999995</v>
      </c>
      <c r="G259">
        <v>0.69026548700000001</v>
      </c>
      <c r="H259">
        <v>6.4877380999999998E-2</v>
      </c>
      <c r="I259">
        <v>7.3474012000000005E-2</v>
      </c>
    </row>
    <row r="260" spans="1:9" x14ac:dyDescent="0.25">
      <c r="A260" t="s">
        <v>102</v>
      </c>
      <c r="B260" s="1">
        <v>30</v>
      </c>
      <c r="C260">
        <v>22</v>
      </c>
      <c r="D260">
        <v>122937</v>
      </c>
      <c r="E260">
        <v>37134</v>
      </c>
      <c r="F260">
        <v>0.81712389399999996</v>
      </c>
      <c r="G260">
        <v>0.90265486699999997</v>
      </c>
      <c r="H260">
        <v>8.1413395999999999E-2</v>
      </c>
      <c r="I260">
        <v>8.825115E-2</v>
      </c>
    </row>
    <row r="261" spans="1:9" x14ac:dyDescent="0.25">
      <c r="A261" t="s">
        <v>96</v>
      </c>
      <c r="B261" s="1">
        <v>31</v>
      </c>
      <c r="C261">
        <v>188</v>
      </c>
      <c r="D261">
        <v>122919</v>
      </c>
      <c r="E261">
        <v>28288</v>
      </c>
      <c r="F261">
        <v>0.62143805299999999</v>
      </c>
      <c r="G261">
        <v>0.16814159300000001</v>
      </c>
      <c r="H261">
        <v>6.618156E-2</v>
      </c>
      <c r="I261">
        <v>7.3623489E-2</v>
      </c>
    </row>
    <row r="262" spans="1:9" x14ac:dyDescent="0.25">
      <c r="A262" t="s">
        <v>14</v>
      </c>
      <c r="B262" s="1">
        <v>32</v>
      </c>
      <c r="C262">
        <v>43</v>
      </c>
      <c r="D262">
        <v>122913</v>
      </c>
      <c r="E262">
        <v>33861</v>
      </c>
      <c r="F262">
        <v>0.74471238900000003</v>
      </c>
      <c r="G262">
        <v>0.80973451299999999</v>
      </c>
      <c r="H262">
        <v>7.5711273999999995E-2</v>
      </c>
      <c r="I262">
        <v>8.2446220000000001E-2</v>
      </c>
    </row>
    <row r="263" spans="1:9" x14ac:dyDescent="0.25">
      <c r="A263" t="s">
        <v>100</v>
      </c>
      <c r="B263" s="1">
        <v>33</v>
      </c>
      <c r="C263">
        <v>107</v>
      </c>
      <c r="D263">
        <v>122563</v>
      </c>
      <c r="E263">
        <v>25912</v>
      </c>
      <c r="F263">
        <v>0.56933628300000005</v>
      </c>
      <c r="G263">
        <v>0.52654867299999997</v>
      </c>
      <c r="H263">
        <v>5.5650716000000003E-2</v>
      </c>
      <c r="I263">
        <v>3.3158880000000002E-2</v>
      </c>
    </row>
    <row r="264" spans="1:9" x14ac:dyDescent="0.25">
      <c r="A264" t="s">
        <v>104</v>
      </c>
      <c r="B264" s="1">
        <v>34</v>
      </c>
      <c r="C264">
        <v>34</v>
      </c>
      <c r="D264">
        <v>122398</v>
      </c>
      <c r="E264">
        <v>35387</v>
      </c>
      <c r="F264">
        <v>0.77847345099999998</v>
      </c>
      <c r="G264">
        <v>0.84955752200000001</v>
      </c>
      <c r="H264">
        <v>7.9629668000000001E-2</v>
      </c>
      <c r="I264">
        <v>9.1096394999999997E-2</v>
      </c>
    </row>
    <row r="265" spans="1:9" x14ac:dyDescent="0.25">
      <c r="A265" t="s">
        <v>97</v>
      </c>
      <c r="B265" s="1">
        <v>35</v>
      </c>
      <c r="C265">
        <v>52</v>
      </c>
      <c r="D265">
        <v>122310</v>
      </c>
      <c r="E265">
        <v>31084</v>
      </c>
      <c r="F265">
        <v>0.68327433599999998</v>
      </c>
      <c r="G265">
        <v>0.76991150399999997</v>
      </c>
      <c r="H265">
        <v>7.1516491000000001E-2</v>
      </c>
      <c r="I265">
        <v>8.1188307000000001E-2</v>
      </c>
    </row>
    <row r="266" spans="1:9" x14ac:dyDescent="0.25">
      <c r="A266" t="s">
        <v>103</v>
      </c>
      <c r="B266" s="1">
        <v>36</v>
      </c>
      <c r="C266">
        <v>22</v>
      </c>
      <c r="D266">
        <v>122236</v>
      </c>
      <c r="E266">
        <v>34760</v>
      </c>
      <c r="F266">
        <v>0.76460176999999996</v>
      </c>
      <c r="G266">
        <v>0.90265486699999997</v>
      </c>
      <c r="H266">
        <v>7.8336956999999999E-2</v>
      </c>
      <c r="I266">
        <v>8.8752626000000001E-2</v>
      </c>
    </row>
    <row r="267" spans="1:9" x14ac:dyDescent="0.25">
      <c r="A267" t="s">
        <v>99</v>
      </c>
      <c r="B267" s="1">
        <v>37</v>
      </c>
      <c r="C267">
        <v>0</v>
      </c>
      <c r="D267">
        <v>122142</v>
      </c>
      <c r="E267">
        <v>39651</v>
      </c>
      <c r="F267">
        <v>0.87280973500000003</v>
      </c>
      <c r="G267">
        <v>1</v>
      </c>
      <c r="H267">
        <v>8.3973244000000002E-2</v>
      </c>
      <c r="I267">
        <v>8.4910061999999994E-2</v>
      </c>
    </row>
    <row r="268" spans="1:9" x14ac:dyDescent="0.25">
      <c r="A268" t="s">
        <v>98</v>
      </c>
      <c r="B268" s="1">
        <v>38</v>
      </c>
      <c r="C268">
        <v>55</v>
      </c>
      <c r="D268">
        <v>121912</v>
      </c>
      <c r="E268">
        <v>28373</v>
      </c>
      <c r="F268">
        <v>0.62329646000000005</v>
      </c>
      <c r="G268">
        <v>0.75663716800000003</v>
      </c>
      <c r="H268">
        <v>6.4998280000000005E-2</v>
      </c>
      <c r="I268">
        <v>6.8957826999999999E-2</v>
      </c>
    </row>
    <row r="269" spans="1:9" x14ac:dyDescent="0.25">
      <c r="A269" t="s">
        <v>112</v>
      </c>
      <c r="B269" s="1">
        <v>39</v>
      </c>
      <c r="C269">
        <v>0</v>
      </c>
      <c r="D269">
        <v>121853</v>
      </c>
      <c r="E269">
        <v>38677</v>
      </c>
      <c r="F269">
        <v>0.85126106199999996</v>
      </c>
      <c r="G269">
        <v>1</v>
      </c>
      <c r="H269">
        <v>8.3244760000000001E-2</v>
      </c>
      <c r="I269">
        <v>8.7401740000000006E-2</v>
      </c>
    </row>
    <row r="270" spans="1:9" x14ac:dyDescent="0.25">
      <c r="A270" t="s">
        <v>106</v>
      </c>
      <c r="B270" s="1">
        <v>40</v>
      </c>
      <c r="C270">
        <v>63</v>
      </c>
      <c r="D270">
        <v>121747</v>
      </c>
      <c r="E270">
        <v>28279</v>
      </c>
      <c r="F270">
        <v>0.62121681399999995</v>
      </c>
      <c r="G270">
        <v>0.72123893800000005</v>
      </c>
      <c r="H270">
        <v>6.5730644000000005E-2</v>
      </c>
      <c r="I270">
        <v>7.2266708999999998E-2</v>
      </c>
    </row>
    <row r="271" spans="1:9" x14ac:dyDescent="0.25">
      <c r="A271" t="s">
        <v>110</v>
      </c>
      <c r="B271" s="1">
        <v>41</v>
      </c>
      <c r="C271">
        <v>70</v>
      </c>
      <c r="D271">
        <v>121343</v>
      </c>
      <c r="E271">
        <v>25986</v>
      </c>
      <c r="F271">
        <v>0.57048672600000006</v>
      </c>
      <c r="G271">
        <v>0.69026548700000001</v>
      </c>
      <c r="H271">
        <v>6.1688553E-2</v>
      </c>
      <c r="I271">
        <v>6.7960432000000001E-2</v>
      </c>
    </row>
    <row r="272" spans="1:9" x14ac:dyDescent="0.25">
      <c r="A272" t="s">
        <v>120</v>
      </c>
      <c r="B272" s="1">
        <v>42</v>
      </c>
      <c r="C272">
        <v>16</v>
      </c>
      <c r="D272">
        <v>121319</v>
      </c>
      <c r="E272">
        <v>39671</v>
      </c>
      <c r="F272">
        <v>0.87325221200000003</v>
      </c>
      <c r="G272">
        <v>0.92920354000000005</v>
      </c>
      <c r="H272">
        <v>8.3424388000000002E-2</v>
      </c>
      <c r="I272">
        <v>8.2751661000000004E-2</v>
      </c>
    </row>
    <row r="273" spans="1:9" x14ac:dyDescent="0.25">
      <c r="A273" t="s">
        <v>105</v>
      </c>
      <c r="B273" s="1">
        <v>43</v>
      </c>
      <c r="C273">
        <v>15</v>
      </c>
      <c r="D273">
        <v>121154</v>
      </c>
      <c r="E273">
        <v>35843</v>
      </c>
      <c r="F273">
        <v>0.78856194700000004</v>
      </c>
      <c r="G273">
        <v>0.93362831899999998</v>
      </c>
      <c r="H273">
        <v>7.9282195999999999E-2</v>
      </c>
      <c r="I273">
        <v>8.6943830999999999E-2</v>
      </c>
    </row>
    <row r="274" spans="1:9" x14ac:dyDescent="0.25">
      <c r="A274" t="s">
        <v>108</v>
      </c>
      <c r="B274" s="1">
        <v>44</v>
      </c>
      <c r="C274">
        <v>38</v>
      </c>
      <c r="D274">
        <v>121139</v>
      </c>
      <c r="E274">
        <v>35766</v>
      </c>
      <c r="F274">
        <v>0.78685840699999998</v>
      </c>
      <c r="G274">
        <v>0.83185840700000002</v>
      </c>
      <c r="H274">
        <v>7.8625026000000001E-2</v>
      </c>
      <c r="I274">
        <v>8.3927601000000004E-2</v>
      </c>
    </row>
    <row r="275" spans="1:9" x14ac:dyDescent="0.25">
      <c r="A275" t="s">
        <v>111</v>
      </c>
      <c r="B275" s="1">
        <v>45</v>
      </c>
      <c r="C275">
        <v>35</v>
      </c>
      <c r="D275">
        <v>121027</v>
      </c>
      <c r="E275">
        <v>37511</v>
      </c>
      <c r="F275">
        <v>0.82546460200000005</v>
      </c>
      <c r="G275">
        <v>0.84513274299999996</v>
      </c>
      <c r="H275">
        <v>8.0317556999999998E-2</v>
      </c>
      <c r="I275">
        <v>8.1617127999999997E-2</v>
      </c>
    </row>
    <row r="276" spans="1:9" x14ac:dyDescent="0.25">
      <c r="A276" t="s">
        <v>107</v>
      </c>
      <c r="B276" s="1">
        <v>46</v>
      </c>
      <c r="C276">
        <v>45</v>
      </c>
      <c r="D276">
        <v>120809</v>
      </c>
      <c r="E276">
        <v>30979</v>
      </c>
      <c r="F276">
        <v>0.68095132700000005</v>
      </c>
      <c r="G276">
        <v>0.80088495599999998</v>
      </c>
      <c r="H276">
        <v>7.1233581000000004E-2</v>
      </c>
      <c r="I276">
        <v>8.0131275000000002E-2</v>
      </c>
    </row>
    <row r="277" spans="1:9" x14ac:dyDescent="0.25">
      <c r="A277" t="s">
        <v>114</v>
      </c>
      <c r="B277" s="1">
        <v>47</v>
      </c>
      <c r="C277">
        <v>68</v>
      </c>
      <c r="D277">
        <v>120802</v>
      </c>
      <c r="E277">
        <v>26476</v>
      </c>
      <c r="F277">
        <v>0.58132743399999998</v>
      </c>
      <c r="G277">
        <v>0.69911504400000002</v>
      </c>
      <c r="H277">
        <v>6.2730850000000005E-2</v>
      </c>
      <c r="I277">
        <v>6.9710214000000006E-2</v>
      </c>
    </row>
    <row r="278" spans="1:9" x14ac:dyDescent="0.25">
      <c r="A278" t="s">
        <v>118</v>
      </c>
      <c r="B278" s="1">
        <v>48</v>
      </c>
      <c r="C278">
        <v>51</v>
      </c>
      <c r="D278">
        <v>120708</v>
      </c>
      <c r="E278">
        <v>31194</v>
      </c>
      <c r="F278">
        <v>0.68570796499999997</v>
      </c>
      <c r="G278">
        <v>0.77433628300000001</v>
      </c>
      <c r="H278">
        <v>7.1843087E-2</v>
      </c>
      <c r="I278">
        <v>8.1239270000000002E-2</v>
      </c>
    </row>
    <row r="279" spans="1:9" x14ac:dyDescent="0.25">
      <c r="A279" t="s">
        <v>109</v>
      </c>
      <c r="B279" s="1">
        <v>49</v>
      </c>
      <c r="C279">
        <v>41</v>
      </c>
      <c r="D279">
        <v>120659</v>
      </c>
      <c r="E279">
        <v>34333</v>
      </c>
      <c r="F279">
        <v>0.75515486700000001</v>
      </c>
      <c r="G279">
        <v>0.81858407099999997</v>
      </c>
      <c r="H279">
        <v>7.8182554000000001E-2</v>
      </c>
      <c r="I279">
        <v>9.0563002000000004E-2</v>
      </c>
    </row>
    <row r="280" spans="1:9" x14ac:dyDescent="0.25">
      <c r="A280" t="s">
        <v>121</v>
      </c>
      <c r="B280" s="1">
        <v>50</v>
      </c>
      <c r="C280">
        <v>0</v>
      </c>
      <c r="D280">
        <v>120609</v>
      </c>
      <c r="E280">
        <v>40838</v>
      </c>
      <c r="F280">
        <v>0.89907079599999995</v>
      </c>
      <c r="G280">
        <v>1</v>
      </c>
      <c r="H280">
        <v>8.5305540999999999E-2</v>
      </c>
      <c r="I280">
        <v>8.4008347999999997E-2</v>
      </c>
    </row>
    <row r="281" spans="1:9" x14ac:dyDescent="0.25">
      <c r="A281" t="s">
        <v>116</v>
      </c>
      <c r="B281" s="1">
        <v>51</v>
      </c>
      <c r="C281">
        <v>38</v>
      </c>
      <c r="D281">
        <v>120478</v>
      </c>
      <c r="E281">
        <v>37340</v>
      </c>
      <c r="F281">
        <v>0.821681416</v>
      </c>
      <c r="G281">
        <v>0.83185840700000002</v>
      </c>
      <c r="H281">
        <v>8.0198140000000001E-2</v>
      </c>
      <c r="I281">
        <v>8.2080562999999995E-2</v>
      </c>
    </row>
    <row r="282" spans="1:9" x14ac:dyDescent="0.25">
      <c r="A282" t="s">
        <v>128</v>
      </c>
      <c r="B282" s="1">
        <v>52</v>
      </c>
      <c r="C282">
        <v>0</v>
      </c>
      <c r="D282">
        <v>120474</v>
      </c>
      <c r="E282">
        <v>40946</v>
      </c>
      <c r="F282">
        <v>0.90146017700000003</v>
      </c>
      <c r="G282">
        <v>1</v>
      </c>
      <c r="H282">
        <v>8.6257523000000003E-2</v>
      </c>
      <c r="I282">
        <v>8.7014988000000001E-2</v>
      </c>
    </row>
    <row r="283" spans="1:9" x14ac:dyDescent="0.25">
      <c r="A283" t="s">
        <v>113</v>
      </c>
      <c r="B283" s="1">
        <v>53</v>
      </c>
      <c r="C283">
        <v>121</v>
      </c>
      <c r="D283">
        <v>120434</v>
      </c>
      <c r="E283">
        <v>26150</v>
      </c>
      <c r="F283">
        <v>0.57429203500000003</v>
      </c>
      <c r="G283">
        <v>0.46460177000000003</v>
      </c>
      <c r="H283">
        <v>5.7225558000000003E-2</v>
      </c>
      <c r="I283">
        <v>3.7777294000000003E-2</v>
      </c>
    </row>
    <row r="284" spans="1:9" x14ac:dyDescent="0.25">
      <c r="A284" t="s">
        <v>115</v>
      </c>
      <c r="B284" s="1">
        <v>54</v>
      </c>
      <c r="C284">
        <v>23</v>
      </c>
      <c r="D284">
        <v>120418</v>
      </c>
      <c r="E284">
        <v>36530</v>
      </c>
      <c r="F284">
        <v>0.80376106199999997</v>
      </c>
      <c r="G284">
        <v>0.89823008800000004</v>
      </c>
      <c r="H284">
        <v>8.1407189000000005E-2</v>
      </c>
      <c r="I284">
        <v>9.1605365999999994E-2</v>
      </c>
    </row>
    <row r="285" spans="1:9" x14ac:dyDescent="0.25">
      <c r="A285" t="s">
        <v>124</v>
      </c>
      <c r="B285" s="1">
        <v>55</v>
      </c>
      <c r="C285">
        <v>4</v>
      </c>
      <c r="D285">
        <v>120211</v>
      </c>
      <c r="E285">
        <v>39408</v>
      </c>
      <c r="F285">
        <v>0.86743362800000001</v>
      </c>
      <c r="G285">
        <v>0.98230088500000001</v>
      </c>
      <c r="H285">
        <v>8.3697083000000005E-2</v>
      </c>
      <c r="I285">
        <v>8.5327845999999999E-2</v>
      </c>
    </row>
    <row r="286" spans="1:9" x14ac:dyDescent="0.25">
      <c r="A286" t="s">
        <v>119</v>
      </c>
      <c r="B286" s="1">
        <v>56</v>
      </c>
      <c r="C286">
        <v>71</v>
      </c>
      <c r="D286">
        <v>120182</v>
      </c>
      <c r="E286">
        <v>25586</v>
      </c>
      <c r="F286">
        <v>0.56163716799999996</v>
      </c>
      <c r="G286">
        <v>0.68584070799999997</v>
      </c>
      <c r="H286">
        <v>6.0989471000000003E-2</v>
      </c>
      <c r="I286">
        <v>6.7384131E-2</v>
      </c>
    </row>
    <row r="287" spans="1:9" x14ac:dyDescent="0.25">
      <c r="A287" t="s">
        <v>9</v>
      </c>
      <c r="B287" s="1">
        <v>57</v>
      </c>
      <c r="C287">
        <v>175</v>
      </c>
      <c r="D287">
        <v>120119</v>
      </c>
      <c r="E287">
        <v>34359</v>
      </c>
      <c r="F287">
        <v>0.75577433599999999</v>
      </c>
      <c r="G287">
        <v>0.22566371700000001</v>
      </c>
      <c r="H287">
        <v>7.7549455000000003E-2</v>
      </c>
      <c r="I287">
        <v>8.7468980000000002E-2</v>
      </c>
    </row>
    <row r="288" spans="1:9" x14ac:dyDescent="0.25">
      <c r="A288" t="s">
        <v>15</v>
      </c>
      <c r="B288" s="1">
        <v>58</v>
      </c>
      <c r="C288">
        <v>73</v>
      </c>
      <c r="D288">
        <v>120099</v>
      </c>
      <c r="E288">
        <v>25978</v>
      </c>
      <c r="F288">
        <v>0.57030973500000004</v>
      </c>
      <c r="G288">
        <v>0.67699114999999999</v>
      </c>
      <c r="H288">
        <v>6.1884415999999998E-2</v>
      </c>
      <c r="I288">
        <v>6.8658969E-2</v>
      </c>
    </row>
    <row r="289" spans="1:9" x14ac:dyDescent="0.25">
      <c r="A289" t="s">
        <v>117</v>
      </c>
      <c r="B289" s="1">
        <v>59</v>
      </c>
      <c r="C289">
        <v>38</v>
      </c>
      <c r="D289">
        <v>119808</v>
      </c>
      <c r="E289">
        <v>33285</v>
      </c>
      <c r="F289">
        <v>0.73196902699999999</v>
      </c>
      <c r="G289">
        <v>0.83185840700000002</v>
      </c>
      <c r="H289">
        <v>7.5777971999999999E-2</v>
      </c>
      <c r="I289">
        <v>8.6426303999999995E-2</v>
      </c>
    </row>
    <row r="290" spans="1:9" x14ac:dyDescent="0.25">
      <c r="A290" t="s">
        <v>127</v>
      </c>
      <c r="B290" s="1">
        <v>60</v>
      </c>
      <c r="C290">
        <v>0</v>
      </c>
      <c r="D290">
        <v>119593</v>
      </c>
      <c r="E290">
        <v>39395</v>
      </c>
      <c r="F290">
        <v>0.86714601800000002</v>
      </c>
      <c r="G290">
        <v>1</v>
      </c>
      <c r="H290">
        <v>8.2732392000000002E-2</v>
      </c>
      <c r="I290">
        <v>8.0626014999999995E-2</v>
      </c>
    </row>
    <row r="291" spans="1:9" x14ac:dyDescent="0.25">
      <c r="A291" t="s">
        <v>11</v>
      </c>
      <c r="B291" s="1">
        <v>61</v>
      </c>
      <c r="C291">
        <v>0</v>
      </c>
      <c r="D291">
        <v>119487</v>
      </c>
      <c r="E291">
        <v>36023</v>
      </c>
      <c r="F291">
        <v>0.79254424800000001</v>
      </c>
      <c r="G291">
        <v>1</v>
      </c>
      <c r="H291">
        <v>8.0054724999999993E-2</v>
      </c>
      <c r="I291">
        <v>8.8042033000000006E-2</v>
      </c>
    </row>
    <row r="292" spans="1:9" x14ac:dyDescent="0.25">
      <c r="A292" t="s">
        <v>126</v>
      </c>
      <c r="B292" s="1">
        <v>62</v>
      </c>
      <c r="C292">
        <v>32</v>
      </c>
      <c r="D292">
        <v>119449</v>
      </c>
      <c r="E292">
        <v>34488</v>
      </c>
      <c r="F292">
        <v>0.75858407100000003</v>
      </c>
      <c r="G292">
        <v>0.85840707999999999</v>
      </c>
      <c r="H292">
        <v>7.7852230999999994E-2</v>
      </c>
      <c r="I292">
        <v>8.7371773E-2</v>
      </c>
    </row>
    <row r="293" spans="1:9" x14ac:dyDescent="0.25">
      <c r="A293" t="s">
        <v>129</v>
      </c>
      <c r="B293" s="1">
        <v>63</v>
      </c>
      <c r="C293">
        <v>15</v>
      </c>
      <c r="D293">
        <v>119415</v>
      </c>
      <c r="E293">
        <v>34680</v>
      </c>
      <c r="F293">
        <v>0.76283185799999997</v>
      </c>
      <c r="G293">
        <v>0.93362831899999998</v>
      </c>
      <c r="H293">
        <v>7.8139636999999998E-2</v>
      </c>
      <c r="I293">
        <v>8.7537716000000002E-2</v>
      </c>
    </row>
    <row r="294" spans="1:9" x14ac:dyDescent="0.25">
      <c r="A294" t="s">
        <v>132</v>
      </c>
      <c r="B294" s="1">
        <v>64</v>
      </c>
      <c r="C294">
        <v>0</v>
      </c>
      <c r="D294">
        <v>119395</v>
      </c>
      <c r="E294">
        <v>37605</v>
      </c>
      <c r="F294">
        <v>0.82754424800000004</v>
      </c>
      <c r="G294">
        <v>1</v>
      </c>
      <c r="H294">
        <v>8.2407254999999999E-2</v>
      </c>
      <c r="I294">
        <v>8.9144928999999998E-2</v>
      </c>
    </row>
    <row r="295" spans="1:9" x14ac:dyDescent="0.25">
      <c r="A295" t="s">
        <v>131</v>
      </c>
      <c r="B295" s="1">
        <v>65</v>
      </c>
      <c r="C295">
        <v>0</v>
      </c>
      <c r="D295">
        <v>119392</v>
      </c>
      <c r="E295">
        <v>35987</v>
      </c>
      <c r="F295">
        <v>0.79174778800000001</v>
      </c>
      <c r="G295">
        <v>1</v>
      </c>
      <c r="H295">
        <v>7.9863030000000002E-2</v>
      </c>
      <c r="I295">
        <v>8.7491557999999997E-2</v>
      </c>
    </row>
    <row r="296" spans="1:9" x14ac:dyDescent="0.25">
      <c r="A296" t="s">
        <v>134</v>
      </c>
      <c r="B296" s="1">
        <v>66</v>
      </c>
      <c r="C296">
        <v>35</v>
      </c>
      <c r="D296">
        <v>119177</v>
      </c>
      <c r="E296">
        <v>35481</v>
      </c>
      <c r="F296">
        <v>0.78055309699999997</v>
      </c>
      <c r="G296">
        <v>0.84513274299999996</v>
      </c>
      <c r="H296">
        <v>7.5430816999999997E-2</v>
      </c>
      <c r="I296">
        <v>7.2194272000000004E-2</v>
      </c>
    </row>
    <row r="297" spans="1:9" x14ac:dyDescent="0.25">
      <c r="A297" t="s">
        <v>125</v>
      </c>
      <c r="B297" s="1">
        <v>67</v>
      </c>
      <c r="C297">
        <v>0</v>
      </c>
      <c r="D297">
        <v>119106</v>
      </c>
      <c r="E297">
        <v>36140</v>
      </c>
      <c r="F297">
        <v>0.79513274300000003</v>
      </c>
      <c r="G297">
        <v>1</v>
      </c>
      <c r="H297">
        <v>8.0355837999999999E-2</v>
      </c>
      <c r="I297">
        <v>8.8597029999999993E-2</v>
      </c>
    </row>
    <row r="298" spans="1:9" x14ac:dyDescent="0.25">
      <c r="A298" t="s">
        <v>123</v>
      </c>
      <c r="B298" s="1">
        <v>68</v>
      </c>
      <c r="C298">
        <v>0</v>
      </c>
      <c r="D298">
        <v>118936</v>
      </c>
      <c r="E298">
        <v>35731</v>
      </c>
      <c r="F298">
        <v>0.786084071</v>
      </c>
      <c r="G298">
        <v>1</v>
      </c>
      <c r="H298">
        <v>7.9562946999999995E-2</v>
      </c>
      <c r="I298">
        <v>8.7770873999999999E-2</v>
      </c>
    </row>
    <row r="299" spans="1:9" x14ac:dyDescent="0.25">
      <c r="A299" t="s">
        <v>130</v>
      </c>
      <c r="B299" s="1">
        <v>69</v>
      </c>
      <c r="C299">
        <v>152</v>
      </c>
      <c r="D299">
        <v>118922</v>
      </c>
      <c r="E299">
        <v>35429</v>
      </c>
      <c r="F299">
        <v>0.77942477899999996</v>
      </c>
      <c r="G299">
        <v>0.32743362799999998</v>
      </c>
      <c r="H299">
        <v>7.9112640999999997E-2</v>
      </c>
      <c r="I299">
        <v>8.7255122000000004E-2</v>
      </c>
    </row>
    <row r="300" spans="1:9" x14ac:dyDescent="0.25">
      <c r="A300" t="s">
        <v>16</v>
      </c>
      <c r="B300" s="1">
        <v>70</v>
      </c>
      <c r="C300">
        <v>62</v>
      </c>
      <c r="D300">
        <v>118919</v>
      </c>
      <c r="E300">
        <v>26692</v>
      </c>
      <c r="F300">
        <v>0.58610619500000005</v>
      </c>
      <c r="G300">
        <v>0.72566371699999999</v>
      </c>
      <c r="H300">
        <v>6.2922353E-2</v>
      </c>
      <c r="I300">
        <v>6.9204125000000005E-2</v>
      </c>
    </row>
    <row r="301" spans="1:9" x14ac:dyDescent="0.25">
      <c r="A301" t="s">
        <v>140</v>
      </c>
      <c r="B301" s="1">
        <v>71</v>
      </c>
      <c r="C301">
        <v>66</v>
      </c>
      <c r="D301">
        <v>118844</v>
      </c>
      <c r="E301">
        <v>28965</v>
      </c>
      <c r="F301">
        <v>0.63639380499999998</v>
      </c>
      <c r="G301">
        <v>0.707964602</v>
      </c>
      <c r="H301">
        <v>6.7931770000000002E-2</v>
      </c>
      <c r="I301">
        <v>7.6701637000000003E-2</v>
      </c>
    </row>
    <row r="302" spans="1:9" x14ac:dyDescent="0.25">
      <c r="A302" t="s">
        <v>139</v>
      </c>
      <c r="B302" s="1">
        <v>72</v>
      </c>
      <c r="C302">
        <v>0</v>
      </c>
      <c r="D302">
        <v>118415</v>
      </c>
      <c r="E302">
        <v>37917</v>
      </c>
      <c r="F302">
        <v>0.83444690300000002</v>
      </c>
      <c r="G302">
        <v>1</v>
      </c>
      <c r="H302">
        <v>8.2965943E-2</v>
      </c>
      <c r="I302">
        <v>9.0582917999999998E-2</v>
      </c>
    </row>
    <row r="303" spans="1:9" x14ac:dyDescent="0.25">
      <c r="A303" t="s">
        <v>138</v>
      </c>
      <c r="B303" s="1">
        <v>73</v>
      </c>
      <c r="C303">
        <v>19</v>
      </c>
      <c r="D303">
        <v>118398</v>
      </c>
      <c r="E303">
        <v>36561</v>
      </c>
      <c r="F303">
        <v>0.80444690299999999</v>
      </c>
      <c r="G303">
        <v>0.915929204</v>
      </c>
      <c r="H303">
        <v>8.1183443999999994E-2</v>
      </c>
      <c r="I303">
        <v>9.0440514E-2</v>
      </c>
    </row>
    <row r="304" spans="1:9" x14ac:dyDescent="0.25">
      <c r="A304" t="s">
        <v>136</v>
      </c>
      <c r="B304" s="1">
        <v>74</v>
      </c>
      <c r="C304">
        <v>35</v>
      </c>
      <c r="D304">
        <v>118239</v>
      </c>
      <c r="E304">
        <v>36080</v>
      </c>
      <c r="F304">
        <v>0.79380530999999999</v>
      </c>
      <c r="G304">
        <v>0.84513274299999996</v>
      </c>
      <c r="H304">
        <v>8.0778024000000004E-2</v>
      </c>
      <c r="I304">
        <v>9.1590325E-2</v>
      </c>
    </row>
    <row r="305" spans="1:9" x14ac:dyDescent="0.25">
      <c r="A305" t="s">
        <v>143</v>
      </c>
      <c r="B305" s="1">
        <v>75</v>
      </c>
      <c r="C305">
        <v>64</v>
      </c>
      <c r="D305">
        <v>118229</v>
      </c>
      <c r="E305">
        <v>29066</v>
      </c>
      <c r="F305">
        <v>0.63862831900000006</v>
      </c>
      <c r="G305">
        <v>0.71681415900000001</v>
      </c>
      <c r="H305">
        <v>6.8160171000000006E-2</v>
      </c>
      <c r="I305">
        <v>7.7443318999999997E-2</v>
      </c>
    </row>
    <row r="306" spans="1:9" x14ac:dyDescent="0.25">
      <c r="A306" t="s">
        <v>145</v>
      </c>
      <c r="B306" s="1">
        <v>76</v>
      </c>
      <c r="C306">
        <v>0</v>
      </c>
      <c r="D306">
        <v>118160</v>
      </c>
      <c r="E306">
        <v>39592</v>
      </c>
      <c r="F306">
        <v>0.87150442500000003</v>
      </c>
      <c r="G306">
        <v>1</v>
      </c>
      <c r="H306">
        <v>8.4966360000000005E-2</v>
      </c>
      <c r="I306">
        <v>8.9248411E-2</v>
      </c>
    </row>
    <row r="307" spans="1:9" x14ac:dyDescent="0.25">
      <c r="A307" t="s">
        <v>133</v>
      </c>
      <c r="B307" s="1">
        <v>77</v>
      </c>
      <c r="C307">
        <v>67</v>
      </c>
      <c r="D307">
        <v>118152</v>
      </c>
      <c r="E307">
        <v>28849</v>
      </c>
      <c r="F307">
        <v>0.63382743399999997</v>
      </c>
      <c r="G307">
        <v>0.70353982299999995</v>
      </c>
      <c r="H307">
        <v>6.7656450000000007E-2</v>
      </c>
      <c r="I307">
        <v>7.6321633E-2</v>
      </c>
    </row>
    <row r="308" spans="1:9" x14ac:dyDescent="0.25">
      <c r="A308" t="s">
        <v>156</v>
      </c>
      <c r="B308" s="1">
        <v>78</v>
      </c>
      <c r="C308">
        <v>67</v>
      </c>
      <c r="D308">
        <v>118150</v>
      </c>
      <c r="E308">
        <v>29046</v>
      </c>
      <c r="F308">
        <v>0.63818584099999998</v>
      </c>
      <c r="G308">
        <v>0.70353982299999995</v>
      </c>
      <c r="H308">
        <v>6.8127628999999995E-2</v>
      </c>
      <c r="I308">
        <v>7.7181372999999998E-2</v>
      </c>
    </row>
    <row r="309" spans="1:9" x14ac:dyDescent="0.25">
      <c r="A309" t="s">
        <v>149</v>
      </c>
      <c r="B309" s="1">
        <v>79</v>
      </c>
      <c r="C309">
        <v>11</v>
      </c>
      <c r="D309">
        <v>118137</v>
      </c>
      <c r="E309">
        <v>37055</v>
      </c>
      <c r="F309">
        <v>0.81537610599999999</v>
      </c>
      <c r="G309">
        <v>0.95132743399999997</v>
      </c>
      <c r="H309">
        <v>8.2080953999999998E-2</v>
      </c>
      <c r="I309">
        <v>9.1320316999999998E-2</v>
      </c>
    </row>
    <row r="310" spans="1:9" x14ac:dyDescent="0.25">
      <c r="A310" t="s">
        <v>13</v>
      </c>
      <c r="B310" s="1">
        <v>80</v>
      </c>
      <c r="C310">
        <v>191</v>
      </c>
      <c r="D310">
        <v>117979</v>
      </c>
      <c r="E310">
        <v>31707</v>
      </c>
      <c r="F310">
        <v>0.69710176999999995</v>
      </c>
      <c r="G310">
        <v>0.15486725700000001</v>
      </c>
      <c r="H310">
        <v>7.3353231000000005E-2</v>
      </c>
      <c r="I310">
        <v>8.3818100000000006E-2</v>
      </c>
    </row>
    <row r="311" spans="1:9" x14ac:dyDescent="0.25">
      <c r="A311" t="s">
        <v>142</v>
      </c>
      <c r="B311" s="1">
        <v>81</v>
      </c>
      <c r="C311">
        <v>45</v>
      </c>
      <c r="D311">
        <v>117936</v>
      </c>
      <c r="E311">
        <v>33742</v>
      </c>
      <c r="F311">
        <v>0.74207964599999998</v>
      </c>
      <c r="G311">
        <v>0.80088495599999998</v>
      </c>
      <c r="H311">
        <v>7.6566492E-2</v>
      </c>
      <c r="I311">
        <v>8.6686672000000006E-2</v>
      </c>
    </row>
    <row r="312" spans="1:9" x14ac:dyDescent="0.25">
      <c r="A312" t="s">
        <v>135</v>
      </c>
      <c r="B312" s="1">
        <v>82</v>
      </c>
      <c r="C312">
        <v>0</v>
      </c>
      <c r="D312">
        <v>117879</v>
      </c>
      <c r="E312">
        <v>40153</v>
      </c>
      <c r="F312">
        <v>0.88391592900000004</v>
      </c>
      <c r="G312">
        <v>1</v>
      </c>
      <c r="H312">
        <v>8.5269954999999995E-2</v>
      </c>
      <c r="I312">
        <v>8.7445516000000001E-2</v>
      </c>
    </row>
    <row r="313" spans="1:9" x14ac:dyDescent="0.25">
      <c r="A313" t="s">
        <v>154</v>
      </c>
      <c r="B313" s="1">
        <v>83</v>
      </c>
      <c r="C313">
        <v>74</v>
      </c>
      <c r="D313">
        <v>117875</v>
      </c>
      <c r="E313">
        <v>28735</v>
      </c>
      <c r="F313">
        <v>0.63130531000000001</v>
      </c>
      <c r="G313">
        <v>0.67256637200000002</v>
      </c>
      <c r="H313">
        <v>6.8147498000000001E-2</v>
      </c>
      <c r="I313">
        <v>7.8670379999999998E-2</v>
      </c>
    </row>
    <row r="314" spans="1:9" x14ac:dyDescent="0.25">
      <c r="A314" t="s">
        <v>159</v>
      </c>
      <c r="B314" s="1">
        <v>84</v>
      </c>
      <c r="C314">
        <v>17</v>
      </c>
      <c r="D314">
        <v>117840</v>
      </c>
      <c r="E314">
        <v>38143</v>
      </c>
      <c r="F314">
        <v>0.83944690300000002</v>
      </c>
      <c r="G314">
        <v>0.924778761</v>
      </c>
      <c r="H314">
        <v>8.3356266999999998E-2</v>
      </c>
      <c r="I314">
        <v>9.0469737999999994E-2</v>
      </c>
    </row>
    <row r="315" spans="1:9" x14ac:dyDescent="0.25">
      <c r="A315" t="s">
        <v>122</v>
      </c>
      <c r="B315" s="1">
        <v>85</v>
      </c>
      <c r="C315">
        <v>42</v>
      </c>
      <c r="D315">
        <v>117825</v>
      </c>
      <c r="E315">
        <v>34309</v>
      </c>
      <c r="F315">
        <v>0.75462389399999996</v>
      </c>
      <c r="G315">
        <v>0.81415929200000003</v>
      </c>
      <c r="H315">
        <v>7.2707171000000001E-2</v>
      </c>
      <c r="I315">
        <v>6.8547035000000006E-2</v>
      </c>
    </row>
    <row r="316" spans="1:9" x14ac:dyDescent="0.25">
      <c r="A316" t="s">
        <v>160</v>
      </c>
      <c r="B316" s="1">
        <v>86</v>
      </c>
      <c r="C316">
        <v>51</v>
      </c>
      <c r="D316">
        <v>117793</v>
      </c>
      <c r="E316">
        <v>33303</v>
      </c>
      <c r="F316">
        <v>0.73236725700000005</v>
      </c>
      <c r="G316">
        <v>0.77433628300000001</v>
      </c>
      <c r="H316">
        <v>7.5400626999999998E-2</v>
      </c>
      <c r="I316">
        <v>8.4465618000000006E-2</v>
      </c>
    </row>
    <row r="317" spans="1:9" x14ac:dyDescent="0.25">
      <c r="A317" t="s">
        <v>152</v>
      </c>
      <c r="B317" s="1">
        <v>87</v>
      </c>
      <c r="C317">
        <v>6</v>
      </c>
      <c r="D317">
        <v>117771</v>
      </c>
      <c r="E317">
        <v>38145</v>
      </c>
      <c r="F317">
        <v>0.83949114999999996</v>
      </c>
      <c r="G317">
        <v>0.97345132700000003</v>
      </c>
      <c r="H317">
        <v>8.2762901E-2</v>
      </c>
      <c r="I317">
        <v>8.7950072000000004E-2</v>
      </c>
    </row>
    <row r="318" spans="1:9" x14ac:dyDescent="0.25">
      <c r="A318" t="s">
        <v>147</v>
      </c>
      <c r="B318" s="1">
        <v>88</v>
      </c>
      <c r="C318">
        <v>16</v>
      </c>
      <c r="D318">
        <v>117743</v>
      </c>
      <c r="E318">
        <v>38145</v>
      </c>
      <c r="F318">
        <v>0.83949114999999996</v>
      </c>
      <c r="G318">
        <v>0.92920354000000005</v>
      </c>
      <c r="H318">
        <v>8.3520318999999996E-2</v>
      </c>
      <c r="I318">
        <v>9.1300159000000006E-2</v>
      </c>
    </row>
    <row r="319" spans="1:9" x14ac:dyDescent="0.25">
      <c r="A319" t="s">
        <v>141</v>
      </c>
      <c r="B319" s="1">
        <v>89</v>
      </c>
      <c r="C319">
        <v>13</v>
      </c>
      <c r="D319">
        <v>117719</v>
      </c>
      <c r="E319">
        <v>38076</v>
      </c>
      <c r="F319">
        <v>0.837964602</v>
      </c>
      <c r="G319">
        <v>0.94247787599999999</v>
      </c>
      <c r="H319">
        <v>8.3240655999999996E-2</v>
      </c>
      <c r="I319">
        <v>9.0428214000000007E-2</v>
      </c>
    </row>
    <row r="320" spans="1:9" x14ac:dyDescent="0.25">
      <c r="A320" t="s">
        <v>150</v>
      </c>
      <c r="B320" s="1">
        <v>90</v>
      </c>
      <c r="C320">
        <v>25</v>
      </c>
      <c r="D320">
        <v>117620</v>
      </c>
      <c r="E320">
        <v>35124</v>
      </c>
      <c r="F320">
        <v>0.77265486699999997</v>
      </c>
      <c r="G320">
        <v>0.88938053100000003</v>
      </c>
      <c r="H320">
        <v>7.4815782999999997E-2</v>
      </c>
      <c r="I320">
        <v>7.1714219999999995E-2</v>
      </c>
    </row>
    <row r="321" spans="1:9" x14ac:dyDescent="0.25">
      <c r="A321" t="s">
        <v>148</v>
      </c>
      <c r="B321" s="1">
        <v>91</v>
      </c>
      <c r="C321">
        <v>73</v>
      </c>
      <c r="D321">
        <v>117441</v>
      </c>
      <c r="E321">
        <v>28447</v>
      </c>
      <c r="F321">
        <v>0.62493362799999996</v>
      </c>
      <c r="G321">
        <v>0.67699114999999999</v>
      </c>
      <c r="H321">
        <v>6.7348780999999996E-2</v>
      </c>
      <c r="I321">
        <v>7.6770096999999995E-2</v>
      </c>
    </row>
    <row r="322" spans="1:9" x14ac:dyDescent="0.25">
      <c r="A322" t="s">
        <v>137</v>
      </c>
      <c r="B322" s="1">
        <v>92</v>
      </c>
      <c r="C322">
        <v>134</v>
      </c>
      <c r="D322">
        <v>117436</v>
      </c>
      <c r="E322">
        <v>38589</v>
      </c>
      <c r="F322">
        <v>0.84933628299999997</v>
      </c>
      <c r="G322">
        <v>0.40707964600000002</v>
      </c>
      <c r="H322">
        <v>8.3629807E-2</v>
      </c>
      <c r="I322">
        <v>8.8832207999999996E-2</v>
      </c>
    </row>
    <row r="323" spans="1:9" x14ac:dyDescent="0.25">
      <c r="A323" t="s">
        <v>151</v>
      </c>
      <c r="B323" s="1">
        <v>93</v>
      </c>
      <c r="C323">
        <v>20</v>
      </c>
      <c r="D323">
        <v>117420</v>
      </c>
      <c r="E323">
        <v>36016</v>
      </c>
      <c r="F323">
        <v>0.792389381</v>
      </c>
      <c r="G323">
        <v>0.91150442499999995</v>
      </c>
      <c r="H323">
        <v>8.0361586999999998E-2</v>
      </c>
      <c r="I323">
        <v>8.9694498999999997E-2</v>
      </c>
    </row>
    <row r="324" spans="1:9" x14ac:dyDescent="0.25">
      <c r="A324" t="s">
        <v>144</v>
      </c>
      <c r="B324" s="1">
        <v>94</v>
      </c>
      <c r="C324">
        <v>66</v>
      </c>
      <c r="D324">
        <v>117385</v>
      </c>
      <c r="E324">
        <v>28620</v>
      </c>
      <c r="F324">
        <v>0.62876106200000004</v>
      </c>
      <c r="G324">
        <v>0.707964602</v>
      </c>
      <c r="H324">
        <v>6.7943649999999994E-2</v>
      </c>
      <c r="I324">
        <v>7.8770556000000005E-2</v>
      </c>
    </row>
    <row r="325" spans="1:9" x14ac:dyDescent="0.25">
      <c r="A325" t="s">
        <v>10</v>
      </c>
      <c r="B325" s="1">
        <v>95</v>
      </c>
      <c r="C325">
        <v>18</v>
      </c>
      <c r="D325">
        <v>117290</v>
      </c>
      <c r="E325">
        <v>40436</v>
      </c>
      <c r="F325">
        <v>0.89017699100000003</v>
      </c>
      <c r="G325">
        <v>0.92035398199999996</v>
      </c>
      <c r="H325">
        <v>8.3991604999999997E-2</v>
      </c>
      <c r="I325">
        <v>8.0589662000000006E-2</v>
      </c>
    </row>
    <row r="326" spans="1:9" x14ac:dyDescent="0.25">
      <c r="A326" t="s">
        <v>161</v>
      </c>
      <c r="B326" s="1">
        <v>96</v>
      </c>
      <c r="C326">
        <v>14</v>
      </c>
      <c r="D326">
        <v>117265</v>
      </c>
      <c r="E326">
        <v>37367</v>
      </c>
      <c r="F326">
        <v>0.82227876099999997</v>
      </c>
      <c r="G326">
        <v>0.93805309699999995</v>
      </c>
      <c r="H326">
        <v>8.2783491000000001E-2</v>
      </c>
      <c r="I326">
        <v>9.2732213999999993E-2</v>
      </c>
    </row>
    <row r="327" spans="1:9" x14ac:dyDescent="0.25">
      <c r="A327" t="s">
        <v>166</v>
      </c>
      <c r="B327" s="1">
        <v>97</v>
      </c>
      <c r="C327">
        <v>26</v>
      </c>
      <c r="D327">
        <v>117236</v>
      </c>
      <c r="E327">
        <v>35878</v>
      </c>
      <c r="F327">
        <v>0.78933628300000003</v>
      </c>
      <c r="G327">
        <v>0.88495575199999998</v>
      </c>
      <c r="H327">
        <v>7.9579740999999996E-2</v>
      </c>
      <c r="I327">
        <v>8.7231958999999998E-2</v>
      </c>
    </row>
    <row r="328" spans="1:9" x14ac:dyDescent="0.25">
      <c r="A328" t="s">
        <v>153</v>
      </c>
      <c r="B328" s="1">
        <v>98</v>
      </c>
      <c r="C328">
        <v>73</v>
      </c>
      <c r="D328">
        <v>117062</v>
      </c>
      <c r="E328">
        <v>28818</v>
      </c>
      <c r="F328">
        <v>0.63314159299999995</v>
      </c>
      <c r="G328">
        <v>0.67699114999999999</v>
      </c>
      <c r="H328">
        <v>6.8228718999999993E-2</v>
      </c>
      <c r="I328">
        <v>7.8458264E-2</v>
      </c>
    </row>
    <row r="329" spans="1:9" x14ac:dyDescent="0.25">
      <c r="A329" t="s">
        <v>155</v>
      </c>
      <c r="B329" s="1">
        <v>99</v>
      </c>
      <c r="C329">
        <v>16</v>
      </c>
      <c r="D329">
        <v>117039</v>
      </c>
      <c r="E329">
        <v>37617</v>
      </c>
      <c r="F329">
        <v>0.82780973499999999</v>
      </c>
      <c r="G329">
        <v>0.92920354000000005</v>
      </c>
      <c r="H329">
        <v>8.2485669999999997E-2</v>
      </c>
      <c r="I329">
        <v>8.9645696999999996E-2</v>
      </c>
    </row>
    <row r="330" spans="1:9" x14ac:dyDescent="0.25">
      <c r="A330" t="s">
        <v>146</v>
      </c>
      <c r="B330" s="1">
        <v>100</v>
      </c>
      <c r="C330">
        <v>75</v>
      </c>
      <c r="D330">
        <v>116965</v>
      </c>
      <c r="E330">
        <v>27223</v>
      </c>
      <c r="F330">
        <v>0.59785398199999995</v>
      </c>
      <c r="G330">
        <v>0.66814159299999998</v>
      </c>
      <c r="H330">
        <v>6.4826980000000006E-2</v>
      </c>
      <c r="I330">
        <v>7.3087628000000002E-2</v>
      </c>
    </row>
    <row r="331" spans="1:9" x14ac:dyDescent="0.25">
      <c r="A331" t="s">
        <v>165</v>
      </c>
      <c r="B331" s="1">
        <v>101</v>
      </c>
      <c r="C331">
        <v>23</v>
      </c>
      <c r="D331">
        <v>116916</v>
      </c>
      <c r="E331">
        <v>35329</v>
      </c>
      <c r="F331">
        <v>0.77719026499999999</v>
      </c>
      <c r="G331">
        <v>0.89823008800000004</v>
      </c>
      <c r="H331">
        <v>7.9276830000000006E-2</v>
      </c>
      <c r="I331">
        <v>8.8827788000000005E-2</v>
      </c>
    </row>
    <row r="332" spans="1:9" x14ac:dyDescent="0.25">
      <c r="A332" t="s">
        <v>163</v>
      </c>
      <c r="B332" s="1">
        <v>102</v>
      </c>
      <c r="C332">
        <v>73</v>
      </c>
      <c r="D332">
        <v>116849</v>
      </c>
      <c r="E332">
        <v>32141</v>
      </c>
      <c r="F332">
        <v>0.70668141600000001</v>
      </c>
      <c r="G332">
        <v>0.67699114999999999</v>
      </c>
      <c r="H332">
        <v>6.8167403000000001E-2</v>
      </c>
      <c r="I332">
        <v>5.2157058999999999E-2</v>
      </c>
    </row>
    <row r="333" spans="1:9" x14ac:dyDescent="0.25">
      <c r="A333" t="s">
        <v>157</v>
      </c>
      <c r="B333" s="1">
        <v>103</v>
      </c>
      <c r="C333">
        <v>26</v>
      </c>
      <c r="D333">
        <v>116719</v>
      </c>
      <c r="E333">
        <v>35857</v>
      </c>
      <c r="F333">
        <v>0.78887168100000005</v>
      </c>
      <c r="G333">
        <v>0.88495575199999998</v>
      </c>
      <c r="H333">
        <v>7.9218694000000006E-2</v>
      </c>
      <c r="I333">
        <v>8.5462554999999996E-2</v>
      </c>
    </row>
    <row r="334" spans="1:9" x14ac:dyDescent="0.25">
      <c r="A334" t="s">
        <v>162</v>
      </c>
      <c r="B334" s="1">
        <v>104</v>
      </c>
      <c r="C334">
        <v>29</v>
      </c>
      <c r="D334">
        <v>116632</v>
      </c>
      <c r="E334">
        <v>35845</v>
      </c>
      <c r="F334">
        <v>0.78860619499999995</v>
      </c>
      <c r="G334">
        <v>0.87168141600000004</v>
      </c>
      <c r="H334">
        <v>7.9063120000000001E-2</v>
      </c>
      <c r="I334">
        <v>8.4652936999999998E-2</v>
      </c>
    </row>
    <row r="335" spans="1:9" x14ac:dyDescent="0.25">
      <c r="A335" t="s">
        <v>169</v>
      </c>
      <c r="B335" s="1">
        <v>105</v>
      </c>
      <c r="C335">
        <v>24</v>
      </c>
      <c r="D335">
        <v>116592</v>
      </c>
      <c r="E335">
        <v>34803</v>
      </c>
      <c r="F335">
        <v>0.76555309699999996</v>
      </c>
      <c r="G335">
        <v>0.89380530999999996</v>
      </c>
      <c r="H335">
        <v>7.4237716999999995E-2</v>
      </c>
      <c r="I335">
        <v>7.1045839999999999E-2</v>
      </c>
    </row>
    <row r="336" spans="1:9" x14ac:dyDescent="0.25">
      <c r="A336" t="s">
        <v>172</v>
      </c>
      <c r="B336" s="1">
        <v>106</v>
      </c>
      <c r="C336">
        <v>26</v>
      </c>
      <c r="D336">
        <v>116560</v>
      </c>
      <c r="E336">
        <v>36805</v>
      </c>
      <c r="F336">
        <v>0.80984513300000005</v>
      </c>
      <c r="G336">
        <v>0.88495575199999998</v>
      </c>
      <c r="H336">
        <v>8.1806887999999994E-2</v>
      </c>
      <c r="I336">
        <v>9.1727706000000006E-2</v>
      </c>
    </row>
    <row r="337" spans="1:9" x14ac:dyDescent="0.25">
      <c r="A337" t="s">
        <v>174</v>
      </c>
      <c r="B337" s="1">
        <v>107</v>
      </c>
      <c r="C337">
        <v>29</v>
      </c>
      <c r="D337">
        <v>116556</v>
      </c>
      <c r="E337">
        <v>36991</v>
      </c>
      <c r="F337">
        <v>0.81396017700000001</v>
      </c>
      <c r="G337">
        <v>0.87168141600000004</v>
      </c>
      <c r="H337">
        <v>7.8595878999999993E-2</v>
      </c>
      <c r="I337">
        <v>7.6846344999999996E-2</v>
      </c>
    </row>
    <row r="338" spans="1:9" x14ac:dyDescent="0.25">
      <c r="A338" t="s">
        <v>170</v>
      </c>
      <c r="B338" s="1">
        <v>108</v>
      </c>
      <c r="C338">
        <v>16</v>
      </c>
      <c r="D338">
        <v>116361</v>
      </c>
      <c r="E338">
        <v>37489</v>
      </c>
      <c r="F338">
        <v>0.82497787600000005</v>
      </c>
      <c r="G338">
        <v>0.92920354000000005</v>
      </c>
      <c r="H338">
        <v>8.2403468999999993E-2</v>
      </c>
      <c r="I338">
        <v>8.9674941999999994E-2</v>
      </c>
    </row>
    <row r="339" spans="1:9" x14ac:dyDescent="0.25">
      <c r="A339" t="s">
        <v>158</v>
      </c>
      <c r="B339" s="1">
        <v>109</v>
      </c>
      <c r="C339">
        <v>0</v>
      </c>
      <c r="D339">
        <v>116167</v>
      </c>
      <c r="E339">
        <v>38010</v>
      </c>
      <c r="F339">
        <v>0.836504425</v>
      </c>
      <c r="G339">
        <v>1</v>
      </c>
      <c r="H339">
        <v>8.3504985000000004E-2</v>
      </c>
      <c r="I339">
        <v>9.1917140999999994E-2</v>
      </c>
    </row>
    <row r="340" spans="1:9" x14ac:dyDescent="0.25">
      <c r="A340" t="s">
        <v>167</v>
      </c>
      <c r="B340" s="1">
        <v>110</v>
      </c>
      <c r="C340">
        <v>10</v>
      </c>
      <c r="D340">
        <v>116064</v>
      </c>
      <c r="E340">
        <v>39722</v>
      </c>
      <c r="F340">
        <v>0.87438053100000002</v>
      </c>
      <c r="G340">
        <v>0.95575221200000005</v>
      </c>
      <c r="H340">
        <v>8.4612757999999996E-2</v>
      </c>
      <c r="I340">
        <v>8.6927482E-2</v>
      </c>
    </row>
    <row r="341" spans="1:9" x14ac:dyDescent="0.25">
      <c r="A341" t="s">
        <v>176</v>
      </c>
      <c r="B341" s="1">
        <v>111</v>
      </c>
      <c r="C341">
        <v>72</v>
      </c>
      <c r="D341">
        <v>116002</v>
      </c>
      <c r="E341">
        <v>29515</v>
      </c>
      <c r="F341">
        <v>0.64856194700000003</v>
      </c>
      <c r="G341">
        <v>0.68141592900000003</v>
      </c>
      <c r="H341">
        <v>6.9736319000000005E-2</v>
      </c>
      <c r="I341">
        <v>8.0814626000000001E-2</v>
      </c>
    </row>
    <row r="342" spans="1:9" x14ac:dyDescent="0.25">
      <c r="A342" t="s">
        <v>171</v>
      </c>
      <c r="B342" s="1">
        <v>112</v>
      </c>
      <c r="C342">
        <v>22</v>
      </c>
      <c r="D342">
        <v>115995</v>
      </c>
      <c r="E342">
        <v>35027</v>
      </c>
      <c r="F342">
        <v>0.77050885000000002</v>
      </c>
      <c r="G342">
        <v>0.90265486699999997</v>
      </c>
      <c r="H342">
        <v>7.4672617999999996E-2</v>
      </c>
      <c r="I342">
        <v>7.1590070000000006E-2</v>
      </c>
    </row>
    <row r="343" spans="1:9" x14ac:dyDescent="0.25">
      <c r="A343" t="s">
        <v>168</v>
      </c>
      <c r="B343" s="1">
        <v>113</v>
      </c>
      <c r="C343">
        <v>69</v>
      </c>
      <c r="D343">
        <v>115971</v>
      </c>
      <c r="E343">
        <v>29524</v>
      </c>
      <c r="F343">
        <v>0.64876106200000005</v>
      </c>
      <c r="G343">
        <v>0.69469026499999997</v>
      </c>
      <c r="H343">
        <v>6.9916033000000002E-2</v>
      </c>
      <c r="I343">
        <v>8.1567234000000002E-2</v>
      </c>
    </row>
    <row r="344" spans="1:9" x14ac:dyDescent="0.25">
      <c r="A344" t="s">
        <v>173</v>
      </c>
      <c r="B344" s="1">
        <v>114</v>
      </c>
      <c r="C344">
        <v>0</v>
      </c>
      <c r="D344">
        <v>115620</v>
      </c>
      <c r="E344">
        <v>39120</v>
      </c>
      <c r="F344">
        <v>0.86106194700000005</v>
      </c>
      <c r="G344">
        <v>1</v>
      </c>
      <c r="H344">
        <v>8.4948495999999998E-2</v>
      </c>
      <c r="I344">
        <v>9.1919782000000005E-2</v>
      </c>
    </row>
    <row r="345" spans="1:9" x14ac:dyDescent="0.25">
      <c r="A345" t="s">
        <v>175</v>
      </c>
      <c r="B345" s="1">
        <v>115</v>
      </c>
      <c r="C345">
        <v>56</v>
      </c>
      <c r="D345">
        <v>115595</v>
      </c>
      <c r="E345">
        <v>32132</v>
      </c>
      <c r="F345">
        <v>0.70646017699999997</v>
      </c>
      <c r="G345">
        <v>0.75221238899999998</v>
      </c>
      <c r="H345">
        <v>7.3757109000000001E-2</v>
      </c>
      <c r="I345">
        <v>8.3131197000000004E-2</v>
      </c>
    </row>
    <row r="346" spans="1:9" x14ac:dyDescent="0.25">
      <c r="A346" t="s">
        <v>164</v>
      </c>
      <c r="B346" s="1">
        <v>116</v>
      </c>
      <c r="C346">
        <v>64</v>
      </c>
      <c r="D346">
        <v>115078</v>
      </c>
      <c r="E346">
        <v>33447</v>
      </c>
      <c r="F346">
        <v>0.73555309700000004</v>
      </c>
      <c r="G346">
        <v>0.71681415900000001</v>
      </c>
      <c r="H346">
        <v>7.5408190999999999E-2</v>
      </c>
      <c r="I346">
        <v>8.0955854999999993E-2</v>
      </c>
    </row>
    <row r="347" spans="1:9" x14ac:dyDescent="0.25">
      <c r="A347" t="s">
        <v>178</v>
      </c>
      <c r="B347" s="1">
        <v>117</v>
      </c>
      <c r="C347">
        <v>70</v>
      </c>
      <c r="D347">
        <v>115018</v>
      </c>
      <c r="E347">
        <v>31176</v>
      </c>
      <c r="F347">
        <v>0.68530973500000003</v>
      </c>
      <c r="G347">
        <v>0.69026548700000001</v>
      </c>
      <c r="H347">
        <v>7.2364157999999998E-2</v>
      </c>
      <c r="I347">
        <v>8.2274755000000005E-2</v>
      </c>
    </row>
    <row r="348" spans="1:9" x14ac:dyDescent="0.25">
      <c r="A348" t="s">
        <v>180</v>
      </c>
      <c r="B348" s="1">
        <v>118</v>
      </c>
      <c r="C348">
        <v>107</v>
      </c>
      <c r="D348">
        <v>114905</v>
      </c>
      <c r="E348">
        <v>28362</v>
      </c>
      <c r="F348">
        <v>0.62311946900000004</v>
      </c>
      <c r="G348">
        <v>0.52654867299999997</v>
      </c>
      <c r="H348">
        <v>6.4143343000000005E-2</v>
      </c>
      <c r="I348">
        <v>5.6445040000000002E-2</v>
      </c>
    </row>
    <row r="349" spans="1:9" x14ac:dyDescent="0.25">
      <c r="A349" t="s">
        <v>177</v>
      </c>
      <c r="B349" s="1">
        <v>119</v>
      </c>
      <c r="C349">
        <v>72</v>
      </c>
      <c r="D349">
        <v>114479</v>
      </c>
      <c r="E349">
        <v>30148</v>
      </c>
      <c r="F349">
        <v>0.66256637200000001</v>
      </c>
      <c r="G349">
        <v>0.68141592900000003</v>
      </c>
      <c r="H349">
        <v>7.0656685999999996E-2</v>
      </c>
      <c r="I349">
        <v>8.0607276000000005E-2</v>
      </c>
    </row>
    <row r="350" spans="1:9" x14ac:dyDescent="0.25">
      <c r="A350" t="s">
        <v>179</v>
      </c>
      <c r="B350" s="1">
        <v>120</v>
      </c>
      <c r="C350">
        <v>14</v>
      </c>
      <c r="D350">
        <v>113920</v>
      </c>
      <c r="E350">
        <v>41030</v>
      </c>
      <c r="F350">
        <v>0.90331858399999998</v>
      </c>
      <c r="G350">
        <v>0.93805309699999995</v>
      </c>
      <c r="H350">
        <v>8.3632715999999996E-2</v>
      </c>
      <c r="I350">
        <v>7.6117404999999999E-2</v>
      </c>
    </row>
    <row r="351" spans="1:9" x14ac:dyDescent="0.25">
      <c r="A351" t="s">
        <v>12</v>
      </c>
      <c r="B351" s="1">
        <v>121</v>
      </c>
      <c r="C351">
        <v>14</v>
      </c>
      <c r="D351">
        <v>112523</v>
      </c>
      <c r="E351">
        <v>43275</v>
      </c>
      <c r="F351">
        <v>0.95298672600000001</v>
      </c>
      <c r="G351">
        <v>0.93805309699999995</v>
      </c>
      <c r="H351">
        <v>8.6184254000000002E-2</v>
      </c>
      <c r="I351">
        <v>7.3596052999999995E-2</v>
      </c>
    </row>
    <row r="352" spans="1:9" x14ac:dyDescent="0.25">
      <c r="A352" t="s">
        <v>181</v>
      </c>
      <c r="B352" s="1">
        <v>122</v>
      </c>
      <c r="C352">
        <v>80</v>
      </c>
      <c r="D352">
        <v>111256</v>
      </c>
      <c r="E352">
        <v>29931</v>
      </c>
      <c r="F352">
        <v>0.65853982300000002</v>
      </c>
      <c r="G352">
        <v>0.64601769899999995</v>
      </c>
      <c r="H352">
        <v>6.5182647999999996E-2</v>
      </c>
      <c r="I352">
        <v>4.8822962999999997E-2</v>
      </c>
    </row>
    <row r="353" spans="1:9" x14ac:dyDescent="0.25">
      <c r="A353" t="s">
        <v>182</v>
      </c>
      <c r="B353" s="1">
        <v>123</v>
      </c>
      <c r="C353">
        <v>12</v>
      </c>
      <c r="D353">
        <v>109599</v>
      </c>
      <c r="E353">
        <v>43119</v>
      </c>
      <c r="F353">
        <v>0.94953539799999997</v>
      </c>
      <c r="G353">
        <v>0.94690265500000004</v>
      </c>
      <c r="H353">
        <v>8.6850170000000004E-2</v>
      </c>
      <c r="I353">
        <v>7.7774565000000004E-2</v>
      </c>
    </row>
    <row r="354" spans="1:9" x14ac:dyDescent="0.25">
      <c r="A354" t="s">
        <v>185</v>
      </c>
      <c r="B354" s="1">
        <v>124</v>
      </c>
      <c r="C354">
        <v>0</v>
      </c>
      <c r="D354">
        <v>107779</v>
      </c>
      <c r="E354">
        <v>43403</v>
      </c>
      <c r="F354">
        <v>0.95581858399999997</v>
      </c>
      <c r="G354">
        <v>1</v>
      </c>
      <c r="H354">
        <v>8.6669089000000005E-2</v>
      </c>
      <c r="I354">
        <v>7.4946438000000004E-2</v>
      </c>
    </row>
    <row r="355" spans="1:9" x14ac:dyDescent="0.25">
      <c r="A355" t="s">
        <v>192</v>
      </c>
      <c r="B355" s="1">
        <v>125</v>
      </c>
      <c r="C355">
        <v>10</v>
      </c>
      <c r="D355">
        <v>107732</v>
      </c>
      <c r="E355">
        <v>42360</v>
      </c>
      <c r="F355">
        <v>0.93274336300000005</v>
      </c>
      <c r="G355">
        <v>0.95575221200000005</v>
      </c>
      <c r="H355">
        <v>8.5412117999999995E-2</v>
      </c>
      <c r="I355">
        <v>7.6008663000000004E-2</v>
      </c>
    </row>
    <row r="356" spans="1:9" x14ac:dyDescent="0.25">
      <c r="A356" t="s">
        <v>187</v>
      </c>
      <c r="B356" s="1">
        <v>126</v>
      </c>
      <c r="C356">
        <v>0</v>
      </c>
      <c r="D356">
        <v>107498</v>
      </c>
      <c r="E356">
        <v>44742</v>
      </c>
      <c r="F356">
        <v>0.98544247799999996</v>
      </c>
      <c r="G356">
        <v>1</v>
      </c>
      <c r="H356">
        <v>8.9365073000000003E-2</v>
      </c>
      <c r="I356">
        <v>7.8748513000000006E-2</v>
      </c>
    </row>
    <row r="357" spans="1:9" x14ac:dyDescent="0.25">
      <c r="A357" t="s">
        <v>191</v>
      </c>
      <c r="B357" s="1">
        <v>127</v>
      </c>
      <c r="C357">
        <v>56</v>
      </c>
      <c r="D357">
        <v>107070</v>
      </c>
      <c r="E357">
        <v>26381</v>
      </c>
      <c r="F357">
        <v>0.57924778799999999</v>
      </c>
      <c r="G357">
        <v>0.75221238899999998</v>
      </c>
      <c r="H357">
        <v>5.8944376999999999E-2</v>
      </c>
      <c r="I357">
        <v>3.9392112E-2</v>
      </c>
    </row>
    <row r="358" spans="1:9" x14ac:dyDescent="0.25">
      <c r="A358" t="s">
        <v>184</v>
      </c>
      <c r="B358" s="1">
        <v>128</v>
      </c>
      <c r="C358">
        <v>91</v>
      </c>
      <c r="D358">
        <v>106950</v>
      </c>
      <c r="E358">
        <v>19320</v>
      </c>
      <c r="F358">
        <v>0.425973451</v>
      </c>
      <c r="G358">
        <v>0.59734513300000003</v>
      </c>
      <c r="H358">
        <v>4.2673124999999999E-2</v>
      </c>
      <c r="I358">
        <v>7.5315879999999997E-3</v>
      </c>
    </row>
    <row r="359" spans="1:9" x14ac:dyDescent="0.25">
      <c r="A359" t="s">
        <v>17</v>
      </c>
      <c r="B359" s="1">
        <v>129</v>
      </c>
      <c r="C359">
        <v>99</v>
      </c>
      <c r="D359">
        <v>106743</v>
      </c>
      <c r="E359">
        <v>31506</v>
      </c>
      <c r="F359">
        <v>0.69592920400000002</v>
      </c>
      <c r="G359">
        <v>0.56194690300000005</v>
      </c>
      <c r="H359">
        <v>6.6303133E-2</v>
      </c>
      <c r="I359">
        <v>4.7243805999999999E-2</v>
      </c>
    </row>
    <row r="360" spans="1:9" x14ac:dyDescent="0.25">
      <c r="A360" t="s">
        <v>195</v>
      </c>
      <c r="B360" s="1">
        <v>130</v>
      </c>
      <c r="C360">
        <v>61</v>
      </c>
      <c r="D360">
        <v>106362</v>
      </c>
      <c r="E360">
        <v>36930</v>
      </c>
      <c r="F360">
        <v>0.81263274299999999</v>
      </c>
      <c r="G360">
        <v>0.73008849600000003</v>
      </c>
      <c r="H360">
        <v>7.6770082000000003E-2</v>
      </c>
      <c r="I360">
        <v>6.4928110999999997E-2</v>
      </c>
    </row>
    <row r="361" spans="1:9" x14ac:dyDescent="0.25">
      <c r="A361" t="s">
        <v>190</v>
      </c>
      <c r="B361" s="1">
        <v>131</v>
      </c>
      <c r="C361">
        <v>57</v>
      </c>
      <c r="D361">
        <v>106284</v>
      </c>
      <c r="E361">
        <v>25926</v>
      </c>
      <c r="F361">
        <v>0.56918141600000005</v>
      </c>
      <c r="G361">
        <v>0.74778761100000002</v>
      </c>
      <c r="H361">
        <v>5.8096652999999998E-2</v>
      </c>
      <c r="I361">
        <v>3.8700149000000003E-2</v>
      </c>
    </row>
    <row r="362" spans="1:9" x14ac:dyDescent="0.25">
      <c r="A362" t="s">
        <v>186</v>
      </c>
      <c r="B362" s="1">
        <v>132</v>
      </c>
      <c r="C362">
        <v>3</v>
      </c>
      <c r="D362">
        <v>106166</v>
      </c>
      <c r="E362">
        <v>44430</v>
      </c>
      <c r="F362">
        <v>0.97853982299999998</v>
      </c>
      <c r="G362">
        <v>0.98672566399999995</v>
      </c>
      <c r="H362">
        <v>8.8183628999999999E-2</v>
      </c>
      <c r="I362">
        <v>7.5584118000000006E-2</v>
      </c>
    </row>
    <row r="363" spans="1:9" x14ac:dyDescent="0.25">
      <c r="A363" t="s">
        <v>193</v>
      </c>
      <c r="B363" s="1">
        <v>133</v>
      </c>
      <c r="C363">
        <v>59</v>
      </c>
      <c r="D363">
        <v>106040</v>
      </c>
      <c r="E363">
        <v>25679</v>
      </c>
      <c r="F363">
        <v>0.56371681399999995</v>
      </c>
      <c r="G363">
        <v>0.73893805300000004</v>
      </c>
      <c r="H363">
        <v>5.7659327000000003E-2</v>
      </c>
      <c r="I363">
        <v>3.8319798000000002E-2</v>
      </c>
    </row>
    <row r="364" spans="1:9" x14ac:dyDescent="0.25">
      <c r="A364" t="s">
        <v>196</v>
      </c>
      <c r="B364" s="1">
        <v>134</v>
      </c>
      <c r="C364">
        <v>87</v>
      </c>
      <c r="D364">
        <v>105796</v>
      </c>
      <c r="E364">
        <v>19063</v>
      </c>
      <c r="F364">
        <v>0.41736725699999999</v>
      </c>
      <c r="G364">
        <v>0.61504424800000002</v>
      </c>
      <c r="H364">
        <v>4.1571990000000003E-2</v>
      </c>
      <c r="I364">
        <v>5.8676709999999997E-3</v>
      </c>
    </row>
    <row r="365" spans="1:9" x14ac:dyDescent="0.25">
      <c r="A365" t="s">
        <v>183</v>
      </c>
      <c r="B365" s="1">
        <v>135</v>
      </c>
      <c r="C365">
        <v>100</v>
      </c>
      <c r="D365">
        <v>105620</v>
      </c>
      <c r="E365">
        <v>19715</v>
      </c>
      <c r="F365">
        <v>0.43183628299999999</v>
      </c>
      <c r="G365">
        <v>0.55752212400000001</v>
      </c>
      <c r="H365">
        <v>4.1339885999999999E-2</v>
      </c>
      <c r="I365">
        <v>6.7779110000000002E-3</v>
      </c>
    </row>
    <row r="366" spans="1:9" x14ac:dyDescent="0.25">
      <c r="A366" t="s">
        <v>194</v>
      </c>
      <c r="B366" s="1">
        <v>136</v>
      </c>
      <c r="C366">
        <v>55</v>
      </c>
      <c r="D366">
        <v>105583</v>
      </c>
      <c r="E366">
        <v>32619</v>
      </c>
      <c r="F366">
        <v>0.71725663699999997</v>
      </c>
      <c r="G366">
        <v>0.75663716800000003</v>
      </c>
      <c r="H366">
        <v>7.0979098000000004E-2</v>
      </c>
      <c r="I366">
        <v>6.0150018E-2</v>
      </c>
    </row>
    <row r="367" spans="1:9" x14ac:dyDescent="0.25">
      <c r="A367" t="s">
        <v>189</v>
      </c>
      <c r="B367" s="1">
        <v>137</v>
      </c>
      <c r="C367">
        <v>47</v>
      </c>
      <c r="D367">
        <v>105458</v>
      </c>
      <c r="E367">
        <v>34940</v>
      </c>
      <c r="F367">
        <v>0.76862831899999995</v>
      </c>
      <c r="G367">
        <v>0.792035398</v>
      </c>
      <c r="H367">
        <v>7.0843852999999998E-2</v>
      </c>
      <c r="I367">
        <v>5.0714834E-2</v>
      </c>
    </row>
    <row r="368" spans="1:9" x14ac:dyDescent="0.25">
      <c r="A368" t="s">
        <v>197</v>
      </c>
      <c r="B368" s="1">
        <v>138</v>
      </c>
      <c r="C368">
        <v>0</v>
      </c>
      <c r="D368">
        <v>105108</v>
      </c>
      <c r="E368">
        <v>45400</v>
      </c>
      <c r="F368">
        <v>1</v>
      </c>
      <c r="G368">
        <v>1</v>
      </c>
      <c r="H368">
        <v>8.9796418000000003E-2</v>
      </c>
      <c r="I368">
        <v>7.6809084999999999E-2</v>
      </c>
    </row>
    <row r="369" spans="1:9" x14ac:dyDescent="0.25">
      <c r="A369" t="s">
        <v>188</v>
      </c>
      <c r="B369" s="1">
        <v>139</v>
      </c>
      <c r="C369">
        <v>65</v>
      </c>
      <c r="D369">
        <v>104171</v>
      </c>
      <c r="E369">
        <v>29442</v>
      </c>
      <c r="F369">
        <v>0.64778761100000004</v>
      </c>
      <c r="G369">
        <v>0.71238938100000004</v>
      </c>
      <c r="H369">
        <v>6.5501867000000005E-2</v>
      </c>
      <c r="I369">
        <v>5.3262080000000003E-2</v>
      </c>
    </row>
    <row r="370" spans="1:9" x14ac:dyDescent="0.25">
      <c r="A370" t="s">
        <v>18</v>
      </c>
      <c r="B370" s="1">
        <v>140</v>
      </c>
      <c r="C370">
        <v>113</v>
      </c>
      <c r="D370">
        <v>101653</v>
      </c>
      <c r="E370">
        <v>13257</v>
      </c>
      <c r="F370">
        <v>0.29329645999999998</v>
      </c>
      <c r="G370">
        <v>0.5</v>
      </c>
      <c r="H370">
        <v>2.8546721000000001E-2</v>
      </c>
      <c r="I370">
        <v>-1.9525931999999999E-2</v>
      </c>
    </row>
    <row r="371" spans="1:9" x14ac:dyDescent="0.25">
      <c r="A371" t="s">
        <v>206</v>
      </c>
      <c r="B371" s="1">
        <v>141</v>
      </c>
      <c r="C371">
        <v>67</v>
      </c>
      <c r="D371">
        <v>100791</v>
      </c>
      <c r="E371">
        <v>20113</v>
      </c>
      <c r="F371">
        <v>0.44057522100000002</v>
      </c>
      <c r="G371">
        <v>0.70353982299999995</v>
      </c>
      <c r="H371">
        <v>4.0422502999999999E-2</v>
      </c>
      <c r="I371">
        <v>-7.9901580000000007E-3</v>
      </c>
    </row>
    <row r="372" spans="1:9" x14ac:dyDescent="0.25">
      <c r="A372" t="s">
        <v>199</v>
      </c>
      <c r="B372" s="1">
        <v>142</v>
      </c>
      <c r="C372">
        <v>101</v>
      </c>
      <c r="D372">
        <v>100718</v>
      </c>
      <c r="E372">
        <v>23088</v>
      </c>
      <c r="F372">
        <v>0.50858407100000003</v>
      </c>
      <c r="G372">
        <v>0.55309734499999996</v>
      </c>
      <c r="H372">
        <v>4.9430304000000001E-2</v>
      </c>
      <c r="I372">
        <v>1.4079925E-2</v>
      </c>
    </row>
    <row r="373" spans="1:9" x14ac:dyDescent="0.25">
      <c r="A373" t="s">
        <v>200</v>
      </c>
      <c r="B373" s="1">
        <v>143</v>
      </c>
      <c r="C373">
        <v>108</v>
      </c>
      <c r="D373">
        <v>100497</v>
      </c>
      <c r="E373">
        <v>23664</v>
      </c>
      <c r="F373">
        <v>0.51922566400000003</v>
      </c>
      <c r="G373">
        <v>0.52212389400000003</v>
      </c>
      <c r="H373">
        <v>4.9066044000000003E-2</v>
      </c>
      <c r="I373">
        <v>2.2677507E-2</v>
      </c>
    </row>
    <row r="374" spans="1:9" x14ac:dyDescent="0.25">
      <c r="A374" t="s">
        <v>232</v>
      </c>
      <c r="B374" s="1">
        <v>144</v>
      </c>
      <c r="C374">
        <v>80</v>
      </c>
      <c r="D374">
        <v>100465</v>
      </c>
      <c r="E374">
        <v>28500</v>
      </c>
      <c r="F374">
        <v>0.62831858399999996</v>
      </c>
      <c r="G374">
        <v>0.64601769899999995</v>
      </c>
      <c r="H374">
        <v>5.5950693000000003E-2</v>
      </c>
      <c r="I374">
        <v>1.8548313E-2</v>
      </c>
    </row>
    <row r="375" spans="1:9" x14ac:dyDescent="0.25">
      <c r="A375" t="s">
        <v>207</v>
      </c>
      <c r="B375" s="1">
        <v>145</v>
      </c>
      <c r="C375">
        <v>63</v>
      </c>
      <c r="D375">
        <v>100351</v>
      </c>
      <c r="E375">
        <v>38536</v>
      </c>
      <c r="F375">
        <v>0.84836283199999996</v>
      </c>
      <c r="G375">
        <v>0.72123893800000005</v>
      </c>
      <c r="H375">
        <v>7.9371603999999998E-2</v>
      </c>
      <c r="I375">
        <v>6.5642833999999997E-2</v>
      </c>
    </row>
    <row r="376" spans="1:9" x14ac:dyDescent="0.25">
      <c r="A376" t="s">
        <v>198</v>
      </c>
      <c r="B376" s="1">
        <v>146</v>
      </c>
      <c r="C376">
        <v>15</v>
      </c>
      <c r="D376">
        <v>100200</v>
      </c>
      <c r="E376">
        <v>43679</v>
      </c>
      <c r="F376">
        <v>0.96194690299999996</v>
      </c>
      <c r="G376">
        <v>0.93362831899999998</v>
      </c>
      <c r="H376">
        <v>8.7815051000000005E-2</v>
      </c>
      <c r="I376">
        <v>7.7359506999999994E-2</v>
      </c>
    </row>
    <row r="377" spans="1:9" x14ac:dyDescent="0.25">
      <c r="A377" t="s">
        <v>201</v>
      </c>
      <c r="B377" s="1">
        <v>147</v>
      </c>
      <c r="C377">
        <v>148</v>
      </c>
      <c r="D377">
        <v>100124</v>
      </c>
      <c r="E377">
        <v>21583</v>
      </c>
      <c r="F377">
        <v>0.47539822999999998</v>
      </c>
      <c r="G377">
        <v>0.34513274300000002</v>
      </c>
      <c r="H377">
        <v>4.7986569999999999E-2</v>
      </c>
      <c r="I377">
        <v>1.4332118E-2</v>
      </c>
    </row>
    <row r="378" spans="1:9" x14ac:dyDescent="0.25">
      <c r="A378" t="s">
        <v>204</v>
      </c>
      <c r="B378" s="1">
        <v>148</v>
      </c>
      <c r="C378">
        <v>105</v>
      </c>
      <c r="D378">
        <v>99942</v>
      </c>
      <c r="E378">
        <v>24634</v>
      </c>
      <c r="F378">
        <v>0.54500000000000004</v>
      </c>
      <c r="G378">
        <v>0.53539822999999997</v>
      </c>
      <c r="H378">
        <v>5.5485931000000002E-2</v>
      </c>
      <c r="I378">
        <v>3.2873017999999997E-2</v>
      </c>
    </row>
    <row r="379" spans="1:9" x14ac:dyDescent="0.25">
      <c r="A379" t="s">
        <v>212</v>
      </c>
      <c r="B379" s="1">
        <v>149</v>
      </c>
      <c r="C379">
        <v>103</v>
      </c>
      <c r="D379">
        <v>99371</v>
      </c>
      <c r="E379">
        <v>26189</v>
      </c>
      <c r="F379">
        <v>0.57657079600000005</v>
      </c>
      <c r="G379">
        <v>0.54424778799999995</v>
      </c>
      <c r="H379">
        <v>5.4173583999999997E-2</v>
      </c>
      <c r="I379">
        <v>2.0534931999999999E-2</v>
      </c>
    </row>
    <row r="380" spans="1:9" x14ac:dyDescent="0.25">
      <c r="A380" t="s">
        <v>210</v>
      </c>
      <c r="B380" s="1">
        <v>150</v>
      </c>
      <c r="C380">
        <v>123</v>
      </c>
      <c r="D380">
        <v>99160</v>
      </c>
      <c r="E380">
        <v>22971</v>
      </c>
      <c r="F380">
        <v>0.50617256600000005</v>
      </c>
      <c r="G380">
        <v>0.45575221199999999</v>
      </c>
      <c r="H380">
        <v>4.9453730000000001E-2</v>
      </c>
      <c r="I380">
        <v>1.4052906E-2</v>
      </c>
    </row>
    <row r="381" spans="1:9" x14ac:dyDescent="0.25">
      <c r="A381" t="s">
        <v>205</v>
      </c>
      <c r="B381" s="1">
        <v>151</v>
      </c>
      <c r="C381">
        <v>66</v>
      </c>
      <c r="D381">
        <v>98888</v>
      </c>
      <c r="E381">
        <v>39045</v>
      </c>
      <c r="F381">
        <v>0.85953539800000001</v>
      </c>
      <c r="G381">
        <v>0.707964602</v>
      </c>
      <c r="H381">
        <v>7.9933711000000005E-2</v>
      </c>
      <c r="I381">
        <v>6.5696501000000004E-2</v>
      </c>
    </row>
    <row r="382" spans="1:9" x14ac:dyDescent="0.25">
      <c r="A382" t="s">
        <v>209</v>
      </c>
      <c r="B382" s="1">
        <v>152</v>
      </c>
      <c r="C382">
        <v>63</v>
      </c>
      <c r="D382">
        <v>98752</v>
      </c>
      <c r="E382">
        <v>38591</v>
      </c>
      <c r="F382">
        <v>0.849535398</v>
      </c>
      <c r="G382">
        <v>0.72123893800000005</v>
      </c>
      <c r="H382">
        <v>7.9441484000000007E-2</v>
      </c>
      <c r="I382">
        <v>6.5473963999999996E-2</v>
      </c>
    </row>
    <row r="383" spans="1:9" x14ac:dyDescent="0.25">
      <c r="A383" t="s">
        <v>203</v>
      </c>
      <c r="B383" s="1">
        <v>153</v>
      </c>
      <c r="C383">
        <v>78</v>
      </c>
      <c r="D383">
        <v>98668</v>
      </c>
      <c r="E383">
        <v>17424</v>
      </c>
      <c r="F383">
        <v>0.38544247799999998</v>
      </c>
      <c r="G383">
        <v>0.65486725700000004</v>
      </c>
      <c r="H383">
        <v>3.7705017E-2</v>
      </c>
      <c r="I383">
        <v>-2.9727310000000002E-3</v>
      </c>
    </row>
    <row r="384" spans="1:9" x14ac:dyDescent="0.25">
      <c r="A384" t="s">
        <v>215</v>
      </c>
      <c r="B384" s="1">
        <v>154</v>
      </c>
      <c r="C384">
        <v>91</v>
      </c>
      <c r="D384">
        <v>98612</v>
      </c>
      <c r="E384">
        <v>23682</v>
      </c>
      <c r="F384">
        <v>0.52165929200000005</v>
      </c>
      <c r="G384">
        <v>0.59734513300000003</v>
      </c>
      <c r="H384">
        <v>5.0184732000000003E-2</v>
      </c>
      <c r="I384">
        <v>1.5163360000000001E-2</v>
      </c>
    </row>
    <row r="385" spans="1:9" x14ac:dyDescent="0.25">
      <c r="A385" t="s">
        <v>202</v>
      </c>
      <c r="B385" s="1">
        <v>155</v>
      </c>
      <c r="C385">
        <v>62</v>
      </c>
      <c r="D385">
        <v>98599</v>
      </c>
      <c r="E385">
        <v>39403</v>
      </c>
      <c r="F385">
        <v>0.86756637199999997</v>
      </c>
      <c r="G385">
        <v>0.72566371699999999</v>
      </c>
      <c r="H385">
        <v>8.0682825999999999E-2</v>
      </c>
      <c r="I385">
        <v>6.7461533000000004E-2</v>
      </c>
    </row>
    <row r="386" spans="1:9" x14ac:dyDescent="0.25">
      <c r="A386" t="s">
        <v>214</v>
      </c>
      <c r="B386" s="1">
        <v>156</v>
      </c>
      <c r="C386">
        <v>40</v>
      </c>
      <c r="D386">
        <v>98500</v>
      </c>
      <c r="E386">
        <v>42099</v>
      </c>
      <c r="F386">
        <v>0.93139380500000002</v>
      </c>
      <c r="G386">
        <v>0.82300885000000001</v>
      </c>
      <c r="H386">
        <v>8.5255388000000001E-2</v>
      </c>
      <c r="I386">
        <v>7.4992409999999995E-2</v>
      </c>
    </row>
    <row r="387" spans="1:9" x14ac:dyDescent="0.25">
      <c r="A387" t="s">
        <v>211</v>
      </c>
      <c r="B387" s="1">
        <v>157</v>
      </c>
      <c r="C387">
        <v>42</v>
      </c>
      <c r="D387">
        <v>98328</v>
      </c>
      <c r="E387">
        <v>41948</v>
      </c>
      <c r="F387">
        <v>0.92365044200000002</v>
      </c>
      <c r="G387">
        <v>0.81415929200000003</v>
      </c>
      <c r="H387">
        <v>8.1737577000000006E-2</v>
      </c>
      <c r="I387">
        <v>6.3429905999999994E-2</v>
      </c>
    </row>
    <row r="388" spans="1:9" x14ac:dyDescent="0.25">
      <c r="A388" t="s">
        <v>218</v>
      </c>
      <c r="B388" s="1">
        <v>158</v>
      </c>
      <c r="C388">
        <v>128</v>
      </c>
      <c r="D388">
        <v>97643</v>
      </c>
      <c r="E388">
        <v>10614</v>
      </c>
      <c r="F388">
        <v>0.23061946899999999</v>
      </c>
      <c r="G388">
        <v>0.43362831899999998</v>
      </c>
      <c r="H388">
        <v>2.0686545000000001E-2</v>
      </c>
      <c r="I388">
        <v>-4.2896635000000002E-2</v>
      </c>
    </row>
    <row r="389" spans="1:9" x14ac:dyDescent="0.25">
      <c r="A389" t="s">
        <v>213</v>
      </c>
      <c r="B389" s="1">
        <v>159</v>
      </c>
      <c r="C389">
        <v>115</v>
      </c>
      <c r="D389">
        <v>97489</v>
      </c>
      <c r="E389">
        <v>14076</v>
      </c>
      <c r="F389">
        <v>0.31022123899999998</v>
      </c>
      <c r="G389">
        <v>0.49115044200000002</v>
      </c>
      <c r="H389">
        <v>2.8589535999999999E-2</v>
      </c>
      <c r="I389">
        <v>-2.5356453000000001E-2</v>
      </c>
    </row>
    <row r="390" spans="1:9" x14ac:dyDescent="0.25">
      <c r="A390" t="s">
        <v>208</v>
      </c>
      <c r="B390" s="1">
        <v>160</v>
      </c>
      <c r="C390">
        <v>135</v>
      </c>
      <c r="D390">
        <v>96724</v>
      </c>
      <c r="E390">
        <v>11632</v>
      </c>
      <c r="F390">
        <v>0.25732300899999999</v>
      </c>
      <c r="G390">
        <v>0.40265486700000003</v>
      </c>
      <c r="H390">
        <v>2.5440069999999999E-2</v>
      </c>
      <c r="I390">
        <v>-2.7416006999999999E-2</v>
      </c>
    </row>
    <row r="391" spans="1:9" x14ac:dyDescent="0.25">
      <c r="A391" t="s">
        <v>216</v>
      </c>
      <c r="B391" s="1">
        <v>161</v>
      </c>
      <c r="C391">
        <v>106</v>
      </c>
      <c r="D391">
        <v>96370</v>
      </c>
      <c r="E391">
        <v>22600</v>
      </c>
      <c r="F391">
        <v>0.5</v>
      </c>
      <c r="G391">
        <v>0.53097345100000004</v>
      </c>
      <c r="H391">
        <v>5.1599950999999998E-2</v>
      </c>
      <c r="I391">
        <v>2.6787598999999999E-2</v>
      </c>
    </row>
    <row r="392" spans="1:9" x14ac:dyDescent="0.25">
      <c r="A392" t="s">
        <v>19</v>
      </c>
      <c r="B392" s="1">
        <v>162</v>
      </c>
      <c r="C392">
        <v>179</v>
      </c>
      <c r="D392">
        <v>95961</v>
      </c>
      <c r="E392">
        <v>16006</v>
      </c>
      <c r="F392">
        <v>0.353827434</v>
      </c>
      <c r="G392">
        <v>0.207964602</v>
      </c>
      <c r="H392">
        <v>3.6095650999999999E-2</v>
      </c>
      <c r="I392">
        <v>-6.6977809999999999E-3</v>
      </c>
    </row>
    <row r="393" spans="1:9" x14ac:dyDescent="0.25">
      <c r="A393" t="s">
        <v>220</v>
      </c>
      <c r="B393" s="1">
        <v>163</v>
      </c>
      <c r="C393">
        <v>71</v>
      </c>
      <c r="D393">
        <v>95848</v>
      </c>
      <c r="E393">
        <v>40852</v>
      </c>
      <c r="F393">
        <v>0.89975663699999997</v>
      </c>
      <c r="G393">
        <v>0.68584070799999997</v>
      </c>
      <c r="H393">
        <v>8.0853731999999998E-2</v>
      </c>
      <c r="I393">
        <v>6.1618291999999998E-2</v>
      </c>
    </row>
    <row r="394" spans="1:9" x14ac:dyDescent="0.25">
      <c r="A394" t="s">
        <v>219</v>
      </c>
      <c r="B394" s="1">
        <v>164</v>
      </c>
      <c r="C394">
        <v>94</v>
      </c>
      <c r="D394">
        <v>95663</v>
      </c>
      <c r="E394">
        <v>22702</v>
      </c>
      <c r="F394">
        <v>0.50004424800000002</v>
      </c>
      <c r="G394">
        <v>0.584070796</v>
      </c>
      <c r="H394">
        <v>4.4952923999999998E-2</v>
      </c>
      <c r="I394">
        <v>1.60817E-4</v>
      </c>
    </row>
    <row r="395" spans="1:9" x14ac:dyDescent="0.25">
      <c r="A395" t="s">
        <v>222</v>
      </c>
      <c r="B395" s="1">
        <v>165</v>
      </c>
      <c r="C395">
        <v>58</v>
      </c>
      <c r="D395">
        <v>95561</v>
      </c>
      <c r="E395">
        <v>34973</v>
      </c>
      <c r="F395">
        <v>0.76933628300000001</v>
      </c>
      <c r="G395">
        <v>0.74336283199999997</v>
      </c>
      <c r="H395">
        <v>7.2323134999999997E-2</v>
      </c>
      <c r="I395">
        <v>5.3261699000000003E-2</v>
      </c>
    </row>
    <row r="396" spans="1:9" x14ac:dyDescent="0.25">
      <c r="A396" t="s">
        <v>217</v>
      </c>
      <c r="B396" s="1">
        <v>166</v>
      </c>
      <c r="C396">
        <v>110</v>
      </c>
      <c r="D396">
        <v>95433</v>
      </c>
      <c r="E396">
        <v>22676</v>
      </c>
      <c r="F396">
        <v>0.50168141600000005</v>
      </c>
      <c r="G396">
        <v>0.51327433600000005</v>
      </c>
      <c r="H396">
        <v>5.2263361000000001E-2</v>
      </c>
      <c r="I396">
        <v>2.8958599000000002E-2</v>
      </c>
    </row>
    <row r="397" spans="1:9" x14ac:dyDescent="0.25">
      <c r="A397" t="s">
        <v>22</v>
      </c>
      <c r="B397" s="1">
        <v>167</v>
      </c>
      <c r="C397">
        <v>148</v>
      </c>
      <c r="D397">
        <v>95041</v>
      </c>
      <c r="E397">
        <v>19853</v>
      </c>
      <c r="F397">
        <v>0.43831858400000001</v>
      </c>
      <c r="G397">
        <v>0.34513274300000002</v>
      </c>
      <c r="H397">
        <v>4.4655701999999999E-2</v>
      </c>
      <c r="I397">
        <v>9.8589860000000001E-3</v>
      </c>
    </row>
    <row r="398" spans="1:9" x14ac:dyDescent="0.25">
      <c r="A398" t="s">
        <v>225</v>
      </c>
      <c r="B398" s="1">
        <v>168</v>
      </c>
      <c r="C398">
        <v>115</v>
      </c>
      <c r="D398">
        <v>94259</v>
      </c>
      <c r="E398">
        <v>8291</v>
      </c>
      <c r="F398">
        <v>0.182013274</v>
      </c>
      <c r="G398">
        <v>0.49115044200000002</v>
      </c>
      <c r="H398">
        <v>1.6788269000000001E-2</v>
      </c>
      <c r="I398">
        <v>-4.5510526000000003E-2</v>
      </c>
    </row>
    <row r="399" spans="1:9" x14ac:dyDescent="0.25">
      <c r="A399" t="s">
        <v>229</v>
      </c>
      <c r="B399" s="1">
        <v>169</v>
      </c>
      <c r="C399">
        <v>101</v>
      </c>
      <c r="D399">
        <v>93934</v>
      </c>
      <c r="E399">
        <v>15253</v>
      </c>
      <c r="F399">
        <v>0.33307522099999998</v>
      </c>
      <c r="G399">
        <v>0.55309734499999996</v>
      </c>
      <c r="H399">
        <v>3.0215344000000002E-2</v>
      </c>
      <c r="I399">
        <v>-2.2687968999999999E-2</v>
      </c>
    </row>
    <row r="400" spans="1:9" x14ac:dyDescent="0.25">
      <c r="A400" t="s">
        <v>224</v>
      </c>
      <c r="B400" s="1">
        <v>170</v>
      </c>
      <c r="C400">
        <v>103</v>
      </c>
      <c r="D400">
        <v>93073</v>
      </c>
      <c r="E400">
        <v>10402</v>
      </c>
      <c r="F400">
        <v>0.22577433599999999</v>
      </c>
      <c r="G400">
        <v>0.54424778799999995</v>
      </c>
      <c r="H400">
        <v>2.0918388999999999E-2</v>
      </c>
      <c r="I400">
        <v>-3.7577414000000003E-2</v>
      </c>
    </row>
    <row r="401" spans="1:9" x14ac:dyDescent="0.25">
      <c r="A401" t="s">
        <v>20</v>
      </c>
      <c r="B401" s="1">
        <v>171</v>
      </c>
      <c r="C401">
        <v>177</v>
      </c>
      <c r="D401">
        <v>92898</v>
      </c>
      <c r="E401">
        <v>18417</v>
      </c>
      <c r="F401">
        <v>0.407146018</v>
      </c>
      <c r="G401">
        <v>0.21681415900000001</v>
      </c>
      <c r="H401">
        <v>4.1798621000000001E-2</v>
      </c>
      <c r="I401">
        <v>3.574055E-3</v>
      </c>
    </row>
    <row r="402" spans="1:9" x14ac:dyDescent="0.25">
      <c r="A402" t="s">
        <v>228</v>
      </c>
      <c r="B402" s="1">
        <v>172</v>
      </c>
      <c r="C402">
        <v>171</v>
      </c>
      <c r="D402">
        <v>92782</v>
      </c>
      <c r="E402">
        <v>18432</v>
      </c>
      <c r="F402">
        <v>0.407699115</v>
      </c>
      <c r="G402">
        <v>0.243362832</v>
      </c>
      <c r="H402">
        <v>4.2095028999999999E-2</v>
      </c>
      <c r="I402">
        <v>4.5978199999999999E-3</v>
      </c>
    </row>
    <row r="403" spans="1:9" x14ac:dyDescent="0.25">
      <c r="A403" t="s">
        <v>221</v>
      </c>
      <c r="B403" s="1">
        <v>173</v>
      </c>
      <c r="C403">
        <v>128</v>
      </c>
      <c r="D403">
        <v>92756</v>
      </c>
      <c r="E403">
        <v>20634</v>
      </c>
      <c r="F403">
        <v>0.45650442499999999</v>
      </c>
      <c r="G403">
        <v>0.43362831899999998</v>
      </c>
      <c r="H403">
        <v>4.8074470000000001E-2</v>
      </c>
      <c r="I403">
        <v>2.1084921E-2</v>
      </c>
    </row>
    <row r="404" spans="1:9" x14ac:dyDescent="0.25">
      <c r="A404" t="s">
        <v>230</v>
      </c>
      <c r="B404" s="1">
        <v>174</v>
      </c>
      <c r="C404">
        <v>134</v>
      </c>
      <c r="D404">
        <v>92648</v>
      </c>
      <c r="E404">
        <v>20148</v>
      </c>
      <c r="F404">
        <v>0.44575221199999998</v>
      </c>
      <c r="G404">
        <v>0.40707964600000002</v>
      </c>
      <c r="H404">
        <v>4.6764541999999999E-2</v>
      </c>
      <c r="I404">
        <v>1.8283391999999999E-2</v>
      </c>
    </row>
    <row r="405" spans="1:9" x14ac:dyDescent="0.25">
      <c r="A405" t="s">
        <v>226</v>
      </c>
      <c r="B405" s="1">
        <v>175</v>
      </c>
      <c r="C405">
        <v>139</v>
      </c>
      <c r="D405">
        <v>92623</v>
      </c>
      <c r="E405">
        <v>22241</v>
      </c>
      <c r="F405">
        <v>0.49179203500000002</v>
      </c>
      <c r="G405">
        <v>0.38495575199999998</v>
      </c>
      <c r="H405">
        <v>4.4332175000000001E-2</v>
      </c>
      <c r="I405">
        <v>2.8356799999999999E-4</v>
      </c>
    </row>
    <row r="406" spans="1:9" x14ac:dyDescent="0.25">
      <c r="A406" t="s">
        <v>240</v>
      </c>
      <c r="B406" s="1">
        <v>176</v>
      </c>
      <c r="C406">
        <v>161</v>
      </c>
      <c r="D406">
        <v>91577</v>
      </c>
      <c r="E406">
        <v>18131</v>
      </c>
      <c r="F406">
        <v>0.40112831900000001</v>
      </c>
      <c r="G406">
        <v>0.28761061900000001</v>
      </c>
      <c r="H406">
        <v>4.1493954999999999E-2</v>
      </c>
      <c r="I406">
        <v>5.9596329999999998E-3</v>
      </c>
    </row>
    <row r="407" spans="1:9" x14ac:dyDescent="0.25">
      <c r="A407" t="s">
        <v>233</v>
      </c>
      <c r="B407" s="1">
        <v>177</v>
      </c>
      <c r="C407">
        <v>135</v>
      </c>
      <c r="D407">
        <v>91415</v>
      </c>
      <c r="E407">
        <v>19174</v>
      </c>
      <c r="F407">
        <v>0.42420353999999999</v>
      </c>
      <c r="G407">
        <v>0.40265486700000003</v>
      </c>
      <c r="H407">
        <v>4.5111378000000001E-2</v>
      </c>
      <c r="I407">
        <v>1.6394368999999999E-2</v>
      </c>
    </row>
    <row r="408" spans="1:9" x14ac:dyDescent="0.25">
      <c r="A408" t="s">
        <v>243</v>
      </c>
      <c r="B408" s="1">
        <v>178</v>
      </c>
      <c r="C408">
        <v>42</v>
      </c>
      <c r="D408">
        <v>91368</v>
      </c>
      <c r="E408">
        <v>41684</v>
      </c>
      <c r="F408">
        <v>0.92221238900000002</v>
      </c>
      <c r="G408">
        <v>0.81415929200000003</v>
      </c>
      <c r="H408">
        <v>8.4480276000000007E-2</v>
      </c>
      <c r="I408">
        <v>7.4011555000000007E-2</v>
      </c>
    </row>
    <row r="409" spans="1:9" x14ac:dyDescent="0.25">
      <c r="A409" t="s">
        <v>238</v>
      </c>
      <c r="B409" s="1">
        <v>179</v>
      </c>
      <c r="C409">
        <v>180</v>
      </c>
      <c r="D409">
        <v>91286</v>
      </c>
      <c r="E409">
        <v>15665</v>
      </c>
      <c r="F409">
        <v>0.34216814200000001</v>
      </c>
      <c r="G409">
        <v>0.20353982300000001</v>
      </c>
      <c r="H409">
        <v>3.6535117999999998E-2</v>
      </c>
      <c r="I409">
        <v>-3.656907E-3</v>
      </c>
    </row>
    <row r="410" spans="1:9" x14ac:dyDescent="0.25">
      <c r="A410" t="s">
        <v>236</v>
      </c>
      <c r="B410" s="1">
        <v>180</v>
      </c>
      <c r="C410">
        <v>80</v>
      </c>
      <c r="D410">
        <v>90950</v>
      </c>
      <c r="E410">
        <v>25279</v>
      </c>
      <c r="F410">
        <v>0.55546460200000003</v>
      </c>
      <c r="G410">
        <v>0.64601769899999995</v>
      </c>
      <c r="H410">
        <v>5.1009744000000003E-2</v>
      </c>
      <c r="I410">
        <v>1.3883866E-2</v>
      </c>
    </row>
    <row r="411" spans="1:9" x14ac:dyDescent="0.25">
      <c r="A411" t="s">
        <v>227</v>
      </c>
      <c r="B411" s="1">
        <v>181</v>
      </c>
      <c r="C411">
        <v>172</v>
      </c>
      <c r="D411">
        <v>90889</v>
      </c>
      <c r="E411">
        <v>17458</v>
      </c>
      <c r="F411">
        <v>0.38601769899999999</v>
      </c>
      <c r="G411">
        <v>0.23893805300000001</v>
      </c>
      <c r="H411">
        <v>3.9793241E-2</v>
      </c>
      <c r="I411">
        <v>-3.9412399999999998E-4</v>
      </c>
    </row>
    <row r="412" spans="1:9" x14ac:dyDescent="0.25">
      <c r="A412" t="s">
        <v>223</v>
      </c>
      <c r="B412" s="1">
        <v>182</v>
      </c>
      <c r="C412">
        <v>151</v>
      </c>
      <c r="D412">
        <v>90884</v>
      </c>
      <c r="E412">
        <v>13780</v>
      </c>
      <c r="F412">
        <v>0.30256637199999997</v>
      </c>
      <c r="G412">
        <v>0.33185840700000002</v>
      </c>
      <c r="H412">
        <v>2.9499856000000001E-2</v>
      </c>
      <c r="I412">
        <v>-2.4862315999999999E-2</v>
      </c>
    </row>
    <row r="413" spans="1:9" x14ac:dyDescent="0.25">
      <c r="A413" t="s">
        <v>231</v>
      </c>
      <c r="B413" s="1">
        <v>183</v>
      </c>
      <c r="C413">
        <v>39</v>
      </c>
      <c r="D413">
        <v>90795</v>
      </c>
      <c r="E413">
        <v>43474</v>
      </c>
      <c r="F413">
        <v>0.95741150399999997</v>
      </c>
      <c r="G413">
        <v>0.82743362799999998</v>
      </c>
      <c r="H413">
        <v>8.4728499999999998E-2</v>
      </c>
      <c r="I413">
        <v>6.6717628000000001E-2</v>
      </c>
    </row>
    <row r="414" spans="1:9" x14ac:dyDescent="0.25">
      <c r="A414" t="s">
        <v>237</v>
      </c>
      <c r="B414" s="1">
        <v>184</v>
      </c>
      <c r="C414">
        <v>73</v>
      </c>
      <c r="D414">
        <v>90527</v>
      </c>
      <c r="E414">
        <v>30418</v>
      </c>
      <c r="F414">
        <v>0.67</v>
      </c>
      <c r="G414">
        <v>0.67699114999999999</v>
      </c>
      <c r="H414">
        <v>6.0163599999999998E-2</v>
      </c>
      <c r="I414">
        <v>2.6115089000000001E-2</v>
      </c>
    </row>
    <row r="415" spans="1:9" x14ac:dyDescent="0.25">
      <c r="A415" t="s">
        <v>239</v>
      </c>
      <c r="B415" s="1">
        <v>185</v>
      </c>
      <c r="C415">
        <v>179</v>
      </c>
      <c r="D415">
        <v>90323</v>
      </c>
      <c r="E415">
        <v>8905</v>
      </c>
      <c r="F415">
        <v>0.192632743</v>
      </c>
      <c r="G415">
        <v>0.207964602</v>
      </c>
      <c r="H415">
        <v>1.9469624000000001E-2</v>
      </c>
      <c r="I415">
        <v>-4.2461405000000001E-2</v>
      </c>
    </row>
    <row r="416" spans="1:9" x14ac:dyDescent="0.25">
      <c r="A416" t="s">
        <v>234</v>
      </c>
      <c r="B416" s="1">
        <v>186</v>
      </c>
      <c r="C416">
        <v>102</v>
      </c>
      <c r="D416">
        <v>90048</v>
      </c>
      <c r="E416">
        <v>18735</v>
      </c>
      <c r="F416">
        <v>0.41311946900000002</v>
      </c>
      <c r="G416">
        <v>0.54867256600000003</v>
      </c>
      <c r="H416">
        <v>3.8566681999999998E-2</v>
      </c>
      <c r="I416">
        <v>-9.7721949999999991E-3</v>
      </c>
    </row>
    <row r="417" spans="1:9" x14ac:dyDescent="0.25">
      <c r="A417" t="s">
        <v>235</v>
      </c>
      <c r="B417" s="1">
        <v>187</v>
      </c>
      <c r="C417">
        <v>79</v>
      </c>
      <c r="D417">
        <v>89941</v>
      </c>
      <c r="E417">
        <v>34050</v>
      </c>
      <c r="F417">
        <v>0.75</v>
      </c>
      <c r="G417">
        <v>0.65044247799999999</v>
      </c>
      <c r="H417">
        <v>6.7347313000000006E-2</v>
      </c>
      <c r="I417">
        <v>3.8404542999999999E-2</v>
      </c>
    </row>
    <row r="418" spans="1:9" x14ac:dyDescent="0.25">
      <c r="A418" t="s">
        <v>242</v>
      </c>
      <c r="B418" s="1">
        <v>188</v>
      </c>
      <c r="C418">
        <v>124</v>
      </c>
      <c r="D418">
        <v>89886</v>
      </c>
      <c r="E418">
        <v>6580</v>
      </c>
      <c r="F418">
        <v>0.14123893800000001</v>
      </c>
      <c r="G418">
        <v>0.45132743400000003</v>
      </c>
      <c r="H418">
        <v>1.3053278999999999E-2</v>
      </c>
      <c r="I418">
        <v>-5.5548129000000002E-2</v>
      </c>
    </row>
    <row r="419" spans="1:9" x14ac:dyDescent="0.25">
      <c r="A419" t="s">
        <v>241</v>
      </c>
      <c r="B419" s="1">
        <v>189</v>
      </c>
      <c r="C419">
        <v>63</v>
      </c>
      <c r="D419">
        <v>89147</v>
      </c>
      <c r="E419">
        <v>37909</v>
      </c>
      <c r="F419">
        <v>0.83499999999999996</v>
      </c>
      <c r="G419">
        <v>0.72123893800000005</v>
      </c>
      <c r="H419">
        <v>7.4980009E-2</v>
      </c>
      <c r="I419">
        <v>5.1462086999999997E-2</v>
      </c>
    </row>
    <row r="420" spans="1:9" x14ac:dyDescent="0.25">
      <c r="A420" t="s">
        <v>245</v>
      </c>
      <c r="B420" s="1">
        <v>190</v>
      </c>
      <c r="C420">
        <v>177</v>
      </c>
      <c r="D420">
        <v>88758</v>
      </c>
      <c r="E420">
        <v>766</v>
      </c>
      <c r="F420">
        <v>1.6880531000000001E-2</v>
      </c>
      <c r="G420">
        <v>0.21681415900000001</v>
      </c>
      <c r="H420">
        <v>1.513471E-3</v>
      </c>
      <c r="I420">
        <v>-7.4208763999999997E-2</v>
      </c>
    </row>
    <row r="421" spans="1:9" x14ac:dyDescent="0.25">
      <c r="A421" t="s">
        <v>246</v>
      </c>
      <c r="B421" s="1">
        <v>191</v>
      </c>
      <c r="C421">
        <v>63</v>
      </c>
      <c r="D421">
        <v>88543</v>
      </c>
      <c r="E421">
        <v>30418</v>
      </c>
      <c r="F421">
        <v>0.67</v>
      </c>
      <c r="G421">
        <v>0.72123893800000005</v>
      </c>
      <c r="H421">
        <v>6.0163599999999998E-2</v>
      </c>
      <c r="I421">
        <v>2.6115089000000001E-2</v>
      </c>
    </row>
    <row r="422" spans="1:9" x14ac:dyDescent="0.25">
      <c r="A422" t="s">
        <v>244</v>
      </c>
      <c r="B422" s="1">
        <v>192</v>
      </c>
      <c r="C422">
        <v>83</v>
      </c>
      <c r="D422">
        <v>88304</v>
      </c>
      <c r="E422">
        <v>21370</v>
      </c>
      <c r="F422">
        <v>0.47037610600000002</v>
      </c>
      <c r="G422">
        <v>0.632743363</v>
      </c>
      <c r="H422">
        <v>4.3973683999999999E-2</v>
      </c>
      <c r="I422">
        <v>-1.8472399999999999E-4</v>
      </c>
    </row>
    <row r="423" spans="1:9" x14ac:dyDescent="0.25">
      <c r="A423" t="s">
        <v>247</v>
      </c>
      <c r="B423" s="1">
        <v>193</v>
      </c>
      <c r="C423">
        <v>88</v>
      </c>
      <c r="D423">
        <v>87847</v>
      </c>
      <c r="E423">
        <v>22700</v>
      </c>
      <c r="F423">
        <v>0.5</v>
      </c>
      <c r="G423">
        <v>0.61061946899999997</v>
      </c>
      <c r="H423">
        <v>4.4898209000000001E-2</v>
      </c>
      <c r="I423">
        <v>0</v>
      </c>
    </row>
    <row r="424" spans="1:9" x14ac:dyDescent="0.25">
      <c r="A424" t="s">
        <v>261</v>
      </c>
      <c r="B424" s="1">
        <v>194</v>
      </c>
      <c r="C424">
        <v>77</v>
      </c>
      <c r="D424">
        <v>87592</v>
      </c>
      <c r="E424">
        <v>35707</v>
      </c>
      <c r="F424">
        <v>0.786747788</v>
      </c>
      <c r="G424">
        <v>0.659292035</v>
      </c>
      <c r="H424">
        <v>6.7766796000000004E-2</v>
      </c>
      <c r="I424">
        <v>3.5659285999999998E-2</v>
      </c>
    </row>
    <row r="425" spans="1:9" x14ac:dyDescent="0.25">
      <c r="A425" t="s">
        <v>248</v>
      </c>
      <c r="B425" s="1">
        <v>195</v>
      </c>
      <c r="C425">
        <v>73</v>
      </c>
      <c r="D425">
        <v>87568</v>
      </c>
      <c r="E425">
        <v>36735</v>
      </c>
      <c r="F425">
        <v>0.80938053099999996</v>
      </c>
      <c r="G425">
        <v>0.67699114999999999</v>
      </c>
      <c r="H425">
        <v>6.9790948000000005E-2</v>
      </c>
      <c r="I425">
        <v>3.8432465999999998E-2</v>
      </c>
    </row>
    <row r="426" spans="1:9" x14ac:dyDescent="0.25">
      <c r="A426" t="s">
        <v>253</v>
      </c>
      <c r="B426" s="1">
        <v>196</v>
      </c>
      <c r="C426">
        <v>62</v>
      </c>
      <c r="D426">
        <v>86821</v>
      </c>
      <c r="E426">
        <v>40860</v>
      </c>
      <c r="F426">
        <v>0.9</v>
      </c>
      <c r="G426">
        <v>0.72566371699999999</v>
      </c>
      <c r="H426">
        <v>8.0816776000000007E-2</v>
      </c>
      <c r="I426">
        <v>6.1447267999999999E-2</v>
      </c>
    </row>
    <row r="427" spans="1:9" x14ac:dyDescent="0.25">
      <c r="A427" t="s">
        <v>249</v>
      </c>
      <c r="B427" s="1">
        <v>197</v>
      </c>
      <c r="C427">
        <v>189</v>
      </c>
      <c r="D427">
        <v>86496</v>
      </c>
      <c r="E427">
        <v>11578</v>
      </c>
      <c r="F427">
        <v>0.25597345100000002</v>
      </c>
      <c r="G427">
        <v>0.16371681399999999</v>
      </c>
      <c r="H427">
        <v>2.5735126000000001E-2</v>
      </c>
      <c r="I427">
        <v>-3.1188655999999999E-2</v>
      </c>
    </row>
    <row r="428" spans="1:9" x14ac:dyDescent="0.25">
      <c r="A428" t="s">
        <v>255</v>
      </c>
      <c r="B428" s="1">
        <v>198</v>
      </c>
      <c r="C428">
        <v>74</v>
      </c>
      <c r="D428">
        <v>86208</v>
      </c>
      <c r="E428">
        <v>22700</v>
      </c>
      <c r="F428">
        <v>0.5</v>
      </c>
      <c r="G428">
        <v>0.67256637200000002</v>
      </c>
      <c r="H428">
        <v>4.4898209000000001E-2</v>
      </c>
      <c r="I428">
        <v>0</v>
      </c>
    </row>
    <row r="429" spans="1:9" x14ac:dyDescent="0.25">
      <c r="A429" t="s">
        <v>254</v>
      </c>
      <c r="B429" s="1">
        <v>199</v>
      </c>
      <c r="C429">
        <v>208</v>
      </c>
      <c r="D429">
        <v>86060</v>
      </c>
      <c r="E429">
        <v>849</v>
      </c>
      <c r="F429">
        <v>1.4380531E-2</v>
      </c>
      <c r="G429">
        <v>7.9646017999999999E-2</v>
      </c>
      <c r="H429">
        <v>7.7744700000000001E-4</v>
      </c>
      <c r="I429">
        <v>-7.8354292000000006E-2</v>
      </c>
    </row>
    <row r="430" spans="1:9" x14ac:dyDescent="0.25">
      <c r="A430" t="s">
        <v>264</v>
      </c>
      <c r="B430" s="1">
        <v>200</v>
      </c>
      <c r="C430">
        <v>83</v>
      </c>
      <c r="D430">
        <v>85947</v>
      </c>
      <c r="E430">
        <v>26813</v>
      </c>
      <c r="F430">
        <v>0.590995575</v>
      </c>
      <c r="G430">
        <v>0.632743363</v>
      </c>
      <c r="H430">
        <v>4.9736760999999997E-2</v>
      </c>
      <c r="I430">
        <v>7.547677E-3</v>
      </c>
    </row>
    <row r="431" spans="1:9" x14ac:dyDescent="0.25">
      <c r="A431" t="s">
        <v>252</v>
      </c>
      <c r="B431" s="1">
        <v>201</v>
      </c>
      <c r="C431">
        <v>85</v>
      </c>
      <c r="D431">
        <v>85942</v>
      </c>
      <c r="E431">
        <v>22700</v>
      </c>
      <c r="F431">
        <v>0.5</v>
      </c>
      <c r="G431">
        <v>0.62389380500000002</v>
      </c>
      <c r="H431">
        <v>4.4898209000000001E-2</v>
      </c>
      <c r="I431">
        <v>0</v>
      </c>
    </row>
    <row r="432" spans="1:9" x14ac:dyDescent="0.25">
      <c r="A432" t="s">
        <v>251</v>
      </c>
      <c r="B432" s="1">
        <v>202</v>
      </c>
      <c r="C432">
        <v>118</v>
      </c>
      <c r="D432">
        <v>85900</v>
      </c>
      <c r="E432">
        <v>4501</v>
      </c>
      <c r="F432">
        <v>9.9137167999999998E-2</v>
      </c>
      <c r="G432">
        <v>0.47787610600000002</v>
      </c>
      <c r="H432">
        <v>8.8668540000000004E-3</v>
      </c>
      <c r="I432">
        <v>-6.1723714999999998E-2</v>
      </c>
    </row>
    <row r="433" spans="1:9" x14ac:dyDescent="0.25">
      <c r="A433" t="s">
        <v>269</v>
      </c>
      <c r="B433" s="1">
        <v>203</v>
      </c>
      <c r="C433">
        <v>173</v>
      </c>
      <c r="D433">
        <v>85774</v>
      </c>
      <c r="E433">
        <v>4567</v>
      </c>
      <c r="F433">
        <v>9.6681416000000006E-2</v>
      </c>
      <c r="G433">
        <v>0.23451327399999999</v>
      </c>
      <c r="H433">
        <v>9.0659539999999993E-3</v>
      </c>
      <c r="I433">
        <v>-6.2946348999999999E-2</v>
      </c>
    </row>
    <row r="434" spans="1:9" x14ac:dyDescent="0.25">
      <c r="A434" t="s">
        <v>257</v>
      </c>
      <c r="B434" s="1">
        <v>204</v>
      </c>
      <c r="C434">
        <v>85</v>
      </c>
      <c r="D434">
        <v>85753</v>
      </c>
      <c r="E434">
        <v>26509</v>
      </c>
      <c r="F434">
        <v>0.582168142</v>
      </c>
      <c r="G434">
        <v>0.62389380500000002</v>
      </c>
      <c r="H434">
        <v>5.4105513000000001E-2</v>
      </c>
      <c r="I434">
        <v>1.2126455E-2</v>
      </c>
    </row>
    <row r="435" spans="1:9" x14ac:dyDescent="0.25">
      <c r="A435" t="s">
        <v>266</v>
      </c>
      <c r="B435" s="1">
        <v>205</v>
      </c>
      <c r="C435">
        <v>72</v>
      </c>
      <c r="D435">
        <v>85724</v>
      </c>
      <c r="E435">
        <v>22700</v>
      </c>
      <c r="F435">
        <v>0.5</v>
      </c>
      <c r="G435">
        <v>0.68141592900000003</v>
      </c>
      <c r="H435">
        <v>4.4898209000000001E-2</v>
      </c>
      <c r="I435">
        <v>0</v>
      </c>
    </row>
    <row r="436" spans="1:9" x14ac:dyDescent="0.25">
      <c r="A436" t="s">
        <v>23</v>
      </c>
      <c r="B436" s="1">
        <v>206</v>
      </c>
      <c r="C436">
        <v>81</v>
      </c>
      <c r="D436">
        <v>85567</v>
      </c>
      <c r="E436">
        <v>22726</v>
      </c>
      <c r="F436">
        <v>0.50081858400000001</v>
      </c>
      <c r="G436">
        <v>0.64159292000000001</v>
      </c>
      <c r="H436">
        <v>4.5101623E-2</v>
      </c>
      <c r="I436">
        <v>8.8153700000000005E-4</v>
      </c>
    </row>
    <row r="437" spans="1:9" x14ac:dyDescent="0.25">
      <c r="A437" t="s">
        <v>270</v>
      </c>
      <c r="B437" s="1">
        <v>207</v>
      </c>
      <c r="C437">
        <v>91</v>
      </c>
      <c r="D437">
        <v>85525</v>
      </c>
      <c r="E437">
        <v>16498</v>
      </c>
      <c r="F437">
        <v>0.36280973500000002</v>
      </c>
      <c r="G437">
        <v>0.59734513300000003</v>
      </c>
      <c r="H437">
        <v>3.1333912999999998E-2</v>
      </c>
      <c r="I437">
        <v>-2.2845906999999999E-2</v>
      </c>
    </row>
    <row r="438" spans="1:9" x14ac:dyDescent="0.25">
      <c r="A438" t="s">
        <v>256</v>
      </c>
      <c r="B438" s="1">
        <v>208</v>
      </c>
      <c r="C438">
        <v>187</v>
      </c>
      <c r="D438">
        <v>85327</v>
      </c>
      <c r="E438">
        <v>11622</v>
      </c>
      <c r="F438">
        <v>0.256946903</v>
      </c>
      <c r="G438">
        <v>0.172566372</v>
      </c>
      <c r="H438">
        <v>2.6419997000000001E-2</v>
      </c>
      <c r="I438">
        <v>-2.7871645E-2</v>
      </c>
    </row>
    <row r="439" spans="1:9" x14ac:dyDescent="0.25">
      <c r="A439" t="s">
        <v>272</v>
      </c>
      <c r="B439" s="1">
        <v>209</v>
      </c>
      <c r="C439">
        <v>193</v>
      </c>
      <c r="D439">
        <v>85285</v>
      </c>
      <c r="E439">
        <v>8952</v>
      </c>
      <c r="F439">
        <v>0.19792035399999999</v>
      </c>
      <c r="G439">
        <v>0.146017699</v>
      </c>
      <c r="H439">
        <v>2.0038331999999999E-2</v>
      </c>
      <c r="I439">
        <v>-4.1301857999999997E-2</v>
      </c>
    </row>
    <row r="440" spans="1:9" x14ac:dyDescent="0.25">
      <c r="A440" t="s">
        <v>260</v>
      </c>
      <c r="B440" s="1">
        <v>210</v>
      </c>
      <c r="C440">
        <v>87</v>
      </c>
      <c r="D440">
        <v>85217</v>
      </c>
      <c r="E440">
        <v>24653</v>
      </c>
      <c r="F440">
        <v>0.545420354</v>
      </c>
      <c r="G440">
        <v>0.61504424800000002</v>
      </c>
      <c r="H440">
        <v>5.0660818000000003E-2</v>
      </c>
      <c r="I440">
        <v>1.7606811999999999E-2</v>
      </c>
    </row>
    <row r="441" spans="1:9" x14ac:dyDescent="0.25">
      <c r="A441" t="s">
        <v>250</v>
      </c>
      <c r="B441" s="1">
        <v>211</v>
      </c>
      <c r="C441">
        <v>74</v>
      </c>
      <c r="D441">
        <v>85117</v>
      </c>
      <c r="E441">
        <v>38012</v>
      </c>
      <c r="F441">
        <v>0.83694690299999996</v>
      </c>
      <c r="G441">
        <v>0.67256637200000002</v>
      </c>
      <c r="H441">
        <v>7.1829857999999996E-2</v>
      </c>
      <c r="I441">
        <v>4.0070358E-2</v>
      </c>
    </row>
    <row r="442" spans="1:9" x14ac:dyDescent="0.25">
      <c r="A442" t="s">
        <v>259</v>
      </c>
      <c r="B442" s="1">
        <v>212</v>
      </c>
      <c r="C442">
        <v>180</v>
      </c>
      <c r="D442">
        <v>85037</v>
      </c>
      <c r="E442">
        <v>4427</v>
      </c>
      <c r="F442">
        <v>9.3539822999999994E-2</v>
      </c>
      <c r="G442">
        <v>0.20353982300000001</v>
      </c>
      <c r="H442">
        <v>9.0985249999999997E-3</v>
      </c>
      <c r="I442">
        <v>-6.2897068E-2</v>
      </c>
    </row>
    <row r="443" spans="1:9" x14ac:dyDescent="0.25">
      <c r="A443" t="s">
        <v>21</v>
      </c>
      <c r="B443" s="1">
        <v>213</v>
      </c>
      <c r="C443">
        <v>80</v>
      </c>
      <c r="D443">
        <v>84975</v>
      </c>
      <c r="E443">
        <v>22578</v>
      </c>
      <c r="F443">
        <v>0.49721238899999998</v>
      </c>
      <c r="G443">
        <v>0.64601769899999995</v>
      </c>
      <c r="H443">
        <v>4.4559273000000003E-2</v>
      </c>
      <c r="I443">
        <v>-1.0468470000000001E-3</v>
      </c>
    </row>
    <row r="444" spans="1:9" x14ac:dyDescent="0.25">
      <c r="A444" t="s">
        <v>267</v>
      </c>
      <c r="B444" s="1">
        <v>214</v>
      </c>
      <c r="C444">
        <v>203</v>
      </c>
      <c r="D444">
        <v>84921</v>
      </c>
      <c r="E444">
        <v>5415</v>
      </c>
      <c r="F444">
        <v>0.119712389</v>
      </c>
      <c r="G444">
        <v>0.101769912</v>
      </c>
      <c r="H444">
        <v>1.1773392000000001E-2</v>
      </c>
      <c r="I444">
        <v>-5.7680043E-2</v>
      </c>
    </row>
    <row r="445" spans="1:9" x14ac:dyDescent="0.25">
      <c r="A445" t="s">
        <v>263</v>
      </c>
      <c r="B445" s="1">
        <v>215</v>
      </c>
      <c r="C445">
        <v>211</v>
      </c>
      <c r="D445">
        <v>84878</v>
      </c>
      <c r="E445">
        <v>3534</v>
      </c>
      <c r="F445">
        <v>7.8185841000000006E-2</v>
      </c>
      <c r="G445">
        <v>6.6371681000000002E-2</v>
      </c>
      <c r="H445">
        <v>9.0753629999999995E-3</v>
      </c>
      <c r="I445">
        <v>-5.6539240999999997E-2</v>
      </c>
    </row>
    <row r="446" spans="1:9" x14ac:dyDescent="0.25">
      <c r="A446" t="s">
        <v>262</v>
      </c>
      <c r="B446" s="1">
        <v>216</v>
      </c>
      <c r="C446">
        <v>112</v>
      </c>
      <c r="D446">
        <v>84810</v>
      </c>
      <c r="E446">
        <v>13586</v>
      </c>
      <c r="F446">
        <v>0.29924778800000001</v>
      </c>
      <c r="G446">
        <v>0.50442477900000005</v>
      </c>
      <c r="H446">
        <v>2.790395E-2</v>
      </c>
      <c r="I446">
        <v>-2.8397524E-2</v>
      </c>
    </row>
    <row r="447" spans="1:9" x14ac:dyDescent="0.25">
      <c r="A447" t="s">
        <v>265</v>
      </c>
      <c r="B447" s="1">
        <v>217</v>
      </c>
      <c r="C447">
        <v>155</v>
      </c>
      <c r="D447">
        <v>84552</v>
      </c>
      <c r="E447">
        <v>3351</v>
      </c>
      <c r="F447">
        <v>7.4137168000000003E-2</v>
      </c>
      <c r="G447">
        <v>0.31415929199999998</v>
      </c>
      <c r="H447">
        <v>6.619855E-3</v>
      </c>
      <c r="I447">
        <v>-6.6022063000000006E-2</v>
      </c>
    </row>
    <row r="448" spans="1:9" x14ac:dyDescent="0.25">
      <c r="A448" t="s">
        <v>268</v>
      </c>
      <c r="B448" s="1">
        <v>218</v>
      </c>
      <c r="C448">
        <v>105</v>
      </c>
      <c r="D448">
        <v>84463</v>
      </c>
      <c r="E448">
        <v>14982</v>
      </c>
      <c r="F448">
        <v>0.33</v>
      </c>
      <c r="G448">
        <v>0.53539822999999997</v>
      </c>
      <c r="H448">
        <v>2.9632817999999998E-2</v>
      </c>
      <c r="I448">
        <v>-2.6115089000000001E-2</v>
      </c>
    </row>
    <row r="449" spans="1:9" x14ac:dyDescent="0.25">
      <c r="A449" t="s">
        <v>276</v>
      </c>
      <c r="B449" s="1">
        <v>219</v>
      </c>
      <c r="C449">
        <v>202</v>
      </c>
      <c r="D449">
        <v>84256</v>
      </c>
      <c r="E449">
        <v>4284</v>
      </c>
      <c r="F449">
        <v>9.4646017999999998E-2</v>
      </c>
      <c r="G449">
        <v>0.10619468999999999</v>
      </c>
      <c r="H449">
        <v>9.2693540000000005E-3</v>
      </c>
      <c r="I449">
        <v>-6.1454321999999999E-2</v>
      </c>
    </row>
    <row r="450" spans="1:9" x14ac:dyDescent="0.25">
      <c r="A450" t="s">
        <v>271</v>
      </c>
      <c r="B450" s="1">
        <v>220</v>
      </c>
      <c r="C450">
        <v>78</v>
      </c>
      <c r="D450">
        <v>83738</v>
      </c>
      <c r="E450">
        <v>27360</v>
      </c>
      <c r="F450">
        <v>0.60309734500000001</v>
      </c>
      <c r="G450">
        <v>0.65486725700000004</v>
      </c>
      <c r="H450">
        <v>5.1627008000000002E-2</v>
      </c>
      <c r="I450">
        <v>1.2542915999999999E-2</v>
      </c>
    </row>
    <row r="451" spans="1:9" x14ac:dyDescent="0.25">
      <c r="A451" t="s">
        <v>258</v>
      </c>
      <c r="B451" s="1">
        <v>221</v>
      </c>
      <c r="C451">
        <v>199</v>
      </c>
      <c r="D451">
        <v>83628</v>
      </c>
      <c r="E451">
        <v>7091</v>
      </c>
      <c r="F451">
        <v>0.156792035</v>
      </c>
      <c r="G451">
        <v>0.11946902700000001</v>
      </c>
      <c r="H451">
        <v>1.5824603999999999E-2</v>
      </c>
      <c r="I451">
        <v>-4.9399629E-2</v>
      </c>
    </row>
    <row r="452" spans="1:9" x14ac:dyDescent="0.25">
      <c r="A452" t="s">
        <v>273</v>
      </c>
      <c r="B452" s="1">
        <v>222</v>
      </c>
      <c r="C452">
        <v>102</v>
      </c>
      <c r="D452">
        <v>83071</v>
      </c>
      <c r="E452">
        <v>18276</v>
      </c>
      <c r="F452">
        <v>0.40433628300000002</v>
      </c>
      <c r="G452">
        <v>0.54867256600000003</v>
      </c>
      <c r="H452">
        <v>3.5351023000000002E-2</v>
      </c>
      <c r="I452">
        <v>-9.7802159999999996E-3</v>
      </c>
    </row>
    <row r="453" spans="1:9" x14ac:dyDescent="0.25">
      <c r="A453" t="s">
        <v>277</v>
      </c>
      <c r="B453" s="1">
        <v>223</v>
      </c>
      <c r="C453">
        <v>65</v>
      </c>
      <c r="D453">
        <v>82529</v>
      </c>
      <c r="E453">
        <v>32375</v>
      </c>
      <c r="F453">
        <v>0.71353982299999996</v>
      </c>
      <c r="G453">
        <v>0.71238938100000004</v>
      </c>
      <c r="H453">
        <v>6.1100862999999998E-2</v>
      </c>
      <c r="I453">
        <v>2.5273640999999999E-2</v>
      </c>
    </row>
    <row r="454" spans="1:9" x14ac:dyDescent="0.25">
      <c r="A454" t="s">
        <v>278</v>
      </c>
      <c r="B454" s="1">
        <v>224</v>
      </c>
      <c r="C454">
        <v>81</v>
      </c>
      <c r="D454">
        <v>82390</v>
      </c>
      <c r="E454">
        <v>27589</v>
      </c>
      <c r="F454">
        <v>0.60816371700000005</v>
      </c>
      <c r="G454">
        <v>0.64159292000000001</v>
      </c>
      <c r="H454">
        <v>5.1152950000000003E-2</v>
      </c>
      <c r="I454">
        <v>8.9745510000000008E-3</v>
      </c>
    </row>
    <row r="455" spans="1:9" x14ac:dyDescent="0.25">
      <c r="A455" t="s">
        <v>274</v>
      </c>
      <c r="B455" s="1">
        <v>225</v>
      </c>
      <c r="C455">
        <v>71</v>
      </c>
      <c r="D455">
        <v>82261</v>
      </c>
      <c r="E455">
        <v>33969</v>
      </c>
      <c r="F455">
        <v>0.74931415899999998</v>
      </c>
      <c r="G455">
        <v>0.68584070799999997</v>
      </c>
      <c r="H455">
        <v>6.5254487999999999E-2</v>
      </c>
      <c r="I455">
        <v>3.2867663999999998E-2</v>
      </c>
    </row>
    <row r="456" spans="1:9" x14ac:dyDescent="0.25">
      <c r="A456" t="s">
        <v>275</v>
      </c>
      <c r="B456" s="1">
        <v>226</v>
      </c>
      <c r="C456">
        <v>199</v>
      </c>
      <c r="D456">
        <v>81876</v>
      </c>
      <c r="E456">
        <v>3395</v>
      </c>
      <c r="F456">
        <v>7.0707964999999998E-2</v>
      </c>
      <c r="G456">
        <v>0.11946902700000001</v>
      </c>
      <c r="H456">
        <v>4.1699659999999998E-3</v>
      </c>
      <c r="I456">
        <v>-7.9326451000000006E-2</v>
      </c>
    </row>
    <row r="457" spans="1:9" x14ac:dyDescent="0.25">
      <c r="A457" t="s">
        <v>279</v>
      </c>
      <c r="B457" s="1">
        <v>227</v>
      </c>
      <c r="C457">
        <v>211</v>
      </c>
      <c r="D457">
        <v>80712</v>
      </c>
      <c r="E457">
        <v>0</v>
      </c>
      <c r="F457">
        <v>0</v>
      </c>
      <c r="G457">
        <v>6.6371681000000002E-2</v>
      </c>
      <c r="H457">
        <v>0</v>
      </c>
      <c r="I457">
        <v>-7.6809084999999999E-2</v>
      </c>
    </row>
    <row r="459" spans="1:9" x14ac:dyDescent="0.25">
      <c r="A459" t="s">
        <v>0</v>
      </c>
      <c r="C459" t="s">
        <v>1</v>
      </c>
      <c r="D459" t="s">
        <v>2</v>
      </c>
      <c r="E459" t="s">
        <v>3</v>
      </c>
      <c r="F459" t="s">
        <v>4</v>
      </c>
      <c r="G459" t="s">
        <v>5</v>
      </c>
      <c r="H459" t="s">
        <v>6</v>
      </c>
      <c r="I459" t="s">
        <v>7</v>
      </c>
    </row>
    <row r="460" spans="1:9" x14ac:dyDescent="0.25">
      <c r="A460" t="s">
        <v>70</v>
      </c>
      <c r="B460" s="1">
        <v>1</v>
      </c>
      <c r="C460">
        <v>49</v>
      </c>
      <c r="D460">
        <v>130631</v>
      </c>
      <c r="E460">
        <v>34206</v>
      </c>
      <c r="F460">
        <v>0.75234513300000005</v>
      </c>
      <c r="G460">
        <v>0.78318584099999999</v>
      </c>
      <c r="H460">
        <v>7.3274058000000003E-2</v>
      </c>
      <c r="I460">
        <v>7.1466569999999993E-2</v>
      </c>
    </row>
    <row r="461" spans="1:9" x14ac:dyDescent="0.25">
      <c r="A461" t="s">
        <v>8</v>
      </c>
      <c r="B461" s="1">
        <v>2</v>
      </c>
      <c r="C461">
        <v>47</v>
      </c>
      <c r="D461">
        <v>130591</v>
      </c>
      <c r="E461">
        <v>34055</v>
      </c>
      <c r="F461">
        <v>0.74900442499999997</v>
      </c>
      <c r="G461">
        <v>0.792035398</v>
      </c>
      <c r="H461">
        <v>7.3375040000000002E-2</v>
      </c>
      <c r="I461">
        <v>7.3468014999999998E-2</v>
      </c>
    </row>
    <row r="462" spans="1:9" x14ac:dyDescent="0.25">
      <c r="A462" t="s">
        <v>69</v>
      </c>
      <c r="B462" s="1">
        <v>3</v>
      </c>
      <c r="C462">
        <v>38</v>
      </c>
      <c r="D462">
        <v>130318</v>
      </c>
      <c r="E462">
        <v>36177</v>
      </c>
      <c r="F462">
        <v>0.79595132700000004</v>
      </c>
      <c r="G462">
        <v>0.83185840700000002</v>
      </c>
      <c r="H462">
        <v>7.6963271E-2</v>
      </c>
      <c r="I462">
        <v>7.6136472999999996E-2</v>
      </c>
    </row>
    <row r="463" spans="1:9" x14ac:dyDescent="0.25">
      <c r="A463" t="s">
        <v>72</v>
      </c>
      <c r="B463" s="1">
        <v>4</v>
      </c>
      <c r="C463">
        <v>64</v>
      </c>
      <c r="D463">
        <v>129190</v>
      </c>
      <c r="E463">
        <v>32718</v>
      </c>
      <c r="F463">
        <v>0.71942477900000001</v>
      </c>
      <c r="G463">
        <v>0.71681415900000001</v>
      </c>
      <c r="H463">
        <v>7.0090609999999998E-2</v>
      </c>
      <c r="I463">
        <v>6.6757733E-2</v>
      </c>
    </row>
    <row r="464" spans="1:9" x14ac:dyDescent="0.25">
      <c r="A464" t="s">
        <v>71</v>
      </c>
      <c r="B464" s="1">
        <v>5</v>
      </c>
      <c r="C464">
        <v>44</v>
      </c>
      <c r="D464">
        <v>128469</v>
      </c>
      <c r="E464">
        <v>34437</v>
      </c>
      <c r="F464">
        <v>0.75745575200000004</v>
      </c>
      <c r="G464">
        <v>0.80530973500000003</v>
      </c>
      <c r="H464">
        <v>7.4360905000000005E-2</v>
      </c>
      <c r="I464">
        <v>7.5455245000000004E-2</v>
      </c>
    </row>
    <row r="465" spans="1:9" x14ac:dyDescent="0.25">
      <c r="A465" t="s">
        <v>75</v>
      </c>
      <c r="B465" s="1">
        <v>6</v>
      </c>
      <c r="C465">
        <v>45</v>
      </c>
      <c r="D465">
        <v>128090</v>
      </c>
      <c r="E465">
        <v>33418</v>
      </c>
      <c r="F465">
        <v>0.73491150400000005</v>
      </c>
      <c r="G465">
        <v>0.80088495599999998</v>
      </c>
      <c r="H465">
        <v>7.5509794000000005E-2</v>
      </c>
      <c r="I465">
        <v>8.5572882000000003E-2</v>
      </c>
    </row>
    <row r="466" spans="1:9" x14ac:dyDescent="0.25">
      <c r="A466" t="s">
        <v>74</v>
      </c>
      <c r="B466" s="1">
        <v>7</v>
      </c>
      <c r="C466">
        <v>46</v>
      </c>
      <c r="D466">
        <v>127970</v>
      </c>
      <c r="E466">
        <v>33086</v>
      </c>
      <c r="F466">
        <v>0.72756637199999996</v>
      </c>
      <c r="G466">
        <v>0.79646017700000005</v>
      </c>
      <c r="H466">
        <v>7.3903969999999999E-2</v>
      </c>
      <c r="I466">
        <v>8.0677698000000006E-2</v>
      </c>
    </row>
    <row r="467" spans="1:9" x14ac:dyDescent="0.25">
      <c r="A467" t="s">
        <v>73</v>
      </c>
      <c r="B467" s="1">
        <v>8</v>
      </c>
      <c r="C467">
        <v>51</v>
      </c>
      <c r="D467">
        <v>127740</v>
      </c>
      <c r="E467">
        <v>32092</v>
      </c>
      <c r="F467">
        <v>0.70557522100000003</v>
      </c>
      <c r="G467">
        <v>0.77433628300000001</v>
      </c>
      <c r="H467">
        <v>7.1261196999999998E-2</v>
      </c>
      <c r="I467">
        <v>7.4812210000000004E-2</v>
      </c>
    </row>
    <row r="468" spans="1:9" x14ac:dyDescent="0.25">
      <c r="A468" t="s">
        <v>77</v>
      </c>
      <c r="B468" s="1">
        <v>9</v>
      </c>
      <c r="C468">
        <v>37</v>
      </c>
      <c r="D468">
        <v>127689</v>
      </c>
      <c r="E468">
        <v>36014</v>
      </c>
      <c r="F468">
        <v>0.79234513299999998</v>
      </c>
      <c r="G468">
        <v>0.83628318599999996</v>
      </c>
      <c r="H468">
        <v>7.4642341000000001E-2</v>
      </c>
      <c r="I468">
        <v>6.7737164000000002E-2</v>
      </c>
    </row>
    <row r="469" spans="1:9" x14ac:dyDescent="0.25">
      <c r="A469" t="s">
        <v>78</v>
      </c>
      <c r="B469" s="1">
        <v>10</v>
      </c>
      <c r="C469">
        <v>42</v>
      </c>
      <c r="D469">
        <v>127626</v>
      </c>
      <c r="E469">
        <v>31812</v>
      </c>
      <c r="F469">
        <v>0.69938053099999997</v>
      </c>
      <c r="G469">
        <v>0.81415929200000003</v>
      </c>
      <c r="H469">
        <v>7.0378176000000001E-2</v>
      </c>
      <c r="I469">
        <v>7.3180577999999996E-2</v>
      </c>
    </row>
    <row r="470" spans="1:9" x14ac:dyDescent="0.25">
      <c r="A470" t="s">
        <v>76</v>
      </c>
      <c r="B470" s="1">
        <v>11</v>
      </c>
      <c r="C470">
        <v>42</v>
      </c>
      <c r="D470">
        <v>127363</v>
      </c>
      <c r="E470">
        <v>32859</v>
      </c>
      <c r="F470">
        <v>0.72254424799999994</v>
      </c>
      <c r="G470">
        <v>0.81415929200000003</v>
      </c>
      <c r="H470">
        <v>7.4189344000000004E-2</v>
      </c>
      <c r="I470">
        <v>8.3349243000000003E-2</v>
      </c>
    </row>
    <row r="471" spans="1:9" x14ac:dyDescent="0.25">
      <c r="A471" t="s">
        <v>82</v>
      </c>
      <c r="B471" s="1">
        <v>12</v>
      </c>
      <c r="C471">
        <v>38</v>
      </c>
      <c r="D471">
        <v>126381</v>
      </c>
      <c r="E471">
        <v>36718</v>
      </c>
      <c r="F471">
        <v>0.80792035399999995</v>
      </c>
      <c r="G471">
        <v>0.83185840700000002</v>
      </c>
      <c r="H471">
        <v>7.9514715E-2</v>
      </c>
      <c r="I471">
        <v>8.3218347999999998E-2</v>
      </c>
    </row>
    <row r="472" spans="1:9" x14ac:dyDescent="0.25">
      <c r="A472" t="s">
        <v>80</v>
      </c>
      <c r="B472" s="1">
        <v>13</v>
      </c>
      <c r="C472">
        <v>37</v>
      </c>
      <c r="D472">
        <v>126345</v>
      </c>
      <c r="E472">
        <v>33638</v>
      </c>
      <c r="F472">
        <v>0.73977876099999995</v>
      </c>
      <c r="G472">
        <v>0.83628318599999996</v>
      </c>
      <c r="H472">
        <v>7.6258080000000006E-2</v>
      </c>
      <c r="I472">
        <v>8.6923502999999999E-2</v>
      </c>
    </row>
    <row r="473" spans="1:9" x14ac:dyDescent="0.25">
      <c r="A473" t="s">
        <v>84</v>
      </c>
      <c r="B473" s="1">
        <v>14</v>
      </c>
      <c r="C473">
        <v>47</v>
      </c>
      <c r="D473">
        <v>125815</v>
      </c>
      <c r="E473">
        <v>34725</v>
      </c>
      <c r="F473">
        <v>0.76382743399999997</v>
      </c>
      <c r="G473">
        <v>0.792035398</v>
      </c>
      <c r="H473">
        <v>7.7290880000000006E-2</v>
      </c>
      <c r="I473">
        <v>8.5211781E-2</v>
      </c>
    </row>
    <row r="474" spans="1:9" x14ac:dyDescent="0.25">
      <c r="A474" t="s">
        <v>83</v>
      </c>
      <c r="B474" s="1">
        <v>15</v>
      </c>
      <c r="C474">
        <v>46</v>
      </c>
      <c r="D474">
        <v>125725</v>
      </c>
      <c r="E474">
        <v>31274</v>
      </c>
      <c r="F474">
        <v>0.68747787599999999</v>
      </c>
      <c r="G474">
        <v>0.79646017700000005</v>
      </c>
      <c r="H474">
        <v>7.1016549999999998E-2</v>
      </c>
      <c r="I474">
        <v>7.7956432000000006E-2</v>
      </c>
    </row>
    <row r="475" spans="1:9" x14ac:dyDescent="0.25">
      <c r="A475" t="s">
        <v>81</v>
      </c>
      <c r="B475" s="1">
        <v>16</v>
      </c>
      <c r="C475">
        <v>44</v>
      </c>
      <c r="D475">
        <v>125682</v>
      </c>
      <c r="E475">
        <v>33332</v>
      </c>
      <c r="F475">
        <v>0.73300885000000005</v>
      </c>
      <c r="G475">
        <v>0.80530973500000003</v>
      </c>
      <c r="H475">
        <v>7.4539026999999994E-2</v>
      </c>
      <c r="I475">
        <v>8.0938488000000003E-2</v>
      </c>
    </row>
    <row r="476" spans="1:9" x14ac:dyDescent="0.25">
      <c r="A476" t="s">
        <v>79</v>
      </c>
      <c r="B476" s="1">
        <v>17</v>
      </c>
      <c r="C476">
        <v>45</v>
      </c>
      <c r="D476">
        <v>125358</v>
      </c>
      <c r="E476">
        <v>33670</v>
      </c>
      <c r="F476">
        <v>0.74048672599999998</v>
      </c>
      <c r="G476">
        <v>0.80088495599999998</v>
      </c>
      <c r="H476">
        <v>7.3943370999999994E-2</v>
      </c>
      <c r="I476">
        <v>7.7401132999999997E-2</v>
      </c>
    </row>
    <row r="477" spans="1:9" x14ac:dyDescent="0.25">
      <c r="A477" t="s">
        <v>85</v>
      </c>
      <c r="B477" s="1">
        <v>18</v>
      </c>
      <c r="C477">
        <v>171</v>
      </c>
      <c r="D477">
        <v>125296</v>
      </c>
      <c r="E477">
        <v>31819</v>
      </c>
      <c r="F477">
        <v>0.699579646</v>
      </c>
      <c r="G477">
        <v>0.243362832</v>
      </c>
      <c r="H477">
        <v>7.2155047999999999E-2</v>
      </c>
      <c r="I477">
        <v>7.9829181999999999E-2</v>
      </c>
    </row>
    <row r="478" spans="1:9" x14ac:dyDescent="0.25">
      <c r="A478" t="s">
        <v>91</v>
      </c>
      <c r="B478" s="1">
        <v>19</v>
      </c>
      <c r="C478">
        <v>59</v>
      </c>
      <c r="D478">
        <v>124687</v>
      </c>
      <c r="E478">
        <v>28668</v>
      </c>
      <c r="F478">
        <v>0.62982300899999999</v>
      </c>
      <c r="G478">
        <v>0.73893805300000004</v>
      </c>
      <c r="H478">
        <v>6.6840548E-2</v>
      </c>
      <c r="I478">
        <v>7.5572582999999999E-2</v>
      </c>
    </row>
    <row r="479" spans="1:9" x14ac:dyDescent="0.25">
      <c r="A479" t="s">
        <v>86</v>
      </c>
      <c r="B479" s="1">
        <v>20</v>
      </c>
      <c r="C479">
        <v>19</v>
      </c>
      <c r="D479">
        <v>124426</v>
      </c>
      <c r="E479">
        <v>37211</v>
      </c>
      <c r="F479">
        <v>0.81882743400000002</v>
      </c>
      <c r="G479">
        <v>0.915929204</v>
      </c>
      <c r="H479">
        <v>8.1372810000000004E-2</v>
      </c>
      <c r="I479">
        <v>8.7899921000000006E-2</v>
      </c>
    </row>
    <row r="480" spans="1:9" x14ac:dyDescent="0.25">
      <c r="A480" t="s">
        <v>103</v>
      </c>
      <c r="B480" s="1">
        <v>21</v>
      </c>
      <c r="C480">
        <v>32</v>
      </c>
      <c r="D480">
        <v>124140</v>
      </c>
      <c r="E480">
        <v>34667</v>
      </c>
      <c r="F480">
        <v>0.76254424799999998</v>
      </c>
      <c r="G480">
        <v>0.85840707999999999</v>
      </c>
      <c r="H480">
        <v>7.7996807000000001E-2</v>
      </c>
      <c r="I480">
        <v>8.8107275999999998E-2</v>
      </c>
    </row>
    <row r="481" spans="1:9" x14ac:dyDescent="0.25">
      <c r="A481" t="s">
        <v>87</v>
      </c>
      <c r="B481" s="1">
        <v>22</v>
      </c>
      <c r="C481">
        <v>41</v>
      </c>
      <c r="D481">
        <v>123985</v>
      </c>
      <c r="E481">
        <v>33996</v>
      </c>
      <c r="F481">
        <v>0.74769911499999997</v>
      </c>
      <c r="G481">
        <v>0.81858407099999997</v>
      </c>
      <c r="H481">
        <v>7.7101520000000007E-2</v>
      </c>
      <c r="I481">
        <v>8.8252594000000004E-2</v>
      </c>
    </row>
    <row r="482" spans="1:9" x14ac:dyDescent="0.25">
      <c r="A482" t="s">
        <v>95</v>
      </c>
      <c r="B482" s="1">
        <v>23</v>
      </c>
      <c r="C482">
        <v>28</v>
      </c>
      <c r="D482">
        <v>123944</v>
      </c>
      <c r="E482">
        <v>35742</v>
      </c>
      <c r="F482">
        <v>0.78632743400000005</v>
      </c>
      <c r="G482">
        <v>0.87610619499999998</v>
      </c>
      <c r="H482">
        <v>7.8290129999999999E-2</v>
      </c>
      <c r="I482">
        <v>8.4260604000000003E-2</v>
      </c>
    </row>
    <row r="483" spans="1:9" x14ac:dyDescent="0.25">
      <c r="A483" t="s">
        <v>92</v>
      </c>
      <c r="B483" s="1">
        <v>24</v>
      </c>
      <c r="C483">
        <v>49</v>
      </c>
      <c r="D483">
        <v>123940</v>
      </c>
      <c r="E483">
        <v>34180</v>
      </c>
      <c r="F483">
        <v>0.75176991199999998</v>
      </c>
      <c r="G483">
        <v>0.78318584099999999</v>
      </c>
      <c r="H483">
        <v>7.6340486999999999E-2</v>
      </c>
      <c r="I483">
        <v>8.4305274999999999E-2</v>
      </c>
    </row>
    <row r="484" spans="1:9" x14ac:dyDescent="0.25">
      <c r="A484" t="s">
        <v>89</v>
      </c>
      <c r="B484" s="1">
        <v>25</v>
      </c>
      <c r="C484">
        <v>188</v>
      </c>
      <c r="D484">
        <v>123918</v>
      </c>
      <c r="E484">
        <v>30022</v>
      </c>
      <c r="F484">
        <v>0.659800885</v>
      </c>
      <c r="G484">
        <v>0.16814159300000001</v>
      </c>
      <c r="H484">
        <v>6.9889352000000002E-2</v>
      </c>
      <c r="I484">
        <v>7.9479991999999999E-2</v>
      </c>
    </row>
    <row r="485" spans="1:9" x14ac:dyDescent="0.25">
      <c r="A485" t="s">
        <v>94</v>
      </c>
      <c r="B485" s="1">
        <v>26</v>
      </c>
      <c r="C485">
        <v>45</v>
      </c>
      <c r="D485">
        <v>123762</v>
      </c>
      <c r="E485">
        <v>30836</v>
      </c>
      <c r="F485">
        <v>0.67778761099999996</v>
      </c>
      <c r="G485">
        <v>0.80088495599999998</v>
      </c>
      <c r="H485">
        <v>7.1831432000000001E-2</v>
      </c>
      <c r="I485">
        <v>8.3074783999999999E-2</v>
      </c>
    </row>
    <row r="486" spans="1:9" x14ac:dyDescent="0.25">
      <c r="A486" t="s">
        <v>90</v>
      </c>
      <c r="B486" s="1">
        <v>27</v>
      </c>
      <c r="C486">
        <v>182</v>
      </c>
      <c r="D486">
        <v>123605</v>
      </c>
      <c r="E486">
        <v>29689</v>
      </c>
      <c r="F486">
        <v>0.65245575200000006</v>
      </c>
      <c r="G486">
        <v>0.194690265</v>
      </c>
      <c r="H486">
        <v>6.8360240000000003E-2</v>
      </c>
      <c r="I486">
        <v>7.5795001000000001E-2</v>
      </c>
    </row>
    <row r="487" spans="1:9" x14ac:dyDescent="0.25">
      <c r="A487" t="s">
        <v>88</v>
      </c>
      <c r="B487" s="1">
        <v>28</v>
      </c>
      <c r="C487">
        <v>47</v>
      </c>
      <c r="D487">
        <v>123509</v>
      </c>
      <c r="E487">
        <v>31019</v>
      </c>
      <c r="F487">
        <v>0.68183628299999999</v>
      </c>
      <c r="G487">
        <v>0.792035398</v>
      </c>
      <c r="H487">
        <v>6.7922412000000001E-2</v>
      </c>
      <c r="I487">
        <v>6.6515784999999994E-2</v>
      </c>
    </row>
    <row r="488" spans="1:9" x14ac:dyDescent="0.25">
      <c r="A488" t="s">
        <v>110</v>
      </c>
      <c r="B488" s="1">
        <v>29</v>
      </c>
      <c r="C488">
        <v>71</v>
      </c>
      <c r="D488">
        <v>123125</v>
      </c>
      <c r="E488">
        <v>26385</v>
      </c>
      <c r="F488">
        <v>0.57931415900000005</v>
      </c>
      <c r="G488">
        <v>0.68584070799999997</v>
      </c>
      <c r="H488">
        <v>6.2489072999999999E-2</v>
      </c>
      <c r="I488">
        <v>6.9401948000000005E-2</v>
      </c>
    </row>
    <row r="489" spans="1:9" x14ac:dyDescent="0.25">
      <c r="A489" t="s">
        <v>102</v>
      </c>
      <c r="B489" s="1">
        <v>30</v>
      </c>
      <c r="C489">
        <v>20</v>
      </c>
      <c r="D489">
        <v>123112</v>
      </c>
      <c r="E489">
        <v>37343</v>
      </c>
      <c r="F489">
        <v>0.82174778800000003</v>
      </c>
      <c r="G489">
        <v>0.91150442499999995</v>
      </c>
      <c r="H489">
        <v>8.1602556000000007E-2</v>
      </c>
      <c r="I489">
        <v>8.8026999999999994E-2</v>
      </c>
    </row>
    <row r="490" spans="1:9" x14ac:dyDescent="0.25">
      <c r="A490" t="s">
        <v>93</v>
      </c>
      <c r="B490" s="1">
        <v>31</v>
      </c>
      <c r="C490">
        <v>44</v>
      </c>
      <c r="D490">
        <v>122915</v>
      </c>
      <c r="E490">
        <v>30431</v>
      </c>
      <c r="F490">
        <v>0.668827434</v>
      </c>
      <c r="G490">
        <v>0.80530973500000003</v>
      </c>
      <c r="H490">
        <v>7.0607609000000002E-2</v>
      </c>
      <c r="I490">
        <v>8.0707431999999996E-2</v>
      </c>
    </row>
    <row r="491" spans="1:9" x14ac:dyDescent="0.25">
      <c r="A491" t="s">
        <v>101</v>
      </c>
      <c r="B491" s="1">
        <v>32</v>
      </c>
      <c r="C491">
        <v>69</v>
      </c>
      <c r="D491">
        <v>122856</v>
      </c>
      <c r="E491">
        <v>27381</v>
      </c>
      <c r="F491">
        <v>0.60134955800000001</v>
      </c>
      <c r="G491">
        <v>0.69469026499999997</v>
      </c>
      <c r="H491">
        <v>6.4849993999999994E-2</v>
      </c>
      <c r="I491">
        <v>7.3901204999999998E-2</v>
      </c>
    </row>
    <row r="492" spans="1:9" x14ac:dyDescent="0.25">
      <c r="A492" t="s">
        <v>14</v>
      </c>
      <c r="B492" s="1">
        <v>33</v>
      </c>
      <c r="C492">
        <v>44</v>
      </c>
      <c r="D492">
        <v>122518</v>
      </c>
      <c r="E492">
        <v>33551</v>
      </c>
      <c r="F492">
        <v>0.73785398199999996</v>
      </c>
      <c r="G492">
        <v>0.80530973500000003</v>
      </c>
      <c r="H492">
        <v>7.5201012999999997E-2</v>
      </c>
      <c r="I492">
        <v>8.1571637000000002E-2</v>
      </c>
    </row>
    <row r="493" spans="1:9" x14ac:dyDescent="0.25">
      <c r="A493" t="s">
        <v>98</v>
      </c>
      <c r="B493" s="1">
        <v>34</v>
      </c>
      <c r="C493">
        <v>57</v>
      </c>
      <c r="D493">
        <v>122330</v>
      </c>
      <c r="E493">
        <v>28933</v>
      </c>
      <c r="F493">
        <v>0.63568584100000003</v>
      </c>
      <c r="G493">
        <v>0.74778761100000002</v>
      </c>
      <c r="H493">
        <v>6.6411798999999994E-2</v>
      </c>
      <c r="I493">
        <v>7.1689885999999994E-2</v>
      </c>
    </row>
    <row r="494" spans="1:9" x14ac:dyDescent="0.25">
      <c r="A494" t="s">
        <v>99</v>
      </c>
      <c r="B494" s="1">
        <v>35</v>
      </c>
      <c r="C494">
        <v>0</v>
      </c>
      <c r="D494">
        <v>122259</v>
      </c>
      <c r="E494">
        <v>39899</v>
      </c>
      <c r="F494">
        <v>0.87829645999999995</v>
      </c>
      <c r="G494">
        <v>1</v>
      </c>
      <c r="H494">
        <v>8.4439226000000006E-2</v>
      </c>
      <c r="I494">
        <v>8.5146255000000004E-2</v>
      </c>
    </row>
    <row r="495" spans="1:9" x14ac:dyDescent="0.25">
      <c r="A495" t="s">
        <v>97</v>
      </c>
      <c r="B495" s="1">
        <v>36</v>
      </c>
      <c r="C495">
        <v>50</v>
      </c>
      <c r="D495">
        <v>122211</v>
      </c>
      <c r="E495">
        <v>30962</v>
      </c>
      <c r="F495">
        <v>0.68057522100000001</v>
      </c>
      <c r="G495">
        <v>0.77876106199999995</v>
      </c>
      <c r="H495">
        <v>7.1285368000000002E-2</v>
      </c>
      <c r="I495">
        <v>8.0806763000000004E-2</v>
      </c>
    </row>
    <row r="496" spans="1:9" x14ac:dyDescent="0.25">
      <c r="A496" t="s">
        <v>112</v>
      </c>
      <c r="B496" s="1">
        <v>37</v>
      </c>
      <c r="C496">
        <v>0</v>
      </c>
      <c r="D496">
        <v>121664</v>
      </c>
      <c r="E496">
        <v>38594</v>
      </c>
      <c r="F496">
        <v>0.84942477900000002</v>
      </c>
      <c r="G496">
        <v>1</v>
      </c>
      <c r="H496">
        <v>8.3278759999999993E-2</v>
      </c>
      <c r="I496">
        <v>8.7438557E-2</v>
      </c>
    </row>
    <row r="497" spans="1:9" x14ac:dyDescent="0.25">
      <c r="A497" t="s">
        <v>96</v>
      </c>
      <c r="B497" s="1">
        <v>38</v>
      </c>
      <c r="C497">
        <v>188</v>
      </c>
      <c r="D497">
        <v>121378</v>
      </c>
      <c r="E497">
        <v>27342</v>
      </c>
      <c r="F497">
        <v>0.60050884999999998</v>
      </c>
      <c r="G497">
        <v>0.16814159300000001</v>
      </c>
      <c r="H497">
        <v>6.4425716999999993E-2</v>
      </c>
      <c r="I497">
        <v>7.1140460000000003E-2</v>
      </c>
    </row>
    <row r="498" spans="1:9" x14ac:dyDescent="0.25">
      <c r="A498" t="s">
        <v>106</v>
      </c>
      <c r="B498" s="1">
        <v>39</v>
      </c>
      <c r="C498">
        <v>64</v>
      </c>
      <c r="D498">
        <v>121341</v>
      </c>
      <c r="E498">
        <v>28160</v>
      </c>
      <c r="F498">
        <v>0.61858407100000001</v>
      </c>
      <c r="G498">
        <v>0.71681415900000001</v>
      </c>
      <c r="H498">
        <v>6.5523875999999995E-2</v>
      </c>
      <c r="I498">
        <v>7.2151028000000006E-2</v>
      </c>
    </row>
    <row r="499" spans="1:9" x14ac:dyDescent="0.25">
      <c r="A499" t="s">
        <v>104</v>
      </c>
      <c r="B499" s="1">
        <v>40</v>
      </c>
      <c r="C499">
        <v>34</v>
      </c>
      <c r="D499">
        <v>121224</v>
      </c>
      <c r="E499">
        <v>34806</v>
      </c>
      <c r="F499">
        <v>0.765619469</v>
      </c>
      <c r="G499">
        <v>0.84955752200000001</v>
      </c>
      <c r="H499">
        <v>7.8736726000000007E-2</v>
      </c>
      <c r="I499">
        <v>9.0299636000000003E-2</v>
      </c>
    </row>
    <row r="500" spans="1:9" x14ac:dyDescent="0.25">
      <c r="A500" t="s">
        <v>114</v>
      </c>
      <c r="B500" s="1">
        <v>41</v>
      </c>
      <c r="C500">
        <v>68</v>
      </c>
      <c r="D500">
        <v>120838</v>
      </c>
      <c r="E500">
        <v>26669</v>
      </c>
      <c r="F500">
        <v>0.58559734500000005</v>
      </c>
      <c r="G500">
        <v>0.69911504400000002</v>
      </c>
      <c r="H500">
        <v>6.3512945000000001E-2</v>
      </c>
      <c r="I500">
        <v>7.1921573000000003E-2</v>
      </c>
    </row>
    <row r="501" spans="1:9" x14ac:dyDescent="0.25">
      <c r="A501" t="s">
        <v>107</v>
      </c>
      <c r="B501" s="1">
        <v>42</v>
      </c>
      <c r="C501">
        <v>44</v>
      </c>
      <c r="D501">
        <v>120822</v>
      </c>
      <c r="E501">
        <v>31016</v>
      </c>
      <c r="F501">
        <v>0.68176991200000003</v>
      </c>
      <c r="G501">
        <v>0.80530973500000003</v>
      </c>
      <c r="H501">
        <v>7.1445943999999997E-2</v>
      </c>
      <c r="I501">
        <v>8.0579978999999996E-2</v>
      </c>
    </row>
    <row r="502" spans="1:9" x14ac:dyDescent="0.25">
      <c r="A502" t="s">
        <v>124</v>
      </c>
      <c r="B502" s="1">
        <v>43</v>
      </c>
      <c r="C502">
        <v>7</v>
      </c>
      <c r="D502">
        <v>120776</v>
      </c>
      <c r="E502">
        <v>39416</v>
      </c>
      <c r="F502">
        <v>0.86761061900000003</v>
      </c>
      <c r="G502">
        <v>0.96902654899999996</v>
      </c>
      <c r="H502">
        <v>8.3882382000000005E-2</v>
      </c>
      <c r="I502">
        <v>8.5578153000000004E-2</v>
      </c>
    </row>
    <row r="503" spans="1:9" x14ac:dyDescent="0.25">
      <c r="A503" t="s">
        <v>119</v>
      </c>
      <c r="B503" s="1">
        <v>44</v>
      </c>
      <c r="C503">
        <v>69</v>
      </c>
      <c r="D503">
        <v>120725</v>
      </c>
      <c r="E503">
        <v>25934</v>
      </c>
      <c r="F503">
        <v>0.56933628300000005</v>
      </c>
      <c r="G503">
        <v>0.69469026499999997</v>
      </c>
      <c r="H503">
        <v>6.1693746000000001E-2</v>
      </c>
      <c r="I503">
        <v>6.8374779999999996E-2</v>
      </c>
    </row>
    <row r="504" spans="1:9" x14ac:dyDescent="0.25">
      <c r="A504" t="s">
        <v>108</v>
      </c>
      <c r="B504" s="1">
        <v>45</v>
      </c>
      <c r="C504">
        <v>34</v>
      </c>
      <c r="D504">
        <v>120631</v>
      </c>
      <c r="E504">
        <v>35804</v>
      </c>
      <c r="F504">
        <v>0.78769911500000001</v>
      </c>
      <c r="G504">
        <v>0.84955752200000001</v>
      </c>
      <c r="H504">
        <v>7.8942032999999995E-2</v>
      </c>
      <c r="I504">
        <v>8.4863260999999995E-2</v>
      </c>
    </row>
    <row r="505" spans="1:9" x14ac:dyDescent="0.25">
      <c r="A505" t="s">
        <v>118</v>
      </c>
      <c r="B505" s="1">
        <v>46</v>
      </c>
      <c r="C505">
        <v>52</v>
      </c>
      <c r="D505">
        <v>120582</v>
      </c>
      <c r="E505">
        <v>31273</v>
      </c>
      <c r="F505">
        <v>0.68745575199999998</v>
      </c>
      <c r="G505">
        <v>0.76991150399999997</v>
      </c>
      <c r="H505">
        <v>7.1878863000000001E-2</v>
      </c>
      <c r="I505">
        <v>8.0381445999999995E-2</v>
      </c>
    </row>
    <row r="506" spans="1:9" x14ac:dyDescent="0.25">
      <c r="A506" t="s">
        <v>9</v>
      </c>
      <c r="B506" s="1">
        <v>47</v>
      </c>
      <c r="C506">
        <v>179</v>
      </c>
      <c r="D506">
        <v>120577</v>
      </c>
      <c r="E506">
        <v>34445</v>
      </c>
      <c r="F506">
        <v>0.75767699099999997</v>
      </c>
      <c r="G506">
        <v>0.207964602</v>
      </c>
      <c r="H506">
        <v>7.7875805000000006E-2</v>
      </c>
      <c r="I506">
        <v>8.8141773000000007E-2</v>
      </c>
    </row>
    <row r="507" spans="1:9" x14ac:dyDescent="0.25">
      <c r="A507" t="s">
        <v>100</v>
      </c>
      <c r="B507" s="1">
        <v>48</v>
      </c>
      <c r="C507">
        <v>106</v>
      </c>
      <c r="D507">
        <v>120541</v>
      </c>
      <c r="E507">
        <v>25005</v>
      </c>
      <c r="F507">
        <v>0.54926991199999997</v>
      </c>
      <c r="G507">
        <v>0.53097345100000004</v>
      </c>
      <c r="H507">
        <v>5.4641869000000003E-2</v>
      </c>
      <c r="I507">
        <v>3.3749396000000001E-2</v>
      </c>
    </row>
    <row r="508" spans="1:9" x14ac:dyDescent="0.25">
      <c r="A508" t="s">
        <v>109</v>
      </c>
      <c r="B508" s="1">
        <v>49</v>
      </c>
      <c r="C508">
        <v>43</v>
      </c>
      <c r="D508">
        <v>120398</v>
      </c>
      <c r="E508">
        <v>34142</v>
      </c>
      <c r="F508">
        <v>0.75092920399999996</v>
      </c>
      <c r="G508">
        <v>0.80973451299999999</v>
      </c>
      <c r="H508">
        <v>7.7820739E-2</v>
      </c>
      <c r="I508">
        <v>8.9665202999999999E-2</v>
      </c>
    </row>
    <row r="509" spans="1:9" x14ac:dyDescent="0.25">
      <c r="A509" t="s">
        <v>113</v>
      </c>
      <c r="B509" s="1">
        <v>50</v>
      </c>
      <c r="C509">
        <v>124</v>
      </c>
      <c r="D509">
        <v>120378</v>
      </c>
      <c r="E509">
        <v>26499</v>
      </c>
      <c r="F509">
        <v>0.58201327400000002</v>
      </c>
      <c r="G509">
        <v>0.45132743400000003</v>
      </c>
      <c r="H509">
        <v>5.7856645999999998E-2</v>
      </c>
      <c r="I509">
        <v>3.7971402000000001E-2</v>
      </c>
    </row>
    <row r="510" spans="1:9" x14ac:dyDescent="0.25">
      <c r="A510" t="s">
        <v>111</v>
      </c>
      <c r="B510" s="1">
        <v>51</v>
      </c>
      <c r="C510">
        <v>36</v>
      </c>
      <c r="D510">
        <v>120331</v>
      </c>
      <c r="E510">
        <v>37220</v>
      </c>
      <c r="F510">
        <v>0.81902654900000005</v>
      </c>
      <c r="G510">
        <v>0.840707965</v>
      </c>
      <c r="H510">
        <v>7.9878949000000005E-2</v>
      </c>
      <c r="I510">
        <v>8.1119257E-2</v>
      </c>
    </row>
    <row r="511" spans="1:9" x14ac:dyDescent="0.25">
      <c r="A511" t="s">
        <v>105</v>
      </c>
      <c r="B511" s="1">
        <v>52</v>
      </c>
      <c r="C511">
        <v>14</v>
      </c>
      <c r="D511">
        <v>120198</v>
      </c>
      <c r="E511">
        <v>35671</v>
      </c>
      <c r="F511">
        <v>0.78475663699999998</v>
      </c>
      <c r="G511">
        <v>0.93805309699999995</v>
      </c>
      <c r="H511">
        <v>7.8956714999999997E-2</v>
      </c>
      <c r="I511">
        <v>8.6372666000000001E-2</v>
      </c>
    </row>
    <row r="512" spans="1:9" x14ac:dyDescent="0.25">
      <c r="A512" t="s">
        <v>121</v>
      </c>
      <c r="B512" s="1">
        <v>53</v>
      </c>
      <c r="C512">
        <v>0</v>
      </c>
      <c r="D512">
        <v>120059</v>
      </c>
      <c r="E512">
        <v>40608</v>
      </c>
      <c r="F512">
        <v>0.89398230099999998</v>
      </c>
      <c r="G512">
        <v>1</v>
      </c>
      <c r="H512">
        <v>8.4975738999999995E-2</v>
      </c>
      <c r="I512">
        <v>8.3327535999999994E-2</v>
      </c>
    </row>
    <row r="513" spans="1:9" x14ac:dyDescent="0.25">
      <c r="A513" t="s">
        <v>116</v>
      </c>
      <c r="B513" s="1">
        <v>54</v>
      </c>
      <c r="C513">
        <v>38</v>
      </c>
      <c r="D513">
        <v>120051</v>
      </c>
      <c r="E513">
        <v>37130</v>
      </c>
      <c r="F513">
        <v>0.81703539800000002</v>
      </c>
      <c r="G513">
        <v>0.83185840700000002</v>
      </c>
      <c r="H513">
        <v>7.9670122999999995E-2</v>
      </c>
      <c r="I513">
        <v>8.0726083000000004E-2</v>
      </c>
    </row>
    <row r="514" spans="1:9" x14ac:dyDescent="0.25">
      <c r="A514" t="s">
        <v>117</v>
      </c>
      <c r="B514" s="1">
        <v>55</v>
      </c>
      <c r="C514">
        <v>37</v>
      </c>
      <c r="D514">
        <v>120050</v>
      </c>
      <c r="E514">
        <v>33478</v>
      </c>
      <c r="F514">
        <v>0.73623893799999995</v>
      </c>
      <c r="G514">
        <v>0.83628318599999996</v>
      </c>
      <c r="H514">
        <v>7.6174108000000004E-2</v>
      </c>
      <c r="I514">
        <v>8.6861516E-2</v>
      </c>
    </row>
    <row r="515" spans="1:9" x14ac:dyDescent="0.25">
      <c r="A515" t="s">
        <v>15</v>
      </c>
      <c r="B515" s="1">
        <v>56</v>
      </c>
      <c r="C515">
        <v>71</v>
      </c>
      <c r="D515">
        <v>119952</v>
      </c>
      <c r="E515">
        <v>25847</v>
      </c>
      <c r="F515">
        <v>0.56741150399999996</v>
      </c>
      <c r="G515">
        <v>0.68584070799999997</v>
      </c>
      <c r="H515">
        <v>6.1748149000000002E-2</v>
      </c>
      <c r="I515">
        <v>6.8637206000000006E-2</v>
      </c>
    </row>
    <row r="516" spans="1:9" x14ac:dyDescent="0.25">
      <c r="A516" t="s">
        <v>115</v>
      </c>
      <c r="B516" s="1">
        <v>57</v>
      </c>
      <c r="C516">
        <v>23</v>
      </c>
      <c r="D516">
        <v>119862</v>
      </c>
      <c r="E516">
        <v>36348</v>
      </c>
      <c r="F516">
        <v>0.79973451299999998</v>
      </c>
      <c r="G516">
        <v>0.89823008800000004</v>
      </c>
      <c r="H516">
        <v>8.1123942000000004E-2</v>
      </c>
      <c r="I516">
        <v>9.1345470999999998E-2</v>
      </c>
    </row>
    <row r="517" spans="1:9" x14ac:dyDescent="0.25">
      <c r="A517" t="s">
        <v>128</v>
      </c>
      <c r="B517" s="1">
        <v>58</v>
      </c>
      <c r="C517">
        <v>0</v>
      </c>
      <c r="D517">
        <v>119594</v>
      </c>
      <c r="E517">
        <v>40621</v>
      </c>
      <c r="F517">
        <v>0.89426991199999994</v>
      </c>
      <c r="G517">
        <v>1</v>
      </c>
      <c r="H517">
        <v>8.6005490000000004E-2</v>
      </c>
      <c r="I517">
        <v>8.7330146999999997E-2</v>
      </c>
    </row>
    <row r="518" spans="1:9" x14ac:dyDescent="0.25">
      <c r="A518" t="s">
        <v>11</v>
      </c>
      <c r="B518" s="1">
        <v>59</v>
      </c>
      <c r="C518">
        <v>0</v>
      </c>
      <c r="D518">
        <v>119473</v>
      </c>
      <c r="E518">
        <v>35962</v>
      </c>
      <c r="F518">
        <v>0.79119468999999998</v>
      </c>
      <c r="G518">
        <v>1</v>
      </c>
      <c r="H518">
        <v>7.9946059999999999E-2</v>
      </c>
      <c r="I518">
        <v>8.7522834999999993E-2</v>
      </c>
    </row>
    <row r="519" spans="1:9" x14ac:dyDescent="0.25">
      <c r="A519" t="s">
        <v>125</v>
      </c>
      <c r="B519" s="1">
        <v>60</v>
      </c>
      <c r="C519">
        <v>0</v>
      </c>
      <c r="D519">
        <v>119436</v>
      </c>
      <c r="E519">
        <v>36369</v>
      </c>
      <c r="F519">
        <v>0.80019911499999996</v>
      </c>
      <c r="G519">
        <v>1</v>
      </c>
      <c r="H519">
        <v>8.0681448000000003E-2</v>
      </c>
      <c r="I519">
        <v>8.8448214999999997E-2</v>
      </c>
    </row>
    <row r="520" spans="1:9" x14ac:dyDescent="0.25">
      <c r="A520" t="s">
        <v>134</v>
      </c>
      <c r="B520" s="1">
        <v>61</v>
      </c>
      <c r="C520">
        <v>33</v>
      </c>
      <c r="D520">
        <v>119414</v>
      </c>
      <c r="E520">
        <v>35622</v>
      </c>
      <c r="F520">
        <v>0.78367256600000001</v>
      </c>
      <c r="G520">
        <v>0.85398230100000005</v>
      </c>
      <c r="H520">
        <v>7.5837478E-2</v>
      </c>
      <c r="I520">
        <v>7.2837032999999995E-2</v>
      </c>
    </row>
    <row r="521" spans="1:9" x14ac:dyDescent="0.25">
      <c r="A521" t="s">
        <v>157</v>
      </c>
      <c r="B521" s="1">
        <v>62</v>
      </c>
      <c r="C521">
        <v>29</v>
      </c>
      <c r="D521">
        <v>119343</v>
      </c>
      <c r="E521">
        <v>37010</v>
      </c>
      <c r="F521">
        <v>0.81438053099999996</v>
      </c>
      <c r="G521">
        <v>0.87168141600000004</v>
      </c>
      <c r="H521">
        <v>8.1023880000000006E-2</v>
      </c>
      <c r="I521">
        <v>8.6625009000000003E-2</v>
      </c>
    </row>
    <row r="522" spans="1:9" x14ac:dyDescent="0.25">
      <c r="A522" t="s">
        <v>139</v>
      </c>
      <c r="B522" s="1">
        <v>63</v>
      </c>
      <c r="C522">
        <v>0</v>
      </c>
      <c r="D522">
        <v>119314</v>
      </c>
      <c r="E522">
        <v>38341</v>
      </c>
      <c r="F522">
        <v>0.84382743400000004</v>
      </c>
      <c r="G522">
        <v>1</v>
      </c>
      <c r="H522">
        <v>8.3447868999999994E-2</v>
      </c>
      <c r="I522">
        <v>8.9859973999999995E-2</v>
      </c>
    </row>
    <row r="523" spans="1:9" x14ac:dyDescent="0.25">
      <c r="A523" t="s">
        <v>129</v>
      </c>
      <c r="B523" s="1">
        <v>64</v>
      </c>
      <c r="C523">
        <v>15</v>
      </c>
      <c r="D523">
        <v>119267</v>
      </c>
      <c r="E523">
        <v>34619</v>
      </c>
      <c r="F523">
        <v>0.76148230100000003</v>
      </c>
      <c r="G523">
        <v>0.93362831899999998</v>
      </c>
      <c r="H523">
        <v>7.8148387E-2</v>
      </c>
      <c r="I523">
        <v>8.7676263000000004E-2</v>
      </c>
    </row>
    <row r="524" spans="1:9" x14ac:dyDescent="0.25">
      <c r="A524" t="s">
        <v>127</v>
      </c>
      <c r="B524" s="1">
        <v>65</v>
      </c>
      <c r="C524">
        <v>0</v>
      </c>
      <c r="D524">
        <v>118995</v>
      </c>
      <c r="E524">
        <v>39160</v>
      </c>
      <c r="F524">
        <v>0.86194690299999999</v>
      </c>
      <c r="G524">
        <v>1</v>
      </c>
      <c r="H524">
        <v>8.2655514999999999E-2</v>
      </c>
      <c r="I524">
        <v>8.1425655999999999E-2</v>
      </c>
    </row>
    <row r="525" spans="1:9" x14ac:dyDescent="0.25">
      <c r="A525" t="s">
        <v>16</v>
      </c>
      <c r="B525" s="1">
        <v>66</v>
      </c>
      <c r="C525">
        <v>64</v>
      </c>
      <c r="D525">
        <v>118969</v>
      </c>
      <c r="E525">
        <v>26037</v>
      </c>
      <c r="F525">
        <v>0.57161504399999996</v>
      </c>
      <c r="G525">
        <v>0.71681415900000001</v>
      </c>
      <c r="H525">
        <v>6.1632136999999997E-2</v>
      </c>
      <c r="I525">
        <v>6.7425762E-2</v>
      </c>
    </row>
    <row r="526" spans="1:9" x14ac:dyDescent="0.25">
      <c r="A526" t="s">
        <v>132</v>
      </c>
      <c r="B526" s="1">
        <v>67</v>
      </c>
      <c r="C526">
        <v>0</v>
      </c>
      <c r="D526">
        <v>118960</v>
      </c>
      <c r="E526">
        <v>37316</v>
      </c>
      <c r="F526">
        <v>0.82115044199999998</v>
      </c>
      <c r="G526">
        <v>1</v>
      </c>
      <c r="H526">
        <v>8.2065812000000002E-2</v>
      </c>
      <c r="I526">
        <v>8.8930602999999997E-2</v>
      </c>
    </row>
    <row r="527" spans="1:9" x14ac:dyDescent="0.25">
      <c r="A527" t="s">
        <v>120</v>
      </c>
      <c r="B527" s="1">
        <v>68</v>
      </c>
      <c r="C527">
        <v>17</v>
      </c>
      <c r="D527">
        <v>118956</v>
      </c>
      <c r="E527">
        <v>38990</v>
      </c>
      <c r="F527">
        <v>0.85818584099999995</v>
      </c>
      <c r="G527">
        <v>0.924778761</v>
      </c>
      <c r="H527">
        <v>8.2859821E-2</v>
      </c>
      <c r="I527">
        <v>8.3452835000000003E-2</v>
      </c>
    </row>
    <row r="528" spans="1:9" x14ac:dyDescent="0.25">
      <c r="A528" t="s">
        <v>130</v>
      </c>
      <c r="B528" s="1">
        <v>69</v>
      </c>
      <c r="C528">
        <v>150</v>
      </c>
      <c r="D528">
        <v>118938</v>
      </c>
      <c r="E528">
        <v>35373</v>
      </c>
      <c r="F528">
        <v>0.77818584099999999</v>
      </c>
      <c r="G528">
        <v>0.33628318600000001</v>
      </c>
      <c r="H528">
        <v>7.8859390000000001E-2</v>
      </c>
      <c r="I528">
        <v>8.6220316000000005E-2</v>
      </c>
    </row>
    <row r="529" spans="1:9" x14ac:dyDescent="0.25">
      <c r="A529" t="s">
        <v>122</v>
      </c>
      <c r="B529" s="1">
        <v>70</v>
      </c>
      <c r="C529">
        <v>45</v>
      </c>
      <c r="D529">
        <v>118915</v>
      </c>
      <c r="E529">
        <v>34121</v>
      </c>
      <c r="F529">
        <v>0.75046460199999998</v>
      </c>
      <c r="G529">
        <v>0.80088495599999998</v>
      </c>
      <c r="H529">
        <v>7.2594108000000004E-2</v>
      </c>
      <c r="I529">
        <v>6.8873895000000004E-2</v>
      </c>
    </row>
    <row r="530" spans="1:9" x14ac:dyDescent="0.25">
      <c r="A530" t="s">
        <v>133</v>
      </c>
      <c r="B530" s="1">
        <v>71</v>
      </c>
      <c r="C530">
        <v>66</v>
      </c>
      <c r="D530">
        <v>118904</v>
      </c>
      <c r="E530">
        <v>29006</v>
      </c>
      <c r="F530">
        <v>0.63730088500000004</v>
      </c>
      <c r="G530">
        <v>0.707964602</v>
      </c>
      <c r="H530">
        <v>6.8024079000000001E-2</v>
      </c>
      <c r="I530">
        <v>7.6757407E-2</v>
      </c>
    </row>
    <row r="531" spans="1:9" x14ac:dyDescent="0.25">
      <c r="A531" t="s">
        <v>131</v>
      </c>
      <c r="B531" s="1">
        <v>72</v>
      </c>
      <c r="C531">
        <v>0</v>
      </c>
      <c r="D531">
        <v>118873</v>
      </c>
      <c r="E531">
        <v>35693</v>
      </c>
      <c r="F531">
        <v>0.78524336299999997</v>
      </c>
      <c r="G531">
        <v>1</v>
      </c>
      <c r="H531">
        <v>7.9595695999999994E-2</v>
      </c>
      <c r="I531">
        <v>8.7589873999999998E-2</v>
      </c>
    </row>
    <row r="532" spans="1:9" x14ac:dyDescent="0.25">
      <c r="A532" t="s">
        <v>123</v>
      </c>
      <c r="B532" s="1">
        <v>73</v>
      </c>
      <c r="C532">
        <v>0</v>
      </c>
      <c r="D532">
        <v>118826</v>
      </c>
      <c r="E532">
        <v>35690</v>
      </c>
      <c r="F532">
        <v>0.78517699100000005</v>
      </c>
      <c r="G532">
        <v>1</v>
      </c>
      <c r="H532">
        <v>7.9637349999999996E-2</v>
      </c>
      <c r="I532">
        <v>8.7791445999999995E-2</v>
      </c>
    </row>
    <row r="533" spans="1:9" x14ac:dyDescent="0.25">
      <c r="A533" t="s">
        <v>135</v>
      </c>
      <c r="B533" s="1">
        <v>74</v>
      </c>
      <c r="C533">
        <v>0</v>
      </c>
      <c r="D533">
        <v>118720</v>
      </c>
      <c r="E533">
        <v>40533</v>
      </c>
      <c r="F533">
        <v>0.89232300899999994</v>
      </c>
      <c r="G533">
        <v>1</v>
      </c>
      <c r="H533">
        <v>8.5961618000000004E-2</v>
      </c>
      <c r="I533">
        <v>8.7760462999999997E-2</v>
      </c>
    </row>
    <row r="534" spans="1:9" x14ac:dyDescent="0.25">
      <c r="A534" t="s">
        <v>140</v>
      </c>
      <c r="B534" s="1">
        <v>75</v>
      </c>
      <c r="C534">
        <v>67</v>
      </c>
      <c r="D534">
        <v>118646</v>
      </c>
      <c r="E534">
        <v>28607</v>
      </c>
      <c r="F534">
        <v>0.62847345099999996</v>
      </c>
      <c r="G534">
        <v>0.70353982299999995</v>
      </c>
      <c r="H534">
        <v>6.7428082E-2</v>
      </c>
      <c r="I534">
        <v>7.6267495000000005E-2</v>
      </c>
    </row>
    <row r="535" spans="1:9" x14ac:dyDescent="0.25">
      <c r="A535" t="s">
        <v>126</v>
      </c>
      <c r="B535" s="1">
        <v>76</v>
      </c>
      <c r="C535">
        <v>30</v>
      </c>
      <c r="D535">
        <v>118615</v>
      </c>
      <c r="E535">
        <v>34192</v>
      </c>
      <c r="F535">
        <v>0.75203539799999997</v>
      </c>
      <c r="G535">
        <v>0.867256637</v>
      </c>
      <c r="H535">
        <v>7.7860237999999998E-2</v>
      </c>
      <c r="I535">
        <v>8.8829316000000005E-2</v>
      </c>
    </row>
    <row r="536" spans="1:9" x14ac:dyDescent="0.25">
      <c r="A536" t="s">
        <v>149</v>
      </c>
      <c r="B536" s="1">
        <v>77</v>
      </c>
      <c r="C536">
        <v>9</v>
      </c>
      <c r="D536">
        <v>118600</v>
      </c>
      <c r="E536">
        <v>37277</v>
      </c>
      <c r="F536">
        <v>0.82028761100000003</v>
      </c>
      <c r="G536">
        <v>0.96017699099999998</v>
      </c>
      <c r="H536">
        <v>8.2398620000000006E-2</v>
      </c>
      <c r="I536">
        <v>9.1088184000000003E-2</v>
      </c>
    </row>
    <row r="537" spans="1:9" x14ac:dyDescent="0.25">
      <c r="A537" t="s">
        <v>143</v>
      </c>
      <c r="B537" s="1">
        <v>78</v>
      </c>
      <c r="C537">
        <v>65</v>
      </c>
      <c r="D537">
        <v>118486</v>
      </c>
      <c r="E537">
        <v>29041</v>
      </c>
      <c r="F537">
        <v>0.63807522100000003</v>
      </c>
      <c r="G537">
        <v>0.71238938100000004</v>
      </c>
      <c r="H537">
        <v>6.8179296E-2</v>
      </c>
      <c r="I537">
        <v>7.7476165999999999E-2</v>
      </c>
    </row>
    <row r="538" spans="1:9" x14ac:dyDescent="0.25">
      <c r="A538" t="s">
        <v>138</v>
      </c>
      <c r="B538" s="1">
        <v>79</v>
      </c>
      <c r="C538">
        <v>21</v>
      </c>
      <c r="D538">
        <v>118444</v>
      </c>
      <c r="E538">
        <v>36249</v>
      </c>
      <c r="F538">
        <v>0.79754424800000001</v>
      </c>
      <c r="G538">
        <v>0.90707964600000002</v>
      </c>
      <c r="H538">
        <v>8.0688858000000002E-2</v>
      </c>
      <c r="I538">
        <v>8.9902889999999999E-2</v>
      </c>
    </row>
    <row r="539" spans="1:9" x14ac:dyDescent="0.25">
      <c r="A539" t="s">
        <v>156</v>
      </c>
      <c r="B539" s="1">
        <v>80</v>
      </c>
      <c r="C539">
        <v>67</v>
      </c>
      <c r="D539">
        <v>118414</v>
      </c>
      <c r="E539">
        <v>29188</v>
      </c>
      <c r="F539">
        <v>0.64132743400000003</v>
      </c>
      <c r="G539">
        <v>0.70353982299999995</v>
      </c>
      <c r="H539">
        <v>6.8479422999999998E-2</v>
      </c>
      <c r="I539">
        <v>7.7354487999999999E-2</v>
      </c>
    </row>
    <row r="540" spans="1:9" x14ac:dyDescent="0.25">
      <c r="A540" t="s">
        <v>160</v>
      </c>
      <c r="B540" s="1">
        <v>81</v>
      </c>
      <c r="C540">
        <v>54</v>
      </c>
      <c r="D540">
        <v>118078</v>
      </c>
      <c r="E540">
        <v>33076</v>
      </c>
      <c r="F540">
        <v>0.72734513300000003</v>
      </c>
      <c r="G540">
        <v>0.76106194699999996</v>
      </c>
      <c r="H540">
        <v>7.5341567999999998E-2</v>
      </c>
      <c r="I540">
        <v>8.5179626999999994E-2</v>
      </c>
    </row>
    <row r="541" spans="1:9" x14ac:dyDescent="0.25">
      <c r="A541" t="s">
        <v>144</v>
      </c>
      <c r="B541" s="1">
        <v>82</v>
      </c>
      <c r="C541">
        <v>67</v>
      </c>
      <c r="D541">
        <v>117997</v>
      </c>
      <c r="E541">
        <v>28610</v>
      </c>
      <c r="F541">
        <v>0.628539823</v>
      </c>
      <c r="G541">
        <v>0.70353982299999995</v>
      </c>
      <c r="H541">
        <v>6.8082286000000006E-2</v>
      </c>
      <c r="I541">
        <v>7.9041001E-2</v>
      </c>
    </row>
    <row r="542" spans="1:9" x14ac:dyDescent="0.25">
      <c r="A542" t="s">
        <v>147</v>
      </c>
      <c r="B542" s="1">
        <v>83</v>
      </c>
      <c r="C542">
        <v>14</v>
      </c>
      <c r="D542">
        <v>117967</v>
      </c>
      <c r="E542">
        <v>38345</v>
      </c>
      <c r="F542">
        <v>0.84391592900000001</v>
      </c>
      <c r="G542">
        <v>0.93805309699999995</v>
      </c>
      <c r="H542">
        <v>8.3902200999999996E-2</v>
      </c>
      <c r="I542">
        <v>9.1302697000000002E-2</v>
      </c>
    </row>
    <row r="543" spans="1:9" x14ac:dyDescent="0.25">
      <c r="A543" t="s">
        <v>136</v>
      </c>
      <c r="B543" s="1">
        <v>84</v>
      </c>
      <c r="C543">
        <v>35</v>
      </c>
      <c r="D543">
        <v>117964</v>
      </c>
      <c r="E543">
        <v>35843</v>
      </c>
      <c r="F543">
        <v>0.78856194700000004</v>
      </c>
      <c r="G543">
        <v>0.84513274299999996</v>
      </c>
      <c r="H543">
        <v>8.0486565999999996E-2</v>
      </c>
      <c r="I543">
        <v>9.1341493999999995E-2</v>
      </c>
    </row>
    <row r="544" spans="1:9" x14ac:dyDescent="0.25">
      <c r="A544" t="s">
        <v>13</v>
      </c>
      <c r="B544" s="1">
        <v>85</v>
      </c>
      <c r="C544">
        <v>190</v>
      </c>
      <c r="D544">
        <v>117858</v>
      </c>
      <c r="E544">
        <v>31750</v>
      </c>
      <c r="F544">
        <v>0.69805309699999996</v>
      </c>
      <c r="G544">
        <v>0.159292035</v>
      </c>
      <c r="H544">
        <v>7.3516665999999994E-2</v>
      </c>
      <c r="I544">
        <v>8.3935094000000002E-2</v>
      </c>
    </row>
    <row r="545" spans="1:9" x14ac:dyDescent="0.25">
      <c r="A545" t="s">
        <v>142</v>
      </c>
      <c r="B545" s="1">
        <v>86</v>
      </c>
      <c r="C545">
        <v>48</v>
      </c>
      <c r="D545">
        <v>117835</v>
      </c>
      <c r="E545">
        <v>33606</v>
      </c>
      <c r="F545">
        <v>0.73907079600000003</v>
      </c>
      <c r="G545">
        <v>0.78761061899999996</v>
      </c>
      <c r="H545">
        <v>7.6430375999999994E-2</v>
      </c>
      <c r="I545">
        <v>8.6621032000000001E-2</v>
      </c>
    </row>
    <row r="546" spans="1:9" x14ac:dyDescent="0.25">
      <c r="A546" t="s">
        <v>154</v>
      </c>
      <c r="B546" s="1">
        <v>87</v>
      </c>
      <c r="C546">
        <v>73</v>
      </c>
      <c r="D546">
        <v>117739</v>
      </c>
      <c r="E546">
        <v>28538</v>
      </c>
      <c r="F546">
        <v>0.626946903</v>
      </c>
      <c r="G546">
        <v>0.67699114999999999</v>
      </c>
      <c r="H546">
        <v>6.7851022999999996E-2</v>
      </c>
      <c r="I546">
        <v>7.8797238000000006E-2</v>
      </c>
    </row>
    <row r="547" spans="1:9" x14ac:dyDescent="0.25">
      <c r="A547" t="s">
        <v>146</v>
      </c>
      <c r="B547" s="1">
        <v>88</v>
      </c>
      <c r="C547">
        <v>72</v>
      </c>
      <c r="D547">
        <v>117717</v>
      </c>
      <c r="E547">
        <v>27643</v>
      </c>
      <c r="F547">
        <v>0.60714601800000001</v>
      </c>
      <c r="G547">
        <v>0.68141592900000003</v>
      </c>
      <c r="H547">
        <v>6.5881176999999999E-2</v>
      </c>
      <c r="I547">
        <v>7.5426240000000006E-2</v>
      </c>
    </row>
    <row r="548" spans="1:9" x14ac:dyDescent="0.25">
      <c r="A548" t="s">
        <v>148</v>
      </c>
      <c r="B548" s="1">
        <v>89</v>
      </c>
      <c r="C548">
        <v>76</v>
      </c>
      <c r="D548">
        <v>117692</v>
      </c>
      <c r="E548">
        <v>28514</v>
      </c>
      <c r="F548">
        <v>0.62641592899999998</v>
      </c>
      <c r="G548">
        <v>0.66371681400000004</v>
      </c>
      <c r="H548">
        <v>6.7575749000000004E-2</v>
      </c>
      <c r="I548">
        <v>7.7257337999999995E-2</v>
      </c>
    </row>
    <row r="549" spans="1:9" x14ac:dyDescent="0.25">
      <c r="A549" t="s">
        <v>155</v>
      </c>
      <c r="B549" s="1">
        <v>90</v>
      </c>
      <c r="C549">
        <v>18</v>
      </c>
      <c r="D549">
        <v>117646</v>
      </c>
      <c r="E549">
        <v>37908</v>
      </c>
      <c r="F549">
        <v>0.83424778799999999</v>
      </c>
      <c r="G549">
        <v>0.92035398199999996</v>
      </c>
      <c r="H549">
        <v>8.2992583999999994E-2</v>
      </c>
      <c r="I549">
        <v>8.9807848999999995E-2</v>
      </c>
    </row>
    <row r="550" spans="1:9" x14ac:dyDescent="0.25">
      <c r="A550" t="s">
        <v>152</v>
      </c>
      <c r="B550" s="1">
        <v>91</v>
      </c>
      <c r="C550">
        <v>7</v>
      </c>
      <c r="D550">
        <v>117554</v>
      </c>
      <c r="E550">
        <v>37947</v>
      </c>
      <c r="F550">
        <v>0.83511061900000005</v>
      </c>
      <c r="G550">
        <v>0.96902654899999996</v>
      </c>
      <c r="H550">
        <v>8.2693846000000001E-2</v>
      </c>
      <c r="I550">
        <v>8.8422138999999997E-2</v>
      </c>
    </row>
    <row r="551" spans="1:9" x14ac:dyDescent="0.25">
      <c r="A551" t="s">
        <v>141</v>
      </c>
      <c r="B551" s="1">
        <v>92</v>
      </c>
      <c r="C551">
        <v>13</v>
      </c>
      <c r="D551">
        <v>117447</v>
      </c>
      <c r="E551">
        <v>37549</v>
      </c>
      <c r="F551">
        <v>0.82630530999999996</v>
      </c>
      <c r="G551">
        <v>0.94247787599999999</v>
      </c>
      <c r="H551">
        <v>8.2830860000000006E-2</v>
      </c>
      <c r="I551">
        <v>9.1461906999999995E-2</v>
      </c>
    </row>
    <row r="552" spans="1:9" x14ac:dyDescent="0.25">
      <c r="A552" t="s">
        <v>159</v>
      </c>
      <c r="B552" s="1">
        <v>93</v>
      </c>
      <c r="C552">
        <v>19</v>
      </c>
      <c r="D552">
        <v>117445</v>
      </c>
      <c r="E552">
        <v>37654</v>
      </c>
      <c r="F552">
        <v>0.828628319</v>
      </c>
      <c r="G552">
        <v>0.915929204</v>
      </c>
      <c r="H552">
        <v>8.2986458999999999E-2</v>
      </c>
      <c r="I552">
        <v>9.1260313999999995E-2</v>
      </c>
    </row>
    <row r="553" spans="1:9" x14ac:dyDescent="0.25">
      <c r="A553" t="s">
        <v>10</v>
      </c>
      <c r="B553" s="1">
        <v>94</v>
      </c>
      <c r="C553">
        <v>17</v>
      </c>
      <c r="D553">
        <v>117389</v>
      </c>
      <c r="E553">
        <v>40541</v>
      </c>
      <c r="F553">
        <v>0.89249999999999996</v>
      </c>
      <c r="G553">
        <v>0.924778761</v>
      </c>
      <c r="H553">
        <v>8.4072654999999996E-2</v>
      </c>
      <c r="I553">
        <v>8.0101321000000003E-2</v>
      </c>
    </row>
    <row r="554" spans="1:9" x14ac:dyDescent="0.25">
      <c r="A554" t="s">
        <v>163</v>
      </c>
      <c r="B554" s="1">
        <v>95</v>
      </c>
      <c r="C554">
        <v>72</v>
      </c>
      <c r="D554">
        <v>117290</v>
      </c>
      <c r="E554">
        <v>32060</v>
      </c>
      <c r="F554">
        <v>0.70488938099999998</v>
      </c>
      <c r="G554">
        <v>0.68141592900000003</v>
      </c>
      <c r="H554">
        <v>6.7841597000000003E-2</v>
      </c>
      <c r="I554">
        <v>5.0555480999999999E-2</v>
      </c>
    </row>
    <row r="555" spans="1:9" x14ac:dyDescent="0.25">
      <c r="A555" t="s">
        <v>151</v>
      </c>
      <c r="B555" s="1">
        <v>96</v>
      </c>
      <c r="C555">
        <v>20</v>
      </c>
      <c r="D555">
        <v>117173</v>
      </c>
      <c r="E555">
        <v>35817</v>
      </c>
      <c r="F555">
        <v>0.78798672599999997</v>
      </c>
      <c r="G555">
        <v>0.91150442499999995</v>
      </c>
      <c r="H555">
        <v>8.0127828999999998E-2</v>
      </c>
      <c r="I555">
        <v>8.9460967000000002E-2</v>
      </c>
    </row>
    <row r="556" spans="1:9" x14ac:dyDescent="0.25">
      <c r="A556" t="s">
        <v>158</v>
      </c>
      <c r="B556" s="1">
        <v>97</v>
      </c>
      <c r="C556">
        <v>0</v>
      </c>
      <c r="D556">
        <v>117149</v>
      </c>
      <c r="E556">
        <v>38499</v>
      </c>
      <c r="F556">
        <v>0.84732300900000002</v>
      </c>
      <c r="G556">
        <v>1</v>
      </c>
      <c r="H556">
        <v>8.4130883000000004E-2</v>
      </c>
      <c r="I556">
        <v>9.1556787000000001E-2</v>
      </c>
    </row>
    <row r="557" spans="1:9" x14ac:dyDescent="0.25">
      <c r="A557" t="s">
        <v>171</v>
      </c>
      <c r="B557" s="1">
        <v>98</v>
      </c>
      <c r="C557">
        <v>23</v>
      </c>
      <c r="D557">
        <v>117112</v>
      </c>
      <c r="E557">
        <v>35009</v>
      </c>
      <c r="F557">
        <v>0.770110619</v>
      </c>
      <c r="G557">
        <v>0.89823008800000004</v>
      </c>
      <c r="H557">
        <v>7.4540871999999994E-2</v>
      </c>
      <c r="I557">
        <v>7.0785280000000006E-2</v>
      </c>
    </row>
    <row r="558" spans="1:9" x14ac:dyDescent="0.25">
      <c r="A558" t="s">
        <v>145</v>
      </c>
      <c r="B558" s="1">
        <v>99</v>
      </c>
      <c r="C558">
        <v>0</v>
      </c>
      <c r="D558">
        <v>117082</v>
      </c>
      <c r="E558">
        <v>39025</v>
      </c>
      <c r="F558">
        <v>0.85896017700000005</v>
      </c>
      <c r="G558">
        <v>1</v>
      </c>
      <c r="H558">
        <v>8.4578219999999996E-2</v>
      </c>
      <c r="I558">
        <v>9.0321673000000005E-2</v>
      </c>
    </row>
    <row r="559" spans="1:9" x14ac:dyDescent="0.25">
      <c r="A559" t="s">
        <v>153</v>
      </c>
      <c r="B559" s="1">
        <v>100</v>
      </c>
      <c r="C559">
        <v>74</v>
      </c>
      <c r="D559">
        <v>117013</v>
      </c>
      <c r="E559">
        <v>28894</v>
      </c>
      <c r="F559">
        <v>0.63482300899999999</v>
      </c>
      <c r="G559">
        <v>0.67256637200000002</v>
      </c>
      <c r="H559">
        <v>6.8434420999999995E-2</v>
      </c>
      <c r="I559">
        <v>7.8573110000000002E-2</v>
      </c>
    </row>
    <row r="560" spans="1:9" x14ac:dyDescent="0.25">
      <c r="A560" t="s">
        <v>167</v>
      </c>
      <c r="B560" s="1">
        <v>101</v>
      </c>
      <c r="C560">
        <v>10</v>
      </c>
      <c r="D560">
        <v>116928</v>
      </c>
      <c r="E560">
        <v>40060</v>
      </c>
      <c r="F560">
        <v>0.88185840699999996</v>
      </c>
      <c r="G560">
        <v>0.95575221200000005</v>
      </c>
      <c r="H560">
        <v>8.5115287999999997E-2</v>
      </c>
      <c r="I560">
        <v>8.6786123000000007E-2</v>
      </c>
    </row>
    <row r="561" spans="1:9" x14ac:dyDescent="0.25">
      <c r="A561" t="s">
        <v>168</v>
      </c>
      <c r="B561" s="1">
        <v>102</v>
      </c>
      <c r="C561">
        <v>72</v>
      </c>
      <c r="D561">
        <v>116892</v>
      </c>
      <c r="E561">
        <v>29960</v>
      </c>
      <c r="F561">
        <v>0.65840708000000003</v>
      </c>
      <c r="G561">
        <v>0.68141592900000003</v>
      </c>
      <c r="H561">
        <v>7.0651723E-2</v>
      </c>
      <c r="I561">
        <v>8.2223904E-2</v>
      </c>
    </row>
    <row r="562" spans="1:9" x14ac:dyDescent="0.25">
      <c r="A562" t="s">
        <v>137</v>
      </c>
      <c r="B562" s="1">
        <v>103</v>
      </c>
      <c r="C562">
        <v>136</v>
      </c>
      <c r="D562">
        <v>116839</v>
      </c>
      <c r="E562">
        <v>38071</v>
      </c>
      <c r="F562">
        <v>0.83787610599999995</v>
      </c>
      <c r="G562">
        <v>0.39823008799999998</v>
      </c>
      <c r="H562">
        <v>8.2928553000000002E-2</v>
      </c>
      <c r="I562">
        <v>8.8507163E-2</v>
      </c>
    </row>
    <row r="563" spans="1:9" x14ac:dyDescent="0.25">
      <c r="A563" t="s">
        <v>150</v>
      </c>
      <c r="B563" s="1">
        <v>104</v>
      </c>
      <c r="C563">
        <v>27</v>
      </c>
      <c r="D563">
        <v>116749</v>
      </c>
      <c r="E563">
        <v>35077</v>
      </c>
      <c r="F563">
        <v>0.77161504400000003</v>
      </c>
      <c r="G563">
        <v>0.88053097300000005</v>
      </c>
      <c r="H563">
        <v>7.4868340000000005E-2</v>
      </c>
      <c r="I563">
        <v>7.1834515000000002E-2</v>
      </c>
    </row>
    <row r="564" spans="1:9" x14ac:dyDescent="0.25">
      <c r="A564" t="s">
        <v>170</v>
      </c>
      <c r="B564" s="1">
        <v>105</v>
      </c>
      <c r="C564">
        <v>17</v>
      </c>
      <c r="D564">
        <v>116745</v>
      </c>
      <c r="E564">
        <v>37426</v>
      </c>
      <c r="F564">
        <v>0.82358407099999997</v>
      </c>
      <c r="G564">
        <v>0.924778761</v>
      </c>
      <c r="H564">
        <v>8.2232437000000005E-2</v>
      </c>
      <c r="I564">
        <v>8.8890528999999996E-2</v>
      </c>
    </row>
    <row r="565" spans="1:9" x14ac:dyDescent="0.25">
      <c r="A565" t="s">
        <v>165</v>
      </c>
      <c r="B565" s="1">
        <v>106</v>
      </c>
      <c r="C565">
        <v>29</v>
      </c>
      <c r="D565">
        <v>116742</v>
      </c>
      <c r="E565">
        <v>35144</v>
      </c>
      <c r="F565">
        <v>0.77309734500000005</v>
      </c>
      <c r="G565">
        <v>0.87168141600000004</v>
      </c>
      <c r="H565">
        <v>7.8640730000000006E-2</v>
      </c>
      <c r="I565">
        <v>8.6757023000000003E-2</v>
      </c>
    </row>
    <row r="566" spans="1:9" x14ac:dyDescent="0.25">
      <c r="A566" t="s">
        <v>169</v>
      </c>
      <c r="B566" s="1">
        <v>107</v>
      </c>
      <c r="C566">
        <v>24</v>
      </c>
      <c r="D566">
        <v>116724</v>
      </c>
      <c r="E566">
        <v>35060</v>
      </c>
      <c r="F566">
        <v>0.77123893799999998</v>
      </c>
      <c r="G566">
        <v>0.89380530999999996</v>
      </c>
      <c r="H566">
        <v>7.4721396999999995E-2</v>
      </c>
      <c r="I566">
        <v>7.1333428000000004E-2</v>
      </c>
    </row>
    <row r="567" spans="1:9" x14ac:dyDescent="0.25">
      <c r="A567" t="s">
        <v>162</v>
      </c>
      <c r="B567" s="1">
        <v>108</v>
      </c>
      <c r="C567">
        <v>27</v>
      </c>
      <c r="D567">
        <v>116614</v>
      </c>
      <c r="E567">
        <v>35875</v>
      </c>
      <c r="F567">
        <v>0.78926991199999996</v>
      </c>
      <c r="G567">
        <v>0.88053097300000005</v>
      </c>
      <c r="H567">
        <v>7.9646137000000006E-2</v>
      </c>
      <c r="I567">
        <v>8.6901679999999995E-2</v>
      </c>
    </row>
    <row r="568" spans="1:9" x14ac:dyDescent="0.25">
      <c r="A568" t="s">
        <v>161</v>
      </c>
      <c r="B568" s="1">
        <v>109</v>
      </c>
      <c r="C568">
        <v>14</v>
      </c>
      <c r="D568">
        <v>116503</v>
      </c>
      <c r="E568">
        <v>36848</v>
      </c>
      <c r="F568">
        <v>0.81079646000000005</v>
      </c>
      <c r="G568">
        <v>0.93805309699999995</v>
      </c>
      <c r="H568">
        <v>8.2151456999999997E-2</v>
      </c>
      <c r="I568">
        <v>9.2575686000000004E-2</v>
      </c>
    </row>
    <row r="569" spans="1:9" x14ac:dyDescent="0.25">
      <c r="A569" t="s">
        <v>172</v>
      </c>
      <c r="B569" s="1">
        <v>110</v>
      </c>
      <c r="C569">
        <v>27</v>
      </c>
      <c r="D569">
        <v>116429</v>
      </c>
      <c r="E569">
        <v>36658</v>
      </c>
      <c r="F569">
        <v>0.80659292000000005</v>
      </c>
      <c r="G569">
        <v>0.88053097300000005</v>
      </c>
      <c r="H569">
        <v>8.1679573000000005E-2</v>
      </c>
      <c r="I569">
        <v>9.1683287000000002E-2</v>
      </c>
    </row>
    <row r="570" spans="1:9" x14ac:dyDescent="0.25">
      <c r="A570" t="s">
        <v>173</v>
      </c>
      <c r="B570" s="1">
        <v>111</v>
      </c>
      <c r="C570">
        <v>0</v>
      </c>
      <c r="D570">
        <v>116296</v>
      </c>
      <c r="E570">
        <v>39443</v>
      </c>
      <c r="F570">
        <v>0.86820796499999997</v>
      </c>
      <c r="G570">
        <v>1</v>
      </c>
      <c r="H570">
        <v>8.5495598000000006E-2</v>
      </c>
      <c r="I570">
        <v>9.1922574000000007E-2</v>
      </c>
    </row>
    <row r="571" spans="1:9" x14ac:dyDescent="0.25">
      <c r="A571" t="s">
        <v>166</v>
      </c>
      <c r="B571" s="1">
        <v>112</v>
      </c>
      <c r="C571">
        <v>25</v>
      </c>
      <c r="D571">
        <v>116197</v>
      </c>
      <c r="E571">
        <v>35345</v>
      </c>
      <c r="F571">
        <v>0.77754424799999999</v>
      </c>
      <c r="G571">
        <v>0.88938053100000003</v>
      </c>
      <c r="H571">
        <v>7.8936709999999993E-2</v>
      </c>
      <c r="I571">
        <v>8.7248045999999996E-2</v>
      </c>
    </row>
    <row r="572" spans="1:9" x14ac:dyDescent="0.25">
      <c r="A572" t="s">
        <v>176</v>
      </c>
      <c r="B572" s="1">
        <v>113</v>
      </c>
      <c r="C572">
        <v>73</v>
      </c>
      <c r="D572">
        <v>116010</v>
      </c>
      <c r="E572">
        <v>29460</v>
      </c>
      <c r="F572">
        <v>0.64734513299999996</v>
      </c>
      <c r="G572">
        <v>0.67699114999999999</v>
      </c>
      <c r="H572">
        <v>6.9704408999999995E-2</v>
      </c>
      <c r="I572">
        <v>8.0793616999999998E-2</v>
      </c>
    </row>
    <row r="573" spans="1:9" x14ac:dyDescent="0.25">
      <c r="A573" t="s">
        <v>175</v>
      </c>
      <c r="B573" s="1">
        <v>114</v>
      </c>
      <c r="C573">
        <v>56</v>
      </c>
      <c r="D573">
        <v>115879</v>
      </c>
      <c r="E573">
        <v>32346</v>
      </c>
      <c r="F573">
        <v>0.71119469000000002</v>
      </c>
      <c r="G573">
        <v>0.75221238899999998</v>
      </c>
      <c r="H573">
        <v>7.4259873000000004E-2</v>
      </c>
      <c r="I573">
        <v>8.3654608000000005E-2</v>
      </c>
    </row>
    <row r="574" spans="1:9" x14ac:dyDescent="0.25">
      <c r="A574" t="s">
        <v>164</v>
      </c>
      <c r="B574" s="1">
        <v>115</v>
      </c>
      <c r="C574">
        <v>72</v>
      </c>
      <c r="D574">
        <v>115879</v>
      </c>
      <c r="E574">
        <v>33845</v>
      </c>
      <c r="F574">
        <v>0.744358407</v>
      </c>
      <c r="G574">
        <v>0.68141592900000003</v>
      </c>
      <c r="H574">
        <v>7.6590053000000005E-2</v>
      </c>
      <c r="I574">
        <v>8.4277811999999994E-2</v>
      </c>
    </row>
    <row r="575" spans="1:9" x14ac:dyDescent="0.25">
      <c r="A575" t="s">
        <v>174</v>
      </c>
      <c r="B575" s="1">
        <v>116</v>
      </c>
      <c r="C575">
        <v>26</v>
      </c>
      <c r="D575">
        <v>115462</v>
      </c>
      <c r="E575">
        <v>36748</v>
      </c>
      <c r="F575">
        <v>0.80858407099999996</v>
      </c>
      <c r="G575">
        <v>0.88495575199999998</v>
      </c>
      <c r="H575">
        <v>7.8258526999999994E-2</v>
      </c>
      <c r="I575">
        <v>7.6500808000000003E-2</v>
      </c>
    </row>
    <row r="576" spans="1:9" x14ac:dyDescent="0.25">
      <c r="A576" t="s">
        <v>178</v>
      </c>
      <c r="B576" s="1">
        <v>117</v>
      </c>
      <c r="C576">
        <v>72</v>
      </c>
      <c r="D576">
        <v>115333</v>
      </c>
      <c r="E576">
        <v>31336</v>
      </c>
      <c r="F576">
        <v>0.68884955800000003</v>
      </c>
      <c r="G576">
        <v>0.68141592900000003</v>
      </c>
      <c r="H576">
        <v>7.2598944999999998E-2</v>
      </c>
      <c r="I576">
        <v>8.2029589999999999E-2</v>
      </c>
    </row>
    <row r="577" spans="1:9" x14ac:dyDescent="0.25">
      <c r="A577" t="s">
        <v>177</v>
      </c>
      <c r="B577" s="1">
        <v>118</v>
      </c>
      <c r="C577">
        <v>71</v>
      </c>
      <c r="D577">
        <v>114540</v>
      </c>
      <c r="E577">
        <v>30121</v>
      </c>
      <c r="F577">
        <v>0.66196902700000004</v>
      </c>
      <c r="G577">
        <v>0.68584070799999997</v>
      </c>
      <c r="H577">
        <v>7.0796329000000005E-2</v>
      </c>
      <c r="I577">
        <v>8.1502959E-2</v>
      </c>
    </row>
    <row r="578" spans="1:9" x14ac:dyDescent="0.25">
      <c r="A578" t="s">
        <v>179</v>
      </c>
      <c r="B578" s="1">
        <v>119</v>
      </c>
      <c r="C578">
        <v>17</v>
      </c>
      <c r="D578">
        <v>114069</v>
      </c>
      <c r="E578">
        <v>41060</v>
      </c>
      <c r="F578">
        <v>0.90398230099999999</v>
      </c>
      <c r="G578">
        <v>0.924778761</v>
      </c>
      <c r="H578">
        <v>8.3551413000000005E-2</v>
      </c>
      <c r="I578">
        <v>7.5333302000000005E-2</v>
      </c>
    </row>
    <row r="579" spans="1:9" x14ac:dyDescent="0.25">
      <c r="A579" t="s">
        <v>180</v>
      </c>
      <c r="B579" s="1">
        <v>120</v>
      </c>
      <c r="C579">
        <v>97</v>
      </c>
      <c r="D579">
        <v>112715</v>
      </c>
      <c r="E579">
        <v>28233</v>
      </c>
      <c r="F579">
        <v>0.62035398200000003</v>
      </c>
      <c r="G579">
        <v>0.57079645999999995</v>
      </c>
      <c r="H579">
        <v>6.3650918000000001E-2</v>
      </c>
      <c r="I579">
        <v>5.4050866000000003E-2</v>
      </c>
    </row>
    <row r="580" spans="1:9" x14ac:dyDescent="0.25">
      <c r="A580" t="s">
        <v>181</v>
      </c>
      <c r="B580" s="1">
        <v>121</v>
      </c>
      <c r="C580">
        <v>77</v>
      </c>
      <c r="D580">
        <v>112553</v>
      </c>
      <c r="E580">
        <v>30287</v>
      </c>
      <c r="F580">
        <v>0.66628318600000003</v>
      </c>
      <c r="G580">
        <v>0.659292035</v>
      </c>
      <c r="H580">
        <v>6.5626584000000002E-2</v>
      </c>
      <c r="I580">
        <v>4.8463434999999999E-2</v>
      </c>
    </row>
    <row r="581" spans="1:9" x14ac:dyDescent="0.25">
      <c r="A581" t="s">
        <v>12</v>
      </c>
      <c r="B581" s="1">
        <v>122</v>
      </c>
      <c r="C581">
        <v>14</v>
      </c>
      <c r="D581">
        <v>112547</v>
      </c>
      <c r="E581">
        <v>43138</v>
      </c>
      <c r="F581">
        <v>0.94995575200000004</v>
      </c>
      <c r="G581">
        <v>0.93805309699999995</v>
      </c>
      <c r="H581">
        <v>8.6225001999999995E-2</v>
      </c>
      <c r="I581">
        <v>7.4123824000000005E-2</v>
      </c>
    </row>
    <row r="582" spans="1:9" x14ac:dyDescent="0.25">
      <c r="A582" t="s">
        <v>182</v>
      </c>
      <c r="B582" s="1">
        <v>123</v>
      </c>
      <c r="C582">
        <v>13</v>
      </c>
      <c r="D582">
        <v>108604</v>
      </c>
      <c r="E582">
        <v>43051</v>
      </c>
      <c r="F582">
        <v>0.94803097300000005</v>
      </c>
      <c r="G582">
        <v>0.94247787599999999</v>
      </c>
      <c r="H582">
        <v>8.6907627000000001E-2</v>
      </c>
      <c r="I582">
        <v>7.7950383999999998E-2</v>
      </c>
    </row>
    <row r="583" spans="1:9" x14ac:dyDescent="0.25">
      <c r="A583" t="s">
        <v>17</v>
      </c>
      <c r="B583" s="1">
        <v>124</v>
      </c>
      <c r="C583">
        <v>106</v>
      </c>
      <c r="D583">
        <v>108159</v>
      </c>
      <c r="E583">
        <v>31560</v>
      </c>
      <c r="F583">
        <v>0.69712389399999997</v>
      </c>
      <c r="G583">
        <v>0.53097345100000004</v>
      </c>
      <c r="H583">
        <v>6.6538656000000002E-2</v>
      </c>
      <c r="I583">
        <v>4.8042686000000001E-2</v>
      </c>
    </row>
    <row r="584" spans="1:9" x14ac:dyDescent="0.25">
      <c r="A584" t="s">
        <v>192</v>
      </c>
      <c r="B584" s="1">
        <v>125</v>
      </c>
      <c r="C584">
        <v>10</v>
      </c>
      <c r="D584">
        <v>108139</v>
      </c>
      <c r="E584">
        <v>42350</v>
      </c>
      <c r="F584">
        <v>0.93252212400000001</v>
      </c>
      <c r="G584">
        <v>0.95575221200000005</v>
      </c>
      <c r="H584">
        <v>8.5584722000000002E-2</v>
      </c>
      <c r="I584">
        <v>7.6432347999999997E-2</v>
      </c>
    </row>
    <row r="585" spans="1:9" x14ac:dyDescent="0.25">
      <c r="A585" t="s">
        <v>185</v>
      </c>
      <c r="B585" s="1">
        <v>126</v>
      </c>
      <c r="C585">
        <v>0</v>
      </c>
      <c r="D585">
        <v>107697</v>
      </c>
      <c r="E585">
        <v>43486</v>
      </c>
      <c r="F585">
        <v>0.95765486700000002</v>
      </c>
      <c r="G585">
        <v>1</v>
      </c>
      <c r="H585">
        <v>8.6815945000000005E-2</v>
      </c>
      <c r="I585">
        <v>7.4666009000000005E-2</v>
      </c>
    </row>
    <row r="586" spans="1:9" x14ac:dyDescent="0.25">
      <c r="A586" t="s">
        <v>187</v>
      </c>
      <c r="B586" s="1">
        <v>127</v>
      </c>
      <c r="C586">
        <v>0</v>
      </c>
      <c r="D586">
        <v>107538</v>
      </c>
      <c r="E586">
        <v>44958</v>
      </c>
      <c r="F586">
        <v>0.99022123900000003</v>
      </c>
      <c r="G586">
        <v>1</v>
      </c>
      <c r="H586">
        <v>8.9757829999999997E-2</v>
      </c>
      <c r="I586">
        <v>7.8622070000000002E-2</v>
      </c>
    </row>
    <row r="587" spans="1:9" x14ac:dyDescent="0.25">
      <c r="A587" t="s">
        <v>186</v>
      </c>
      <c r="B587" s="1">
        <v>128</v>
      </c>
      <c r="C587">
        <v>3</v>
      </c>
      <c r="D587">
        <v>107490</v>
      </c>
      <c r="E587">
        <v>44430</v>
      </c>
      <c r="F587">
        <v>0.97853982299999998</v>
      </c>
      <c r="G587">
        <v>0.98672566399999995</v>
      </c>
      <c r="H587">
        <v>8.8223834000000001E-2</v>
      </c>
      <c r="I587">
        <v>7.5296622999999993E-2</v>
      </c>
    </row>
    <row r="588" spans="1:9" x14ac:dyDescent="0.25">
      <c r="A588" t="s">
        <v>191</v>
      </c>
      <c r="B588" s="1">
        <v>129</v>
      </c>
      <c r="C588">
        <v>56</v>
      </c>
      <c r="D588">
        <v>107290</v>
      </c>
      <c r="E588">
        <v>26307</v>
      </c>
      <c r="F588">
        <v>0.57761061899999999</v>
      </c>
      <c r="G588">
        <v>0.75221238899999998</v>
      </c>
      <c r="H588">
        <v>5.8648525E-2</v>
      </c>
      <c r="I588">
        <v>3.8530160000000001E-2</v>
      </c>
    </row>
    <row r="589" spans="1:9" x14ac:dyDescent="0.25">
      <c r="A589" t="s">
        <v>188</v>
      </c>
      <c r="B589" s="1">
        <v>130</v>
      </c>
      <c r="C589">
        <v>63</v>
      </c>
      <c r="D589">
        <v>106762</v>
      </c>
      <c r="E589">
        <v>29918</v>
      </c>
      <c r="F589">
        <v>0.66190265500000001</v>
      </c>
      <c r="G589">
        <v>0.72123893800000005</v>
      </c>
      <c r="H589">
        <v>6.6575026999999995E-2</v>
      </c>
      <c r="I589">
        <v>5.8887795E-2</v>
      </c>
    </row>
    <row r="590" spans="1:9" x14ac:dyDescent="0.25">
      <c r="A590" t="s">
        <v>189</v>
      </c>
      <c r="B590" s="1">
        <v>131</v>
      </c>
      <c r="C590">
        <v>47</v>
      </c>
      <c r="D590">
        <v>106695</v>
      </c>
      <c r="E590">
        <v>34873</v>
      </c>
      <c r="F590">
        <v>0.76714601800000004</v>
      </c>
      <c r="G590">
        <v>0.792035398</v>
      </c>
      <c r="H590">
        <v>7.0651739000000005E-2</v>
      </c>
      <c r="I590">
        <v>4.9957374999999998E-2</v>
      </c>
    </row>
    <row r="591" spans="1:9" x14ac:dyDescent="0.25">
      <c r="A591" t="s">
        <v>190</v>
      </c>
      <c r="B591" s="1">
        <v>132</v>
      </c>
      <c r="C591">
        <v>52</v>
      </c>
      <c r="D591">
        <v>106519</v>
      </c>
      <c r="E591">
        <v>26152</v>
      </c>
      <c r="F591">
        <v>0.57418141599999994</v>
      </c>
      <c r="G591">
        <v>0.76991150399999997</v>
      </c>
      <c r="H591">
        <v>5.8369814999999999E-2</v>
      </c>
      <c r="I591">
        <v>3.8088083000000002E-2</v>
      </c>
    </row>
    <row r="592" spans="1:9" x14ac:dyDescent="0.25">
      <c r="A592" t="s">
        <v>184</v>
      </c>
      <c r="B592" s="1">
        <v>133</v>
      </c>
      <c r="C592">
        <v>89</v>
      </c>
      <c r="D592">
        <v>106167</v>
      </c>
      <c r="E592">
        <v>18949</v>
      </c>
      <c r="F592">
        <v>0.41776548699999999</v>
      </c>
      <c r="G592">
        <v>0.60619469000000004</v>
      </c>
      <c r="H592">
        <v>4.1799923000000003E-2</v>
      </c>
      <c r="I592">
        <v>5.676001E-3</v>
      </c>
    </row>
    <row r="593" spans="1:9" x14ac:dyDescent="0.25">
      <c r="A593" t="s">
        <v>193</v>
      </c>
      <c r="B593" s="1">
        <v>134</v>
      </c>
      <c r="C593">
        <v>63</v>
      </c>
      <c r="D593">
        <v>105882</v>
      </c>
      <c r="E593">
        <v>25645</v>
      </c>
      <c r="F593">
        <v>0.56296460199999998</v>
      </c>
      <c r="G593">
        <v>0.72123893800000005</v>
      </c>
      <c r="H593">
        <v>5.7363190000000001E-2</v>
      </c>
      <c r="I593">
        <v>3.6710840000000002E-2</v>
      </c>
    </row>
    <row r="594" spans="1:9" x14ac:dyDescent="0.25">
      <c r="A594" t="s">
        <v>197</v>
      </c>
      <c r="B594" s="1">
        <v>135</v>
      </c>
      <c r="C594">
        <v>0</v>
      </c>
      <c r="D594">
        <v>105492</v>
      </c>
      <c r="E594">
        <v>45400</v>
      </c>
      <c r="F594">
        <v>1</v>
      </c>
      <c r="G594">
        <v>1</v>
      </c>
      <c r="H594">
        <v>8.9836949999999999E-2</v>
      </c>
      <c r="I594">
        <v>7.6520169999999998E-2</v>
      </c>
    </row>
    <row r="595" spans="1:9" x14ac:dyDescent="0.25">
      <c r="A595" t="s">
        <v>196</v>
      </c>
      <c r="B595" s="1">
        <v>136</v>
      </c>
      <c r="C595">
        <v>75</v>
      </c>
      <c r="D595">
        <v>105437</v>
      </c>
      <c r="E595">
        <v>18933</v>
      </c>
      <c r="F595">
        <v>0.41449114999999997</v>
      </c>
      <c r="G595">
        <v>0.66814159299999998</v>
      </c>
      <c r="H595">
        <v>4.0855598E-2</v>
      </c>
      <c r="I595">
        <v>3.071158E-3</v>
      </c>
    </row>
    <row r="596" spans="1:9" x14ac:dyDescent="0.25">
      <c r="A596" t="s">
        <v>195</v>
      </c>
      <c r="B596" s="1">
        <v>137</v>
      </c>
      <c r="C596">
        <v>60</v>
      </c>
      <c r="D596">
        <v>105110</v>
      </c>
      <c r="E596">
        <v>36683</v>
      </c>
      <c r="F596">
        <v>0.80716814199999998</v>
      </c>
      <c r="G596">
        <v>0.73451327399999999</v>
      </c>
      <c r="H596">
        <v>7.6360442000000001E-2</v>
      </c>
      <c r="I596">
        <v>6.4116330999999999E-2</v>
      </c>
    </row>
    <row r="597" spans="1:9" x14ac:dyDescent="0.25">
      <c r="A597" t="s">
        <v>194</v>
      </c>
      <c r="B597" s="1">
        <v>138</v>
      </c>
      <c r="C597">
        <v>54</v>
      </c>
      <c r="D597">
        <v>104891</v>
      </c>
      <c r="E597">
        <v>32082</v>
      </c>
      <c r="F597">
        <v>0.705376106</v>
      </c>
      <c r="G597">
        <v>0.76106194699999996</v>
      </c>
      <c r="H597">
        <v>6.9712195000000005E-2</v>
      </c>
      <c r="I597">
        <v>5.6950976E-2</v>
      </c>
    </row>
    <row r="598" spans="1:9" x14ac:dyDescent="0.25">
      <c r="A598" t="s">
        <v>198</v>
      </c>
      <c r="B598" s="1">
        <v>139</v>
      </c>
      <c r="C598">
        <v>23</v>
      </c>
      <c r="D598">
        <v>104582</v>
      </c>
      <c r="E598">
        <v>44274</v>
      </c>
      <c r="F598">
        <v>0.97951327399999999</v>
      </c>
      <c r="G598">
        <v>0.89823008800000004</v>
      </c>
      <c r="H598">
        <v>8.7813350999999998E-2</v>
      </c>
      <c r="I598">
        <v>7.3929034000000005E-2</v>
      </c>
    </row>
    <row r="599" spans="1:9" x14ac:dyDescent="0.25">
      <c r="A599" t="s">
        <v>183</v>
      </c>
      <c r="B599" s="1">
        <v>140</v>
      </c>
      <c r="C599">
        <v>101</v>
      </c>
      <c r="D599">
        <v>103508</v>
      </c>
      <c r="E599">
        <v>19767</v>
      </c>
      <c r="F599">
        <v>0.433163717</v>
      </c>
      <c r="G599">
        <v>0.55309734499999996</v>
      </c>
      <c r="H599">
        <v>4.1664824000000003E-2</v>
      </c>
      <c r="I599">
        <v>6.135929E-3</v>
      </c>
    </row>
    <row r="600" spans="1:9" x14ac:dyDescent="0.25">
      <c r="A600" t="s">
        <v>18</v>
      </c>
      <c r="B600" s="1">
        <v>141</v>
      </c>
      <c r="C600">
        <v>117</v>
      </c>
      <c r="D600">
        <v>102706</v>
      </c>
      <c r="E600">
        <v>13925</v>
      </c>
      <c r="F600">
        <v>0.30807522100000001</v>
      </c>
      <c r="G600">
        <v>0.48230088500000001</v>
      </c>
      <c r="H600">
        <v>2.9612796E-2</v>
      </c>
      <c r="I600">
        <v>-1.8283337E-2</v>
      </c>
    </row>
    <row r="601" spans="1:9" x14ac:dyDescent="0.25">
      <c r="A601" t="s">
        <v>200</v>
      </c>
      <c r="B601" s="1">
        <v>142</v>
      </c>
      <c r="C601">
        <v>109</v>
      </c>
      <c r="D601">
        <v>101390</v>
      </c>
      <c r="E601">
        <v>24042</v>
      </c>
      <c r="F601">
        <v>0.52758849600000002</v>
      </c>
      <c r="G601">
        <v>0.51769911499999999</v>
      </c>
      <c r="H601">
        <v>4.9374901999999998E-2</v>
      </c>
      <c r="I601">
        <v>2.1932769000000001E-2</v>
      </c>
    </row>
    <row r="602" spans="1:9" x14ac:dyDescent="0.25">
      <c r="A602" t="s">
        <v>199</v>
      </c>
      <c r="B602" s="1">
        <v>143</v>
      </c>
      <c r="C602">
        <v>104</v>
      </c>
      <c r="D602">
        <v>101172</v>
      </c>
      <c r="E602">
        <v>23168</v>
      </c>
      <c r="F602">
        <v>0.51035398200000004</v>
      </c>
      <c r="G602">
        <v>0.53982300900000002</v>
      </c>
      <c r="H602">
        <v>4.9646616999999997E-2</v>
      </c>
      <c r="I602">
        <v>1.4291066E-2</v>
      </c>
    </row>
    <row r="603" spans="1:9" x14ac:dyDescent="0.25">
      <c r="A603" t="s">
        <v>205</v>
      </c>
      <c r="B603" s="1">
        <v>144</v>
      </c>
      <c r="C603">
        <v>61</v>
      </c>
      <c r="D603">
        <v>99668</v>
      </c>
      <c r="E603">
        <v>39091</v>
      </c>
      <c r="F603">
        <v>0.86061946899999997</v>
      </c>
      <c r="G603">
        <v>0.73008849600000003</v>
      </c>
      <c r="H603">
        <v>8.0597772999999998E-2</v>
      </c>
      <c r="I603">
        <v>6.8119612999999996E-2</v>
      </c>
    </row>
    <row r="604" spans="1:9" x14ac:dyDescent="0.25">
      <c r="A604" t="s">
        <v>204</v>
      </c>
      <c r="B604" s="1">
        <v>145</v>
      </c>
      <c r="C604">
        <v>108</v>
      </c>
      <c r="D604">
        <v>99645</v>
      </c>
      <c r="E604">
        <v>24510</v>
      </c>
      <c r="F604">
        <v>0.54225663700000004</v>
      </c>
      <c r="G604">
        <v>0.52212389400000003</v>
      </c>
      <c r="H604">
        <v>5.5143256000000002E-2</v>
      </c>
      <c r="I604">
        <v>3.1597268999999997E-2</v>
      </c>
    </row>
    <row r="605" spans="1:9" x14ac:dyDescent="0.25">
      <c r="A605" t="s">
        <v>203</v>
      </c>
      <c r="B605" s="1">
        <v>146</v>
      </c>
      <c r="C605">
        <v>81</v>
      </c>
      <c r="D605">
        <v>99374</v>
      </c>
      <c r="E605">
        <v>17567</v>
      </c>
      <c r="F605">
        <v>0.38860619499999999</v>
      </c>
      <c r="G605">
        <v>0.64159292000000001</v>
      </c>
      <c r="H605">
        <v>3.8004824E-2</v>
      </c>
      <c r="I605">
        <v>-2.890994E-3</v>
      </c>
    </row>
    <row r="606" spans="1:9" x14ac:dyDescent="0.25">
      <c r="A606" t="s">
        <v>207</v>
      </c>
      <c r="B606" s="1">
        <v>147</v>
      </c>
      <c r="C606">
        <v>60</v>
      </c>
      <c r="D606">
        <v>98632</v>
      </c>
      <c r="E606">
        <v>39006</v>
      </c>
      <c r="F606">
        <v>0.85882743399999995</v>
      </c>
      <c r="G606">
        <v>0.73451327399999999</v>
      </c>
      <c r="H606">
        <v>7.9871655999999999E-2</v>
      </c>
      <c r="I606">
        <v>6.5391223999999998E-2</v>
      </c>
    </row>
    <row r="607" spans="1:9" x14ac:dyDescent="0.25">
      <c r="A607" t="s">
        <v>206</v>
      </c>
      <c r="B607" s="1">
        <v>148</v>
      </c>
      <c r="C607">
        <v>67</v>
      </c>
      <c r="D607">
        <v>98451</v>
      </c>
      <c r="E607">
        <v>19241</v>
      </c>
      <c r="F607">
        <v>0.42128318599999998</v>
      </c>
      <c r="G607">
        <v>0.70353982299999995</v>
      </c>
      <c r="H607">
        <v>3.8813202999999998E-2</v>
      </c>
      <c r="I607">
        <v>-1.0664976E-2</v>
      </c>
    </row>
    <row r="608" spans="1:9" x14ac:dyDescent="0.25">
      <c r="A608" t="s">
        <v>202</v>
      </c>
      <c r="B608" s="1">
        <v>149</v>
      </c>
      <c r="C608">
        <v>58</v>
      </c>
      <c r="D608">
        <v>98439</v>
      </c>
      <c r="E608">
        <v>38941</v>
      </c>
      <c r="F608">
        <v>0.85730088500000001</v>
      </c>
      <c r="G608">
        <v>0.74336283199999997</v>
      </c>
      <c r="H608">
        <v>7.9860028999999999E-2</v>
      </c>
      <c r="I608">
        <v>6.5843721999999993E-2</v>
      </c>
    </row>
    <row r="609" spans="1:9" x14ac:dyDescent="0.25">
      <c r="A609" t="s">
        <v>211</v>
      </c>
      <c r="B609" s="1">
        <v>150</v>
      </c>
      <c r="C609">
        <v>41</v>
      </c>
      <c r="D609">
        <v>98412</v>
      </c>
      <c r="E609">
        <v>41951</v>
      </c>
      <c r="F609">
        <v>0.92371681400000005</v>
      </c>
      <c r="G609">
        <v>0.81858407099999997</v>
      </c>
      <c r="H609">
        <v>8.1981080999999997E-2</v>
      </c>
      <c r="I609">
        <v>6.4048032000000005E-2</v>
      </c>
    </row>
    <row r="610" spans="1:9" x14ac:dyDescent="0.25">
      <c r="A610" t="s">
        <v>201</v>
      </c>
      <c r="B610" s="1">
        <v>151</v>
      </c>
      <c r="C610">
        <v>143</v>
      </c>
      <c r="D610">
        <v>98234</v>
      </c>
      <c r="E610">
        <v>20798</v>
      </c>
      <c r="F610">
        <v>0.457964602</v>
      </c>
      <c r="G610">
        <v>0.367256637</v>
      </c>
      <c r="H610">
        <v>4.5742089999999999E-2</v>
      </c>
      <c r="I610">
        <v>7.40824E-3</v>
      </c>
    </row>
    <row r="611" spans="1:9" x14ac:dyDescent="0.25">
      <c r="A611" t="s">
        <v>214</v>
      </c>
      <c r="B611" s="1">
        <v>152</v>
      </c>
      <c r="C611">
        <v>38</v>
      </c>
      <c r="D611">
        <v>98213</v>
      </c>
      <c r="E611">
        <v>41709</v>
      </c>
      <c r="F611">
        <v>0.92276548700000005</v>
      </c>
      <c r="G611">
        <v>0.83185840700000002</v>
      </c>
      <c r="H611">
        <v>8.4517409000000002E-2</v>
      </c>
      <c r="I611">
        <v>7.3577499000000005E-2</v>
      </c>
    </row>
    <row r="612" spans="1:9" x14ac:dyDescent="0.25">
      <c r="A612" t="s">
        <v>209</v>
      </c>
      <c r="B612" s="1">
        <v>153</v>
      </c>
      <c r="C612">
        <v>59</v>
      </c>
      <c r="D612">
        <v>98201</v>
      </c>
      <c r="E612">
        <v>39233</v>
      </c>
      <c r="F612">
        <v>0.863871681</v>
      </c>
      <c r="G612">
        <v>0.73893805300000004</v>
      </c>
      <c r="H612">
        <v>8.0122151000000003E-2</v>
      </c>
      <c r="I612">
        <v>6.4700495999999996E-2</v>
      </c>
    </row>
    <row r="613" spans="1:9" x14ac:dyDescent="0.25">
      <c r="A613" t="s">
        <v>215</v>
      </c>
      <c r="B613" s="1">
        <v>154</v>
      </c>
      <c r="C613">
        <v>92</v>
      </c>
      <c r="D613">
        <v>98036</v>
      </c>
      <c r="E613">
        <v>23575</v>
      </c>
      <c r="F613">
        <v>0.51944690299999996</v>
      </c>
      <c r="G613">
        <v>0.59292035399999998</v>
      </c>
      <c r="H613">
        <v>4.9771903999999999E-2</v>
      </c>
      <c r="I613">
        <v>1.3694035E-2</v>
      </c>
    </row>
    <row r="614" spans="1:9" x14ac:dyDescent="0.25">
      <c r="A614" t="s">
        <v>212</v>
      </c>
      <c r="B614" s="1">
        <v>155</v>
      </c>
      <c r="C614">
        <v>101</v>
      </c>
      <c r="D614">
        <v>97661</v>
      </c>
      <c r="E614">
        <v>25560</v>
      </c>
      <c r="F614">
        <v>0.56236725700000001</v>
      </c>
      <c r="G614">
        <v>0.55309734499999996</v>
      </c>
      <c r="H614">
        <v>5.3057081999999998E-2</v>
      </c>
      <c r="I614">
        <v>1.8800025000000001E-2</v>
      </c>
    </row>
    <row r="615" spans="1:9" x14ac:dyDescent="0.25">
      <c r="A615" t="s">
        <v>213</v>
      </c>
      <c r="B615" s="1">
        <v>156</v>
      </c>
      <c r="C615">
        <v>118</v>
      </c>
      <c r="D615">
        <v>97441</v>
      </c>
      <c r="E615">
        <v>14164</v>
      </c>
      <c r="F615">
        <v>0.31201327400000001</v>
      </c>
      <c r="G615">
        <v>0.47787610600000002</v>
      </c>
      <c r="H615">
        <v>2.877702E-2</v>
      </c>
      <c r="I615">
        <v>-2.5054904999999999E-2</v>
      </c>
    </row>
    <row r="616" spans="1:9" x14ac:dyDescent="0.25">
      <c r="A616" t="s">
        <v>217</v>
      </c>
      <c r="B616" s="1">
        <v>157</v>
      </c>
      <c r="C616">
        <v>109</v>
      </c>
      <c r="D616">
        <v>97114</v>
      </c>
      <c r="E616">
        <v>23429</v>
      </c>
      <c r="F616">
        <v>0.51834070799999998</v>
      </c>
      <c r="G616">
        <v>0.51769911499999999</v>
      </c>
      <c r="H616">
        <v>5.4142279000000001E-2</v>
      </c>
      <c r="I616">
        <v>3.2958464999999999E-2</v>
      </c>
    </row>
    <row r="617" spans="1:9" x14ac:dyDescent="0.25">
      <c r="A617" t="s">
        <v>19</v>
      </c>
      <c r="B617" s="1">
        <v>158</v>
      </c>
      <c r="C617">
        <v>173</v>
      </c>
      <c r="D617">
        <v>97100</v>
      </c>
      <c r="E617">
        <v>16302</v>
      </c>
      <c r="F617">
        <v>0.36004424800000001</v>
      </c>
      <c r="G617">
        <v>0.23451327399999999</v>
      </c>
      <c r="H617">
        <v>3.6698585999999998E-2</v>
      </c>
      <c r="I617">
        <v>-5.9575920000000003E-3</v>
      </c>
    </row>
    <row r="618" spans="1:9" x14ac:dyDescent="0.25">
      <c r="A618" t="s">
        <v>208</v>
      </c>
      <c r="B618" s="1">
        <v>159</v>
      </c>
      <c r="C618">
        <v>134</v>
      </c>
      <c r="D618">
        <v>96836</v>
      </c>
      <c r="E618">
        <v>11372</v>
      </c>
      <c r="F618">
        <v>0.25157079599999999</v>
      </c>
      <c r="G618">
        <v>0.40707964600000002</v>
      </c>
      <c r="H618">
        <v>2.5033553E-2</v>
      </c>
      <c r="I618">
        <v>-2.7495216999999999E-2</v>
      </c>
    </row>
    <row r="619" spans="1:9" x14ac:dyDescent="0.25">
      <c r="A619" t="s">
        <v>216</v>
      </c>
      <c r="B619" s="1">
        <v>160</v>
      </c>
      <c r="C619">
        <v>109</v>
      </c>
      <c r="D619">
        <v>96389</v>
      </c>
      <c r="E619">
        <v>22489</v>
      </c>
      <c r="F619">
        <v>0.49754424800000002</v>
      </c>
      <c r="G619">
        <v>0.51769911499999999</v>
      </c>
      <c r="H619">
        <v>5.1587632000000001E-2</v>
      </c>
      <c r="I619">
        <v>2.7591742999999998E-2</v>
      </c>
    </row>
    <row r="620" spans="1:9" x14ac:dyDescent="0.25">
      <c r="A620" t="s">
        <v>219</v>
      </c>
      <c r="B620" s="1">
        <v>161</v>
      </c>
      <c r="C620">
        <v>105</v>
      </c>
      <c r="D620">
        <v>96270</v>
      </c>
      <c r="E620">
        <v>22498</v>
      </c>
      <c r="F620">
        <v>0.49553097299999999</v>
      </c>
      <c r="G620">
        <v>0.53539822999999997</v>
      </c>
      <c r="H620">
        <v>4.4596444999999998E-2</v>
      </c>
      <c r="I620">
        <v>-3.1861299999999998E-4</v>
      </c>
    </row>
    <row r="621" spans="1:9" x14ac:dyDescent="0.25">
      <c r="A621" t="s">
        <v>218</v>
      </c>
      <c r="B621" s="1">
        <v>162</v>
      </c>
      <c r="C621">
        <v>130</v>
      </c>
      <c r="D621">
        <v>96107</v>
      </c>
      <c r="E621">
        <v>9890</v>
      </c>
      <c r="F621">
        <v>0.21460177</v>
      </c>
      <c r="G621">
        <v>0.424778761</v>
      </c>
      <c r="H621">
        <v>1.8920675000000001E-2</v>
      </c>
      <c r="I621">
        <v>-4.7137962999999998E-2</v>
      </c>
    </row>
    <row r="622" spans="1:9" x14ac:dyDescent="0.25">
      <c r="A622" t="s">
        <v>22</v>
      </c>
      <c r="B622" s="1">
        <v>163</v>
      </c>
      <c r="C622">
        <v>156</v>
      </c>
      <c r="D622">
        <v>95942</v>
      </c>
      <c r="E622">
        <v>20064</v>
      </c>
      <c r="F622">
        <v>0.44278761100000003</v>
      </c>
      <c r="G622">
        <v>0.30973451299999999</v>
      </c>
      <c r="H622">
        <v>4.5387313999999998E-2</v>
      </c>
      <c r="I622">
        <v>1.2207317000000001E-2</v>
      </c>
    </row>
    <row r="623" spans="1:9" x14ac:dyDescent="0.25">
      <c r="A623" t="s">
        <v>210</v>
      </c>
      <c r="B623" s="1">
        <v>164</v>
      </c>
      <c r="C623">
        <v>113</v>
      </c>
      <c r="D623">
        <v>95921</v>
      </c>
      <c r="E623">
        <v>22084</v>
      </c>
      <c r="F623">
        <v>0.485973451</v>
      </c>
      <c r="G623">
        <v>0.5</v>
      </c>
      <c r="H623">
        <v>4.7923097999999997E-2</v>
      </c>
      <c r="I623">
        <v>1.1706539E-2</v>
      </c>
    </row>
    <row r="624" spans="1:9" x14ac:dyDescent="0.25">
      <c r="A624" t="s">
        <v>220</v>
      </c>
      <c r="B624" s="1">
        <v>165</v>
      </c>
      <c r="C624">
        <v>73</v>
      </c>
      <c r="D624">
        <v>95917</v>
      </c>
      <c r="E624">
        <v>40794</v>
      </c>
      <c r="F624">
        <v>0.89865044199999999</v>
      </c>
      <c r="G624">
        <v>0.67699114999999999</v>
      </c>
      <c r="H624">
        <v>8.0699587000000003E-2</v>
      </c>
      <c r="I624">
        <v>6.0880490000000002E-2</v>
      </c>
    </row>
    <row r="625" spans="1:9" x14ac:dyDescent="0.25">
      <c r="A625" t="s">
        <v>232</v>
      </c>
      <c r="B625" s="1">
        <v>166</v>
      </c>
      <c r="C625">
        <v>79</v>
      </c>
      <c r="D625">
        <v>95905</v>
      </c>
      <c r="E625">
        <v>28400</v>
      </c>
      <c r="F625">
        <v>0.62389380500000002</v>
      </c>
      <c r="G625">
        <v>0.65044247799999999</v>
      </c>
      <c r="H625">
        <v>5.5686762000000001E-2</v>
      </c>
      <c r="I625">
        <v>1.5734537E-2</v>
      </c>
    </row>
    <row r="626" spans="1:9" x14ac:dyDescent="0.25">
      <c r="A626" t="s">
        <v>229</v>
      </c>
      <c r="B626" s="1">
        <v>167</v>
      </c>
      <c r="C626">
        <v>103</v>
      </c>
      <c r="D626">
        <v>95162</v>
      </c>
      <c r="E626">
        <v>14914</v>
      </c>
      <c r="F626">
        <v>0.32557522100000003</v>
      </c>
      <c r="G626">
        <v>0.54424778799999995</v>
      </c>
      <c r="H626">
        <v>2.9448776999999999E-2</v>
      </c>
      <c r="I626">
        <v>-2.4097799999999999E-2</v>
      </c>
    </row>
    <row r="627" spans="1:9" x14ac:dyDescent="0.25">
      <c r="A627" t="s">
        <v>222</v>
      </c>
      <c r="B627" s="1">
        <v>168</v>
      </c>
      <c r="C627">
        <v>58</v>
      </c>
      <c r="D627">
        <v>95067</v>
      </c>
      <c r="E627">
        <v>34968</v>
      </c>
      <c r="F627">
        <v>0.76922566400000003</v>
      </c>
      <c r="G627">
        <v>0.74336283199999997</v>
      </c>
      <c r="H627">
        <v>7.2384541999999996E-2</v>
      </c>
      <c r="I627">
        <v>5.3369306999999998E-2</v>
      </c>
    </row>
    <row r="628" spans="1:9" x14ac:dyDescent="0.25">
      <c r="A628" t="s">
        <v>226</v>
      </c>
      <c r="B628" s="1">
        <v>169</v>
      </c>
      <c r="C628">
        <v>136</v>
      </c>
      <c r="D628">
        <v>94756</v>
      </c>
      <c r="E628">
        <v>22048</v>
      </c>
      <c r="F628">
        <v>0.487522124</v>
      </c>
      <c r="G628">
        <v>0.39823008799999998</v>
      </c>
      <c r="H628">
        <v>4.3594470000000003E-2</v>
      </c>
      <c r="I628">
        <v>-2.0518049999999999E-3</v>
      </c>
    </row>
    <row r="629" spans="1:9" x14ac:dyDescent="0.25">
      <c r="A629" t="s">
        <v>221</v>
      </c>
      <c r="B629" s="1">
        <v>170</v>
      </c>
      <c r="C629">
        <v>127</v>
      </c>
      <c r="D629">
        <v>94085</v>
      </c>
      <c r="E629">
        <v>21345</v>
      </c>
      <c r="F629">
        <v>0.47223451300000002</v>
      </c>
      <c r="G629">
        <v>0.438053097</v>
      </c>
      <c r="H629">
        <v>4.9528348999999999E-2</v>
      </c>
      <c r="I629">
        <v>2.3964024E-2</v>
      </c>
    </row>
    <row r="630" spans="1:9" x14ac:dyDescent="0.25">
      <c r="A630" t="s">
        <v>225</v>
      </c>
      <c r="B630" s="1">
        <v>171</v>
      </c>
      <c r="C630">
        <v>118</v>
      </c>
      <c r="D630">
        <v>94011</v>
      </c>
      <c r="E630">
        <v>8142</v>
      </c>
      <c r="F630">
        <v>0.178716814</v>
      </c>
      <c r="G630">
        <v>0.47787610600000002</v>
      </c>
      <c r="H630">
        <v>1.6465526000000001E-2</v>
      </c>
      <c r="I630">
        <v>-4.6127661E-2</v>
      </c>
    </row>
    <row r="631" spans="1:9" x14ac:dyDescent="0.25">
      <c r="A631" t="s">
        <v>224</v>
      </c>
      <c r="B631" s="1">
        <v>172</v>
      </c>
      <c r="C631">
        <v>105</v>
      </c>
      <c r="D631">
        <v>93935</v>
      </c>
      <c r="E631">
        <v>10859</v>
      </c>
      <c r="F631">
        <v>0.23588495600000001</v>
      </c>
      <c r="G631">
        <v>0.53539822999999997</v>
      </c>
      <c r="H631">
        <v>2.1872988999999999E-2</v>
      </c>
      <c r="I631">
        <v>-3.5737133999999997E-2</v>
      </c>
    </row>
    <row r="632" spans="1:9" x14ac:dyDescent="0.25">
      <c r="A632" t="s">
        <v>230</v>
      </c>
      <c r="B632" s="1">
        <v>173</v>
      </c>
      <c r="C632">
        <v>131</v>
      </c>
      <c r="D632">
        <v>93489</v>
      </c>
      <c r="E632">
        <v>20783</v>
      </c>
      <c r="F632">
        <v>0.45980088499999999</v>
      </c>
      <c r="G632">
        <v>0.42035398200000001</v>
      </c>
      <c r="H632">
        <v>4.8265821E-2</v>
      </c>
      <c r="I632">
        <v>2.1124061E-2</v>
      </c>
    </row>
    <row r="633" spans="1:9" x14ac:dyDescent="0.25">
      <c r="A633" t="s">
        <v>227</v>
      </c>
      <c r="B633" s="1">
        <v>174</v>
      </c>
      <c r="C633">
        <v>172</v>
      </c>
      <c r="D633">
        <v>93071</v>
      </c>
      <c r="E633">
        <v>18336</v>
      </c>
      <c r="F633">
        <v>0.405442478</v>
      </c>
      <c r="G633">
        <v>0.23893805300000001</v>
      </c>
      <c r="H633">
        <v>4.2053898999999999E-2</v>
      </c>
      <c r="I633">
        <v>5.373236E-3</v>
      </c>
    </row>
    <row r="634" spans="1:9" x14ac:dyDescent="0.25">
      <c r="A634" t="s">
        <v>228</v>
      </c>
      <c r="B634" s="1">
        <v>175</v>
      </c>
      <c r="C634">
        <v>172</v>
      </c>
      <c r="D634">
        <v>93061</v>
      </c>
      <c r="E634">
        <v>18527</v>
      </c>
      <c r="F634">
        <v>0.409800885</v>
      </c>
      <c r="G634">
        <v>0.23893805300000001</v>
      </c>
      <c r="H634">
        <v>4.2251792000000003E-2</v>
      </c>
      <c r="I634">
        <v>4.9227300000000002E-3</v>
      </c>
    </row>
    <row r="635" spans="1:9" x14ac:dyDescent="0.25">
      <c r="A635" t="s">
        <v>20</v>
      </c>
      <c r="B635" s="1">
        <v>176</v>
      </c>
      <c r="C635">
        <v>178</v>
      </c>
      <c r="D635">
        <v>92659</v>
      </c>
      <c r="E635">
        <v>18302</v>
      </c>
      <c r="F635">
        <v>0.404646018</v>
      </c>
      <c r="G635">
        <v>0.21238938099999999</v>
      </c>
      <c r="H635">
        <v>4.1288931000000001E-2</v>
      </c>
      <c r="I635">
        <v>1.295453E-3</v>
      </c>
    </row>
    <row r="636" spans="1:9" x14ac:dyDescent="0.25">
      <c r="A636" t="s">
        <v>231</v>
      </c>
      <c r="B636" s="1">
        <v>177</v>
      </c>
      <c r="C636">
        <v>40</v>
      </c>
      <c r="D636">
        <v>92441</v>
      </c>
      <c r="E636">
        <v>43526</v>
      </c>
      <c r="F636">
        <v>0.95856194699999997</v>
      </c>
      <c r="G636">
        <v>0.82300885000000001</v>
      </c>
      <c r="H636">
        <v>8.5087461000000003E-2</v>
      </c>
      <c r="I636">
        <v>6.7510063999999995E-2</v>
      </c>
    </row>
    <row r="637" spans="1:9" x14ac:dyDescent="0.25">
      <c r="A637" t="s">
        <v>239</v>
      </c>
      <c r="B637" s="1">
        <v>178</v>
      </c>
      <c r="C637">
        <v>176</v>
      </c>
      <c r="D637">
        <v>91415</v>
      </c>
      <c r="E637">
        <v>9221</v>
      </c>
      <c r="F637">
        <v>0.199623894</v>
      </c>
      <c r="G637">
        <v>0.221238938</v>
      </c>
      <c r="H637">
        <v>2.0089355E-2</v>
      </c>
      <c r="I637">
        <v>-4.1582109999999999E-2</v>
      </c>
    </row>
    <row r="638" spans="1:9" x14ac:dyDescent="0.25">
      <c r="A638" t="s">
        <v>233</v>
      </c>
      <c r="B638" s="1">
        <v>179</v>
      </c>
      <c r="C638">
        <v>135</v>
      </c>
      <c r="D638">
        <v>90981</v>
      </c>
      <c r="E638">
        <v>18954</v>
      </c>
      <c r="F638">
        <v>0.41933628299999998</v>
      </c>
      <c r="G638">
        <v>0.40265486700000003</v>
      </c>
      <c r="H638">
        <v>4.4506696999999998E-2</v>
      </c>
      <c r="I638">
        <v>1.4873693E-2</v>
      </c>
    </row>
    <row r="639" spans="1:9" x14ac:dyDescent="0.25">
      <c r="A639" t="s">
        <v>240</v>
      </c>
      <c r="B639" s="1">
        <v>180</v>
      </c>
      <c r="C639">
        <v>164</v>
      </c>
      <c r="D639">
        <v>90918</v>
      </c>
      <c r="E639">
        <v>17508</v>
      </c>
      <c r="F639">
        <v>0.38734513300000001</v>
      </c>
      <c r="G639">
        <v>0.27433628300000001</v>
      </c>
      <c r="H639">
        <v>4.0056359E-2</v>
      </c>
      <c r="I639">
        <v>2.9966849999999998E-3</v>
      </c>
    </row>
    <row r="640" spans="1:9" x14ac:dyDescent="0.25">
      <c r="A640" t="s">
        <v>223</v>
      </c>
      <c r="B640" s="1">
        <v>181</v>
      </c>
      <c r="C640">
        <v>138</v>
      </c>
      <c r="D640">
        <v>90854</v>
      </c>
      <c r="E640">
        <v>13372</v>
      </c>
      <c r="F640">
        <v>0.29577433600000003</v>
      </c>
      <c r="G640">
        <v>0.38938053099999997</v>
      </c>
      <c r="H640">
        <v>2.8383447999999999E-2</v>
      </c>
      <c r="I640">
        <v>-2.7290238000000001E-2</v>
      </c>
    </row>
    <row r="641" spans="1:9" x14ac:dyDescent="0.25">
      <c r="A641" t="s">
        <v>238</v>
      </c>
      <c r="B641" s="1">
        <v>182</v>
      </c>
      <c r="C641">
        <v>179</v>
      </c>
      <c r="D641">
        <v>90834</v>
      </c>
      <c r="E641">
        <v>15348</v>
      </c>
      <c r="F641">
        <v>0.33515486700000002</v>
      </c>
      <c r="G641">
        <v>0.207964602</v>
      </c>
      <c r="H641">
        <v>3.5811000000000003E-2</v>
      </c>
      <c r="I641">
        <v>-5.1304430000000002E-3</v>
      </c>
    </row>
    <row r="642" spans="1:9" x14ac:dyDescent="0.25">
      <c r="A642" t="s">
        <v>236</v>
      </c>
      <c r="B642" s="1">
        <v>183</v>
      </c>
      <c r="C642">
        <v>81</v>
      </c>
      <c r="D642">
        <v>90556</v>
      </c>
      <c r="E642">
        <v>24915</v>
      </c>
      <c r="F642">
        <v>0.547522124</v>
      </c>
      <c r="G642">
        <v>0.64159292000000001</v>
      </c>
      <c r="H642">
        <v>5.0347444999999998E-2</v>
      </c>
      <c r="I642">
        <v>1.2885695000000001E-2</v>
      </c>
    </row>
    <row r="643" spans="1:9" x14ac:dyDescent="0.25">
      <c r="A643" t="s">
        <v>243</v>
      </c>
      <c r="B643" s="1">
        <v>184</v>
      </c>
      <c r="C643">
        <v>44</v>
      </c>
      <c r="D643">
        <v>90319</v>
      </c>
      <c r="E643">
        <v>41663</v>
      </c>
      <c r="F643">
        <v>0.92174778800000001</v>
      </c>
      <c r="G643">
        <v>0.80530973500000003</v>
      </c>
      <c r="H643">
        <v>8.4420991000000001E-2</v>
      </c>
      <c r="I643">
        <v>7.3151740000000007E-2</v>
      </c>
    </row>
    <row r="644" spans="1:9" x14ac:dyDescent="0.25">
      <c r="A644" t="s">
        <v>244</v>
      </c>
      <c r="B644" s="1">
        <v>185</v>
      </c>
      <c r="C644">
        <v>80</v>
      </c>
      <c r="D644">
        <v>89959</v>
      </c>
      <c r="E644">
        <v>21639</v>
      </c>
      <c r="F644">
        <v>0.47661504399999999</v>
      </c>
      <c r="G644">
        <v>0.64601769899999995</v>
      </c>
      <c r="H644">
        <v>4.4527730000000001E-2</v>
      </c>
      <c r="I644">
        <v>8.5897199999999995E-4</v>
      </c>
    </row>
    <row r="645" spans="1:9" x14ac:dyDescent="0.25">
      <c r="A645" t="s">
        <v>235</v>
      </c>
      <c r="B645" s="1">
        <v>186</v>
      </c>
      <c r="C645">
        <v>77</v>
      </c>
      <c r="D645">
        <v>89859</v>
      </c>
      <c r="E645">
        <v>34050</v>
      </c>
      <c r="F645">
        <v>0.75</v>
      </c>
      <c r="G645">
        <v>0.659292035</v>
      </c>
      <c r="H645">
        <v>6.7377713000000006E-2</v>
      </c>
      <c r="I645">
        <v>3.8260084999999999E-2</v>
      </c>
    </row>
    <row r="646" spans="1:9" x14ac:dyDescent="0.25">
      <c r="A646" t="s">
        <v>241</v>
      </c>
      <c r="B646" s="1">
        <v>187</v>
      </c>
      <c r="C646">
        <v>63</v>
      </c>
      <c r="D646">
        <v>89636</v>
      </c>
      <c r="E646">
        <v>37909</v>
      </c>
      <c r="F646">
        <v>0.83499999999999996</v>
      </c>
      <c r="G646">
        <v>0.72123893800000005</v>
      </c>
      <c r="H646">
        <v>7.5013853000000005E-2</v>
      </c>
      <c r="I646">
        <v>5.1268514000000001E-2</v>
      </c>
    </row>
    <row r="647" spans="1:9" x14ac:dyDescent="0.25">
      <c r="A647" t="s">
        <v>237</v>
      </c>
      <c r="B647" s="1">
        <v>188</v>
      </c>
      <c r="C647">
        <v>71</v>
      </c>
      <c r="D647">
        <v>89405</v>
      </c>
      <c r="E647">
        <v>30418</v>
      </c>
      <c r="F647">
        <v>0.67</v>
      </c>
      <c r="G647">
        <v>0.68584070799999997</v>
      </c>
      <c r="H647">
        <v>6.0190756999999998E-2</v>
      </c>
      <c r="I647">
        <v>2.6016858E-2</v>
      </c>
    </row>
    <row r="648" spans="1:9" x14ac:dyDescent="0.25">
      <c r="A648" t="s">
        <v>242</v>
      </c>
      <c r="B648" s="1">
        <v>189</v>
      </c>
      <c r="C648">
        <v>119</v>
      </c>
      <c r="D648">
        <v>89194</v>
      </c>
      <c r="E648">
        <v>7470</v>
      </c>
      <c r="F648">
        <v>0.160884956</v>
      </c>
      <c r="G648">
        <v>0.47345132699999998</v>
      </c>
      <c r="H648">
        <v>1.467356E-2</v>
      </c>
      <c r="I648">
        <v>-5.3071657000000001E-2</v>
      </c>
    </row>
    <row r="649" spans="1:9" x14ac:dyDescent="0.25">
      <c r="A649" t="s">
        <v>234</v>
      </c>
      <c r="B649" s="1">
        <v>190</v>
      </c>
      <c r="C649">
        <v>97</v>
      </c>
      <c r="D649">
        <v>89100</v>
      </c>
      <c r="E649">
        <v>18567</v>
      </c>
      <c r="F649">
        <v>0.40918141600000002</v>
      </c>
      <c r="G649">
        <v>0.57079645999999995</v>
      </c>
      <c r="H649">
        <v>3.8100185000000002E-2</v>
      </c>
      <c r="I649">
        <v>-1.1052184E-2</v>
      </c>
    </row>
    <row r="650" spans="1:9" x14ac:dyDescent="0.25">
      <c r="A650" t="s">
        <v>246</v>
      </c>
      <c r="B650" s="1">
        <v>191</v>
      </c>
      <c r="C650">
        <v>61</v>
      </c>
      <c r="D650">
        <v>88295</v>
      </c>
      <c r="E650">
        <v>30418</v>
      </c>
      <c r="F650">
        <v>0.67</v>
      </c>
      <c r="G650">
        <v>0.73008849600000003</v>
      </c>
      <c r="H650">
        <v>6.0190756999999998E-2</v>
      </c>
      <c r="I650">
        <v>2.6016858E-2</v>
      </c>
    </row>
    <row r="651" spans="1:9" x14ac:dyDescent="0.25">
      <c r="A651" t="s">
        <v>247</v>
      </c>
      <c r="B651" s="1">
        <v>192</v>
      </c>
      <c r="C651">
        <v>84</v>
      </c>
      <c r="D651">
        <v>88239</v>
      </c>
      <c r="E651">
        <v>22700</v>
      </c>
      <c r="F651">
        <v>0.5</v>
      </c>
      <c r="G651">
        <v>0.62831858399999996</v>
      </c>
      <c r="H651">
        <v>4.4918474999999999E-2</v>
      </c>
      <c r="I651">
        <v>0</v>
      </c>
    </row>
    <row r="652" spans="1:9" x14ac:dyDescent="0.25">
      <c r="A652" t="s">
        <v>245</v>
      </c>
      <c r="B652" s="1">
        <v>193</v>
      </c>
      <c r="C652">
        <v>181</v>
      </c>
      <c r="D652">
        <v>88031</v>
      </c>
      <c r="E652">
        <v>755</v>
      </c>
      <c r="F652">
        <v>1.6637168000000001E-2</v>
      </c>
      <c r="G652">
        <v>0.19911504399999999</v>
      </c>
      <c r="H652">
        <v>1.4870910000000001E-3</v>
      </c>
      <c r="I652">
        <v>-7.3991514999999994E-2</v>
      </c>
    </row>
    <row r="653" spans="1:9" x14ac:dyDescent="0.25">
      <c r="A653" t="s">
        <v>248</v>
      </c>
      <c r="B653" s="1">
        <v>194</v>
      </c>
      <c r="C653">
        <v>72</v>
      </c>
      <c r="D653">
        <v>87590</v>
      </c>
      <c r="E653">
        <v>36712</v>
      </c>
      <c r="F653">
        <v>0.80887168099999995</v>
      </c>
      <c r="G653">
        <v>0.68141592900000003</v>
      </c>
      <c r="H653">
        <v>6.9781033000000006E-2</v>
      </c>
      <c r="I653">
        <v>3.8305185999999998E-2</v>
      </c>
    </row>
    <row r="654" spans="1:9" x14ac:dyDescent="0.25">
      <c r="A654" t="s">
        <v>254</v>
      </c>
      <c r="B654" s="1">
        <v>195</v>
      </c>
      <c r="C654">
        <v>205</v>
      </c>
      <c r="D654">
        <v>86855</v>
      </c>
      <c r="E654">
        <v>969</v>
      </c>
      <c r="F654">
        <v>1.7035398E-2</v>
      </c>
      <c r="G654">
        <v>9.2920353999999997E-2</v>
      </c>
      <c r="H654">
        <v>1.0171889999999999E-3</v>
      </c>
      <c r="I654">
        <v>-7.7640877999999997E-2</v>
      </c>
    </row>
    <row r="655" spans="1:9" x14ac:dyDescent="0.25">
      <c r="A655" t="s">
        <v>253</v>
      </c>
      <c r="B655" s="1">
        <v>196</v>
      </c>
      <c r="C655">
        <v>59</v>
      </c>
      <c r="D655">
        <v>86195</v>
      </c>
      <c r="E655">
        <v>40860</v>
      </c>
      <c r="F655">
        <v>0.9</v>
      </c>
      <c r="G655">
        <v>0.73893805300000004</v>
      </c>
      <c r="H655">
        <v>8.0853254999999999E-2</v>
      </c>
      <c r="I655">
        <v>6.1216135999999997E-2</v>
      </c>
    </row>
    <row r="656" spans="1:9" x14ac:dyDescent="0.25">
      <c r="A656" t="s">
        <v>252</v>
      </c>
      <c r="B656" s="1">
        <v>197</v>
      </c>
      <c r="C656">
        <v>86</v>
      </c>
      <c r="D656">
        <v>86119</v>
      </c>
      <c r="E656">
        <v>22700</v>
      </c>
      <c r="F656">
        <v>0.5</v>
      </c>
      <c r="G656">
        <v>0.61946902699999995</v>
      </c>
      <c r="H656">
        <v>4.4918474999999999E-2</v>
      </c>
      <c r="I656">
        <v>0</v>
      </c>
    </row>
    <row r="657" spans="1:9" x14ac:dyDescent="0.25">
      <c r="A657" t="s">
        <v>261</v>
      </c>
      <c r="B657" s="1">
        <v>198</v>
      </c>
      <c r="C657">
        <v>76</v>
      </c>
      <c r="D657">
        <v>86092</v>
      </c>
      <c r="E657">
        <v>35969</v>
      </c>
      <c r="F657">
        <v>0.79254424800000001</v>
      </c>
      <c r="G657">
        <v>0.66371681400000004</v>
      </c>
      <c r="H657">
        <v>6.8231890000000003E-2</v>
      </c>
      <c r="I657">
        <v>3.5861851E-2</v>
      </c>
    </row>
    <row r="658" spans="1:9" x14ac:dyDescent="0.25">
      <c r="A658" t="s">
        <v>251</v>
      </c>
      <c r="B658" s="1">
        <v>199</v>
      </c>
      <c r="C658">
        <v>118</v>
      </c>
      <c r="D658">
        <v>86003</v>
      </c>
      <c r="E658">
        <v>4526</v>
      </c>
      <c r="F658">
        <v>9.9623894000000005E-2</v>
      </c>
      <c r="G658">
        <v>0.47787610600000002</v>
      </c>
      <c r="H658">
        <v>8.9470910000000008E-3</v>
      </c>
      <c r="I658">
        <v>-6.1178286999999998E-2</v>
      </c>
    </row>
    <row r="659" spans="1:9" x14ac:dyDescent="0.25">
      <c r="A659" t="s">
        <v>249</v>
      </c>
      <c r="B659" s="1">
        <v>200</v>
      </c>
      <c r="C659">
        <v>184</v>
      </c>
      <c r="D659">
        <v>85820</v>
      </c>
      <c r="E659">
        <v>11589</v>
      </c>
      <c r="F659">
        <v>0.25615044199999998</v>
      </c>
      <c r="G659">
        <v>0.18584070799999999</v>
      </c>
      <c r="H659">
        <v>2.5981723000000002E-2</v>
      </c>
      <c r="I659">
        <v>-3.0123222000000002E-2</v>
      </c>
    </row>
    <row r="660" spans="1:9" x14ac:dyDescent="0.25">
      <c r="A660" t="s">
        <v>250</v>
      </c>
      <c r="B660" s="1">
        <v>201</v>
      </c>
      <c r="C660">
        <v>72</v>
      </c>
      <c r="D660">
        <v>85372</v>
      </c>
      <c r="E660">
        <v>37923</v>
      </c>
      <c r="F660">
        <v>0.83497787599999995</v>
      </c>
      <c r="G660">
        <v>0.68141592900000003</v>
      </c>
      <c r="H660">
        <v>7.1638514E-2</v>
      </c>
      <c r="I660">
        <v>3.9555568999999999E-2</v>
      </c>
    </row>
    <row r="661" spans="1:9" x14ac:dyDescent="0.25">
      <c r="A661" t="s">
        <v>266</v>
      </c>
      <c r="B661" s="1">
        <v>202</v>
      </c>
      <c r="C661">
        <v>69</v>
      </c>
      <c r="D661">
        <v>85341</v>
      </c>
      <c r="E661">
        <v>22700</v>
      </c>
      <c r="F661">
        <v>0.5</v>
      </c>
      <c r="G661">
        <v>0.69469026499999997</v>
      </c>
      <c r="H661">
        <v>4.4918474999999999E-2</v>
      </c>
      <c r="I661">
        <v>0</v>
      </c>
    </row>
    <row r="662" spans="1:9" x14ac:dyDescent="0.25">
      <c r="A662" t="s">
        <v>268</v>
      </c>
      <c r="B662" s="1">
        <v>203</v>
      </c>
      <c r="C662">
        <v>106</v>
      </c>
      <c r="D662">
        <v>85327</v>
      </c>
      <c r="E662">
        <v>14982</v>
      </c>
      <c r="F662">
        <v>0.33</v>
      </c>
      <c r="G662">
        <v>0.53097345100000004</v>
      </c>
      <c r="H662">
        <v>2.9646194000000001E-2</v>
      </c>
      <c r="I662">
        <v>-2.6016858E-2</v>
      </c>
    </row>
    <row r="663" spans="1:9" x14ac:dyDescent="0.25">
      <c r="A663" t="s">
        <v>270</v>
      </c>
      <c r="B663" s="1">
        <v>204</v>
      </c>
      <c r="C663">
        <v>87</v>
      </c>
      <c r="D663">
        <v>85312</v>
      </c>
      <c r="E663">
        <v>16563</v>
      </c>
      <c r="F663">
        <v>0.364225664</v>
      </c>
      <c r="G663">
        <v>0.61504424800000002</v>
      </c>
      <c r="H663">
        <v>3.1541384999999998E-2</v>
      </c>
      <c r="I663">
        <v>-2.2108134000000002E-2</v>
      </c>
    </row>
    <row r="664" spans="1:9" x14ac:dyDescent="0.25">
      <c r="A664" t="s">
        <v>23</v>
      </c>
      <c r="B664" s="1">
        <v>205</v>
      </c>
      <c r="C664">
        <v>72</v>
      </c>
      <c r="D664">
        <v>85239</v>
      </c>
      <c r="E664">
        <v>22698</v>
      </c>
      <c r="F664">
        <v>0.49991150400000001</v>
      </c>
      <c r="G664">
        <v>0.68141592900000003</v>
      </c>
      <c r="H664">
        <v>4.4975043999999999E-2</v>
      </c>
      <c r="I664">
        <v>3.9363000000000001E-4</v>
      </c>
    </row>
    <row r="665" spans="1:9" x14ac:dyDescent="0.25">
      <c r="A665" t="s">
        <v>272</v>
      </c>
      <c r="B665" s="1">
        <v>206</v>
      </c>
      <c r="C665">
        <v>190</v>
      </c>
      <c r="D665">
        <v>85136</v>
      </c>
      <c r="E665">
        <v>9074</v>
      </c>
      <c r="F665">
        <v>0.200685841</v>
      </c>
      <c r="G665">
        <v>0.159292035</v>
      </c>
      <c r="H665">
        <v>1.9973206E-2</v>
      </c>
      <c r="I665">
        <v>-4.2396335E-2</v>
      </c>
    </row>
    <row r="666" spans="1:9" x14ac:dyDescent="0.25">
      <c r="A666" t="s">
        <v>258</v>
      </c>
      <c r="B666" s="1">
        <v>207</v>
      </c>
      <c r="C666">
        <v>197</v>
      </c>
      <c r="D666">
        <v>85135</v>
      </c>
      <c r="E666">
        <v>7449</v>
      </c>
      <c r="F666">
        <v>0.164734513</v>
      </c>
      <c r="G666">
        <v>0.12831858400000001</v>
      </c>
      <c r="H666">
        <v>1.6082402999999999E-2</v>
      </c>
      <c r="I666">
        <v>-5.0487164000000001E-2</v>
      </c>
    </row>
    <row r="667" spans="1:9" x14ac:dyDescent="0.25">
      <c r="A667" t="s">
        <v>263</v>
      </c>
      <c r="B667" s="1">
        <v>208</v>
      </c>
      <c r="C667">
        <v>211</v>
      </c>
      <c r="D667">
        <v>84998</v>
      </c>
      <c r="E667">
        <v>3785</v>
      </c>
      <c r="F667">
        <v>8.3738937999999999E-2</v>
      </c>
      <c r="G667">
        <v>6.6371681000000002E-2</v>
      </c>
      <c r="H667">
        <v>9.4969900000000003E-3</v>
      </c>
      <c r="I667">
        <v>-5.6162864E-2</v>
      </c>
    </row>
    <row r="668" spans="1:9" x14ac:dyDescent="0.25">
      <c r="A668" t="s">
        <v>256</v>
      </c>
      <c r="B668" s="1">
        <v>209</v>
      </c>
      <c r="C668">
        <v>192</v>
      </c>
      <c r="D668">
        <v>84907</v>
      </c>
      <c r="E668">
        <v>11260</v>
      </c>
      <c r="F668">
        <v>0.24898230099999999</v>
      </c>
      <c r="G668">
        <v>0.15044247799999999</v>
      </c>
      <c r="H668">
        <v>2.5124848000000002E-2</v>
      </c>
      <c r="I668">
        <v>-3.1871057000000001E-2</v>
      </c>
    </row>
    <row r="669" spans="1:9" x14ac:dyDescent="0.25">
      <c r="A669" t="s">
        <v>255</v>
      </c>
      <c r="B669" s="1">
        <v>210</v>
      </c>
      <c r="C669">
        <v>72</v>
      </c>
      <c r="D669">
        <v>84795</v>
      </c>
      <c r="E669">
        <v>22700</v>
      </c>
      <c r="F669">
        <v>0.5</v>
      </c>
      <c r="G669">
        <v>0.68141592900000003</v>
      </c>
      <c r="H669">
        <v>4.4918474999999999E-2</v>
      </c>
      <c r="I669">
        <v>0</v>
      </c>
    </row>
    <row r="670" spans="1:9" x14ac:dyDescent="0.25">
      <c r="A670" t="s">
        <v>259</v>
      </c>
      <c r="B670" s="1">
        <v>211</v>
      </c>
      <c r="C670">
        <v>178</v>
      </c>
      <c r="D670">
        <v>84657</v>
      </c>
      <c r="E670">
        <v>4365</v>
      </c>
      <c r="F670">
        <v>9.2168141999999995E-2</v>
      </c>
      <c r="G670">
        <v>0.21238938099999999</v>
      </c>
      <c r="H670">
        <v>8.9967380000000007E-3</v>
      </c>
      <c r="I670">
        <v>-6.2894795000000003E-2</v>
      </c>
    </row>
    <row r="671" spans="1:9" x14ac:dyDescent="0.25">
      <c r="A671" t="s">
        <v>265</v>
      </c>
      <c r="B671" s="1">
        <v>212</v>
      </c>
      <c r="C671">
        <v>155</v>
      </c>
      <c r="D671">
        <v>84623</v>
      </c>
      <c r="E671">
        <v>3266</v>
      </c>
      <c r="F671">
        <v>7.2256636999999999E-2</v>
      </c>
      <c r="G671">
        <v>0.31415929199999998</v>
      </c>
      <c r="H671">
        <v>6.3942829999999997E-3</v>
      </c>
      <c r="I671">
        <v>-6.6352491E-2</v>
      </c>
    </row>
    <row r="672" spans="1:9" x14ac:dyDescent="0.25">
      <c r="A672" t="s">
        <v>21</v>
      </c>
      <c r="B672" s="1">
        <v>213</v>
      </c>
      <c r="C672">
        <v>73</v>
      </c>
      <c r="D672">
        <v>84477</v>
      </c>
      <c r="E672">
        <v>22702</v>
      </c>
      <c r="F672">
        <v>0.50002212400000001</v>
      </c>
      <c r="G672">
        <v>0.67699114999999999</v>
      </c>
      <c r="H672">
        <v>4.4830157000000002E-2</v>
      </c>
      <c r="I672">
        <v>-2.50991E-4</v>
      </c>
    </row>
    <row r="673" spans="1:9" x14ac:dyDescent="0.25">
      <c r="A673" t="s">
        <v>269</v>
      </c>
      <c r="B673" s="1">
        <v>214</v>
      </c>
      <c r="C673">
        <v>175</v>
      </c>
      <c r="D673">
        <v>84371</v>
      </c>
      <c r="E673">
        <v>3924</v>
      </c>
      <c r="F673">
        <v>8.2455751999999993E-2</v>
      </c>
      <c r="G673">
        <v>0.22566371700000001</v>
      </c>
      <c r="H673">
        <v>7.5077470000000004E-3</v>
      </c>
      <c r="I673">
        <v>-6.6230619000000004E-2</v>
      </c>
    </row>
    <row r="674" spans="1:9" x14ac:dyDescent="0.25">
      <c r="A674" t="s">
        <v>260</v>
      </c>
      <c r="B674" s="1">
        <v>215</v>
      </c>
      <c r="C674">
        <v>88</v>
      </c>
      <c r="D674">
        <v>84242</v>
      </c>
      <c r="E674">
        <v>24490</v>
      </c>
      <c r="F674">
        <v>0.54181415899999996</v>
      </c>
      <c r="G674">
        <v>0.61061946899999997</v>
      </c>
      <c r="H674">
        <v>5.0627510000000001E-2</v>
      </c>
      <c r="I674">
        <v>1.8393455E-2</v>
      </c>
    </row>
    <row r="675" spans="1:9" x14ac:dyDescent="0.25">
      <c r="A675" t="s">
        <v>257</v>
      </c>
      <c r="B675" s="1">
        <v>216</v>
      </c>
      <c r="C675">
        <v>84</v>
      </c>
      <c r="D675">
        <v>84232</v>
      </c>
      <c r="E675">
        <v>26123</v>
      </c>
      <c r="F675">
        <v>0.573628319</v>
      </c>
      <c r="G675">
        <v>0.62831858399999996</v>
      </c>
      <c r="H675">
        <v>5.3642255E-2</v>
      </c>
      <c r="I675">
        <v>1.2811678999999999E-2</v>
      </c>
    </row>
    <row r="676" spans="1:9" x14ac:dyDescent="0.25">
      <c r="A676" t="s">
        <v>278</v>
      </c>
      <c r="B676" s="1">
        <v>217</v>
      </c>
      <c r="C676">
        <v>80</v>
      </c>
      <c r="D676">
        <v>84163</v>
      </c>
      <c r="E676">
        <v>27180</v>
      </c>
      <c r="F676">
        <v>0.59911504400000004</v>
      </c>
      <c r="G676">
        <v>0.64601769899999995</v>
      </c>
      <c r="H676">
        <v>5.0864965999999998E-2</v>
      </c>
      <c r="I676">
        <v>1.0029231E-2</v>
      </c>
    </row>
    <row r="677" spans="1:9" x14ac:dyDescent="0.25">
      <c r="A677" t="s">
        <v>264</v>
      </c>
      <c r="B677" s="1">
        <v>218</v>
      </c>
      <c r="C677">
        <v>81</v>
      </c>
      <c r="D677">
        <v>84114</v>
      </c>
      <c r="E677">
        <v>27164</v>
      </c>
      <c r="F677">
        <v>0.59876106200000001</v>
      </c>
      <c r="G677">
        <v>0.64159292000000001</v>
      </c>
      <c r="H677">
        <v>5.0304682000000003E-2</v>
      </c>
      <c r="I677">
        <v>7.7060439999999996E-3</v>
      </c>
    </row>
    <row r="678" spans="1:9" x14ac:dyDescent="0.25">
      <c r="A678" t="s">
        <v>267</v>
      </c>
      <c r="B678" s="1">
        <v>219</v>
      </c>
      <c r="C678">
        <v>205</v>
      </c>
      <c r="D678">
        <v>83934</v>
      </c>
      <c r="E678">
        <v>5235</v>
      </c>
      <c r="F678">
        <v>0.11577433600000001</v>
      </c>
      <c r="G678">
        <v>9.2920353999999997E-2</v>
      </c>
      <c r="H678">
        <v>1.1674116999999999E-2</v>
      </c>
      <c r="I678">
        <v>-5.6981057000000002E-2</v>
      </c>
    </row>
    <row r="679" spans="1:9" x14ac:dyDescent="0.25">
      <c r="A679" t="s">
        <v>271</v>
      </c>
      <c r="B679" s="1">
        <v>220</v>
      </c>
      <c r="C679">
        <v>75</v>
      </c>
      <c r="D679">
        <v>83717</v>
      </c>
      <c r="E679">
        <v>27351</v>
      </c>
      <c r="F679">
        <v>0.60289822999999998</v>
      </c>
      <c r="G679">
        <v>0.66814159299999998</v>
      </c>
      <c r="H679">
        <v>5.1665304000000002E-2</v>
      </c>
      <c r="I679">
        <v>1.2699126E-2</v>
      </c>
    </row>
    <row r="680" spans="1:9" x14ac:dyDescent="0.25">
      <c r="A680" t="s">
        <v>262</v>
      </c>
      <c r="B680" s="1">
        <v>221</v>
      </c>
      <c r="C680">
        <v>112</v>
      </c>
      <c r="D680">
        <v>83583</v>
      </c>
      <c r="E680">
        <v>13365</v>
      </c>
      <c r="F680">
        <v>0.29446902699999999</v>
      </c>
      <c r="G680">
        <v>0.50442477900000005</v>
      </c>
      <c r="H680">
        <v>2.7115911999999999E-2</v>
      </c>
      <c r="I680">
        <v>-3.0613477E-2</v>
      </c>
    </row>
    <row r="681" spans="1:9" x14ac:dyDescent="0.25">
      <c r="A681" t="s">
        <v>277</v>
      </c>
      <c r="B681" s="1">
        <v>222</v>
      </c>
      <c r="C681">
        <v>67</v>
      </c>
      <c r="D681">
        <v>83552</v>
      </c>
      <c r="E681">
        <v>32181</v>
      </c>
      <c r="F681">
        <v>0.70924778799999999</v>
      </c>
      <c r="G681">
        <v>0.70353982299999995</v>
      </c>
      <c r="H681">
        <v>6.0776677000000001E-2</v>
      </c>
      <c r="I681">
        <v>2.4954458999999998E-2</v>
      </c>
    </row>
    <row r="682" spans="1:9" x14ac:dyDescent="0.25">
      <c r="A682" t="s">
        <v>276</v>
      </c>
      <c r="B682" s="1">
        <v>223</v>
      </c>
      <c r="C682">
        <v>201</v>
      </c>
      <c r="D682">
        <v>83178</v>
      </c>
      <c r="E682">
        <v>4221</v>
      </c>
      <c r="F682">
        <v>9.3274335999999999E-2</v>
      </c>
      <c r="G682">
        <v>0.110619469</v>
      </c>
      <c r="H682">
        <v>9.1795350000000008E-3</v>
      </c>
      <c r="I682">
        <v>-6.1381224999999998E-2</v>
      </c>
    </row>
    <row r="683" spans="1:9" x14ac:dyDescent="0.25">
      <c r="A683" t="s">
        <v>273</v>
      </c>
      <c r="B683" s="1">
        <v>224</v>
      </c>
      <c r="C683">
        <v>102</v>
      </c>
      <c r="D683">
        <v>83116</v>
      </c>
      <c r="E683">
        <v>18316</v>
      </c>
      <c r="F683">
        <v>0.40522123900000001</v>
      </c>
      <c r="G683">
        <v>0.54867256600000003</v>
      </c>
      <c r="H683">
        <v>3.5519373E-2</v>
      </c>
      <c r="I683">
        <v>-9.1927190000000002E-3</v>
      </c>
    </row>
    <row r="684" spans="1:9" x14ac:dyDescent="0.25">
      <c r="A684" t="s">
        <v>274</v>
      </c>
      <c r="B684" s="1">
        <v>225</v>
      </c>
      <c r="C684">
        <v>74</v>
      </c>
      <c r="D684">
        <v>82770</v>
      </c>
      <c r="E684">
        <v>33958</v>
      </c>
      <c r="F684">
        <v>0.74907079600000004</v>
      </c>
      <c r="G684">
        <v>0.67256637200000002</v>
      </c>
      <c r="H684">
        <v>6.5445993999999993E-2</v>
      </c>
      <c r="I684">
        <v>3.3701702E-2</v>
      </c>
    </row>
    <row r="685" spans="1:9" x14ac:dyDescent="0.25">
      <c r="A685" t="s">
        <v>279</v>
      </c>
      <c r="B685" s="1">
        <v>226</v>
      </c>
      <c r="C685">
        <v>212</v>
      </c>
      <c r="D685">
        <v>81684</v>
      </c>
      <c r="E685">
        <v>0</v>
      </c>
      <c r="F685">
        <v>0</v>
      </c>
      <c r="G685">
        <v>6.1946902999999998E-2</v>
      </c>
      <c r="H685">
        <v>0</v>
      </c>
      <c r="I685">
        <v>-7.6520169999999998E-2</v>
      </c>
    </row>
    <row r="686" spans="1:9" x14ac:dyDescent="0.25">
      <c r="A686" t="s">
        <v>275</v>
      </c>
      <c r="B686" s="1">
        <v>227</v>
      </c>
      <c r="C686">
        <v>193</v>
      </c>
      <c r="D686">
        <v>80989</v>
      </c>
      <c r="E686">
        <v>4583</v>
      </c>
      <c r="F686">
        <v>9.6991149999999998E-2</v>
      </c>
      <c r="G686">
        <v>0.146017699</v>
      </c>
      <c r="H686">
        <v>6.0469290000000004E-3</v>
      </c>
      <c r="I686">
        <v>-7.8123921999999998E-2</v>
      </c>
    </row>
    <row r="688" spans="1:9" x14ac:dyDescent="0.25">
      <c r="A688" t="s">
        <v>0</v>
      </c>
      <c r="C688" t="s">
        <v>1</v>
      </c>
      <c r="D688" t="s">
        <v>2</v>
      </c>
      <c r="E688" t="s">
        <v>3</v>
      </c>
      <c r="F688" t="s">
        <v>4</v>
      </c>
      <c r="G688" t="s">
        <v>5</v>
      </c>
      <c r="H688" t="s">
        <v>6</v>
      </c>
      <c r="I688" t="s">
        <v>7</v>
      </c>
    </row>
    <row r="689" spans="1:9" x14ac:dyDescent="0.25">
      <c r="A689" t="s">
        <v>69</v>
      </c>
      <c r="B689" s="1">
        <v>1</v>
      </c>
      <c r="C689">
        <v>38</v>
      </c>
      <c r="D689">
        <v>130483</v>
      </c>
      <c r="E689">
        <v>35976</v>
      </c>
      <c r="F689">
        <v>0.79150442499999996</v>
      </c>
      <c r="G689">
        <v>0.83185840700000002</v>
      </c>
      <c r="H689">
        <v>7.6409529000000004E-2</v>
      </c>
      <c r="I689">
        <v>7.5411405000000001E-2</v>
      </c>
    </row>
    <row r="690" spans="1:9" x14ac:dyDescent="0.25">
      <c r="A690" t="s">
        <v>71</v>
      </c>
      <c r="B690" s="1">
        <v>2</v>
      </c>
      <c r="C690">
        <v>43</v>
      </c>
      <c r="D690">
        <v>130151</v>
      </c>
      <c r="E690">
        <v>34767</v>
      </c>
      <c r="F690">
        <v>0.76475663699999996</v>
      </c>
      <c r="G690">
        <v>0.80973451299999999</v>
      </c>
      <c r="H690">
        <v>7.4522092999999998E-2</v>
      </c>
      <c r="I690">
        <v>7.4685259000000004E-2</v>
      </c>
    </row>
    <row r="691" spans="1:9" x14ac:dyDescent="0.25">
      <c r="A691" t="s">
        <v>8</v>
      </c>
      <c r="B691" s="1">
        <v>3</v>
      </c>
      <c r="C691">
        <v>51</v>
      </c>
      <c r="D691">
        <v>130138</v>
      </c>
      <c r="E691">
        <v>33648</v>
      </c>
      <c r="F691">
        <v>0.74</v>
      </c>
      <c r="G691">
        <v>0.77433628300000001</v>
      </c>
      <c r="H691">
        <v>7.2646935999999995E-2</v>
      </c>
      <c r="I691">
        <v>7.3133582000000003E-2</v>
      </c>
    </row>
    <row r="692" spans="1:9" x14ac:dyDescent="0.25">
      <c r="A692" t="s">
        <v>70</v>
      </c>
      <c r="B692" s="1">
        <v>4</v>
      </c>
      <c r="C692">
        <v>51</v>
      </c>
      <c r="D692">
        <v>130042</v>
      </c>
      <c r="E692">
        <v>33518</v>
      </c>
      <c r="F692">
        <v>0.737123894</v>
      </c>
      <c r="G692">
        <v>0.77433628300000001</v>
      </c>
      <c r="H692">
        <v>7.2419427999999994E-2</v>
      </c>
      <c r="I692">
        <v>7.2007053000000001E-2</v>
      </c>
    </row>
    <row r="693" spans="1:9" x14ac:dyDescent="0.25">
      <c r="A693" t="s">
        <v>74</v>
      </c>
      <c r="B693" s="1">
        <v>5</v>
      </c>
      <c r="C693">
        <v>47</v>
      </c>
      <c r="D693">
        <v>129237</v>
      </c>
      <c r="E693">
        <v>33556</v>
      </c>
      <c r="F693">
        <v>0.73796460200000003</v>
      </c>
      <c r="G693">
        <v>0.792035398</v>
      </c>
      <c r="H693">
        <v>7.4593360999999997E-2</v>
      </c>
      <c r="I693">
        <v>8.1333507999999999E-2</v>
      </c>
    </row>
    <row r="694" spans="1:9" x14ac:dyDescent="0.25">
      <c r="A694" t="s">
        <v>73</v>
      </c>
      <c r="B694" s="1">
        <v>6</v>
      </c>
      <c r="C694">
        <v>49</v>
      </c>
      <c r="D694">
        <v>129055</v>
      </c>
      <c r="E694">
        <v>32821</v>
      </c>
      <c r="F694">
        <v>0.72170354000000003</v>
      </c>
      <c r="G694">
        <v>0.78318584099999999</v>
      </c>
      <c r="H694">
        <v>7.2017958000000007E-2</v>
      </c>
      <c r="I694">
        <v>7.4376339E-2</v>
      </c>
    </row>
    <row r="695" spans="1:9" x14ac:dyDescent="0.25">
      <c r="A695" t="s">
        <v>75</v>
      </c>
      <c r="B695" s="1">
        <v>7</v>
      </c>
      <c r="C695">
        <v>46</v>
      </c>
      <c r="D695">
        <v>128940</v>
      </c>
      <c r="E695">
        <v>33676</v>
      </c>
      <c r="F695">
        <v>0.74061946899999997</v>
      </c>
      <c r="G695">
        <v>0.79646017700000005</v>
      </c>
      <c r="H695">
        <v>7.5734415999999999E-2</v>
      </c>
      <c r="I695">
        <v>8.5222136000000004E-2</v>
      </c>
    </row>
    <row r="696" spans="1:9" x14ac:dyDescent="0.25">
      <c r="A696" t="s">
        <v>72</v>
      </c>
      <c r="B696" s="1">
        <v>8</v>
      </c>
      <c r="C696">
        <v>64</v>
      </c>
      <c r="D696">
        <v>128299</v>
      </c>
      <c r="E696">
        <v>32884</v>
      </c>
      <c r="F696">
        <v>0.723097345</v>
      </c>
      <c r="G696">
        <v>0.71681415900000001</v>
      </c>
      <c r="H696">
        <v>7.0407924999999996E-2</v>
      </c>
      <c r="I696">
        <v>6.7489966999999998E-2</v>
      </c>
    </row>
    <row r="697" spans="1:9" x14ac:dyDescent="0.25">
      <c r="A697" t="s">
        <v>76</v>
      </c>
      <c r="B697" s="1">
        <v>9</v>
      </c>
      <c r="C697">
        <v>47</v>
      </c>
      <c r="D697">
        <v>128112</v>
      </c>
      <c r="E697">
        <v>32790</v>
      </c>
      <c r="F697">
        <v>0.72101769900000001</v>
      </c>
      <c r="G697">
        <v>0.792035398</v>
      </c>
      <c r="H697">
        <v>7.3831362999999997E-2</v>
      </c>
      <c r="I697">
        <v>8.248192E-2</v>
      </c>
    </row>
    <row r="698" spans="1:9" x14ac:dyDescent="0.25">
      <c r="A698" t="s">
        <v>79</v>
      </c>
      <c r="B698" s="1">
        <v>10</v>
      </c>
      <c r="C698">
        <v>49</v>
      </c>
      <c r="D698">
        <v>127442</v>
      </c>
      <c r="E698">
        <v>33280</v>
      </c>
      <c r="F698">
        <v>0.73185840700000004</v>
      </c>
      <c r="G698">
        <v>0.78318584099999999</v>
      </c>
      <c r="H698">
        <v>7.2517921999999999E-2</v>
      </c>
      <c r="I698">
        <v>7.3702843000000004E-2</v>
      </c>
    </row>
    <row r="699" spans="1:9" x14ac:dyDescent="0.25">
      <c r="A699" t="s">
        <v>77</v>
      </c>
      <c r="B699" s="1">
        <v>11</v>
      </c>
      <c r="C699">
        <v>36</v>
      </c>
      <c r="D699">
        <v>127169</v>
      </c>
      <c r="E699">
        <v>35741</v>
      </c>
      <c r="F699">
        <v>0.78630531000000004</v>
      </c>
      <c r="G699">
        <v>0.840707965</v>
      </c>
      <c r="H699">
        <v>7.4008514999999997E-2</v>
      </c>
      <c r="I699">
        <v>6.6920248000000002E-2</v>
      </c>
    </row>
    <row r="700" spans="1:9" x14ac:dyDescent="0.25">
      <c r="A700" t="s">
        <v>78</v>
      </c>
      <c r="B700" s="1">
        <v>12</v>
      </c>
      <c r="C700">
        <v>43</v>
      </c>
      <c r="D700">
        <v>127164</v>
      </c>
      <c r="E700">
        <v>31707</v>
      </c>
      <c r="F700">
        <v>0.69705752200000004</v>
      </c>
      <c r="G700">
        <v>0.80973451299999999</v>
      </c>
      <c r="H700">
        <v>6.9915019999999994E-2</v>
      </c>
      <c r="I700">
        <v>7.1882013999999994E-2</v>
      </c>
    </row>
    <row r="701" spans="1:9" x14ac:dyDescent="0.25">
      <c r="A701" t="s">
        <v>80</v>
      </c>
      <c r="B701" s="1">
        <v>13</v>
      </c>
      <c r="C701">
        <v>37</v>
      </c>
      <c r="D701">
        <v>126611</v>
      </c>
      <c r="E701">
        <v>33727</v>
      </c>
      <c r="F701">
        <v>0.74174778799999996</v>
      </c>
      <c r="G701">
        <v>0.83628318599999996</v>
      </c>
      <c r="H701">
        <v>7.6550904000000003E-2</v>
      </c>
      <c r="I701">
        <v>8.8044452999999995E-2</v>
      </c>
    </row>
    <row r="702" spans="1:9" x14ac:dyDescent="0.25">
      <c r="A702" t="s">
        <v>83</v>
      </c>
      <c r="B702" s="1">
        <v>14</v>
      </c>
      <c r="C702">
        <v>48</v>
      </c>
      <c r="D702">
        <v>126124</v>
      </c>
      <c r="E702">
        <v>31844</v>
      </c>
      <c r="F702">
        <v>0.700088496</v>
      </c>
      <c r="G702">
        <v>0.78761061899999996</v>
      </c>
      <c r="H702">
        <v>7.2044466000000001E-2</v>
      </c>
      <c r="I702">
        <v>7.9432859999999994E-2</v>
      </c>
    </row>
    <row r="703" spans="1:9" x14ac:dyDescent="0.25">
      <c r="A703" t="s">
        <v>82</v>
      </c>
      <c r="B703" s="1">
        <v>15</v>
      </c>
      <c r="C703">
        <v>39</v>
      </c>
      <c r="D703">
        <v>126079</v>
      </c>
      <c r="E703">
        <v>36529</v>
      </c>
      <c r="F703">
        <v>0.80373893799999996</v>
      </c>
      <c r="G703">
        <v>0.82743362799999998</v>
      </c>
      <c r="H703">
        <v>7.8993921999999994E-2</v>
      </c>
      <c r="I703">
        <v>8.2504727E-2</v>
      </c>
    </row>
    <row r="704" spans="1:9" x14ac:dyDescent="0.25">
      <c r="A704" t="s">
        <v>85</v>
      </c>
      <c r="B704" s="1">
        <v>16</v>
      </c>
      <c r="C704">
        <v>172</v>
      </c>
      <c r="D704">
        <v>125642</v>
      </c>
      <c r="E704">
        <v>31902</v>
      </c>
      <c r="F704">
        <v>0.70141592900000005</v>
      </c>
      <c r="G704">
        <v>0.23893805300000001</v>
      </c>
      <c r="H704">
        <v>7.2143660999999998E-2</v>
      </c>
      <c r="I704">
        <v>7.9814096000000001E-2</v>
      </c>
    </row>
    <row r="705" spans="1:9" x14ac:dyDescent="0.25">
      <c r="A705" t="s">
        <v>84</v>
      </c>
      <c r="B705" s="1">
        <v>17</v>
      </c>
      <c r="C705">
        <v>49</v>
      </c>
      <c r="D705">
        <v>125596</v>
      </c>
      <c r="E705">
        <v>34472</v>
      </c>
      <c r="F705">
        <v>0.75823008800000002</v>
      </c>
      <c r="G705">
        <v>0.78318584099999999</v>
      </c>
      <c r="H705">
        <v>7.6908708000000006E-2</v>
      </c>
      <c r="I705">
        <v>8.5073854000000004E-2</v>
      </c>
    </row>
    <row r="706" spans="1:9" x14ac:dyDescent="0.25">
      <c r="A706" t="s">
        <v>92</v>
      </c>
      <c r="B706" s="1">
        <v>18</v>
      </c>
      <c r="C706">
        <v>53</v>
      </c>
      <c r="D706">
        <v>125382</v>
      </c>
      <c r="E706">
        <v>34675</v>
      </c>
      <c r="F706">
        <v>0.762721239</v>
      </c>
      <c r="G706">
        <v>0.76548672600000001</v>
      </c>
      <c r="H706">
        <v>7.7079970999999997E-2</v>
      </c>
      <c r="I706">
        <v>8.4953101000000003E-2</v>
      </c>
    </row>
    <row r="707" spans="1:9" x14ac:dyDescent="0.25">
      <c r="A707" t="s">
        <v>81</v>
      </c>
      <c r="B707" s="1">
        <v>19</v>
      </c>
      <c r="C707">
        <v>44</v>
      </c>
      <c r="D707">
        <v>125207</v>
      </c>
      <c r="E707">
        <v>33271</v>
      </c>
      <c r="F707">
        <v>0.73165929200000002</v>
      </c>
      <c r="G707">
        <v>0.80530973500000003</v>
      </c>
      <c r="H707">
        <v>7.4255369000000002E-2</v>
      </c>
      <c r="I707">
        <v>8.0535723000000004E-2</v>
      </c>
    </row>
    <row r="708" spans="1:9" x14ac:dyDescent="0.25">
      <c r="A708" t="s">
        <v>86</v>
      </c>
      <c r="B708" s="1">
        <v>20</v>
      </c>
      <c r="C708">
        <v>19</v>
      </c>
      <c r="D708">
        <v>124810</v>
      </c>
      <c r="E708">
        <v>37466</v>
      </c>
      <c r="F708">
        <v>0.82446902700000002</v>
      </c>
      <c r="G708">
        <v>0.915929204</v>
      </c>
      <c r="H708">
        <v>8.1674087000000006E-2</v>
      </c>
      <c r="I708">
        <v>8.8038860999999996E-2</v>
      </c>
    </row>
    <row r="709" spans="1:9" x14ac:dyDescent="0.25">
      <c r="A709" t="s">
        <v>93</v>
      </c>
      <c r="B709" s="1">
        <v>21</v>
      </c>
      <c r="C709">
        <v>41</v>
      </c>
      <c r="D709">
        <v>124137</v>
      </c>
      <c r="E709">
        <v>31310</v>
      </c>
      <c r="F709">
        <v>0.68827433599999999</v>
      </c>
      <c r="G709">
        <v>0.81858407099999997</v>
      </c>
      <c r="H709">
        <v>7.2103218999999996E-2</v>
      </c>
      <c r="I709">
        <v>8.2386122000000006E-2</v>
      </c>
    </row>
    <row r="710" spans="1:9" x14ac:dyDescent="0.25">
      <c r="A710" t="s">
        <v>87</v>
      </c>
      <c r="B710" s="1">
        <v>22</v>
      </c>
      <c r="C710">
        <v>38</v>
      </c>
      <c r="D710">
        <v>123883</v>
      </c>
      <c r="E710">
        <v>33991</v>
      </c>
      <c r="F710">
        <v>0.74758849599999999</v>
      </c>
      <c r="G710">
        <v>0.83185840700000002</v>
      </c>
      <c r="H710">
        <v>7.7043018000000005E-2</v>
      </c>
      <c r="I710">
        <v>8.8350517000000003E-2</v>
      </c>
    </row>
    <row r="711" spans="1:9" x14ac:dyDescent="0.25">
      <c r="A711" t="s">
        <v>95</v>
      </c>
      <c r="B711" s="1">
        <v>23</v>
      </c>
      <c r="C711">
        <v>25</v>
      </c>
      <c r="D711">
        <v>123865</v>
      </c>
      <c r="E711">
        <v>36628</v>
      </c>
      <c r="F711">
        <v>0.80592920400000001</v>
      </c>
      <c r="G711">
        <v>0.88938053100000003</v>
      </c>
      <c r="H711">
        <v>7.9701962000000001E-2</v>
      </c>
      <c r="I711">
        <v>8.5167835999999997E-2</v>
      </c>
    </row>
    <row r="712" spans="1:9" x14ac:dyDescent="0.25">
      <c r="A712" t="s">
        <v>91</v>
      </c>
      <c r="B712" s="1">
        <v>24</v>
      </c>
      <c r="C712">
        <v>56</v>
      </c>
      <c r="D712">
        <v>123858</v>
      </c>
      <c r="E712">
        <v>28845</v>
      </c>
      <c r="F712">
        <v>0.63373893800000003</v>
      </c>
      <c r="G712">
        <v>0.75221238899999998</v>
      </c>
      <c r="H712">
        <v>6.7161489000000005E-2</v>
      </c>
      <c r="I712">
        <v>7.6074554000000003E-2</v>
      </c>
    </row>
    <row r="713" spans="1:9" x14ac:dyDescent="0.25">
      <c r="A713" t="s">
        <v>89</v>
      </c>
      <c r="B713" s="1">
        <v>25</v>
      </c>
      <c r="C713">
        <v>187</v>
      </c>
      <c r="D713">
        <v>123753</v>
      </c>
      <c r="E713">
        <v>29683</v>
      </c>
      <c r="F713">
        <v>0.65230088500000005</v>
      </c>
      <c r="G713">
        <v>0.172566372</v>
      </c>
      <c r="H713">
        <v>6.9015021999999995E-2</v>
      </c>
      <c r="I713">
        <v>7.8285970999999996E-2</v>
      </c>
    </row>
    <row r="714" spans="1:9" x14ac:dyDescent="0.25">
      <c r="A714" t="s">
        <v>98</v>
      </c>
      <c r="B714" s="1">
        <v>26</v>
      </c>
      <c r="C714">
        <v>58</v>
      </c>
      <c r="D714">
        <v>123702</v>
      </c>
      <c r="E714">
        <v>28997</v>
      </c>
      <c r="F714">
        <v>0.63710177000000001</v>
      </c>
      <c r="G714">
        <v>0.74336283199999997</v>
      </c>
      <c r="H714">
        <v>6.6298610999999993E-2</v>
      </c>
      <c r="I714">
        <v>7.1076582999999999E-2</v>
      </c>
    </row>
    <row r="715" spans="1:9" x14ac:dyDescent="0.25">
      <c r="A715" t="s">
        <v>90</v>
      </c>
      <c r="B715" s="1">
        <v>27</v>
      </c>
      <c r="C715">
        <v>181</v>
      </c>
      <c r="D715">
        <v>123564</v>
      </c>
      <c r="E715">
        <v>29608</v>
      </c>
      <c r="F715">
        <v>0.65066371700000003</v>
      </c>
      <c r="G715">
        <v>0.19911504399999999</v>
      </c>
      <c r="H715">
        <v>6.8028114000000001E-2</v>
      </c>
      <c r="I715">
        <v>7.5066305E-2</v>
      </c>
    </row>
    <row r="716" spans="1:9" x14ac:dyDescent="0.25">
      <c r="A716" t="s">
        <v>94</v>
      </c>
      <c r="B716" s="1">
        <v>28</v>
      </c>
      <c r="C716">
        <v>47</v>
      </c>
      <c r="D716">
        <v>123433</v>
      </c>
      <c r="E716">
        <v>30607</v>
      </c>
      <c r="F716">
        <v>0.67272123900000003</v>
      </c>
      <c r="G716">
        <v>0.792035398</v>
      </c>
      <c r="H716">
        <v>7.1215680000000003E-2</v>
      </c>
      <c r="I716">
        <v>8.2110923000000002E-2</v>
      </c>
    </row>
    <row r="717" spans="1:9" x14ac:dyDescent="0.25">
      <c r="A717" t="s">
        <v>88</v>
      </c>
      <c r="B717" s="1">
        <v>29</v>
      </c>
      <c r="C717">
        <v>45</v>
      </c>
      <c r="D717">
        <v>123129</v>
      </c>
      <c r="E717">
        <v>30873</v>
      </c>
      <c r="F717">
        <v>0.67860619499999997</v>
      </c>
      <c r="G717">
        <v>0.80088495599999998</v>
      </c>
      <c r="H717">
        <v>6.7551946000000002E-2</v>
      </c>
      <c r="I717">
        <v>6.6022852000000007E-2</v>
      </c>
    </row>
    <row r="718" spans="1:9" x14ac:dyDescent="0.25">
      <c r="A718" t="s">
        <v>96</v>
      </c>
      <c r="B718" s="1">
        <v>30</v>
      </c>
      <c r="C718">
        <v>188</v>
      </c>
      <c r="D718">
        <v>122919</v>
      </c>
      <c r="E718">
        <v>27433</v>
      </c>
      <c r="F718">
        <v>0.60252212400000005</v>
      </c>
      <c r="G718">
        <v>0.16814159300000001</v>
      </c>
      <c r="H718">
        <v>6.4414013000000006E-2</v>
      </c>
      <c r="I718">
        <v>7.1500405000000003E-2</v>
      </c>
    </row>
    <row r="719" spans="1:9" x14ac:dyDescent="0.25">
      <c r="A719" t="s">
        <v>101</v>
      </c>
      <c r="B719" s="1">
        <v>31</v>
      </c>
      <c r="C719">
        <v>67</v>
      </c>
      <c r="D719">
        <v>122914</v>
      </c>
      <c r="E719">
        <v>27714</v>
      </c>
      <c r="F719">
        <v>0.60871681399999999</v>
      </c>
      <c r="G719">
        <v>0.70353982299999995</v>
      </c>
      <c r="H719">
        <v>6.5409075999999997E-2</v>
      </c>
      <c r="I719">
        <v>7.4569992000000002E-2</v>
      </c>
    </row>
    <row r="720" spans="1:9" x14ac:dyDescent="0.25">
      <c r="A720" t="s">
        <v>110</v>
      </c>
      <c r="B720" s="1">
        <v>32</v>
      </c>
      <c r="C720">
        <v>72</v>
      </c>
      <c r="D720">
        <v>122684</v>
      </c>
      <c r="E720">
        <v>26080</v>
      </c>
      <c r="F720">
        <v>0.57256637200000005</v>
      </c>
      <c r="G720">
        <v>0.68141592900000003</v>
      </c>
      <c r="H720">
        <v>6.1860737999999998E-2</v>
      </c>
      <c r="I720">
        <v>6.8170261999999995E-2</v>
      </c>
    </row>
    <row r="721" spans="1:9" x14ac:dyDescent="0.25">
      <c r="A721" t="s">
        <v>102</v>
      </c>
      <c r="B721" s="1">
        <v>33</v>
      </c>
      <c r="C721">
        <v>21</v>
      </c>
      <c r="D721">
        <v>122615</v>
      </c>
      <c r="E721">
        <v>37013</v>
      </c>
      <c r="F721">
        <v>0.814446903</v>
      </c>
      <c r="G721">
        <v>0.90707964600000002</v>
      </c>
      <c r="H721">
        <v>8.1606245999999993E-2</v>
      </c>
      <c r="I721">
        <v>9.0067121E-2</v>
      </c>
    </row>
    <row r="722" spans="1:9" x14ac:dyDescent="0.25">
      <c r="A722" t="s">
        <v>14</v>
      </c>
      <c r="B722" s="1">
        <v>34</v>
      </c>
      <c r="C722">
        <v>45</v>
      </c>
      <c r="D722">
        <v>122596</v>
      </c>
      <c r="E722">
        <v>33824</v>
      </c>
      <c r="F722">
        <v>0.74389380500000002</v>
      </c>
      <c r="G722">
        <v>0.80088495599999998</v>
      </c>
      <c r="H722">
        <v>7.5594650999999999E-2</v>
      </c>
      <c r="I722">
        <v>8.2201479999999993E-2</v>
      </c>
    </row>
    <row r="723" spans="1:9" x14ac:dyDescent="0.25">
      <c r="A723" t="s">
        <v>97</v>
      </c>
      <c r="B723" s="1">
        <v>35</v>
      </c>
      <c r="C723">
        <v>51</v>
      </c>
      <c r="D723">
        <v>122416</v>
      </c>
      <c r="E723">
        <v>31038</v>
      </c>
      <c r="F723">
        <v>0.68225663700000005</v>
      </c>
      <c r="G723">
        <v>0.77433628300000001</v>
      </c>
      <c r="H723">
        <v>7.1335551999999997E-2</v>
      </c>
      <c r="I723">
        <v>8.0812746000000005E-2</v>
      </c>
    </row>
    <row r="724" spans="1:9" x14ac:dyDescent="0.25">
      <c r="A724" t="s">
        <v>104</v>
      </c>
      <c r="B724" s="1">
        <v>36</v>
      </c>
      <c r="C724">
        <v>32</v>
      </c>
      <c r="D724">
        <v>122228</v>
      </c>
      <c r="E724">
        <v>35325</v>
      </c>
      <c r="F724">
        <v>0.77710177000000003</v>
      </c>
      <c r="G724">
        <v>0.85840707999999999</v>
      </c>
      <c r="H724">
        <v>7.9342087000000006E-2</v>
      </c>
      <c r="I724">
        <v>9.0326180000000006E-2</v>
      </c>
    </row>
    <row r="725" spans="1:9" x14ac:dyDescent="0.25">
      <c r="A725" t="s">
        <v>103</v>
      </c>
      <c r="B725" s="1">
        <v>37</v>
      </c>
      <c r="C725">
        <v>28</v>
      </c>
      <c r="D725">
        <v>122068</v>
      </c>
      <c r="E725">
        <v>34407</v>
      </c>
      <c r="F725">
        <v>0.75679203500000003</v>
      </c>
      <c r="G725">
        <v>0.87610619499999998</v>
      </c>
      <c r="H725">
        <v>7.7235162999999996E-2</v>
      </c>
      <c r="I725">
        <v>8.5926716E-2</v>
      </c>
    </row>
    <row r="726" spans="1:9" x14ac:dyDescent="0.25">
      <c r="A726" t="s">
        <v>100</v>
      </c>
      <c r="B726" s="1">
        <v>38</v>
      </c>
      <c r="C726">
        <v>107</v>
      </c>
      <c r="D726">
        <v>122052</v>
      </c>
      <c r="E726">
        <v>25306</v>
      </c>
      <c r="F726">
        <v>0.55592920400000001</v>
      </c>
      <c r="G726">
        <v>0.52654867299999997</v>
      </c>
      <c r="H726">
        <v>5.4823500999999997E-2</v>
      </c>
      <c r="I726">
        <v>3.3232756000000002E-2</v>
      </c>
    </row>
    <row r="727" spans="1:9" x14ac:dyDescent="0.25">
      <c r="A727" t="s">
        <v>99</v>
      </c>
      <c r="B727" s="1">
        <v>39</v>
      </c>
      <c r="C727">
        <v>0</v>
      </c>
      <c r="D727">
        <v>121857</v>
      </c>
      <c r="E727">
        <v>39653</v>
      </c>
      <c r="F727">
        <v>0.87285398199999997</v>
      </c>
      <c r="G727">
        <v>1</v>
      </c>
      <c r="H727">
        <v>8.4035528999999998E-2</v>
      </c>
      <c r="I727">
        <v>8.5382274999999994E-2</v>
      </c>
    </row>
    <row r="728" spans="1:9" x14ac:dyDescent="0.25">
      <c r="A728" t="s">
        <v>107</v>
      </c>
      <c r="B728" s="1">
        <v>40</v>
      </c>
      <c r="C728">
        <v>45</v>
      </c>
      <c r="D728">
        <v>121738</v>
      </c>
      <c r="E728">
        <v>31171</v>
      </c>
      <c r="F728">
        <v>0.68519911499999997</v>
      </c>
      <c r="G728">
        <v>0.80088495599999998</v>
      </c>
      <c r="H728">
        <v>7.1685737999999999E-2</v>
      </c>
      <c r="I728">
        <v>8.1086335999999995E-2</v>
      </c>
    </row>
    <row r="729" spans="1:9" x14ac:dyDescent="0.25">
      <c r="A729" t="s">
        <v>117</v>
      </c>
      <c r="B729" s="1">
        <v>41</v>
      </c>
      <c r="C729">
        <v>37</v>
      </c>
      <c r="D729">
        <v>121437</v>
      </c>
      <c r="E729">
        <v>34215</v>
      </c>
      <c r="F729">
        <v>0.75254424799999997</v>
      </c>
      <c r="G729">
        <v>0.83628318599999996</v>
      </c>
      <c r="H729">
        <v>7.7341233999999995E-2</v>
      </c>
      <c r="I729">
        <v>8.7834488000000002E-2</v>
      </c>
    </row>
    <row r="730" spans="1:9" x14ac:dyDescent="0.25">
      <c r="A730" t="s">
        <v>106</v>
      </c>
      <c r="B730" s="1">
        <v>42</v>
      </c>
      <c r="C730">
        <v>63</v>
      </c>
      <c r="D730">
        <v>121286</v>
      </c>
      <c r="E730">
        <v>28113</v>
      </c>
      <c r="F730">
        <v>0.61754424799999996</v>
      </c>
      <c r="G730">
        <v>0.72123893800000005</v>
      </c>
      <c r="H730">
        <v>6.5367931000000004E-2</v>
      </c>
      <c r="I730">
        <v>7.1791935000000001E-2</v>
      </c>
    </row>
    <row r="731" spans="1:9" x14ac:dyDescent="0.25">
      <c r="A731" t="s">
        <v>109</v>
      </c>
      <c r="B731" s="1">
        <v>43</v>
      </c>
      <c r="C731">
        <v>42</v>
      </c>
      <c r="D731">
        <v>121215</v>
      </c>
      <c r="E731">
        <v>34566</v>
      </c>
      <c r="F731">
        <v>0.76030973499999999</v>
      </c>
      <c r="G731">
        <v>0.81415929200000003</v>
      </c>
      <c r="H731">
        <v>7.8525223000000005E-2</v>
      </c>
      <c r="I731">
        <v>9.0762345999999994E-2</v>
      </c>
    </row>
    <row r="732" spans="1:9" x14ac:dyDescent="0.25">
      <c r="A732" t="s">
        <v>9</v>
      </c>
      <c r="B732" s="1">
        <v>44</v>
      </c>
      <c r="C732">
        <v>178</v>
      </c>
      <c r="D732">
        <v>121114</v>
      </c>
      <c r="E732">
        <v>34699</v>
      </c>
      <c r="F732">
        <v>0.76329645999999995</v>
      </c>
      <c r="G732">
        <v>0.21238938099999999</v>
      </c>
      <c r="H732">
        <v>7.8182814000000003E-2</v>
      </c>
      <c r="I732">
        <v>8.8141681E-2</v>
      </c>
    </row>
    <row r="733" spans="1:9" x14ac:dyDescent="0.25">
      <c r="A733" t="s">
        <v>108</v>
      </c>
      <c r="B733" s="1">
        <v>45</v>
      </c>
      <c r="C733">
        <v>34</v>
      </c>
      <c r="D733">
        <v>121026</v>
      </c>
      <c r="E733">
        <v>36011</v>
      </c>
      <c r="F733">
        <v>0.79227876100000005</v>
      </c>
      <c r="G733">
        <v>0.84955752200000001</v>
      </c>
      <c r="H733">
        <v>7.9085227999999994E-2</v>
      </c>
      <c r="I733">
        <v>8.4791276999999998E-2</v>
      </c>
    </row>
    <row r="734" spans="1:9" x14ac:dyDescent="0.25">
      <c r="A734" t="s">
        <v>116</v>
      </c>
      <c r="B734" s="1">
        <v>46</v>
      </c>
      <c r="C734">
        <v>37</v>
      </c>
      <c r="D734">
        <v>120998</v>
      </c>
      <c r="E734">
        <v>37480</v>
      </c>
      <c r="F734">
        <v>0.82477876100000003</v>
      </c>
      <c r="G734">
        <v>0.83628318599999996</v>
      </c>
      <c r="H734">
        <v>8.0288212999999997E-2</v>
      </c>
      <c r="I734">
        <v>8.1741620000000001E-2</v>
      </c>
    </row>
    <row r="735" spans="1:9" x14ac:dyDescent="0.25">
      <c r="A735" t="s">
        <v>105</v>
      </c>
      <c r="B735" s="1">
        <v>47</v>
      </c>
      <c r="C735">
        <v>14</v>
      </c>
      <c r="D735">
        <v>120978</v>
      </c>
      <c r="E735">
        <v>35525</v>
      </c>
      <c r="F735">
        <v>0.78152654899999996</v>
      </c>
      <c r="G735">
        <v>0.93805309699999995</v>
      </c>
      <c r="H735">
        <v>7.8600029000000002E-2</v>
      </c>
      <c r="I735">
        <v>8.590159E-2</v>
      </c>
    </row>
    <row r="736" spans="1:9" x14ac:dyDescent="0.25">
      <c r="A736" t="s">
        <v>118</v>
      </c>
      <c r="B736" s="1">
        <v>48</v>
      </c>
      <c r="C736">
        <v>51</v>
      </c>
      <c r="D736">
        <v>120841</v>
      </c>
      <c r="E736">
        <v>31591</v>
      </c>
      <c r="F736">
        <v>0.69449114999999995</v>
      </c>
      <c r="G736">
        <v>0.77433628300000001</v>
      </c>
      <c r="H736">
        <v>7.2509680000000007E-2</v>
      </c>
      <c r="I736">
        <v>8.1623640999999997E-2</v>
      </c>
    </row>
    <row r="737" spans="1:9" x14ac:dyDescent="0.25">
      <c r="A737" t="s">
        <v>120</v>
      </c>
      <c r="B737" s="1">
        <v>49</v>
      </c>
      <c r="C737">
        <v>16</v>
      </c>
      <c r="D737">
        <v>120786</v>
      </c>
      <c r="E737">
        <v>39514</v>
      </c>
      <c r="F737">
        <v>0.86977876099999996</v>
      </c>
      <c r="G737">
        <v>0.92920354000000005</v>
      </c>
      <c r="H737">
        <v>8.3380912000000001E-2</v>
      </c>
      <c r="I737">
        <v>8.3305694E-2</v>
      </c>
    </row>
    <row r="738" spans="1:9" x14ac:dyDescent="0.25">
      <c r="A738" t="s">
        <v>121</v>
      </c>
      <c r="B738" s="1">
        <v>50</v>
      </c>
      <c r="C738">
        <v>0</v>
      </c>
      <c r="D738">
        <v>120733</v>
      </c>
      <c r="E738">
        <v>40786</v>
      </c>
      <c r="F738">
        <v>0.89792035400000003</v>
      </c>
      <c r="G738">
        <v>1</v>
      </c>
      <c r="H738">
        <v>8.5253517000000001E-2</v>
      </c>
      <c r="I738">
        <v>8.3995007999999996E-2</v>
      </c>
    </row>
    <row r="739" spans="1:9" x14ac:dyDescent="0.25">
      <c r="A739" t="s">
        <v>115</v>
      </c>
      <c r="B739" s="1">
        <v>51</v>
      </c>
      <c r="C739">
        <v>23</v>
      </c>
      <c r="D739">
        <v>120655</v>
      </c>
      <c r="E739">
        <v>36762</v>
      </c>
      <c r="F739">
        <v>0.80889380499999997</v>
      </c>
      <c r="G739">
        <v>0.89823008800000004</v>
      </c>
      <c r="H739">
        <v>8.1597052000000003E-2</v>
      </c>
      <c r="I739">
        <v>9.1188746000000001E-2</v>
      </c>
    </row>
    <row r="740" spans="1:9" x14ac:dyDescent="0.25">
      <c r="A740" t="s">
        <v>114</v>
      </c>
      <c r="B740" s="1">
        <v>52</v>
      </c>
      <c r="C740">
        <v>66</v>
      </c>
      <c r="D740">
        <v>120498</v>
      </c>
      <c r="E740">
        <v>26492</v>
      </c>
      <c r="F740">
        <v>0.58168141600000001</v>
      </c>
      <c r="G740">
        <v>0.707964602</v>
      </c>
      <c r="H740">
        <v>6.2967095000000001E-2</v>
      </c>
      <c r="I740">
        <v>7.0218696999999997E-2</v>
      </c>
    </row>
    <row r="741" spans="1:9" x14ac:dyDescent="0.25">
      <c r="A741" t="s">
        <v>15</v>
      </c>
      <c r="B741" s="1">
        <v>53</v>
      </c>
      <c r="C741">
        <v>70</v>
      </c>
      <c r="D741">
        <v>120392</v>
      </c>
      <c r="E741">
        <v>25971</v>
      </c>
      <c r="F741">
        <v>0.57015486699999995</v>
      </c>
      <c r="G741">
        <v>0.69026548700000001</v>
      </c>
      <c r="H741">
        <v>6.1808414999999998E-2</v>
      </c>
      <c r="I741">
        <v>6.8496086999999997E-2</v>
      </c>
    </row>
    <row r="742" spans="1:9" x14ac:dyDescent="0.25">
      <c r="A742" t="s">
        <v>111</v>
      </c>
      <c r="B742" s="1">
        <v>54</v>
      </c>
      <c r="C742">
        <v>37</v>
      </c>
      <c r="D742">
        <v>120212</v>
      </c>
      <c r="E742">
        <v>37134</v>
      </c>
      <c r="F742">
        <v>0.81712389399999996</v>
      </c>
      <c r="G742">
        <v>0.83628318599999996</v>
      </c>
      <c r="H742">
        <v>7.9718519000000002E-2</v>
      </c>
      <c r="I742">
        <v>8.1347579000000003E-2</v>
      </c>
    </row>
    <row r="743" spans="1:9" x14ac:dyDescent="0.25">
      <c r="A743" t="s">
        <v>124</v>
      </c>
      <c r="B743" s="1">
        <v>55</v>
      </c>
      <c r="C743">
        <v>5</v>
      </c>
      <c r="D743">
        <v>120168</v>
      </c>
      <c r="E743">
        <v>39354</v>
      </c>
      <c r="F743">
        <v>0.86623893799999996</v>
      </c>
      <c r="G743">
        <v>0.97787610599999997</v>
      </c>
      <c r="H743">
        <v>8.3710576999999994E-2</v>
      </c>
      <c r="I743">
        <v>8.5801224999999995E-2</v>
      </c>
    </row>
    <row r="744" spans="1:9" x14ac:dyDescent="0.25">
      <c r="A744" t="s">
        <v>113</v>
      </c>
      <c r="B744" s="1">
        <v>56</v>
      </c>
      <c r="C744">
        <v>119</v>
      </c>
      <c r="D744">
        <v>120167</v>
      </c>
      <c r="E744">
        <v>26510</v>
      </c>
      <c r="F744">
        <v>0.58225663699999997</v>
      </c>
      <c r="G744">
        <v>0.47345132699999998</v>
      </c>
      <c r="H744">
        <v>5.7916670000000003E-2</v>
      </c>
      <c r="I744">
        <v>3.8749919000000001E-2</v>
      </c>
    </row>
    <row r="745" spans="1:9" x14ac:dyDescent="0.25">
      <c r="A745" t="s">
        <v>112</v>
      </c>
      <c r="B745" s="1">
        <v>57</v>
      </c>
      <c r="C745">
        <v>0</v>
      </c>
      <c r="D745">
        <v>120139</v>
      </c>
      <c r="E745">
        <v>37881</v>
      </c>
      <c r="F745">
        <v>0.83365044200000005</v>
      </c>
      <c r="G745">
        <v>1</v>
      </c>
      <c r="H745">
        <v>8.2308731999999996E-2</v>
      </c>
      <c r="I745">
        <v>8.7907814000000001E-2</v>
      </c>
    </row>
    <row r="746" spans="1:9" x14ac:dyDescent="0.25">
      <c r="A746" t="s">
        <v>119</v>
      </c>
      <c r="B746" s="1">
        <v>58</v>
      </c>
      <c r="C746">
        <v>70</v>
      </c>
      <c r="D746">
        <v>119930</v>
      </c>
      <c r="E746">
        <v>25735</v>
      </c>
      <c r="F746">
        <v>0.56493362800000002</v>
      </c>
      <c r="G746">
        <v>0.69026548700000001</v>
      </c>
      <c r="H746">
        <v>6.1453380000000002E-2</v>
      </c>
      <c r="I746">
        <v>6.8347951000000004E-2</v>
      </c>
    </row>
    <row r="747" spans="1:9" x14ac:dyDescent="0.25">
      <c r="A747" t="s">
        <v>128</v>
      </c>
      <c r="B747" s="1">
        <v>59</v>
      </c>
      <c r="C747">
        <v>0</v>
      </c>
      <c r="D747">
        <v>119752</v>
      </c>
      <c r="E747">
        <v>40640</v>
      </c>
      <c r="F747">
        <v>0.89469026500000004</v>
      </c>
      <c r="G747">
        <v>1</v>
      </c>
      <c r="H747">
        <v>8.6010200999999994E-2</v>
      </c>
      <c r="I747">
        <v>8.7767154E-2</v>
      </c>
    </row>
    <row r="748" spans="1:9" x14ac:dyDescent="0.25">
      <c r="A748" t="s">
        <v>131</v>
      </c>
      <c r="B748" s="1">
        <v>60</v>
      </c>
      <c r="C748">
        <v>0</v>
      </c>
      <c r="D748">
        <v>119649</v>
      </c>
      <c r="E748">
        <v>36063</v>
      </c>
      <c r="F748">
        <v>0.79342920400000005</v>
      </c>
      <c r="G748">
        <v>1</v>
      </c>
      <c r="H748">
        <v>7.9893162000000004E-2</v>
      </c>
      <c r="I748">
        <v>8.7178975000000006E-2</v>
      </c>
    </row>
    <row r="749" spans="1:9" x14ac:dyDescent="0.25">
      <c r="A749" t="s">
        <v>16</v>
      </c>
      <c r="B749" s="1">
        <v>61</v>
      </c>
      <c r="C749">
        <v>64</v>
      </c>
      <c r="D749">
        <v>119414</v>
      </c>
      <c r="E749">
        <v>26449</v>
      </c>
      <c r="F749">
        <v>0.58073008800000003</v>
      </c>
      <c r="G749">
        <v>0.71681415900000001</v>
      </c>
      <c r="H749">
        <v>6.2314596E-2</v>
      </c>
      <c r="I749">
        <v>6.8001888999999996E-2</v>
      </c>
    </row>
    <row r="750" spans="1:9" x14ac:dyDescent="0.25">
      <c r="A750" t="s">
        <v>127</v>
      </c>
      <c r="B750" s="1">
        <v>62</v>
      </c>
      <c r="C750">
        <v>0</v>
      </c>
      <c r="D750">
        <v>119406</v>
      </c>
      <c r="E750">
        <v>39226</v>
      </c>
      <c r="F750">
        <v>0.86340707999999999</v>
      </c>
      <c r="G750">
        <v>1</v>
      </c>
      <c r="H750">
        <v>8.2570236000000005E-2</v>
      </c>
      <c r="I750">
        <v>8.1009191999999994E-2</v>
      </c>
    </row>
    <row r="751" spans="1:9" x14ac:dyDescent="0.25">
      <c r="A751" t="s">
        <v>129</v>
      </c>
      <c r="B751" s="1">
        <v>63</v>
      </c>
      <c r="C751">
        <v>15</v>
      </c>
      <c r="D751">
        <v>119397</v>
      </c>
      <c r="E751">
        <v>34707</v>
      </c>
      <c r="F751">
        <v>0.76342920400000003</v>
      </c>
      <c r="G751">
        <v>0.93362831899999998</v>
      </c>
      <c r="H751">
        <v>7.8220831000000005E-2</v>
      </c>
      <c r="I751">
        <v>8.7708533000000005E-2</v>
      </c>
    </row>
    <row r="752" spans="1:9" x14ac:dyDescent="0.25">
      <c r="A752" t="s">
        <v>123</v>
      </c>
      <c r="B752" s="1">
        <v>64</v>
      </c>
      <c r="C752">
        <v>0</v>
      </c>
      <c r="D752">
        <v>119164</v>
      </c>
      <c r="E752">
        <v>35846</v>
      </c>
      <c r="F752">
        <v>0.78862831899999997</v>
      </c>
      <c r="G752">
        <v>1</v>
      </c>
      <c r="H752">
        <v>7.9814816999999996E-2</v>
      </c>
      <c r="I752">
        <v>8.8032901999999996E-2</v>
      </c>
    </row>
    <row r="753" spans="1:9" x14ac:dyDescent="0.25">
      <c r="A753" t="s">
        <v>130</v>
      </c>
      <c r="B753" s="1">
        <v>65</v>
      </c>
      <c r="C753">
        <v>151</v>
      </c>
      <c r="D753">
        <v>119126</v>
      </c>
      <c r="E753">
        <v>35541</v>
      </c>
      <c r="F753">
        <v>0.781902655</v>
      </c>
      <c r="G753">
        <v>0.33185840700000002</v>
      </c>
      <c r="H753">
        <v>7.9220846999999997E-2</v>
      </c>
      <c r="I753">
        <v>8.7127139000000006E-2</v>
      </c>
    </row>
    <row r="754" spans="1:9" x14ac:dyDescent="0.25">
      <c r="A754" t="s">
        <v>11</v>
      </c>
      <c r="B754" s="1">
        <v>66</v>
      </c>
      <c r="C754">
        <v>0</v>
      </c>
      <c r="D754">
        <v>119031</v>
      </c>
      <c r="E754">
        <v>35754</v>
      </c>
      <c r="F754">
        <v>0.78659292000000003</v>
      </c>
      <c r="G754">
        <v>1</v>
      </c>
      <c r="H754">
        <v>7.9558057000000001E-2</v>
      </c>
      <c r="I754">
        <v>8.7502172000000003E-2</v>
      </c>
    </row>
    <row r="755" spans="1:9" x14ac:dyDescent="0.25">
      <c r="A755" t="s">
        <v>132</v>
      </c>
      <c r="B755" s="1">
        <v>67</v>
      </c>
      <c r="C755">
        <v>0</v>
      </c>
      <c r="D755">
        <v>118978</v>
      </c>
      <c r="E755">
        <v>37492</v>
      </c>
      <c r="F755">
        <v>0.82504424799999998</v>
      </c>
      <c r="G755">
        <v>1</v>
      </c>
      <c r="H755">
        <v>8.2229231E-2</v>
      </c>
      <c r="I755">
        <v>8.8990785000000003E-2</v>
      </c>
    </row>
    <row r="756" spans="1:9" x14ac:dyDescent="0.25">
      <c r="A756" t="s">
        <v>135</v>
      </c>
      <c r="B756" s="1">
        <v>68</v>
      </c>
      <c r="C756">
        <v>0</v>
      </c>
      <c r="D756">
        <v>118965</v>
      </c>
      <c r="E756">
        <v>40811</v>
      </c>
      <c r="F756">
        <v>0.89847345099999998</v>
      </c>
      <c r="G756">
        <v>1</v>
      </c>
      <c r="H756">
        <v>8.6122222999999998E-2</v>
      </c>
      <c r="I756">
        <v>8.7282367999999999E-2</v>
      </c>
    </row>
    <row r="757" spans="1:9" x14ac:dyDescent="0.25">
      <c r="A757" t="s">
        <v>160</v>
      </c>
      <c r="B757" s="1">
        <v>69</v>
      </c>
      <c r="C757">
        <v>52</v>
      </c>
      <c r="D757">
        <v>118827</v>
      </c>
      <c r="E757">
        <v>33615</v>
      </c>
      <c r="F757">
        <v>0.73926991200000003</v>
      </c>
      <c r="G757">
        <v>0.76991150399999997</v>
      </c>
      <c r="H757">
        <v>7.6047318000000003E-2</v>
      </c>
      <c r="I757">
        <v>8.5598455000000004E-2</v>
      </c>
    </row>
    <row r="758" spans="1:9" x14ac:dyDescent="0.25">
      <c r="A758" t="s">
        <v>140</v>
      </c>
      <c r="B758" s="1">
        <v>70</v>
      </c>
      <c r="C758">
        <v>65</v>
      </c>
      <c r="D758">
        <v>118618</v>
      </c>
      <c r="E758">
        <v>28728</v>
      </c>
      <c r="F758">
        <v>0.63115044200000003</v>
      </c>
      <c r="G758">
        <v>0.71238938100000004</v>
      </c>
      <c r="H758">
        <v>6.7529885999999997E-2</v>
      </c>
      <c r="I758">
        <v>7.6429379000000006E-2</v>
      </c>
    </row>
    <row r="759" spans="1:9" x14ac:dyDescent="0.25">
      <c r="A759" t="s">
        <v>139</v>
      </c>
      <c r="B759" s="1">
        <v>71</v>
      </c>
      <c r="C759">
        <v>0</v>
      </c>
      <c r="D759">
        <v>118583</v>
      </c>
      <c r="E759">
        <v>37987</v>
      </c>
      <c r="F759">
        <v>0.83599557499999999</v>
      </c>
      <c r="G759">
        <v>1</v>
      </c>
      <c r="H759">
        <v>8.2862014999999997E-2</v>
      </c>
      <c r="I759">
        <v>8.9716639000000001E-2</v>
      </c>
    </row>
    <row r="760" spans="1:9" x14ac:dyDescent="0.25">
      <c r="A760" t="s">
        <v>136</v>
      </c>
      <c r="B760" s="1">
        <v>72</v>
      </c>
      <c r="C760">
        <v>38</v>
      </c>
      <c r="D760">
        <v>118540</v>
      </c>
      <c r="E760">
        <v>36188</v>
      </c>
      <c r="F760">
        <v>0.79619468999999998</v>
      </c>
      <c r="G760">
        <v>0.83185840700000002</v>
      </c>
      <c r="H760">
        <v>8.0815508999999994E-2</v>
      </c>
      <c r="I760">
        <v>9.1105027000000005E-2</v>
      </c>
    </row>
    <row r="761" spans="1:9" x14ac:dyDescent="0.25">
      <c r="A761" t="s">
        <v>138</v>
      </c>
      <c r="B761" s="1">
        <v>73</v>
      </c>
      <c r="C761">
        <v>20</v>
      </c>
      <c r="D761">
        <v>118463</v>
      </c>
      <c r="E761">
        <v>36482</v>
      </c>
      <c r="F761">
        <v>0.80269911500000002</v>
      </c>
      <c r="G761">
        <v>0.91150442499999995</v>
      </c>
      <c r="H761">
        <v>8.0809193000000001E-2</v>
      </c>
      <c r="I761">
        <v>8.9408815000000003E-2</v>
      </c>
    </row>
    <row r="762" spans="1:9" x14ac:dyDescent="0.25">
      <c r="A762" t="s">
        <v>122</v>
      </c>
      <c r="B762" s="1">
        <v>74</v>
      </c>
      <c r="C762">
        <v>44</v>
      </c>
      <c r="D762">
        <v>118460</v>
      </c>
      <c r="E762">
        <v>34089</v>
      </c>
      <c r="F762">
        <v>0.74975663699999995</v>
      </c>
      <c r="G762">
        <v>0.80530973500000003</v>
      </c>
      <c r="H762">
        <v>7.2307050999999997E-2</v>
      </c>
      <c r="I762">
        <v>6.8291692000000001E-2</v>
      </c>
    </row>
    <row r="763" spans="1:9" x14ac:dyDescent="0.25">
      <c r="A763" t="s">
        <v>126</v>
      </c>
      <c r="B763" s="1">
        <v>75</v>
      </c>
      <c r="C763">
        <v>30</v>
      </c>
      <c r="D763">
        <v>118458</v>
      </c>
      <c r="E763">
        <v>34062</v>
      </c>
      <c r="F763">
        <v>0.74915929199999998</v>
      </c>
      <c r="G763">
        <v>0.867256637</v>
      </c>
      <c r="H763">
        <v>7.7569120000000005E-2</v>
      </c>
      <c r="I763">
        <v>8.8778881000000004E-2</v>
      </c>
    </row>
    <row r="764" spans="1:9" x14ac:dyDescent="0.25">
      <c r="A764" t="s">
        <v>151</v>
      </c>
      <c r="B764" s="1">
        <v>76</v>
      </c>
      <c r="C764">
        <v>19</v>
      </c>
      <c r="D764">
        <v>118442</v>
      </c>
      <c r="E764">
        <v>36606</v>
      </c>
      <c r="F764">
        <v>0.80544247800000002</v>
      </c>
      <c r="G764">
        <v>0.915929204</v>
      </c>
      <c r="H764">
        <v>8.1221869000000002E-2</v>
      </c>
      <c r="I764">
        <v>8.9923772999999999E-2</v>
      </c>
    </row>
    <row r="765" spans="1:9" x14ac:dyDescent="0.25">
      <c r="A765" t="s">
        <v>133</v>
      </c>
      <c r="B765" s="1">
        <v>77</v>
      </c>
      <c r="C765">
        <v>67</v>
      </c>
      <c r="D765">
        <v>118382</v>
      </c>
      <c r="E765">
        <v>29156</v>
      </c>
      <c r="F765">
        <v>0.640619469</v>
      </c>
      <c r="G765">
        <v>0.70353982299999995</v>
      </c>
      <c r="H765">
        <v>6.8209443999999994E-2</v>
      </c>
      <c r="I765">
        <v>7.6560777999999996E-2</v>
      </c>
    </row>
    <row r="766" spans="1:9" x14ac:dyDescent="0.25">
      <c r="A766" t="s">
        <v>149</v>
      </c>
      <c r="B766" s="1">
        <v>78</v>
      </c>
      <c r="C766">
        <v>11</v>
      </c>
      <c r="D766">
        <v>118377</v>
      </c>
      <c r="E766">
        <v>37145</v>
      </c>
      <c r="F766">
        <v>0.81736725700000001</v>
      </c>
      <c r="G766">
        <v>0.95132743399999997</v>
      </c>
      <c r="H766">
        <v>8.2158420999999995E-2</v>
      </c>
      <c r="I766">
        <v>9.1211614999999996E-2</v>
      </c>
    </row>
    <row r="767" spans="1:9" x14ac:dyDescent="0.25">
      <c r="A767" t="s">
        <v>125</v>
      </c>
      <c r="B767" s="1">
        <v>79</v>
      </c>
      <c r="C767">
        <v>0</v>
      </c>
      <c r="D767">
        <v>118364</v>
      </c>
      <c r="E767">
        <v>35672</v>
      </c>
      <c r="F767">
        <v>0.78477876099999999</v>
      </c>
      <c r="G767">
        <v>1</v>
      </c>
      <c r="H767">
        <v>7.9505724999999999E-2</v>
      </c>
      <c r="I767">
        <v>8.7706587000000003E-2</v>
      </c>
    </row>
    <row r="768" spans="1:9" x14ac:dyDescent="0.25">
      <c r="A768" t="s">
        <v>141</v>
      </c>
      <c r="B768" s="1">
        <v>80</v>
      </c>
      <c r="C768">
        <v>15</v>
      </c>
      <c r="D768">
        <v>118339</v>
      </c>
      <c r="E768">
        <v>37817</v>
      </c>
      <c r="F768">
        <v>0.83223451299999995</v>
      </c>
      <c r="G768">
        <v>0.93362831899999998</v>
      </c>
      <c r="H768">
        <v>8.3198536000000003E-2</v>
      </c>
      <c r="I768">
        <v>9.1824490999999994E-2</v>
      </c>
    </row>
    <row r="769" spans="1:9" x14ac:dyDescent="0.25">
      <c r="A769" t="s">
        <v>144</v>
      </c>
      <c r="B769" s="1">
        <v>81</v>
      </c>
      <c r="C769">
        <v>62</v>
      </c>
      <c r="D769">
        <v>118257</v>
      </c>
      <c r="E769">
        <v>28997</v>
      </c>
      <c r="F769">
        <v>0.63710177000000001</v>
      </c>
      <c r="G769">
        <v>0.72566371699999999</v>
      </c>
      <c r="H769">
        <v>6.8712420999999996E-2</v>
      </c>
      <c r="I769">
        <v>7.9873734000000002E-2</v>
      </c>
    </row>
    <row r="770" spans="1:9" x14ac:dyDescent="0.25">
      <c r="A770" t="s">
        <v>143</v>
      </c>
      <c r="B770" s="1">
        <v>82</v>
      </c>
      <c r="C770">
        <v>67</v>
      </c>
      <c r="D770">
        <v>118189</v>
      </c>
      <c r="E770">
        <v>28929</v>
      </c>
      <c r="F770">
        <v>0.63559734499999998</v>
      </c>
      <c r="G770">
        <v>0.70353982299999995</v>
      </c>
      <c r="H770">
        <v>6.7681714000000004E-2</v>
      </c>
      <c r="I770">
        <v>7.5811925000000002E-2</v>
      </c>
    </row>
    <row r="771" spans="1:9" x14ac:dyDescent="0.25">
      <c r="A771" t="s">
        <v>146</v>
      </c>
      <c r="B771" s="1">
        <v>83</v>
      </c>
      <c r="C771">
        <v>72</v>
      </c>
      <c r="D771">
        <v>118180</v>
      </c>
      <c r="E771">
        <v>27895</v>
      </c>
      <c r="F771">
        <v>0.61272123899999997</v>
      </c>
      <c r="G771">
        <v>0.68141592900000003</v>
      </c>
      <c r="H771">
        <v>6.6146559999999993E-2</v>
      </c>
      <c r="I771">
        <v>7.5017188999999998E-2</v>
      </c>
    </row>
    <row r="772" spans="1:9" x14ac:dyDescent="0.25">
      <c r="A772" t="s">
        <v>152</v>
      </c>
      <c r="B772" s="1">
        <v>84</v>
      </c>
      <c r="C772">
        <v>9</v>
      </c>
      <c r="D772">
        <v>118153</v>
      </c>
      <c r="E772">
        <v>38284</v>
      </c>
      <c r="F772">
        <v>0.84256637199999995</v>
      </c>
      <c r="G772">
        <v>0.96017699099999998</v>
      </c>
      <c r="H772">
        <v>8.2939369999999998E-2</v>
      </c>
      <c r="I772">
        <v>8.8073626000000002E-2</v>
      </c>
    </row>
    <row r="773" spans="1:9" x14ac:dyDescent="0.25">
      <c r="A773" t="s">
        <v>137</v>
      </c>
      <c r="B773" s="1">
        <v>85</v>
      </c>
      <c r="C773">
        <v>136</v>
      </c>
      <c r="D773">
        <v>118134</v>
      </c>
      <c r="E773">
        <v>38640</v>
      </c>
      <c r="F773">
        <v>0.85046460199999996</v>
      </c>
      <c r="G773">
        <v>0.39823008799999998</v>
      </c>
      <c r="H773">
        <v>8.3895238999999996E-2</v>
      </c>
      <c r="I773">
        <v>8.9641920999999999E-2</v>
      </c>
    </row>
    <row r="774" spans="1:9" x14ac:dyDescent="0.25">
      <c r="A774" t="s">
        <v>134</v>
      </c>
      <c r="B774" s="1">
        <v>86</v>
      </c>
      <c r="C774">
        <v>30</v>
      </c>
      <c r="D774">
        <v>117977</v>
      </c>
      <c r="E774">
        <v>35514</v>
      </c>
      <c r="F774">
        <v>0.78128318600000002</v>
      </c>
      <c r="G774">
        <v>0.867256637</v>
      </c>
      <c r="H774">
        <v>7.5571025999999999E-2</v>
      </c>
      <c r="I774">
        <v>7.2689685000000004E-2</v>
      </c>
    </row>
    <row r="775" spans="1:9" x14ac:dyDescent="0.25">
      <c r="A775" t="s">
        <v>13</v>
      </c>
      <c r="B775" s="1">
        <v>87</v>
      </c>
      <c r="C775">
        <v>190</v>
      </c>
      <c r="D775">
        <v>117946</v>
      </c>
      <c r="E775">
        <v>31879</v>
      </c>
      <c r="F775">
        <v>0.70090708000000002</v>
      </c>
      <c r="G775">
        <v>0.159292035</v>
      </c>
      <c r="H775">
        <v>7.3597677E-2</v>
      </c>
      <c r="I775">
        <v>8.3756265999999996E-2</v>
      </c>
    </row>
    <row r="776" spans="1:9" x14ac:dyDescent="0.25">
      <c r="A776" t="s">
        <v>153</v>
      </c>
      <c r="B776" s="1">
        <v>88</v>
      </c>
      <c r="C776">
        <v>72</v>
      </c>
      <c r="D776">
        <v>117843</v>
      </c>
      <c r="E776">
        <v>29235</v>
      </c>
      <c r="F776">
        <v>0.64236725699999997</v>
      </c>
      <c r="G776">
        <v>0.68141592900000003</v>
      </c>
      <c r="H776">
        <v>6.8995260000000003E-2</v>
      </c>
      <c r="I776">
        <v>7.9594213999999996E-2</v>
      </c>
    </row>
    <row r="777" spans="1:9" x14ac:dyDescent="0.25">
      <c r="A777" t="s">
        <v>157</v>
      </c>
      <c r="B777" s="1">
        <v>89</v>
      </c>
      <c r="C777">
        <v>34</v>
      </c>
      <c r="D777">
        <v>117732</v>
      </c>
      <c r="E777">
        <v>36062</v>
      </c>
      <c r="F777">
        <v>0.79340708000000004</v>
      </c>
      <c r="G777">
        <v>0.84955752200000001</v>
      </c>
      <c r="H777">
        <v>7.9594459000000006E-2</v>
      </c>
      <c r="I777">
        <v>8.6424282000000005E-2</v>
      </c>
    </row>
    <row r="778" spans="1:9" x14ac:dyDescent="0.25">
      <c r="A778" t="s">
        <v>10</v>
      </c>
      <c r="B778" s="1">
        <v>90</v>
      </c>
      <c r="C778">
        <v>16</v>
      </c>
      <c r="D778">
        <v>117699</v>
      </c>
      <c r="E778">
        <v>40449</v>
      </c>
      <c r="F778">
        <v>0.89046460199999999</v>
      </c>
      <c r="G778">
        <v>0.92920354000000005</v>
      </c>
      <c r="H778">
        <v>8.3828191999999996E-2</v>
      </c>
      <c r="I778">
        <v>8.0009750000000004E-2</v>
      </c>
    </row>
    <row r="779" spans="1:9" x14ac:dyDescent="0.25">
      <c r="A779" t="s">
        <v>148</v>
      </c>
      <c r="B779" s="1">
        <v>91</v>
      </c>
      <c r="C779">
        <v>75</v>
      </c>
      <c r="D779">
        <v>117689</v>
      </c>
      <c r="E779">
        <v>28615</v>
      </c>
      <c r="F779">
        <v>0.62865044199999998</v>
      </c>
      <c r="G779">
        <v>0.66814159299999998</v>
      </c>
      <c r="H779">
        <v>6.7653294000000003E-2</v>
      </c>
      <c r="I779">
        <v>7.7418614999999996E-2</v>
      </c>
    </row>
    <row r="780" spans="1:9" x14ac:dyDescent="0.25">
      <c r="A780" t="s">
        <v>142</v>
      </c>
      <c r="B780" s="1">
        <v>92</v>
      </c>
      <c r="C780">
        <v>49</v>
      </c>
      <c r="D780">
        <v>117670</v>
      </c>
      <c r="E780">
        <v>33659</v>
      </c>
      <c r="F780">
        <v>0.74024336300000004</v>
      </c>
      <c r="G780">
        <v>0.78318584099999999</v>
      </c>
      <c r="H780">
        <v>7.6370682999999995E-2</v>
      </c>
      <c r="I780">
        <v>8.6500436E-2</v>
      </c>
    </row>
    <row r="781" spans="1:9" x14ac:dyDescent="0.25">
      <c r="A781" t="s">
        <v>154</v>
      </c>
      <c r="B781" s="1">
        <v>93</v>
      </c>
      <c r="C781">
        <v>71</v>
      </c>
      <c r="D781">
        <v>117602</v>
      </c>
      <c r="E781">
        <v>28419</v>
      </c>
      <c r="F781">
        <v>0.62431415899999998</v>
      </c>
      <c r="G781">
        <v>0.68584070799999997</v>
      </c>
      <c r="H781">
        <v>6.7538912000000006E-2</v>
      </c>
      <c r="I781">
        <v>7.8144588000000001E-2</v>
      </c>
    </row>
    <row r="782" spans="1:9" x14ac:dyDescent="0.25">
      <c r="A782" t="s">
        <v>156</v>
      </c>
      <c r="B782" s="1">
        <v>94</v>
      </c>
      <c r="C782">
        <v>67</v>
      </c>
      <c r="D782">
        <v>117526</v>
      </c>
      <c r="E782">
        <v>28630</v>
      </c>
      <c r="F782">
        <v>0.62898230099999997</v>
      </c>
      <c r="G782">
        <v>0.70353982299999995</v>
      </c>
      <c r="H782">
        <v>6.7398137999999996E-2</v>
      </c>
      <c r="I782">
        <v>7.6209368E-2</v>
      </c>
    </row>
    <row r="783" spans="1:9" x14ac:dyDescent="0.25">
      <c r="A783" t="s">
        <v>159</v>
      </c>
      <c r="B783" s="1">
        <v>95</v>
      </c>
      <c r="C783">
        <v>16</v>
      </c>
      <c r="D783">
        <v>117448</v>
      </c>
      <c r="E783">
        <v>37897</v>
      </c>
      <c r="F783">
        <v>0.83400442500000005</v>
      </c>
      <c r="G783">
        <v>0.92920354000000005</v>
      </c>
      <c r="H783">
        <v>8.3194356999999997E-2</v>
      </c>
      <c r="I783">
        <v>9.0970934000000003E-2</v>
      </c>
    </row>
    <row r="784" spans="1:9" x14ac:dyDescent="0.25">
      <c r="A784" t="s">
        <v>167</v>
      </c>
      <c r="B784" s="1">
        <v>96</v>
      </c>
      <c r="C784">
        <v>12</v>
      </c>
      <c r="D784">
        <v>117435</v>
      </c>
      <c r="E784">
        <v>39945</v>
      </c>
      <c r="F784">
        <v>0.87931415899999998</v>
      </c>
      <c r="G784">
        <v>0.94690265500000004</v>
      </c>
      <c r="H784">
        <v>8.4768675000000002E-2</v>
      </c>
      <c r="I784">
        <v>8.6318112000000002E-2</v>
      </c>
    </row>
    <row r="785" spans="1:9" x14ac:dyDescent="0.25">
      <c r="A785" t="s">
        <v>161</v>
      </c>
      <c r="B785" s="1">
        <v>97</v>
      </c>
      <c r="C785">
        <v>14</v>
      </c>
      <c r="D785">
        <v>117341</v>
      </c>
      <c r="E785">
        <v>37258</v>
      </c>
      <c r="F785">
        <v>0.81986725699999996</v>
      </c>
      <c r="G785">
        <v>0.93805309699999995</v>
      </c>
      <c r="H785">
        <v>8.2471949000000003E-2</v>
      </c>
      <c r="I785">
        <v>9.2144988999999997E-2</v>
      </c>
    </row>
    <row r="786" spans="1:9" x14ac:dyDescent="0.25">
      <c r="A786" t="s">
        <v>147</v>
      </c>
      <c r="B786" s="1">
        <v>98</v>
      </c>
      <c r="C786">
        <v>15</v>
      </c>
      <c r="D786">
        <v>117291</v>
      </c>
      <c r="E786">
        <v>37949</v>
      </c>
      <c r="F786">
        <v>0.83515486699999997</v>
      </c>
      <c r="G786">
        <v>0.93362831899999998</v>
      </c>
      <c r="H786">
        <v>8.3316995000000005E-2</v>
      </c>
      <c r="I786">
        <v>9.1614262000000002E-2</v>
      </c>
    </row>
    <row r="787" spans="1:9" x14ac:dyDescent="0.25">
      <c r="A787" t="s">
        <v>155</v>
      </c>
      <c r="B787" s="1">
        <v>99</v>
      </c>
      <c r="C787">
        <v>13</v>
      </c>
      <c r="D787">
        <v>117168</v>
      </c>
      <c r="E787">
        <v>37990</v>
      </c>
      <c r="F787">
        <v>0.83606194700000003</v>
      </c>
      <c r="G787">
        <v>0.94247787599999999</v>
      </c>
      <c r="H787">
        <v>8.3168127999999994E-2</v>
      </c>
      <c r="I787">
        <v>9.0302587000000004E-2</v>
      </c>
    </row>
    <row r="788" spans="1:9" x14ac:dyDescent="0.25">
      <c r="A788" t="s">
        <v>150</v>
      </c>
      <c r="B788" s="1">
        <v>100</v>
      </c>
      <c r="C788">
        <v>25</v>
      </c>
      <c r="D788">
        <v>117150</v>
      </c>
      <c r="E788">
        <v>35331</v>
      </c>
      <c r="F788">
        <v>0.77723451300000002</v>
      </c>
      <c r="G788">
        <v>0.88938053100000003</v>
      </c>
      <c r="H788">
        <v>7.5440849000000004E-2</v>
      </c>
      <c r="I788">
        <v>7.3048660000000001E-2</v>
      </c>
    </row>
    <row r="789" spans="1:9" x14ac:dyDescent="0.25">
      <c r="A789" t="s">
        <v>145</v>
      </c>
      <c r="B789" s="1">
        <v>101</v>
      </c>
      <c r="C789">
        <v>0</v>
      </c>
      <c r="D789">
        <v>117018</v>
      </c>
      <c r="E789">
        <v>39027</v>
      </c>
      <c r="F789">
        <v>0.85900442499999996</v>
      </c>
      <c r="G789">
        <v>1</v>
      </c>
      <c r="H789">
        <v>8.4332426000000002E-2</v>
      </c>
      <c r="I789">
        <v>8.9799812000000007E-2</v>
      </c>
    </row>
    <row r="790" spans="1:9" x14ac:dyDescent="0.25">
      <c r="A790" t="s">
        <v>170</v>
      </c>
      <c r="B790" s="1">
        <v>102</v>
      </c>
      <c r="C790">
        <v>15</v>
      </c>
      <c r="D790">
        <v>116878</v>
      </c>
      <c r="E790">
        <v>38058</v>
      </c>
      <c r="F790">
        <v>0.83756637199999995</v>
      </c>
      <c r="G790">
        <v>0.93362831899999998</v>
      </c>
      <c r="H790">
        <v>8.2993177000000001E-2</v>
      </c>
      <c r="I790">
        <v>8.9006259000000004E-2</v>
      </c>
    </row>
    <row r="791" spans="1:9" x14ac:dyDescent="0.25">
      <c r="A791" t="s">
        <v>169</v>
      </c>
      <c r="B791" s="1">
        <v>103</v>
      </c>
      <c r="C791">
        <v>24</v>
      </c>
      <c r="D791">
        <v>116812</v>
      </c>
      <c r="E791">
        <v>35218</v>
      </c>
      <c r="F791">
        <v>0.77473451299999996</v>
      </c>
      <c r="G791">
        <v>0.89380530999999996</v>
      </c>
      <c r="H791">
        <v>7.4909569999999995E-2</v>
      </c>
      <c r="I791">
        <v>7.1433740999999995E-2</v>
      </c>
    </row>
    <row r="792" spans="1:9" x14ac:dyDescent="0.25">
      <c r="A792" t="s">
        <v>163</v>
      </c>
      <c r="B792" s="1">
        <v>104</v>
      </c>
      <c r="C792">
        <v>80</v>
      </c>
      <c r="D792">
        <v>116805</v>
      </c>
      <c r="E792">
        <v>31691</v>
      </c>
      <c r="F792">
        <v>0.69672566400000002</v>
      </c>
      <c r="G792">
        <v>0.64601769899999995</v>
      </c>
      <c r="H792">
        <v>6.7459152999999994E-2</v>
      </c>
      <c r="I792">
        <v>5.1782345E-2</v>
      </c>
    </row>
    <row r="793" spans="1:9" x14ac:dyDescent="0.25">
      <c r="A793" t="s">
        <v>168</v>
      </c>
      <c r="B793" s="1">
        <v>105</v>
      </c>
      <c r="C793">
        <v>73</v>
      </c>
      <c r="D793">
        <v>116710</v>
      </c>
      <c r="E793">
        <v>29882</v>
      </c>
      <c r="F793">
        <v>0.65668141599999996</v>
      </c>
      <c r="G793">
        <v>0.67699114999999999</v>
      </c>
      <c r="H793">
        <v>7.0451667999999995E-2</v>
      </c>
      <c r="I793">
        <v>8.1681686000000003E-2</v>
      </c>
    </row>
    <row r="794" spans="1:9" x14ac:dyDescent="0.25">
      <c r="A794" t="s">
        <v>158</v>
      </c>
      <c r="B794" s="1">
        <v>106</v>
      </c>
      <c r="C794">
        <v>0</v>
      </c>
      <c r="D794">
        <v>116411</v>
      </c>
      <c r="E794">
        <v>38151</v>
      </c>
      <c r="F794">
        <v>0.83962389400000004</v>
      </c>
      <c r="G794">
        <v>1</v>
      </c>
      <c r="H794">
        <v>8.3672988000000004E-2</v>
      </c>
      <c r="I794">
        <v>9.1933800999999996E-2</v>
      </c>
    </row>
    <row r="795" spans="1:9" x14ac:dyDescent="0.25">
      <c r="A795" t="s">
        <v>162</v>
      </c>
      <c r="B795" s="1">
        <v>107</v>
      </c>
      <c r="C795">
        <v>35</v>
      </c>
      <c r="D795">
        <v>116373</v>
      </c>
      <c r="E795">
        <v>35456</v>
      </c>
      <c r="F795">
        <v>0.78</v>
      </c>
      <c r="G795">
        <v>0.84513274299999996</v>
      </c>
      <c r="H795">
        <v>7.8856456000000005E-2</v>
      </c>
      <c r="I795">
        <v>8.6262337999999994E-2</v>
      </c>
    </row>
    <row r="796" spans="1:9" x14ac:dyDescent="0.25">
      <c r="A796" t="s">
        <v>165</v>
      </c>
      <c r="B796" s="1">
        <v>108</v>
      </c>
      <c r="C796">
        <v>27</v>
      </c>
      <c r="D796">
        <v>116355</v>
      </c>
      <c r="E796">
        <v>35094</v>
      </c>
      <c r="F796">
        <v>0.77199114999999996</v>
      </c>
      <c r="G796">
        <v>0.88053097300000005</v>
      </c>
      <c r="H796">
        <v>7.8530362000000006E-2</v>
      </c>
      <c r="I796">
        <v>8.6850842999999997E-2</v>
      </c>
    </row>
    <row r="797" spans="1:9" x14ac:dyDescent="0.25">
      <c r="A797" t="s">
        <v>172</v>
      </c>
      <c r="B797" s="1">
        <v>109</v>
      </c>
      <c r="C797">
        <v>26</v>
      </c>
      <c r="D797">
        <v>116229</v>
      </c>
      <c r="E797">
        <v>36620</v>
      </c>
      <c r="F797">
        <v>0.80575221200000002</v>
      </c>
      <c r="G797">
        <v>0.88495575199999998</v>
      </c>
      <c r="H797">
        <v>8.1656063000000001E-2</v>
      </c>
      <c r="I797">
        <v>9.2050063000000001E-2</v>
      </c>
    </row>
    <row r="798" spans="1:9" x14ac:dyDescent="0.25">
      <c r="A798" t="s">
        <v>166</v>
      </c>
      <c r="B798" s="1">
        <v>110</v>
      </c>
      <c r="C798">
        <v>26</v>
      </c>
      <c r="D798">
        <v>116154</v>
      </c>
      <c r="E798">
        <v>35616</v>
      </c>
      <c r="F798">
        <v>0.78353982300000002</v>
      </c>
      <c r="G798">
        <v>0.88495575199999998</v>
      </c>
      <c r="H798">
        <v>7.9325439999999997E-2</v>
      </c>
      <c r="I798">
        <v>8.7382878999999997E-2</v>
      </c>
    </row>
    <row r="799" spans="1:9" x14ac:dyDescent="0.25">
      <c r="A799" t="s">
        <v>171</v>
      </c>
      <c r="B799" s="1">
        <v>111</v>
      </c>
      <c r="C799">
        <v>24</v>
      </c>
      <c r="D799">
        <v>115973</v>
      </c>
      <c r="E799">
        <v>34831</v>
      </c>
      <c r="F799">
        <v>0.76617256600000005</v>
      </c>
      <c r="G799">
        <v>0.89380530999999996</v>
      </c>
      <c r="H799">
        <v>7.4360234999999997E-2</v>
      </c>
      <c r="I799">
        <v>7.1120460999999996E-2</v>
      </c>
    </row>
    <row r="800" spans="1:9" x14ac:dyDescent="0.25">
      <c r="A800" t="s">
        <v>177</v>
      </c>
      <c r="B800" s="1">
        <v>112</v>
      </c>
      <c r="C800">
        <v>68</v>
      </c>
      <c r="D800">
        <v>115699</v>
      </c>
      <c r="E800">
        <v>30868</v>
      </c>
      <c r="F800">
        <v>0.67849557500000002</v>
      </c>
      <c r="G800">
        <v>0.69911504400000002</v>
      </c>
      <c r="H800">
        <v>7.1843071999999994E-2</v>
      </c>
      <c r="I800">
        <v>8.2057175999999996E-2</v>
      </c>
    </row>
    <row r="801" spans="1:9" x14ac:dyDescent="0.25">
      <c r="A801" t="s">
        <v>176</v>
      </c>
      <c r="B801" s="1">
        <v>113</v>
      </c>
      <c r="C801">
        <v>72</v>
      </c>
      <c r="D801">
        <v>115506</v>
      </c>
      <c r="E801">
        <v>29323</v>
      </c>
      <c r="F801">
        <v>0.644314159</v>
      </c>
      <c r="G801">
        <v>0.68141592900000003</v>
      </c>
      <c r="H801">
        <v>6.9279847000000006E-2</v>
      </c>
      <c r="I801">
        <v>7.9771550999999996E-2</v>
      </c>
    </row>
    <row r="802" spans="1:9" x14ac:dyDescent="0.25">
      <c r="A802" t="s">
        <v>174</v>
      </c>
      <c r="B802" s="1">
        <v>114</v>
      </c>
      <c r="C802">
        <v>26</v>
      </c>
      <c r="D802">
        <v>115474</v>
      </c>
      <c r="E802">
        <v>36883</v>
      </c>
      <c r="F802">
        <v>0.81157079600000004</v>
      </c>
      <c r="G802">
        <v>0.88495575199999998</v>
      </c>
      <c r="H802">
        <v>7.8292203000000005E-2</v>
      </c>
      <c r="I802">
        <v>7.6018480999999999E-2</v>
      </c>
    </row>
    <row r="803" spans="1:9" x14ac:dyDescent="0.25">
      <c r="A803" t="s">
        <v>175</v>
      </c>
      <c r="B803" s="1">
        <v>115</v>
      </c>
      <c r="C803">
        <v>56</v>
      </c>
      <c r="D803">
        <v>115432</v>
      </c>
      <c r="E803">
        <v>31940</v>
      </c>
      <c r="F803">
        <v>0.70221238900000005</v>
      </c>
      <c r="G803">
        <v>0.75221238899999998</v>
      </c>
      <c r="H803">
        <v>7.3432303000000004E-2</v>
      </c>
      <c r="I803">
        <v>8.2577864000000001E-2</v>
      </c>
    </row>
    <row r="804" spans="1:9" x14ac:dyDescent="0.25">
      <c r="A804" t="s">
        <v>173</v>
      </c>
      <c r="B804" s="1">
        <v>116</v>
      </c>
      <c r="C804">
        <v>0</v>
      </c>
      <c r="D804">
        <v>115212</v>
      </c>
      <c r="E804">
        <v>38911</v>
      </c>
      <c r="F804">
        <v>0.85643805299999998</v>
      </c>
      <c r="G804">
        <v>1</v>
      </c>
      <c r="H804">
        <v>8.4584589000000002E-2</v>
      </c>
      <c r="I804">
        <v>9.1493117999999998E-2</v>
      </c>
    </row>
    <row r="805" spans="1:9" x14ac:dyDescent="0.25">
      <c r="A805" t="s">
        <v>164</v>
      </c>
      <c r="B805" s="1">
        <v>117</v>
      </c>
      <c r="C805">
        <v>69</v>
      </c>
      <c r="D805">
        <v>115081</v>
      </c>
      <c r="E805">
        <v>33270</v>
      </c>
      <c r="F805">
        <v>0.73535398200000002</v>
      </c>
      <c r="G805">
        <v>0.69469026499999997</v>
      </c>
      <c r="H805">
        <v>7.5620827000000002E-2</v>
      </c>
      <c r="I805">
        <v>8.2950698000000003E-2</v>
      </c>
    </row>
    <row r="806" spans="1:9" x14ac:dyDescent="0.25">
      <c r="A806" t="s">
        <v>178</v>
      </c>
      <c r="B806" s="1">
        <v>118</v>
      </c>
      <c r="C806">
        <v>71</v>
      </c>
      <c r="D806">
        <v>114022</v>
      </c>
      <c r="E806">
        <v>30598</v>
      </c>
      <c r="F806">
        <v>0.672522124</v>
      </c>
      <c r="G806">
        <v>0.68584070799999997</v>
      </c>
      <c r="H806">
        <v>7.1366535999999994E-2</v>
      </c>
      <c r="I806">
        <v>8.1159209999999996E-2</v>
      </c>
    </row>
    <row r="807" spans="1:9" x14ac:dyDescent="0.25">
      <c r="A807" t="s">
        <v>180</v>
      </c>
      <c r="B807" s="1">
        <v>119</v>
      </c>
      <c r="C807">
        <v>111</v>
      </c>
      <c r="D807">
        <v>113492</v>
      </c>
      <c r="E807">
        <v>27483</v>
      </c>
      <c r="F807">
        <v>0.60365044199999995</v>
      </c>
      <c r="G807">
        <v>0.50884955799999998</v>
      </c>
      <c r="H807">
        <v>6.1959578000000001E-2</v>
      </c>
      <c r="I807">
        <v>5.1029822000000002E-2</v>
      </c>
    </row>
    <row r="808" spans="1:9" x14ac:dyDescent="0.25">
      <c r="A808" t="s">
        <v>179</v>
      </c>
      <c r="B808" s="1">
        <v>120</v>
      </c>
      <c r="C808">
        <v>14</v>
      </c>
      <c r="D808">
        <v>113374</v>
      </c>
      <c r="E808">
        <v>41100</v>
      </c>
      <c r="F808">
        <v>0.90486725700000004</v>
      </c>
      <c r="G808">
        <v>0.93805309699999995</v>
      </c>
      <c r="H808">
        <v>8.4079564999999995E-2</v>
      </c>
      <c r="I808">
        <v>7.7536094999999999E-2</v>
      </c>
    </row>
    <row r="809" spans="1:9" x14ac:dyDescent="0.25">
      <c r="A809" t="s">
        <v>12</v>
      </c>
      <c r="B809" s="1">
        <v>121</v>
      </c>
      <c r="C809">
        <v>15</v>
      </c>
      <c r="D809">
        <v>112691</v>
      </c>
      <c r="E809">
        <v>43190</v>
      </c>
      <c r="F809">
        <v>0.95110619500000004</v>
      </c>
      <c r="G809">
        <v>0.93362831899999998</v>
      </c>
      <c r="H809">
        <v>8.6099123E-2</v>
      </c>
      <c r="I809">
        <v>7.3772340000000006E-2</v>
      </c>
    </row>
    <row r="810" spans="1:9" x14ac:dyDescent="0.25">
      <c r="A810" t="s">
        <v>181</v>
      </c>
      <c r="B810" s="1">
        <v>122</v>
      </c>
      <c r="C810">
        <v>77</v>
      </c>
      <c r="D810">
        <v>112509</v>
      </c>
      <c r="E810">
        <v>30648</v>
      </c>
      <c r="F810">
        <v>0.67429203500000001</v>
      </c>
      <c r="G810">
        <v>0.659292035</v>
      </c>
      <c r="H810">
        <v>6.6701017000000001E-2</v>
      </c>
      <c r="I810">
        <v>5.2385348999999998E-2</v>
      </c>
    </row>
    <row r="811" spans="1:9" x14ac:dyDescent="0.25">
      <c r="A811" t="s">
        <v>182</v>
      </c>
      <c r="B811" s="1">
        <v>123</v>
      </c>
      <c r="C811">
        <v>13</v>
      </c>
      <c r="D811">
        <v>108820</v>
      </c>
      <c r="E811">
        <v>42880</v>
      </c>
      <c r="F811">
        <v>0.94424778799999998</v>
      </c>
      <c r="G811">
        <v>0.94247787599999999</v>
      </c>
      <c r="H811">
        <v>8.6417309999999997E-2</v>
      </c>
      <c r="I811">
        <v>7.7360238999999997E-2</v>
      </c>
    </row>
    <row r="812" spans="1:9" x14ac:dyDescent="0.25">
      <c r="A812" t="s">
        <v>192</v>
      </c>
      <c r="B812" s="1">
        <v>124</v>
      </c>
      <c r="C812">
        <v>13</v>
      </c>
      <c r="D812">
        <v>108542</v>
      </c>
      <c r="E812">
        <v>41800</v>
      </c>
      <c r="F812">
        <v>0.92035398199999996</v>
      </c>
      <c r="G812">
        <v>0.94247787599999999</v>
      </c>
      <c r="H812">
        <v>8.4571921999999994E-2</v>
      </c>
      <c r="I812">
        <v>7.5798830999999997E-2</v>
      </c>
    </row>
    <row r="813" spans="1:9" x14ac:dyDescent="0.25">
      <c r="A813" t="s">
        <v>17</v>
      </c>
      <c r="B813" s="1">
        <v>125</v>
      </c>
      <c r="C813">
        <v>102</v>
      </c>
      <c r="D813">
        <v>107998</v>
      </c>
      <c r="E813">
        <v>31670</v>
      </c>
      <c r="F813">
        <v>0.69955752199999999</v>
      </c>
      <c r="G813">
        <v>0.54867256600000003</v>
      </c>
      <c r="H813">
        <v>6.6397840999999999E-2</v>
      </c>
      <c r="I813">
        <v>4.6810167999999999E-2</v>
      </c>
    </row>
    <row r="814" spans="1:9" x14ac:dyDescent="0.25">
      <c r="A814" t="s">
        <v>185</v>
      </c>
      <c r="B814" s="1">
        <v>126</v>
      </c>
      <c r="C814">
        <v>0</v>
      </c>
      <c r="D814">
        <v>107927</v>
      </c>
      <c r="E814">
        <v>43531</v>
      </c>
      <c r="F814">
        <v>0.95865044200000005</v>
      </c>
      <c r="G814">
        <v>1</v>
      </c>
      <c r="H814">
        <v>8.6852922999999999E-2</v>
      </c>
      <c r="I814">
        <v>7.5010978000000006E-2</v>
      </c>
    </row>
    <row r="815" spans="1:9" x14ac:dyDescent="0.25">
      <c r="A815" t="s">
        <v>184</v>
      </c>
      <c r="B815" s="1">
        <v>127</v>
      </c>
      <c r="C815">
        <v>88</v>
      </c>
      <c r="D815">
        <v>107402</v>
      </c>
      <c r="E815">
        <v>19219</v>
      </c>
      <c r="F815">
        <v>0.42373893800000001</v>
      </c>
      <c r="G815">
        <v>0.61061946899999997</v>
      </c>
      <c r="H815">
        <v>4.2124917999999997E-2</v>
      </c>
      <c r="I815">
        <v>6.1759459999999999E-3</v>
      </c>
    </row>
    <row r="816" spans="1:9" x14ac:dyDescent="0.25">
      <c r="A816" t="s">
        <v>187</v>
      </c>
      <c r="B816" s="1">
        <v>128</v>
      </c>
      <c r="C816">
        <v>0</v>
      </c>
      <c r="D816">
        <v>107133</v>
      </c>
      <c r="E816">
        <v>44768</v>
      </c>
      <c r="F816">
        <v>0.98601769900000003</v>
      </c>
      <c r="G816">
        <v>1</v>
      </c>
      <c r="H816">
        <v>8.9361112000000006E-2</v>
      </c>
      <c r="I816">
        <v>7.8621468E-2</v>
      </c>
    </row>
    <row r="817" spans="1:9" x14ac:dyDescent="0.25">
      <c r="A817" t="s">
        <v>190</v>
      </c>
      <c r="B817" s="1">
        <v>129</v>
      </c>
      <c r="C817">
        <v>53</v>
      </c>
      <c r="D817">
        <v>106974</v>
      </c>
      <c r="E817">
        <v>26243</v>
      </c>
      <c r="F817">
        <v>0.57619469000000001</v>
      </c>
      <c r="G817">
        <v>0.76548672600000001</v>
      </c>
      <c r="H817">
        <v>5.8540782E-2</v>
      </c>
      <c r="I817">
        <v>3.8854990999999998E-2</v>
      </c>
    </row>
    <row r="818" spans="1:9" x14ac:dyDescent="0.25">
      <c r="A818" t="s">
        <v>186</v>
      </c>
      <c r="B818" s="1">
        <v>130</v>
      </c>
      <c r="C818">
        <v>3</v>
      </c>
      <c r="D818">
        <v>106880</v>
      </c>
      <c r="E818">
        <v>44430</v>
      </c>
      <c r="F818">
        <v>0.97853982299999998</v>
      </c>
      <c r="G818">
        <v>0.98672566399999995</v>
      </c>
      <c r="H818">
        <v>8.8179573999999997E-2</v>
      </c>
      <c r="I818">
        <v>7.5589618999999997E-2</v>
      </c>
    </row>
    <row r="819" spans="1:9" x14ac:dyDescent="0.25">
      <c r="A819" t="s">
        <v>191</v>
      </c>
      <c r="B819" s="1">
        <v>131</v>
      </c>
      <c r="C819">
        <v>54</v>
      </c>
      <c r="D819">
        <v>106851</v>
      </c>
      <c r="E819">
        <v>26255</v>
      </c>
      <c r="F819">
        <v>0.57646017699999996</v>
      </c>
      <c r="G819">
        <v>0.76106194699999996</v>
      </c>
      <c r="H819">
        <v>5.8570286999999999E-2</v>
      </c>
      <c r="I819">
        <v>3.8617391000000001E-2</v>
      </c>
    </row>
    <row r="820" spans="1:9" x14ac:dyDescent="0.25">
      <c r="A820" t="s">
        <v>194</v>
      </c>
      <c r="B820" s="1">
        <v>132</v>
      </c>
      <c r="C820">
        <v>55</v>
      </c>
      <c r="D820">
        <v>106279</v>
      </c>
      <c r="E820">
        <v>32906</v>
      </c>
      <c r="F820">
        <v>0.72360619500000001</v>
      </c>
      <c r="G820">
        <v>0.75663716800000003</v>
      </c>
      <c r="H820">
        <v>7.1679483000000002E-2</v>
      </c>
      <c r="I820">
        <v>6.1857226000000001E-2</v>
      </c>
    </row>
    <row r="821" spans="1:9" x14ac:dyDescent="0.25">
      <c r="A821" t="s">
        <v>188</v>
      </c>
      <c r="B821" s="1">
        <v>133</v>
      </c>
      <c r="C821">
        <v>61</v>
      </c>
      <c r="D821">
        <v>106168</v>
      </c>
      <c r="E821">
        <v>30218</v>
      </c>
      <c r="F821">
        <v>0.66411504399999999</v>
      </c>
      <c r="G821">
        <v>0.73008849600000003</v>
      </c>
      <c r="H821">
        <v>6.6872185000000001E-2</v>
      </c>
      <c r="I821">
        <v>5.6944244999999998E-2</v>
      </c>
    </row>
    <row r="822" spans="1:9" x14ac:dyDescent="0.25">
      <c r="A822" t="s">
        <v>197</v>
      </c>
      <c r="B822" s="1">
        <v>134</v>
      </c>
      <c r="C822">
        <v>0</v>
      </c>
      <c r="D822">
        <v>106071</v>
      </c>
      <c r="E822">
        <v>45400</v>
      </c>
      <c r="F822">
        <v>1</v>
      </c>
      <c r="G822">
        <v>1</v>
      </c>
      <c r="H822">
        <v>8.9789595E-2</v>
      </c>
      <c r="I822">
        <v>7.6815119000000001E-2</v>
      </c>
    </row>
    <row r="823" spans="1:9" x14ac:dyDescent="0.25">
      <c r="A823" t="s">
        <v>183</v>
      </c>
      <c r="B823" s="1">
        <v>135</v>
      </c>
      <c r="C823">
        <v>93</v>
      </c>
      <c r="D823">
        <v>106016</v>
      </c>
      <c r="E823">
        <v>20378</v>
      </c>
      <c r="F823">
        <v>0.44657079599999999</v>
      </c>
      <c r="G823">
        <v>0.58849557500000005</v>
      </c>
      <c r="H823">
        <v>4.2939961999999998E-2</v>
      </c>
      <c r="I823">
        <v>9.2039349999999999E-3</v>
      </c>
    </row>
    <row r="824" spans="1:9" x14ac:dyDescent="0.25">
      <c r="A824" t="s">
        <v>193</v>
      </c>
      <c r="B824" s="1">
        <v>136</v>
      </c>
      <c r="C824">
        <v>58</v>
      </c>
      <c r="D824">
        <v>105826</v>
      </c>
      <c r="E824">
        <v>25983</v>
      </c>
      <c r="F824">
        <v>0.57044247800000003</v>
      </c>
      <c r="G824">
        <v>0.74336283199999997</v>
      </c>
      <c r="H824">
        <v>5.8177354000000001E-2</v>
      </c>
      <c r="I824">
        <v>3.8942027999999997E-2</v>
      </c>
    </row>
    <row r="825" spans="1:9" x14ac:dyDescent="0.25">
      <c r="A825" t="s">
        <v>189</v>
      </c>
      <c r="B825" s="1">
        <v>137</v>
      </c>
      <c r="C825">
        <v>47</v>
      </c>
      <c r="D825">
        <v>105596</v>
      </c>
      <c r="E825">
        <v>34979</v>
      </c>
      <c r="F825">
        <v>0.76949115000000001</v>
      </c>
      <c r="G825">
        <v>0.792035398</v>
      </c>
      <c r="H825">
        <v>7.0923446000000001E-2</v>
      </c>
      <c r="I825">
        <v>5.0872672000000001E-2</v>
      </c>
    </row>
    <row r="826" spans="1:9" x14ac:dyDescent="0.25">
      <c r="A826" t="s">
        <v>196</v>
      </c>
      <c r="B826" s="1">
        <v>138</v>
      </c>
      <c r="C826">
        <v>85</v>
      </c>
      <c r="D826">
        <v>104769</v>
      </c>
      <c r="E826">
        <v>18275</v>
      </c>
      <c r="F826">
        <v>0.39993362799999999</v>
      </c>
      <c r="G826">
        <v>0.62389380500000002</v>
      </c>
      <c r="H826">
        <v>3.9627638999999999E-2</v>
      </c>
      <c r="I826">
        <v>7.6959800000000003E-4</v>
      </c>
    </row>
    <row r="827" spans="1:9" x14ac:dyDescent="0.25">
      <c r="A827" t="s">
        <v>195</v>
      </c>
      <c r="B827" s="1">
        <v>139</v>
      </c>
      <c r="C827">
        <v>60</v>
      </c>
      <c r="D827">
        <v>104336</v>
      </c>
      <c r="E827">
        <v>36538</v>
      </c>
      <c r="F827">
        <v>0.803960177</v>
      </c>
      <c r="G827">
        <v>0.73451327399999999</v>
      </c>
      <c r="H827">
        <v>7.6144137000000001E-2</v>
      </c>
      <c r="I827">
        <v>6.4367553999999993E-2</v>
      </c>
    </row>
    <row r="828" spans="1:9" x14ac:dyDescent="0.25">
      <c r="A828" t="s">
        <v>18</v>
      </c>
      <c r="B828" s="1">
        <v>140</v>
      </c>
      <c r="C828">
        <v>112</v>
      </c>
      <c r="D828">
        <v>101503</v>
      </c>
      <c r="E828">
        <v>13986</v>
      </c>
      <c r="F828">
        <v>0.30942477899999998</v>
      </c>
      <c r="G828">
        <v>0.50442477900000005</v>
      </c>
      <c r="H828">
        <v>2.9605123000000001E-2</v>
      </c>
      <c r="I828">
        <v>-1.8614372000000001E-2</v>
      </c>
    </row>
    <row r="829" spans="1:9" x14ac:dyDescent="0.25">
      <c r="A829" t="s">
        <v>199</v>
      </c>
      <c r="B829" s="1">
        <v>141</v>
      </c>
      <c r="C829">
        <v>102</v>
      </c>
      <c r="D829">
        <v>101356</v>
      </c>
      <c r="E829">
        <v>23224</v>
      </c>
      <c r="F829">
        <v>0.51159292000000001</v>
      </c>
      <c r="G829">
        <v>0.54867256600000003</v>
      </c>
      <c r="H829">
        <v>4.9663395999999999E-2</v>
      </c>
      <c r="I829">
        <v>1.4266813999999999E-2</v>
      </c>
    </row>
    <row r="830" spans="1:9" x14ac:dyDescent="0.25">
      <c r="A830" t="s">
        <v>203</v>
      </c>
      <c r="B830" s="1">
        <v>142</v>
      </c>
      <c r="C830">
        <v>76</v>
      </c>
      <c r="D830">
        <v>101251</v>
      </c>
      <c r="E830">
        <v>18547</v>
      </c>
      <c r="F830">
        <v>0.410287611</v>
      </c>
      <c r="G830">
        <v>0.66371681400000004</v>
      </c>
      <c r="H830">
        <v>4.0157651000000003E-2</v>
      </c>
      <c r="I830">
        <v>1.937034E-3</v>
      </c>
    </row>
    <row r="831" spans="1:9" x14ac:dyDescent="0.25">
      <c r="A831" t="s">
        <v>200</v>
      </c>
      <c r="B831" s="1">
        <v>143</v>
      </c>
      <c r="C831">
        <v>108</v>
      </c>
      <c r="D831">
        <v>101167</v>
      </c>
      <c r="E831">
        <v>23664</v>
      </c>
      <c r="F831">
        <v>0.51922566400000003</v>
      </c>
      <c r="G831">
        <v>0.52212389400000003</v>
      </c>
      <c r="H831">
        <v>4.9152126999999997E-2</v>
      </c>
      <c r="I831">
        <v>2.3339326000000001E-2</v>
      </c>
    </row>
    <row r="832" spans="1:9" x14ac:dyDescent="0.25">
      <c r="A832" t="s">
        <v>198</v>
      </c>
      <c r="B832" s="1">
        <v>144</v>
      </c>
      <c r="C832">
        <v>20</v>
      </c>
      <c r="D832">
        <v>101102</v>
      </c>
      <c r="E832">
        <v>43670</v>
      </c>
      <c r="F832">
        <v>0.96172566400000004</v>
      </c>
      <c r="G832">
        <v>0.91150442499999995</v>
      </c>
      <c r="H832">
        <v>8.7577079000000002E-2</v>
      </c>
      <c r="I832">
        <v>7.6576533000000002E-2</v>
      </c>
    </row>
    <row r="833" spans="1:9" x14ac:dyDescent="0.25">
      <c r="A833" t="s">
        <v>201</v>
      </c>
      <c r="B833" s="1">
        <v>145</v>
      </c>
      <c r="C833">
        <v>141</v>
      </c>
      <c r="D833">
        <v>99759</v>
      </c>
      <c r="E833">
        <v>21619</v>
      </c>
      <c r="F833">
        <v>0.47601769900000002</v>
      </c>
      <c r="G833">
        <v>0.37610619499999998</v>
      </c>
      <c r="H833">
        <v>4.8327624999999999E-2</v>
      </c>
      <c r="I833">
        <v>1.5635224999999999E-2</v>
      </c>
    </row>
    <row r="834" spans="1:9" x14ac:dyDescent="0.25">
      <c r="A834" t="s">
        <v>205</v>
      </c>
      <c r="B834" s="1">
        <v>146</v>
      </c>
      <c r="C834">
        <v>58</v>
      </c>
      <c r="D834">
        <v>99691</v>
      </c>
      <c r="E834">
        <v>39250</v>
      </c>
      <c r="F834">
        <v>0.86418141599999998</v>
      </c>
      <c r="G834">
        <v>0.74336283199999997</v>
      </c>
      <c r="H834">
        <v>8.0048337999999997E-2</v>
      </c>
      <c r="I834">
        <v>6.5011781000000005E-2</v>
      </c>
    </row>
    <row r="835" spans="1:9" x14ac:dyDescent="0.25">
      <c r="A835" t="s">
        <v>204</v>
      </c>
      <c r="B835" s="1">
        <v>147</v>
      </c>
      <c r="C835">
        <v>106</v>
      </c>
      <c r="D835">
        <v>99505</v>
      </c>
      <c r="E835">
        <v>24408</v>
      </c>
      <c r="F835">
        <v>0.54</v>
      </c>
      <c r="G835">
        <v>0.53097345100000004</v>
      </c>
      <c r="H835">
        <v>5.4942746000000001E-2</v>
      </c>
      <c r="I835">
        <v>3.1826683000000001E-2</v>
      </c>
    </row>
    <row r="836" spans="1:9" x14ac:dyDescent="0.25">
      <c r="A836" t="s">
        <v>206</v>
      </c>
      <c r="B836" s="1">
        <v>148</v>
      </c>
      <c r="C836">
        <v>65</v>
      </c>
      <c r="D836">
        <v>99397</v>
      </c>
      <c r="E836">
        <v>19834</v>
      </c>
      <c r="F836">
        <v>0.43440265500000003</v>
      </c>
      <c r="G836">
        <v>0.71238938100000004</v>
      </c>
      <c r="H836">
        <v>4.0589396999999999E-2</v>
      </c>
      <c r="I836">
        <v>-5.9521770000000003E-3</v>
      </c>
    </row>
    <row r="837" spans="1:9" x14ac:dyDescent="0.25">
      <c r="A837" t="s">
        <v>232</v>
      </c>
      <c r="B837" s="1">
        <v>149</v>
      </c>
      <c r="C837">
        <v>75</v>
      </c>
      <c r="D837">
        <v>98957</v>
      </c>
      <c r="E837">
        <v>29100</v>
      </c>
      <c r="F837">
        <v>0.64159292000000001</v>
      </c>
      <c r="G837">
        <v>0.66814159299999998</v>
      </c>
      <c r="H837">
        <v>5.7121753999999997E-2</v>
      </c>
      <c r="I837">
        <v>2.0646899999999999E-2</v>
      </c>
    </row>
    <row r="838" spans="1:9" x14ac:dyDescent="0.25">
      <c r="A838" t="s">
        <v>211</v>
      </c>
      <c r="B838" s="1">
        <v>150</v>
      </c>
      <c r="C838">
        <v>44</v>
      </c>
      <c r="D838">
        <v>98952</v>
      </c>
      <c r="E838">
        <v>41701</v>
      </c>
      <c r="F838">
        <v>0.918185841</v>
      </c>
      <c r="G838">
        <v>0.80530973500000003</v>
      </c>
      <c r="H838">
        <v>8.1254870000000007E-2</v>
      </c>
      <c r="I838">
        <v>6.2952355000000002E-2</v>
      </c>
    </row>
    <row r="839" spans="1:9" x14ac:dyDescent="0.25">
      <c r="A839" t="s">
        <v>215</v>
      </c>
      <c r="B839" s="1">
        <v>151</v>
      </c>
      <c r="C839">
        <v>92</v>
      </c>
      <c r="D839">
        <v>98819</v>
      </c>
      <c r="E839">
        <v>23618</v>
      </c>
      <c r="F839">
        <v>0.52033185800000004</v>
      </c>
      <c r="G839">
        <v>0.59292035399999998</v>
      </c>
      <c r="H839">
        <v>4.9778698000000003E-2</v>
      </c>
      <c r="I839">
        <v>1.3819926E-2</v>
      </c>
    </row>
    <row r="840" spans="1:9" x14ac:dyDescent="0.25">
      <c r="A840" t="s">
        <v>202</v>
      </c>
      <c r="B840" s="1">
        <v>152</v>
      </c>
      <c r="C840">
        <v>59</v>
      </c>
      <c r="D840">
        <v>98718</v>
      </c>
      <c r="E840">
        <v>39218</v>
      </c>
      <c r="F840">
        <v>0.86345132700000005</v>
      </c>
      <c r="G840">
        <v>0.73893805300000004</v>
      </c>
      <c r="H840">
        <v>8.0292773999999997E-2</v>
      </c>
      <c r="I840">
        <v>6.6657436E-2</v>
      </c>
    </row>
    <row r="841" spans="1:9" x14ac:dyDescent="0.25">
      <c r="A841" t="s">
        <v>209</v>
      </c>
      <c r="B841" s="1">
        <v>153</v>
      </c>
      <c r="C841">
        <v>59</v>
      </c>
      <c r="D841">
        <v>98392</v>
      </c>
      <c r="E841">
        <v>39125</v>
      </c>
      <c r="F841">
        <v>0.86134955800000002</v>
      </c>
      <c r="G841">
        <v>0.73893805300000004</v>
      </c>
      <c r="H841">
        <v>8.0058664000000002E-2</v>
      </c>
      <c r="I841">
        <v>6.6020872999999994E-2</v>
      </c>
    </row>
    <row r="842" spans="1:9" x14ac:dyDescent="0.25">
      <c r="A842" t="s">
        <v>19</v>
      </c>
      <c r="B842" s="1">
        <v>154</v>
      </c>
      <c r="C842">
        <v>170</v>
      </c>
      <c r="D842">
        <v>97904</v>
      </c>
      <c r="E842">
        <v>16439</v>
      </c>
      <c r="F842">
        <v>0.363163717</v>
      </c>
      <c r="G842">
        <v>0.24778761099999999</v>
      </c>
      <c r="H842">
        <v>3.7034292000000003E-2</v>
      </c>
      <c r="I842">
        <v>-4.6466249999999997E-3</v>
      </c>
    </row>
    <row r="843" spans="1:9" x14ac:dyDescent="0.25">
      <c r="A843" t="s">
        <v>212</v>
      </c>
      <c r="B843" s="1">
        <v>155</v>
      </c>
      <c r="C843">
        <v>106</v>
      </c>
      <c r="D843">
        <v>97731</v>
      </c>
      <c r="E843">
        <v>25787</v>
      </c>
      <c r="F843">
        <v>0.56754424800000003</v>
      </c>
      <c r="G843">
        <v>0.53097345100000004</v>
      </c>
      <c r="H843">
        <v>5.3636680999999999E-2</v>
      </c>
      <c r="I843">
        <v>2.0673435E-2</v>
      </c>
    </row>
    <row r="844" spans="1:9" x14ac:dyDescent="0.25">
      <c r="A844" t="s">
        <v>214</v>
      </c>
      <c r="B844" s="1">
        <v>156</v>
      </c>
      <c r="C844">
        <v>38</v>
      </c>
      <c r="D844">
        <v>97429</v>
      </c>
      <c r="E844">
        <v>41689</v>
      </c>
      <c r="F844">
        <v>0.92232300899999997</v>
      </c>
      <c r="G844">
        <v>0.83185840700000002</v>
      </c>
      <c r="H844">
        <v>8.4287562999999996E-2</v>
      </c>
      <c r="I844">
        <v>7.3230483999999998E-2</v>
      </c>
    </row>
    <row r="845" spans="1:9" x14ac:dyDescent="0.25">
      <c r="A845" t="s">
        <v>210</v>
      </c>
      <c r="B845" s="1">
        <v>157</v>
      </c>
      <c r="C845">
        <v>118</v>
      </c>
      <c r="D845">
        <v>97385</v>
      </c>
      <c r="E845">
        <v>22367</v>
      </c>
      <c r="F845">
        <v>0.49261061900000003</v>
      </c>
      <c r="G845">
        <v>0.47787610600000002</v>
      </c>
      <c r="H845">
        <v>4.8704139E-2</v>
      </c>
      <c r="I845">
        <v>1.4350376E-2</v>
      </c>
    </row>
    <row r="846" spans="1:9" x14ac:dyDescent="0.25">
      <c r="A846" t="s">
        <v>218</v>
      </c>
      <c r="B846" s="1">
        <v>158</v>
      </c>
      <c r="C846">
        <v>131</v>
      </c>
      <c r="D846">
        <v>97209</v>
      </c>
      <c r="E846">
        <v>10463</v>
      </c>
      <c r="F846">
        <v>0.227278761</v>
      </c>
      <c r="G846">
        <v>0.42035398200000001</v>
      </c>
      <c r="H846">
        <v>2.0231387E-2</v>
      </c>
      <c r="I846">
        <v>-4.4331309999999999E-2</v>
      </c>
    </row>
    <row r="847" spans="1:9" x14ac:dyDescent="0.25">
      <c r="A847" t="s">
        <v>213</v>
      </c>
      <c r="B847" s="1">
        <v>159</v>
      </c>
      <c r="C847">
        <v>123</v>
      </c>
      <c r="D847">
        <v>97162</v>
      </c>
      <c r="E847">
        <v>14082</v>
      </c>
      <c r="F847">
        <v>0.31019911500000003</v>
      </c>
      <c r="G847">
        <v>0.45575221199999999</v>
      </c>
      <c r="H847">
        <v>2.8600028E-2</v>
      </c>
      <c r="I847">
        <v>-2.5487888E-2</v>
      </c>
    </row>
    <row r="848" spans="1:9" x14ac:dyDescent="0.25">
      <c r="A848" t="s">
        <v>220</v>
      </c>
      <c r="B848" s="1">
        <v>160</v>
      </c>
      <c r="C848">
        <v>70</v>
      </c>
      <c r="D848">
        <v>96748</v>
      </c>
      <c r="E848">
        <v>40708</v>
      </c>
      <c r="F848">
        <v>0.89668141599999995</v>
      </c>
      <c r="G848">
        <v>0.69026548700000001</v>
      </c>
      <c r="H848">
        <v>8.0547863999999997E-2</v>
      </c>
      <c r="I848">
        <v>6.1138148000000003E-2</v>
      </c>
    </row>
    <row r="849" spans="1:9" x14ac:dyDescent="0.25">
      <c r="A849" t="s">
        <v>207</v>
      </c>
      <c r="B849" s="1">
        <v>161</v>
      </c>
      <c r="C849">
        <v>58</v>
      </c>
      <c r="D849">
        <v>96706</v>
      </c>
      <c r="E849">
        <v>38382</v>
      </c>
      <c r="F849">
        <v>0.84488938099999999</v>
      </c>
      <c r="G849">
        <v>0.74336283199999997</v>
      </c>
      <c r="H849">
        <v>7.8674795000000006E-2</v>
      </c>
      <c r="I849">
        <v>6.3957792999999999E-2</v>
      </c>
    </row>
    <row r="850" spans="1:9" x14ac:dyDescent="0.25">
      <c r="A850" t="s">
        <v>217</v>
      </c>
      <c r="B850" s="1">
        <v>162</v>
      </c>
      <c r="C850">
        <v>110</v>
      </c>
      <c r="D850">
        <v>96358</v>
      </c>
      <c r="E850">
        <v>23094</v>
      </c>
      <c r="F850">
        <v>0.51092920399999997</v>
      </c>
      <c r="G850">
        <v>0.51327433600000005</v>
      </c>
      <c r="H850">
        <v>5.3159530000000003E-2</v>
      </c>
      <c r="I850">
        <v>3.0483501E-2</v>
      </c>
    </row>
    <row r="851" spans="1:9" x14ac:dyDescent="0.25">
      <c r="A851" t="s">
        <v>216</v>
      </c>
      <c r="B851" s="1">
        <v>163</v>
      </c>
      <c r="C851">
        <v>109</v>
      </c>
      <c r="D851">
        <v>96317</v>
      </c>
      <c r="E851">
        <v>22313</v>
      </c>
      <c r="F851">
        <v>0.49365044200000002</v>
      </c>
      <c r="G851">
        <v>0.51769911499999999</v>
      </c>
      <c r="H851">
        <v>5.1354551999999998E-2</v>
      </c>
      <c r="I851">
        <v>2.7636285999999999E-2</v>
      </c>
    </row>
    <row r="852" spans="1:9" x14ac:dyDescent="0.25">
      <c r="A852" t="s">
        <v>208</v>
      </c>
      <c r="B852" s="1">
        <v>164</v>
      </c>
      <c r="C852">
        <v>129</v>
      </c>
      <c r="D852">
        <v>96216</v>
      </c>
      <c r="E852">
        <v>11582</v>
      </c>
      <c r="F852">
        <v>0.25621681400000001</v>
      </c>
      <c r="G852">
        <v>0.42920353999999999</v>
      </c>
      <c r="H852">
        <v>2.5241449999999999E-2</v>
      </c>
      <c r="I852">
        <v>-2.7976569E-2</v>
      </c>
    </row>
    <row r="853" spans="1:9" x14ac:dyDescent="0.25">
      <c r="A853" t="s">
        <v>223</v>
      </c>
      <c r="B853" s="1">
        <v>165</v>
      </c>
      <c r="C853">
        <v>148</v>
      </c>
      <c r="D853">
        <v>95664</v>
      </c>
      <c r="E853">
        <v>14677</v>
      </c>
      <c r="F853">
        <v>0.32464601799999998</v>
      </c>
      <c r="G853">
        <v>0.34513274300000002</v>
      </c>
      <c r="H853">
        <v>3.1284808999999997E-2</v>
      </c>
      <c r="I853">
        <v>-2.0502896E-2</v>
      </c>
    </row>
    <row r="854" spans="1:9" x14ac:dyDescent="0.25">
      <c r="A854" t="s">
        <v>22</v>
      </c>
      <c r="B854" s="1">
        <v>166</v>
      </c>
      <c r="C854">
        <v>147</v>
      </c>
      <c r="D854">
        <v>95473</v>
      </c>
      <c r="E854">
        <v>20065</v>
      </c>
      <c r="F854">
        <v>0.44296460199999999</v>
      </c>
      <c r="G854">
        <v>0.34955752200000001</v>
      </c>
      <c r="H854">
        <v>4.4985417999999999E-2</v>
      </c>
      <c r="I854">
        <v>9.8181050000000006E-3</v>
      </c>
    </row>
    <row r="855" spans="1:9" x14ac:dyDescent="0.25">
      <c r="A855" t="s">
        <v>226</v>
      </c>
      <c r="B855" s="1">
        <v>167</v>
      </c>
      <c r="C855">
        <v>146</v>
      </c>
      <c r="D855">
        <v>95259</v>
      </c>
      <c r="E855">
        <v>21828</v>
      </c>
      <c r="F855">
        <v>0.48265486699999999</v>
      </c>
      <c r="G855">
        <v>0.353982301</v>
      </c>
      <c r="H855">
        <v>4.3854134000000003E-2</v>
      </c>
      <c r="I855">
        <v>1.487363E-3</v>
      </c>
    </row>
    <row r="856" spans="1:9" x14ac:dyDescent="0.25">
      <c r="A856" t="s">
        <v>222</v>
      </c>
      <c r="B856" s="1">
        <v>168</v>
      </c>
      <c r="C856">
        <v>55</v>
      </c>
      <c r="D856">
        <v>95112</v>
      </c>
      <c r="E856">
        <v>34920</v>
      </c>
      <c r="F856">
        <v>0.76816371699999997</v>
      </c>
      <c r="G856">
        <v>0.75663716800000003</v>
      </c>
      <c r="H856">
        <v>7.2246405999999999E-2</v>
      </c>
      <c r="I856">
        <v>5.3339902000000002E-2</v>
      </c>
    </row>
    <row r="857" spans="1:9" x14ac:dyDescent="0.25">
      <c r="A857" t="s">
        <v>229</v>
      </c>
      <c r="B857" s="1">
        <v>169</v>
      </c>
      <c r="C857">
        <v>102</v>
      </c>
      <c r="D857">
        <v>94363</v>
      </c>
      <c r="E857">
        <v>14599</v>
      </c>
      <c r="F857">
        <v>0.31860619499999998</v>
      </c>
      <c r="G857">
        <v>0.54867256600000003</v>
      </c>
      <c r="H857">
        <v>2.8651474E-2</v>
      </c>
      <c r="I857">
        <v>-2.6126891999999999E-2</v>
      </c>
    </row>
    <row r="858" spans="1:9" x14ac:dyDescent="0.25">
      <c r="A858" t="s">
        <v>219</v>
      </c>
      <c r="B858" s="1">
        <v>170</v>
      </c>
      <c r="C858">
        <v>91</v>
      </c>
      <c r="D858">
        <v>94320</v>
      </c>
      <c r="E858">
        <v>22651</v>
      </c>
      <c r="F858">
        <v>0.49889380500000002</v>
      </c>
      <c r="G858">
        <v>0.59734513300000003</v>
      </c>
      <c r="H858">
        <v>4.4923761999999999E-2</v>
      </c>
      <c r="I858">
        <v>4.93912E-4</v>
      </c>
    </row>
    <row r="859" spans="1:9" x14ac:dyDescent="0.25">
      <c r="A859" t="s">
        <v>224</v>
      </c>
      <c r="B859" s="1">
        <v>171</v>
      </c>
      <c r="C859">
        <v>102</v>
      </c>
      <c r="D859">
        <v>93582</v>
      </c>
      <c r="E859">
        <v>10623</v>
      </c>
      <c r="F859">
        <v>0.23066371699999999</v>
      </c>
      <c r="G859">
        <v>0.54867256600000003</v>
      </c>
      <c r="H859">
        <v>2.1511447999999999E-2</v>
      </c>
      <c r="I859">
        <v>-3.6162406000000001E-2</v>
      </c>
    </row>
    <row r="860" spans="1:9" x14ac:dyDescent="0.25">
      <c r="A860" t="s">
        <v>20</v>
      </c>
      <c r="B860" s="1">
        <v>172</v>
      </c>
      <c r="C860">
        <v>173</v>
      </c>
      <c r="D860">
        <v>93507</v>
      </c>
      <c r="E860">
        <v>18517</v>
      </c>
      <c r="F860">
        <v>0.409402655</v>
      </c>
      <c r="G860">
        <v>0.23451327399999999</v>
      </c>
      <c r="H860">
        <v>4.2240853000000002E-2</v>
      </c>
      <c r="I860">
        <v>5.3929399999999997E-3</v>
      </c>
    </row>
    <row r="861" spans="1:9" x14ac:dyDescent="0.25">
      <c r="A861" t="s">
        <v>227</v>
      </c>
      <c r="B861" s="1">
        <v>173</v>
      </c>
      <c r="C861">
        <v>177</v>
      </c>
      <c r="D861">
        <v>93134</v>
      </c>
      <c r="E861">
        <v>18385</v>
      </c>
      <c r="F861">
        <v>0.40659292000000002</v>
      </c>
      <c r="G861">
        <v>0.21681415900000001</v>
      </c>
      <c r="H861">
        <v>4.1670301999999999E-2</v>
      </c>
      <c r="I861">
        <v>3.086475E-3</v>
      </c>
    </row>
    <row r="862" spans="1:9" x14ac:dyDescent="0.25">
      <c r="A862" t="s">
        <v>221</v>
      </c>
      <c r="B862" s="1">
        <v>174</v>
      </c>
      <c r="C862">
        <v>130</v>
      </c>
      <c r="D862">
        <v>93126</v>
      </c>
      <c r="E862">
        <v>20465</v>
      </c>
      <c r="F862">
        <v>0.45276548700000002</v>
      </c>
      <c r="G862">
        <v>0.424778761</v>
      </c>
      <c r="H862">
        <v>4.7702686000000001E-2</v>
      </c>
      <c r="I862">
        <v>2.0600797000000001E-2</v>
      </c>
    </row>
    <row r="863" spans="1:9" x14ac:dyDescent="0.25">
      <c r="A863" t="s">
        <v>230</v>
      </c>
      <c r="B863" s="1">
        <v>175</v>
      </c>
      <c r="C863">
        <v>132</v>
      </c>
      <c r="D863">
        <v>92486</v>
      </c>
      <c r="E863">
        <v>20053</v>
      </c>
      <c r="F863">
        <v>0.44365044199999998</v>
      </c>
      <c r="G863">
        <v>0.415929204</v>
      </c>
      <c r="H863">
        <v>4.6577384999999999E-2</v>
      </c>
      <c r="I863">
        <v>1.8216752999999999E-2</v>
      </c>
    </row>
    <row r="864" spans="1:9" x14ac:dyDescent="0.25">
      <c r="A864" t="s">
        <v>225</v>
      </c>
      <c r="B864" s="1">
        <v>176</v>
      </c>
      <c r="C864">
        <v>114</v>
      </c>
      <c r="D864">
        <v>92384</v>
      </c>
      <c r="E864">
        <v>8062</v>
      </c>
      <c r="F864">
        <v>0.17694690299999999</v>
      </c>
      <c r="G864">
        <v>0.49557522100000001</v>
      </c>
      <c r="H864">
        <v>1.6323134E-2</v>
      </c>
      <c r="I864">
        <v>-4.6364411000000001E-2</v>
      </c>
    </row>
    <row r="865" spans="1:9" x14ac:dyDescent="0.25">
      <c r="A865" t="s">
        <v>228</v>
      </c>
      <c r="B865" s="1">
        <v>177</v>
      </c>
      <c r="C865">
        <v>169</v>
      </c>
      <c r="D865">
        <v>92056</v>
      </c>
      <c r="E865">
        <v>18133</v>
      </c>
      <c r="F865">
        <v>0.40073008799999998</v>
      </c>
      <c r="G865">
        <v>0.25221238899999998</v>
      </c>
      <c r="H865">
        <v>4.1268365000000001E-2</v>
      </c>
      <c r="I865">
        <v>3.1307869999999999E-3</v>
      </c>
    </row>
    <row r="866" spans="1:9" x14ac:dyDescent="0.25">
      <c r="A866" t="s">
        <v>238</v>
      </c>
      <c r="B866" s="1">
        <v>178</v>
      </c>
      <c r="C866">
        <v>181</v>
      </c>
      <c r="D866">
        <v>91382</v>
      </c>
      <c r="E866">
        <v>15786</v>
      </c>
      <c r="F866">
        <v>0.34484513300000003</v>
      </c>
      <c r="G866">
        <v>0.19911504399999999</v>
      </c>
      <c r="H866">
        <v>3.6924687999999997E-2</v>
      </c>
      <c r="I866">
        <v>-2.589493E-3</v>
      </c>
    </row>
    <row r="867" spans="1:9" x14ac:dyDescent="0.25">
      <c r="A867" t="s">
        <v>240</v>
      </c>
      <c r="B867" s="1">
        <v>179</v>
      </c>
      <c r="C867">
        <v>163</v>
      </c>
      <c r="D867">
        <v>91034</v>
      </c>
      <c r="E867">
        <v>17861</v>
      </c>
      <c r="F867">
        <v>0.39515486700000002</v>
      </c>
      <c r="G867">
        <v>0.278761062</v>
      </c>
      <c r="H867">
        <v>4.0828845000000002E-2</v>
      </c>
      <c r="I867">
        <v>4.106887E-3</v>
      </c>
    </row>
    <row r="868" spans="1:9" x14ac:dyDescent="0.25">
      <c r="A868" t="s">
        <v>233</v>
      </c>
      <c r="B868" s="1">
        <v>180</v>
      </c>
      <c r="C868">
        <v>138</v>
      </c>
      <c r="D868">
        <v>90957</v>
      </c>
      <c r="E868">
        <v>18883</v>
      </c>
      <c r="F868">
        <v>0.41776548699999999</v>
      </c>
      <c r="G868">
        <v>0.38938053099999997</v>
      </c>
      <c r="H868">
        <v>4.4196794999999997E-2</v>
      </c>
      <c r="I868">
        <v>1.3718889999999999E-2</v>
      </c>
    </row>
    <row r="869" spans="1:9" x14ac:dyDescent="0.25">
      <c r="A869" t="s">
        <v>239</v>
      </c>
      <c r="B869" s="1">
        <v>181</v>
      </c>
      <c r="C869">
        <v>180</v>
      </c>
      <c r="D869">
        <v>90926</v>
      </c>
      <c r="E869">
        <v>9270</v>
      </c>
      <c r="F869">
        <v>0.20070796499999999</v>
      </c>
      <c r="G869">
        <v>0.20353982300000001</v>
      </c>
      <c r="H869">
        <v>2.0293967999999999E-2</v>
      </c>
      <c r="I869">
        <v>-4.1118542000000001E-2</v>
      </c>
    </row>
    <row r="870" spans="1:9" x14ac:dyDescent="0.25">
      <c r="A870" t="s">
        <v>235</v>
      </c>
      <c r="B870" s="1">
        <v>182</v>
      </c>
      <c r="C870">
        <v>79</v>
      </c>
      <c r="D870">
        <v>90918</v>
      </c>
      <c r="E870">
        <v>34050</v>
      </c>
      <c r="F870">
        <v>0.75</v>
      </c>
      <c r="G870">
        <v>0.65044247799999999</v>
      </c>
      <c r="H870">
        <v>6.7342195999999993E-2</v>
      </c>
      <c r="I870">
        <v>3.840756E-2</v>
      </c>
    </row>
    <row r="871" spans="1:9" x14ac:dyDescent="0.25">
      <c r="A871" t="s">
        <v>231</v>
      </c>
      <c r="B871" s="1">
        <v>183</v>
      </c>
      <c r="C871">
        <v>42</v>
      </c>
      <c r="D871">
        <v>90890</v>
      </c>
      <c r="E871">
        <v>43247</v>
      </c>
      <c r="F871">
        <v>0.95238938100000003</v>
      </c>
      <c r="G871">
        <v>0.81415929200000003</v>
      </c>
      <c r="H871">
        <v>8.4294132999999993E-2</v>
      </c>
      <c r="I871">
        <v>6.6263359999999993E-2</v>
      </c>
    </row>
    <row r="872" spans="1:9" x14ac:dyDescent="0.25">
      <c r="A872" t="s">
        <v>237</v>
      </c>
      <c r="B872" s="1">
        <v>184</v>
      </c>
      <c r="C872">
        <v>73</v>
      </c>
      <c r="D872">
        <v>90786</v>
      </c>
      <c r="E872">
        <v>30418</v>
      </c>
      <c r="F872">
        <v>0.67</v>
      </c>
      <c r="G872">
        <v>0.67699114999999999</v>
      </c>
      <c r="H872">
        <v>6.0159029000000003E-2</v>
      </c>
      <c r="I872">
        <v>2.6117141E-2</v>
      </c>
    </row>
    <row r="873" spans="1:9" x14ac:dyDescent="0.25">
      <c r="A873" t="s">
        <v>236</v>
      </c>
      <c r="B873" s="1">
        <v>185</v>
      </c>
      <c r="C873">
        <v>81</v>
      </c>
      <c r="D873">
        <v>90669</v>
      </c>
      <c r="E873">
        <v>25142</v>
      </c>
      <c r="F873">
        <v>0.55241150400000005</v>
      </c>
      <c r="G873">
        <v>0.64159292000000001</v>
      </c>
      <c r="H873">
        <v>5.0758957E-2</v>
      </c>
      <c r="I873">
        <v>1.3612987E-2</v>
      </c>
    </row>
    <row r="874" spans="1:9" x14ac:dyDescent="0.25">
      <c r="A874" t="s">
        <v>243</v>
      </c>
      <c r="B874" s="1">
        <v>186</v>
      </c>
      <c r="C874">
        <v>43</v>
      </c>
      <c r="D874">
        <v>90628</v>
      </c>
      <c r="E874">
        <v>41912</v>
      </c>
      <c r="F874">
        <v>0.92725663700000005</v>
      </c>
      <c r="G874">
        <v>0.80973451299999999</v>
      </c>
      <c r="H874">
        <v>8.4838905000000006E-2</v>
      </c>
      <c r="I874">
        <v>7.4192257999999997E-2</v>
      </c>
    </row>
    <row r="875" spans="1:9" x14ac:dyDescent="0.25">
      <c r="A875" t="s">
        <v>234</v>
      </c>
      <c r="B875" s="1">
        <v>187</v>
      </c>
      <c r="C875">
        <v>103</v>
      </c>
      <c r="D875">
        <v>90214</v>
      </c>
      <c r="E875">
        <v>18507</v>
      </c>
      <c r="F875">
        <v>0.40783185799999999</v>
      </c>
      <c r="G875">
        <v>0.54424778799999995</v>
      </c>
      <c r="H875">
        <v>3.8276699999999997E-2</v>
      </c>
      <c r="I875">
        <v>-1.00403E-2</v>
      </c>
    </row>
    <row r="876" spans="1:9" x14ac:dyDescent="0.25">
      <c r="A876" t="s">
        <v>244</v>
      </c>
      <c r="B876" s="1">
        <v>188</v>
      </c>
      <c r="C876">
        <v>85</v>
      </c>
      <c r="D876">
        <v>90116</v>
      </c>
      <c r="E876">
        <v>21520</v>
      </c>
      <c r="F876">
        <v>0.47376106200000001</v>
      </c>
      <c r="G876">
        <v>0.62389380500000002</v>
      </c>
      <c r="H876">
        <v>4.4208819000000003E-2</v>
      </c>
      <c r="I876">
        <v>2.66495E-4</v>
      </c>
    </row>
    <row r="877" spans="1:9" x14ac:dyDescent="0.25">
      <c r="A877" t="s">
        <v>241</v>
      </c>
      <c r="B877" s="1">
        <v>189</v>
      </c>
      <c r="C877">
        <v>63</v>
      </c>
      <c r="D877">
        <v>89555</v>
      </c>
      <c r="E877">
        <v>37909</v>
      </c>
      <c r="F877">
        <v>0.83499999999999996</v>
      </c>
      <c r="G877">
        <v>0.72123893800000005</v>
      </c>
      <c r="H877">
        <v>7.4974312000000001E-2</v>
      </c>
      <c r="I877">
        <v>5.1466129999999999E-2</v>
      </c>
    </row>
    <row r="878" spans="1:9" x14ac:dyDescent="0.25">
      <c r="A878" t="s">
        <v>246</v>
      </c>
      <c r="B878" s="1">
        <v>190</v>
      </c>
      <c r="C878">
        <v>62</v>
      </c>
      <c r="D878">
        <v>88790</v>
      </c>
      <c r="E878">
        <v>30418</v>
      </c>
      <c r="F878">
        <v>0.67</v>
      </c>
      <c r="G878">
        <v>0.72566371699999999</v>
      </c>
      <c r="H878">
        <v>6.0159029000000003E-2</v>
      </c>
      <c r="I878">
        <v>2.6117141E-2</v>
      </c>
    </row>
    <row r="879" spans="1:9" x14ac:dyDescent="0.25">
      <c r="A879" t="s">
        <v>245</v>
      </c>
      <c r="B879" s="1">
        <v>191</v>
      </c>
      <c r="C879">
        <v>183</v>
      </c>
      <c r="D879">
        <v>88296</v>
      </c>
      <c r="E879">
        <v>761</v>
      </c>
      <c r="F879">
        <v>1.6747788E-2</v>
      </c>
      <c r="G879">
        <v>0.19026548700000001</v>
      </c>
      <c r="H879">
        <v>1.5146300000000001E-3</v>
      </c>
      <c r="I879">
        <v>-7.4177832999999999E-2</v>
      </c>
    </row>
    <row r="880" spans="1:9" x14ac:dyDescent="0.25">
      <c r="A880" t="s">
        <v>248</v>
      </c>
      <c r="B880" s="1">
        <v>192</v>
      </c>
      <c r="C880">
        <v>70</v>
      </c>
      <c r="D880">
        <v>87971</v>
      </c>
      <c r="E880">
        <v>36646</v>
      </c>
      <c r="F880">
        <v>0.80741150399999995</v>
      </c>
      <c r="G880">
        <v>0.69026548700000001</v>
      </c>
      <c r="H880">
        <v>6.9617584999999996E-2</v>
      </c>
      <c r="I880">
        <v>3.8168140000000003E-2</v>
      </c>
    </row>
    <row r="881" spans="1:9" x14ac:dyDescent="0.25">
      <c r="A881" t="s">
        <v>247</v>
      </c>
      <c r="B881" s="1">
        <v>193</v>
      </c>
      <c r="C881">
        <v>84</v>
      </c>
      <c r="D881">
        <v>87870</v>
      </c>
      <c r="E881">
        <v>22700</v>
      </c>
      <c r="F881">
        <v>0.5</v>
      </c>
      <c r="G881">
        <v>0.62831858399999996</v>
      </c>
      <c r="H881">
        <v>4.4894798E-2</v>
      </c>
      <c r="I881">
        <v>0</v>
      </c>
    </row>
    <row r="882" spans="1:9" x14ac:dyDescent="0.25">
      <c r="A882" t="s">
        <v>242</v>
      </c>
      <c r="B882" s="1">
        <v>194</v>
      </c>
      <c r="C882">
        <v>120</v>
      </c>
      <c r="D882">
        <v>87108</v>
      </c>
      <c r="E882">
        <v>6165</v>
      </c>
      <c r="F882">
        <v>0.13207964599999999</v>
      </c>
      <c r="G882">
        <v>0.46902654900000001</v>
      </c>
      <c r="H882">
        <v>1.2116716E-2</v>
      </c>
      <c r="I882">
        <v>-5.7244913000000001E-2</v>
      </c>
    </row>
    <row r="883" spans="1:9" x14ac:dyDescent="0.25">
      <c r="A883" t="s">
        <v>253</v>
      </c>
      <c r="B883" s="1">
        <v>195</v>
      </c>
      <c r="C883">
        <v>62</v>
      </c>
      <c r="D883">
        <v>86807</v>
      </c>
      <c r="E883">
        <v>40860</v>
      </c>
      <c r="F883">
        <v>0.9</v>
      </c>
      <c r="G883">
        <v>0.72566371699999999</v>
      </c>
      <c r="H883">
        <v>8.0810636000000005E-2</v>
      </c>
      <c r="I883">
        <v>6.1452095999999998E-2</v>
      </c>
    </row>
    <row r="884" spans="1:9" x14ac:dyDescent="0.25">
      <c r="A884" t="s">
        <v>254</v>
      </c>
      <c r="B884" s="1">
        <v>196</v>
      </c>
      <c r="C884">
        <v>210</v>
      </c>
      <c r="D884">
        <v>86802</v>
      </c>
      <c r="E884">
        <v>845</v>
      </c>
      <c r="F884">
        <v>1.4292035E-2</v>
      </c>
      <c r="G884">
        <v>7.0796460000000005E-2</v>
      </c>
      <c r="H884">
        <v>7.7885400000000005E-4</v>
      </c>
      <c r="I884">
        <v>-7.8335145999999994E-2</v>
      </c>
    </row>
    <row r="885" spans="1:9" x14ac:dyDescent="0.25">
      <c r="A885" t="s">
        <v>252</v>
      </c>
      <c r="B885" s="1">
        <v>197</v>
      </c>
      <c r="C885">
        <v>87</v>
      </c>
      <c r="D885">
        <v>86745</v>
      </c>
      <c r="E885">
        <v>22700</v>
      </c>
      <c r="F885">
        <v>0.5</v>
      </c>
      <c r="G885">
        <v>0.61504424800000002</v>
      </c>
      <c r="H885">
        <v>4.4894798E-2</v>
      </c>
      <c r="I885">
        <v>0</v>
      </c>
    </row>
    <row r="886" spans="1:9" x14ac:dyDescent="0.25">
      <c r="A886" t="s">
        <v>256</v>
      </c>
      <c r="B886" s="1">
        <v>198</v>
      </c>
      <c r="C886">
        <v>186</v>
      </c>
      <c r="D886">
        <v>86655</v>
      </c>
      <c r="E886">
        <v>12021</v>
      </c>
      <c r="F886">
        <v>0.26588495600000001</v>
      </c>
      <c r="G886">
        <v>0.17699115000000001</v>
      </c>
      <c r="H886">
        <v>2.7308974E-2</v>
      </c>
      <c r="I886">
        <v>-2.6055584999999999E-2</v>
      </c>
    </row>
    <row r="887" spans="1:9" x14ac:dyDescent="0.25">
      <c r="A887" t="s">
        <v>249</v>
      </c>
      <c r="B887" s="1">
        <v>199</v>
      </c>
      <c r="C887">
        <v>190</v>
      </c>
      <c r="D887">
        <v>86643</v>
      </c>
      <c r="E887">
        <v>11824</v>
      </c>
      <c r="F887">
        <v>0.26106194700000002</v>
      </c>
      <c r="G887">
        <v>0.159292035</v>
      </c>
      <c r="H887">
        <v>2.651676E-2</v>
      </c>
      <c r="I887">
        <v>-2.8722975000000001E-2</v>
      </c>
    </row>
    <row r="888" spans="1:9" x14ac:dyDescent="0.25">
      <c r="A888" t="s">
        <v>261</v>
      </c>
      <c r="B888" s="1">
        <v>200</v>
      </c>
      <c r="C888">
        <v>79</v>
      </c>
      <c r="D888">
        <v>86421</v>
      </c>
      <c r="E888">
        <v>35868</v>
      </c>
      <c r="F888">
        <v>0.79030973500000001</v>
      </c>
      <c r="G888">
        <v>0.65044247799999999</v>
      </c>
      <c r="H888">
        <v>6.7928207000000004E-2</v>
      </c>
      <c r="I888">
        <v>3.5410075999999999E-2</v>
      </c>
    </row>
    <row r="889" spans="1:9" x14ac:dyDescent="0.25">
      <c r="A889" t="s">
        <v>251</v>
      </c>
      <c r="B889" s="1">
        <v>201</v>
      </c>
      <c r="C889">
        <v>121</v>
      </c>
      <c r="D889">
        <v>86373</v>
      </c>
      <c r="E889">
        <v>4493</v>
      </c>
      <c r="F889">
        <v>9.9004424999999993E-2</v>
      </c>
      <c r="G889">
        <v>0.46460177000000003</v>
      </c>
      <c r="H889">
        <v>8.8830660000000002E-3</v>
      </c>
      <c r="I889">
        <v>-6.1598903000000003E-2</v>
      </c>
    </row>
    <row r="890" spans="1:9" x14ac:dyDescent="0.25">
      <c r="A890" t="s">
        <v>255</v>
      </c>
      <c r="B890" s="1">
        <v>202</v>
      </c>
      <c r="C890">
        <v>72</v>
      </c>
      <c r="D890">
        <v>85776</v>
      </c>
      <c r="E890">
        <v>22700</v>
      </c>
      <c r="F890">
        <v>0.5</v>
      </c>
      <c r="G890">
        <v>0.68141592900000003</v>
      </c>
      <c r="H890">
        <v>4.4894798E-2</v>
      </c>
      <c r="I890">
        <v>0</v>
      </c>
    </row>
    <row r="891" spans="1:9" x14ac:dyDescent="0.25">
      <c r="A891" t="s">
        <v>270</v>
      </c>
      <c r="B891" s="1">
        <v>203</v>
      </c>
      <c r="C891">
        <v>90</v>
      </c>
      <c r="D891">
        <v>85568</v>
      </c>
      <c r="E891">
        <v>16526</v>
      </c>
      <c r="F891">
        <v>0.36340707999999999</v>
      </c>
      <c r="G891">
        <v>0.60176991199999996</v>
      </c>
      <c r="H891">
        <v>3.1567984E-2</v>
      </c>
      <c r="I891">
        <v>-2.1934641000000001E-2</v>
      </c>
    </row>
    <row r="892" spans="1:9" x14ac:dyDescent="0.25">
      <c r="A892" t="s">
        <v>262</v>
      </c>
      <c r="B892" s="1">
        <v>204</v>
      </c>
      <c r="C892">
        <v>109</v>
      </c>
      <c r="D892">
        <v>85379</v>
      </c>
      <c r="E892">
        <v>13757</v>
      </c>
      <c r="F892">
        <v>0.30345132699999999</v>
      </c>
      <c r="G892">
        <v>0.51769911499999999</v>
      </c>
      <c r="H892">
        <v>2.827228E-2</v>
      </c>
      <c r="I892">
        <v>-2.7515805000000001E-2</v>
      </c>
    </row>
    <row r="893" spans="1:9" x14ac:dyDescent="0.25">
      <c r="A893" t="s">
        <v>21</v>
      </c>
      <c r="B893" s="1">
        <v>205</v>
      </c>
      <c r="C893">
        <v>81</v>
      </c>
      <c r="D893">
        <v>85223</v>
      </c>
      <c r="E893">
        <v>22762</v>
      </c>
      <c r="F893">
        <v>0.50106194699999995</v>
      </c>
      <c r="G893">
        <v>0.64159292000000001</v>
      </c>
      <c r="H893">
        <v>4.5012112999999999E-2</v>
      </c>
      <c r="I893">
        <v>1.51182E-4</v>
      </c>
    </row>
    <row r="894" spans="1:9" x14ac:dyDescent="0.25">
      <c r="A894" t="s">
        <v>259</v>
      </c>
      <c r="B894" s="1">
        <v>206</v>
      </c>
      <c r="C894">
        <v>180</v>
      </c>
      <c r="D894">
        <v>85213</v>
      </c>
      <c r="E894">
        <v>4357</v>
      </c>
      <c r="F894">
        <v>9.1991149999999994E-2</v>
      </c>
      <c r="G894">
        <v>0.20353982300000001</v>
      </c>
      <c r="H894">
        <v>8.9343589999999994E-3</v>
      </c>
      <c r="I894">
        <v>-6.3369815999999995E-2</v>
      </c>
    </row>
    <row r="895" spans="1:9" x14ac:dyDescent="0.25">
      <c r="A895" t="s">
        <v>250</v>
      </c>
      <c r="B895" s="1">
        <v>207</v>
      </c>
      <c r="C895">
        <v>72</v>
      </c>
      <c r="D895">
        <v>85211</v>
      </c>
      <c r="E895">
        <v>37988</v>
      </c>
      <c r="F895">
        <v>0.83641592899999995</v>
      </c>
      <c r="G895">
        <v>0.68141592900000003</v>
      </c>
      <c r="H895">
        <v>7.1781569000000003E-2</v>
      </c>
      <c r="I895">
        <v>3.9992575000000002E-2</v>
      </c>
    </row>
    <row r="896" spans="1:9" x14ac:dyDescent="0.25">
      <c r="A896" t="s">
        <v>269</v>
      </c>
      <c r="B896" s="1">
        <v>208</v>
      </c>
      <c r="C896">
        <v>170</v>
      </c>
      <c r="D896">
        <v>85011</v>
      </c>
      <c r="E896">
        <v>3888</v>
      </c>
      <c r="F896">
        <v>8.1659291999999994E-2</v>
      </c>
      <c r="G896">
        <v>0.24778761099999999</v>
      </c>
      <c r="H896">
        <v>7.3616350000000001E-3</v>
      </c>
      <c r="I896">
        <v>-6.6500171999999996E-2</v>
      </c>
    </row>
    <row r="897" spans="1:9" x14ac:dyDescent="0.25">
      <c r="A897" t="s">
        <v>266</v>
      </c>
      <c r="B897" s="1">
        <v>209</v>
      </c>
      <c r="C897">
        <v>67</v>
      </c>
      <c r="D897">
        <v>84815</v>
      </c>
      <c r="E897">
        <v>22700</v>
      </c>
      <c r="F897">
        <v>0.5</v>
      </c>
      <c r="G897">
        <v>0.70353982299999995</v>
      </c>
      <c r="H897">
        <v>4.4894798E-2</v>
      </c>
      <c r="I897">
        <v>0</v>
      </c>
    </row>
    <row r="898" spans="1:9" x14ac:dyDescent="0.25">
      <c r="A898" t="s">
        <v>263</v>
      </c>
      <c r="B898" s="1">
        <v>210</v>
      </c>
      <c r="C898">
        <v>210</v>
      </c>
      <c r="D898">
        <v>84765</v>
      </c>
      <c r="E898">
        <v>3586</v>
      </c>
      <c r="F898">
        <v>7.9336282999999994E-2</v>
      </c>
      <c r="G898">
        <v>7.0796460000000005E-2</v>
      </c>
      <c r="H898">
        <v>8.9142470000000001E-3</v>
      </c>
      <c r="I898">
        <v>-5.7463834999999998E-2</v>
      </c>
    </row>
    <row r="899" spans="1:9" x14ac:dyDescent="0.25">
      <c r="A899" t="s">
        <v>272</v>
      </c>
      <c r="B899" s="1">
        <v>211</v>
      </c>
      <c r="C899">
        <v>200</v>
      </c>
      <c r="D899">
        <v>84552</v>
      </c>
      <c r="E899">
        <v>9181</v>
      </c>
      <c r="F899">
        <v>0.203030973</v>
      </c>
      <c r="G899">
        <v>0.115044248</v>
      </c>
      <c r="H899">
        <v>2.0228363999999999E-2</v>
      </c>
      <c r="I899">
        <v>-4.1699736000000001E-2</v>
      </c>
    </row>
    <row r="900" spans="1:9" x14ac:dyDescent="0.25">
      <c r="A900" t="s">
        <v>276</v>
      </c>
      <c r="B900" s="1">
        <v>212</v>
      </c>
      <c r="C900">
        <v>206</v>
      </c>
      <c r="D900">
        <v>84507</v>
      </c>
      <c r="E900">
        <v>4324</v>
      </c>
      <c r="F900">
        <v>9.5486725999999994E-2</v>
      </c>
      <c r="G900">
        <v>8.8495575000000007E-2</v>
      </c>
      <c r="H900">
        <v>9.3909560000000007E-3</v>
      </c>
      <c r="I900">
        <v>-6.1382671E-2</v>
      </c>
    </row>
    <row r="901" spans="1:9" x14ac:dyDescent="0.25">
      <c r="A901" t="s">
        <v>23</v>
      </c>
      <c r="B901" s="1">
        <v>213</v>
      </c>
      <c r="C901">
        <v>80</v>
      </c>
      <c r="D901">
        <v>84332</v>
      </c>
      <c r="E901">
        <v>22796</v>
      </c>
      <c r="F901">
        <v>0.50214601800000003</v>
      </c>
      <c r="G901">
        <v>0.64601769899999995</v>
      </c>
      <c r="H901">
        <v>4.5042530999999997E-2</v>
      </c>
      <c r="I901">
        <v>1.28221E-4</v>
      </c>
    </row>
    <row r="902" spans="1:9" x14ac:dyDescent="0.25">
      <c r="A902" t="s">
        <v>260</v>
      </c>
      <c r="B902" s="1">
        <v>214</v>
      </c>
      <c r="C902">
        <v>92</v>
      </c>
      <c r="D902">
        <v>84328</v>
      </c>
      <c r="E902">
        <v>24307</v>
      </c>
      <c r="F902">
        <v>0.53776548700000004</v>
      </c>
      <c r="G902">
        <v>0.59292035399999998</v>
      </c>
      <c r="H902">
        <v>5.0118084E-2</v>
      </c>
      <c r="I902">
        <v>1.7193542999999999E-2</v>
      </c>
    </row>
    <row r="903" spans="1:9" x14ac:dyDescent="0.25">
      <c r="A903" t="s">
        <v>265</v>
      </c>
      <c r="B903" s="1">
        <v>215</v>
      </c>
      <c r="C903">
        <v>152</v>
      </c>
      <c r="D903">
        <v>84269</v>
      </c>
      <c r="E903">
        <v>3292</v>
      </c>
      <c r="F903">
        <v>7.2831857999999999E-2</v>
      </c>
      <c r="G903">
        <v>0.32743362799999998</v>
      </c>
      <c r="H903">
        <v>6.4562120000000002E-3</v>
      </c>
      <c r="I903">
        <v>-6.6413061999999995E-2</v>
      </c>
    </row>
    <row r="904" spans="1:9" x14ac:dyDescent="0.25">
      <c r="A904" t="s">
        <v>268</v>
      </c>
      <c r="B904" s="1">
        <v>216</v>
      </c>
      <c r="C904">
        <v>103</v>
      </c>
      <c r="D904">
        <v>84254</v>
      </c>
      <c r="E904">
        <v>14982</v>
      </c>
      <c r="F904">
        <v>0.33</v>
      </c>
      <c r="G904">
        <v>0.54424778799999995</v>
      </c>
      <c r="H904">
        <v>2.9630566000000001E-2</v>
      </c>
      <c r="I904">
        <v>-2.6117141E-2</v>
      </c>
    </row>
    <row r="905" spans="1:9" x14ac:dyDescent="0.25">
      <c r="A905" t="s">
        <v>264</v>
      </c>
      <c r="B905" s="1">
        <v>217</v>
      </c>
      <c r="C905">
        <v>84</v>
      </c>
      <c r="D905">
        <v>83998</v>
      </c>
      <c r="E905">
        <v>27204</v>
      </c>
      <c r="F905">
        <v>0.59964601799999995</v>
      </c>
      <c r="G905">
        <v>0.62831858399999996</v>
      </c>
      <c r="H905">
        <v>5.0382439000000001E-2</v>
      </c>
      <c r="I905">
        <v>7.7841669999999998E-3</v>
      </c>
    </row>
    <row r="906" spans="1:9" x14ac:dyDescent="0.25">
      <c r="A906" t="s">
        <v>267</v>
      </c>
      <c r="B906" s="1">
        <v>218</v>
      </c>
      <c r="C906">
        <v>203</v>
      </c>
      <c r="D906">
        <v>83680</v>
      </c>
      <c r="E906">
        <v>5388</v>
      </c>
      <c r="F906">
        <v>0.119159292</v>
      </c>
      <c r="G906">
        <v>0.101769912</v>
      </c>
      <c r="H906">
        <v>1.17363E-2</v>
      </c>
      <c r="I906">
        <v>-5.7803449999999999E-2</v>
      </c>
    </row>
    <row r="907" spans="1:9" x14ac:dyDescent="0.25">
      <c r="A907" t="s">
        <v>274</v>
      </c>
      <c r="B907" s="1">
        <v>219</v>
      </c>
      <c r="C907">
        <v>72</v>
      </c>
      <c r="D907">
        <v>83665</v>
      </c>
      <c r="E907">
        <v>33703</v>
      </c>
      <c r="F907">
        <v>0.74342920400000001</v>
      </c>
      <c r="G907">
        <v>0.68141592900000003</v>
      </c>
      <c r="H907">
        <v>6.4901027999999999E-2</v>
      </c>
      <c r="I907">
        <v>3.2742015999999999E-2</v>
      </c>
    </row>
    <row r="908" spans="1:9" x14ac:dyDescent="0.25">
      <c r="A908" t="s">
        <v>257</v>
      </c>
      <c r="B908" s="1">
        <v>220</v>
      </c>
      <c r="C908">
        <v>83</v>
      </c>
      <c r="D908">
        <v>83664</v>
      </c>
      <c r="E908">
        <v>25930</v>
      </c>
      <c r="F908">
        <v>0.56935840699999996</v>
      </c>
      <c r="G908">
        <v>0.632743363</v>
      </c>
      <c r="H908">
        <v>5.2855552E-2</v>
      </c>
      <c r="I908">
        <v>1.0437896E-2</v>
      </c>
    </row>
    <row r="909" spans="1:9" x14ac:dyDescent="0.25">
      <c r="A909" t="s">
        <v>271</v>
      </c>
      <c r="B909" s="1">
        <v>221</v>
      </c>
      <c r="C909">
        <v>73</v>
      </c>
      <c r="D909">
        <v>83498</v>
      </c>
      <c r="E909">
        <v>27410</v>
      </c>
      <c r="F909">
        <v>0.60420353999999998</v>
      </c>
      <c r="G909">
        <v>0.67699114999999999</v>
      </c>
      <c r="H909">
        <v>5.1716682999999999E-2</v>
      </c>
      <c r="I909">
        <v>1.2582097E-2</v>
      </c>
    </row>
    <row r="910" spans="1:9" x14ac:dyDescent="0.25">
      <c r="A910" t="s">
        <v>258</v>
      </c>
      <c r="B910" s="1">
        <v>222</v>
      </c>
      <c r="C910">
        <v>194</v>
      </c>
      <c r="D910">
        <v>83475</v>
      </c>
      <c r="E910">
        <v>7113</v>
      </c>
      <c r="F910">
        <v>0.157300885</v>
      </c>
      <c r="G910">
        <v>0.14159292000000001</v>
      </c>
      <c r="H910">
        <v>1.5656906000000002E-2</v>
      </c>
      <c r="I910">
        <v>-5.0392169000000001E-2</v>
      </c>
    </row>
    <row r="911" spans="1:9" x14ac:dyDescent="0.25">
      <c r="A911" t="s">
        <v>273</v>
      </c>
      <c r="B911" s="1">
        <v>223</v>
      </c>
      <c r="C911">
        <v>98</v>
      </c>
      <c r="D911">
        <v>82659</v>
      </c>
      <c r="E911">
        <v>18261</v>
      </c>
      <c r="F911">
        <v>0.404004425</v>
      </c>
      <c r="G911">
        <v>0.56637168100000002</v>
      </c>
      <c r="H911">
        <v>3.5458523999999998E-2</v>
      </c>
      <c r="I911">
        <v>-9.2326089999999993E-3</v>
      </c>
    </row>
    <row r="912" spans="1:9" x14ac:dyDescent="0.25">
      <c r="A912" t="s">
        <v>277</v>
      </c>
      <c r="B912" s="1">
        <v>224</v>
      </c>
      <c r="C912">
        <v>66</v>
      </c>
      <c r="D912">
        <v>82118</v>
      </c>
      <c r="E912">
        <v>32406</v>
      </c>
      <c r="F912">
        <v>0.71422566399999998</v>
      </c>
      <c r="G912">
        <v>0.707964602</v>
      </c>
      <c r="H912">
        <v>6.1115249000000003E-2</v>
      </c>
      <c r="I912">
        <v>2.5113712999999999E-2</v>
      </c>
    </row>
    <row r="913" spans="1:9" x14ac:dyDescent="0.25">
      <c r="A913" t="s">
        <v>278</v>
      </c>
      <c r="B913" s="1">
        <v>225</v>
      </c>
      <c r="C913">
        <v>74</v>
      </c>
      <c r="D913">
        <v>81862</v>
      </c>
      <c r="E913">
        <v>27696</v>
      </c>
      <c r="F913">
        <v>0.61053097300000003</v>
      </c>
      <c r="G913">
        <v>0.67256637200000002</v>
      </c>
      <c r="H913">
        <v>5.1575129999999997E-2</v>
      </c>
      <c r="I913">
        <v>1.011606E-2</v>
      </c>
    </row>
    <row r="914" spans="1:9" x14ac:dyDescent="0.25">
      <c r="A914" t="s">
        <v>275</v>
      </c>
      <c r="B914" s="1">
        <v>226</v>
      </c>
      <c r="C914">
        <v>195</v>
      </c>
      <c r="D914">
        <v>81633</v>
      </c>
      <c r="E914">
        <v>4187</v>
      </c>
      <c r="F914">
        <v>8.8230087999999998E-2</v>
      </c>
      <c r="G914">
        <v>0.13716814199999999</v>
      </c>
      <c r="H914">
        <v>5.2205710000000002E-3</v>
      </c>
      <c r="I914">
        <v>-7.9437832E-2</v>
      </c>
    </row>
    <row r="915" spans="1:9" x14ac:dyDescent="0.25">
      <c r="A915" t="s">
        <v>279</v>
      </c>
      <c r="B915" s="1">
        <v>227</v>
      </c>
      <c r="C915">
        <v>211</v>
      </c>
      <c r="D915">
        <v>80668</v>
      </c>
      <c r="E915">
        <v>0</v>
      </c>
      <c r="F915">
        <v>0</v>
      </c>
      <c r="G915">
        <v>6.6371681000000002E-2</v>
      </c>
      <c r="H915">
        <v>0</v>
      </c>
      <c r="I915">
        <v>-7.6815119000000001E-2</v>
      </c>
    </row>
    <row r="917" spans="1:9" x14ac:dyDescent="0.25">
      <c r="A917" t="s">
        <v>0</v>
      </c>
      <c r="C917" t="s">
        <v>1</v>
      </c>
      <c r="D917" t="s">
        <v>2</v>
      </c>
      <c r="E917" t="s">
        <v>3</v>
      </c>
      <c r="F917" t="s">
        <v>4</v>
      </c>
      <c r="G917" t="s">
        <v>5</v>
      </c>
      <c r="H917" t="s">
        <v>6</v>
      </c>
      <c r="I917" t="s">
        <v>7</v>
      </c>
    </row>
    <row r="918" spans="1:9" x14ac:dyDescent="0.25">
      <c r="A918" t="s">
        <v>69</v>
      </c>
      <c r="B918" s="1">
        <v>1</v>
      </c>
      <c r="C918">
        <v>40</v>
      </c>
      <c r="D918">
        <v>129851</v>
      </c>
      <c r="E918">
        <v>36095</v>
      </c>
      <c r="F918">
        <v>0.794137168</v>
      </c>
      <c r="G918">
        <v>0.82300885000000001</v>
      </c>
      <c r="H918">
        <v>7.6995127999999996E-2</v>
      </c>
      <c r="I918">
        <v>7.6904710000000001E-2</v>
      </c>
    </row>
    <row r="919" spans="1:9" x14ac:dyDescent="0.25">
      <c r="A919" t="s">
        <v>70</v>
      </c>
      <c r="B919" s="1">
        <v>2</v>
      </c>
      <c r="C919">
        <v>50</v>
      </c>
      <c r="D919">
        <v>129750</v>
      </c>
      <c r="E919">
        <v>33871</v>
      </c>
      <c r="F919">
        <v>0.74493362799999996</v>
      </c>
      <c r="G919">
        <v>0.77876106199999995</v>
      </c>
      <c r="H919">
        <v>7.3113830000000005E-2</v>
      </c>
      <c r="I919">
        <v>7.2808787E-2</v>
      </c>
    </row>
    <row r="920" spans="1:9" x14ac:dyDescent="0.25">
      <c r="A920" t="s">
        <v>8</v>
      </c>
      <c r="B920" s="1">
        <v>3</v>
      </c>
      <c r="C920">
        <v>49</v>
      </c>
      <c r="D920">
        <v>129719</v>
      </c>
      <c r="E920">
        <v>34151</v>
      </c>
      <c r="F920">
        <v>0.75112831899999999</v>
      </c>
      <c r="G920">
        <v>0.78318584099999999</v>
      </c>
      <c r="H920">
        <v>7.3348804000000004E-2</v>
      </c>
      <c r="I920">
        <v>7.2831141000000002E-2</v>
      </c>
    </row>
    <row r="921" spans="1:9" x14ac:dyDescent="0.25">
      <c r="A921" t="s">
        <v>72</v>
      </c>
      <c r="B921" s="1">
        <v>4</v>
      </c>
      <c r="C921">
        <v>65</v>
      </c>
      <c r="D921">
        <v>128659</v>
      </c>
      <c r="E921">
        <v>32618</v>
      </c>
      <c r="F921">
        <v>0.71721238899999995</v>
      </c>
      <c r="G921">
        <v>0.71238938100000004</v>
      </c>
      <c r="H921">
        <v>7.0040165000000001E-2</v>
      </c>
      <c r="I921">
        <v>6.6914372999999999E-2</v>
      </c>
    </row>
    <row r="922" spans="1:9" x14ac:dyDescent="0.25">
      <c r="A922" t="s">
        <v>73</v>
      </c>
      <c r="B922" s="1">
        <v>5</v>
      </c>
      <c r="C922">
        <v>52</v>
      </c>
      <c r="D922">
        <v>128310</v>
      </c>
      <c r="E922">
        <v>32542</v>
      </c>
      <c r="F922">
        <v>0.71553097300000001</v>
      </c>
      <c r="G922">
        <v>0.76991150399999997</v>
      </c>
      <c r="H922">
        <v>7.1939300999999997E-2</v>
      </c>
      <c r="I922">
        <v>7.5478142999999998E-2</v>
      </c>
    </row>
    <row r="923" spans="1:9" x14ac:dyDescent="0.25">
      <c r="A923" t="s">
        <v>75</v>
      </c>
      <c r="B923" s="1">
        <v>6</v>
      </c>
      <c r="C923">
        <v>45</v>
      </c>
      <c r="D923">
        <v>128224</v>
      </c>
      <c r="E923">
        <v>33518</v>
      </c>
      <c r="F923">
        <v>0.737123894</v>
      </c>
      <c r="G923">
        <v>0.80088495599999998</v>
      </c>
      <c r="H923">
        <v>7.5698898000000001E-2</v>
      </c>
      <c r="I923">
        <v>8.5821031000000006E-2</v>
      </c>
    </row>
    <row r="924" spans="1:9" x14ac:dyDescent="0.25">
      <c r="A924" t="s">
        <v>77</v>
      </c>
      <c r="B924" s="1">
        <v>7</v>
      </c>
      <c r="C924">
        <v>39</v>
      </c>
      <c r="D924">
        <v>128001</v>
      </c>
      <c r="E924">
        <v>35720</v>
      </c>
      <c r="F924">
        <v>0.78584070800000005</v>
      </c>
      <c r="G924">
        <v>0.82743362799999998</v>
      </c>
      <c r="H924">
        <v>7.3980868000000005E-2</v>
      </c>
      <c r="I924">
        <v>6.6679811000000005E-2</v>
      </c>
    </row>
    <row r="925" spans="1:9" x14ac:dyDescent="0.25">
      <c r="A925" t="s">
        <v>76</v>
      </c>
      <c r="B925" s="1">
        <v>8</v>
      </c>
      <c r="C925">
        <v>47</v>
      </c>
      <c r="D925">
        <v>127951</v>
      </c>
      <c r="E925">
        <v>32421</v>
      </c>
      <c r="F925">
        <v>0.71285398200000005</v>
      </c>
      <c r="G925">
        <v>0.792035398</v>
      </c>
      <c r="H925">
        <v>7.3224162999999995E-2</v>
      </c>
      <c r="I925">
        <v>8.1808475000000005E-2</v>
      </c>
    </row>
    <row r="926" spans="1:9" x14ac:dyDescent="0.25">
      <c r="A926" t="s">
        <v>74</v>
      </c>
      <c r="B926" s="1">
        <v>9</v>
      </c>
      <c r="C926">
        <v>44</v>
      </c>
      <c r="D926">
        <v>127835</v>
      </c>
      <c r="E926">
        <v>33091</v>
      </c>
      <c r="F926">
        <v>0.72767699100000005</v>
      </c>
      <c r="G926">
        <v>0.80530973500000003</v>
      </c>
      <c r="H926">
        <v>7.4211750000000007E-2</v>
      </c>
      <c r="I926">
        <v>8.2055922000000003E-2</v>
      </c>
    </row>
    <row r="927" spans="1:9" x14ac:dyDescent="0.25">
      <c r="A927" t="s">
        <v>71</v>
      </c>
      <c r="B927" s="1">
        <v>10</v>
      </c>
      <c r="C927">
        <v>44</v>
      </c>
      <c r="D927">
        <v>127471</v>
      </c>
      <c r="E927">
        <v>34165</v>
      </c>
      <c r="F927">
        <v>0.75143805299999999</v>
      </c>
      <c r="G927">
        <v>0.80530973500000003</v>
      </c>
      <c r="H927">
        <v>7.3777049999999997E-2</v>
      </c>
      <c r="I927">
        <v>7.4520972000000005E-2</v>
      </c>
    </row>
    <row r="928" spans="1:9" x14ac:dyDescent="0.25">
      <c r="A928" t="s">
        <v>79</v>
      </c>
      <c r="B928" s="1">
        <v>11</v>
      </c>
      <c r="C928">
        <v>44</v>
      </c>
      <c r="D928">
        <v>127268</v>
      </c>
      <c r="E928">
        <v>33869</v>
      </c>
      <c r="F928">
        <v>0.74488938100000002</v>
      </c>
      <c r="G928">
        <v>0.80530973500000003</v>
      </c>
      <c r="H928">
        <v>7.4195193000000007E-2</v>
      </c>
      <c r="I928">
        <v>7.7370648E-2</v>
      </c>
    </row>
    <row r="929" spans="1:9" x14ac:dyDescent="0.25">
      <c r="A929" t="s">
        <v>78</v>
      </c>
      <c r="B929" s="1">
        <v>12</v>
      </c>
      <c r="C929">
        <v>42</v>
      </c>
      <c r="D929">
        <v>126851</v>
      </c>
      <c r="E929">
        <v>31851</v>
      </c>
      <c r="F929">
        <v>0.70024336300000001</v>
      </c>
      <c r="G929">
        <v>0.81415929200000003</v>
      </c>
      <c r="H929">
        <v>7.0311967000000003E-2</v>
      </c>
      <c r="I929">
        <v>7.2435171000000007E-2</v>
      </c>
    </row>
    <row r="930" spans="1:9" x14ac:dyDescent="0.25">
      <c r="A930" t="s">
        <v>82</v>
      </c>
      <c r="B930" s="1">
        <v>13</v>
      </c>
      <c r="C930">
        <v>40</v>
      </c>
      <c r="D930">
        <v>126273</v>
      </c>
      <c r="E930">
        <v>36606</v>
      </c>
      <c r="F930">
        <v>0.80544247800000002</v>
      </c>
      <c r="G930">
        <v>0.82300885000000001</v>
      </c>
      <c r="H930">
        <v>7.9452197000000002E-2</v>
      </c>
      <c r="I930">
        <v>8.3437815999999998E-2</v>
      </c>
    </row>
    <row r="931" spans="1:9" x14ac:dyDescent="0.25">
      <c r="A931" t="s">
        <v>80</v>
      </c>
      <c r="B931" s="1">
        <v>14</v>
      </c>
      <c r="C931">
        <v>38</v>
      </c>
      <c r="D931">
        <v>126164</v>
      </c>
      <c r="E931">
        <v>33247</v>
      </c>
      <c r="F931">
        <v>0.73112831899999997</v>
      </c>
      <c r="G931">
        <v>0.83185840700000002</v>
      </c>
      <c r="H931">
        <v>7.5782888000000007E-2</v>
      </c>
      <c r="I931">
        <v>8.7221686000000007E-2</v>
      </c>
    </row>
    <row r="932" spans="1:9" x14ac:dyDescent="0.25">
      <c r="A932" t="s">
        <v>84</v>
      </c>
      <c r="B932" s="1">
        <v>15</v>
      </c>
      <c r="C932">
        <v>49</v>
      </c>
      <c r="D932">
        <v>125907</v>
      </c>
      <c r="E932">
        <v>34515</v>
      </c>
      <c r="F932">
        <v>0.759181416</v>
      </c>
      <c r="G932">
        <v>0.78318584099999999</v>
      </c>
      <c r="H932">
        <v>7.7222481999999995E-2</v>
      </c>
      <c r="I932">
        <v>8.5871362000000007E-2</v>
      </c>
    </row>
    <row r="933" spans="1:9" x14ac:dyDescent="0.25">
      <c r="A933" t="s">
        <v>83</v>
      </c>
      <c r="B933" s="1">
        <v>16</v>
      </c>
      <c r="C933">
        <v>47</v>
      </c>
      <c r="D933">
        <v>125524</v>
      </c>
      <c r="E933">
        <v>31640</v>
      </c>
      <c r="F933">
        <v>0.69557522100000002</v>
      </c>
      <c r="G933">
        <v>0.792035398</v>
      </c>
      <c r="H933">
        <v>7.1890377000000005E-2</v>
      </c>
      <c r="I933">
        <v>7.9573691000000002E-2</v>
      </c>
    </row>
    <row r="934" spans="1:9" x14ac:dyDescent="0.25">
      <c r="A934" t="s">
        <v>81</v>
      </c>
      <c r="B934" s="1">
        <v>17</v>
      </c>
      <c r="C934">
        <v>44</v>
      </c>
      <c r="D934">
        <v>125038</v>
      </c>
      <c r="E934">
        <v>33215</v>
      </c>
      <c r="F934">
        <v>0.73042035400000005</v>
      </c>
      <c r="G934">
        <v>0.80530973500000003</v>
      </c>
      <c r="H934">
        <v>7.4469930000000004E-2</v>
      </c>
      <c r="I934">
        <v>8.1460529000000004E-2</v>
      </c>
    </row>
    <row r="935" spans="1:9" x14ac:dyDescent="0.25">
      <c r="A935" t="s">
        <v>85</v>
      </c>
      <c r="B935" s="1">
        <v>18</v>
      </c>
      <c r="C935">
        <v>173</v>
      </c>
      <c r="D935">
        <v>124882</v>
      </c>
      <c r="E935">
        <v>31458</v>
      </c>
      <c r="F935">
        <v>0.69159292000000006</v>
      </c>
      <c r="G935">
        <v>0.23451327399999999</v>
      </c>
      <c r="H935">
        <v>7.1492533999999996E-2</v>
      </c>
      <c r="I935">
        <v>7.9457260000000002E-2</v>
      </c>
    </row>
    <row r="936" spans="1:9" x14ac:dyDescent="0.25">
      <c r="A936" t="s">
        <v>89</v>
      </c>
      <c r="B936" s="1">
        <v>19</v>
      </c>
      <c r="C936">
        <v>188</v>
      </c>
      <c r="D936">
        <v>124567</v>
      </c>
      <c r="E936">
        <v>30498</v>
      </c>
      <c r="F936">
        <v>0.67033185799999995</v>
      </c>
      <c r="G936">
        <v>0.16814159300000001</v>
      </c>
      <c r="H936">
        <v>7.0710282999999999E-2</v>
      </c>
      <c r="I936">
        <v>8.0415922000000001E-2</v>
      </c>
    </row>
    <row r="937" spans="1:9" x14ac:dyDescent="0.25">
      <c r="A937" t="s">
        <v>86</v>
      </c>
      <c r="B937" s="1">
        <v>20</v>
      </c>
      <c r="C937">
        <v>19</v>
      </c>
      <c r="D937">
        <v>124532</v>
      </c>
      <c r="E937">
        <v>37365</v>
      </c>
      <c r="F937">
        <v>0.82223451299999994</v>
      </c>
      <c r="G937">
        <v>0.915929204</v>
      </c>
      <c r="H937">
        <v>8.1746258000000002E-2</v>
      </c>
      <c r="I937">
        <v>8.8515152999999999E-2</v>
      </c>
    </row>
    <row r="938" spans="1:9" x14ac:dyDescent="0.25">
      <c r="A938" t="s">
        <v>91</v>
      </c>
      <c r="B938" s="1">
        <v>21</v>
      </c>
      <c r="C938">
        <v>57</v>
      </c>
      <c r="D938">
        <v>124310</v>
      </c>
      <c r="E938">
        <v>28968</v>
      </c>
      <c r="F938">
        <v>0.63646017700000002</v>
      </c>
      <c r="G938">
        <v>0.74778761100000002</v>
      </c>
      <c r="H938">
        <v>6.7429901E-2</v>
      </c>
      <c r="I938">
        <v>7.6253688999999999E-2</v>
      </c>
    </row>
    <row r="939" spans="1:9" x14ac:dyDescent="0.25">
      <c r="A939" t="s">
        <v>87</v>
      </c>
      <c r="B939" s="1">
        <v>22</v>
      </c>
      <c r="C939">
        <v>39</v>
      </c>
      <c r="D939">
        <v>123995</v>
      </c>
      <c r="E939">
        <v>33925</v>
      </c>
      <c r="F939">
        <v>0.74612831899999998</v>
      </c>
      <c r="G939">
        <v>0.82743362799999998</v>
      </c>
      <c r="H939">
        <v>7.7094417999999998E-2</v>
      </c>
      <c r="I939">
        <v>8.8777096999999999E-2</v>
      </c>
    </row>
    <row r="940" spans="1:9" x14ac:dyDescent="0.25">
      <c r="A940" t="s">
        <v>102</v>
      </c>
      <c r="B940" s="1">
        <v>23</v>
      </c>
      <c r="C940">
        <v>22</v>
      </c>
      <c r="D940">
        <v>123712</v>
      </c>
      <c r="E940">
        <v>37536</v>
      </c>
      <c r="F940">
        <v>0.82601769899999999</v>
      </c>
      <c r="G940">
        <v>0.90265486699999997</v>
      </c>
      <c r="H940">
        <v>8.2199338999999996E-2</v>
      </c>
      <c r="I940">
        <v>8.9401417999999996E-2</v>
      </c>
    </row>
    <row r="941" spans="1:9" x14ac:dyDescent="0.25">
      <c r="A941" t="s">
        <v>103</v>
      </c>
      <c r="B941" s="1">
        <v>24</v>
      </c>
      <c r="C941">
        <v>31</v>
      </c>
      <c r="D941">
        <v>123584</v>
      </c>
      <c r="E941">
        <v>34987</v>
      </c>
      <c r="F941">
        <v>0.76962389399999998</v>
      </c>
      <c r="G941">
        <v>0.86283185799999995</v>
      </c>
      <c r="H941">
        <v>7.8389818E-2</v>
      </c>
      <c r="I941">
        <v>8.7130093000000006E-2</v>
      </c>
    </row>
    <row r="942" spans="1:9" x14ac:dyDescent="0.25">
      <c r="A942" t="s">
        <v>94</v>
      </c>
      <c r="B942" s="1">
        <v>25</v>
      </c>
      <c r="C942">
        <v>46</v>
      </c>
      <c r="D942">
        <v>123459</v>
      </c>
      <c r="E942">
        <v>30700</v>
      </c>
      <c r="F942">
        <v>0.674778761</v>
      </c>
      <c r="G942">
        <v>0.79646017700000005</v>
      </c>
      <c r="H942">
        <v>7.1471489999999999E-2</v>
      </c>
      <c r="I942">
        <v>8.2401674999999994E-2</v>
      </c>
    </row>
    <row r="943" spans="1:9" x14ac:dyDescent="0.25">
      <c r="A943" t="s">
        <v>90</v>
      </c>
      <c r="B943" s="1">
        <v>26</v>
      </c>
      <c r="C943">
        <v>181</v>
      </c>
      <c r="D943">
        <v>123455</v>
      </c>
      <c r="E943">
        <v>29706</v>
      </c>
      <c r="F943">
        <v>0.65283185799999999</v>
      </c>
      <c r="G943">
        <v>0.19911504399999999</v>
      </c>
      <c r="H943">
        <v>6.8327032999999995E-2</v>
      </c>
      <c r="I943">
        <v>7.5718144000000001E-2</v>
      </c>
    </row>
    <row r="944" spans="1:9" x14ac:dyDescent="0.25">
      <c r="A944" t="s">
        <v>93</v>
      </c>
      <c r="B944" s="1">
        <v>27</v>
      </c>
      <c r="C944">
        <v>42</v>
      </c>
      <c r="D944">
        <v>123445</v>
      </c>
      <c r="E944">
        <v>30899</v>
      </c>
      <c r="F944">
        <v>0.67918141600000004</v>
      </c>
      <c r="G944">
        <v>0.81415929200000003</v>
      </c>
      <c r="H944">
        <v>7.1593487999999997E-2</v>
      </c>
      <c r="I944">
        <v>8.2073119E-2</v>
      </c>
    </row>
    <row r="945" spans="1:9" x14ac:dyDescent="0.25">
      <c r="A945" t="s">
        <v>97</v>
      </c>
      <c r="B945" s="1">
        <v>28</v>
      </c>
      <c r="C945">
        <v>52</v>
      </c>
      <c r="D945">
        <v>123373</v>
      </c>
      <c r="E945">
        <v>31270</v>
      </c>
      <c r="F945">
        <v>0.68738938100000002</v>
      </c>
      <c r="G945">
        <v>0.76991150399999997</v>
      </c>
      <c r="H945">
        <v>7.2010507000000001E-2</v>
      </c>
      <c r="I945">
        <v>8.2068350999999998E-2</v>
      </c>
    </row>
    <row r="946" spans="1:9" x14ac:dyDescent="0.25">
      <c r="A946" t="s">
        <v>95</v>
      </c>
      <c r="B946" s="1">
        <v>29</v>
      </c>
      <c r="C946">
        <v>26</v>
      </c>
      <c r="D946">
        <v>123336</v>
      </c>
      <c r="E946">
        <v>36442</v>
      </c>
      <c r="F946">
        <v>0.80181415899999997</v>
      </c>
      <c r="G946">
        <v>0.88495575199999998</v>
      </c>
      <c r="H946">
        <v>7.9594761E-2</v>
      </c>
      <c r="I946">
        <v>8.5342976000000001E-2</v>
      </c>
    </row>
    <row r="947" spans="1:9" x14ac:dyDescent="0.25">
      <c r="A947" t="s">
        <v>92</v>
      </c>
      <c r="B947" s="1">
        <v>30</v>
      </c>
      <c r="C947">
        <v>49</v>
      </c>
      <c r="D947">
        <v>123212</v>
      </c>
      <c r="E947">
        <v>34043</v>
      </c>
      <c r="F947">
        <v>0.74873893800000002</v>
      </c>
      <c r="G947">
        <v>0.78318584099999999</v>
      </c>
      <c r="H947">
        <v>7.6278318999999997E-2</v>
      </c>
      <c r="I947">
        <v>8.4568433999999998E-2</v>
      </c>
    </row>
    <row r="948" spans="1:9" x14ac:dyDescent="0.25">
      <c r="A948" t="s">
        <v>88</v>
      </c>
      <c r="B948" s="1">
        <v>31</v>
      </c>
      <c r="C948">
        <v>47</v>
      </c>
      <c r="D948">
        <v>123065</v>
      </c>
      <c r="E948">
        <v>31068</v>
      </c>
      <c r="F948">
        <v>0.68292035399999995</v>
      </c>
      <c r="G948">
        <v>0.792035398</v>
      </c>
      <c r="H948">
        <v>6.8092661999999998E-2</v>
      </c>
      <c r="I948">
        <v>6.6759478999999997E-2</v>
      </c>
    </row>
    <row r="949" spans="1:9" x14ac:dyDescent="0.25">
      <c r="A949" t="s">
        <v>98</v>
      </c>
      <c r="B949" s="1">
        <v>32</v>
      </c>
      <c r="C949">
        <v>58</v>
      </c>
      <c r="D949">
        <v>122610</v>
      </c>
      <c r="E949">
        <v>28814</v>
      </c>
      <c r="F949">
        <v>0.63305309700000001</v>
      </c>
      <c r="G949">
        <v>0.74336283199999997</v>
      </c>
      <c r="H949">
        <v>6.6068989999999994E-2</v>
      </c>
      <c r="I949">
        <v>7.0684922999999997E-2</v>
      </c>
    </row>
    <row r="950" spans="1:9" x14ac:dyDescent="0.25">
      <c r="A950" t="s">
        <v>14</v>
      </c>
      <c r="B950" s="1">
        <v>33</v>
      </c>
      <c r="C950">
        <v>45</v>
      </c>
      <c r="D950">
        <v>122605</v>
      </c>
      <c r="E950">
        <v>33732</v>
      </c>
      <c r="F950">
        <v>0.74185840700000005</v>
      </c>
      <c r="G950">
        <v>0.80088495599999998</v>
      </c>
      <c r="H950">
        <v>7.5338569999999994E-2</v>
      </c>
      <c r="I950">
        <v>8.1038800999999994E-2</v>
      </c>
    </row>
    <row r="951" spans="1:9" x14ac:dyDescent="0.25">
      <c r="A951" t="s">
        <v>104</v>
      </c>
      <c r="B951" s="1">
        <v>34</v>
      </c>
      <c r="C951">
        <v>35</v>
      </c>
      <c r="D951">
        <v>122139</v>
      </c>
      <c r="E951">
        <v>35086</v>
      </c>
      <c r="F951">
        <v>0.77181415900000006</v>
      </c>
      <c r="G951">
        <v>0.84513274299999996</v>
      </c>
      <c r="H951">
        <v>7.9146422999999994E-2</v>
      </c>
      <c r="I951">
        <v>9.0383196999999998E-2</v>
      </c>
    </row>
    <row r="952" spans="1:9" x14ac:dyDescent="0.25">
      <c r="A952" t="s">
        <v>110</v>
      </c>
      <c r="B952" s="1">
        <v>35</v>
      </c>
      <c r="C952">
        <v>67</v>
      </c>
      <c r="D952">
        <v>121984</v>
      </c>
      <c r="E952">
        <v>26300</v>
      </c>
      <c r="F952">
        <v>0.57743362799999998</v>
      </c>
      <c r="G952">
        <v>0.70353982299999995</v>
      </c>
      <c r="H952">
        <v>6.2587475000000004E-2</v>
      </c>
      <c r="I952">
        <v>6.9626256999999997E-2</v>
      </c>
    </row>
    <row r="953" spans="1:9" x14ac:dyDescent="0.25">
      <c r="A953" t="s">
        <v>101</v>
      </c>
      <c r="B953" s="1">
        <v>36</v>
      </c>
      <c r="C953">
        <v>71</v>
      </c>
      <c r="D953">
        <v>121883</v>
      </c>
      <c r="E953">
        <v>27166</v>
      </c>
      <c r="F953">
        <v>0.59659291999999997</v>
      </c>
      <c r="G953">
        <v>0.68584070799999997</v>
      </c>
      <c r="H953">
        <v>6.4506744000000005E-2</v>
      </c>
      <c r="I953">
        <v>7.3575608000000001E-2</v>
      </c>
    </row>
    <row r="954" spans="1:9" x14ac:dyDescent="0.25">
      <c r="A954" t="s">
        <v>106</v>
      </c>
      <c r="B954" s="1">
        <v>37</v>
      </c>
      <c r="C954">
        <v>64</v>
      </c>
      <c r="D954">
        <v>121691</v>
      </c>
      <c r="E954">
        <v>28577</v>
      </c>
      <c r="F954">
        <v>0.62780973500000004</v>
      </c>
      <c r="G954">
        <v>0.71681415900000001</v>
      </c>
      <c r="H954">
        <v>6.6265862999999994E-2</v>
      </c>
      <c r="I954">
        <v>7.2723114000000005E-2</v>
      </c>
    </row>
    <row r="955" spans="1:9" x14ac:dyDescent="0.25">
      <c r="A955" t="s">
        <v>96</v>
      </c>
      <c r="B955" s="1">
        <v>38</v>
      </c>
      <c r="C955">
        <v>190</v>
      </c>
      <c r="D955">
        <v>121655</v>
      </c>
      <c r="E955">
        <v>27836</v>
      </c>
      <c r="F955">
        <v>0.61143805299999998</v>
      </c>
      <c r="G955">
        <v>0.159292035</v>
      </c>
      <c r="H955">
        <v>6.5408783999999998E-2</v>
      </c>
      <c r="I955">
        <v>7.3180406000000003E-2</v>
      </c>
    </row>
    <row r="956" spans="1:9" x14ac:dyDescent="0.25">
      <c r="A956" t="s">
        <v>107</v>
      </c>
      <c r="B956" s="1">
        <v>39</v>
      </c>
      <c r="C956">
        <v>47</v>
      </c>
      <c r="D956">
        <v>121395</v>
      </c>
      <c r="E956">
        <v>31038</v>
      </c>
      <c r="F956">
        <v>0.68225663700000005</v>
      </c>
      <c r="G956">
        <v>0.792035398</v>
      </c>
      <c r="H956">
        <v>7.1501074999999997E-2</v>
      </c>
      <c r="I956">
        <v>8.0685621999999999E-2</v>
      </c>
    </row>
    <row r="957" spans="1:9" x14ac:dyDescent="0.25">
      <c r="A957" t="s">
        <v>99</v>
      </c>
      <c r="B957" s="1">
        <v>40</v>
      </c>
      <c r="C957">
        <v>0</v>
      </c>
      <c r="D957">
        <v>121309</v>
      </c>
      <c r="E957">
        <v>39343</v>
      </c>
      <c r="F957">
        <v>0.86599557500000002</v>
      </c>
      <c r="G957">
        <v>1</v>
      </c>
      <c r="H957">
        <v>8.3756029999999995E-2</v>
      </c>
      <c r="I957">
        <v>8.5313132E-2</v>
      </c>
    </row>
    <row r="958" spans="1:9" x14ac:dyDescent="0.25">
      <c r="A958" t="s">
        <v>117</v>
      </c>
      <c r="B958" s="1">
        <v>41</v>
      </c>
      <c r="C958">
        <v>38</v>
      </c>
      <c r="D958">
        <v>121253</v>
      </c>
      <c r="E958">
        <v>33802</v>
      </c>
      <c r="F958">
        <v>0.74340708</v>
      </c>
      <c r="G958">
        <v>0.83185840700000002</v>
      </c>
      <c r="H958">
        <v>7.6793216999999997E-2</v>
      </c>
      <c r="I958">
        <v>8.7477444000000001E-2</v>
      </c>
    </row>
    <row r="959" spans="1:9" x14ac:dyDescent="0.25">
      <c r="A959" t="s">
        <v>100</v>
      </c>
      <c r="B959" s="1">
        <v>42</v>
      </c>
      <c r="C959">
        <v>106</v>
      </c>
      <c r="D959">
        <v>121199</v>
      </c>
      <c r="E959">
        <v>25594</v>
      </c>
      <c r="F959">
        <v>0.56230088499999997</v>
      </c>
      <c r="G959">
        <v>0.53097345100000004</v>
      </c>
      <c r="H959">
        <v>5.5223144000000002E-2</v>
      </c>
      <c r="I959">
        <v>3.2672993999999997E-2</v>
      </c>
    </row>
    <row r="960" spans="1:9" x14ac:dyDescent="0.25">
      <c r="A960" t="s">
        <v>111</v>
      </c>
      <c r="B960" s="1">
        <v>43</v>
      </c>
      <c r="C960">
        <v>39</v>
      </c>
      <c r="D960">
        <v>121161</v>
      </c>
      <c r="E960">
        <v>37524</v>
      </c>
      <c r="F960">
        <v>0.82575221200000004</v>
      </c>
      <c r="G960">
        <v>0.82743362799999998</v>
      </c>
      <c r="H960">
        <v>8.0407898000000005E-2</v>
      </c>
      <c r="I960">
        <v>8.1450374000000006E-2</v>
      </c>
    </row>
    <row r="961" spans="1:9" x14ac:dyDescent="0.25">
      <c r="A961" t="s">
        <v>15</v>
      </c>
      <c r="B961" s="1">
        <v>44</v>
      </c>
      <c r="C961">
        <v>72</v>
      </c>
      <c r="D961">
        <v>121045</v>
      </c>
      <c r="E961">
        <v>26198</v>
      </c>
      <c r="F961">
        <v>0.57517699099999997</v>
      </c>
      <c r="G961">
        <v>0.68141592900000003</v>
      </c>
      <c r="H961">
        <v>6.2498878000000001E-2</v>
      </c>
      <c r="I961">
        <v>7.0018405000000006E-2</v>
      </c>
    </row>
    <row r="962" spans="1:9" x14ac:dyDescent="0.25">
      <c r="A962" t="s">
        <v>105</v>
      </c>
      <c r="B962" s="1">
        <v>45</v>
      </c>
      <c r="C962">
        <v>15</v>
      </c>
      <c r="D962">
        <v>120874</v>
      </c>
      <c r="E962">
        <v>35684</v>
      </c>
      <c r="F962">
        <v>0.78504424799999994</v>
      </c>
      <c r="G962">
        <v>0.93362831899999998</v>
      </c>
      <c r="H962">
        <v>7.9155445000000005E-2</v>
      </c>
      <c r="I962">
        <v>8.7079149999999994E-2</v>
      </c>
    </row>
    <row r="963" spans="1:9" x14ac:dyDescent="0.25">
      <c r="A963" t="s">
        <v>121</v>
      </c>
      <c r="B963" s="1">
        <v>46</v>
      </c>
      <c r="C963">
        <v>0</v>
      </c>
      <c r="D963">
        <v>120854</v>
      </c>
      <c r="E963">
        <v>40780</v>
      </c>
      <c r="F963">
        <v>0.89778761100000004</v>
      </c>
      <c r="G963">
        <v>1</v>
      </c>
      <c r="H963">
        <v>8.5366826000000007E-2</v>
      </c>
      <c r="I963">
        <v>8.4080721999999997E-2</v>
      </c>
    </row>
    <row r="964" spans="1:9" x14ac:dyDescent="0.25">
      <c r="A964" t="s">
        <v>112</v>
      </c>
      <c r="B964" s="1">
        <v>47</v>
      </c>
      <c r="C964">
        <v>0</v>
      </c>
      <c r="D964">
        <v>120817</v>
      </c>
      <c r="E964">
        <v>38234</v>
      </c>
      <c r="F964">
        <v>0.84146017699999998</v>
      </c>
      <c r="G964">
        <v>1</v>
      </c>
      <c r="H964">
        <v>8.282465E-2</v>
      </c>
      <c r="I964">
        <v>8.7622619999999998E-2</v>
      </c>
    </row>
    <row r="965" spans="1:9" x14ac:dyDescent="0.25">
      <c r="A965" t="s">
        <v>118</v>
      </c>
      <c r="B965" s="1">
        <v>48</v>
      </c>
      <c r="C965">
        <v>50</v>
      </c>
      <c r="D965">
        <v>120806</v>
      </c>
      <c r="E965">
        <v>31453</v>
      </c>
      <c r="F965">
        <v>0.69143805300000005</v>
      </c>
      <c r="G965">
        <v>0.77876106199999995</v>
      </c>
      <c r="H965">
        <v>7.2367534999999997E-2</v>
      </c>
      <c r="I965">
        <v>8.1595976000000001E-2</v>
      </c>
    </row>
    <row r="966" spans="1:9" x14ac:dyDescent="0.25">
      <c r="A966" t="s">
        <v>108</v>
      </c>
      <c r="B966" s="1">
        <v>49</v>
      </c>
      <c r="C966">
        <v>33</v>
      </c>
      <c r="D966">
        <v>120545</v>
      </c>
      <c r="E966">
        <v>35687</v>
      </c>
      <c r="F966">
        <v>0.78511061900000001</v>
      </c>
      <c r="G966">
        <v>0.85398230100000005</v>
      </c>
      <c r="H966">
        <v>7.8762767999999997E-2</v>
      </c>
      <c r="I966">
        <v>8.4680730999999995E-2</v>
      </c>
    </row>
    <row r="967" spans="1:9" x14ac:dyDescent="0.25">
      <c r="A967" t="s">
        <v>115</v>
      </c>
      <c r="B967" s="1">
        <v>50</v>
      </c>
      <c r="C967">
        <v>23</v>
      </c>
      <c r="D967">
        <v>120544</v>
      </c>
      <c r="E967">
        <v>36643</v>
      </c>
      <c r="F967">
        <v>0.80626106200000003</v>
      </c>
      <c r="G967">
        <v>0.89823008800000004</v>
      </c>
      <c r="H967">
        <v>8.1667693E-2</v>
      </c>
      <c r="I967">
        <v>9.1731104999999993E-2</v>
      </c>
    </row>
    <row r="968" spans="1:9" x14ac:dyDescent="0.25">
      <c r="A968" t="s">
        <v>109</v>
      </c>
      <c r="B968" s="1">
        <v>51</v>
      </c>
      <c r="C968">
        <v>41</v>
      </c>
      <c r="D968">
        <v>120358</v>
      </c>
      <c r="E968">
        <v>34122</v>
      </c>
      <c r="F968">
        <v>0.75048672599999999</v>
      </c>
      <c r="G968">
        <v>0.81858407099999997</v>
      </c>
      <c r="H968">
        <v>7.7939972999999996E-2</v>
      </c>
      <c r="I968">
        <v>9.0294827999999994E-2</v>
      </c>
    </row>
    <row r="969" spans="1:9" x14ac:dyDescent="0.25">
      <c r="A969" t="s">
        <v>9</v>
      </c>
      <c r="B969" s="1">
        <v>52</v>
      </c>
      <c r="C969">
        <v>175</v>
      </c>
      <c r="D969">
        <v>120334</v>
      </c>
      <c r="E969">
        <v>34442</v>
      </c>
      <c r="F969">
        <v>0.75761061900000004</v>
      </c>
      <c r="G969">
        <v>0.22566371700000001</v>
      </c>
      <c r="H969">
        <v>7.7855163000000005E-2</v>
      </c>
      <c r="I969">
        <v>8.8117977E-2</v>
      </c>
    </row>
    <row r="970" spans="1:9" x14ac:dyDescent="0.25">
      <c r="A970" t="s">
        <v>128</v>
      </c>
      <c r="B970" s="1">
        <v>53</v>
      </c>
      <c r="C970">
        <v>0</v>
      </c>
      <c r="D970">
        <v>120235</v>
      </c>
      <c r="E970">
        <v>40760</v>
      </c>
      <c r="F970">
        <v>0.89734513299999996</v>
      </c>
      <c r="G970">
        <v>1</v>
      </c>
      <c r="H970">
        <v>8.6003228000000001E-2</v>
      </c>
      <c r="I970">
        <v>8.6659847999999998E-2</v>
      </c>
    </row>
    <row r="971" spans="1:9" x14ac:dyDescent="0.25">
      <c r="A971" t="s">
        <v>126</v>
      </c>
      <c r="B971" s="1">
        <v>54</v>
      </c>
      <c r="C971">
        <v>29</v>
      </c>
      <c r="D971">
        <v>119991</v>
      </c>
      <c r="E971">
        <v>34845</v>
      </c>
      <c r="F971">
        <v>0.76648230100000003</v>
      </c>
      <c r="G971">
        <v>0.87168141600000004</v>
      </c>
      <c r="H971">
        <v>7.8652551000000001E-2</v>
      </c>
      <c r="I971">
        <v>8.8703165E-2</v>
      </c>
    </row>
    <row r="972" spans="1:9" x14ac:dyDescent="0.25">
      <c r="A972" t="s">
        <v>114</v>
      </c>
      <c r="B972" s="1">
        <v>55</v>
      </c>
      <c r="C972">
        <v>67</v>
      </c>
      <c r="D972">
        <v>119802</v>
      </c>
      <c r="E972">
        <v>26389</v>
      </c>
      <c r="F972">
        <v>0.57940265499999999</v>
      </c>
      <c r="G972">
        <v>0.70353982299999995</v>
      </c>
      <c r="H972">
        <v>6.2892645999999996E-2</v>
      </c>
      <c r="I972">
        <v>7.0462099E-2</v>
      </c>
    </row>
    <row r="973" spans="1:9" x14ac:dyDescent="0.25">
      <c r="A973" t="s">
        <v>119</v>
      </c>
      <c r="B973" s="1">
        <v>56</v>
      </c>
      <c r="C973">
        <v>69</v>
      </c>
      <c r="D973">
        <v>119750</v>
      </c>
      <c r="E973">
        <v>25757</v>
      </c>
      <c r="F973">
        <v>0.56542035400000001</v>
      </c>
      <c r="G973">
        <v>0.69469026499999997</v>
      </c>
      <c r="H973">
        <v>6.1607939E-2</v>
      </c>
      <c r="I973">
        <v>6.8783188999999995E-2</v>
      </c>
    </row>
    <row r="974" spans="1:9" x14ac:dyDescent="0.25">
      <c r="A974" t="s">
        <v>116</v>
      </c>
      <c r="B974" s="1">
        <v>57</v>
      </c>
      <c r="C974">
        <v>38</v>
      </c>
      <c r="D974">
        <v>119707</v>
      </c>
      <c r="E974">
        <v>37064</v>
      </c>
      <c r="F974">
        <v>0.81557522100000002</v>
      </c>
      <c r="G974">
        <v>0.83185840700000002</v>
      </c>
      <c r="H974">
        <v>7.9892293000000003E-2</v>
      </c>
      <c r="I974">
        <v>8.1985526000000003E-2</v>
      </c>
    </row>
    <row r="975" spans="1:9" x14ac:dyDescent="0.25">
      <c r="A975" t="s">
        <v>132</v>
      </c>
      <c r="B975" s="1">
        <v>58</v>
      </c>
      <c r="C975">
        <v>0</v>
      </c>
      <c r="D975">
        <v>119613</v>
      </c>
      <c r="E975">
        <v>38003</v>
      </c>
      <c r="F975">
        <v>0.83634955799999999</v>
      </c>
      <c r="G975">
        <v>1</v>
      </c>
      <c r="H975">
        <v>8.2876938999999997E-2</v>
      </c>
      <c r="I975">
        <v>8.8500392999999997E-2</v>
      </c>
    </row>
    <row r="976" spans="1:9" x14ac:dyDescent="0.25">
      <c r="A976" t="s">
        <v>113</v>
      </c>
      <c r="B976" s="1">
        <v>59</v>
      </c>
      <c r="C976">
        <v>119</v>
      </c>
      <c r="D976">
        <v>119595</v>
      </c>
      <c r="E976">
        <v>25874</v>
      </c>
      <c r="F976">
        <v>0.56818584100000002</v>
      </c>
      <c r="G976">
        <v>0.47345132699999998</v>
      </c>
      <c r="H976">
        <v>5.6532846999999997E-2</v>
      </c>
      <c r="I976">
        <v>3.5787601000000002E-2</v>
      </c>
    </row>
    <row r="977" spans="1:9" x14ac:dyDescent="0.25">
      <c r="A977" t="s">
        <v>120</v>
      </c>
      <c r="B977" s="1">
        <v>60</v>
      </c>
      <c r="C977">
        <v>19</v>
      </c>
      <c r="D977">
        <v>119492</v>
      </c>
      <c r="E977">
        <v>39120</v>
      </c>
      <c r="F977">
        <v>0.86106194700000005</v>
      </c>
      <c r="G977">
        <v>0.915929204</v>
      </c>
      <c r="H977">
        <v>8.2970195999999996E-2</v>
      </c>
      <c r="I977">
        <v>8.3114055000000006E-2</v>
      </c>
    </row>
    <row r="978" spans="1:9" x14ac:dyDescent="0.25">
      <c r="A978" t="s">
        <v>139</v>
      </c>
      <c r="B978" s="1">
        <v>61</v>
      </c>
      <c r="C978">
        <v>0</v>
      </c>
      <c r="D978">
        <v>119447</v>
      </c>
      <c r="E978">
        <v>38372</v>
      </c>
      <c r="F978">
        <v>0.84451327399999998</v>
      </c>
      <c r="G978">
        <v>1</v>
      </c>
      <c r="H978">
        <v>8.3498833999999994E-2</v>
      </c>
      <c r="I978">
        <v>8.9949451999999999E-2</v>
      </c>
    </row>
    <row r="979" spans="1:9" x14ac:dyDescent="0.25">
      <c r="A979" t="s">
        <v>125</v>
      </c>
      <c r="B979" s="1">
        <v>62</v>
      </c>
      <c r="C979">
        <v>0</v>
      </c>
      <c r="D979">
        <v>119415</v>
      </c>
      <c r="E979">
        <v>36259</v>
      </c>
      <c r="F979">
        <v>0.79776548700000005</v>
      </c>
      <c r="G979">
        <v>1</v>
      </c>
      <c r="H979">
        <v>8.0625230000000006E-2</v>
      </c>
      <c r="I979">
        <v>8.8793923999999996E-2</v>
      </c>
    </row>
    <row r="980" spans="1:9" x14ac:dyDescent="0.25">
      <c r="A980" t="s">
        <v>130</v>
      </c>
      <c r="B980" s="1">
        <v>63</v>
      </c>
      <c r="C980">
        <v>153</v>
      </c>
      <c r="D980">
        <v>119157</v>
      </c>
      <c r="E980">
        <v>35528</v>
      </c>
      <c r="F980">
        <v>0.78161504400000004</v>
      </c>
      <c r="G980">
        <v>0.32300885000000001</v>
      </c>
      <c r="H980">
        <v>7.9377148999999994E-2</v>
      </c>
      <c r="I980">
        <v>8.7473182999999996E-2</v>
      </c>
    </row>
    <row r="981" spans="1:9" x14ac:dyDescent="0.25">
      <c r="A981" t="s">
        <v>11</v>
      </c>
      <c r="B981" s="1">
        <v>64</v>
      </c>
      <c r="C981">
        <v>0</v>
      </c>
      <c r="D981">
        <v>119080</v>
      </c>
      <c r="E981">
        <v>35787</v>
      </c>
      <c r="F981">
        <v>0.78732300899999996</v>
      </c>
      <c r="G981">
        <v>1</v>
      </c>
      <c r="H981">
        <v>7.9834081000000001E-2</v>
      </c>
      <c r="I981">
        <v>8.7967170999999997E-2</v>
      </c>
    </row>
    <row r="982" spans="1:9" x14ac:dyDescent="0.25">
      <c r="A982" t="s">
        <v>16</v>
      </c>
      <c r="B982" s="1">
        <v>65</v>
      </c>
      <c r="C982">
        <v>64</v>
      </c>
      <c r="D982">
        <v>119054</v>
      </c>
      <c r="E982">
        <v>26177</v>
      </c>
      <c r="F982">
        <v>0.57471238899999999</v>
      </c>
      <c r="G982">
        <v>0.71681415900000001</v>
      </c>
      <c r="H982">
        <v>6.1955919999999998E-2</v>
      </c>
      <c r="I982">
        <v>6.7800432999999993E-2</v>
      </c>
    </row>
    <row r="983" spans="1:9" x14ac:dyDescent="0.25">
      <c r="A983" t="s">
        <v>129</v>
      </c>
      <c r="B983" s="1">
        <v>66</v>
      </c>
      <c r="C983">
        <v>15</v>
      </c>
      <c r="D983">
        <v>118864</v>
      </c>
      <c r="E983">
        <v>34439</v>
      </c>
      <c r="F983">
        <v>0.75749999999999995</v>
      </c>
      <c r="G983">
        <v>0.93362831899999998</v>
      </c>
      <c r="H983">
        <v>7.7777635999999997E-2</v>
      </c>
      <c r="I983">
        <v>8.6832449000000006E-2</v>
      </c>
    </row>
    <row r="984" spans="1:9" x14ac:dyDescent="0.25">
      <c r="A984" t="s">
        <v>140</v>
      </c>
      <c r="B984" s="1">
        <v>67</v>
      </c>
      <c r="C984">
        <v>66</v>
      </c>
      <c r="D984">
        <v>118846</v>
      </c>
      <c r="E984">
        <v>28888</v>
      </c>
      <c r="F984">
        <v>0.63469026500000003</v>
      </c>
      <c r="G984">
        <v>0.707964602</v>
      </c>
      <c r="H984">
        <v>6.8132348999999995E-2</v>
      </c>
      <c r="I984">
        <v>7.7900091000000005E-2</v>
      </c>
    </row>
    <row r="985" spans="1:9" x14ac:dyDescent="0.25">
      <c r="A985" t="s">
        <v>127</v>
      </c>
      <c r="B985" s="1">
        <v>68</v>
      </c>
      <c r="C985">
        <v>0</v>
      </c>
      <c r="D985">
        <v>118779</v>
      </c>
      <c r="E985">
        <v>39106</v>
      </c>
      <c r="F985">
        <v>0.86075221199999996</v>
      </c>
      <c r="G985">
        <v>1</v>
      </c>
      <c r="H985">
        <v>8.2709137000000002E-2</v>
      </c>
      <c r="I985">
        <v>8.1794411999999997E-2</v>
      </c>
    </row>
    <row r="986" spans="1:9" x14ac:dyDescent="0.25">
      <c r="A986" t="s">
        <v>124</v>
      </c>
      <c r="B986" s="1">
        <v>69</v>
      </c>
      <c r="C986">
        <v>5</v>
      </c>
      <c r="D986">
        <v>118702</v>
      </c>
      <c r="E986">
        <v>38876</v>
      </c>
      <c r="F986">
        <v>0.85566371699999999</v>
      </c>
      <c r="G986">
        <v>0.97787610599999997</v>
      </c>
      <c r="H986">
        <v>8.3084361999999995E-2</v>
      </c>
      <c r="I986">
        <v>8.5232163E-2</v>
      </c>
    </row>
    <row r="987" spans="1:9" x14ac:dyDescent="0.25">
      <c r="A987" t="s">
        <v>136</v>
      </c>
      <c r="B987" s="1">
        <v>70</v>
      </c>
      <c r="C987">
        <v>35</v>
      </c>
      <c r="D987">
        <v>118664</v>
      </c>
      <c r="E987">
        <v>36185</v>
      </c>
      <c r="F987">
        <v>0.79612831900000003</v>
      </c>
      <c r="G987">
        <v>0.84513274299999996</v>
      </c>
      <c r="H987">
        <v>8.1129557000000005E-2</v>
      </c>
      <c r="I987">
        <v>9.2147847000000005E-2</v>
      </c>
    </row>
    <row r="988" spans="1:9" x14ac:dyDescent="0.25">
      <c r="A988" t="s">
        <v>123</v>
      </c>
      <c r="B988" s="1">
        <v>71</v>
      </c>
      <c r="C988">
        <v>0</v>
      </c>
      <c r="D988">
        <v>118604</v>
      </c>
      <c r="E988">
        <v>35604</v>
      </c>
      <c r="F988">
        <v>0.78327433599999996</v>
      </c>
      <c r="G988">
        <v>1</v>
      </c>
      <c r="H988">
        <v>7.9639496000000004E-2</v>
      </c>
      <c r="I988">
        <v>8.8288965999999997E-2</v>
      </c>
    </row>
    <row r="989" spans="1:9" x14ac:dyDescent="0.25">
      <c r="A989" t="s">
        <v>134</v>
      </c>
      <c r="B989" s="1">
        <v>72</v>
      </c>
      <c r="C989">
        <v>30</v>
      </c>
      <c r="D989">
        <v>118496</v>
      </c>
      <c r="E989">
        <v>35577</v>
      </c>
      <c r="F989">
        <v>0.78267699099999999</v>
      </c>
      <c r="G989">
        <v>0.867256637</v>
      </c>
      <c r="H989">
        <v>7.5852612999999999E-2</v>
      </c>
      <c r="I989">
        <v>7.3012202999999998E-2</v>
      </c>
    </row>
    <row r="990" spans="1:9" x14ac:dyDescent="0.25">
      <c r="A990" t="s">
        <v>142</v>
      </c>
      <c r="B990" s="1">
        <v>73</v>
      </c>
      <c r="C990">
        <v>48</v>
      </c>
      <c r="D990">
        <v>118486</v>
      </c>
      <c r="E990">
        <v>34041</v>
      </c>
      <c r="F990">
        <v>0.74869469</v>
      </c>
      <c r="G990">
        <v>0.78761061899999996</v>
      </c>
      <c r="H990">
        <v>7.7021511000000001E-2</v>
      </c>
      <c r="I990">
        <v>8.6640527999999994E-2</v>
      </c>
    </row>
    <row r="991" spans="1:9" x14ac:dyDescent="0.25">
      <c r="A991" t="s">
        <v>10</v>
      </c>
      <c r="B991" s="1">
        <v>74</v>
      </c>
      <c r="C991">
        <v>19</v>
      </c>
      <c r="D991">
        <v>118382</v>
      </c>
      <c r="E991">
        <v>40486</v>
      </c>
      <c r="F991">
        <v>0.89128318600000001</v>
      </c>
      <c r="G991">
        <v>0.915929204</v>
      </c>
      <c r="H991">
        <v>8.4013991999999996E-2</v>
      </c>
      <c r="I991">
        <v>8.0050241999999994E-2</v>
      </c>
    </row>
    <row r="992" spans="1:9" x14ac:dyDescent="0.25">
      <c r="A992" t="s">
        <v>131</v>
      </c>
      <c r="B992" s="1">
        <v>75</v>
      </c>
      <c r="C992">
        <v>0</v>
      </c>
      <c r="D992">
        <v>118293</v>
      </c>
      <c r="E992">
        <v>35438</v>
      </c>
      <c r="F992">
        <v>0.77960176999999997</v>
      </c>
      <c r="G992">
        <v>1</v>
      </c>
      <c r="H992">
        <v>7.9354989000000001E-2</v>
      </c>
      <c r="I992">
        <v>8.8132934999999996E-2</v>
      </c>
    </row>
    <row r="993" spans="1:9" x14ac:dyDescent="0.25">
      <c r="A993" t="s">
        <v>135</v>
      </c>
      <c r="B993" s="1">
        <v>76</v>
      </c>
      <c r="C993">
        <v>0</v>
      </c>
      <c r="D993">
        <v>118291</v>
      </c>
      <c r="E993">
        <v>40348</v>
      </c>
      <c r="F993">
        <v>0.88823008800000003</v>
      </c>
      <c r="G993">
        <v>1</v>
      </c>
      <c r="H993">
        <v>8.5708969999999995E-2</v>
      </c>
      <c r="I993">
        <v>8.7711568000000004E-2</v>
      </c>
    </row>
    <row r="994" spans="1:9" x14ac:dyDescent="0.25">
      <c r="A994" t="s">
        <v>163</v>
      </c>
      <c r="B994" s="1">
        <v>77</v>
      </c>
      <c r="C994">
        <v>77</v>
      </c>
      <c r="D994">
        <v>118282</v>
      </c>
      <c r="E994">
        <v>32070</v>
      </c>
      <c r="F994">
        <v>0.70511061900000005</v>
      </c>
      <c r="G994">
        <v>0.659292035</v>
      </c>
      <c r="H994">
        <v>6.7996657000000002E-2</v>
      </c>
      <c r="I994">
        <v>5.1285881999999998E-2</v>
      </c>
    </row>
    <row r="995" spans="1:9" x14ac:dyDescent="0.25">
      <c r="A995" t="s">
        <v>144</v>
      </c>
      <c r="B995" s="1">
        <v>78</v>
      </c>
      <c r="C995">
        <v>66</v>
      </c>
      <c r="D995">
        <v>118270</v>
      </c>
      <c r="E995">
        <v>29133</v>
      </c>
      <c r="F995">
        <v>0.64011061899999999</v>
      </c>
      <c r="G995">
        <v>0.707964602</v>
      </c>
      <c r="H995">
        <v>6.885442E-2</v>
      </c>
      <c r="I995">
        <v>7.9394777E-2</v>
      </c>
    </row>
    <row r="996" spans="1:9" x14ac:dyDescent="0.25">
      <c r="A996" t="s">
        <v>151</v>
      </c>
      <c r="B996" s="1">
        <v>79</v>
      </c>
      <c r="C996">
        <v>17</v>
      </c>
      <c r="D996">
        <v>118195</v>
      </c>
      <c r="E996">
        <v>36624</v>
      </c>
      <c r="F996">
        <v>0.80584070799999996</v>
      </c>
      <c r="G996">
        <v>0.924778761</v>
      </c>
      <c r="H996">
        <v>8.1334077000000005E-2</v>
      </c>
      <c r="I996">
        <v>8.9998949999999994E-2</v>
      </c>
    </row>
    <row r="997" spans="1:9" x14ac:dyDescent="0.25">
      <c r="A997" t="s">
        <v>146</v>
      </c>
      <c r="B997" s="1">
        <v>80</v>
      </c>
      <c r="C997">
        <v>73</v>
      </c>
      <c r="D997">
        <v>118163</v>
      </c>
      <c r="E997">
        <v>27887</v>
      </c>
      <c r="F997">
        <v>0.61254424799999996</v>
      </c>
      <c r="G997">
        <v>0.67699114999999999</v>
      </c>
      <c r="H997">
        <v>6.6390531000000003E-2</v>
      </c>
      <c r="I997">
        <v>7.5979178999999994E-2</v>
      </c>
    </row>
    <row r="998" spans="1:9" x14ac:dyDescent="0.25">
      <c r="A998" t="s">
        <v>138</v>
      </c>
      <c r="B998" s="1">
        <v>81</v>
      </c>
      <c r="C998">
        <v>21</v>
      </c>
      <c r="D998">
        <v>118079</v>
      </c>
      <c r="E998">
        <v>36201</v>
      </c>
      <c r="F998">
        <v>0.79648230099999995</v>
      </c>
      <c r="G998">
        <v>0.90707964600000002</v>
      </c>
      <c r="H998">
        <v>8.0721233000000003E-2</v>
      </c>
      <c r="I998">
        <v>9.0246699999999999E-2</v>
      </c>
    </row>
    <row r="999" spans="1:9" x14ac:dyDescent="0.25">
      <c r="A999" t="s">
        <v>149</v>
      </c>
      <c r="B999" s="1">
        <v>82</v>
      </c>
      <c r="C999">
        <v>11</v>
      </c>
      <c r="D999">
        <v>118017</v>
      </c>
      <c r="E999">
        <v>36954</v>
      </c>
      <c r="F999">
        <v>0.813141593</v>
      </c>
      <c r="G999">
        <v>0.95132743399999997</v>
      </c>
      <c r="H999">
        <v>8.1917702999999994E-2</v>
      </c>
      <c r="I999">
        <v>9.0766133999999998E-2</v>
      </c>
    </row>
    <row r="1000" spans="1:9" x14ac:dyDescent="0.25">
      <c r="A1000" t="s">
        <v>143</v>
      </c>
      <c r="B1000" s="1">
        <v>83</v>
      </c>
      <c r="C1000">
        <v>68</v>
      </c>
      <c r="D1000">
        <v>118009</v>
      </c>
      <c r="E1000">
        <v>28671</v>
      </c>
      <c r="F1000">
        <v>0.62988938100000003</v>
      </c>
      <c r="G1000">
        <v>0.69911504400000002</v>
      </c>
      <c r="H1000">
        <v>6.7403479000000002E-2</v>
      </c>
      <c r="I1000">
        <v>7.6028784000000002E-2</v>
      </c>
    </row>
    <row r="1001" spans="1:9" x14ac:dyDescent="0.25">
      <c r="A1001" t="s">
        <v>147</v>
      </c>
      <c r="B1001" s="1">
        <v>84</v>
      </c>
      <c r="C1001">
        <v>15</v>
      </c>
      <c r="D1001">
        <v>117981</v>
      </c>
      <c r="E1001">
        <v>38065</v>
      </c>
      <c r="F1001">
        <v>0.83772123899999995</v>
      </c>
      <c r="G1001">
        <v>0.93362831899999998</v>
      </c>
      <c r="H1001">
        <v>8.3558073999999996E-2</v>
      </c>
      <c r="I1001">
        <v>9.1588435999999995E-2</v>
      </c>
    </row>
    <row r="1002" spans="1:9" x14ac:dyDescent="0.25">
      <c r="A1002" t="s">
        <v>133</v>
      </c>
      <c r="B1002" s="1">
        <v>85</v>
      </c>
      <c r="C1002">
        <v>68</v>
      </c>
      <c r="D1002">
        <v>117974</v>
      </c>
      <c r="E1002">
        <v>28840</v>
      </c>
      <c r="F1002">
        <v>0.63362831900000005</v>
      </c>
      <c r="G1002">
        <v>0.69911504400000002</v>
      </c>
      <c r="H1002">
        <v>6.7722358999999996E-2</v>
      </c>
      <c r="I1002">
        <v>7.5916411000000003E-2</v>
      </c>
    </row>
    <row r="1003" spans="1:9" x14ac:dyDescent="0.25">
      <c r="A1003" t="s">
        <v>152</v>
      </c>
      <c r="B1003" s="1">
        <v>86</v>
      </c>
      <c r="C1003">
        <v>7</v>
      </c>
      <c r="D1003">
        <v>117940</v>
      </c>
      <c r="E1003">
        <v>38143</v>
      </c>
      <c r="F1003">
        <v>0.83944690300000002</v>
      </c>
      <c r="G1003">
        <v>0.96902654899999996</v>
      </c>
      <c r="H1003">
        <v>8.2747398999999999E-2</v>
      </c>
      <c r="I1003">
        <v>8.7676873000000002E-2</v>
      </c>
    </row>
    <row r="1004" spans="1:9" x14ac:dyDescent="0.25">
      <c r="A1004" t="s">
        <v>160</v>
      </c>
      <c r="B1004" s="1">
        <v>87</v>
      </c>
      <c r="C1004">
        <v>52</v>
      </c>
      <c r="D1004">
        <v>117915</v>
      </c>
      <c r="E1004">
        <v>32951</v>
      </c>
      <c r="F1004">
        <v>0.72457964600000002</v>
      </c>
      <c r="G1004">
        <v>0.76991150399999997</v>
      </c>
      <c r="H1004">
        <v>7.5180569000000003E-2</v>
      </c>
      <c r="I1004">
        <v>8.5149747999999997E-2</v>
      </c>
    </row>
    <row r="1005" spans="1:9" x14ac:dyDescent="0.25">
      <c r="A1005" t="s">
        <v>13</v>
      </c>
      <c r="B1005" s="1">
        <v>88</v>
      </c>
      <c r="C1005">
        <v>191</v>
      </c>
      <c r="D1005">
        <v>117874</v>
      </c>
      <c r="E1005">
        <v>31851</v>
      </c>
      <c r="F1005">
        <v>0.70028761100000003</v>
      </c>
      <c r="G1005">
        <v>0.15486725700000001</v>
      </c>
      <c r="H1005">
        <v>7.3739735000000001E-2</v>
      </c>
      <c r="I1005">
        <v>8.4395473999999998E-2</v>
      </c>
    </row>
    <row r="1006" spans="1:9" x14ac:dyDescent="0.25">
      <c r="A1006" t="s">
        <v>156</v>
      </c>
      <c r="B1006" s="1">
        <v>89</v>
      </c>
      <c r="C1006">
        <v>65</v>
      </c>
      <c r="D1006">
        <v>117846</v>
      </c>
      <c r="E1006">
        <v>28952</v>
      </c>
      <c r="F1006">
        <v>0.63610619499999999</v>
      </c>
      <c r="G1006">
        <v>0.71238938100000004</v>
      </c>
      <c r="H1006">
        <v>6.8165127000000006E-2</v>
      </c>
      <c r="I1006">
        <v>7.7653260000000002E-2</v>
      </c>
    </row>
    <row r="1007" spans="1:9" x14ac:dyDescent="0.25">
      <c r="A1007" t="s">
        <v>155</v>
      </c>
      <c r="B1007" s="1">
        <v>90</v>
      </c>
      <c r="C1007">
        <v>14</v>
      </c>
      <c r="D1007">
        <v>117724</v>
      </c>
      <c r="E1007">
        <v>38249</v>
      </c>
      <c r="F1007">
        <v>0.84179203499999999</v>
      </c>
      <c r="G1007">
        <v>0.93805309699999995</v>
      </c>
      <c r="H1007">
        <v>8.3681333999999996E-2</v>
      </c>
      <c r="I1007">
        <v>9.0759362999999996E-2</v>
      </c>
    </row>
    <row r="1008" spans="1:9" x14ac:dyDescent="0.25">
      <c r="A1008" t="s">
        <v>145</v>
      </c>
      <c r="B1008" s="1">
        <v>91</v>
      </c>
      <c r="C1008">
        <v>0</v>
      </c>
      <c r="D1008">
        <v>117687</v>
      </c>
      <c r="E1008">
        <v>39492</v>
      </c>
      <c r="F1008">
        <v>0.86929203499999996</v>
      </c>
      <c r="G1008">
        <v>1</v>
      </c>
      <c r="H1008">
        <v>8.4814186E-2</v>
      </c>
      <c r="I1008">
        <v>8.8791495999999998E-2</v>
      </c>
    </row>
    <row r="1009" spans="1:9" x14ac:dyDescent="0.25">
      <c r="A1009" t="s">
        <v>165</v>
      </c>
      <c r="B1009" s="1">
        <v>92</v>
      </c>
      <c r="C1009">
        <v>27</v>
      </c>
      <c r="D1009">
        <v>117601</v>
      </c>
      <c r="E1009">
        <v>35545</v>
      </c>
      <c r="F1009">
        <v>0.78196902700000004</v>
      </c>
      <c r="G1009">
        <v>0.88053097300000005</v>
      </c>
      <c r="H1009">
        <v>7.9438536000000004E-2</v>
      </c>
      <c r="I1009">
        <v>8.8162250999999997E-2</v>
      </c>
    </row>
    <row r="1010" spans="1:9" x14ac:dyDescent="0.25">
      <c r="A1010" t="s">
        <v>122</v>
      </c>
      <c r="B1010" s="1">
        <v>93</v>
      </c>
      <c r="C1010">
        <v>43</v>
      </c>
      <c r="D1010">
        <v>117580</v>
      </c>
      <c r="E1010">
        <v>34689</v>
      </c>
      <c r="F1010">
        <v>0.763030973</v>
      </c>
      <c r="G1010">
        <v>0.80973451299999999</v>
      </c>
      <c r="H1010">
        <v>7.3541325000000005E-2</v>
      </c>
      <c r="I1010">
        <v>6.9563766999999999E-2</v>
      </c>
    </row>
    <row r="1011" spans="1:9" x14ac:dyDescent="0.25">
      <c r="A1011" t="s">
        <v>148</v>
      </c>
      <c r="B1011" s="1">
        <v>94</v>
      </c>
      <c r="C1011">
        <v>72</v>
      </c>
      <c r="D1011">
        <v>117433</v>
      </c>
      <c r="E1011">
        <v>28647</v>
      </c>
      <c r="F1011">
        <v>0.62935840700000001</v>
      </c>
      <c r="G1011">
        <v>0.68141592900000003</v>
      </c>
      <c r="H1011">
        <v>6.7906375000000005E-2</v>
      </c>
      <c r="I1011">
        <v>7.8152828999999993E-2</v>
      </c>
    </row>
    <row r="1012" spans="1:9" x14ac:dyDescent="0.25">
      <c r="A1012" t="s">
        <v>141</v>
      </c>
      <c r="B1012" s="1">
        <v>95</v>
      </c>
      <c r="C1012">
        <v>14</v>
      </c>
      <c r="D1012">
        <v>117422</v>
      </c>
      <c r="E1012">
        <v>37726</v>
      </c>
      <c r="F1012">
        <v>0.830221239</v>
      </c>
      <c r="G1012">
        <v>0.93805309699999995</v>
      </c>
      <c r="H1012">
        <v>8.3245751000000007E-2</v>
      </c>
      <c r="I1012">
        <v>9.1889418E-2</v>
      </c>
    </row>
    <row r="1013" spans="1:9" x14ac:dyDescent="0.25">
      <c r="A1013" t="s">
        <v>153</v>
      </c>
      <c r="B1013" s="1">
        <v>96</v>
      </c>
      <c r="C1013">
        <v>73</v>
      </c>
      <c r="D1013">
        <v>117415</v>
      </c>
      <c r="E1013">
        <v>29196</v>
      </c>
      <c r="F1013">
        <v>0.64150442500000004</v>
      </c>
      <c r="G1013">
        <v>0.67699114999999999</v>
      </c>
      <c r="H1013">
        <v>6.9050205000000003E-2</v>
      </c>
      <c r="I1013">
        <v>7.9504020999999994E-2</v>
      </c>
    </row>
    <row r="1014" spans="1:9" x14ac:dyDescent="0.25">
      <c r="A1014" t="s">
        <v>159</v>
      </c>
      <c r="B1014" s="1">
        <v>97</v>
      </c>
      <c r="C1014">
        <v>18</v>
      </c>
      <c r="D1014">
        <v>117290</v>
      </c>
      <c r="E1014">
        <v>37609</v>
      </c>
      <c r="F1014">
        <v>0.827632743</v>
      </c>
      <c r="G1014">
        <v>0.92035398199999996</v>
      </c>
      <c r="H1014">
        <v>8.2989794000000006E-2</v>
      </c>
      <c r="I1014">
        <v>9.1686963999999996E-2</v>
      </c>
    </row>
    <row r="1015" spans="1:9" x14ac:dyDescent="0.25">
      <c r="A1015" t="s">
        <v>170</v>
      </c>
      <c r="B1015" s="1">
        <v>98</v>
      </c>
      <c r="C1015">
        <v>19</v>
      </c>
      <c r="D1015">
        <v>117143</v>
      </c>
      <c r="E1015">
        <v>37554</v>
      </c>
      <c r="F1015">
        <v>0.82641592900000005</v>
      </c>
      <c r="G1015">
        <v>0.915929204</v>
      </c>
      <c r="H1015">
        <v>8.2301176000000004E-2</v>
      </c>
      <c r="I1015">
        <v>8.8551668E-2</v>
      </c>
    </row>
    <row r="1016" spans="1:9" x14ac:dyDescent="0.25">
      <c r="A1016" t="s">
        <v>161</v>
      </c>
      <c r="B1016" s="1">
        <v>99</v>
      </c>
      <c r="C1016">
        <v>14</v>
      </c>
      <c r="D1016">
        <v>117123</v>
      </c>
      <c r="E1016">
        <v>37216</v>
      </c>
      <c r="F1016">
        <v>0.818938053</v>
      </c>
      <c r="G1016">
        <v>0.93805309699999995</v>
      </c>
      <c r="H1016">
        <v>8.2695981000000002E-2</v>
      </c>
      <c r="I1016">
        <v>9.2738754000000007E-2</v>
      </c>
    </row>
    <row r="1017" spans="1:9" x14ac:dyDescent="0.25">
      <c r="A1017" t="s">
        <v>150</v>
      </c>
      <c r="B1017" s="1">
        <v>100</v>
      </c>
      <c r="C1017">
        <v>26</v>
      </c>
      <c r="D1017">
        <v>117025</v>
      </c>
      <c r="E1017">
        <v>35177</v>
      </c>
      <c r="F1017">
        <v>0.77382743399999998</v>
      </c>
      <c r="G1017">
        <v>0.88495575199999998</v>
      </c>
      <c r="H1017">
        <v>7.5063437999999996E-2</v>
      </c>
      <c r="I1017">
        <v>7.1704304999999996E-2</v>
      </c>
    </row>
    <row r="1018" spans="1:9" x14ac:dyDescent="0.25">
      <c r="A1018" t="s">
        <v>154</v>
      </c>
      <c r="B1018" s="1">
        <v>101</v>
      </c>
      <c r="C1018">
        <v>74</v>
      </c>
      <c r="D1018">
        <v>116985</v>
      </c>
      <c r="E1018">
        <v>28126</v>
      </c>
      <c r="F1018">
        <v>0.61783185799999996</v>
      </c>
      <c r="G1018">
        <v>0.67256637200000002</v>
      </c>
      <c r="H1018">
        <v>6.6994655E-2</v>
      </c>
      <c r="I1018">
        <v>7.6829501999999994E-2</v>
      </c>
    </row>
    <row r="1019" spans="1:9" x14ac:dyDescent="0.25">
      <c r="A1019" t="s">
        <v>171</v>
      </c>
      <c r="B1019" s="1">
        <v>102</v>
      </c>
      <c r="C1019">
        <v>22</v>
      </c>
      <c r="D1019">
        <v>116887</v>
      </c>
      <c r="E1019">
        <v>35311</v>
      </c>
      <c r="F1019">
        <v>0.77679203500000005</v>
      </c>
      <c r="G1019">
        <v>0.90265486699999997</v>
      </c>
      <c r="H1019">
        <v>7.5351319999999999E-2</v>
      </c>
      <c r="I1019">
        <v>7.2213626000000003E-2</v>
      </c>
    </row>
    <row r="1020" spans="1:9" x14ac:dyDescent="0.25">
      <c r="A1020" t="s">
        <v>167</v>
      </c>
      <c r="B1020" s="1">
        <v>103</v>
      </c>
      <c r="C1020">
        <v>11</v>
      </c>
      <c r="D1020">
        <v>116725</v>
      </c>
      <c r="E1020">
        <v>39767</v>
      </c>
      <c r="F1020">
        <v>0.87537610600000004</v>
      </c>
      <c r="G1020">
        <v>0.95132743399999997</v>
      </c>
      <c r="H1020">
        <v>8.4670875000000007E-2</v>
      </c>
      <c r="I1020">
        <v>8.6591232000000004E-2</v>
      </c>
    </row>
    <row r="1021" spans="1:9" x14ac:dyDescent="0.25">
      <c r="A1021" t="s">
        <v>157</v>
      </c>
      <c r="B1021" s="1">
        <v>104</v>
      </c>
      <c r="C1021">
        <v>33</v>
      </c>
      <c r="D1021">
        <v>116670</v>
      </c>
      <c r="E1021">
        <v>35532</v>
      </c>
      <c r="F1021">
        <v>0.78168141599999996</v>
      </c>
      <c r="G1021">
        <v>0.85398230100000005</v>
      </c>
      <c r="H1021">
        <v>7.8868634000000007E-2</v>
      </c>
      <c r="I1021">
        <v>8.5164689000000002E-2</v>
      </c>
    </row>
    <row r="1022" spans="1:9" x14ac:dyDescent="0.25">
      <c r="A1022" t="s">
        <v>137</v>
      </c>
      <c r="B1022" s="1">
        <v>105</v>
      </c>
      <c r="C1022">
        <v>138</v>
      </c>
      <c r="D1022">
        <v>116427</v>
      </c>
      <c r="E1022">
        <v>37802</v>
      </c>
      <c r="F1022">
        <v>0.83192477899999995</v>
      </c>
      <c r="G1022">
        <v>0.38938053099999997</v>
      </c>
      <c r="H1022">
        <v>8.2907875000000006E-2</v>
      </c>
      <c r="I1022">
        <v>8.9688346000000002E-2</v>
      </c>
    </row>
    <row r="1023" spans="1:9" x14ac:dyDescent="0.25">
      <c r="A1023" t="s">
        <v>168</v>
      </c>
      <c r="B1023" s="1">
        <v>106</v>
      </c>
      <c r="C1023">
        <v>74</v>
      </c>
      <c r="D1023">
        <v>116403</v>
      </c>
      <c r="E1023">
        <v>29665</v>
      </c>
      <c r="F1023">
        <v>0.65188053099999999</v>
      </c>
      <c r="G1023">
        <v>0.67256637200000002</v>
      </c>
      <c r="H1023">
        <v>7.0215003999999998E-2</v>
      </c>
      <c r="I1023">
        <v>8.1695939999999995E-2</v>
      </c>
    </row>
    <row r="1024" spans="1:9" x14ac:dyDescent="0.25">
      <c r="A1024" t="s">
        <v>158</v>
      </c>
      <c r="B1024" s="1">
        <v>107</v>
      </c>
      <c r="C1024">
        <v>0</v>
      </c>
      <c r="D1024">
        <v>116336</v>
      </c>
      <c r="E1024">
        <v>38056</v>
      </c>
      <c r="F1024">
        <v>0.83752212400000003</v>
      </c>
      <c r="G1024">
        <v>1</v>
      </c>
      <c r="H1024">
        <v>8.3776290000000003E-2</v>
      </c>
      <c r="I1024">
        <v>9.2464188000000003E-2</v>
      </c>
    </row>
    <row r="1025" spans="1:9" x14ac:dyDescent="0.25">
      <c r="A1025" t="s">
        <v>162</v>
      </c>
      <c r="B1025" s="1">
        <v>108</v>
      </c>
      <c r="C1025">
        <v>34</v>
      </c>
      <c r="D1025">
        <v>116295</v>
      </c>
      <c r="E1025">
        <v>35338</v>
      </c>
      <c r="F1025">
        <v>0.77738938099999999</v>
      </c>
      <c r="G1025">
        <v>0.84955752200000001</v>
      </c>
      <c r="H1025">
        <v>7.8430929999999996E-2</v>
      </c>
      <c r="I1025">
        <v>8.4587208999999997E-2</v>
      </c>
    </row>
    <row r="1026" spans="1:9" x14ac:dyDescent="0.25">
      <c r="A1026" t="s">
        <v>166</v>
      </c>
      <c r="B1026" s="1">
        <v>109</v>
      </c>
      <c r="C1026">
        <v>22</v>
      </c>
      <c r="D1026">
        <v>116280</v>
      </c>
      <c r="E1026">
        <v>35523</v>
      </c>
      <c r="F1026">
        <v>0.78148230100000005</v>
      </c>
      <c r="G1026">
        <v>0.90265486699999997</v>
      </c>
      <c r="H1026">
        <v>7.9119110000000006E-2</v>
      </c>
      <c r="I1026">
        <v>8.6856720999999998E-2</v>
      </c>
    </row>
    <row r="1027" spans="1:9" x14ac:dyDescent="0.25">
      <c r="A1027" t="s">
        <v>173</v>
      </c>
      <c r="B1027" s="1">
        <v>110</v>
      </c>
      <c r="C1027">
        <v>0</v>
      </c>
      <c r="D1027">
        <v>116011</v>
      </c>
      <c r="E1027">
        <v>39301</v>
      </c>
      <c r="F1027">
        <v>0.86506637200000003</v>
      </c>
      <c r="G1027">
        <v>1</v>
      </c>
      <c r="H1027">
        <v>8.5435301000000005E-2</v>
      </c>
      <c r="I1027">
        <v>9.245834E-2</v>
      </c>
    </row>
    <row r="1028" spans="1:9" x14ac:dyDescent="0.25">
      <c r="A1028" t="s">
        <v>172</v>
      </c>
      <c r="B1028" s="1">
        <v>111</v>
      </c>
      <c r="C1028">
        <v>24</v>
      </c>
      <c r="D1028">
        <v>115929</v>
      </c>
      <c r="E1028">
        <v>36482</v>
      </c>
      <c r="F1028">
        <v>0.80269911500000002</v>
      </c>
      <c r="G1028">
        <v>0.89380530999999996</v>
      </c>
      <c r="H1028">
        <v>8.1517356999999999E-2</v>
      </c>
      <c r="I1028">
        <v>9.1979669999999999E-2</v>
      </c>
    </row>
    <row r="1029" spans="1:9" x14ac:dyDescent="0.25">
      <c r="A1029" t="s">
        <v>175</v>
      </c>
      <c r="B1029" s="1">
        <v>112</v>
      </c>
      <c r="C1029">
        <v>57</v>
      </c>
      <c r="D1029">
        <v>115674</v>
      </c>
      <c r="E1029">
        <v>32084</v>
      </c>
      <c r="F1029">
        <v>0.70539823000000001</v>
      </c>
      <c r="G1029">
        <v>0.74778761100000002</v>
      </c>
      <c r="H1029">
        <v>7.3806578999999997E-2</v>
      </c>
      <c r="I1029">
        <v>8.3066062999999996E-2</v>
      </c>
    </row>
    <row r="1030" spans="1:9" x14ac:dyDescent="0.25">
      <c r="A1030" t="s">
        <v>169</v>
      </c>
      <c r="B1030" s="1">
        <v>113</v>
      </c>
      <c r="C1030">
        <v>25</v>
      </c>
      <c r="D1030">
        <v>115585</v>
      </c>
      <c r="E1030">
        <v>34743</v>
      </c>
      <c r="F1030">
        <v>0.76422566400000003</v>
      </c>
      <c r="G1030">
        <v>0.88938053100000003</v>
      </c>
      <c r="H1030">
        <v>7.4493755999999994E-2</v>
      </c>
      <c r="I1030">
        <v>7.1881291999999999E-2</v>
      </c>
    </row>
    <row r="1031" spans="1:9" x14ac:dyDescent="0.25">
      <c r="A1031" t="s">
        <v>174</v>
      </c>
      <c r="B1031" s="1">
        <v>114</v>
      </c>
      <c r="C1031">
        <v>28</v>
      </c>
      <c r="D1031">
        <v>115572</v>
      </c>
      <c r="E1031">
        <v>36841</v>
      </c>
      <c r="F1031">
        <v>0.81064159300000005</v>
      </c>
      <c r="G1031">
        <v>0.87610619499999998</v>
      </c>
      <c r="H1031">
        <v>7.8292707000000003E-2</v>
      </c>
      <c r="I1031">
        <v>7.6029606999999999E-2</v>
      </c>
    </row>
    <row r="1032" spans="1:9" x14ac:dyDescent="0.25">
      <c r="A1032" t="s">
        <v>176</v>
      </c>
      <c r="B1032" s="1">
        <v>115</v>
      </c>
      <c r="C1032">
        <v>71</v>
      </c>
      <c r="D1032">
        <v>115387</v>
      </c>
      <c r="E1032">
        <v>29181</v>
      </c>
      <c r="F1032">
        <v>0.64117256600000005</v>
      </c>
      <c r="G1032">
        <v>0.68584070799999997</v>
      </c>
      <c r="H1032">
        <v>6.9081390000000006E-2</v>
      </c>
      <c r="I1032">
        <v>7.9760155999999999E-2</v>
      </c>
    </row>
    <row r="1033" spans="1:9" x14ac:dyDescent="0.25">
      <c r="A1033" t="s">
        <v>178</v>
      </c>
      <c r="B1033" s="1">
        <v>116</v>
      </c>
      <c r="C1033">
        <v>72</v>
      </c>
      <c r="D1033">
        <v>114504</v>
      </c>
      <c r="E1033">
        <v>30761</v>
      </c>
      <c r="F1033">
        <v>0.67612831900000003</v>
      </c>
      <c r="G1033">
        <v>0.68141592900000003</v>
      </c>
      <c r="H1033">
        <v>7.1809757000000002E-2</v>
      </c>
      <c r="I1033">
        <v>8.1902058999999999E-2</v>
      </c>
    </row>
    <row r="1034" spans="1:9" x14ac:dyDescent="0.25">
      <c r="A1034" t="s">
        <v>177</v>
      </c>
      <c r="B1034" s="1">
        <v>117</v>
      </c>
      <c r="C1034">
        <v>72</v>
      </c>
      <c r="D1034">
        <v>114363</v>
      </c>
      <c r="E1034">
        <v>30052</v>
      </c>
      <c r="F1034">
        <v>0.660442478</v>
      </c>
      <c r="G1034">
        <v>0.68141592900000003</v>
      </c>
      <c r="H1034">
        <v>7.0725461000000003E-2</v>
      </c>
      <c r="I1034">
        <v>8.1506604999999996E-2</v>
      </c>
    </row>
    <row r="1035" spans="1:9" x14ac:dyDescent="0.25">
      <c r="A1035" t="s">
        <v>179</v>
      </c>
      <c r="B1035" s="1">
        <v>118</v>
      </c>
      <c r="C1035">
        <v>17</v>
      </c>
      <c r="D1035">
        <v>113089</v>
      </c>
      <c r="E1035">
        <v>40880</v>
      </c>
      <c r="F1035">
        <v>0.9</v>
      </c>
      <c r="G1035">
        <v>0.924778761</v>
      </c>
      <c r="H1035">
        <v>8.3397582999999997E-2</v>
      </c>
      <c r="I1035">
        <v>7.5610358000000003E-2</v>
      </c>
    </row>
    <row r="1036" spans="1:9" x14ac:dyDescent="0.25">
      <c r="A1036" t="s">
        <v>181</v>
      </c>
      <c r="B1036" s="1">
        <v>119</v>
      </c>
      <c r="C1036">
        <v>79</v>
      </c>
      <c r="D1036">
        <v>112599</v>
      </c>
      <c r="E1036">
        <v>30648</v>
      </c>
      <c r="F1036">
        <v>0.67426991199999997</v>
      </c>
      <c r="G1036">
        <v>0.65044247799999999</v>
      </c>
      <c r="H1036">
        <v>6.6670193000000003E-2</v>
      </c>
      <c r="I1036">
        <v>5.1465294000000002E-2</v>
      </c>
    </row>
    <row r="1037" spans="1:9" x14ac:dyDescent="0.25">
      <c r="A1037" t="s">
        <v>12</v>
      </c>
      <c r="B1037" s="1">
        <v>120</v>
      </c>
      <c r="C1037">
        <v>15</v>
      </c>
      <c r="D1037">
        <v>112573</v>
      </c>
      <c r="E1037">
        <v>43370</v>
      </c>
      <c r="F1037">
        <v>0.95508849600000001</v>
      </c>
      <c r="G1037">
        <v>0.93362831899999998</v>
      </c>
      <c r="H1037">
        <v>8.6465807000000006E-2</v>
      </c>
      <c r="I1037">
        <v>7.3664940999999998E-2</v>
      </c>
    </row>
    <row r="1038" spans="1:9" x14ac:dyDescent="0.25">
      <c r="A1038" t="s">
        <v>164</v>
      </c>
      <c r="B1038" s="1">
        <v>121</v>
      </c>
      <c r="C1038">
        <v>82</v>
      </c>
      <c r="D1038">
        <v>112562</v>
      </c>
      <c r="E1038">
        <v>32008</v>
      </c>
      <c r="F1038">
        <v>0.70371681399999997</v>
      </c>
      <c r="G1038">
        <v>0.63716814200000005</v>
      </c>
      <c r="H1038">
        <v>7.2307356000000003E-2</v>
      </c>
      <c r="I1038">
        <v>7.3951416000000006E-2</v>
      </c>
    </row>
    <row r="1039" spans="1:9" x14ac:dyDescent="0.25">
      <c r="A1039" t="s">
        <v>180</v>
      </c>
      <c r="B1039" s="1">
        <v>122</v>
      </c>
      <c r="C1039">
        <v>106</v>
      </c>
      <c r="D1039">
        <v>111911</v>
      </c>
      <c r="E1039">
        <v>26220</v>
      </c>
      <c r="F1039">
        <v>0.57584070799999998</v>
      </c>
      <c r="G1039">
        <v>0.53097345100000004</v>
      </c>
      <c r="H1039">
        <v>5.9090717000000001E-2</v>
      </c>
      <c r="I1039">
        <v>4.4269713000000002E-2</v>
      </c>
    </row>
    <row r="1040" spans="1:9" x14ac:dyDescent="0.25">
      <c r="A1040" t="s">
        <v>182</v>
      </c>
      <c r="B1040" s="1">
        <v>123</v>
      </c>
      <c r="C1040">
        <v>13</v>
      </c>
      <c r="D1040">
        <v>109594</v>
      </c>
      <c r="E1040">
        <v>42783</v>
      </c>
      <c r="F1040">
        <v>0.94210176999999995</v>
      </c>
      <c r="G1040">
        <v>0.94247787599999999</v>
      </c>
      <c r="H1040">
        <v>8.6504790999999998E-2</v>
      </c>
      <c r="I1040">
        <v>7.7717481000000005E-2</v>
      </c>
    </row>
    <row r="1041" spans="1:9" x14ac:dyDescent="0.25">
      <c r="A1041" t="s">
        <v>185</v>
      </c>
      <c r="B1041" s="1">
        <v>124</v>
      </c>
      <c r="C1041">
        <v>0</v>
      </c>
      <c r="D1041">
        <v>108535</v>
      </c>
      <c r="E1041">
        <v>43462</v>
      </c>
      <c r="F1041">
        <v>0.95712389399999998</v>
      </c>
      <c r="G1041">
        <v>1</v>
      </c>
      <c r="H1041">
        <v>8.6915962999999999E-2</v>
      </c>
      <c r="I1041">
        <v>7.5049488999999997E-2</v>
      </c>
    </row>
    <row r="1042" spans="1:9" x14ac:dyDescent="0.25">
      <c r="A1042" t="s">
        <v>187</v>
      </c>
      <c r="B1042" s="1">
        <v>125</v>
      </c>
      <c r="C1042">
        <v>0</v>
      </c>
      <c r="D1042">
        <v>107805</v>
      </c>
      <c r="E1042">
        <v>44756</v>
      </c>
      <c r="F1042">
        <v>0.98575221199999996</v>
      </c>
      <c r="G1042">
        <v>1</v>
      </c>
      <c r="H1042">
        <v>8.9557610999999995E-2</v>
      </c>
      <c r="I1042">
        <v>7.8893623999999996E-2</v>
      </c>
    </row>
    <row r="1043" spans="1:9" x14ac:dyDescent="0.25">
      <c r="A1043" t="s">
        <v>192</v>
      </c>
      <c r="B1043" s="1">
        <v>126</v>
      </c>
      <c r="C1043">
        <v>10</v>
      </c>
      <c r="D1043">
        <v>107797</v>
      </c>
      <c r="E1043">
        <v>42728</v>
      </c>
      <c r="F1043">
        <v>0.94088495599999999</v>
      </c>
      <c r="G1043">
        <v>0.95575221200000005</v>
      </c>
      <c r="H1043">
        <v>8.6025809999999994E-2</v>
      </c>
      <c r="I1043">
        <v>7.6019619999999996E-2</v>
      </c>
    </row>
    <row r="1044" spans="1:9" x14ac:dyDescent="0.25">
      <c r="A1044" t="s">
        <v>183</v>
      </c>
      <c r="B1044" s="1">
        <v>127</v>
      </c>
      <c r="C1044">
        <v>101</v>
      </c>
      <c r="D1044">
        <v>107456</v>
      </c>
      <c r="E1044">
        <v>20493</v>
      </c>
      <c r="F1044">
        <v>0.44904867300000001</v>
      </c>
      <c r="G1044">
        <v>0.55309734499999996</v>
      </c>
      <c r="H1044">
        <v>4.3147687999999997E-2</v>
      </c>
      <c r="I1044">
        <v>9.6757070000000004E-3</v>
      </c>
    </row>
    <row r="1045" spans="1:9" x14ac:dyDescent="0.25">
      <c r="A1045" t="s">
        <v>17</v>
      </c>
      <c r="B1045" s="1">
        <v>128</v>
      </c>
      <c r="C1045">
        <v>106</v>
      </c>
      <c r="D1045">
        <v>107346</v>
      </c>
      <c r="E1045">
        <v>31276</v>
      </c>
      <c r="F1045">
        <v>0.69084070799999997</v>
      </c>
      <c r="G1045">
        <v>0.53097345100000004</v>
      </c>
      <c r="H1045">
        <v>6.5948147999999998E-2</v>
      </c>
      <c r="I1045">
        <v>4.674267E-2</v>
      </c>
    </row>
    <row r="1046" spans="1:9" x14ac:dyDescent="0.25">
      <c r="A1046" t="s">
        <v>184</v>
      </c>
      <c r="B1046" s="1">
        <v>129</v>
      </c>
      <c r="C1046">
        <v>94</v>
      </c>
      <c r="D1046">
        <v>107242</v>
      </c>
      <c r="E1046">
        <v>19470</v>
      </c>
      <c r="F1046">
        <v>0.42929203500000002</v>
      </c>
      <c r="G1046">
        <v>0.584070796</v>
      </c>
      <c r="H1046">
        <v>4.3099878000000001E-2</v>
      </c>
      <c r="I1046">
        <v>8.4049629999999997E-3</v>
      </c>
    </row>
    <row r="1047" spans="1:9" x14ac:dyDescent="0.25">
      <c r="A1047" t="s">
        <v>191</v>
      </c>
      <c r="B1047" s="1">
        <v>130</v>
      </c>
      <c r="C1047">
        <v>59</v>
      </c>
      <c r="D1047">
        <v>107218</v>
      </c>
      <c r="E1047">
        <v>26157</v>
      </c>
      <c r="F1047">
        <v>0.57429203500000003</v>
      </c>
      <c r="G1047">
        <v>0.73893805300000004</v>
      </c>
      <c r="H1047">
        <v>5.8604740000000002E-2</v>
      </c>
      <c r="I1047">
        <v>3.9069064000000001E-2</v>
      </c>
    </row>
    <row r="1048" spans="1:9" x14ac:dyDescent="0.25">
      <c r="A1048" t="s">
        <v>190</v>
      </c>
      <c r="B1048" s="1">
        <v>131</v>
      </c>
      <c r="C1048">
        <v>59</v>
      </c>
      <c r="D1048">
        <v>106567</v>
      </c>
      <c r="E1048">
        <v>25903</v>
      </c>
      <c r="F1048">
        <v>0.56867256600000005</v>
      </c>
      <c r="G1048">
        <v>0.73893805300000004</v>
      </c>
      <c r="H1048">
        <v>5.8080715999999998E-2</v>
      </c>
      <c r="I1048">
        <v>3.8110528999999997E-2</v>
      </c>
    </row>
    <row r="1049" spans="1:9" x14ac:dyDescent="0.25">
      <c r="A1049" t="s">
        <v>189</v>
      </c>
      <c r="B1049" s="1">
        <v>132</v>
      </c>
      <c r="C1049">
        <v>51</v>
      </c>
      <c r="D1049">
        <v>106478</v>
      </c>
      <c r="E1049">
        <v>34818</v>
      </c>
      <c r="F1049">
        <v>0.76592920399999997</v>
      </c>
      <c r="G1049">
        <v>0.77433628300000001</v>
      </c>
      <c r="H1049">
        <v>7.0720809999999995E-2</v>
      </c>
      <c r="I1049">
        <v>5.0504658000000001E-2</v>
      </c>
    </row>
    <row r="1050" spans="1:9" x14ac:dyDescent="0.25">
      <c r="A1050" t="s">
        <v>186</v>
      </c>
      <c r="B1050" s="1">
        <v>133</v>
      </c>
      <c r="C1050">
        <v>3</v>
      </c>
      <c r="D1050">
        <v>106461</v>
      </c>
      <c r="E1050">
        <v>44430</v>
      </c>
      <c r="F1050">
        <v>0.97853982299999998</v>
      </c>
      <c r="G1050">
        <v>0.98672566399999995</v>
      </c>
      <c r="H1050">
        <v>8.8349090000000005E-2</v>
      </c>
      <c r="I1050">
        <v>7.5688535000000001E-2</v>
      </c>
    </row>
    <row r="1051" spans="1:9" x14ac:dyDescent="0.25">
      <c r="A1051" t="s">
        <v>193</v>
      </c>
      <c r="B1051" s="1">
        <v>134</v>
      </c>
      <c r="C1051">
        <v>61</v>
      </c>
      <c r="D1051">
        <v>106179</v>
      </c>
      <c r="E1051">
        <v>26050</v>
      </c>
      <c r="F1051">
        <v>0.57192477900000005</v>
      </c>
      <c r="G1051">
        <v>0.73008849600000003</v>
      </c>
      <c r="H1051">
        <v>5.8376045000000001E-2</v>
      </c>
      <c r="I1051">
        <v>3.9057540000000002E-2</v>
      </c>
    </row>
    <row r="1052" spans="1:9" x14ac:dyDescent="0.25">
      <c r="A1052" t="s">
        <v>197</v>
      </c>
      <c r="B1052" s="1">
        <v>135</v>
      </c>
      <c r="C1052">
        <v>0</v>
      </c>
      <c r="D1052">
        <v>105570</v>
      </c>
      <c r="E1052">
        <v>45400</v>
      </c>
      <c r="F1052">
        <v>1</v>
      </c>
      <c r="G1052">
        <v>1</v>
      </c>
      <c r="H1052">
        <v>8.9971430000000005E-2</v>
      </c>
      <c r="I1052">
        <v>7.6930709999999999E-2</v>
      </c>
    </row>
    <row r="1053" spans="1:9" x14ac:dyDescent="0.25">
      <c r="A1053" t="s">
        <v>195</v>
      </c>
      <c r="B1053" s="1">
        <v>136</v>
      </c>
      <c r="C1053">
        <v>64</v>
      </c>
      <c r="D1053">
        <v>105389</v>
      </c>
      <c r="E1053">
        <v>36644</v>
      </c>
      <c r="F1053">
        <v>0.80630531000000005</v>
      </c>
      <c r="G1053">
        <v>0.71681415900000001</v>
      </c>
      <c r="H1053">
        <v>7.6308081E-2</v>
      </c>
      <c r="I1053">
        <v>6.4023003999999994E-2</v>
      </c>
    </row>
    <row r="1054" spans="1:9" x14ac:dyDescent="0.25">
      <c r="A1054" t="s">
        <v>194</v>
      </c>
      <c r="B1054" s="1">
        <v>137</v>
      </c>
      <c r="C1054">
        <v>55</v>
      </c>
      <c r="D1054">
        <v>104619</v>
      </c>
      <c r="E1054">
        <v>32078</v>
      </c>
      <c r="F1054">
        <v>0.70528761100000004</v>
      </c>
      <c r="G1054">
        <v>0.75663716800000003</v>
      </c>
      <c r="H1054">
        <v>6.9666143999999999E-2</v>
      </c>
      <c r="I1054">
        <v>5.6544635000000003E-2</v>
      </c>
    </row>
    <row r="1055" spans="1:9" x14ac:dyDescent="0.25">
      <c r="A1055" t="s">
        <v>188</v>
      </c>
      <c r="B1055" s="1">
        <v>138</v>
      </c>
      <c r="C1055">
        <v>71</v>
      </c>
      <c r="D1055">
        <v>104263</v>
      </c>
      <c r="E1055">
        <v>29429</v>
      </c>
      <c r="F1055">
        <v>0.64785398199999999</v>
      </c>
      <c r="G1055">
        <v>0.68584070799999997</v>
      </c>
      <c r="H1055">
        <v>6.5461116999999999E-2</v>
      </c>
      <c r="I1055">
        <v>5.4009548999999997E-2</v>
      </c>
    </row>
    <row r="1056" spans="1:9" x14ac:dyDescent="0.25">
      <c r="A1056" t="s">
        <v>196</v>
      </c>
      <c r="B1056" s="1">
        <v>139</v>
      </c>
      <c r="C1056">
        <v>87</v>
      </c>
      <c r="D1056">
        <v>103819</v>
      </c>
      <c r="E1056">
        <v>18145</v>
      </c>
      <c r="F1056">
        <v>0.397057522</v>
      </c>
      <c r="G1056">
        <v>0.61504424800000002</v>
      </c>
      <c r="H1056">
        <v>3.9481539000000003E-2</v>
      </c>
      <c r="I1056">
        <v>8.7728700000000003E-4</v>
      </c>
    </row>
    <row r="1057" spans="1:9" x14ac:dyDescent="0.25">
      <c r="A1057" t="s">
        <v>18</v>
      </c>
      <c r="B1057" s="1">
        <v>140</v>
      </c>
      <c r="C1057">
        <v>115</v>
      </c>
      <c r="D1057">
        <v>103209</v>
      </c>
      <c r="E1057">
        <v>13867</v>
      </c>
      <c r="F1057">
        <v>0.30679203500000002</v>
      </c>
      <c r="G1057">
        <v>0.49115044200000002</v>
      </c>
      <c r="H1057">
        <v>2.9842487000000001E-2</v>
      </c>
      <c r="I1057">
        <v>-1.7247664999999999E-2</v>
      </c>
    </row>
    <row r="1058" spans="1:9" x14ac:dyDescent="0.25">
      <c r="A1058" t="s">
        <v>198</v>
      </c>
      <c r="B1058" s="1">
        <v>141</v>
      </c>
      <c r="C1058">
        <v>20</v>
      </c>
      <c r="D1058">
        <v>101423</v>
      </c>
      <c r="E1058">
        <v>43449</v>
      </c>
      <c r="F1058">
        <v>0.96126106200000005</v>
      </c>
      <c r="G1058">
        <v>0.91150442499999995</v>
      </c>
      <c r="H1058">
        <v>8.7003943E-2</v>
      </c>
      <c r="I1058">
        <v>7.4809264E-2</v>
      </c>
    </row>
    <row r="1059" spans="1:9" x14ac:dyDescent="0.25">
      <c r="A1059" t="s">
        <v>200</v>
      </c>
      <c r="B1059" s="1">
        <v>142</v>
      </c>
      <c r="C1059">
        <v>109</v>
      </c>
      <c r="D1059">
        <v>101373</v>
      </c>
      <c r="E1059">
        <v>24231</v>
      </c>
      <c r="F1059">
        <v>0.53176991200000001</v>
      </c>
      <c r="G1059">
        <v>0.51769911499999999</v>
      </c>
      <c r="H1059">
        <v>5.0078405999999999E-2</v>
      </c>
      <c r="I1059">
        <v>2.3545097000000001E-2</v>
      </c>
    </row>
    <row r="1060" spans="1:9" x14ac:dyDescent="0.25">
      <c r="A1060" t="s">
        <v>199</v>
      </c>
      <c r="B1060" s="1">
        <v>143</v>
      </c>
      <c r="C1060">
        <v>103</v>
      </c>
      <c r="D1060">
        <v>101310</v>
      </c>
      <c r="E1060">
        <v>23222</v>
      </c>
      <c r="F1060">
        <v>0.51154867299999995</v>
      </c>
      <c r="G1060">
        <v>0.54424778799999995</v>
      </c>
      <c r="H1060">
        <v>4.9717853999999999E-2</v>
      </c>
      <c r="I1060">
        <v>1.4105950000000001E-2</v>
      </c>
    </row>
    <row r="1061" spans="1:9" x14ac:dyDescent="0.25">
      <c r="A1061" t="s">
        <v>203</v>
      </c>
      <c r="B1061" s="1">
        <v>144</v>
      </c>
      <c r="C1061">
        <v>78</v>
      </c>
      <c r="D1061">
        <v>100917</v>
      </c>
      <c r="E1061">
        <v>18182</v>
      </c>
      <c r="F1061">
        <v>0.402212389</v>
      </c>
      <c r="G1061">
        <v>0.65486725700000004</v>
      </c>
      <c r="H1061">
        <v>3.9271107999999999E-2</v>
      </c>
      <c r="I1061">
        <v>-5.4240199999999999E-4</v>
      </c>
    </row>
    <row r="1062" spans="1:9" x14ac:dyDescent="0.25">
      <c r="A1062" t="s">
        <v>204</v>
      </c>
      <c r="B1062" s="1">
        <v>145</v>
      </c>
      <c r="C1062">
        <v>112</v>
      </c>
      <c r="D1062">
        <v>100451</v>
      </c>
      <c r="E1062">
        <v>24934</v>
      </c>
      <c r="F1062">
        <v>0.55163716799999996</v>
      </c>
      <c r="G1062">
        <v>0.50442477900000005</v>
      </c>
      <c r="H1062">
        <v>5.6416004999999998E-2</v>
      </c>
      <c r="I1062">
        <v>3.4933445E-2</v>
      </c>
    </row>
    <row r="1063" spans="1:9" x14ac:dyDescent="0.25">
      <c r="A1063" t="s">
        <v>205</v>
      </c>
      <c r="B1063" s="1">
        <v>146</v>
      </c>
      <c r="C1063">
        <v>58</v>
      </c>
      <c r="D1063">
        <v>100404</v>
      </c>
      <c r="E1063">
        <v>39191</v>
      </c>
      <c r="F1063">
        <v>0.86287610599999998</v>
      </c>
      <c r="G1063">
        <v>0.74336283199999997</v>
      </c>
      <c r="H1063">
        <v>8.0454836000000002E-2</v>
      </c>
      <c r="I1063">
        <v>6.6885369E-2</v>
      </c>
    </row>
    <row r="1064" spans="1:9" x14ac:dyDescent="0.25">
      <c r="A1064" t="s">
        <v>201</v>
      </c>
      <c r="B1064" s="1">
        <v>147</v>
      </c>
      <c r="C1064">
        <v>142</v>
      </c>
      <c r="D1064">
        <v>99940</v>
      </c>
      <c r="E1064">
        <v>21521</v>
      </c>
      <c r="F1064">
        <v>0.47411504399999999</v>
      </c>
      <c r="G1064">
        <v>0.37168141599999999</v>
      </c>
      <c r="H1064">
        <v>4.7917812999999997E-2</v>
      </c>
      <c r="I1064">
        <v>1.3664762E-2</v>
      </c>
    </row>
    <row r="1065" spans="1:9" x14ac:dyDescent="0.25">
      <c r="A1065" t="s">
        <v>206</v>
      </c>
      <c r="B1065" s="1">
        <v>148</v>
      </c>
      <c r="C1065">
        <v>65</v>
      </c>
      <c r="D1065">
        <v>99741</v>
      </c>
      <c r="E1065">
        <v>19462</v>
      </c>
      <c r="F1065">
        <v>0.42617256599999997</v>
      </c>
      <c r="G1065">
        <v>0.71238938100000004</v>
      </c>
      <c r="H1065">
        <v>3.9426790000000003E-2</v>
      </c>
      <c r="I1065">
        <v>-8.9618409999999999E-3</v>
      </c>
    </row>
    <row r="1066" spans="1:9" x14ac:dyDescent="0.25">
      <c r="A1066" t="s">
        <v>207</v>
      </c>
      <c r="B1066" s="1">
        <v>149</v>
      </c>
      <c r="C1066">
        <v>62</v>
      </c>
      <c r="D1066">
        <v>98997</v>
      </c>
      <c r="E1066">
        <v>38935</v>
      </c>
      <c r="F1066">
        <v>0.85721238899999996</v>
      </c>
      <c r="G1066">
        <v>0.72566371699999999</v>
      </c>
      <c r="H1066">
        <v>8.0092462000000003E-2</v>
      </c>
      <c r="I1066">
        <v>6.6757789999999997E-2</v>
      </c>
    </row>
    <row r="1067" spans="1:9" x14ac:dyDescent="0.25">
      <c r="A1067" t="s">
        <v>202</v>
      </c>
      <c r="B1067" s="1">
        <v>150</v>
      </c>
      <c r="C1067">
        <v>64</v>
      </c>
      <c r="D1067">
        <v>98668</v>
      </c>
      <c r="E1067">
        <v>38617</v>
      </c>
      <c r="F1067">
        <v>0.85028761100000005</v>
      </c>
      <c r="G1067">
        <v>0.71681415900000001</v>
      </c>
      <c r="H1067">
        <v>7.9383270000000006E-2</v>
      </c>
      <c r="I1067">
        <v>6.5090058000000006E-2</v>
      </c>
    </row>
    <row r="1068" spans="1:9" x14ac:dyDescent="0.25">
      <c r="A1068" t="s">
        <v>209</v>
      </c>
      <c r="B1068" s="1">
        <v>151</v>
      </c>
      <c r="C1068">
        <v>59</v>
      </c>
      <c r="D1068">
        <v>98459</v>
      </c>
      <c r="E1068">
        <v>38500</v>
      </c>
      <c r="F1068">
        <v>0.84761061900000001</v>
      </c>
      <c r="G1068">
        <v>0.73893805300000004</v>
      </c>
      <c r="H1068">
        <v>7.9387276000000007E-2</v>
      </c>
      <c r="I1068">
        <v>6.5419954000000002E-2</v>
      </c>
    </row>
    <row r="1069" spans="1:9" x14ac:dyDescent="0.25">
      <c r="A1069" t="s">
        <v>211</v>
      </c>
      <c r="B1069" s="1">
        <v>152</v>
      </c>
      <c r="C1069">
        <v>41</v>
      </c>
      <c r="D1069">
        <v>98299</v>
      </c>
      <c r="E1069">
        <v>41931</v>
      </c>
      <c r="F1069">
        <v>0.92327433599999997</v>
      </c>
      <c r="G1069">
        <v>0.81858407099999997</v>
      </c>
      <c r="H1069">
        <v>8.2063933000000006E-2</v>
      </c>
      <c r="I1069">
        <v>6.4346549000000003E-2</v>
      </c>
    </row>
    <row r="1070" spans="1:9" x14ac:dyDescent="0.25">
      <c r="A1070" t="s">
        <v>210</v>
      </c>
      <c r="B1070" s="1">
        <v>153</v>
      </c>
      <c r="C1070">
        <v>113</v>
      </c>
      <c r="D1070">
        <v>97233</v>
      </c>
      <c r="E1070">
        <v>22342</v>
      </c>
      <c r="F1070">
        <v>0.49263274299999998</v>
      </c>
      <c r="G1070">
        <v>0.5</v>
      </c>
      <c r="H1070">
        <v>4.8236882000000002E-2</v>
      </c>
      <c r="I1070">
        <v>1.1475983E-2</v>
      </c>
    </row>
    <row r="1071" spans="1:9" x14ac:dyDescent="0.25">
      <c r="A1071" t="s">
        <v>218</v>
      </c>
      <c r="B1071" s="1">
        <v>154</v>
      </c>
      <c r="C1071">
        <v>129</v>
      </c>
      <c r="D1071">
        <v>97146</v>
      </c>
      <c r="E1071">
        <v>10966</v>
      </c>
      <c r="F1071">
        <v>0.23840707999999999</v>
      </c>
      <c r="G1071">
        <v>0.42920353999999999</v>
      </c>
      <c r="H1071">
        <v>2.1867996000000001E-2</v>
      </c>
      <c r="I1071">
        <v>-4.0311319999999998E-2</v>
      </c>
    </row>
    <row r="1072" spans="1:9" x14ac:dyDescent="0.25">
      <c r="A1072" t="s">
        <v>214</v>
      </c>
      <c r="B1072" s="1">
        <v>155</v>
      </c>
      <c r="C1072">
        <v>39</v>
      </c>
      <c r="D1072">
        <v>97103</v>
      </c>
      <c r="E1072">
        <v>41694</v>
      </c>
      <c r="F1072">
        <v>0.92243362799999995</v>
      </c>
      <c r="G1072">
        <v>0.82743362799999998</v>
      </c>
      <c r="H1072">
        <v>8.4679401000000001E-2</v>
      </c>
      <c r="I1072">
        <v>7.4206516E-2</v>
      </c>
    </row>
    <row r="1073" spans="1:9" x14ac:dyDescent="0.25">
      <c r="A1073" t="s">
        <v>208</v>
      </c>
      <c r="B1073" s="1">
        <v>156</v>
      </c>
      <c r="C1073">
        <v>133</v>
      </c>
      <c r="D1073">
        <v>97072</v>
      </c>
      <c r="E1073">
        <v>12136</v>
      </c>
      <c r="F1073">
        <v>0.26847345099999997</v>
      </c>
      <c r="G1073">
        <v>0.41150442500000001</v>
      </c>
      <c r="H1073">
        <v>2.6617526999999998E-2</v>
      </c>
      <c r="I1073">
        <v>-2.4481249E-2</v>
      </c>
    </row>
    <row r="1074" spans="1:9" x14ac:dyDescent="0.25">
      <c r="A1074" t="s">
        <v>215</v>
      </c>
      <c r="B1074" s="1">
        <v>157</v>
      </c>
      <c r="C1074">
        <v>86</v>
      </c>
      <c r="D1074">
        <v>97066</v>
      </c>
      <c r="E1074">
        <v>23304</v>
      </c>
      <c r="F1074">
        <v>0.51314159299999995</v>
      </c>
      <c r="G1074">
        <v>0.61946902699999995</v>
      </c>
      <c r="H1074">
        <v>4.9339713E-2</v>
      </c>
      <c r="I1074">
        <v>1.289158E-2</v>
      </c>
    </row>
    <row r="1075" spans="1:9" x14ac:dyDescent="0.25">
      <c r="A1075" t="s">
        <v>213</v>
      </c>
      <c r="B1075" s="1">
        <v>158</v>
      </c>
      <c r="C1075">
        <v>119</v>
      </c>
      <c r="D1075">
        <v>97032</v>
      </c>
      <c r="E1075">
        <v>14078</v>
      </c>
      <c r="F1075">
        <v>0.30995575199999997</v>
      </c>
      <c r="G1075">
        <v>0.47345132699999998</v>
      </c>
      <c r="H1075">
        <v>2.8599903999999999E-2</v>
      </c>
      <c r="I1075">
        <v>-2.5666258000000001E-2</v>
      </c>
    </row>
    <row r="1076" spans="1:9" x14ac:dyDescent="0.25">
      <c r="A1076" t="s">
        <v>19</v>
      </c>
      <c r="B1076" s="1">
        <v>159</v>
      </c>
      <c r="C1076">
        <v>173</v>
      </c>
      <c r="D1076">
        <v>97004</v>
      </c>
      <c r="E1076">
        <v>16089</v>
      </c>
      <c r="F1076">
        <v>0.355575221</v>
      </c>
      <c r="G1076">
        <v>0.23451327399999999</v>
      </c>
      <c r="H1076">
        <v>3.6434175999999999E-2</v>
      </c>
      <c r="I1076">
        <v>-5.8805239999999998E-3</v>
      </c>
    </row>
    <row r="1077" spans="1:9" x14ac:dyDescent="0.25">
      <c r="A1077" t="s">
        <v>220</v>
      </c>
      <c r="B1077" s="1">
        <v>160</v>
      </c>
      <c r="C1077">
        <v>68</v>
      </c>
      <c r="D1077">
        <v>96945</v>
      </c>
      <c r="E1077">
        <v>40904</v>
      </c>
      <c r="F1077">
        <v>0.90086283199999995</v>
      </c>
      <c r="G1077">
        <v>0.69911504400000002</v>
      </c>
      <c r="H1077">
        <v>8.1030186000000004E-2</v>
      </c>
      <c r="I1077">
        <v>6.1535346999999997E-2</v>
      </c>
    </row>
    <row r="1078" spans="1:9" x14ac:dyDescent="0.25">
      <c r="A1078" t="s">
        <v>216</v>
      </c>
      <c r="B1078" s="1">
        <v>161</v>
      </c>
      <c r="C1078">
        <v>110</v>
      </c>
      <c r="D1078">
        <v>96690</v>
      </c>
      <c r="E1078">
        <v>22362</v>
      </c>
      <c r="F1078">
        <v>0.49473451299999999</v>
      </c>
      <c r="G1078">
        <v>0.51327433600000005</v>
      </c>
      <c r="H1078">
        <v>5.1702054999999997E-2</v>
      </c>
      <c r="I1078">
        <v>2.8812767E-2</v>
      </c>
    </row>
    <row r="1079" spans="1:9" x14ac:dyDescent="0.25">
      <c r="A1079" t="s">
        <v>212</v>
      </c>
      <c r="B1079" s="1">
        <v>162</v>
      </c>
      <c r="C1079">
        <v>95</v>
      </c>
      <c r="D1079">
        <v>95990</v>
      </c>
      <c r="E1079">
        <v>25474</v>
      </c>
      <c r="F1079">
        <v>0.56097345099999996</v>
      </c>
      <c r="G1079">
        <v>0.57964601800000004</v>
      </c>
      <c r="H1079">
        <v>5.2678930999999998E-2</v>
      </c>
      <c r="I1079">
        <v>1.7189921E-2</v>
      </c>
    </row>
    <row r="1080" spans="1:9" x14ac:dyDescent="0.25">
      <c r="A1080" t="s">
        <v>217</v>
      </c>
      <c r="B1080" s="1">
        <v>163</v>
      </c>
      <c r="C1080">
        <v>107</v>
      </c>
      <c r="D1080">
        <v>95501</v>
      </c>
      <c r="E1080">
        <v>22556</v>
      </c>
      <c r="F1080">
        <v>0.49902654899999999</v>
      </c>
      <c r="G1080">
        <v>0.52654867299999997</v>
      </c>
      <c r="H1080">
        <v>5.2139985999999999E-2</v>
      </c>
      <c r="I1080">
        <v>2.8937127E-2</v>
      </c>
    </row>
    <row r="1081" spans="1:9" x14ac:dyDescent="0.25">
      <c r="A1081" t="s">
        <v>232</v>
      </c>
      <c r="B1081" s="1">
        <v>164</v>
      </c>
      <c r="C1081">
        <v>82</v>
      </c>
      <c r="D1081">
        <v>95349</v>
      </c>
      <c r="E1081">
        <v>27600</v>
      </c>
      <c r="F1081">
        <v>0.60619469000000004</v>
      </c>
      <c r="G1081">
        <v>0.63716814200000005</v>
      </c>
      <c r="H1081">
        <v>5.3990752000000003E-2</v>
      </c>
      <c r="I1081">
        <v>1.3943506E-2</v>
      </c>
    </row>
    <row r="1082" spans="1:9" x14ac:dyDescent="0.25">
      <c r="A1082" t="s">
        <v>219</v>
      </c>
      <c r="B1082" s="1">
        <v>165</v>
      </c>
      <c r="C1082">
        <v>98</v>
      </c>
      <c r="D1082">
        <v>95083</v>
      </c>
      <c r="E1082">
        <v>22451</v>
      </c>
      <c r="F1082">
        <v>0.49453539800000001</v>
      </c>
      <c r="G1082">
        <v>0.56637168100000002</v>
      </c>
      <c r="H1082">
        <v>4.4481681000000002E-2</v>
      </c>
      <c r="I1082">
        <v>-8.72334E-4</v>
      </c>
    </row>
    <row r="1083" spans="1:9" x14ac:dyDescent="0.25">
      <c r="A1083" t="s">
        <v>226</v>
      </c>
      <c r="B1083" s="1">
        <v>166</v>
      </c>
      <c r="C1083">
        <v>141</v>
      </c>
      <c r="D1083">
        <v>94970</v>
      </c>
      <c r="E1083">
        <v>21800</v>
      </c>
      <c r="F1083">
        <v>0.482035398</v>
      </c>
      <c r="G1083">
        <v>0.37610619499999998</v>
      </c>
      <c r="H1083">
        <v>4.3580488000000001E-2</v>
      </c>
      <c r="I1083" s="13">
        <v>-9.4320800000000007E-5</v>
      </c>
    </row>
    <row r="1084" spans="1:9" x14ac:dyDescent="0.25">
      <c r="A1084" t="s">
        <v>222</v>
      </c>
      <c r="B1084" s="1">
        <v>167</v>
      </c>
      <c r="C1084">
        <v>55</v>
      </c>
      <c r="D1084">
        <v>94894</v>
      </c>
      <c r="E1084">
        <v>34865</v>
      </c>
      <c r="F1084">
        <v>0.76694690300000001</v>
      </c>
      <c r="G1084">
        <v>0.75663716800000003</v>
      </c>
      <c r="H1084">
        <v>7.2209606999999995E-2</v>
      </c>
      <c r="I1084">
        <v>5.2915545000000001E-2</v>
      </c>
    </row>
    <row r="1085" spans="1:9" x14ac:dyDescent="0.25">
      <c r="A1085" t="s">
        <v>20</v>
      </c>
      <c r="B1085" s="1">
        <v>168</v>
      </c>
      <c r="C1085">
        <v>172</v>
      </c>
      <c r="D1085">
        <v>94402</v>
      </c>
      <c r="E1085">
        <v>19035</v>
      </c>
      <c r="F1085">
        <v>0.42088495599999998</v>
      </c>
      <c r="G1085">
        <v>0.23893805300000001</v>
      </c>
      <c r="H1085">
        <v>4.3211410999999998E-2</v>
      </c>
      <c r="I1085">
        <v>6.1865050000000001E-3</v>
      </c>
    </row>
    <row r="1086" spans="1:9" x14ac:dyDescent="0.25">
      <c r="A1086" t="s">
        <v>224</v>
      </c>
      <c r="B1086" s="1">
        <v>169</v>
      </c>
      <c r="C1086">
        <v>108</v>
      </c>
      <c r="D1086">
        <v>93973</v>
      </c>
      <c r="E1086">
        <v>10562</v>
      </c>
      <c r="F1086">
        <v>0.22931415899999999</v>
      </c>
      <c r="G1086">
        <v>0.52212389400000003</v>
      </c>
      <c r="H1086">
        <v>2.1184109999999999E-2</v>
      </c>
      <c r="I1086">
        <v>-3.7481935000000001E-2</v>
      </c>
    </row>
    <row r="1087" spans="1:9" x14ac:dyDescent="0.25">
      <c r="A1087" t="s">
        <v>225</v>
      </c>
      <c r="B1087" s="1">
        <v>170</v>
      </c>
      <c r="C1087">
        <v>118</v>
      </c>
      <c r="D1087">
        <v>93959</v>
      </c>
      <c r="E1087">
        <v>8155</v>
      </c>
      <c r="F1087">
        <v>0.17900442499999999</v>
      </c>
      <c r="G1087">
        <v>0.47787610600000002</v>
      </c>
      <c r="H1087">
        <v>1.6543447999999999E-2</v>
      </c>
      <c r="I1087">
        <v>-4.5967459000000002E-2</v>
      </c>
    </row>
    <row r="1088" spans="1:9" x14ac:dyDescent="0.25">
      <c r="A1088" t="s">
        <v>228</v>
      </c>
      <c r="B1088" s="1">
        <v>171</v>
      </c>
      <c r="C1088">
        <v>178</v>
      </c>
      <c r="D1088">
        <v>93720</v>
      </c>
      <c r="E1088">
        <v>18612</v>
      </c>
      <c r="F1088">
        <v>0.41137168099999999</v>
      </c>
      <c r="G1088">
        <v>0.21238938099999999</v>
      </c>
      <c r="H1088">
        <v>4.2358933000000001E-2</v>
      </c>
      <c r="I1088">
        <v>4.8882659999999996E-3</v>
      </c>
    </row>
    <row r="1089" spans="1:9" x14ac:dyDescent="0.25">
      <c r="A1089" t="s">
        <v>22</v>
      </c>
      <c r="B1089" s="1">
        <v>172</v>
      </c>
      <c r="C1089">
        <v>146</v>
      </c>
      <c r="D1089">
        <v>93681</v>
      </c>
      <c r="E1089">
        <v>19170</v>
      </c>
      <c r="F1089">
        <v>0.423473451</v>
      </c>
      <c r="G1089">
        <v>0.353982301</v>
      </c>
      <c r="H1089">
        <v>4.3295233000000002E-2</v>
      </c>
      <c r="I1089">
        <v>6.9512760000000002E-3</v>
      </c>
    </row>
    <row r="1090" spans="1:9" x14ac:dyDescent="0.25">
      <c r="A1090" t="s">
        <v>229</v>
      </c>
      <c r="B1090" s="1">
        <v>173</v>
      </c>
      <c r="C1090">
        <v>94</v>
      </c>
      <c r="D1090">
        <v>93202</v>
      </c>
      <c r="E1090">
        <v>14971</v>
      </c>
      <c r="F1090">
        <v>0.32683628300000001</v>
      </c>
      <c r="G1090">
        <v>0.584070796</v>
      </c>
      <c r="H1090">
        <v>2.9532975E-2</v>
      </c>
      <c r="I1090">
        <v>-2.4487524E-2</v>
      </c>
    </row>
    <row r="1091" spans="1:9" x14ac:dyDescent="0.25">
      <c r="A1091" t="s">
        <v>221</v>
      </c>
      <c r="B1091" s="1">
        <v>174</v>
      </c>
      <c r="C1091">
        <v>133</v>
      </c>
      <c r="D1091">
        <v>93101</v>
      </c>
      <c r="E1091">
        <v>20359</v>
      </c>
      <c r="F1091">
        <v>0.45042035400000002</v>
      </c>
      <c r="G1091">
        <v>0.41150442500000001</v>
      </c>
      <c r="H1091">
        <v>4.7734605999999999E-2</v>
      </c>
      <c r="I1091">
        <v>2.1074295999999999E-2</v>
      </c>
    </row>
    <row r="1092" spans="1:9" x14ac:dyDescent="0.25">
      <c r="A1092" t="s">
        <v>230</v>
      </c>
      <c r="B1092" s="1">
        <v>175</v>
      </c>
      <c r="C1092">
        <v>131</v>
      </c>
      <c r="D1092">
        <v>92506</v>
      </c>
      <c r="E1092">
        <v>19968</v>
      </c>
      <c r="F1092">
        <v>0.44176991199999999</v>
      </c>
      <c r="G1092">
        <v>0.42035398200000001</v>
      </c>
      <c r="H1092">
        <v>4.6691033E-2</v>
      </c>
      <c r="I1092">
        <v>1.9073161000000002E-2</v>
      </c>
    </row>
    <row r="1093" spans="1:9" x14ac:dyDescent="0.25">
      <c r="A1093" t="s">
        <v>239</v>
      </c>
      <c r="B1093" s="1">
        <v>176</v>
      </c>
      <c r="C1093">
        <v>182</v>
      </c>
      <c r="D1093">
        <v>92346</v>
      </c>
      <c r="E1093">
        <v>9705</v>
      </c>
      <c r="F1093">
        <v>0.21033185800000001</v>
      </c>
      <c r="G1093">
        <v>0.194690265</v>
      </c>
      <c r="H1093">
        <v>2.1308186E-2</v>
      </c>
      <c r="I1093">
        <v>-3.9205332000000002E-2</v>
      </c>
    </row>
    <row r="1094" spans="1:9" x14ac:dyDescent="0.25">
      <c r="A1094" t="s">
        <v>231</v>
      </c>
      <c r="B1094" s="1">
        <v>177</v>
      </c>
      <c r="C1094">
        <v>42</v>
      </c>
      <c r="D1094">
        <v>92162</v>
      </c>
      <c r="E1094">
        <v>43402</v>
      </c>
      <c r="F1094">
        <v>0.95581858399999997</v>
      </c>
      <c r="G1094">
        <v>0.81415929200000003</v>
      </c>
      <c r="H1094">
        <v>8.4901596999999995E-2</v>
      </c>
      <c r="I1094">
        <v>6.7297896999999995E-2</v>
      </c>
    </row>
    <row r="1095" spans="1:9" x14ac:dyDescent="0.25">
      <c r="A1095" t="s">
        <v>227</v>
      </c>
      <c r="B1095" s="1">
        <v>178</v>
      </c>
      <c r="C1095">
        <v>175</v>
      </c>
      <c r="D1095">
        <v>91996</v>
      </c>
      <c r="E1095">
        <v>17989</v>
      </c>
      <c r="F1095">
        <v>0.39774336300000002</v>
      </c>
      <c r="G1095">
        <v>0.22566371700000001</v>
      </c>
      <c r="H1095">
        <v>4.0939054000000002E-2</v>
      </c>
      <c r="I1095">
        <v>1.5284490000000001E-3</v>
      </c>
    </row>
    <row r="1096" spans="1:9" x14ac:dyDescent="0.25">
      <c r="A1096" t="s">
        <v>242</v>
      </c>
      <c r="B1096" s="1">
        <v>179</v>
      </c>
      <c r="C1096">
        <v>120</v>
      </c>
      <c r="D1096">
        <v>91359</v>
      </c>
      <c r="E1096">
        <v>7836</v>
      </c>
      <c r="F1096">
        <v>0.16955752199999999</v>
      </c>
      <c r="G1096">
        <v>0.46902654900000001</v>
      </c>
      <c r="H1096">
        <v>1.5477238000000001E-2</v>
      </c>
      <c r="I1096">
        <v>-5.1506324999999999E-2</v>
      </c>
    </row>
    <row r="1097" spans="1:9" x14ac:dyDescent="0.25">
      <c r="A1097" t="s">
        <v>223</v>
      </c>
      <c r="B1097" s="1">
        <v>180</v>
      </c>
      <c r="C1097">
        <v>148</v>
      </c>
      <c r="D1097">
        <v>91158</v>
      </c>
      <c r="E1097">
        <v>12830</v>
      </c>
      <c r="F1097">
        <v>0.28380530999999998</v>
      </c>
      <c r="G1097">
        <v>0.34513274300000002</v>
      </c>
      <c r="H1097">
        <v>2.7960549000000001E-2</v>
      </c>
      <c r="I1097">
        <v>-2.6464543E-2</v>
      </c>
    </row>
    <row r="1098" spans="1:9" x14ac:dyDescent="0.25">
      <c r="A1098" t="s">
        <v>243</v>
      </c>
      <c r="B1098" s="1">
        <v>181</v>
      </c>
      <c r="C1098">
        <v>41</v>
      </c>
      <c r="D1098">
        <v>91064</v>
      </c>
      <c r="E1098">
        <v>41696</v>
      </c>
      <c r="F1098">
        <v>0.92247787599999997</v>
      </c>
      <c r="G1098">
        <v>0.81858407099999997</v>
      </c>
      <c r="H1098">
        <v>8.4667704999999996E-2</v>
      </c>
      <c r="I1098">
        <v>7.4151602999999996E-2</v>
      </c>
    </row>
    <row r="1099" spans="1:9" x14ac:dyDescent="0.25">
      <c r="A1099" t="s">
        <v>238</v>
      </c>
      <c r="B1099" s="1">
        <v>182</v>
      </c>
      <c r="C1099">
        <v>182</v>
      </c>
      <c r="D1099">
        <v>91032</v>
      </c>
      <c r="E1099">
        <v>15455</v>
      </c>
      <c r="F1099">
        <v>0.33752212399999998</v>
      </c>
      <c r="G1099">
        <v>0.194690265</v>
      </c>
      <c r="H1099">
        <v>3.6001777999999998E-2</v>
      </c>
      <c r="I1099">
        <v>-5.3358040000000004E-3</v>
      </c>
    </row>
    <row r="1100" spans="1:9" x14ac:dyDescent="0.25">
      <c r="A1100" t="s">
        <v>235</v>
      </c>
      <c r="B1100" s="1">
        <v>183</v>
      </c>
      <c r="C1100">
        <v>78</v>
      </c>
      <c r="D1100">
        <v>90839</v>
      </c>
      <c r="E1100">
        <v>34050</v>
      </c>
      <c r="F1100">
        <v>0.75</v>
      </c>
      <c r="G1100">
        <v>0.65486725700000004</v>
      </c>
      <c r="H1100">
        <v>6.7478572000000001E-2</v>
      </c>
      <c r="I1100">
        <v>3.8465355E-2</v>
      </c>
    </row>
    <row r="1101" spans="1:9" x14ac:dyDescent="0.25">
      <c r="A1101" t="s">
        <v>233</v>
      </c>
      <c r="B1101" s="1">
        <v>184</v>
      </c>
      <c r="C1101">
        <v>139</v>
      </c>
      <c r="D1101">
        <v>90806</v>
      </c>
      <c r="E1101">
        <v>18754</v>
      </c>
      <c r="F1101">
        <v>0.41491150399999999</v>
      </c>
      <c r="G1101">
        <v>0.38495575199999998</v>
      </c>
      <c r="H1101">
        <v>4.3845057E-2</v>
      </c>
      <c r="I1101">
        <v>1.2901803E-2</v>
      </c>
    </row>
    <row r="1102" spans="1:9" x14ac:dyDescent="0.25">
      <c r="A1102" t="s">
        <v>234</v>
      </c>
      <c r="B1102" s="1">
        <v>185</v>
      </c>
      <c r="C1102">
        <v>107</v>
      </c>
      <c r="D1102">
        <v>90588</v>
      </c>
      <c r="E1102">
        <v>18807</v>
      </c>
      <c r="F1102">
        <v>0.41457964600000002</v>
      </c>
      <c r="G1102">
        <v>0.52654867299999997</v>
      </c>
      <c r="H1102">
        <v>3.8852744000000002E-2</v>
      </c>
      <c r="I1102">
        <v>-9.1745200000000002E-3</v>
      </c>
    </row>
    <row r="1103" spans="1:9" x14ac:dyDescent="0.25">
      <c r="A1103" t="s">
        <v>240</v>
      </c>
      <c r="B1103" s="1">
        <v>186</v>
      </c>
      <c r="C1103">
        <v>164</v>
      </c>
      <c r="D1103">
        <v>90528</v>
      </c>
      <c r="E1103">
        <v>17282</v>
      </c>
      <c r="F1103">
        <v>0.382345133</v>
      </c>
      <c r="G1103">
        <v>0.27433628300000001</v>
      </c>
      <c r="H1103">
        <v>3.9597805999999999E-2</v>
      </c>
      <c r="I1103">
        <v>1.4749380000000001E-3</v>
      </c>
    </row>
    <row r="1104" spans="1:9" x14ac:dyDescent="0.25">
      <c r="A1104" t="s">
        <v>237</v>
      </c>
      <c r="B1104" s="1">
        <v>187</v>
      </c>
      <c r="C1104">
        <v>71</v>
      </c>
      <c r="D1104">
        <v>90019</v>
      </c>
      <c r="E1104">
        <v>30418</v>
      </c>
      <c r="F1104">
        <v>0.67</v>
      </c>
      <c r="G1104">
        <v>0.68584070799999997</v>
      </c>
      <c r="H1104">
        <v>6.0280858E-2</v>
      </c>
      <c r="I1104">
        <v>2.6156440999999999E-2</v>
      </c>
    </row>
    <row r="1105" spans="1:9" x14ac:dyDescent="0.25">
      <c r="A1105" t="s">
        <v>241</v>
      </c>
      <c r="B1105" s="1">
        <v>188</v>
      </c>
      <c r="C1105">
        <v>66</v>
      </c>
      <c r="D1105">
        <v>89846</v>
      </c>
      <c r="E1105">
        <v>37909</v>
      </c>
      <c r="F1105">
        <v>0.83499999999999996</v>
      </c>
      <c r="G1105">
        <v>0.707964602</v>
      </c>
      <c r="H1105">
        <v>7.5126144000000006E-2</v>
      </c>
      <c r="I1105">
        <v>5.1543575000000001E-2</v>
      </c>
    </row>
    <row r="1106" spans="1:9" x14ac:dyDescent="0.25">
      <c r="A1106" t="s">
        <v>236</v>
      </c>
      <c r="B1106" s="1">
        <v>189</v>
      </c>
      <c r="C1106">
        <v>86</v>
      </c>
      <c r="D1106">
        <v>89581</v>
      </c>
      <c r="E1106">
        <v>25030</v>
      </c>
      <c r="F1106">
        <v>0.54997787600000003</v>
      </c>
      <c r="G1106">
        <v>0.61946902699999995</v>
      </c>
      <c r="H1106">
        <v>5.0651326000000003E-2</v>
      </c>
      <c r="I1106">
        <v>1.2967832E-2</v>
      </c>
    </row>
    <row r="1107" spans="1:9" x14ac:dyDescent="0.25">
      <c r="A1107" t="s">
        <v>244</v>
      </c>
      <c r="B1107" s="1">
        <v>190</v>
      </c>
      <c r="C1107">
        <v>79</v>
      </c>
      <c r="D1107">
        <v>88881</v>
      </c>
      <c r="E1107">
        <v>21411</v>
      </c>
      <c r="F1107">
        <v>0.47141592900000001</v>
      </c>
      <c r="G1107">
        <v>0.65044247799999999</v>
      </c>
      <c r="H1107">
        <v>4.3907008999999997E-2</v>
      </c>
      <c r="I1107">
        <v>-1.0473679999999999E-3</v>
      </c>
    </row>
    <row r="1108" spans="1:9" x14ac:dyDescent="0.25">
      <c r="A1108" t="s">
        <v>246</v>
      </c>
      <c r="B1108" s="1">
        <v>191</v>
      </c>
      <c r="C1108">
        <v>63</v>
      </c>
      <c r="D1108">
        <v>88687</v>
      </c>
      <c r="E1108">
        <v>30418</v>
      </c>
      <c r="F1108">
        <v>0.67</v>
      </c>
      <c r="G1108">
        <v>0.72123893800000005</v>
      </c>
      <c r="H1108">
        <v>6.0280858E-2</v>
      </c>
      <c r="I1108">
        <v>2.6156440999999999E-2</v>
      </c>
    </row>
    <row r="1109" spans="1:9" x14ac:dyDescent="0.25">
      <c r="A1109" t="s">
        <v>248</v>
      </c>
      <c r="B1109" s="1">
        <v>192</v>
      </c>
      <c r="C1109">
        <v>72</v>
      </c>
      <c r="D1109">
        <v>88504</v>
      </c>
      <c r="E1109">
        <v>36544</v>
      </c>
      <c r="F1109">
        <v>0.80515486700000005</v>
      </c>
      <c r="G1109">
        <v>0.68141592900000003</v>
      </c>
      <c r="H1109">
        <v>6.9466695999999994E-2</v>
      </c>
      <c r="I1109">
        <v>3.7605675999999998E-2</v>
      </c>
    </row>
    <row r="1110" spans="1:9" x14ac:dyDescent="0.25">
      <c r="A1110" t="s">
        <v>245</v>
      </c>
      <c r="B1110" s="1">
        <v>193</v>
      </c>
      <c r="C1110">
        <v>181</v>
      </c>
      <c r="D1110">
        <v>88232</v>
      </c>
      <c r="E1110">
        <v>773</v>
      </c>
      <c r="F1110">
        <v>1.7035398E-2</v>
      </c>
      <c r="G1110">
        <v>0.19911504399999999</v>
      </c>
      <c r="H1110">
        <v>1.5351449999999999E-3</v>
      </c>
      <c r="I1110">
        <v>-7.4271822000000001E-2</v>
      </c>
    </row>
    <row r="1111" spans="1:9" x14ac:dyDescent="0.25">
      <c r="A1111" t="s">
        <v>247</v>
      </c>
      <c r="B1111" s="1">
        <v>194</v>
      </c>
      <c r="C1111">
        <v>86</v>
      </c>
      <c r="D1111">
        <v>87981</v>
      </c>
      <c r="E1111">
        <v>22700</v>
      </c>
      <c r="F1111">
        <v>0.5</v>
      </c>
      <c r="G1111">
        <v>0.61946902699999995</v>
      </c>
      <c r="H1111">
        <v>4.4985715000000003E-2</v>
      </c>
      <c r="I1111">
        <v>0</v>
      </c>
    </row>
    <row r="1112" spans="1:9" x14ac:dyDescent="0.25">
      <c r="A1112" t="s">
        <v>249</v>
      </c>
      <c r="B1112" s="1">
        <v>195</v>
      </c>
      <c r="C1112">
        <v>188</v>
      </c>
      <c r="D1112">
        <v>87725</v>
      </c>
      <c r="E1112">
        <v>12182</v>
      </c>
      <c r="F1112">
        <v>0.26933628300000001</v>
      </c>
      <c r="G1112">
        <v>0.16814159300000001</v>
      </c>
      <c r="H1112">
        <v>2.7339456000000002E-2</v>
      </c>
      <c r="I1112">
        <v>-2.7400863000000001E-2</v>
      </c>
    </row>
    <row r="1113" spans="1:9" x14ac:dyDescent="0.25">
      <c r="A1113" t="s">
        <v>253</v>
      </c>
      <c r="B1113" s="1">
        <v>196</v>
      </c>
      <c r="C1113">
        <v>62</v>
      </c>
      <c r="D1113">
        <v>86960</v>
      </c>
      <c r="E1113">
        <v>40860</v>
      </c>
      <c r="F1113">
        <v>0.9</v>
      </c>
      <c r="G1113">
        <v>0.72566371699999999</v>
      </c>
      <c r="H1113">
        <v>8.0974287000000006E-2</v>
      </c>
      <c r="I1113">
        <v>6.1544568000000001E-2</v>
      </c>
    </row>
    <row r="1114" spans="1:9" x14ac:dyDescent="0.25">
      <c r="A1114" t="s">
        <v>270</v>
      </c>
      <c r="B1114" s="1">
        <v>197</v>
      </c>
      <c r="C1114">
        <v>91</v>
      </c>
      <c r="D1114">
        <v>86869</v>
      </c>
      <c r="E1114">
        <v>16377</v>
      </c>
      <c r="F1114">
        <v>0.36011061900000002</v>
      </c>
      <c r="G1114">
        <v>0.59734513300000003</v>
      </c>
      <c r="H1114">
        <v>3.1163361000000001E-2</v>
      </c>
      <c r="I1114">
        <v>-2.3231129E-2</v>
      </c>
    </row>
    <row r="1115" spans="1:9" x14ac:dyDescent="0.25">
      <c r="A1115" t="s">
        <v>252</v>
      </c>
      <c r="B1115" s="1">
        <v>198</v>
      </c>
      <c r="C1115">
        <v>83</v>
      </c>
      <c r="D1115">
        <v>86499</v>
      </c>
      <c r="E1115">
        <v>22700</v>
      </c>
      <c r="F1115">
        <v>0.5</v>
      </c>
      <c r="G1115">
        <v>0.632743363</v>
      </c>
      <c r="H1115">
        <v>4.4985715000000003E-2</v>
      </c>
      <c r="I1115">
        <v>0</v>
      </c>
    </row>
    <row r="1116" spans="1:9" x14ac:dyDescent="0.25">
      <c r="A1116" t="s">
        <v>261</v>
      </c>
      <c r="B1116" s="1">
        <v>199</v>
      </c>
      <c r="C1116">
        <v>79</v>
      </c>
      <c r="D1116">
        <v>86426</v>
      </c>
      <c r="E1116">
        <v>35853</v>
      </c>
      <c r="F1116">
        <v>0.78997787600000002</v>
      </c>
      <c r="G1116">
        <v>0.65044247799999999</v>
      </c>
      <c r="H1116">
        <v>6.8105731000000003E-2</v>
      </c>
      <c r="I1116">
        <v>3.5757786999999999E-2</v>
      </c>
    </row>
    <row r="1117" spans="1:9" x14ac:dyDescent="0.25">
      <c r="A1117" t="s">
        <v>250</v>
      </c>
      <c r="B1117" s="1">
        <v>200</v>
      </c>
      <c r="C1117">
        <v>73</v>
      </c>
      <c r="D1117">
        <v>86166</v>
      </c>
      <c r="E1117">
        <v>37789</v>
      </c>
      <c r="F1117">
        <v>0.83201327400000002</v>
      </c>
      <c r="G1117">
        <v>0.67699114999999999</v>
      </c>
      <c r="H1117">
        <v>7.1581091999999999E-2</v>
      </c>
      <c r="I1117">
        <v>3.9867670000000001E-2</v>
      </c>
    </row>
    <row r="1118" spans="1:9" x14ac:dyDescent="0.25">
      <c r="A1118" t="s">
        <v>251</v>
      </c>
      <c r="B1118" s="1">
        <v>201</v>
      </c>
      <c r="C1118">
        <v>117</v>
      </c>
      <c r="D1118">
        <v>85968</v>
      </c>
      <c r="E1118">
        <v>4583</v>
      </c>
      <c r="F1118">
        <v>0.101017699</v>
      </c>
      <c r="G1118">
        <v>0.48230088500000001</v>
      </c>
      <c r="H1118">
        <v>9.1408059999999996E-3</v>
      </c>
      <c r="I1118">
        <v>-6.1109615999999999E-2</v>
      </c>
    </row>
    <row r="1119" spans="1:9" x14ac:dyDescent="0.25">
      <c r="A1119" t="s">
        <v>258</v>
      </c>
      <c r="B1119" s="1">
        <v>202</v>
      </c>
      <c r="C1119">
        <v>203</v>
      </c>
      <c r="D1119">
        <v>85901</v>
      </c>
      <c r="E1119">
        <v>7597</v>
      </c>
      <c r="F1119">
        <v>0.168030973</v>
      </c>
      <c r="G1119">
        <v>0.101769912</v>
      </c>
      <c r="H1119">
        <v>1.6773682000000002E-2</v>
      </c>
      <c r="I1119">
        <v>-4.8725048E-2</v>
      </c>
    </row>
    <row r="1120" spans="1:9" x14ac:dyDescent="0.25">
      <c r="A1120" t="s">
        <v>266</v>
      </c>
      <c r="B1120" s="1">
        <v>203</v>
      </c>
      <c r="C1120">
        <v>73</v>
      </c>
      <c r="D1120">
        <v>85889</v>
      </c>
      <c r="E1120">
        <v>22700</v>
      </c>
      <c r="F1120">
        <v>0.5</v>
      </c>
      <c r="G1120">
        <v>0.67699114999999999</v>
      </c>
      <c r="H1120">
        <v>4.4985715000000003E-2</v>
      </c>
      <c r="I1120">
        <v>0</v>
      </c>
    </row>
    <row r="1121" spans="1:9" x14ac:dyDescent="0.25">
      <c r="A1121" t="s">
        <v>254</v>
      </c>
      <c r="B1121" s="1">
        <v>204</v>
      </c>
      <c r="C1121">
        <v>207</v>
      </c>
      <c r="D1121">
        <v>85876</v>
      </c>
      <c r="E1121">
        <v>848</v>
      </c>
      <c r="F1121">
        <v>1.4358407E-2</v>
      </c>
      <c r="G1121">
        <v>8.4070796000000003E-2</v>
      </c>
      <c r="H1121">
        <v>7.7126500000000004E-4</v>
      </c>
      <c r="I1121">
        <v>-7.8529768999999999E-2</v>
      </c>
    </row>
    <row r="1122" spans="1:9" x14ac:dyDescent="0.25">
      <c r="A1122" t="s">
        <v>257</v>
      </c>
      <c r="B1122" s="1">
        <v>205</v>
      </c>
      <c r="C1122">
        <v>79</v>
      </c>
      <c r="D1122">
        <v>85659</v>
      </c>
      <c r="E1122">
        <v>26123</v>
      </c>
      <c r="F1122">
        <v>0.573628319</v>
      </c>
      <c r="G1122">
        <v>0.65044247799999999</v>
      </c>
      <c r="H1122">
        <v>5.3193981000000001E-2</v>
      </c>
      <c r="I1122">
        <v>1.0028241E-2</v>
      </c>
    </row>
    <row r="1123" spans="1:9" x14ac:dyDescent="0.25">
      <c r="A1123" t="s">
        <v>256</v>
      </c>
      <c r="B1123" s="1">
        <v>206</v>
      </c>
      <c r="C1123">
        <v>185</v>
      </c>
      <c r="D1123">
        <v>85561</v>
      </c>
      <c r="E1123">
        <v>11771</v>
      </c>
      <c r="F1123">
        <v>0.260132743</v>
      </c>
      <c r="G1123">
        <v>0.181415929</v>
      </c>
      <c r="H1123">
        <v>2.6487891999999999E-2</v>
      </c>
      <c r="I1123">
        <v>-2.8663734E-2</v>
      </c>
    </row>
    <row r="1124" spans="1:9" x14ac:dyDescent="0.25">
      <c r="A1124" t="s">
        <v>21</v>
      </c>
      <c r="B1124" s="1">
        <v>207</v>
      </c>
      <c r="C1124">
        <v>78</v>
      </c>
      <c r="D1124">
        <v>85186</v>
      </c>
      <c r="E1124">
        <v>22603</v>
      </c>
      <c r="F1124">
        <v>0.49774336299999999</v>
      </c>
      <c r="G1124">
        <v>0.65486725700000004</v>
      </c>
      <c r="H1124">
        <v>4.4767744999999998E-2</v>
      </c>
      <c r="I1124">
        <v>-5.0837799999999998E-4</v>
      </c>
    </row>
    <row r="1125" spans="1:9" x14ac:dyDescent="0.25">
      <c r="A1125" t="s">
        <v>268</v>
      </c>
      <c r="B1125" s="1">
        <v>208</v>
      </c>
      <c r="C1125">
        <v>106</v>
      </c>
      <c r="D1125">
        <v>85064</v>
      </c>
      <c r="E1125">
        <v>14982</v>
      </c>
      <c r="F1125">
        <v>0.33</v>
      </c>
      <c r="G1125">
        <v>0.53097345100000004</v>
      </c>
      <c r="H1125">
        <v>2.9690571999999998E-2</v>
      </c>
      <c r="I1125">
        <v>-2.6156440999999999E-2</v>
      </c>
    </row>
    <row r="1126" spans="1:9" x14ac:dyDescent="0.25">
      <c r="A1126" t="s">
        <v>263</v>
      </c>
      <c r="B1126" s="1">
        <v>209</v>
      </c>
      <c r="C1126">
        <v>210</v>
      </c>
      <c r="D1126">
        <v>85048</v>
      </c>
      <c r="E1126">
        <v>3591</v>
      </c>
      <c r="F1126">
        <v>7.9446902999999999E-2</v>
      </c>
      <c r="G1126">
        <v>7.0796460000000005E-2</v>
      </c>
      <c r="H1126">
        <v>8.9817669999999999E-3</v>
      </c>
      <c r="I1126">
        <v>-5.7470864000000003E-2</v>
      </c>
    </row>
    <row r="1127" spans="1:9" x14ac:dyDescent="0.25">
      <c r="A1127" t="s">
        <v>276</v>
      </c>
      <c r="B1127" s="1">
        <v>210</v>
      </c>
      <c r="C1127">
        <v>198</v>
      </c>
      <c r="D1127">
        <v>84951</v>
      </c>
      <c r="E1127">
        <v>4139</v>
      </c>
      <c r="F1127">
        <v>9.1482301000000002E-2</v>
      </c>
      <c r="G1127">
        <v>0.123893805</v>
      </c>
      <c r="H1127">
        <v>8.8962750000000004E-3</v>
      </c>
      <c r="I1127">
        <v>-6.2368701999999998E-2</v>
      </c>
    </row>
    <row r="1128" spans="1:9" x14ac:dyDescent="0.25">
      <c r="A1128" t="s">
        <v>269</v>
      </c>
      <c r="B1128" s="1">
        <v>211</v>
      </c>
      <c r="C1128">
        <v>171</v>
      </c>
      <c r="D1128">
        <v>84925</v>
      </c>
      <c r="E1128">
        <v>4262</v>
      </c>
      <c r="F1128">
        <v>8.9933628000000002E-2</v>
      </c>
      <c r="G1128">
        <v>0.243362832</v>
      </c>
      <c r="H1128">
        <v>8.3794990000000003E-3</v>
      </c>
      <c r="I1128">
        <v>-6.4673458000000003E-2</v>
      </c>
    </row>
    <row r="1129" spans="1:9" x14ac:dyDescent="0.25">
      <c r="A1129" t="s">
        <v>265</v>
      </c>
      <c r="B1129" s="1">
        <v>212</v>
      </c>
      <c r="C1129">
        <v>156</v>
      </c>
      <c r="D1129">
        <v>84916</v>
      </c>
      <c r="E1129">
        <v>3320</v>
      </c>
      <c r="F1129">
        <v>7.3451326999999997E-2</v>
      </c>
      <c r="G1129">
        <v>0.30973451299999999</v>
      </c>
      <c r="H1129">
        <v>6.518813E-3</v>
      </c>
      <c r="I1129">
        <v>-6.6461424000000005E-2</v>
      </c>
    </row>
    <row r="1130" spans="1:9" x14ac:dyDescent="0.25">
      <c r="A1130" t="s">
        <v>259</v>
      </c>
      <c r="B1130" s="1">
        <v>213</v>
      </c>
      <c r="C1130">
        <v>178</v>
      </c>
      <c r="D1130">
        <v>84752</v>
      </c>
      <c r="E1130">
        <v>4563</v>
      </c>
      <c r="F1130">
        <v>9.6548673000000002E-2</v>
      </c>
      <c r="G1130">
        <v>0.21238938099999999</v>
      </c>
      <c r="H1130">
        <v>9.2692520000000004E-3</v>
      </c>
      <c r="I1130">
        <v>-6.3272220000000004E-2</v>
      </c>
    </row>
    <row r="1131" spans="1:9" x14ac:dyDescent="0.25">
      <c r="A1131" t="s">
        <v>255</v>
      </c>
      <c r="B1131" s="1">
        <v>214</v>
      </c>
      <c r="C1131">
        <v>71</v>
      </c>
      <c r="D1131">
        <v>84720</v>
      </c>
      <c r="E1131">
        <v>22700</v>
      </c>
      <c r="F1131">
        <v>0.5</v>
      </c>
      <c r="G1131">
        <v>0.68584070799999997</v>
      </c>
      <c r="H1131">
        <v>4.4985715000000003E-2</v>
      </c>
      <c r="I1131">
        <v>0</v>
      </c>
    </row>
    <row r="1132" spans="1:9" x14ac:dyDescent="0.25">
      <c r="A1132" t="s">
        <v>267</v>
      </c>
      <c r="B1132" s="1">
        <v>215</v>
      </c>
      <c r="C1132">
        <v>200</v>
      </c>
      <c r="D1132">
        <v>84700</v>
      </c>
      <c r="E1132">
        <v>5312</v>
      </c>
      <c r="F1132">
        <v>0.11749999999999999</v>
      </c>
      <c r="G1132">
        <v>0.115044248</v>
      </c>
      <c r="H1132">
        <v>1.1724241999999999E-2</v>
      </c>
      <c r="I1132">
        <v>-5.7578838E-2</v>
      </c>
    </row>
    <row r="1133" spans="1:9" x14ac:dyDescent="0.25">
      <c r="A1133" t="s">
        <v>23</v>
      </c>
      <c r="B1133" s="1">
        <v>216</v>
      </c>
      <c r="C1133">
        <v>79</v>
      </c>
      <c r="D1133">
        <v>84435</v>
      </c>
      <c r="E1133">
        <v>22463</v>
      </c>
      <c r="F1133">
        <v>0.49466814199999998</v>
      </c>
      <c r="G1133">
        <v>0.65044247799999999</v>
      </c>
      <c r="H1133">
        <v>4.4426285000000003E-2</v>
      </c>
      <c r="I1133">
        <v>-1.0961510000000001E-3</v>
      </c>
    </row>
    <row r="1134" spans="1:9" x14ac:dyDescent="0.25">
      <c r="A1134" t="s">
        <v>271</v>
      </c>
      <c r="B1134" s="1">
        <v>217</v>
      </c>
      <c r="C1134">
        <v>73</v>
      </c>
      <c r="D1134">
        <v>84101</v>
      </c>
      <c r="E1134">
        <v>27274</v>
      </c>
      <c r="F1134">
        <v>0.60119469000000003</v>
      </c>
      <c r="G1134">
        <v>0.67699114999999999</v>
      </c>
      <c r="H1134">
        <v>5.1670761000000003E-2</v>
      </c>
      <c r="I1134">
        <v>1.283724E-2</v>
      </c>
    </row>
    <row r="1135" spans="1:9" x14ac:dyDescent="0.25">
      <c r="A1135" t="s">
        <v>260</v>
      </c>
      <c r="B1135" s="1">
        <v>218</v>
      </c>
      <c r="C1135">
        <v>90</v>
      </c>
      <c r="D1135">
        <v>83981</v>
      </c>
      <c r="E1135">
        <v>24633</v>
      </c>
      <c r="F1135">
        <v>0.54497787600000003</v>
      </c>
      <c r="G1135">
        <v>0.60176991199999996</v>
      </c>
      <c r="H1135">
        <v>5.0786183999999998E-2</v>
      </c>
      <c r="I1135">
        <v>1.8080908999999999E-2</v>
      </c>
    </row>
    <row r="1136" spans="1:9" x14ac:dyDescent="0.25">
      <c r="A1136" t="s">
        <v>264</v>
      </c>
      <c r="B1136" s="1">
        <v>219</v>
      </c>
      <c r="C1136">
        <v>78</v>
      </c>
      <c r="D1136">
        <v>83723</v>
      </c>
      <c r="E1136">
        <v>27246</v>
      </c>
      <c r="F1136">
        <v>0.60057522100000005</v>
      </c>
      <c r="G1136">
        <v>0.65486725700000004</v>
      </c>
      <c r="H1136">
        <v>5.0518971000000003E-2</v>
      </c>
      <c r="I1136">
        <v>7.8414269999999998E-3</v>
      </c>
    </row>
    <row r="1137" spans="1:9" x14ac:dyDescent="0.25">
      <c r="A1137" t="s">
        <v>272</v>
      </c>
      <c r="B1137" s="1">
        <v>220</v>
      </c>
      <c r="C1137">
        <v>187</v>
      </c>
      <c r="D1137">
        <v>83107</v>
      </c>
      <c r="E1137">
        <v>8404</v>
      </c>
      <c r="F1137">
        <v>0.18588495599999999</v>
      </c>
      <c r="G1137">
        <v>0.172566372</v>
      </c>
      <c r="H1137">
        <v>1.9028186999999998E-2</v>
      </c>
      <c r="I1137">
        <v>-4.3289244999999997E-2</v>
      </c>
    </row>
    <row r="1138" spans="1:9" x14ac:dyDescent="0.25">
      <c r="A1138" t="s">
        <v>262</v>
      </c>
      <c r="B1138" s="1">
        <v>221</v>
      </c>
      <c r="C1138">
        <v>105</v>
      </c>
      <c r="D1138">
        <v>82889</v>
      </c>
      <c r="E1138">
        <v>13504</v>
      </c>
      <c r="F1138">
        <v>0.29827433599999997</v>
      </c>
      <c r="G1138">
        <v>0.53539822999999997</v>
      </c>
      <c r="H1138">
        <v>2.7188604000000002E-2</v>
      </c>
      <c r="I1138">
        <v>-3.1461467999999999E-2</v>
      </c>
    </row>
    <row r="1139" spans="1:9" x14ac:dyDescent="0.25">
      <c r="A1139" t="s">
        <v>274</v>
      </c>
      <c r="B1139" s="1">
        <v>222</v>
      </c>
      <c r="C1139">
        <v>69</v>
      </c>
      <c r="D1139">
        <v>82473</v>
      </c>
      <c r="E1139">
        <v>33964</v>
      </c>
      <c r="F1139">
        <v>0.74920354</v>
      </c>
      <c r="G1139">
        <v>0.69469026499999997</v>
      </c>
      <c r="H1139">
        <v>6.5324507000000004E-2</v>
      </c>
      <c r="I1139">
        <v>3.2617927999999997E-2</v>
      </c>
    </row>
    <row r="1140" spans="1:9" x14ac:dyDescent="0.25">
      <c r="A1140" t="s">
        <v>273</v>
      </c>
      <c r="B1140" s="1">
        <v>223</v>
      </c>
      <c r="C1140">
        <v>100</v>
      </c>
      <c r="D1140">
        <v>82410</v>
      </c>
      <c r="E1140">
        <v>18300</v>
      </c>
      <c r="F1140">
        <v>0.40486725699999998</v>
      </c>
      <c r="G1140">
        <v>0.55752212400000001</v>
      </c>
      <c r="H1140">
        <v>3.5599991999999997E-2</v>
      </c>
      <c r="I1140">
        <v>-9.1189530000000008E-3</v>
      </c>
    </row>
    <row r="1141" spans="1:9" x14ac:dyDescent="0.25">
      <c r="A1141" t="s">
        <v>278</v>
      </c>
      <c r="B1141" s="1">
        <v>224</v>
      </c>
      <c r="C1141">
        <v>77</v>
      </c>
      <c r="D1141">
        <v>82334</v>
      </c>
      <c r="E1141">
        <v>27559</v>
      </c>
      <c r="F1141">
        <v>0.60750000000000004</v>
      </c>
      <c r="G1141">
        <v>0.659292035</v>
      </c>
      <c r="H1141">
        <v>5.1710269000000003E-2</v>
      </c>
      <c r="I1141">
        <v>1.0935736999999999E-2</v>
      </c>
    </row>
    <row r="1142" spans="1:9" x14ac:dyDescent="0.25">
      <c r="A1142" t="s">
        <v>277</v>
      </c>
      <c r="B1142" s="1">
        <v>225</v>
      </c>
      <c r="C1142">
        <v>64</v>
      </c>
      <c r="D1142">
        <v>82002</v>
      </c>
      <c r="E1142">
        <v>32460</v>
      </c>
      <c r="F1142">
        <v>0.71542035400000004</v>
      </c>
      <c r="G1142">
        <v>0.71681415900000001</v>
      </c>
      <c r="H1142">
        <v>6.1370186E-2</v>
      </c>
      <c r="I1142">
        <v>2.5440122999999999E-2</v>
      </c>
    </row>
    <row r="1143" spans="1:9" x14ac:dyDescent="0.25">
      <c r="A1143" t="s">
        <v>279</v>
      </c>
      <c r="B1143" s="1">
        <v>226</v>
      </c>
      <c r="C1143">
        <v>211</v>
      </c>
      <c r="D1143">
        <v>81756</v>
      </c>
      <c r="E1143">
        <v>0</v>
      </c>
      <c r="F1143">
        <v>0</v>
      </c>
      <c r="G1143">
        <v>6.6371681000000002E-2</v>
      </c>
      <c r="H1143">
        <v>0</v>
      </c>
      <c r="I1143">
        <v>-7.6930709999999999E-2</v>
      </c>
    </row>
    <row r="1144" spans="1:9" x14ac:dyDescent="0.25">
      <c r="A1144" t="s">
        <v>275</v>
      </c>
      <c r="B1144" s="1">
        <v>227</v>
      </c>
      <c r="C1144">
        <v>196</v>
      </c>
      <c r="D1144">
        <v>81295</v>
      </c>
      <c r="E1144">
        <v>3989</v>
      </c>
      <c r="F1144">
        <v>8.3849558000000005E-2</v>
      </c>
      <c r="G1144">
        <v>0.132743363</v>
      </c>
      <c r="H1144">
        <v>4.7457489999999996E-3</v>
      </c>
      <c r="I1144">
        <v>-8.0535526999999996E-2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895E3-7F81-4AB3-A609-89EEC32BB666}">
  <dimension ref="B1:F2"/>
  <sheetViews>
    <sheetView workbookViewId="0">
      <selection activeCell="F3" sqref="F3"/>
    </sheetView>
  </sheetViews>
  <sheetFormatPr defaultRowHeight="15" x14ac:dyDescent="0.25"/>
  <cols>
    <col min="2" max="2" width="17.7109375" customWidth="1"/>
  </cols>
  <sheetData>
    <row r="1" spans="2:6" x14ac:dyDescent="0.25">
      <c r="B1">
        <v>1</v>
      </c>
      <c r="C1">
        <v>2</v>
      </c>
      <c r="D1">
        <v>3</v>
      </c>
      <c r="E1">
        <v>4</v>
      </c>
      <c r="F1">
        <v>5</v>
      </c>
    </row>
    <row r="2" spans="2:6" ht="45" x14ac:dyDescent="0.25">
      <c r="B2" s="3" t="s">
        <v>280</v>
      </c>
      <c r="C2" s="2" t="s">
        <v>281</v>
      </c>
      <c r="D2" s="2" t="s">
        <v>282</v>
      </c>
      <c r="E2" s="2" t="s">
        <v>283</v>
      </c>
      <c r="F2" s="2" t="s">
        <v>284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F2D05-194C-496E-9C36-3B2D022BE306}">
  <dimension ref="B3:K230"/>
  <sheetViews>
    <sheetView workbookViewId="0">
      <selection activeCell="E1" sqref="E1:E1048576"/>
    </sheetView>
  </sheetViews>
  <sheetFormatPr defaultRowHeight="15" x14ac:dyDescent="0.25"/>
  <cols>
    <col min="2" max="2" width="28.42578125" bestFit="1" customWidth="1"/>
    <col min="3" max="3" width="8.7109375" customWidth="1"/>
    <col min="4" max="4" width="9" bestFit="1" customWidth="1"/>
    <col min="5" max="5" width="10.28515625" bestFit="1" customWidth="1"/>
    <col min="6" max="6" width="6.5703125" bestFit="1" customWidth="1"/>
    <col min="7" max="7" width="14" bestFit="1" customWidth="1"/>
    <col min="8" max="8" width="12" bestFit="1" customWidth="1"/>
    <col min="9" max="9" width="12.85546875" bestFit="1" customWidth="1"/>
    <col min="10" max="10" width="11" bestFit="1" customWidth="1"/>
    <col min="11" max="11" width="12.140625" bestFit="1" customWidth="1"/>
  </cols>
  <sheetData>
    <row r="3" spans="2:11" ht="30" x14ac:dyDescent="0.25">
      <c r="B3" s="4"/>
      <c r="C3" s="9" t="s">
        <v>24</v>
      </c>
      <c r="D3" s="9" t="s">
        <v>68</v>
      </c>
      <c r="E3" s="9" t="s">
        <v>2</v>
      </c>
      <c r="F3" s="9" t="s">
        <v>1</v>
      </c>
      <c r="G3" s="9" t="s">
        <v>3</v>
      </c>
      <c r="H3" s="9" t="s">
        <v>66</v>
      </c>
      <c r="I3" s="9" t="s">
        <v>67</v>
      </c>
      <c r="J3" s="9" t="s">
        <v>285</v>
      </c>
      <c r="K3" s="9" t="s">
        <v>286</v>
      </c>
    </row>
    <row r="4" spans="2:11" x14ac:dyDescent="0.25">
      <c r="B4" t="s">
        <v>69</v>
      </c>
      <c r="C4" s="7">
        <f ca="1">Kompilirano!G3</f>
        <v>1.4</v>
      </c>
      <c r="D4" s="5">
        <f t="shared" ref="D4:D67" ca="1" si="0">E4/226</f>
        <v>577.07610619469028</v>
      </c>
      <c r="E4" s="8">
        <f ca="1">Kompilirano!AA3</f>
        <v>130419.2</v>
      </c>
      <c r="F4" s="7">
        <f ca="1">Kompilirano!P3</f>
        <v>39</v>
      </c>
      <c r="G4" s="8">
        <f ca="1">Kompilirano!AJ3</f>
        <v>36129.199999999997</v>
      </c>
      <c r="H4" s="6">
        <f ca="1">Kompilirano!AT3</f>
        <v>0.79489380521592923</v>
      </c>
      <c r="I4" s="6">
        <f ca="1">Kompilirano!BD3</f>
        <v>0.82743362846371693</v>
      </c>
      <c r="J4" s="6">
        <f ca="1">Kompilirano!BN3</f>
        <v>7.6823240275988885E-2</v>
      </c>
      <c r="K4" s="6">
        <f ca="1">Kompilirano!BX3</f>
        <v>7.6110394576387713E-2</v>
      </c>
    </row>
    <row r="5" spans="2:11" x14ac:dyDescent="0.25">
      <c r="B5" t="s">
        <v>70</v>
      </c>
      <c r="C5" s="7">
        <f ca="1">Kompilirano!G4</f>
        <v>2.4</v>
      </c>
      <c r="D5" s="5">
        <f t="shared" ca="1" si="0"/>
        <v>575.93097345132742</v>
      </c>
      <c r="E5" s="8">
        <f ca="1">Kompilirano!AA4</f>
        <v>130160.4</v>
      </c>
      <c r="F5" s="7">
        <f ca="1">Kompilirano!P4</f>
        <v>49.2</v>
      </c>
      <c r="G5" s="8">
        <f ca="1">Kompilirano!AJ4</f>
        <v>33975</v>
      </c>
      <c r="H5" s="6">
        <f ca="1">Kompilirano!AT4</f>
        <v>0.74723451334336288</v>
      </c>
      <c r="I5" s="6">
        <f ca="1">Kompilirano!BD4</f>
        <v>0.78230088499823014</v>
      </c>
      <c r="J5" s="6">
        <f ca="1">Kompilirano!BN4</f>
        <v>7.3021873365404028E-2</v>
      </c>
      <c r="K5" s="6">
        <f ca="1">Kompilirano!BX4</f>
        <v>7.1931486464912764E-2</v>
      </c>
    </row>
    <row r="6" spans="2:11" x14ac:dyDescent="0.25">
      <c r="B6" t="s">
        <v>8</v>
      </c>
      <c r="C6" s="7">
        <f ca="1">Kompilirano!G5</f>
        <v>2.6</v>
      </c>
      <c r="D6" s="5">
        <f t="shared" ca="1" si="0"/>
        <v>575.57522123893807</v>
      </c>
      <c r="E6" s="8">
        <f ca="1">Kompilirano!AA5</f>
        <v>130080</v>
      </c>
      <c r="F6" s="7">
        <f ca="1">Kompilirano!P5</f>
        <v>48.8</v>
      </c>
      <c r="G6" s="8">
        <f ca="1">Kompilirano!AJ5</f>
        <v>34014.6</v>
      </c>
      <c r="H6" s="6">
        <f ca="1">Kompilirano!AT5</f>
        <v>0.7481106196088495</v>
      </c>
      <c r="I6" s="6">
        <f ca="1">Kompilirano!BD5</f>
        <v>0.78407079644601763</v>
      </c>
      <c r="J6" s="6">
        <f ca="1">Kompilirano!BN5</f>
        <v>7.3354100744273634E-2</v>
      </c>
      <c r="K6" s="6">
        <f ca="1">Kompilirano!BX5</f>
        <v>7.3781510398560401E-2</v>
      </c>
    </row>
    <row r="7" spans="2:11" x14ac:dyDescent="0.25">
      <c r="B7" t="s">
        <v>71</v>
      </c>
      <c r="C7" s="7">
        <f ca="1">Kompilirano!G6</f>
        <v>5</v>
      </c>
      <c r="D7" s="5">
        <f t="shared" ca="1" si="0"/>
        <v>571.07079646017701</v>
      </c>
      <c r="E7" s="8">
        <f ca="1">Kompilirano!AA6</f>
        <v>129062</v>
      </c>
      <c r="F7" s="7">
        <f ca="1">Kompilirano!P6</f>
        <v>44.6</v>
      </c>
      <c r="G7" s="8">
        <f ca="1">Kompilirano!AJ6</f>
        <v>34374.199999999997</v>
      </c>
      <c r="H7" s="6">
        <f ca="1">Kompilirano!AT6</f>
        <v>0.75606637162300883</v>
      </c>
      <c r="I7" s="6">
        <f ca="1">Kompilirano!BD6</f>
        <v>0.80265486730265478</v>
      </c>
      <c r="J7" s="6">
        <f ca="1">Kompilirano!BN6</f>
        <v>7.4051682236163915E-2</v>
      </c>
      <c r="K7" s="6">
        <f ca="1">Kompilirano!BX6</f>
        <v>7.4703732327012468E-2</v>
      </c>
    </row>
    <row r="8" spans="2:11" x14ac:dyDescent="0.25">
      <c r="B8" t="s">
        <v>72</v>
      </c>
      <c r="C8" s="7">
        <f ca="1">Kompilirano!G7</f>
        <v>5.4</v>
      </c>
      <c r="D8" s="5">
        <f t="shared" ca="1" si="0"/>
        <v>569.92743362831857</v>
      </c>
      <c r="E8" s="8">
        <f ca="1">Kompilirano!AA7</f>
        <v>128803.6</v>
      </c>
      <c r="F8" s="7">
        <f ca="1">Kompilirano!P7</f>
        <v>63.4</v>
      </c>
      <c r="G8" s="8">
        <f ca="1">Kompilirano!AJ7</f>
        <v>32759.599999999999</v>
      </c>
      <c r="H8" s="6">
        <f ca="1">Kompilirano!AT7</f>
        <v>0.72034513271150458</v>
      </c>
      <c r="I8" s="6">
        <f ca="1">Kompilirano!BD7</f>
        <v>0.71946902656283185</v>
      </c>
      <c r="J8" s="6">
        <f ca="1">Kompilirano!BN7</f>
        <v>7.0165699334601095E-2</v>
      </c>
      <c r="K8" s="6">
        <f ca="1">Kompilirano!BX7</f>
        <v>6.6936204915996833E-2</v>
      </c>
    </row>
    <row r="9" spans="2:11" x14ac:dyDescent="0.25">
      <c r="B9" t="s">
        <v>73</v>
      </c>
      <c r="C9" s="7">
        <f ca="1">Kompilirano!G8</f>
        <v>6.6</v>
      </c>
      <c r="D9" s="5">
        <f t="shared" ca="1" si="0"/>
        <v>568.48407079646017</v>
      </c>
      <c r="E9" s="8">
        <f ca="1">Kompilirano!AA8</f>
        <v>128477.4</v>
      </c>
      <c r="F9" s="7">
        <f ca="1">Kompilirano!P8</f>
        <v>51</v>
      </c>
      <c r="G9" s="8">
        <f ca="1">Kompilirano!AJ8</f>
        <v>32569.4</v>
      </c>
      <c r="H9" s="6">
        <f ca="1">Kompilirano!AT8</f>
        <v>0.71613716799469018</v>
      </c>
      <c r="I9" s="6">
        <f ca="1">Kompilirano!BD8</f>
        <v>0.77433628303716806</v>
      </c>
      <c r="J9" s="6">
        <f ca="1">Kompilirano!BN8</f>
        <v>7.1903131581157048E-2</v>
      </c>
      <c r="K9" s="6">
        <f ca="1">Kompilirano!BX8</f>
        <v>7.5284051209389163E-2</v>
      </c>
    </row>
    <row r="10" spans="2:11" x14ac:dyDescent="0.25">
      <c r="B10" t="s">
        <v>75</v>
      </c>
      <c r="C10" s="7">
        <f ca="1">Kompilirano!G10</f>
        <v>6.4</v>
      </c>
      <c r="D10" s="5">
        <f t="shared" ca="1" si="0"/>
        <v>568.23716814159297</v>
      </c>
      <c r="E10" s="8">
        <f ca="1">Kompilirano!AA10</f>
        <v>128421.6</v>
      </c>
      <c r="F10" s="7">
        <f ca="1">Kompilirano!P10</f>
        <v>45.4</v>
      </c>
      <c r="G10" s="8">
        <f ca="1">Kompilirano!AJ10</f>
        <v>33470.800000000003</v>
      </c>
      <c r="H10" s="6">
        <f ca="1">Kompilirano!AT10</f>
        <v>0.73607964601238929</v>
      </c>
      <c r="I10" s="6">
        <f ca="1">Kompilirano!BD10</f>
        <v>0.79911504439823011</v>
      </c>
      <c r="J10" s="6">
        <f ca="1">Kompilirano!BN10</f>
        <v>7.5530524579743727E-2</v>
      </c>
      <c r="K10" s="6">
        <f ca="1">Kompilirano!BX10</f>
        <v>8.5460672703738028E-2</v>
      </c>
    </row>
    <row r="11" spans="2:11" x14ac:dyDescent="0.25">
      <c r="B11" t="s">
        <v>74</v>
      </c>
      <c r="C11" s="7">
        <f ca="1">Kompilirano!G9</f>
        <v>7</v>
      </c>
      <c r="D11" s="5">
        <f t="shared" ca="1" si="0"/>
        <v>567.85221238938061</v>
      </c>
      <c r="E11" s="8">
        <f ca="1">Kompilirano!AA9</f>
        <v>128334.6</v>
      </c>
      <c r="F11" s="7">
        <f ca="1">Kompilirano!P9</f>
        <v>45.6</v>
      </c>
      <c r="G11" s="8">
        <f ca="1">Kompilirano!AJ9</f>
        <v>33186.199999999997</v>
      </c>
      <c r="H11" s="6">
        <f ca="1">Kompilirano!AT9</f>
        <v>0.72978318593097347</v>
      </c>
      <c r="I11" s="6">
        <f ca="1">Kompilirano!BD9</f>
        <v>0.79823008849380539</v>
      </c>
      <c r="J11" s="6">
        <f ca="1">Kompilirano!BN9</f>
        <v>7.4121346693697215E-2</v>
      </c>
      <c r="K11" s="6">
        <f ca="1">Kompilirano!BX9</f>
        <v>8.1245319046349004E-2</v>
      </c>
    </row>
    <row r="12" spans="2:11" x14ac:dyDescent="0.25">
      <c r="B12" t="s">
        <v>76</v>
      </c>
      <c r="C12" s="7">
        <f ca="1">Kompilirano!G11</f>
        <v>9.1999999999999993</v>
      </c>
      <c r="D12" s="5">
        <f t="shared" ca="1" si="0"/>
        <v>565.76991150442473</v>
      </c>
      <c r="E12" s="8">
        <f ca="1">Kompilirano!AA11</f>
        <v>127864</v>
      </c>
      <c r="F12" s="7">
        <f ca="1">Kompilirano!P11</f>
        <v>44.4</v>
      </c>
      <c r="G12" s="8">
        <f ca="1">Kompilirano!AJ11</f>
        <v>32839.800000000003</v>
      </c>
      <c r="H12" s="6">
        <f ca="1">Kompilirano!AT11</f>
        <v>0.72211946892920342</v>
      </c>
      <c r="I12" s="6">
        <f ca="1">Kompilirano!BD11</f>
        <v>0.80353982300707971</v>
      </c>
      <c r="J12" s="6">
        <f ca="1">Kompilirano!BN11</f>
        <v>7.405144999899313E-2</v>
      </c>
      <c r="K12" s="6">
        <f ca="1">Kompilirano!BX11</f>
        <v>8.3050596364733859E-2</v>
      </c>
    </row>
    <row r="13" spans="2:11" x14ac:dyDescent="0.25">
      <c r="B13" t="s">
        <v>77</v>
      </c>
      <c r="C13" s="7">
        <f ca="1">Kompilirano!G12</f>
        <v>9.6</v>
      </c>
      <c r="D13" s="5">
        <f t="shared" ca="1" si="0"/>
        <v>564.2610619469026</v>
      </c>
      <c r="E13" s="8">
        <f ca="1">Kompilirano!AA12</f>
        <v>127523</v>
      </c>
      <c r="F13" s="7">
        <f ca="1">Kompilirano!P12</f>
        <v>37.4</v>
      </c>
      <c r="G13" s="8">
        <f ca="1">Kompilirano!AJ12</f>
        <v>35740</v>
      </c>
      <c r="H13" s="6">
        <f ca="1">Kompilirano!AT12</f>
        <v>0.78628318588318591</v>
      </c>
      <c r="I13" s="6">
        <f ca="1">Kompilirano!BD12</f>
        <v>0.83451327436814149</v>
      </c>
      <c r="J13" s="6">
        <f ca="1">Kompilirano!BN12</f>
        <v>7.400899614541219E-2</v>
      </c>
      <c r="K13" s="6">
        <f ca="1">Kompilirano!BX12</f>
        <v>6.6842381026244929E-2</v>
      </c>
    </row>
    <row r="14" spans="2:11" x14ac:dyDescent="0.25">
      <c r="B14" t="s">
        <v>78</v>
      </c>
      <c r="C14" s="7">
        <f ca="1">Kompilirano!G13</f>
        <v>11</v>
      </c>
      <c r="D14" s="5">
        <f t="shared" ca="1" si="0"/>
        <v>563.56017699115046</v>
      </c>
      <c r="E14" s="8">
        <f ca="1">Kompilirano!AA13</f>
        <v>127364.6</v>
      </c>
      <c r="F14" s="7">
        <f ca="1">Kompilirano!P13</f>
        <v>42.6</v>
      </c>
      <c r="G14" s="8">
        <f ca="1">Kompilirano!AJ13</f>
        <v>31805.200000000001</v>
      </c>
      <c r="H14" s="6">
        <f ca="1">Kompilirano!AT13</f>
        <v>0.69923008847964607</v>
      </c>
      <c r="I14" s="6">
        <f ca="1">Kompilirano!BD13</f>
        <v>0.81150442470265483</v>
      </c>
      <c r="J14" s="6">
        <f ca="1">Kompilirano!BN13</f>
        <v>7.0251380558031595E-2</v>
      </c>
      <c r="K14" s="6">
        <f ca="1">Kompilirano!BX13</f>
        <v>7.2697763722230552E-2</v>
      </c>
    </row>
    <row r="15" spans="2:11" x14ac:dyDescent="0.25">
      <c r="B15" t="s">
        <v>79</v>
      </c>
      <c r="C15" s="7">
        <f ca="1">Kompilirano!G14</f>
        <v>12.8</v>
      </c>
      <c r="D15" s="5">
        <f t="shared" ca="1" si="0"/>
        <v>560.42831858407078</v>
      </c>
      <c r="E15" s="8">
        <f ca="1">Kompilirano!AA14</f>
        <v>126656.8</v>
      </c>
      <c r="F15" s="7">
        <f ca="1">Kompilirano!P14</f>
        <v>46</v>
      </c>
      <c r="G15" s="8">
        <f ca="1">Kompilirano!AJ14</f>
        <v>33428.6</v>
      </c>
      <c r="H15" s="6">
        <f ca="1">Kompilirano!AT14</f>
        <v>0.73514601777345123</v>
      </c>
      <c r="I15" s="6">
        <f ca="1">Kompilirano!BD14</f>
        <v>0.79646017724601759</v>
      </c>
      <c r="J15" s="6">
        <f ca="1">Kompilirano!BN14</f>
        <v>7.3206045621884444E-2</v>
      </c>
      <c r="K15" s="6">
        <f ca="1">Kompilirano!BX14</f>
        <v>7.5823802775377008E-2</v>
      </c>
    </row>
    <row r="16" spans="2:11" x14ac:dyDescent="0.25">
      <c r="B16" t="s">
        <v>80</v>
      </c>
      <c r="C16" s="7">
        <f ca="1">Kompilirano!G15</f>
        <v>13</v>
      </c>
      <c r="D16" s="5">
        <f t="shared" ca="1" si="0"/>
        <v>559.50265486725664</v>
      </c>
      <c r="E16" s="8">
        <f ca="1">Kompilirano!AA15</f>
        <v>126447.6</v>
      </c>
      <c r="F16" s="7">
        <f ca="1">Kompilirano!P15</f>
        <v>37.6</v>
      </c>
      <c r="G16" s="8">
        <f ca="1">Kompilirano!AJ15</f>
        <v>33546.199999999997</v>
      </c>
      <c r="H16" s="6">
        <f ca="1">Kompilirano!AT15</f>
        <v>0.73774778774513283</v>
      </c>
      <c r="I16" s="6">
        <f ca="1">Kompilirano!BD15</f>
        <v>0.83362831861592923</v>
      </c>
      <c r="J16" s="6">
        <f ca="1">Kompilirano!BN15</f>
        <v>7.6184907133589497E-2</v>
      </c>
      <c r="K16" s="6">
        <f ca="1">Kompilirano!BX15</f>
        <v>8.732581462059677E-2</v>
      </c>
    </row>
    <row r="17" spans="2:11" x14ac:dyDescent="0.25">
      <c r="B17" t="s">
        <v>82</v>
      </c>
      <c r="C17" s="7">
        <f ca="1">Kompilirano!G17</f>
        <v>13.6</v>
      </c>
      <c r="D17" s="5">
        <f t="shared" ca="1" si="0"/>
        <v>558.44601769911503</v>
      </c>
      <c r="E17" s="8">
        <f ca="1">Kompilirano!AA17</f>
        <v>126208.8</v>
      </c>
      <c r="F17" s="7">
        <f ca="1">Kompilirano!P17</f>
        <v>38.799999999999997</v>
      </c>
      <c r="G17" s="8">
        <f ca="1">Kompilirano!AJ17</f>
        <v>36631.199999999997</v>
      </c>
      <c r="H17" s="6">
        <f ca="1">Kompilirano!AT17</f>
        <v>0.80600000011327444</v>
      </c>
      <c r="I17" s="6">
        <f ca="1">Kompilirano!BD17</f>
        <v>0.82831858406371683</v>
      </c>
      <c r="J17" s="6">
        <f ca="1">Kompilirano!BN17</f>
        <v>7.9418505887060425E-2</v>
      </c>
      <c r="K17" s="6">
        <f ca="1">Kompilirano!BX17</f>
        <v>8.3485588916817538E-2</v>
      </c>
    </row>
    <row r="18" spans="2:11" x14ac:dyDescent="0.25">
      <c r="B18" t="s">
        <v>83</v>
      </c>
      <c r="C18" s="7">
        <f ca="1">Kompilirano!G18</f>
        <v>15.2</v>
      </c>
      <c r="D18" s="5">
        <f t="shared" ca="1" si="0"/>
        <v>556.58318584070798</v>
      </c>
      <c r="E18" s="8">
        <f ca="1">Kompilirano!AA18</f>
        <v>125787.8</v>
      </c>
      <c r="F18" s="7">
        <f ca="1">Kompilirano!P18</f>
        <v>47.4</v>
      </c>
      <c r="G18" s="8">
        <f ca="1">Kompilirano!AJ18</f>
        <v>31537.599999999999</v>
      </c>
      <c r="H18" s="6">
        <f ca="1">Kompilirano!AT18</f>
        <v>0.69330973461061951</v>
      </c>
      <c r="I18" s="6">
        <f ca="1">Kompilirano!BD18</f>
        <v>0.79026548649380524</v>
      </c>
      <c r="J18" s="6">
        <f ca="1">Kompilirano!BN18</f>
        <v>7.151921522104196E-2</v>
      </c>
      <c r="K18" s="6">
        <f ca="1">Kompilirano!BX18</f>
        <v>7.8774009362349628E-2</v>
      </c>
    </row>
    <row r="19" spans="2:11" x14ac:dyDescent="0.25">
      <c r="B19" t="s">
        <v>84</v>
      </c>
      <c r="C19" s="7">
        <f ca="1">Kompilirano!G19</f>
        <v>16</v>
      </c>
      <c r="D19" s="5">
        <f t="shared" ca="1" si="0"/>
        <v>555.75929203539829</v>
      </c>
      <c r="E19" s="8">
        <f ca="1">Kompilirano!AA19</f>
        <v>125601.60000000001</v>
      </c>
      <c r="F19" s="7">
        <f ca="1">Kompilirano!P19</f>
        <v>47.8</v>
      </c>
      <c r="G19" s="8">
        <f ca="1">Kompilirano!AJ19</f>
        <v>34563.199999999997</v>
      </c>
      <c r="H19" s="6">
        <f ca="1">Kompilirano!AT19</f>
        <v>0.76024778761592926</v>
      </c>
      <c r="I19" s="6">
        <f ca="1">Kompilirano!BD19</f>
        <v>0.78849557524601765</v>
      </c>
      <c r="J19" s="6">
        <f ca="1">Kompilirano!BN19</f>
        <v>7.7082143159534933E-2</v>
      </c>
      <c r="K19" s="6">
        <f ca="1">Kompilirano!BX19</f>
        <v>8.5241958820359703E-2</v>
      </c>
    </row>
    <row r="20" spans="2:11" x14ac:dyDescent="0.25">
      <c r="B20" t="s">
        <v>81</v>
      </c>
      <c r="C20" s="7">
        <f ca="1">Kompilirano!G16</f>
        <v>16.399999999999999</v>
      </c>
      <c r="D20" s="5">
        <f t="shared" ca="1" si="0"/>
        <v>555.48318584070796</v>
      </c>
      <c r="E20" s="8">
        <f ca="1">Kompilirano!AA16</f>
        <v>125539.2</v>
      </c>
      <c r="F20" s="7">
        <f ca="1">Kompilirano!P16</f>
        <v>44.4</v>
      </c>
      <c r="G20" s="8">
        <f ca="1">Kompilirano!AJ16</f>
        <v>33237.4</v>
      </c>
      <c r="H20" s="6">
        <f ca="1">Kompilirano!AT16</f>
        <v>0.73091592927787619</v>
      </c>
      <c r="I20" s="6">
        <f ca="1">Kompilirano!BD16</f>
        <v>0.80353982339823005</v>
      </c>
      <c r="J20" s="6">
        <f ca="1">Kompilirano!BN16</f>
        <v>7.4402027774821536E-2</v>
      </c>
      <c r="K20" s="6">
        <f ca="1">Kompilirano!BX16</f>
        <v>8.1179498141688095E-2</v>
      </c>
    </row>
    <row r="21" spans="2:11" x14ac:dyDescent="0.25">
      <c r="B21" t="s">
        <v>85</v>
      </c>
      <c r="C21" s="7">
        <f ca="1">Kompilirano!G20</f>
        <v>18.399999999999999</v>
      </c>
      <c r="D21" s="5">
        <f t="shared" ca="1" si="0"/>
        <v>553.32654867256633</v>
      </c>
      <c r="E21" s="8">
        <f ca="1">Kompilirano!AA20</f>
        <v>125051.8</v>
      </c>
      <c r="F21" s="7">
        <f ca="1">Kompilirano!P20</f>
        <v>172.4</v>
      </c>
      <c r="G21" s="8">
        <f ca="1">Kompilirano!AJ20</f>
        <v>31598.2</v>
      </c>
      <c r="H21" s="6">
        <f ca="1">Kompilirano!AT20</f>
        <v>0.69469469007256646</v>
      </c>
      <c r="I21" s="6">
        <f ca="1">Kompilirano!BD20</f>
        <v>0.23716814146725662</v>
      </c>
      <c r="J21" s="6">
        <f ca="1">Kompilirano!BN20</f>
        <v>7.1719472503611617E-2</v>
      </c>
      <c r="K21" s="6">
        <f ca="1">Kompilirano!BX20</f>
        <v>7.9550255252504254E-2</v>
      </c>
    </row>
    <row r="22" spans="2:11" x14ac:dyDescent="0.25">
      <c r="B22" t="s">
        <v>86</v>
      </c>
      <c r="C22" s="7">
        <f ca="1">Kompilirano!G21</f>
        <v>20</v>
      </c>
      <c r="D22" s="5">
        <f t="shared" ca="1" si="0"/>
        <v>551.30265486725659</v>
      </c>
      <c r="E22" s="8">
        <f ca="1">Kompilirano!AA21</f>
        <v>124594.4</v>
      </c>
      <c r="F22" s="7">
        <f ca="1">Kompilirano!P21</f>
        <v>18.8</v>
      </c>
      <c r="G22" s="8">
        <f ca="1">Kompilirano!AJ21</f>
        <v>37342.400000000001</v>
      </c>
      <c r="H22" s="6">
        <f ca="1">Kompilirano!AT21</f>
        <v>0.82173451344601778</v>
      </c>
      <c r="I22" s="6">
        <f ca="1">Kompilirano!BD21</f>
        <v>0.9168141596601771</v>
      </c>
      <c r="J22" s="6">
        <f ca="1">Kompilirano!BN21</f>
        <v>8.1534327758866335E-2</v>
      </c>
      <c r="K22" s="6">
        <f ca="1">Kompilirano!BX21</f>
        <v>8.7979124127080491E-2</v>
      </c>
    </row>
    <row r="23" spans="2:11" x14ac:dyDescent="0.25">
      <c r="B23" t="s">
        <v>91</v>
      </c>
      <c r="C23" s="7">
        <f ca="1">Kompilirano!G26</f>
        <v>21.2</v>
      </c>
      <c r="D23" s="5">
        <f t="shared" ca="1" si="0"/>
        <v>549.86106194690274</v>
      </c>
      <c r="E23" s="8">
        <f ca="1">Kompilirano!AA26</f>
        <v>124268.6</v>
      </c>
      <c r="F23" s="7">
        <f ca="1">Kompilirano!P26</f>
        <v>57</v>
      </c>
      <c r="G23" s="8">
        <f ca="1">Kompilirano!AJ26</f>
        <v>28852</v>
      </c>
      <c r="H23" s="6">
        <f ca="1">Kompilirano!AT26</f>
        <v>0.63389380536460183</v>
      </c>
      <c r="I23" s="6">
        <f ca="1">Kompilirano!BD26</f>
        <v>0.74778761052389375</v>
      </c>
      <c r="J23" s="6">
        <f ca="1">Kompilirano!BN26</f>
        <v>6.71595443938479E-2</v>
      </c>
      <c r="K23" s="6">
        <f ca="1">Kompilirano!BX26</f>
        <v>7.5972071680112579E-2</v>
      </c>
    </row>
    <row r="24" spans="2:11" x14ac:dyDescent="0.25">
      <c r="B24" t="s">
        <v>87</v>
      </c>
      <c r="C24" s="7">
        <f ca="1">Kompilirano!G22</f>
        <v>21</v>
      </c>
      <c r="D24" s="5">
        <f t="shared" ca="1" si="0"/>
        <v>549.53716814159293</v>
      </c>
      <c r="E24" s="8">
        <f ca="1">Kompilirano!AA22</f>
        <v>124195.4</v>
      </c>
      <c r="F24" s="7">
        <f ca="1">Kompilirano!P22</f>
        <v>39.799999999999997</v>
      </c>
      <c r="G24" s="8">
        <f ca="1">Kompilirano!AJ22</f>
        <v>34034</v>
      </c>
      <c r="H24" s="6">
        <f ca="1">Kompilirano!AT22</f>
        <v>0.74853982316106193</v>
      </c>
      <c r="I24" s="6">
        <f ca="1">Kompilirano!BD22</f>
        <v>0.82389380531150436</v>
      </c>
      <c r="J24" s="6">
        <f ca="1">Kompilirano!BN22</f>
        <v>7.7143757652982731E-2</v>
      </c>
      <c r="K24" s="6">
        <f ca="1">Kompilirano!BX22</f>
        <v>8.8391001556811982E-2</v>
      </c>
    </row>
    <row r="25" spans="2:11" x14ac:dyDescent="0.25">
      <c r="B25" t="s">
        <v>89</v>
      </c>
      <c r="C25" s="7">
        <f ca="1">Kompilirano!G24</f>
        <v>22.2</v>
      </c>
      <c r="D25" s="5">
        <f t="shared" ca="1" si="0"/>
        <v>549.39734513274334</v>
      </c>
      <c r="E25" s="8">
        <f ca="1">Kompilirano!AA24</f>
        <v>124163.8</v>
      </c>
      <c r="F25" s="7">
        <f ca="1">Kompilirano!P24</f>
        <v>187.6</v>
      </c>
      <c r="G25" s="8">
        <f ca="1">Kompilirano!AJ24</f>
        <v>30115.4</v>
      </c>
      <c r="H25" s="6">
        <f ca="1">Kompilirano!AT24</f>
        <v>0.66186725664424784</v>
      </c>
      <c r="I25" s="6">
        <f ca="1">Kompilirano!BD24</f>
        <v>0.16991150453628318</v>
      </c>
      <c r="J25" s="6">
        <f ca="1">Kompilirano!BN24</f>
        <v>6.9989502787247998E-2</v>
      </c>
      <c r="K25" s="6">
        <f ca="1">Kompilirano!BX24</f>
        <v>7.9728380852188988E-2</v>
      </c>
    </row>
    <row r="26" spans="2:11" x14ac:dyDescent="0.25">
      <c r="B26" t="s">
        <v>92</v>
      </c>
      <c r="C26" s="7">
        <f ca="1">Kompilirano!G27</f>
        <v>24</v>
      </c>
      <c r="D26" s="5">
        <f t="shared" ca="1" si="0"/>
        <v>549.15044247787614</v>
      </c>
      <c r="E26" s="8">
        <f ca="1">Kompilirano!AA27</f>
        <v>124108</v>
      </c>
      <c r="F26" s="7">
        <f ca="1">Kompilirano!P27</f>
        <v>48.6</v>
      </c>
      <c r="G26" s="8">
        <f ca="1">Kompilirano!AJ27</f>
        <v>34429.199999999997</v>
      </c>
      <c r="H26" s="6">
        <f ca="1">Kompilirano!AT27</f>
        <v>0.75728318594336275</v>
      </c>
      <c r="I26" s="6">
        <f ca="1">Kompilirano!BD27</f>
        <v>0.78495575235044246</v>
      </c>
      <c r="J26" s="6">
        <f ca="1">Kompilirano!BN27</f>
        <v>7.6753059063127779E-2</v>
      </c>
      <c r="K26" s="6">
        <f ca="1">Kompilirano!BX27</f>
        <v>8.4699022450830649E-2</v>
      </c>
    </row>
    <row r="27" spans="2:11" x14ac:dyDescent="0.25">
      <c r="B27" t="s">
        <v>90</v>
      </c>
      <c r="C27" s="7">
        <f ca="1">Kompilirano!G25</f>
        <v>26</v>
      </c>
      <c r="D27" s="5">
        <f t="shared" ca="1" si="0"/>
        <v>547.07256637168143</v>
      </c>
      <c r="E27" s="8">
        <f ca="1">Kompilirano!AA25</f>
        <v>123638.39999999999</v>
      </c>
      <c r="F27" s="7">
        <f ca="1">Kompilirano!P25</f>
        <v>180.8</v>
      </c>
      <c r="G27" s="8">
        <f ca="1">Kompilirano!AJ25</f>
        <v>29707</v>
      </c>
      <c r="H27" s="6">
        <f ca="1">Kompilirano!AT25</f>
        <v>0.65285398218230084</v>
      </c>
      <c r="I27" s="6">
        <f ca="1">Kompilirano!BD25</f>
        <v>0.1999999997539823</v>
      </c>
      <c r="J27" s="6">
        <f ca="1">Kompilirano!BN25</f>
        <v>6.8314016745238765E-2</v>
      </c>
      <c r="K27" s="6">
        <f ca="1">Kompilirano!BX25</f>
        <v>7.5659997005974061E-2</v>
      </c>
    </row>
    <row r="28" spans="2:11" x14ac:dyDescent="0.25">
      <c r="B28" t="s">
        <v>95</v>
      </c>
      <c r="C28" s="7">
        <f ca="1">Kompilirano!G30</f>
        <v>25.6</v>
      </c>
      <c r="D28" s="5">
        <f t="shared" ca="1" si="0"/>
        <v>547.02477876106195</v>
      </c>
      <c r="E28" s="8">
        <f ca="1">Kompilirano!AA30</f>
        <v>123627.6</v>
      </c>
      <c r="F28" s="7">
        <f ca="1">Kompilirano!P30</f>
        <v>26</v>
      </c>
      <c r="G28" s="8">
        <f ca="1">Kompilirano!AJ30</f>
        <v>36326.400000000001</v>
      </c>
      <c r="H28" s="6">
        <f ca="1">Kompilirano!AT30</f>
        <v>0.79925663732743357</v>
      </c>
      <c r="I28" s="6">
        <f ca="1">Kompilirano!BD30</f>
        <v>0.88495575219469025</v>
      </c>
      <c r="J28" s="6">
        <f ca="1">Kompilirano!BN30</f>
        <v>7.9288388813733277E-2</v>
      </c>
      <c r="K28" s="6">
        <f ca="1">Kompilirano!BX30</f>
        <v>8.5051617831830656E-2</v>
      </c>
    </row>
    <row r="29" spans="2:11" x14ac:dyDescent="0.25">
      <c r="B29" t="s">
        <v>94</v>
      </c>
      <c r="C29" s="7">
        <f ca="1">Kompilirano!G29</f>
        <v>26.4</v>
      </c>
      <c r="D29" s="5">
        <f t="shared" ca="1" si="0"/>
        <v>546.65840707964605</v>
      </c>
      <c r="E29" s="8">
        <f ca="1">Kompilirano!AA29</f>
        <v>123544.8</v>
      </c>
      <c r="F29" s="7">
        <f ca="1">Kompilirano!P29</f>
        <v>45.8</v>
      </c>
      <c r="G29" s="8">
        <f ca="1">Kompilirano!AJ29</f>
        <v>30754</v>
      </c>
      <c r="H29" s="6">
        <f ca="1">Kompilirano!AT29</f>
        <v>0.67597345142123877</v>
      </c>
      <c r="I29" s="6">
        <f ca="1">Kompilirano!BD29</f>
        <v>0.7973451327504425</v>
      </c>
      <c r="J29" s="6">
        <f ca="1">Kompilirano!BN29</f>
        <v>7.1577193486153101E-2</v>
      </c>
      <c r="K29" s="6">
        <f ca="1">Kompilirano!BX29</f>
        <v>8.2769278109871988E-2</v>
      </c>
    </row>
    <row r="30" spans="2:11" x14ac:dyDescent="0.25">
      <c r="B30" t="s">
        <v>88</v>
      </c>
      <c r="C30" s="7">
        <f ca="1">Kompilirano!G23</f>
        <v>26.6</v>
      </c>
      <c r="D30" s="5">
        <f t="shared" ca="1" si="0"/>
        <v>546.64955752212393</v>
      </c>
      <c r="E30" s="8">
        <f ca="1">Kompilirano!AA23</f>
        <v>123542.8</v>
      </c>
      <c r="F30" s="7">
        <f ca="1">Kompilirano!P23</f>
        <v>46.8</v>
      </c>
      <c r="G30" s="8">
        <f ca="1">Kompilirano!AJ23</f>
        <v>31006</v>
      </c>
      <c r="H30" s="6">
        <f ca="1">Kompilirano!AT23</f>
        <v>0.68154867265309726</v>
      </c>
      <c r="I30" s="6">
        <f ca="1">Kompilirano!BD23</f>
        <v>0.79292035389380522</v>
      </c>
      <c r="J30" s="6">
        <f ca="1">Kompilirano!BN23</f>
        <v>6.7875636051098004E-2</v>
      </c>
      <c r="K30" s="6">
        <f ca="1">Kompilirano!BX23</f>
        <v>6.6504879055294092E-2</v>
      </c>
    </row>
    <row r="31" spans="2:11" x14ac:dyDescent="0.25">
      <c r="B31" t="s">
        <v>93</v>
      </c>
      <c r="C31" s="7">
        <f ca="1">Kompilirano!G28</f>
        <v>26.6</v>
      </c>
      <c r="D31" s="5">
        <f t="shared" ca="1" si="0"/>
        <v>546.22123893805315</v>
      </c>
      <c r="E31" s="8">
        <f ca="1">Kompilirano!AA28</f>
        <v>123446</v>
      </c>
      <c r="F31" s="7">
        <f ca="1">Kompilirano!P28</f>
        <v>42.4</v>
      </c>
      <c r="G31" s="8">
        <f ca="1">Kompilirano!AJ28</f>
        <v>30831.8</v>
      </c>
      <c r="H31" s="6">
        <f ca="1">Kompilirano!AT28</f>
        <v>0.67769469020176998</v>
      </c>
      <c r="I31" s="6">
        <f ca="1">Kompilirano!BD28</f>
        <v>0.81238938060707966</v>
      </c>
      <c r="J31" s="6">
        <f ca="1">Kompilirano!BN28</f>
        <v>7.130483278071352E-2</v>
      </c>
      <c r="K31" s="6">
        <f ca="1">Kompilirano!BX28</f>
        <v>8.1484565176596385E-2</v>
      </c>
    </row>
    <row r="32" spans="2:11" x14ac:dyDescent="0.25">
      <c r="B32" t="s">
        <v>102</v>
      </c>
      <c r="C32" s="7">
        <f ca="1">Kompilirano!G38</f>
        <v>30.4</v>
      </c>
      <c r="D32" s="5">
        <f t="shared" ca="1" si="0"/>
        <v>543.72743362831852</v>
      </c>
      <c r="E32" s="8">
        <f ca="1">Kompilirano!AA38</f>
        <v>122882.4</v>
      </c>
      <c r="F32" s="7">
        <f ca="1">Kompilirano!P38</f>
        <v>21.4</v>
      </c>
      <c r="G32" s="8">
        <f ca="1">Kompilirano!AJ38</f>
        <v>37141.800000000003</v>
      </c>
      <c r="H32" s="6">
        <f ca="1">Kompilirano!AT38</f>
        <v>0.81729646033982295</v>
      </c>
      <c r="I32" s="6">
        <f ca="1">Kompilirano!BD38</f>
        <v>0.90530973445132745</v>
      </c>
      <c r="J32" s="6">
        <f ca="1">Kompilirano!BN38</f>
        <v>8.1607271049726676E-2</v>
      </c>
      <c r="K32" s="6">
        <f ca="1">Kompilirano!BX38</f>
        <v>8.9135102971661676E-2</v>
      </c>
    </row>
    <row r="33" spans="2:11" x14ac:dyDescent="0.25">
      <c r="B33" t="s">
        <v>103</v>
      </c>
      <c r="C33" s="7">
        <f ca="1">Kompilirano!G39</f>
        <v>31</v>
      </c>
      <c r="D33" s="5">
        <f t="shared" ca="1" si="0"/>
        <v>543.36991150442475</v>
      </c>
      <c r="E33" s="8">
        <f ca="1">Kompilirano!AA39</f>
        <v>122801.60000000001</v>
      </c>
      <c r="F33" s="7">
        <f ca="1">Kompilirano!P39</f>
        <v>28</v>
      </c>
      <c r="G33" s="8">
        <f ca="1">Kompilirano!AJ39</f>
        <v>34608.400000000001</v>
      </c>
      <c r="H33" s="6">
        <f ca="1">Kompilirano!AT39</f>
        <v>0.76124778763008849</v>
      </c>
      <c r="I33" s="6">
        <f ca="1">Kompilirano!BD39</f>
        <v>0.87610619469026541</v>
      </c>
      <c r="J33" s="6">
        <f ca="1">Kompilirano!BN39</f>
        <v>7.7849688105138676E-2</v>
      </c>
      <c r="K33" s="6">
        <f ca="1">Kompilirano!BX39</f>
        <v>8.7424010438632821E-2</v>
      </c>
    </row>
    <row r="34" spans="2:11" x14ac:dyDescent="0.25">
      <c r="B34" t="s">
        <v>14</v>
      </c>
      <c r="C34" s="7">
        <f ca="1">Kompilirano!G31</f>
        <v>32.200000000000003</v>
      </c>
      <c r="D34" s="5">
        <f t="shared" ca="1" si="0"/>
        <v>543.1407079646018</v>
      </c>
      <c r="E34" s="8">
        <f ca="1">Kompilirano!AA31</f>
        <v>122749.8</v>
      </c>
      <c r="F34" s="7">
        <f ca="1">Kompilirano!P31</f>
        <v>44</v>
      </c>
      <c r="G34" s="8">
        <f ca="1">Kompilirano!AJ31</f>
        <v>33777.4</v>
      </c>
      <c r="H34" s="6">
        <f ca="1">Kompilirano!AT31</f>
        <v>0.74286283164424771</v>
      </c>
      <c r="I34" s="6">
        <f ca="1">Kompilirano!BD31</f>
        <v>0.80530973465486722</v>
      </c>
      <c r="J34" s="6">
        <f ca="1">Kompilirano!BN31</f>
        <v>7.5504103268380349E-2</v>
      </c>
      <c r="K34" s="6">
        <f ca="1">Kompilirano!BX31</f>
        <v>8.1887414622676666E-2</v>
      </c>
    </row>
    <row r="35" spans="2:11" x14ac:dyDescent="0.25">
      <c r="B35" t="s">
        <v>98</v>
      </c>
      <c r="C35" s="7">
        <f ca="1">Kompilirano!G34</f>
        <v>32.4</v>
      </c>
      <c r="D35" s="5">
        <f t="shared" ca="1" si="0"/>
        <v>542.54778761061948</v>
      </c>
      <c r="E35" s="8">
        <f ca="1">Kompilirano!AA34</f>
        <v>122615.8</v>
      </c>
      <c r="F35" s="7">
        <f ca="1">Kompilirano!P34</f>
        <v>56.6</v>
      </c>
      <c r="G35" s="8">
        <f ca="1">Kompilirano!AJ34</f>
        <v>28769.4</v>
      </c>
      <c r="H35" s="6">
        <f ca="1">Kompilirano!AT34</f>
        <v>0.63206637165309743</v>
      </c>
      <c r="I35" s="6">
        <f ca="1">Kompilirano!BD34</f>
        <v>0.74955752222831851</v>
      </c>
      <c r="J35" s="6">
        <f ca="1">Kompilirano!BN34</f>
        <v>6.5905778376325802E-2</v>
      </c>
      <c r="K35" s="6">
        <f ca="1">Kompilirano!BX34</f>
        <v>7.0531029029673203E-2</v>
      </c>
    </row>
    <row r="36" spans="2:11" x14ac:dyDescent="0.25">
      <c r="B36" t="s">
        <v>101</v>
      </c>
      <c r="C36" s="7">
        <f ca="1">Kompilirano!G37</f>
        <v>32.6</v>
      </c>
      <c r="D36" s="5">
        <f t="shared" ca="1" si="0"/>
        <v>542.44601769911503</v>
      </c>
      <c r="E36" s="8">
        <f ca="1">Kompilirano!AA37</f>
        <v>122592.8</v>
      </c>
      <c r="F36" s="7">
        <f ca="1">Kompilirano!P37</f>
        <v>69.400000000000006</v>
      </c>
      <c r="G36" s="8">
        <f ca="1">Kompilirano!AJ37</f>
        <v>27430.2</v>
      </c>
      <c r="H36" s="6">
        <f ca="1">Kompilirano!AT37</f>
        <v>0.60243805318584065</v>
      </c>
      <c r="I36" s="6">
        <f ca="1">Kompilirano!BD37</f>
        <v>0.69292035394513274</v>
      </c>
      <c r="J36" s="6">
        <f ca="1">Kompilirano!BN37</f>
        <v>6.4876225597388773E-2</v>
      </c>
      <c r="K36" s="6">
        <f ca="1">Kompilirano!BX37</f>
        <v>7.3731868221674879E-2</v>
      </c>
    </row>
    <row r="37" spans="2:11" x14ac:dyDescent="0.25">
      <c r="B37" t="s">
        <v>97</v>
      </c>
      <c r="C37" s="7">
        <f ca="1">Kompilirano!G33</f>
        <v>33</v>
      </c>
      <c r="D37" s="5">
        <f t="shared" ca="1" si="0"/>
        <v>542.43628318584069</v>
      </c>
      <c r="E37" s="8">
        <f ca="1">Kompilirano!AA33</f>
        <v>122590.6</v>
      </c>
      <c r="F37" s="7">
        <f ca="1">Kompilirano!P33</f>
        <v>50.8</v>
      </c>
      <c r="G37" s="8">
        <f ca="1">Kompilirano!AJ33</f>
        <v>31090.6</v>
      </c>
      <c r="H37" s="6">
        <f ca="1">Kompilirano!AT33</f>
        <v>0.68342035393805323</v>
      </c>
      <c r="I37" s="6">
        <f ca="1">Kompilirano!BD33</f>
        <v>0.77522123874159299</v>
      </c>
      <c r="J37" s="6">
        <f ca="1">Kompilirano!BN33</f>
        <v>7.1533508062647466E-2</v>
      </c>
      <c r="K37" s="6">
        <f ca="1">Kompilirano!BX33</f>
        <v>8.1220552976946539E-2</v>
      </c>
    </row>
    <row r="38" spans="2:11" x14ac:dyDescent="0.25">
      <c r="B38" t="s">
        <v>96</v>
      </c>
      <c r="C38" s="7">
        <f ca="1">Kompilirano!G32</f>
        <v>33.4</v>
      </c>
      <c r="D38" s="5">
        <f t="shared" ca="1" si="0"/>
        <v>541.17876106194683</v>
      </c>
      <c r="E38" s="8">
        <f ca="1">Kompilirano!AA32</f>
        <v>122306.4</v>
      </c>
      <c r="F38" s="7">
        <f ca="1">Kompilirano!P32</f>
        <v>188.4</v>
      </c>
      <c r="G38" s="8">
        <f ca="1">Kompilirano!AJ32</f>
        <v>27638</v>
      </c>
      <c r="H38" s="6">
        <f ca="1">Kompilirano!AT32</f>
        <v>0.60705752219469022</v>
      </c>
      <c r="I38" s="6">
        <f ca="1">Kompilirano!BD32</f>
        <v>0.1663716813840708</v>
      </c>
      <c r="J38" s="6">
        <f ca="1">Kompilirano!BN32</f>
        <v>6.485454315059383E-2</v>
      </c>
      <c r="K38" s="6">
        <f ca="1">Kompilirano!BX32</f>
        <v>7.1839073679358573E-2</v>
      </c>
    </row>
    <row r="39" spans="2:11" x14ac:dyDescent="0.25">
      <c r="B39" t="s">
        <v>110</v>
      </c>
      <c r="C39" s="7">
        <f ca="1">Kompilirano!G46</f>
        <v>36.200000000000003</v>
      </c>
      <c r="D39" s="5">
        <f t="shared" ca="1" si="0"/>
        <v>540.02743362831859</v>
      </c>
      <c r="E39" s="8">
        <f ca="1">Kompilirano!AA46</f>
        <v>122046.2</v>
      </c>
      <c r="F39" s="7">
        <f ca="1">Kompilirano!P46</f>
        <v>69.8</v>
      </c>
      <c r="G39" s="8">
        <f ca="1">Kompilirano!AJ46</f>
        <v>26225.599999999999</v>
      </c>
      <c r="H39" s="6">
        <f ca="1">Kompilirano!AT46</f>
        <v>0.57578761062831851</v>
      </c>
      <c r="I39" s="6">
        <f ca="1">Kompilirano!BD46</f>
        <v>0.69115044249734514</v>
      </c>
      <c r="J39" s="6">
        <f ca="1">Kompilirano!BN46</f>
        <v>6.2243261585210319E-2</v>
      </c>
      <c r="K39" s="6">
        <f ca="1">Kompilirano!BX46</f>
        <v>6.8910242462142723E-2</v>
      </c>
    </row>
    <row r="40" spans="2:11" x14ac:dyDescent="0.25">
      <c r="B40" t="s">
        <v>99</v>
      </c>
      <c r="C40" s="7">
        <f ca="1">Kompilirano!G35</f>
        <v>36.799999999999997</v>
      </c>
      <c r="D40" s="5">
        <f t="shared" ca="1" si="0"/>
        <v>539.78672566371688</v>
      </c>
      <c r="E40" s="8">
        <f ca="1">Kompilirano!AA35</f>
        <v>121991.8</v>
      </c>
      <c r="F40" s="7">
        <f ca="1">Kompilirano!P35</f>
        <v>0</v>
      </c>
      <c r="G40" s="8">
        <f ca="1">Kompilirano!AJ35</f>
        <v>39679.800000000003</v>
      </c>
      <c r="H40" s="6">
        <f ca="1">Kompilirano!AT35</f>
        <v>0.87344690261238944</v>
      </c>
      <c r="I40" s="6">
        <f ca="1">Kompilirano!BD35</f>
        <v>1</v>
      </c>
      <c r="J40" s="6">
        <f ca="1">Kompilirano!BN35</f>
        <v>8.4094650873829085E-2</v>
      </c>
      <c r="K40" s="6">
        <f ca="1">Kompilirano!BX35</f>
        <v>8.5195994474795922E-2</v>
      </c>
    </row>
    <row r="41" spans="2:11" x14ac:dyDescent="0.25">
      <c r="B41" t="s">
        <v>104</v>
      </c>
      <c r="C41" s="7">
        <f ca="1">Kompilirano!G40</f>
        <v>36.4</v>
      </c>
      <c r="D41" s="5">
        <f t="shared" ca="1" si="0"/>
        <v>539.77079646017694</v>
      </c>
      <c r="E41" s="8">
        <f ca="1">Kompilirano!AA40</f>
        <v>121988.2</v>
      </c>
      <c r="F41" s="7">
        <f ca="1">Kompilirano!P40</f>
        <v>34.200000000000003</v>
      </c>
      <c r="G41" s="8">
        <f ca="1">Kompilirano!AJ40</f>
        <v>35108.800000000003</v>
      </c>
      <c r="H41" s="6">
        <f ca="1">Kompilirano!AT40</f>
        <v>0.77231858395929209</v>
      </c>
      <c r="I41" s="6">
        <f ca="1">Kompilirano!BD40</f>
        <v>0.84867256632035404</v>
      </c>
      <c r="J41" s="6">
        <f ca="1">Kompilirano!BN40</f>
        <v>7.912344101352968E-2</v>
      </c>
      <c r="K41" s="6">
        <f ca="1">Kompilirano!BX40</f>
        <v>9.0332371537073297E-2</v>
      </c>
    </row>
    <row r="42" spans="2:11" x14ac:dyDescent="0.25">
      <c r="B42" t="s">
        <v>100</v>
      </c>
      <c r="C42" s="7">
        <f ca="1">Kompilirano!G36</f>
        <v>39</v>
      </c>
      <c r="D42" s="5">
        <f t="shared" ca="1" si="0"/>
        <v>538.59203539823011</v>
      </c>
      <c r="E42" s="8">
        <f ca="1">Kompilirano!AA36</f>
        <v>121721.8</v>
      </c>
      <c r="F42" s="7">
        <f ca="1">Kompilirano!P36</f>
        <v>106.4</v>
      </c>
      <c r="G42" s="8">
        <f ca="1">Kompilirano!AJ36</f>
        <v>25539.200000000001</v>
      </c>
      <c r="H42" s="6">
        <f ca="1">Kompilirano!AT36</f>
        <v>0.56108849573805308</v>
      </c>
      <c r="I42" s="6">
        <f ca="1">Kompilirano!BD36</f>
        <v>0.52920353986548663</v>
      </c>
      <c r="J42" s="6">
        <f ca="1">Kompilirano!BN36</f>
        <v>5.5205646213167814E-2</v>
      </c>
      <c r="K42" s="6">
        <f ca="1">Kompilirano!BX36</f>
        <v>3.3251320840298658E-2</v>
      </c>
    </row>
    <row r="43" spans="2:11" x14ac:dyDescent="0.25">
      <c r="B43" t="s">
        <v>106</v>
      </c>
      <c r="C43" s="7">
        <f ca="1">Kompilirano!G42</f>
        <v>39.6</v>
      </c>
      <c r="D43" s="5">
        <f t="shared" ca="1" si="0"/>
        <v>537.88318584070794</v>
      </c>
      <c r="E43" s="8">
        <f ca="1">Kompilirano!AA42</f>
        <v>121561.60000000001</v>
      </c>
      <c r="F43" s="7">
        <f ca="1">Kompilirano!P42</f>
        <v>63.8</v>
      </c>
      <c r="G43" s="8">
        <f ca="1">Kompilirano!AJ42</f>
        <v>28333.200000000001</v>
      </c>
      <c r="H43" s="6">
        <f ca="1">Kompilirano!AT42</f>
        <v>0.62241592935221235</v>
      </c>
      <c r="I43" s="6">
        <f ca="1">Kompilirano!BD42</f>
        <v>0.71769911490619465</v>
      </c>
      <c r="J43" s="6">
        <f ca="1">Kompilirano!BN42</f>
        <v>6.5802652244278254E-2</v>
      </c>
      <c r="K43" s="6">
        <f ca="1">Kompilirano!BX42</f>
        <v>7.2263030732126768E-2</v>
      </c>
    </row>
    <row r="44" spans="2:11" x14ac:dyDescent="0.25">
      <c r="B44" t="s">
        <v>107</v>
      </c>
      <c r="C44" s="7">
        <f ca="1">Kompilirano!G43</f>
        <v>41.6</v>
      </c>
      <c r="D44" s="5">
        <f t="shared" ca="1" si="0"/>
        <v>536.63274336283189</v>
      </c>
      <c r="E44" s="8">
        <f ca="1">Kompilirano!AA43</f>
        <v>121279</v>
      </c>
      <c r="F44" s="7">
        <f ca="1">Kompilirano!P43</f>
        <v>45.4</v>
      </c>
      <c r="G44" s="8">
        <f ca="1">Kompilirano!AJ43</f>
        <v>31114.799999999999</v>
      </c>
      <c r="H44" s="6">
        <f ca="1">Kompilirano!AT43</f>
        <v>0.68395575218230098</v>
      </c>
      <c r="I44" s="6">
        <f ca="1">Kompilirano!BD43</f>
        <v>0.79911504439823</v>
      </c>
      <c r="J44" s="6">
        <f ca="1">Kompilirano!BN43</f>
        <v>7.1585179708081939E-2</v>
      </c>
      <c r="K44" s="6">
        <f ca="1">Kompilirano!BX43</f>
        <v>8.0760260571762957E-2</v>
      </c>
    </row>
    <row r="45" spans="2:11" x14ac:dyDescent="0.25">
      <c r="B45" t="s">
        <v>112</v>
      </c>
      <c r="C45" s="7">
        <f ca="1">Kompilirano!G48</f>
        <v>45.2</v>
      </c>
      <c r="D45" s="5">
        <f t="shared" ca="1" si="0"/>
        <v>535.74159292035404</v>
      </c>
      <c r="E45" s="8">
        <f ca="1">Kompilirano!AA48</f>
        <v>121077.6</v>
      </c>
      <c r="F45" s="7">
        <f ca="1">Kompilirano!P48</f>
        <v>0</v>
      </c>
      <c r="G45" s="8">
        <f ca="1">Kompilirano!AJ48</f>
        <v>38315.4</v>
      </c>
      <c r="H45" s="6">
        <f ca="1">Kompilirano!AT48</f>
        <v>0.84326106191150441</v>
      </c>
      <c r="I45" s="6">
        <f ca="1">Kompilirano!BD48</f>
        <v>1</v>
      </c>
      <c r="J45" s="6">
        <f ca="1">Kompilirano!BN48</f>
        <v>8.2844489077251851E-2</v>
      </c>
      <c r="K45" s="6">
        <f ca="1">Kompilirano!BX48</f>
        <v>8.747089155537377E-2</v>
      </c>
    </row>
    <row r="46" spans="2:11" x14ac:dyDescent="0.25">
      <c r="B46" t="s">
        <v>105</v>
      </c>
      <c r="C46" s="7">
        <f ca="1">Kompilirano!G41</f>
        <v>45.2</v>
      </c>
      <c r="D46" s="5">
        <f t="shared" ca="1" si="0"/>
        <v>535.38141592920351</v>
      </c>
      <c r="E46" s="8">
        <f ca="1">Kompilirano!AA41</f>
        <v>120996.2</v>
      </c>
      <c r="F46" s="7">
        <f ca="1">Kompilirano!P41</f>
        <v>14.6</v>
      </c>
      <c r="G46" s="8">
        <f ca="1">Kompilirano!AJ41</f>
        <v>35746.199999999997</v>
      </c>
      <c r="H46" s="6">
        <f ca="1">Kompilirano!AT41</f>
        <v>0.78642035407610622</v>
      </c>
      <c r="I46" s="6">
        <f ca="1">Kompilirano!BD41</f>
        <v>0.93539823011681411</v>
      </c>
      <c r="J46" s="6">
        <f ca="1">Kompilirano!BN41</f>
        <v>7.907003363582886E-2</v>
      </c>
      <c r="K46" s="6">
        <f ca="1">Kompilirano!BX41</f>
        <v>8.6517293739315465E-2</v>
      </c>
    </row>
    <row r="47" spans="2:11" x14ac:dyDescent="0.25">
      <c r="B47" t="s">
        <v>108</v>
      </c>
      <c r="C47" s="7">
        <f ca="1">Kompilirano!G44</f>
        <v>45</v>
      </c>
      <c r="D47" s="5">
        <f t="shared" ca="1" si="0"/>
        <v>535.21415929203533</v>
      </c>
      <c r="E47" s="8">
        <f ca="1">Kompilirano!AA44</f>
        <v>120958.39999999999</v>
      </c>
      <c r="F47" s="7">
        <f ca="1">Kompilirano!P44</f>
        <v>35.200000000000003</v>
      </c>
      <c r="G47" s="8">
        <f ca="1">Kompilirano!AJ44</f>
        <v>35819.599999999999</v>
      </c>
      <c r="H47" s="6">
        <f ca="1">Kompilirano!AT44</f>
        <v>0.78804424765663716</v>
      </c>
      <c r="I47" s="6">
        <f ca="1">Kompilirano!BD44</f>
        <v>0.84424778756814156</v>
      </c>
      <c r="J47" s="6">
        <f ca="1">Kompilirano!BN44</f>
        <v>7.8829763267905931E-2</v>
      </c>
      <c r="K47" s="6">
        <f ca="1">Kompilirano!BX44</f>
        <v>8.452347947961289E-2</v>
      </c>
    </row>
    <row r="48" spans="2:11" x14ac:dyDescent="0.25">
      <c r="B48" t="s">
        <v>109</v>
      </c>
      <c r="C48" s="7">
        <f ca="1">Kompilirano!G45</f>
        <v>47</v>
      </c>
      <c r="D48" s="5">
        <f t="shared" ca="1" si="0"/>
        <v>534.40530973451325</v>
      </c>
      <c r="E48" s="8">
        <f ca="1">Kompilirano!AA45</f>
        <v>120775.6</v>
      </c>
      <c r="F48" s="7">
        <f ca="1">Kompilirano!P45</f>
        <v>41.4</v>
      </c>
      <c r="G48" s="8">
        <f ca="1">Kompilirano!AJ45</f>
        <v>34362.800000000003</v>
      </c>
      <c r="H48" s="6">
        <f ca="1">Kompilirano!AT45</f>
        <v>0.75581415949734509</v>
      </c>
      <c r="I48" s="6">
        <f ca="1">Kompilirano!BD45</f>
        <v>0.81681415931150436</v>
      </c>
      <c r="J48" s="6">
        <f ca="1">Kompilirano!BN45</f>
        <v>7.822603891983973E-2</v>
      </c>
      <c r="K48" s="6">
        <f ca="1">Kompilirano!BX45</f>
        <v>9.0394700609507744E-2</v>
      </c>
    </row>
    <row r="49" spans="2:11" x14ac:dyDescent="0.25">
      <c r="B49" t="s">
        <v>111</v>
      </c>
      <c r="C49" s="7">
        <f ca="1">Kompilirano!G47</f>
        <v>47.6</v>
      </c>
      <c r="D49" s="5">
        <f t="shared" ca="1" si="0"/>
        <v>534.20530973451321</v>
      </c>
      <c r="E49" s="8">
        <f ca="1">Kompilirano!AA47</f>
        <v>120730.4</v>
      </c>
      <c r="F49" s="7">
        <f ca="1">Kompilirano!P47</f>
        <v>36.6</v>
      </c>
      <c r="G49" s="8">
        <f ca="1">Kompilirano!AJ47</f>
        <v>37372.6</v>
      </c>
      <c r="H49" s="6">
        <f ca="1">Kompilirano!AT47</f>
        <v>0.82240265493982301</v>
      </c>
      <c r="I49" s="6">
        <f ca="1">Kompilirano!BD47</f>
        <v>0.83805309732035393</v>
      </c>
      <c r="J49" s="6">
        <f ca="1">Kompilirano!BN47</f>
        <v>8.0107610013486014E-2</v>
      </c>
      <c r="K49" s="6">
        <f ca="1">Kompilirano!BX47</f>
        <v>8.1365453768990653E-2</v>
      </c>
    </row>
    <row r="50" spans="2:11" x14ac:dyDescent="0.25">
      <c r="B50" t="s">
        <v>118</v>
      </c>
      <c r="C50" s="7">
        <f ca="1">Kompilirano!G55</f>
        <v>48.6</v>
      </c>
      <c r="D50" s="5">
        <f t="shared" ca="1" si="0"/>
        <v>533.96991150442477</v>
      </c>
      <c r="E50" s="8">
        <f ca="1">Kompilirano!AA55</f>
        <v>120677.2</v>
      </c>
      <c r="F50" s="7">
        <f ca="1">Kompilirano!P55</f>
        <v>51</v>
      </c>
      <c r="G50" s="8">
        <f ca="1">Kompilirano!AJ55</f>
        <v>31329.599999999999</v>
      </c>
      <c r="H50" s="6">
        <f ca="1">Kompilirano!AT55</f>
        <v>0.68870796453097349</v>
      </c>
      <c r="I50" s="6">
        <f ca="1">Kompilirano!BD55</f>
        <v>0.77433628303716817</v>
      </c>
      <c r="J50" s="6">
        <f ca="1">Kompilirano!BN55</f>
        <v>7.2063488006045479E-2</v>
      </c>
      <c r="K50" s="6">
        <f ca="1">Kompilirano!BX55</f>
        <v>8.1154644316027119E-2</v>
      </c>
    </row>
    <row r="51" spans="2:11" x14ac:dyDescent="0.25">
      <c r="B51" t="s">
        <v>117</v>
      </c>
      <c r="C51" s="7">
        <f ca="1">Kompilirano!G53</f>
        <v>49.4</v>
      </c>
      <c r="D51" s="5">
        <f t="shared" ca="1" si="0"/>
        <v>533.78761061946898</v>
      </c>
      <c r="E51" s="8">
        <f ca="1">Kompilirano!AA53</f>
        <v>120636</v>
      </c>
      <c r="F51" s="7">
        <f ca="1">Kompilirano!P53</f>
        <v>37.6</v>
      </c>
      <c r="G51" s="8">
        <f ca="1">Kompilirano!AJ53</f>
        <v>33673.800000000003</v>
      </c>
      <c r="H51" s="6">
        <f ca="1">Kompilirano!AT53</f>
        <v>0.74057079665309733</v>
      </c>
      <c r="I51" s="6">
        <f ca="1">Kompilirano!BD53</f>
        <v>0.83362831861592923</v>
      </c>
      <c r="J51" s="6">
        <f ca="1">Kompilirano!BN53</f>
        <v>7.6451512171045261E-2</v>
      </c>
      <c r="K51" s="6">
        <f ca="1">Kompilirano!BX53</f>
        <v>8.6957438168200021E-2</v>
      </c>
    </row>
    <row r="52" spans="2:11" x14ac:dyDescent="0.25">
      <c r="B52" t="s">
        <v>114</v>
      </c>
      <c r="C52" s="7">
        <f ca="1">Kompilirano!G50</f>
        <v>48.6</v>
      </c>
      <c r="D52" s="5">
        <f t="shared" ca="1" si="0"/>
        <v>533.43893805309733</v>
      </c>
      <c r="E52" s="8">
        <f ca="1">Kompilirano!AA50</f>
        <v>120557.2</v>
      </c>
      <c r="F52" s="7">
        <f ca="1">Kompilirano!P50</f>
        <v>67</v>
      </c>
      <c r="G52" s="8">
        <f ca="1">Kompilirano!AJ50</f>
        <v>26553.4</v>
      </c>
      <c r="H52" s="6">
        <f ca="1">Kompilirano!AT50</f>
        <v>0.58303982309734514</v>
      </c>
      <c r="I52" s="6">
        <f ca="1">Kompilirano!BD50</f>
        <v>0.70353982295398232</v>
      </c>
      <c r="J52" s="6">
        <f ca="1">Kompilirano!BN50</f>
        <v>6.3084618437735912E-2</v>
      </c>
      <c r="K52" s="6">
        <f ca="1">Kompilirano!BX50</f>
        <v>7.0614244725040035E-2</v>
      </c>
    </row>
    <row r="53" spans="2:11" x14ac:dyDescent="0.25">
      <c r="B53" t="s">
        <v>9</v>
      </c>
      <c r="C53" s="7">
        <f ca="1">Kompilirano!G56</f>
        <v>50.8</v>
      </c>
      <c r="D53" s="5">
        <f t="shared" ca="1" si="0"/>
        <v>533.1619469026549</v>
      </c>
      <c r="E53" s="8">
        <f ca="1">Kompilirano!AA56</f>
        <v>120494.6</v>
      </c>
      <c r="F53" s="7">
        <f ca="1">Kompilirano!P56</f>
        <v>177.4</v>
      </c>
      <c r="G53" s="8">
        <f ca="1">Kompilirano!AJ56</f>
        <v>34486.6</v>
      </c>
      <c r="H53" s="6">
        <f ca="1">Kompilirano!AT56</f>
        <v>0.75859734491681419</v>
      </c>
      <c r="I53" s="6">
        <f ca="1">Kompilirano!BD56</f>
        <v>0.21504424800176994</v>
      </c>
      <c r="J53" s="6">
        <f ca="1">Kompilirano!BN56</f>
        <v>7.7870074898354721E-2</v>
      </c>
      <c r="K53" s="6">
        <f ca="1">Kompilirano!BX56</f>
        <v>8.7961499148056094E-2</v>
      </c>
    </row>
    <row r="54" spans="2:11" x14ac:dyDescent="0.25">
      <c r="B54" t="s">
        <v>121</v>
      </c>
      <c r="C54" s="7">
        <f ca="1">Kompilirano!G59</f>
        <v>51.2</v>
      </c>
      <c r="D54" s="5">
        <f t="shared" ca="1" si="0"/>
        <v>533.09292035398232</v>
      </c>
      <c r="E54" s="8">
        <f ca="1">Kompilirano!AA59</f>
        <v>120479</v>
      </c>
      <c r="F54" s="7">
        <f ca="1">Kompilirano!P59</f>
        <v>0</v>
      </c>
      <c r="G54" s="8">
        <f ca="1">Kompilirano!AJ59</f>
        <v>40725.599999999999</v>
      </c>
      <c r="H54" s="6">
        <f ca="1">Kompilirano!AT59</f>
        <v>0.89658407080707969</v>
      </c>
      <c r="I54" s="6">
        <f ca="1">Kompilirano!BD59</f>
        <v>1</v>
      </c>
      <c r="J54" s="6">
        <f ca="1">Kompilirano!BN59</f>
        <v>8.5203384444250768E-2</v>
      </c>
      <c r="K54" s="6">
        <f ca="1">Kompilirano!BX59</f>
        <v>8.3952358579007097E-2</v>
      </c>
    </row>
    <row r="55" spans="2:11" x14ac:dyDescent="0.25">
      <c r="B55" t="s">
        <v>115</v>
      </c>
      <c r="C55" s="7">
        <f ca="1">Kompilirano!G51</f>
        <v>52.2</v>
      </c>
      <c r="D55" s="5">
        <f t="shared" ca="1" si="0"/>
        <v>532.89557522123891</v>
      </c>
      <c r="E55" s="8">
        <f ca="1">Kompilirano!AA51</f>
        <v>120434.4</v>
      </c>
      <c r="F55" s="7">
        <f ca="1">Kompilirano!P51</f>
        <v>23.2</v>
      </c>
      <c r="G55" s="8">
        <f ca="1">Kompilirano!AJ51</f>
        <v>36575.599999999999</v>
      </c>
      <c r="H55" s="6">
        <f ca="1">Kompilirano!AT51</f>
        <v>0.80476991140884968</v>
      </c>
      <c r="I55" s="6">
        <f ca="1">Kompilirano!BD51</f>
        <v>0.89734513234690261</v>
      </c>
      <c r="J55" s="6">
        <f ca="1">Kompilirano!BN51</f>
        <v>8.142819370057687E-2</v>
      </c>
      <c r="K55" s="6">
        <f ca="1">Kompilirano!BX51</f>
        <v>9.1368507614594724E-2</v>
      </c>
    </row>
    <row r="56" spans="2:11" x14ac:dyDescent="0.25">
      <c r="B56" t="s">
        <v>15</v>
      </c>
      <c r="C56" s="7">
        <f ca="1">Kompilirano!G54</f>
        <v>52.6</v>
      </c>
      <c r="D56" s="5">
        <f t="shared" ca="1" si="0"/>
        <v>532.71681415929208</v>
      </c>
      <c r="E56" s="8">
        <f ca="1">Kompilirano!AA54</f>
        <v>120394</v>
      </c>
      <c r="F56" s="7">
        <f ca="1">Kompilirano!P54</f>
        <v>71.8</v>
      </c>
      <c r="G56" s="8">
        <f ca="1">Kompilirano!AJ54</f>
        <v>25966</v>
      </c>
      <c r="H56" s="6">
        <f ca="1">Kompilirano!AT54</f>
        <v>0.57004424771858397</v>
      </c>
      <c r="I56" s="6">
        <f ca="1">Kompilirano!BD54</f>
        <v>0.68230088488849561</v>
      </c>
      <c r="J56" s="6">
        <f ca="1">Kompilirano!BN54</f>
        <v>6.1900941828460163E-2</v>
      </c>
      <c r="K56" s="6">
        <f ca="1">Kompilirano!BX54</f>
        <v>6.8814329540340349E-2</v>
      </c>
    </row>
    <row r="57" spans="2:11" x14ac:dyDescent="0.25">
      <c r="B57" t="s">
        <v>116</v>
      </c>
      <c r="C57" s="7">
        <f ca="1">Kompilirano!G52</f>
        <v>51.6</v>
      </c>
      <c r="D57" s="5">
        <f t="shared" ca="1" si="0"/>
        <v>532.66548672566364</v>
      </c>
      <c r="E57" s="8">
        <f ca="1">Kompilirano!AA52</f>
        <v>120382.39999999999</v>
      </c>
      <c r="F57" s="7">
        <f ca="1">Kompilirano!P52</f>
        <v>37.799999999999997</v>
      </c>
      <c r="G57" s="8">
        <f ca="1">Kompilirano!AJ52</f>
        <v>37261.800000000003</v>
      </c>
      <c r="H57" s="6">
        <f ca="1">Kompilirano!AT52</f>
        <v>0.81995132734159293</v>
      </c>
      <c r="I57" s="6">
        <f ca="1">Kompilirano!BD52</f>
        <v>0.83274336281592931</v>
      </c>
      <c r="J57" s="6">
        <f ca="1">Kompilirano!BN52</f>
        <v>8.0003494024919089E-2</v>
      </c>
      <c r="K57" s="6">
        <f ca="1">Kompilirano!BX52</f>
        <v>8.1540057676555366E-2</v>
      </c>
    </row>
    <row r="58" spans="2:11" x14ac:dyDescent="0.25">
      <c r="B58" t="s">
        <v>113</v>
      </c>
      <c r="C58" s="7">
        <f ca="1">Kompilirano!G49</f>
        <v>53</v>
      </c>
      <c r="D58" s="5">
        <f t="shared" ca="1" si="0"/>
        <v>532.26548672566366</v>
      </c>
      <c r="E58" s="8">
        <f ca="1">Kompilirano!AA49</f>
        <v>120292</v>
      </c>
      <c r="F58" s="7">
        <f ca="1">Kompilirano!P49</f>
        <v>120.4</v>
      </c>
      <c r="G58" s="8">
        <f ca="1">Kompilirano!AJ49</f>
        <v>26255</v>
      </c>
      <c r="H58" s="6">
        <f ca="1">Kompilirano!AT49</f>
        <v>0.57661504412566367</v>
      </c>
      <c r="I58" s="6">
        <f ca="1">Kompilirano!BD49</f>
        <v>0.46725663708672566</v>
      </c>
      <c r="J58" s="6">
        <f ca="1">Kompilirano!BN49</f>
        <v>5.7353869021695383E-2</v>
      </c>
      <c r="K58" s="6">
        <f ca="1">Kompilirano!BX49</f>
        <v>3.7574977832014599E-2</v>
      </c>
    </row>
    <row r="59" spans="2:11" x14ac:dyDescent="0.25">
      <c r="B59" t="s">
        <v>119</v>
      </c>
      <c r="C59" s="7">
        <f ca="1">Kompilirano!G57</f>
        <v>53.8</v>
      </c>
      <c r="D59" s="5">
        <f t="shared" ca="1" si="0"/>
        <v>531.77433628318579</v>
      </c>
      <c r="E59" s="8">
        <f ca="1">Kompilirano!AA57</f>
        <v>120181</v>
      </c>
      <c r="F59" s="7">
        <f ca="1">Kompilirano!P57</f>
        <v>69.599999999999994</v>
      </c>
      <c r="G59" s="8">
        <f ca="1">Kompilirano!AJ57</f>
        <v>25758.799999999999</v>
      </c>
      <c r="H59" s="6">
        <f ca="1">Kompilirano!AT57</f>
        <v>0.56546017686548677</v>
      </c>
      <c r="I59" s="6">
        <f ca="1">Kompilirano!BD57</f>
        <v>0.69203539809734504</v>
      </c>
      <c r="J59" s="6">
        <f ca="1">Kompilirano!BN57</f>
        <v>6.1421475532636292E-2</v>
      </c>
      <c r="K59" s="6">
        <f ca="1">Kompilirano!BX57</f>
        <v>6.8171332534266951E-2</v>
      </c>
    </row>
    <row r="60" spans="2:11" x14ac:dyDescent="0.25">
      <c r="B60" t="s">
        <v>120</v>
      </c>
      <c r="C60" s="7">
        <f ca="1">Kompilirano!G58</f>
        <v>55</v>
      </c>
      <c r="D60" s="5">
        <f t="shared" ca="1" si="0"/>
        <v>531.58938053097347</v>
      </c>
      <c r="E60" s="8">
        <f ca="1">Kompilirano!AA58</f>
        <v>120139.2</v>
      </c>
      <c r="F60" s="7">
        <f ca="1">Kompilirano!P58</f>
        <v>17</v>
      </c>
      <c r="G60" s="8">
        <f ca="1">Kompilirano!AJ58</f>
        <v>39319.199999999997</v>
      </c>
      <c r="H60" s="6">
        <f ca="1">Kompilirano!AT58</f>
        <v>0.86546902653628321</v>
      </c>
      <c r="I60" s="6">
        <f ca="1">Kompilirano!BD58</f>
        <v>0.92477876121238933</v>
      </c>
      <c r="J60" s="6">
        <f ca="1">Kompilirano!BN58</f>
        <v>8.3181033447122882E-2</v>
      </c>
      <c r="K60" s="6">
        <f ca="1">Kompilirano!BX58</f>
        <v>8.3296602771593009E-2</v>
      </c>
    </row>
    <row r="61" spans="2:11" x14ac:dyDescent="0.25">
      <c r="B61" t="s">
        <v>124</v>
      </c>
      <c r="C61" s="7">
        <f ca="1">Kompilirano!G62</f>
        <v>56.4</v>
      </c>
      <c r="D61" s="5">
        <f t="shared" ca="1" si="0"/>
        <v>530.42477876106193</v>
      </c>
      <c r="E61" s="8">
        <f ca="1">Kompilirano!AA62</f>
        <v>119876</v>
      </c>
      <c r="F61" s="7">
        <f ca="1">Kompilirano!P62</f>
        <v>5.8</v>
      </c>
      <c r="G61" s="8">
        <f ca="1">Kompilirano!AJ62</f>
        <v>39219</v>
      </c>
      <c r="H61" s="6">
        <f ca="1">Kompilirano!AT62</f>
        <v>0.86325221225840709</v>
      </c>
      <c r="I61" s="6">
        <f ca="1">Kompilirano!BD62</f>
        <v>0.97433628318230081</v>
      </c>
      <c r="J61" s="6">
        <f ca="1">Kompilirano!BN62</f>
        <v>8.3492728834239943E-2</v>
      </c>
      <c r="K61" s="6">
        <f ca="1">Kompilirano!BX62</f>
        <v>8.5263133410833664E-2</v>
      </c>
    </row>
    <row r="62" spans="2:11" x14ac:dyDescent="0.25">
      <c r="B62" t="s">
        <v>128</v>
      </c>
      <c r="C62" s="7">
        <f ca="1">Kompilirano!G68</f>
        <v>57.6</v>
      </c>
      <c r="D62" s="5">
        <f t="shared" ca="1" si="0"/>
        <v>530.31681415929211</v>
      </c>
      <c r="E62" s="8">
        <f ca="1">Kompilirano!AA68</f>
        <v>119851.6</v>
      </c>
      <c r="F62" s="7">
        <f ca="1">Kompilirano!P68</f>
        <v>0</v>
      </c>
      <c r="G62" s="8">
        <f ca="1">Kompilirano!AJ68</f>
        <v>40665.4</v>
      </c>
      <c r="H62" s="6">
        <f ca="1">Kompilirano!AT68</f>
        <v>0.8952522124442478</v>
      </c>
      <c r="I62" s="6">
        <f ca="1">Kompilirano!BD68</f>
        <v>1</v>
      </c>
      <c r="J62" s="6">
        <f ca="1">Kompilirano!BN68</f>
        <v>8.5987233115722789E-2</v>
      </c>
      <c r="K62" s="6">
        <f ca="1">Kompilirano!BX68</f>
        <v>8.7352535346047797E-2</v>
      </c>
    </row>
    <row r="63" spans="2:11" x14ac:dyDescent="0.25">
      <c r="B63" t="s">
        <v>11</v>
      </c>
      <c r="C63" s="7">
        <f ca="1">Kompilirano!G64</f>
        <v>62.4</v>
      </c>
      <c r="D63" s="5">
        <f t="shared" ca="1" si="0"/>
        <v>527.83539823008846</v>
      </c>
      <c r="E63" s="8">
        <f ca="1">Kompilirano!AA64</f>
        <v>119290.8</v>
      </c>
      <c r="F63" s="7">
        <f ca="1">Kompilirano!P64</f>
        <v>0</v>
      </c>
      <c r="G63" s="8">
        <f ca="1">Kompilirano!AJ64</f>
        <v>35886.199999999997</v>
      </c>
      <c r="H63" s="6">
        <f ca="1">Kompilirano!AT64</f>
        <v>0.78951769906371683</v>
      </c>
      <c r="I63" s="6">
        <f ca="1">Kompilirano!BD64</f>
        <v>1</v>
      </c>
      <c r="J63" s="6">
        <f ca="1">Kompilirano!BN64</f>
        <v>7.9843194828895944E-2</v>
      </c>
      <c r="K63" s="6">
        <f ca="1">Kompilirano!BX64</f>
        <v>8.7724379803416089E-2</v>
      </c>
    </row>
    <row r="64" spans="2:11" x14ac:dyDescent="0.25">
      <c r="B64" t="s">
        <v>127</v>
      </c>
      <c r="C64" s="7">
        <f ca="1">Kompilirano!G67</f>
        <v>64</v>
      </c>
      <c r="D64" s="5">
        <f t="shared" ca="1" si="0"/>
        <v>527.49115044247787</v>
      </c>
      <c r="E64" s="8">
        <f ca="1">Kompilirano!AA67</f>
        <v>119213</v>
      </c>
      <c r="F64" s="7">
        <f ca="1">Kompilirano!P67</f>
        <v>0</v>
      </c>
      <c r="G64" s="8">
        <f ca="1">Kompilirano!AJ67</f>
        <v>39223.4</v>
      </c>
      <c r="H64" s="6">
        <f ca="1">Kompilirano!AT67</f>
        <v>0.86334955764424781</v>
      </c>
      <c r="I64" s="6">
        <f ca="1">Kompilirano!BD67</f>
        <v>1</v>
      </c>
      <c r="J64" s="6">
        <f ca="1">Kompilirano!BN67</f>
        <v>8.2650117371870724E-2</v>
      </c>
      <c r="K64" s="6">
        <f ca="1">Kompilirano!BX67</f>
        <v>8.1173557073557251E-2</v>
      </c>
    </row>
    <row r="65" spans="2:11" x14ac:dyDescent="0.25">
      <c r="B65" t="s">
        <v>129</v>
      </c>
      <c r="C65" s="7">
        <f ca="1">Kompilirano!G69</f>
        <v>64.599999999999994</v>
      </c>
      <c r="D65" s="5">
        <f t="shared" ca="1" si="0"/>
        <v>527.43362831858406</v>
      </c>
      <c r="E65" s="8">
        <f ca="1">Kompilirano!AA69</f>
        <v>119200</v>
      </c>
      <c r="F65" s="7">
        <f ca="1">Kompilirano!P69</f>
        <v>15</v>
      </c>
      <c r="G65" s="8">
        <f ca="1">Kompilirano!AJ69</f>
        <v>34566.199999999997</v>
      </c>
      <c r="H65" s="6">
        <f ca="1">Kompilirano!AT69</f>
        <v>0.76031415932566371</v>
      </c>
      <c r="I65" s="6">
        <f ca="1">Kompilirano!BD69</f>
        <v>0.93362831891681408</v>
      </c>
      <c r="J65" s="6">
        <f ca="1">Kompilirano!BN69</f>
        <v>7.7997016450963921E-2</v>
      </c>
      <c r="K65" s="6">
        <f ca="1">Kompilirano!BX69</f>
        <v>8.7436344098306071E-2</v>
      </c>
    </row>
    <row r="66" spans="2:11" x14ac:dyDescent="0.25">
      <c r="B66" t="s">
        <v>126</v>
      </c>
      <c r="C66" s="7">
        <f ca="1">Kompilirano!G65</f>
        <v>66</v>
      </c>
      <c r="D66" s="5">
        <f t="shared" ca="1" si="0"/>
        <v>527.29469026548679</v>
      </c>
      <c r="E66" s="8">
        <f ca="1">Kompilirano!AA65</f>
        <v>119168.6</v>
      </c>
      <c r="F66" s="7">
        <f ca="1">Kompilirano!P65</f>
        <v>30.8</v>
      </c>
      <c r="G66" s="8">
        <f ca="1">Kompilirano!AJ65</f>
        <v>34385.4</v>
      </c>
      <c r="H66" s="6">
        <f ca="1">Kompilirano!AT65</f>
        <v>0.75631415930265478</v>
      </c>
      <c r="I66" s="6">
        <f ca="1">Kompilirano!BD65</f>
        <v>0.8637168141769912</v>
      </c>
      <c r="J66" s="6">
        <f ca="1">Kompilirano!BN65</f>
        <v>7.7968813093316838E-2</v>
      </c>
      <c r="K66" s="6">
        <f ca="1">Kompilirano!BX65</f>
        <v>8.8439290364458439E-2</v>
      </c>
    </row>
    <row r="67" spans="2:11" x14ac:dyDescent="0.25">
      <c r="B67" t="s">
        <v>132</v>
      </c>
      <c r="C67" s="7">
        <f ca="1">Kompilirano!G72</f>
        <v>65.2</v>
      </c>
      <c r="D67" s="5">
        <f t="shared" ca="1" si="0"/>
        <v>527.28849557522119</v>
      </c>
      <c r="E67" s="8">
        <f ca="1">Kompilirano!AA72</f>
        <v>119167.2</v>
      </c>
      <c r="F67" s="7">
        <f ca="1">Kompilirano!P72</f>
        <v>0</v>
      </c>
      <c r="G67" s="8">
        <f ca="1">Kompilirano!AJ72</f>
        <v>37557.4</v>
      </c>
      <c r="H67" s="6">
        <f ca="1">Kompilirano!AT72</f>
        <v>0.82649115052743372</v>
      </c>
      <c r="I67" s="6">
        <f ca="1">Kompilirano!BD72</f>
        <v>1</v>
      </c>
      <c r="J67" s="6">
        <f ca="1">Kompilirano!BN72</f>
        <v>8.2318876056746398E-2</v>
      </c>
      <c r="K67" s="6">
        <f ca="1">Kompilirano!BX72</f>
        <v>8.8888619269655009E-2</v>
      </c>
    </row>
    <row r="68" spans="2:11" x14ac:dyDescent="0.25">
      <c r="B68" t="s">
        <v>125</v>
      </c>
      <c r="C68" s="7">
        <f ca="1">Kompilirano!G63</f>
        <v>65.8</v>
      </c>
      <c r="D68" s="5">
        <f t="shared" ref="D68:D131" ca="1" si="1">E68/226</f>
        <v>527.28495575221234</v>
      </c>
      <c r="E68" s="8">
        <f ca="1">Kompilirano!AA63</f>
        <v>119166.39999999999</v>
      </c>
      <c r="F68" s="7">
        <f ca="1">Kompilirano!P63</f>
        <v>0</v>
      </c>
      <c r="G68" s="8">
        <f ca="1">Kompilirano!AJ63</f>
        <v>36164.6</v>
      </c>
      <c r="H68" s="6">
        <f ca="1">Kompilirano!AT63</f>
        <v>0.79567699111150447</v>
      </c>
      <c r="I68" s="6">
        <f ca="1">Kompilirano!BD63</f>
        <v>1</v>
      </c>
      <c r="J68" s="6">
        <f ca="1">Kompilirano!BN63</f>
        <v>8.0357694295939641E-2</v>
      </c>
      <c r="K68" s="6">
        <f ca="1">Kompilirano!BX63</f>
        <v>8.8380199159249259E-2</v>
      </c>
    </row>
    <row r="69" spans="2:11" x14ac:dyDescent="0.25">
      <c r="B69" t="s">
        <v>16</v>
      </c>
      <c r="C69" s="7">
        <f ca="1">Kompilirano!G66</f>
        <v>65.2</v>
      </c>
      <c r="D69" s="5">
        <f t="shared" ca="1" si="1"/>
        <v>527.15398230088499</v>
      </c>
      <c r="E69" s="8">
        <f ca="1">Kompilirano!AA66</f>
        <v>119136.8</v>
      </c>
      <c r="F69" s="7">
        <f ca="1">Kompilirano!P66</f>
        <v>63.8</v>
      </c>
      <c r="G69" s="8">
        <f ca="1">Kompilirano!AJ66</f>
        <v>26363.4</v>
      </c>
      <c r="H69" s="6">
        <f ca="1">Kompilirano!AT66</f>
        <v>0.57883628302300894</v>
      </c>
      <c r="I69" s="6">
        <f ca="1">Kompilirano!BD66</f>
        <v>0.71769911490619476</v>
      </c>
      <c r="J69" s="6">
        <f ca="1">Kompilirano!BN66</f>
        <v>6.2229077247968126E-2</v>
      </c>
      <c r="K69" s="6">
        <f ca="1">Kompilirano!BX66</f>
        <v>6.8058041800452926E-2</v>
      </c>
    </row>
    <row r="70" spans="2:11" x14ac:dyDescent="0.25">
      <c r="B70" t="s">
        <v>123</v>
      </c>
      <c r="C70" s="7">
        <f ca="1">Kompilirano!G61</f>
        <v>67</v>
      </c>
      <c r="D70" s="5">
        <f t="shared" ca="1" si="1"/>
        <v>526.7389380530974</v>
      </c>
      <c r="E70" s="8">
        <f ca="1">Kompilirano!AA61</f>
        <v>119043</v>
      </c>
      <c r="F70" s="7">
        <f ca="1">Kompilirano!P61</f>
        <v>0</v>
      </c>
      <c r="G70" s="8">
        <f ca="1">Kompilirano!AJ61</f>
        <v>35799</v>
      </c>
      <c r="H70" s="6">
        <f ca="1">Kompilirano!AT61</f>
        <v>0.78758849561238931</v>
      </c>
      <c r="I70" s="6">
        <f ca="1">Kompilirano!BD61</f>
        <v>1</v>
      </c>
      <c r="J70" s="6">
        <f ca="1">Kompilirano!BN61</f>
        <v>7.9776922233813233E-2</v>
      </c>
      <c r="K70" s="6">
        <f ca="1">Kompilirano!BX61</f>
        <v>8.8011605323882525E-2</v>
      </c>
    </row>
    <row r="71" spans="2:11" x14ac:dyDescent="0.25">
      <c r="B71" t="s">
        <v>130</v>
      </c>
      <c r="C71" s="7">
        <f ca="1">Kompilirano!G70</f>
        <v>66.8</v>
      </c>
      <c r="D71" s="5">
        <f t="shared" ca="1" si="1"/>
        <v>526.71592920353987</v>
      </c>
      <c r="E71" s="8">
        <f ca="1">Kompilirano!AA70</f>
        <v>119037.8</v>
      </c>
      <c r="F71" s="7">
        <f ca="1">Kompilirano!P70</f>
        <v>152</v>
      </c>
      <c r="G71" s="8">
        <f ca="1">Kompilirano!AJ70</f>
        <v>35470.800000000003</v>
      </c>
      <c r="H71" s="6">
        <f ca="1">Kompilirano!AT70</f>
        <v>0.78034955760530977</v>
      </c>
      <c r="I71" s="6">
        <f ca="1">Kompilirano!BD70</f>
        <v>0.32743362835929196</v>
      </c>
      <c r="J71" s="6">
        <f ca="1">Kompilirano!BN70</f>
        <v>7.9137384648407708E-2</v>
      </c>
      <c r="K71" s="6">
        <f ca="1">Kompilirano!BX70</f>
        <v>8.7011911377980644E-2</v>
      </c>
    </row>
    <row r="72" spans="2:11" x14ac:dyDescent="0.25">
      <c r="B72" t="s">
        <v>131</v>
      </c>
      <c r="C72" s="7">
        <f ca="1">Kompilirano!G71</f>
        <v>68.2</v>
      </c>
      <c r="D72" s="5">
        <f t="shared" ca="1" si="1"/>
        <v>526.70796460176996</v>
      </c>
      <c r="E72" s="8">
        <f ca="1">Kompilirano!AA71</f>
        <v>119036</v>
      </c>
      <c r="F72" s="7">
        <f ca="1">Kompilirano!P71</f>
        <v>0</v>
      </c>
      <c r="G72" s="8">
        <f ca="1">Kompilirano!AJ71</f>
        <v>35780.800000000003</v>
      </c>
      <c r="H72" s="6">
        <f ca="1">Kompilirano!AT71</f>
        <v>0.78718584092920341</v>
      </c>
      <c r="I72" s="6">
        <f ca="1">Kompilirano!BD71</f>
        <v>1</v>
      </c>
      <c r="J72" s="6">
        <f ca="1">Kompilirano!BN71</f>
        <v>7.965184731595118E-2</v>
      </c>
      <c r="K72" s="6">
        <f ca="1">Kompilirano!BX71</f>
        <v>8.7635996731807136E-2</v>
      </c>
    </row>
    <row r="73" spans="2:11" x14ac:dyDescent="0.25">
      <c r="B73" t="s">
        <v>139</v>
      </c>
      <c r="C73" s="7">
        <f ca="1">Kompilirano!G79</f>
        <v>68.8</v>
      </c>
      <c r="D73" s="5">
        <f t="shared" ca="1" si="1"/>
        <v>525.77964601769906</v>
      </c>
      <c r="E73" s="8">
        <f ca="1">Kompilirano!AA79</f>
        <v>118826.2</v>
      </c>
      <c r="F73" s="7">
        <f ca="1">Kompilirano!P79</f>
        <v>0</v>
      </c>
      <c r="G73" s="8">
        <f ca="1">Kompilirano!AJ79</f>
        <v>38087.599999999999</v>
      </c>
      <c r="H73" s="6">
        <f ca="1">Kompilirano!AT79</f>
        <v>0.83822123896991152</v>
      </c>
      <c r="I73" s="6">
        <f ca="1">Kompilirano!BD79</f>
        <v>1</v>
      </c>
      <c r="J73" s="6">
        <f ca="1">Kompilirano!BN79</f>
        <v>8.3109710425957647E-2</v>
      </c>
      <c r="K73" s="6">
        <f ca="1">Kompilirano!BX79</f>
        <v>9.0072062293775818E-2</v>
      </c>
    </row>
    <row r="74" spans="2:11" x14ac:dyDescent="0.25">
      <c r="B74" t="s">
        <v>134</v>
      </c>
      <c r="C74" s="7">
        <f ca="1">Kompilirano!G74</f>
        <v>71.400000000000006</v>
      </c>
      <c r="D74" s="5">
        <f t="shared" ca="1" si="1"/>
        <v>525.53893805309735</v>
      </c>
      <c r="E74" s="8">
        <f ca="1">Kompilirano!AA74</f>
        <v>118771.8</v>
      </c>
      <c r="F74" s="7">
        <f ca="1">Kompilirano!P74</f>
        <v>32.4</v>
      </c>
      <c r="G74" s="8">
        <f ca="1">Kompilirano!AJ74</f>
        <v>35504.800000000003</v>
      </c>
      <c r="H74" s="6">
        <f ca="1">Kompilirano!AT74</f>
        <v>0.78107964587610612</v>
      </c>
      <c r="I74" s="6">
        <f ca="1">Kompilirano!BD74</f>
        <v>0.85663716802477874</v>
      </c>
      <c r="J74" s="6">
        <f ca="1">Kompilirano!BN74</f>
        <v>7.5569962338240038E-2</v>
      </c>
      <c r="K74" s="6">
        <f ca="1">Kompilirano!BX74</f>
        <v>7.2531473622015841E-2</v>
      </c>
    </row>
    <row r="75" spans="2:11" x14ac:dyDescent="0.25">
      <c r="B75" t="s">
        <v>140</v>
      </c>
      <c r="C75" s="7">
        <f ca="1">Kompilirano!G80</f>
        <v>72.2</v>
      </c>
      <c r="D75" s="5">
        <f t="shared" ca="1" si="1"/>
        <v>525.02212389380531</v>
      </c>
      <c r="E75" s="8">
        <f ca="1">Kompilirano!AA80</f>
        <v>118655</v>
      </c>
      <c r="F75" s="7">
        <f ca="1">Kompilirano!P80</f>
        <v>65.8</v>
      </c>
      <c r="G75" s="8">
        <f ca="1">Kompilirano!AJ80</f>
        <v>28767.8</v>
      </c>
      <c r="H75" s="6">
        <f ca="1">Kompilirano!AT80</f>
        <v>0.63203097313097345</v>
      </c>
      <c r="I75" s="6">
        <f ca="1">Kompilirano!BD80</f>
        <v>0.70884955770619462</v>
      </c>
      <c r="J75" s="6">
        <f ca="1">Kompilirano!BN80</f>
        <v>6.7719690852284478E-2</v>
      </c>
      <c r="K75" s="6">
        <f ca="1">Kompilirano!BX80</f>
        <v>7.6865950666760205E-2</v>
      </c>
    </row>
    <row r="76" spans="2:11" x14ac:dyDescent="0.25">
      <c r="B76" t="s">
        <v>135</v>
      </c>
      <c r="C76" s="7">
        <f ca="1">Kompilirano!G75</f>
        <v>74.599999999999994</v>
      </c>
      <c r="D76" s="5">
        <f t="shared" ca="1" si="1"/>
        <v>524.35575221238935</v>
      </c>
      <c r="E76" s="8">
        <f ca="1">Kompilirano!AA75</f>
        <v>118504.4</v>
      </c>
      <c r="F76" s="7">
        <f ca="1">Kompilirano!P75</f>
        <v>0</v>
      </c>
      <c r="G76" s="8">
        <f ca="1">Kompilirano!AJ75</f>
        <v>40477.199999999997</v>
      </c>
      <c r="H76" s="6">
        <f ca="1">Kompilirano!AT75</f>
        <v>0.89108849540000001</v>
      </c>
      <c r="I76" s="6">
        <f ca="1">Kompilirano!BD75</f>
        <v>1</v>
      </c>
      <c r="J76" s="6">
        <f ca="1">Kompilirano!BN75</f>
        <v>8.576391306591781E-2</v>
      </c>
      <c r="K76" s="6">
        <f ca="1">Kompilirano!BX75</f>
        <v>8.7471901786235012E-2</v>
      </c>
    </row>
    <row r="77" spans="2:11" x14ac:dyDescent="0.25">
      <c r="B77" t="s">
        <v>122</v>
      </c>
      <c r="C77" s="7">
        <f ca="1">Kompilirano!G60</f>
        <v>76</v>
      </c>
      <c r="D77" s="5">
        <f t="shared" ca="1" si="1"/>
        <v>524.31504424778757</v>
      </c>
      <c r="E77" s="8">
        <f ca="1">Kompilirano!AA60</f>
        <v>118495.2</v>
      </c>
      <c r="F77" s="7">
        <f ca="1">Kompilirano!P60</f>
        <v>44</v>
      </c>
      <c r="G77" s="8">
        <f ca="1">Kompilirano!AJ60</f>
        <v>34260.800000000003</v>
      </c>
      <c r="H77" s="6">
        <f ca="1">Kompilirano!AT60</f>
        <v>0.75355752208495574</v>
      </c>
      <c r="I77" s="6">
        <f ca="1">Kompilirano!BD60</f>
        <v>0.80530973459823019</v>
      </c>
      <c r="J77" s="6">
        <f ca="1">Kompilirano!BN60</f>
        <v>7.2739947791511467E-2</v>
      </c>
      <c r="K77" s="6">
        <f ca="1">Kompilirano!BX60</f>
        <v>6.8871958872870925E-2</v>
      </c>
    </row>
    <row r="78" spans="2:11" x14ac:dyDescent="0.25">
      <c r="B78" t="s">
        <v>133</v>
      </c>
      <c r="C78" s="7">
        <f ca="1">Kompilirano!G73</f>
        <v>76.2</v>
      </c>
      <c r="D78" s="5">
        <f t="shared" ca="1" si="1"/>
        <v>524.12035398230091</v>
      </c>
      <c r="E78" s="8">
        <f ca="1">Kompilirano!AA73</f>
        <v>118451.2</v>
      </c>
      <c r="F78" s="7">
        <f ca="1">Kompilirano!P73</f>
        <v>67</v>
      </c>
      <c r="G78" s="8">
        <f ca="1">Kompilirano!AJ73</f>
        <v>29019</v>
      </c>
      <c r="H78" s="6">
        <f ca="1">Kompilirano!AT73</f>
        <v>0.63758849573628329</v>
      </c>
      <c r="I78" s="6">
        <f ca="1">Kompilirano!BD73</f>
        <v>0.70353982300176987</v>
      </c>
      <c r="J78" s="6">
        <f ca="1">Kompilirano!BN73</f>
        <v>6.799535700001752E-2</v>
      </c>
      <c r="K78" s="6">
        <f ca="1">Kompilirano!BX73</f>
        <v>7.6468158746444692E-2</v>
      </c>
    </row>
    <row r="79" spans="2:11" x14ac:dyDescent="0.25">
      <c r="B79" t="s">
        <v>136</v>
      </c>
      <c r="C79" s="7">
        <f ca="1">Kompilirano!G76</f>
        <v>74.8</v>
      </c>
      <c r="D79" s="5">
        <f t="shared" ca="1" si="1"/>
        <v>523.9</v>
      </c>
      <c r="E79" s="8">
        <f ca="1">Kompilirano!AA76</f>
        <v>118401.4</v>
      </c>
      <c r="F79" s="7">
        <f ca="1">Kompilirano!P76</f>
        <v>35.799999999999997</v>
      </c>
      <c r="G79" s="8">
        <f ca="1">Kompilirano!AJ76</f>
        <v>36105.199999999997</v>
      </c>
      <c r="H79" s="6">
        <f ca="1">Kompilirano!AT76</f>
        <v>0.79436283196106194</v>
      </c>
      <c r="I79" s="6">
        <f ca="1">Kompilirano!BD76</f>
        <v>0.84159292012035392</v>
      </c>
      <c r="J79" s="6">
        <f ca="1">Kompilirano!BN76</f>
        <v>8.084344980933357E-2</v>
      </c>
      <c r="K79" s="6">
        <f ca="1">Kompilirano!BX76</f>
        <v>9.1593513761761142E-2</v>
      </c>
    </row>
    <row r="80" spans="2:11" x14ac:dyDescent="0.25">
      <c r="B80" t="s">
        <v>138</v>
      </c>
      <c r="C80" s="7">
        <f ca="1">Kompilirano!G78</f>
        <v>76.400000000000006</v>
      </c>
      <c r="D80" s="5">
        <f t="shared" ca="1" si="1"/>
        <v>523.75309734513269</v>
      </c>
      <c r="E80" s="8">
        <f ca="1">Kompilirano!AA78</f>
        <v>118368.2</v>
      </c>
      <c r="F80" s="7">
        <f ca="1">Kompilirano!P78</f>
        <v>20.399999999999999</v>
      </c>
      <c r="G80" s="8">
        <f ca="1">Kompilirano!AJ78</f>
        <v>36306.6</v>
      </c>
      <c r="H80" s="6">
        <f ca="1">Kompilirano!AT78</f>
        <v>0.79881858419646024</v>
      </c>
      <c r="I80" s="6">
        <f ca="1">Kompilirano!BD78</f>
        <v>0.90973451340353984</v>
      </c>
      <c r="J80" s="6">
        <f ca="1">Kompilirano!BN78</f>
        <v>8.0754634865654484E-2</v>
      </c>
      <c r="K80" s="6">
        <f ca="1">Kompilirano!BX78</f>
        <v>8.9961783949990701E-2</v>
      </c>
    </row>
    <row r="81" spans="2:11" x14ac:dyDescent="0.25">
      <c r="B81" t="s">
        <v>143</v>
      </c>
      <c r="C81" s="7">
        <f ca="1">Kompilirano!G83</f>
        <v>79.8</v>
      </c>
      <c r="D81" s="5">
        <f t="shared" ca="1" si="1"/>
        <v>523.15929203539827</v>
      </c>
      <c r="E81" s="8">
        <f ca="1">Kompilirano!AA83</f>
        <v>118234</v>
      </c>
      <c r="F81" s="7">
        <f ca="1">Kompilirano!P83</f>
        <v>65.599999999999994</v>
      </c>
      <c r="G81" s="8">
        <f ca="1">Kompilirano!AJ83</f>
        <v>28979.4</v>
      </c>
      <c r="H81" s="6">
        <f ca="1">Kompilirano!AT83</f>
        <v>0.63671238948318587</v>
      </c>
      <c r="I81" s="6">
        <f ca="1">Kompilirano!BD83</f>
        <v>0.70973451325840708</v>
      </c>
      <c r="J81" s="6">
        <f ca="1">Kompilirano!BN83</f>
        <v>6.7898310891588556E-2</v>
      </c>
      <c r="K81" s="6">
        <f ca="1">Kompilirano!BX83</f>
        <v>7.6592859657984597E-2</v>
      </c>
    </row>
    <row r="82" spans="2:11" x14ac:dyDescent="0.25">
      <c r="B82" t="s">
        <v>149</v>
      </c>
      <c r="C82" s="7">
        <f ca="1">Kompilirano!G91</f>
        <v>81</v>
      </c>
      <c r="D82" s="5">
        <f t="shared" ca="1" si="1"/>
        <v>522.99469026548672</v>
      </c>
      <c r="E82" s="8">
        <f ca="1">Kompilirano!AA91</f>
        <v>118196.8</v>
      </c>
      <c r="F82" s="7">
        <f ca="1">Kompilirano!P91</f>
        <v>10.6</v>
      </c>
      <c r="G82" s="8">
        <f ca="1">Kompilirano!AJ91</f>
        <v>37062</v>
      </c>
      <c r="H82" s="6">
        <f ca="1">Kompilirano!AT91</f>
        <v>0.81553097357699111</v>
      </c>
      <c r="I82" s="6">
        <f ca="1">Kompilirano!BD91</f>
        <v>0.9530973453256637</v>
      </c>
      <c r="J82" s="6">
        <f ca="1">Kompilirano!BN91</f>
        <v>8.2045984478790385E-2</v>
      </c>
      <c r="K82" s="6">
        <f ca="1">Kompilirano!BX91</f>
        <v>9.0940064799153036E-2</v>
      </c>
    </row>
    <row r="83" spans="2:11" x14ac:dyDescent="0.25">
      <c r="B83" t="s">
        <v>142</v>
      </c>
      <c r="C83" s="7">
        <f ca="1">Kompilirano!G82</f>
        <v>82.4</v>
      </c>
      <c r="D83" s="5">
        <f t="shared" ca="1" si="1"/>
        <v>522.30796460176998</v>
      </c>
      <c r="E83" s="8">
        <f ca="1">Kompilirano!AA82</f>
        <v>118041.60000000001</v>
      </c>
      <c r="F83" s="7">
        <f ca="1">Kompilirano!P82</f>
        <v>48.2</v>
      </c>
      <c r="G83" s="8">
        <f ca="1">Kompilirano!AJ82</f>
        <v>33742.6</v>
      </c>
      <c r="H83" s="6">
        <f ca="1">Kompilirano!AT82</f>
        <v>0.74209292023893814</v>
      </c>
      <c r="I83" s="6">
        <f ca="1">Kompilirano!BD82</f>
        <v>0.78672566363716812</v>
      </c>
      <c r="J83" s="6">
        <f ca="1">Kompilirano!BN82</f>
        <v>7.6539986820321745E-2</v>
      </c>
      <c r="K83" s="6">
        <f ca="1">Kompilirano!BX82</f>
        <v>8.6448206665643221E-2</v>
      </c>
    </row>
    <row r="84" spans="2:11" x14ac:dyDescent="0.25">
      <c r="B84" t="s">
        <v>144</v>
      </c>
      <c r="C84" s="7">
        <f ca="1">Kompilirano!G84</f>
        <v>83.4</v>
      </c>
      <c r="D84" s="5">
        <f t="shared" ca="1" si="1"/>
        <v>522.19026548672571</v>
      </c>
      <c r="E84" s="8">
        <f ca="1">Kompilirano!AA84</f>
        <v>118015</v>
      </c>
      <c r="F84" s="7">
        <f ca="1">Kompilirano!P84</f>
        <v>65.2</v>
      </c>
      <c r="G84" s="8">
        <f ca="1">Kompilirano!AJ84</f>
        <v>28834.2</v>
      </c>
      <c r="H84" s="6">
        <f ca="1">Kompilirano!AT84</f>
        <v>0.63349999993274342</v>
      </c>
      <c r="I84" s="6">
        <f ca="1">Kompilirano!BD84</f>
        <v>0.71150442490619459</v>
      </c>
      <c r="J84" s="6">
        <f ca="1">Kompilirano!BN84</f>
        <v>6.8390725372757144E-2</v>
      </c>
      <c r="K84" s="6">
        <f ca="1">Kompilirano!BX84</f>
        <v>7.9314177231701949E-2</v>
      </c>
    </row>
    <row r="85" spans="2:11" x14ac:dyDescent="0.25">
      <c r="B85" t="s">
        <v>160</v>
      </c>
      <c r="C85" s="7">
        <f ca="1">Kompilirano!G102</f>
        <v>84.6</v>
      </c>
      <c r="D85" s="5">
        <f t="shared" ca="1" si="1"/>
        <v>521.97964601769911</v>
      </c>
      <c r="E85" s="8">
        <f ca="1">Kompilirano!AA102</f>
        <v>117967.4</v>
      </c>
      <c r="F85" s="7">
        <f ca="1">Kompilirano!P102</f>
        <v>52</v>
      </c>
      <c r="G85" s="8">
        <f ca="1">Kompilirano!AJ102</f>
        <v>33154</v>
      </c>
      <c r="H85" s="6">
        <f ca="1">Kompilirano!AT102</f>
        <v>0.72907079667964614</v>
      </c>
      <c r="I85" s="6">
        <f ca="1">Kompilirano!BD102</f>
        <v>0.76991150423716814</v>
      </c>
      <c r="J85" s="6">
        <f ca="1">Kompilirano!BN102</f>
        <v>7.5325349007329151E-2</v>
      </c>
      <c r="K85" s="6">
        <f ca="1">Kompilirano!BX102</f>
        <v>8.4856937124917237E-2</v>
      </c>
    </row>
    <row r="86" spans="2:11" x14ac:dyDescent="0.25">
      <c r="B86" t="s">
        <v>13</v>
      </c>
      <c r="C86" s="7">
        <f ca="1">Kompilirano!G86</f>
        <v>84.8</v>
      </c>
      <c r="D86" s="5">
        <f t="shared" ca="1" si="1"/>
        <v>521.93716814159291</v>
      </c>
      <c r="E86" s="8">
        <f ca="1">Kompilirano!AA86</f>
        <v>117957.8</v>
      </c>
      <c r="F86" s="7">
        <f ca="1">Kompilirano!P86</f>
        <v>191</v>
      </c>
      <c r="G86" s="8">
        <f ca="1">Kompilirano!AJ86</f>
        <v>31841.8</v>
      </c>
      <c r="H86" s="6">
        <f ca="1">Kompilirano!AT86</f>
        <v>0.70008407089203539</v>
      </c>
      <c r="I86" s="6">
        <f ca="1">Kompilirano!BD86</f>
        <v>0.15486725662300888</v>
      </c>
      <c r="J86" s="6">
        <f ca="1">Kompilirano!BN86</f>
        <v>7.3648340571576917E-2</v>
      </c>
      <c r="K86" s="6">
        <f ca="1">Kompilirano!BX86</f>
        <v>8.4129886557224046E-2</v>
      </c>
    </row>
    <row r="87" spans="2:11" x14ac:dyDescent="0.25">
      <c r="B87" t="s">
        <v>156</v>
      </c>
      <c r="C87" s="7">
        <f ca="1">Kompilirano!G98</f>
        <v>87.4</v>
      </c>
      <c r="D87" s="5">
        <f t="shared" ca="1" si="1"/>
        <v>521.52654867256638</v>
      </c>
      <c r="E87" s="8">
        <f ca="1">Kompilirano!AA98</f>
        <v>117865</v>
      </c>
      <c r="F87" s="7">
        <f ca="1">Kompilirano!P98</f>
        <v>66.400000000000006</v>
      </c>
      <c r="G87" s="8">
        <f ca="1">Kompilirano!AJ98</f>
        <v>28903.8</v>
      </c>
      <c r="H87" s="6">
        <f ca="1">Kompilirano!AT98</f>
        <v>0.63503982322654873</v>
      </c>
      <c r="I87" s="6">
        <f ca="1">Kompilirano!BD98</f>
        <v>0.70619469035398219</v>
      </c>
      <c r="J87" s="6">
        <f ca="1">Kompilirano!BN98</f>
        <v>6.7927396323266595E-2</v>
      </c>
      <c r="K87" s="6">
        <f ca="1">Kompilirano!BX98</f>
        <v>7.6893504691320613E-2</v>
      </c>
    </row>
    <row r="88" spans="2:11" x14ac:dyDescent="0.25">
      <c r="B88" t="s">
        <v>141</v>
      </c>
      <c r="C88" s="7">
        <f ca="1">Kompilirano!G81</f>
        <v>87</v>
      </c>
      <c r="D88" s="5">
        <f t="shared" ca="1" si="1"/>
        <v>521.43451327433627</v>
      </c>
      <c r="E88" s="8">
        <f ca="1">Kompilirano!AA81</f>
        <v>117844.2</v>
      </c>
      <c r="F88" s="7">
        <f ca="1">Kompilirano!P81</f>
        <v>13.8</v>
      </c>
      <c r="G88" s="8">
        <f ca="1">Kompilirano!AJ81</f>
        <v>37842.800000000003</v>
      </c>
      <c r="H88" s="6">
        <f ca="1">Kompilirano!AT81</f>
        <v>0.83280530979115031</v>
      </c>
      <c r="I88" s="6">
        <f ca="1">Kompilirano!BD81</f>
        <v>0.93893805306902645</v>
      </c>
      <c r="J88" s="6">
        <f ca="1">Kompilirano!BN81</f>
        <v>8.3184198337982768E-2</v>
      </c>
      <c r="K88" s="6">
        <f ca="1">Kompilirano!BX81</f>
        <v>9.1355774467213505E-2</v>
      </c>
    </row>
    <row r="89" spans="2:11" x14ac:dyDescent="0.25">
      <c r="B89" t="s">
        <v>146</v>
      </c>
      <c r="C89" s="7">
        <f ca="1">Kompilirano!G88</f>
        <v>87.4</v>
      </c>
      <c r="D89" s="5">
        <f t="shared" ca="1" si="1"/>
        <v>521.27964601769906</v>
      </c>
      <c r="E89" s="8">
        <f ca="1">Kompilirano!AA88</f>
        <v>117809.2</v>
      </c>
      <c r="F89" s="7">
        <f ca="1">Kompilirano!P88</f>
        <v>73.2</v>
      </c>
      <c r="G89" s="8">
        <f ca="1">Kompilirano!AJ88</f>
        <v>27681.4</v>
      </c>
      <c r="H89" s="6">
        <f ca="1">Kompilirano!AT88</f>
        <v>0.60799557527610615</v>
      </c>
      <c r="I89" s="6">
        <f ca="1">Kompilirano!BD88</f>
        <v>0.67610619453628318</v>
      </c>
      <c r="J89" s="6">
        <f ca="1">Kompilirano!BN88</f>
        <v>6.5807270710569757E-2</v>
      </c>
      <c r="K89" s="6">
        <f ca="1">Kompilirano!BX88</f>
        <v>7.4761196553791459E-2</v>
      </c>
    </row>
    <row r="90" spans="2:11" x14ac:dyDescent="0.25">
      <c r="B90" t="s">
        <v>152</v>
      </c>
      <c r="C90" s="7">
        <f ca="1">Kompilirano!G94</f>
        <v>88</v>
      </c>
      <c r="D90" s="5">
        <f t="shared" ca="1" si="1"/>
        <v>521.2539823008849</v>
      </c>
      <c r="E90" s="8">
        <f ca="1">Kompilirano!AA94</f>
        <v>117803.4</v>
      </c>
      <c r="F90" s="7">
        <f ca="1">Kompilirano!P94</f>
        <v>7.8</v>
      </c>
      <c r="G90" s="8">
        <f ca="1">Kompilirano!AJ94</f>
        <v>38100.6</v>
      </c>
      <c r="H90" s="6">
        <f ca="1">Kompilirano!AT94</f>
        <v>0.83850884950796467</v>
      </c>
      <c r="I90" s="6">
        <f ca="1">Kompilirano!BD94</f>
        <v>0.96548672567787608</v>
      </c>
      <c r="J90" s="6">
        <f ca="1">Kompilirano!BN94</f>
        <v>8.2754344203767177E-2</v>
      </c>
      <c r="K90" s="6">
        <f ca="1">Kompilirano!BX94</f>
        <v>8.8110477158444528E-2</v>
      </c>
    </row>
    <row r="91" spans="2:11" x14ac:dyDescent="0.25">
      <c r="B91" t="s">
        <v>147</v>
      </c>
      <c r="C91" s="7">
        <f ca="1">Kompilirano!G89</f>
        <v>88</v>
      </c>
      <c r="D91" s="5">
        <f t="shared" ca="1" si="1"/>
        <v>521.17345132743367</v>
      </c>
      <c r="E91" s="8">
        <f ca="1">Kompilirano!AA89</f>
        <v>117785.2</v>
      </c>
      <c r="F91" s="7">
        <f ca="1">Kompilirano!P89</f>
        <v>15.2</v>
      </c>
      <c r="G91" s="8">
        <f ca="1">Kompilirano!AJ89</f>
        <v>38138.6</v>
      </c>
      <c r="H91" s="6">
        <f ca="1">Kompilirano!AT89</f>
        <v>0.83934955735398231</v>
      </c>
      <c r="I91" s="6">
        <f ca="1">Kompilirano!BD89</f>
        <v>0.93274336296460181</v>
      </c>
      <c r="J91" s="6">
        <f ca="1">Kompilirano!BN89</f>
        <v>8.357422791253688E-2</v>
      </c>
      <c r="K91" s="6">
        <f ca="1">Kompilirano!BX89</f>
        <v>9.1350238153564328E-2</v>
      </c>
    </row>
    <row r="92" spans="2:11" x14ac:dyDescent="0.25">
      <c r="B92" t="s">
        <v>10</v>
      </c>
      <c r="C92" s="7">
        <f ca="1">Kompilirano!G85</f>
        <v>87.2</v>
      </c>
      <c r="D92" s="5">
        <f t="shared" ca="1" si="1"/>
        <v>521.14513274336286</v>
      </c>
      <c r="E92" s="8">
        <f ca="1">Kompilirano!AA85</f>
        <v>117778.8</v>
      </c>
      <c r="F92" s="7">
        <f ca="1">Kompilirano!P85</f>
        <v>18.399999999999999</v>
      </c>
      <c r="G92" s="8">
        <f ca="1">Kompilirano!AJ85</f>
        <v>40487</v>
      </c>
      <c r="H92" s="6">
        <f ca="1">Kompilirano!AT85</f>
        <v>0.89130530978230083</v>
      </c>
      <c r="I92" s="6">
        <f ca="1">Kompilirano!BD85</f>
        <v>0.91858407085132732</v>
      </c>
      <c r="J92" s="6">
        <f ca="1">Kompilirano!BN85</f>
        <v>8.3947700163543373E-2</v>
      </c>
      <c r="K92" s="6">
        <f ca="1">Kompilirano!BX85</f>
        <v>8.004924003832109E-2</v>
      </c>
    </row>
    <row r="93" spans="2:11" x14ac:dyDescent="0.25">
      <c r="B93" t="s">
        <v>151</v>
      </c>
      <c r="C93" s="7">
        <f ca="1">Kompilirano!G93</f>
        <v>87</v>
      </c>
      <c r="D93" s="5">
        <f t="shared" ca="1" si="1"/>
        <v>521.11592920353985</v>
      </c>
      <c r="E93" s="8">
        <f ca="1">Kompilirano!AA93</f>
        <v>117772.2</v>
      </c>
      <c r="F93" s="7">
        <f ca="1">Kompilirano!P93</f>
        <v>19.600000000000001</v>
      </c>
      <c r="G93" s="8">
        <f ca="1">Kompilirano!AJ93</f>
        <v>36243.4</v>
      </c>
      <c r="H93" s="6">
        <f ca="1">Kompilirano!AT93</f>
        <v>0.79742035417522117</v>
      </c>
      <c r="I93" s="6">
        <f ca="1">Kompilirano!BD93</f>
        <v>0.91327433645132738</v>
      </c>
      <c r="J93" s="6">
        <f ca="1">Kompilirano!BN93</f>
        <v>8.0734620267410434E-2</v>
      </c>
      <c r="K93" s="6">
        <f ca="1">Kompilirano!BX93</f>
        <v>8.9756631516306237E-2</v>
      </c>
    </row>
    <row r="94" spans="2:11" x14ac:dyDescent="0.25">
      <c r="B94" t="s">
        <v>148</v>
      </c>
      <c r="C94" s="7">
        <f ca="1">Kompilirano!G90</f>
        <v>90.6</v>
      </c>
      <c r="D94" s="5">
        <f t="shared" ca="1" si="1"/>
        <v>520.45929203539822</v>
      </c>
      <c r="E94" s="8">
        <f ca="1">Kompilirano!AA90</f>
        <v>117623.8</v>
      </c>
      <c r="F94" s="7">
        <f ca="1">Kompilirano!P90</f>
        <v>73.8</v>
      </c>
      <c r="G94" s="8">
        <f ca="1">Kompilirano!AJ90</f>
        <v>28590</v>
      </c>
      <c r="H94" s="6">
        <f ca="1">Kompilirano!AT90</f>
        <v>0.62809734491681424</v>
      </c>
      <c r="I94" s="6">
        <f ca="1">Kompilirano!BD90</f>
        <v>0.67345132728849566</v>
      </c>
      <c r="J94" s="6">
        <f ca="1">Kompilirano!BN90</f>
        <v>6.7672619910354212E-2</v>
      </c>
      <c r="K94" s="6">
        <f ca="1">Kompilirano!BX90</f>
        <v>7.748709465412236E-2</v>
      </c>
    </row>
    <row r="95" spans="2:11" x14ac:dyDescent="0.25">
      <c r="B95" t="s">
        <v>145</v>
      </c>
      <c r="C95" s="7">
        <f ca="1">Kompilirano!G87</f>
        <v>90.4</v>
      </c>
      <c r="D95" s="5">
        <f t="shared" ca="1" si="1"/>
        <v>520.36017699115041</v>
      </c>
      <c r="E95" s="8">
        <f ca="1">Kompilirano!AA87</f>
        <v>117601.4</v>
      </c>
      <c r="F95" s="7">
        <f ca="1">Kompilirano!P87</f>
        <v>0</v>
      </c>
      <c r="G95" s="8">
        <f ca="1">Kompilirano!AJ87</f>
        <v>39335.800000000003</v>
      </c>
      <c r="H95" s="6">
        <f ca="1">Kompilirano!AT87</f>
        <v>0.86583628319646022</v>
      </c>
      <c r="I95" s="6">
        <f ca="1">Kompilirano!BD87</f>
        <v>1</v>
      </c>
      <c r="J95" s="6">
        <f ca="1">Kompilirano!BN87</f>
        <v>8.468940199081143E-2</v>
      </c>
      <c r="K95" s="6">
        <f ca="1">Kompilirano!BX87</f>
        <v>8.9372172567757008E-2</v>
      </c>
    </row>
    <row r="96" spans="2:11" x14ac:dyDescent="0.25">
      <c r="B96" t="s">
        <v>154</v>
      </c>
      <c r="C96" s="7">
        <f ca="1">Kompilirano!G96</f>
        <v>91.6</v>
      </c>
      <c r="D96" s="5">
        <f t="shared" ca="1" si="1"/>
        <v>520.14690265486729</v>
      </c>
      <c r="E96" s="8">
        <f ca="1">Kompilirano!AA96</f>
        <v>117553.2</v>
      </c>
      <c r="F96" s="7">
        <f ca="1">Kompilirano!P96</f>
        <v>73.2</v>
      </c>
      <c r="G96" s="8">
        <f ca="1">Kompilirano!AJ96</f>
        <v>28460.799999999999</v>
      </c>
      <c r="H96" s="6">
        <f ca="1">Kompilirano!AT96</f>
        <v>0.62523893803539821</v>
      </c>
      <c r="I96" s="6">
        <f ca="1">Kompilirano!BD96</f>
        <v>0.67610619473628319</v>
      </c>
      <c r="J96" s="6">
        <f ca="1">Kompilirano!BN96</f>
        <v>6.7617152622201096E-2</v>
      </c>
      <c r="K96" s="6">
        <f ca="1">Kompilirano!BX96</f>
        <v>7.7973635463068638E-2</v>
      </c>
    </row>
    <row r="97" spans="2:11" x14ac:dyDescent="0.25">
      <c r="B97" t="s">
        <v>157</v>
      </c>
      <c r="C97" s="7">
        <f ca="1">Kompilirano!G99</f>
        <v>91</v>
      </c>
      <c r="D97" s="5">
        <f t="shared" ca="1" si="1"/>
        <v>520.1265486725664</v>
      </c>
      <c r="E97" s="8">
        <f ca="1">Kompilirano!AA99</f>
        <v>117548.6</v>
      </c>
      <c r="F97" s="7">
        <f ca="1">Kompilirano!P99</f>
        <v>30.6</v>
      </c>
      <c r="G97" s="8">
        <f ca="1">Kompilirano!AJ99</f>
        <v>36107</v>
      </c>
      <c r="H97" s="6">
        <f ca="1">Kompilirano!AT99</f>
        <v>0.79440265487433626</v>
      </c>
      <c r="I97" s="6">
        <f ca="1">Kompilirano!BD99</f>
        <v>0.8646017698814159</v>
      </c>
      <c r="J97" s="6">
        <f ca="1">Kompilirano!BN99</f>
        <v>7.9709050163735209E-2</v>
      </c>
      <c r="K97" s="6">
        <f ca="1">Kompilirano!BX99</f>
        <v>8.6133190659801809E-2</v>
      </c>
    </row>
    <row r="98" spans="2:11" x14ac:dyDescent="0.25">
      <c r="B98" t="s">
        <v>137</v>
      </c>
      <c r="C98" s="7">
        <f ca="1">Kompilirano!G77</f>
        <v>92</v>
      </c>
      <c r="D98" s="5">
        <f t="shared" ca="1" si="1"/>
        <v>519.73451327433634</v>
      </c>
      <c r="E98" s="8">
        <f ca="1">Kompilirano!AA77</f>
        <v>117460</v>
      </c>
      <c r="F98" s="7">
        <f ca="1">Kompilirano!P77</f>
        <v>136.80000000000001</v>
      </c>
      <c r="G98" s="8">
        <f ca="1">Kompilirano!AJ77</f>
        <v>38365.199999999997</v>
      </c>
      <c r="H98" s="6">
        <f ca="1">Kompilirano!AT77</f>
        <v>0.84438495576991135</v>
      </c>
      <c r="I98" s="6">
        <f ca="1">Kompilirano!BD77</f>
        <v>0.39469026529026552</v>
      </c>
      <c r="J98" s="6">
        <f ca="1">Kompilirano!BN77</f>
        <v>8.346837391673903E-2</v>
      </c>
      <c r="K98" s="6">
        <f ca="1">Kompilirano!BX77</f>
        <v>8.928904569387916E-2</v>
      </c>
    </row>
    <row r="99" spans="2:11" x14ac:dyDescent="0.25">
      <c r="B99" t="s">
        <v>159</v>
      </c>
      <c r="C99" s="7">
        <f ca="1">Kompilirano!G101</f>
        <v>93.6</v>
      </c>
      <c r="D99" s="5">
        <f t="shared" ca="1" si="1"/>
        <v>519.70265486725668</v>
      </c>
      <c r="E99" s="8">
        <f ca="1">Kompilirano!AA101</f>
        <v>117452.8</v>
      </c>
      <c r="F99" s="7">
        <f ca="1">Kompilirano!P101</f>
        <v>17</v>
      </c>
      <c r="G99" s="8">
        <f ca="1">Kompilirano!AJ101</f>
        <v>37809</v>
      </c>
      <c r="H99" s="6">
        <f ca="1">Kompilirano!AT101</f>
        <v>0.83205752224778762</v>
      </c>
      <c r="I99" s="6">
        <f ca="1">Kompilirano!BD101</f>
        <v>0.92477876111681423</v>
      </c>
      <c r="J99" s="6">
        <f ca="1">Kompilirano!BN101</f>
        <v>8.3077388427774276E-2</v>
      </c>
      <c r="K99" s="6">
        <f ca="1">Kompilirano!BX101</f>
        <v>9.0999737961040314E-2</v>
      </c>
    </row>
    <row r="100" spans="2:11" x14ac:dyDescent="0.25">
      <c r="B100" t="s">
        <v>155</v>
      </c>
      <c r="C100" s="7">
        <f ca="1">Kompilirano!G97</f>
        <v>94.6</v>
      </c>
      <c r="D100" s="5">
        <f t="shared" ca="1" si="1"/>
        <v>519.47610619469026</v>
      </c>
      <c r="E100" s="8">
        <f ca="1">Kompilirano!AA97</f>
        <v>117401.60000000001</v>
      </c>
      <c r="F100" s="7">
        <f ca="1">Kompilirano!P97</f>
        <v>15.2</v>
      </c>
      <c r="G100" s="8">
        <f ca="1">Kompilirano!AJ97</f>
        <v>37997</v>
      </c>
      <c r="H100" s="6">
        <f ca="1">Kompilirano!AT97</f>
        <v>0.83621681427433625</v>
      </c>
      <c r="I100" s="6">
        <f ca="1">Kompilirano!BD97</f>
        <v>0.93274336271681402</v>
      </c>
      <c r="J100" s="6">
        <f ca="1">Kompilirano!BN97</f>
        <v>8.3176614872261884E-2</v>
      </c>
      <c r="K100" s="6">
        <f ca="1">Kompilirano!BX97</f>
        <v>9.020321312119764E-2</v>
      </c>
    </row>
    <row r="101" spans="2:11" x14ac:dyDescent="0.25">
      <c r="B101" t="s">
        <v>153</v>
      </c>
      <c r="C101" s="7">
        <f ca="1">Kompilirano!G95</f>
        <v>95</v>
      </c>
      <c r="D101" s="5">
        <f t="shared" ca="1" si="1"/>
        <v>519.387610619469</v>
      </c>
      <c r="E101" s="8">
        <f ca="1">Kompilirano!AA95</f>
        <v>117381.6</v>
      </c>
      <c r="F101" s="7">
        <f ca="1">Kompilirano!P95</f>
        <v>72.8</v>
      </c>
      <c r="G101" s="8">
        <f ca="1">Kompilirano!AJ95</f>
        <v>29034.6</v>
      </c>
      <c r="H101" s="6">
        <f ca="1">Kompilirano!AT95</f>
        <v>0.63793362848141588</v>
      </c>
      <c r="I101" s="6">
        <f ca="1">Kompilirano!BD95</f>
        <v>0.67787610604070792</v>
      </c>
      <c r="J101" s="6">
        <f ca="1">Kompilirano!BN95</f>
        <v>6.8684848612220392E-2</v>
      </c>
      <c r="K101" s="6">
        <f ca="1">Kompilirano!BX95</f>
        <v>7.911440260091579E-2</v>
      </c>
    </row>
    <row r="102" spans="2:11" x14ac:dyDescent="0.25">
      <c r="B102" t="s">
        <v>163</v>
      </c>
      <c r="C102" s="7">
        <f ca="1">Kompilirano!G105</f>
        <v>96.2</v>
      </c>
      <c r="D102" s="5">
        <f t="shared" ca="1" si="1"/>
        <v>518.86725663716811</v>
      </c>
      <c r="E102" s="8">
        <f ca="1">Kompilirano!AA105</f>
        <v>117264</v>
      </c>
      <c r="F102" s="7">
        <f ca="1">Kompilirano!P105</f>
        <v>76</v>
      </c>
      <c r="G102" s="8">
        <f ca="1">Kompilirano!AJ105</f>
        <v>32008.400000000001</v>
      </c>
      <c r="H102" s="6">
        <f ca="1">Kompilirano!AT105</f>
        <v>0.70374778768141599</v>
      </c>
      <c r="I102" s="6">
        <f ca="1">Kompilirano!BD105</f>
        <v>0.66371681392743365</v>
      </c>
      <c r="J102" s="6">
        <f ca="1">Kompilirano!BN105</f>
        <v>6.7890122910061565E-2</v>
      </c>
      <c r="K102" s="6">
        <f ca="1">Kompilirano!BX105</f>
        <v>5.1533949641329416E-2</v>
      </c>
    </row>
    <row r="103" spans="2:11" x14ac:dyDescent="0.25">
      <c r="B103" t="s">
        <v>150</v>
      </c>
      <c r="C103" s="7">
        <f ca="1">Kompilirano!G92</f>
        <v>96.8</v>
      </c>
      <c r="D103" s="5">
        <f t="shared" ca="1" si="1"/>
        <v>518.79469026548679</v>
      </c>
      <c r="E103" s="8">
        <f ca="1">Kompilirano!AA92</f>
        <v>117247.6</v>
      </c>
      <c r="F103" s="7">
        <f ca="1">Kompilirano!P92</f>
        <v>25.8</v>
      </c>
      <c r="G103" s="8">
        <f ca="1">Kompilirano!AJ92</f>
        <v>35131.4</v>
      </c>
      <c r="H103" s="6">
        <f ca="1">Kompilirano!AT92</f>
        <v>0.77281858398938064</v>
      </c>
      <c r="I103" s="6">
        <f ca="1">Kompilirano!BD92</f>
        <v>0.88584070784247793</v>
      </c>
      <c r="J103" s="6">
        <f ca="1">Kompilirano!BN92</f>
        <v>7.487985811338782E-2</v>
      </c>
      <c r="K103" s="6">
        <f ca="1">Kompilirano!BX92</f>
        <v>7.1646451841877082E-2</v>
      </c>
    </row>
    <row r="104" spans="2:11" x14ac:dyDescent="0.25">
      <c r="B104" t="s">
        <v>161</v>
      </c>
      <c r="C104" s="7">
        <f ca="1">Kompilirano!G103</f>
        <v>100.4</v>
      </c>
      <c r="D104" s="5">
        <f t="shared" ca="1" si="1"/>
        <v>518.01238938053098</v>
      </c>
      <c r="E104" s="8">
        <f ca="1">Kompilirano!AA103</f>
        <v>117070.8</v>
      </c>
      <c r="F104" s="7">
        <f ca="1">Kompilirano!P103</f>
        <v>13.8</v>
      </c>
      <c r="G104" s="8">
        <f ca="1">Kompilirano!AJ103</f>
        <v>37194.199999999997</v>
      </c>
      <c r="H104" s="6">
        <f ca="1">Kompilirano!AT103</f>
        <v>0.81845575221769917</v>
      </c>
      <c r="I104" s="6">
        <f ca="1">Kompilirano!BD103</f>
        <v>0.93893805282123888</v>
      </c>
      <c r="J104" s="6">
        <f ca="1">Kompilirano!BN103</f>
        <v>8.2544035707489805E-2</v>
      </c>
      <c r="K104" s="6">
        <f ca="1">Kompilirano!BX103</f>
        <v>9.2537149890142875E-2</v>
      </c>
    </row>
    <row r="105" spans="2:11" x14ac:dyDescent="0.25">
      <c r="B105" t="s">
        <v>165</v>
      </c>
      <c r="C105" s="7">
        <f ca="1">Kompilirano!G107</f>
        <v>102.4</v>
      </c>
      <c r="D105" s="5">
        <f t="shared" ca="1" si="1"/>
        <v>517.3592920353982</v>
      </c>
      <c r="E105" s="8">
        <f ca="1">Kompilirano!AA107</f>
        <v>116923.2</v>
      </c>
      <c r="F105" s="7">
        <f ca="1">Kompilirano!P107</f>
        <v>25.6</v>
      </c>
      <c r="G105" s="8">
        <f ca="1">Kompilirano!AJ107</f>
        <v>35308.199999999997</v>
      </c>
      <c r="H105" s="6">
        <f ca="1">Kompilirano!AT107</f>
        <v>0.77673008837345137</v>
      </c>
      <c r="I105" s="6">
        <f ca="1">Kompilirano!BD107</f>
        <v>0.88672566345132753</v>
      </c>
      <c r="J105" s="6">
        <f ca="1">Kompilirano!BN107</f>
        <v>7.9061327706246493E-2</v>
      </c>
      <c r="K105" s="6">
        <f ca="1">Kompilirano!BX107</f>
        <v>8.7966942517251484E-2</v>
      </c>
    </row>
    <row r="106" spans="2:11" x14ac:dyDescent="0.25">
      <c r="B106" t="s">
        <v>167</v>
      </c>
      <c r="C106" s="7">
        <f ca="1">Kompilirano!G109</f>
        <v>103.4</v>
      </c>
      <c r="D106" s="5">
        <f t="shared" ca="1" si="1"/>
        <v>516.53274336283187</v>
      </c>
      <c r="E106" s="8">
        <f ca="1">Kompilirano!AA109</f>
        <v>116736.4</v>
      </c>
      <c r="F106" s="7">
        <f ca="1">Kompilirano!P109</f>
        <v>10.6</v>
      </c>
      <c r="G106" s="8">
        <f ca="1">Kompilirano!AJ109</f>
        <v>39885</v>
      </c>
      <c r="H106" s="6">
        <f ca="1">Kompilirano!AT109</f>
        <v>0.87798672555575208</v>
      </c>
      <c r="I106" s="6">
        <f ca="1">Kompilirano!BD109</f>
        <v>0.95309734507787613</v>
      </c>
      <c r="J106" s="6">
        <f ca="1">Kompilirano!BN109</f>
        <v>8.4777789036589793E-2</v>
      </c>
      <c r="K106" s="6">
        <f ca="1">Kompilirano!BX109</f>
        <v>8.6564638307540964E-2</v>
      </c>
    </row>
    <row r="107" spans="2:11" x14ac:dyDescent="0.25">
      <c r="B107" t="s">
        <v>170</v>
      </c>
      <c r="C107" s="7">
        <f ca="1">Kompilirano!G112</f>
        <v>104.6</v>
      </c>
      <c r="D107" s="5">
        <f t="shared" ca="1" si="1"/>
        <v>516.27345132743369</v>
      </c>
      <c r="E107" s="8">
        <f ca="1">Kompilirano!AA112</f>
        <v>116677.8</v>
      </c>
      <c r="F107" s="7">
        <f ca="1">Kompilirano!P112</f>
        <v>16.600000000000001</v>
      </c>
      <c r="G107" s="8">
        <f ca="1">Kompilirano!AJ112</f>
        <v>37672.400000000001</v>
      </c>
      <c r="H107" s="6">
        <f ca="1">Kompilirano!AT112</f>
        <v>0.82903539827256645</v>
      </c>
      <c r="I107" s="6">
        <f ca="1">Kompilirano!BD112</f>
        <v>0.92654867276460173</v>
      </c>
      <c r="J107" s="6">
        <f ca="1">Kompilirano!BN112</f>
        <v>8.2467151188150137E-2</v>
      </c>
      <c r="K107" s="6">
        <f ca="1">Kompilirano!BX112</f>
        <v>8.8753654673203952E-2</v>
      </c>
    </row>
    <row r="108" spans="2:11" x14ac:dyDescent="0.25">
      <c r="B108" t="s">
        <v>158</v>
      </c>
      <c r="C108" s="7">
        <f ca="1">Kompilirano!G100</f>
        <v>103.4</v>
      </c>
      <c r="D108" s="5">
        <f t="shared" ca="1" si="1"/>
        <v>516.23185840707959</v>
      </c>
      <c r="E108" s="8">
        <f ca="1">Kompilirano!AA100</f>
        <v>116668.4</v>
      </c>
      <c r="F108" s="7">
        <f ca="1">Kompilirano!P100</f>
        <v>0</v>
      </c>
      <c r="G108" s="8">
        <f ca="1">Kompilirano!AJ100</f>
        <v>38280.800000000003</v>
      </c>
      <c r="H108" s="6">
        <f ca="1">Kompilirano!AT100</f>
        <v>0.84249557535575226</v>
      </c>
      <c r="I108" s="6">
        <f ca="1">Kompilirano!BD100</f>
        <v>1</v>
      </c>
      <c r="J108" s="6">
        <f ca="1">Kompilirano!BN100</f>
        <v>8.3914945868594076E-2</v>
      </c>
      <c r="K108" s="6">
        <f ca="1">Kompilirano!BX100</f>
        <v>9.2049350425903217E-2</v>
      </c>
    </row>
    <row r="109" spans="2:11" x14ac:dyDescent="0.25">
      <c r="B109" t="s">
        <v>162</v>
      </c>
      <c r="C109" s="7">
        <f ca="1">Kompilirano!G104</f>
        <v>105.8</v>
      </c>
      <c r="D109" s="5">
        <f t="shared" ca="1" si="1"/>
        <v>515.95398230088495</v>
      </c>
      <c r="E109" s="8">
        <f ca="1">Kompilirano!AA104</f>
        <v>116605.6</v>
      </c>
      <c r="F109" s="7">
        <f ca="1">Kompilirano!P104</f>
        <v>29.6</v>
      </c>
      <c r="G109" s="8">
        <f ca="1">Kompilirano!AJ104</f>
        <v>35694.400000000001</v>
      </c>
      <c r="H109" s="6">
        <f ca="1">Kompilirano!AT104</f>
        <v>0.78527433653805312</v>
      </c>
      <c r="I109" s="6">
        <f ca="1">Kompilirano!BD104</f>
        <v>0.86902654849911509</v>
      </c>
      <c r="J109" s="6">
        <f ca="1">Kompilirano!BN104</f>
        <v>7.9049292464667548E-2</v>
      </c>
      <c r="K109" s="6">
        <f ca="1">Kompilirano!BX104</f>
        <v>8.546933463581162E-2</v>
      </c>
    </row>
    <row r="110" spans="2:11" x14ac:dyDescent="0.25">
      <c r="B110" t="s">
        <v>166</v>
      </c>
      <c r="C110" s="7">
        <f ca="1">Kompilirano!G108</f>
        <v>106.8</v>
      </c>
      <c r="D110" s="5">
        <f t="shared" ca="1" si="1"/>
        <v>515.80973451327429</v>
      </c>
      <c r="E110" s="8">
        <f ca="1">Kompilirano!AA108</f>
        <v>116573</v>
      </c>
      <c r="F110" s="7">
        <f ca="1">Kompilirano!P108</f>
        <v>24.4</v>
      </c>
      <c r="G110" s="8">
        <f ca="1">Kompilirano!AJ108</f>
        <v>35666.199999999997</v>
      </c>
      <c r="H110" s="6">
        <f ca="1">Kompilirano!AT108</f>
        <v>0.78465044250442473</v>
      </c>
      <c r="I110" s="6">
        <f ca="1">Kompilirano!BD108</f>
        <v>0.89203539809911503</v>
      </c>
      <c r="J110" s="6">
        <f ca="1">Kompilirano!BN108</f>
        <v>7.9385348734510447E-2</v>
      </c>
      <c r="K110" s="6">
        <f ca="1">Kompilirano!BX108</f>
        <v>8.7389218654427947E-2</v>
      </c>
    </row>
    <row r="111" spans="2:11" x14ac:dyDescent="0.25">
      <c r="B111" t="s">
        <v>168</v>
      </c>
      <c r="C111" s="7">
        <f ca="1">Kompilirano!G110</f>
        <v>106.8</v>
      </c>
      <c r="D111" s="5">
        <f t="shared" ca="1" si="1"/>
        <v>515.41238938053095</v>
      </c>
      <c r="E111" s="8">
        <f ca="1">Kompilirano!AA110</f>
        <v>116483.2</v>
      </c>
      <c r="F111" s="7">
        <f ca="1">Kompilirano!P110</f>
        <v>71.599999999999994</v>
      </c>
      <c r="G111" s="8">
        <f ca="1">Kompilirano!AJ110</f>
        <v>29748.799999999999</v>
      </c>
      <c r="H111" s="6">
        <f ca="1">Kompilirano!AT110</f>
        <v>0.65373451337522126</v>
      </c>
      <c r="I111" s="6">
        <f ca="1">Kompilirano!BD110</f>
        <v>0.68318584054513276</v>
      </c>
      <c r="J111" s="6">
        <f ca="1">Kompilirano!BN110</f>
        <v>7.0287890952489301E-2</v>
      </c>
      <c r="K111" s="6">
        <f ca="1">Kompilirano!BX110</f>
        <v>8.173163965901116E-2</v>
      </c>
    </row>
    <row r="112" spans="2:11" x14ac:dyDescent="0.25">
      <c r="B112" t="s">
        <v>171</v>
      </c>
      <c r="C112" s="7">
        <f ca="1">Kompilirano!G113</f>
        <v>106.8</v>
      </c>
      <c r="D112" s="5">
        <f t="shared" ca="1" si="1"/>
        <v>515.20265486725668</v>
      </c>
      <c r="E112" s="8">
        <f ca="1">Kompilirano!AA113</f>
        <v>116435.8</v>
      </c>
      <c r="F112" s="7">
        <f ca="1">Kompilirano!P113</f>
        <v>22.4</v>
      </c>
      <c r="G112" s="8">
        <f ca="1">Kompilirano!AJ113</f>
        <v>35144.800000000003</v>
      </c>
      <c r="H112" s="6">
        <f ca="1">Kompilirano!AT113</f>
        <v>0.77311504408849552</v>
      </c>
      <c r="I112" s="6">
        <f ca="1">Kompilirano!BD113</f>
        <v>0.90088495560353987</v>
      </c>
      <c r="J112" s="6">
        <f ca="1">Kompilirano!BN113</f>
        <v>7.4927509955227303E-2</v>
      </c>
      <c r="K112" s="6">
        <f ca="1">Kompilirano!BX113</f>
        <v>7.1700168690923993E-2</v>
      </c>
    </row>
    <row r="113" spans="2:11" x14ac:dyDescent="0.25">
      <c r="B113" t="s">
        <v>169</v>
      </c>
      <c r="C113" s="7">
        <f ca="1">Kompilirano!G111</f>
        <v>107.4</v>
      </c>
      <c r="D113" s="5">
        <f t="shared" ca="1" si="1"/>
        <v>515.05486725663718</v>
      </c>
      <c r="E113" s="8">
        <f ca="1">Kompilirano!AA111</f>
        <v>116402.4</v>
      </c>
      <c r="F113" s="7">
        <f ca="1">Kompilirano!P111</f>
        <v>24</v>
      </c>
      <c r="G113" s="8">
        <f ca="1">Kompilirano!AJ111</f>
        <v>34988</v>
      </c>
      <c r="H113" s="6">
        <f ca="1">Kompilirano!AT111</f>
        <v>0.76964601762123885</v>
      </c>
      <c r="I113" s="6">
        <f ca="1">Kompilirano!BD111</f>
        <v>0.893805309899115</v>
      </c>
      <c r="J113" s="6">
        <f ca="1">Kompilirano!BN111</f>
        <v>7.4656662493491704E-2</v>
      </c>
      <c r="K113" s="6">
        <f ca="1">Kompilirano!BX111</f>
        <v>7.1551328119327975E-2</v>
      </c>
    </row>
    <row r="114" spans="2:11" x14ac:dyDescent="0.25">
      <c r="B114" t="s">
        <v>172</v>
      </c>
      <c r="C114" s="7">
        <f ca="1">Kompilirano!G114</f>
        <v>109.6</v>
      </c>
      <c r="D114" s="5">
        <f t="shared" ca="1" si="1"/>
        <v>514.30884955752208</v>
      </c>
      <c r="E114" s="8">
        <f ca="1">Kompilirano!AA114</f>
        <v>116233.8</v>
      </c>
      <c r="F114" s="7">
        <f ca="1">Kompilirano!P114</f>
        <v>25.4</v>
      </c>
      <c r="G114" s="8">
        <f ca="1">Kompilirano!AJ114</f>
        <v>36609</v>
      </c>
      <c r="H114" s="6">
        <f ca="1">Kompilirano!AT114</f>
        <v>0.80550884945132739</v>
      </c>
      <c r="I114" s="6">
        <f ca="1">Kompilirano!BD114</f>
        <v>0.88761061934690277</v>
      </c>
      <c r="J114" s="6">
        <f ca="1">Kompilirano!BN114</f>
        <v>8.1610181763663803E-2</v>
      </c>
      <c r="K114" s="6">
        <f ca="1">Kompilirano!BX114</f>
        <v>9.177655200617596E-2</v>
      </c>
    </row>
    <row r="115" spans="2:11" x14ac:dyDescent="0.25">
      <c r="B115" t="s">
        <v>173</v>
      </c>
      <c r="C115" s="7">
        <f ca="1">Kompilirano!G115</f>
        <v>112.8</v>
      </c>
      <c r="D115" s="5">
        <f t="shared" ca="1" si="1"/>
        <v>512.33716814159288</v>
      </c>
      <c r="E115" s="8">
        <f ca="1">Kompilirano!AA115</f>
        <v>115788.2</v>
      </c>
      <c r="F115" s="7">
        <f ca="1">Kompilirano!P115</f>
        <v>0</v>
      </c>
      <c r="G115" s="8">
        <f ca="1">Kompilirano!AJ115</f>
        <v>39201</v>
      </c>
      <c r="H115" s="6">
        <f ca="1">Kompilirano!AT115</f>
        <v>0.86285398244424782</v>
      </c>
      <c r="I115" s="6">
        <f ca="1">Kompilirano!BD115</f>
        <v>1</v>
      </c>
      <c r="J115" s="6">
        <f ca="1">Kompilirano!BN115</f>
        <v>8.5116500302729742E-2</v>
      </c>
      <c r="K115" s="6">
        <f ca="1">Kompilirano!BX115</f>
        <v>9.1948399567740036E-2</v>
      </c>
    </row>
    <row r="116" spans="2:11" x14ac:dyDescent="0.25">
      <c r="B116" t="s">
        <v>174</v>
      </c>
      <c r="C116" s="7">
        <f ca="1">Kompilirano!G116</f>
        <v>113</v>
      </c>
      <c r="D116" s="5">
        <f t="shared" ca="1" si="1"/>
        <v>511.96637168141592</v>
      </c>
      <c r="E116" s="8">
        <f ca="1">Kompilirano!AA116</f>
        <v>115704.4</v>
      </c>
      <c r="F116" s="7">
        <f ca="1">Kompilirano!P116</f>
        <v>27.4</v>
      </c>
      <c r="G116" s="8">
        <f ca="1">Kompilirano!AJ116</f>
        <v>36852.800000000003</v>
      </c>
      <c r="H116" s="6">
        <f ca="1">Kompilirano!AT116</f>
        <v>0.81090265483362833</v>
      </c>
      <c r="I116" s="6">
        <f ca="1">Kompilirano!BD116</f>
        <v>0.87876106193805315</v>
      </c>
      <c r="J116" s="6">
        <f ca="1">Kompilirano!BN116</f>
        <v>7.8349897271193056E-2</v>
      </c>
      <c r="K116" s="6">
        <f ca="1">Kompilirano!BX116</f>
        <v>7.6406987843735383E-2</v>
      </c>
    </row>
    <row r="117" spans="2:11" x14ac:dyDescent="0.25">
      <c r="B117" t="s">
        <v>176</v>
      </c>
      <c r="C117" s="7">
        <f ca="1">Kompilirano!G118</f>
        <v>113.6</v>
      </c>
      <c r="D117" s="5">
        <f t="shared" ca="1" si="1"/>
        <v>511.74690265486726</v>
      </c>
      <c r="E117" s="8">
        <f ca="1">Kompilirano!AA118</f>
        <v>115654.8</v>
      </c>
      <c r="F117" s="7">
        <f ca="1">Kompilirano!P118</f>
        <v>72</v>
      </c>
      <c r="G117" s="8">
        <f ca="1">Kompilirano!AJ118</f>
        <v>29351.599999999999</v>
      </c>
      <c r="H117" s="6">
        <f ca="1">Kompilirano!AT118</f>
        <v>0.64494690259292042</v>
      </c>
      <c r="I117" s="6">
        <f ca="1">Kompilirano!BD118</f>
        <v>0.68141592904070802</v>
      </c>
      <c r="J117" s="6">
        <f ca="1">Kompilirano!BN118</f>
        <v>6.9399355167188093E-2</v>
      </c>
      <c r="K117" s="6">
        <f ca="1">Kompilirano!BX118</f>
        <v>8.0163800582706932E-2</v>
      </c>
    </row>
    <row r="118" spans="2:11" x14ac:dyDescent="0.25">
      <c r="B118" t="s">
        <v>175</v>
      </c>
      <c r="C118" s="7">
        <f ca="1">Kompilirano!G117</f>
        <v>114.2</v>
      </c>
      <c r="D118" s="5">
        <f t="shared" ca="1" si="1"/>
        <v>511.53185840707965</v>
      </c>
      <c r="E118" s="8">
        <f ca="1">Kompilirano!AA117</f>
        <v>115606.2</v>
      </c>
      <c r="F118" s="7">
        <f ca="1">Kompilirano!P117</f>
        <v>56</v>
      </c>
      <c r="G118" s="8">
        <f ca="1">Kompilirano!AJ117</f>
        <v>32092.6</v>
      </c>
      <c r="H118" s="6">
        <f ca="1">Kompilirano!AT117</f>
        <v>0.7055884954300885</v>
      </c>
      <c r="I118" s="6">
        <f ca="1">Kompilirano!BD117</f>
        <v>0.75221238922831857</v>
      </c>
      <c r="J118" s="6">
        <f ca="1">Kompilirano!BN117</f>
        <v>7.3732505027997122E-2</v>
      </c>
      <c r="K118" s="6">
        <f ca="1">Kompilirano!BX117</f>
        <v>8.2924122063510852E-2</v>
      </c>
    </row>
    <row r="119" spans="2:11" x14ac:dyDescent="0.25">
      <c r="B119" t="s">
        <v>164</v>
      </c>
      <c r="C119" s="7">
        <f ca="1">Kompilirano!G106</f>
        <v>114.6</v>
      </c>
      <c r="D119" s="5">
        <f t="shared" ca="1" si="1"/>
        <v>509.44424778761061</v>
      </c>
      <c r="E119" s="8">
        <f ca="1">Kompilirano!AA106</f>
        <v>115134.39999999999</v>
      </c>
      <c r="F119" s="7">
        <f ca="1">Kompilirano!P106</f>
        <v>71</v>
      </c>
      <c r="G119" s="8">
        <f ca="1">Kompilirano!AJ106</f>
        <v>33404</v>
      </c>
      <c r="H119" s="6">
        <f ca="1">Kompilirano!AT106</f>
        <v>0.73534513256637157</v>
      </c>
      <c r="I119" s="6">
        <f ca="1">Kompilirano!BD106</f>
        <v>0.68584070784955764</v>
      </c>
      <c r="J119" s="6">
        <f ca="1">Kompilirano!BN106</f>
        <v>7.5486026786633201E-2</v>
      </c>
      <c r="K119" s="6">
        <f ca="1">Kompilirano!BX106</f>
        <v>8.1574292098402029E-2</v>
      </c>
    </row>
    <row r="120" spans="2:11" x14ac:dyDescent="0.25">
      <c r="B120" t="s">
        <v>177</v>
      </c>
      <c r="C120" s="7">
        <f ca="1">Kompilirano!G119</f>
        <v>116.6</v>
      </c>
      <c r="D120" s="5">
        <f t="shared" ca="1" si="1"/>
        <v>507.8946902654867</v>
      </c>
      <c r="E120" s="8">
        <f ca="1">Kompilirano!AA119</f>
        <v>114784.2</v>
      </c>
      <c r="F120" s="7">
        <f ca="1">Kompilirano!P119</f>
        <v>70.599999999999994</v>
      </c>
      <c r="G120" s="8">
        <f ca="1">Kompilirano!AJ119</f>
        <v>30328.400000000001</v>
      </c>
      <c r="H120" s="6">
        <f ca="1">Kompilirano!AT119</f>
        <v>0.66655752225840703</v>
      </c>
      <c r="I120" s="6">
        <f ca="1">Kompilirano!BD119</f>
        <v>0.68761061934513279</v>
      </c>
      <c r="J120" s="6">
        <f ca="1">Kompilirano!BN119</f>
        <v>7.1058200719243597E-2</v>
      </c>
      <c r="K120" s="6">
        <f ca="1">Kompilirano!BX119</f>
        <v>8.1509053776998325E-2</v>
      </c>
    </row>
    <row r="121" spans="2:11" x14ac:dyDescent="0.25">
      <c r="B121" t="s">
        <v>178</v>
      </c>
      <c r="C121" s="7">
        <f ca="1">Kompilirano!G120</f>
        <v>117.2</v>
      </c>
      <c r="D121" s="5">
        <f t="shared" ca="1" si="1"/>
        <v>507.47345132743362</v>
      </c>
      <c r="E121" s="8">
        <f ca="1">Kompilirano!AA120</f>
        <v>114689</v>
      </c>
      <c r="F121" s="7">
        <f ca="1">Kompilirano!P120</f>
        <v>70.8</v>
      </c>
      <c r="G121" s="8">
        <f ca="1">Kompilirano!AJ120</f>
        <v>30973.599999999999</v>
      </c>
      <c r="H121" s="6">
        <f ca="1">Kompilirano!AT120</f>
        <v>0.68083185870442475</v>
      </c>
      <c r="I121" s="6">
        <f ca="1">Kompilirano!BD120</f>
        <v>0.68672566369734511</v>
      </c>
      <c r="J121" s="6">
        <f ca="1">Kompilirano!BN120</f>
        <v>7.208240632976845E-2</v>
      </c>
      <c r="K121" s="6">
        <f ca="1">Kompilirano!BX120</f>
        <v>8.1985148105676212E-2</v>
      </c>
    </row>
    <row r="122" spans="2:11" x14ac:dyDescent="0.25">
      <c r="B122" t="s">
        <v>179</v>
      </c>
      <c r="C122" s="7">
        <f ca="1">Kompilirano!G121</f>
        <v>119.2</v>
      </c>
      <c r="D122" s="5">
        <f t="shared" ca="1" si="1"/>
        <v>502.00530973451328</v>
      </c>
      <c r="E122" s="8">
        <f ca="1">Kompilirano!AA121</f>
        <v>113453.2</v>
      </c>
      <c r="F122" s="7">
        <f ca="1">Kompilirano!P121</f>
        <v>15</v>
      </c>
      <c r="G122" s="8">
        <f ca="1">Kompilirano!AJ121</f>
        <v>41000</v>
      </c>
      <c r="H122" s="6">
        <f ca="1">Kompilirano!AT121</f>
        <v>0.90265486733805322</v>
      </c>
      <c r="I122" s="6">
        <f ca="1">Kompilirano!BD121</f>
        <v>0.93362831842123895</v>
      </c>
      <c r="J122" s="6">
        <f ca="1">Kompilirano!BN121</f>
        <v>8.3709585055158242E-2</v>
      </c>
      <c r="K122" s="6">
        <f ca="1">Kompilirano!BX121</f>
        <v>7.6442431904135438E-2</v>
      </c>
    </row>
    <row r="123" spans="2:11" x14ac:dyDescent="0.25">
      <c r="B123" t="s">
        <v>180</v>
      </c>
      <c r="C123" s="7">
        <f ca="1">Kompilirano!G122</f>
        <v>119.8</v>
      </c>
      <c r="D123" s="5">
        <f t="shared" ca="1" si="1"/>
        <v>500.37610619469024</v>
      </c>
      <c r="E123" s="8">
        <f ca="1">Kompilirano!AA122</f>
        <v>113085</v>
      </c>
      <c r="F123" s="7">
        <f ca="1">Kompilirano!P122</f>
        <v>105.4</v>
      </c>
      <c r="G123" s="8">
        <f ca="1">Kompilirano!AJ122</f>
        <v>27461</v>
      </c>
      <c r="H123" s="6">
        <f ca="1">Kompilirano!AT122</f>
        <v>0.60324778745663721</v>
      </c>
      <c r="I123" s="6">
        <f ca="1">Kompilirano!BD122</f>
        <v>0.53362831866548677</v>
      </c>
      <c r="J123" s="6">
        <f ca="1">Kompilirano!BN122</f>
        <v>6.1945027944194417E-2</v>
      </c>
      <c r="K123" s="6">
        <f ca="1">Kompilirano!BX122</f>
        <v>5.091593092044279E-2</v>
      </c>
    </row>
    <row r="124" spans="2:11" x14ac:dyDescent="0.25">
      <c r="B124" t="s">
        <v>12</v>
      </c>
      <c r="C124" s="7">
        <f ca="1">Kompilirano!G124</f>
        <v>121.2</v>
      </c>
      <c r="D124" s="5">
        <f t="shared" ca="1" si="1"/>
        <v>496.37787610619466</v>
      </c>
      <c r="E124" s="8">
        <f ca="1">Kompilirano!AA124</f>
        <v>112181.4</v>
      </c>
      <c r="F124" s="7">
        <f ca="1">Kompilirano!P124</f>
        <v>14.2</v>
      </c>
      <c r="G124" s="8">
        <f ca="1">Kompilirano!AJ124</f>
        <v>43285</v>
      </c>
      <c r="H124" s="6">
        <f ca="1">Kompilirano!AT124</f>
        <v>0.95320796477345127</v>
      </c>
      <c r="I124" s="6">
        <f ca="1">Kompilirano!BD124</f>
        <v>0.93716814162123896</v>
      </c>
      <c r="J124" s="6">
        <f ca="1">Kompilirano!BN124</f>
        <v>8.629146214085312E-2</v>
      </c>
      <c r="K124" s="6">
        <f ca="1">Kompilirano!BX124</f>
        <v>7.3780304326914695E-2</v>
      </c>
    </row>
    <row r="125" spans="2:11" x14ac:dyDescent="0.25">
      <c r="B125" t="s">
        <v>181</v>
      </c>
      <c r="C125" s="7">
        <f ca="1">Kompilirano!G123</f>
        <v>121</v>
      </c>
      <c r="D125" s="5">
        <f t="shared" ca="1" si="1"/>
        <v>496.35575221238935</v>
      </c>
      <c r="E125" s="8">
        <f ca="1">Kompilirano!AA123</f>
        <v>112176.4</v>
      </c>
      <c r="F125" s="7">
        <f ca="1">Kompilirano!P123</f>
        <v>79.400000000000006</v>
      </c>
      <c r="G125" s="8">
        <f ca="1">Kompilirano!AJ123</f>
        <v>30297.4</v>
      </c>
      <c r="H125" s="6">
        <f ca="1">Kompilirano!AT123</f>
        <v>0.66653539827964603</v>
      </c>
      <c r="I125" s="6">
        <f ca="1">Kompilirano!BD123</f>
        <v>0.64867256621415925</v>
      </c>
      <c r="J125" s="6">
        <f ca="1">Kompilirano!BN123</f>
        <v>6.5910337147375014E-2</v>
      </c>
      <c r="K125" s="6">
        <f ca="1">Kompilirano!BX123</f>
        <v>5.0244379206465441E-2</v>
      </c>
    </row>
    <row r="126" spans="2:11" x14ac:dyDescent="0.25">
      <c r="B126" t="s">
        <v>182</v>
      </c>
      <c r="C126" s="7">
        <f ca="1">Kompilirano!G125</f>
        <v>123</v>
      </c>
      <c r="D126" s="5">
        <f t="shared" ca="1" si="1"/>
        <v>483.9159292035398</v>
      </c>
      <c r="E126" s="8">
        <f ca="1">Kompilirano!AA125</f>
        <v>109365</v>
      </c>
      <c r="F126" s="7">
        <f ca="1">Kompilirano!P125</f>
        <v>13</v>
      </c>
      <c r="G126" s="8">
        <f ca="1">Kompilirano!AJ125</f>
        <v>42908.800000000003</v>
      </c>
      <c r="H126" s="6">
        <f ca="1">Kompilirano!AT125</f>
        <v>0.94488495571150444</v>
      </c>
      <c r="I126" s="6">
        <f ca="1">Kompilirano!BD125</f>
        <v>0.94247787606902667</v>
      </c>
      <c r="J126" s="6">
        <f ca="1">Kompilirano!BN125</f>
        <v>8.6585217000223882E-2</v>
      </c>
      <c r="K126" s="6">
        <f ca="1">Kompilirano!BX125</f>
        <v>7.7673327959660449E-2</v>
      </c>
    </row>
    <row r="127" spans="2:11" x14ac:dyDescent="0.25">
      <c r="B127" t="s">
        <v>185</v>
      </c>
      <c r="C127" s="7">
        <f ca="1">Kompilirano!G128</f>
        <v>125.2</v>
      </c>
      <c r="D127" s="5">
        <f t="shared" ca="1" si="1"/>
        <v>477.7362831858407</v>
      </c>
      <c r="E127" s="8">
        <f ca="1">Kompilirano!AA128</f>
        <v>107968.4</v>
      </c>
      <c r="F127" s="7">
        <f ca="1">Kompilirano!P128</f>
        <v>0</v>
      </c>
      <c r="G127" s="8">
        <f ca="1">Kompilirano!AJ128</f>
        <v>43480.6</v>
      </c>
      <c r="H127" s="6">
        <f ca="1">Kompilirano!AT128</f>
        <v>0.95753539810796462</v>
      </c>
      <c r="I127" s="6">
        <f ca="1">Kompilirano!BD128</f>
        <v>1</v>
      </c>
      <c r="J127" s="6">
        <f ca="1">Kompilirano!BN128</f>
        <v>8.6820217962172264E-2</v>
      </c>
      <c r="K127" s="6">
        <f ca="1">Kompilirano!BX128</f>
        <v>7.4924042602032365E-2</v>
      </c>
    </row>
    <row r="128" spans="2:11" x14ac:dyDescent="0.25">
      <c r="B128" t="s">
        <v>192</v>
      </c>
      <c r="C128" s="7">
        <f ca="1">Kompilirano!G136</f>
        <v>126.8</v>
      </c>
      <c r="D128" s="5">
        <f t="shared" ca="1" si="1"/>
        <v>476.51238938053098</v>
      </c>
      <c r="E128" s="8">
        <f ca="1">Kompilirano!AA136</f>
        <v>107691.8</v>
      </c>
      <c r="F128" s="7">
        <f ca="1">Kompilirano!P136</f>
        <v>10.4</v>
      </c>
      <c r="G128" s="8">
        <f ca="1">Kompilirano!AJ136</f>
        <v>42244</v>
      </c>
      <c r="H128" s="6">
        <f ca="1">Kompilirano!AT136</f>
        <v>0.93017699119469022</v>
      </c>
      <c r="I128" s="6">
        <f ca="1">Kompilirano!BD136</f>
        <v>0.95398230063008849</v>
      </c>
      <c r="J128" s="6">
        <f ca="1">Kompilirano!BN136</f>
        <v>8.5331892490271066E-2</v>
      </c>
      <c r="K128" s="6">
        <f ca="1">Kompilirano!BX136</f>
        <v>7.6157738118126622E-2</v>
      </c>
    </row>
    <row r="129" spans="2:11" x14ac:dyDescent="0.25">
      <c r="B129" t="s">
        <v>17</v>
      </c>
      <c r="C129" s="7">
        <f ca="1">Kompilirano!G130</f>
        <v>126.8</v>
      </c>
      <c r="D129" s="5">
        <f t="shared" ca="1" si="1"/>
        <v>475.92831858407084</v>
      </c>
      <c r="E129" s="8">
        <f ca="1">Kompilirano!AA130</f>
        <v>107559.8</v>
      </c>
      <c r="F129" s="7">
        <f ca="1">Kompilirano!P130</f>
        <v>102.8</v>
      </c>
      <c r="G129" s="8">
        <f ca="1">Kompilirano!AJ130</f>
        <v>31543.599999999999</v>
      </c>
      <c r="H129" s="6">
        <f ca="1">Kompilirano!AT130</f>
        <v>0.69676106206017707</v>
      </c>
      <c r="I129" s="6">
        <f ca="1">Kompilirano!BD130</f>
        <v>0.5451327432265487</v>
      </c>
      <c r="J129" s="6">
        <f ca="1">Kompilirano!BN130</f>
        <v>6.6339694815129885E-2</v>
      </c>
      <c r="K129" s="6">
        <f ca="1">Kompilirano!BX130</f>
        <v>4.7224731617695637E-2</v>
      </c>
    </row>
    <row r="130" spans="2:11" x14ac:dyDescent="0.25">
      <c r="B130" t="s">
        <v>187</v>
      </c>
      <c r="C130" s="7">
        <f ca="1">Kompilirano!G131</f>
        <v>127</v>
      </c>
      <c r="D130" s="5">
        <f t="shared" ca="1" si="1"/>
        <v>475.67168141592924</v>
      </c>
      <c r="E130" s="8">
        <f ca="1">Kompilirano!AA131</f>
        <v>107501.8</v>
      </c>
      <c r="F130" s="7">
        <f ca="1">Kompilirano!P131</f>
        <v>0</v>
      </c>
      <c r="G130" s="8">
        <f ca="1">Kompilirano!AJ131</f>
        <v>44836.4</v>
      </c>
      <c r="H130" s="6">
        <f ca="1">Kompilirano!AT131</f>
        <v>0.98753097338761064</v>
      </c>
      <c r="I130" s="6">
        <f ca="1">Kompilirano!BD131</f>
        <v>1</v>
      </c>
      <c r="J130" s="6">
        <f ca="1">Kompilirano!BN131</f>
        <v>8.955241819403395E-2</v>
      </c>
      <c r="K130" s="6">
        <f ca="1">Kompilirano!BX131</f>
        <v>7.8748720640967981E-2</v>
      </c>
    </row>
    <row r="131" spans="2:11" x14ac:dyDescent="0.25">
      <c r="B131" t="s">
        <v>184</v>
      </c>
      <c r="C131" s="7">
        <f ca="1">Kompilirano!G127</f>
        <v>128.4</v>
      </c>
      <c r="D131" s="5">
        <f t="shared" ca="1" si="1"/>
        <v>474.39292035398233</v>
      </c>
      <c r="E131" s="8">
        <f ca="1">Kompilirano!AA127</f>
        <v>107212.8</v>
      </c>
      <c r="F131" s="7">
        <f ca="1">Kompilirano!P127</f>
        <v>91.6</v>
      </c>
      <c r="G131" s="8">
        <f ca="1">Kompilirano!AJ127</f>
        <v>19295.400000000001</v>
      </c>
      <c r="H131" s="6">
        <f ca="1">Kompilirano!AT127</f>
        <v>0.42542920343893809</v>
      </c>
      <c r="I131" s="6">
        <f ca="1">Kompilirano!BD127</f>
        <v>0.59469026538761072</v>
      </c>
      <c r="J131" s="6">
        <f ca="1">Kompilirano!BN127</f>
        <v>4.2547360911368765E-2</v>
      </c>
      <c r="K131" s="6">
        <f ca="1">Kompilirano!BX127</f>
        <v>7.3547190206380564E-3</v>
      </c>
    </row>
    <row r="132" spans="2:11" x14ac:dyDescent="0.25">
      <c r="B132" t="s">
        <v>191</v>
      </c>
      <c r="C132" s="7">
        <f ca="1">Kompilirano!G135</f>
        <v>130</v>
      </c>
      <c r="D132" s="5">
        <f t="shared" ref="D132:D195" ca="1" si="2">E132/226</f>
        <v>473.33893805309737</v>
      </c>
      <c r="E132" s="8">
        <f ca="1">Kompilirano!AA135</f>
        <v>106974.6</v>
      </c>
      <c r="F132" s="7">
        <f ca="1">Kompilirano!P135</f>
        <v>55.4</v>
      </c>
      <c r="G132" s="8">
        <f ca="1">Kompilirano!AJ135</f>
        <v>26278.2</v>
      </c>
      <c r="H132" s="6">
        <f ca="1">Kompilirano!AT135</f>
        <v>0.57697345123362831</v>
      </c>
      <c r="I132" s="6">
        <f ca="1">Kompilirano!BD135</f>
        <v>0.75486725648495567</v>
      </c>
      <c r="J132" s="6">
        <f ca="1">Kompilirano!BN135</f>
        <v>5.8727888633879788E-2</v>
      </c>
      <c r="K132" s="6">
        <f ca="1">Kompilirano!BX135</f>
        <v>3.9120903383036178E-2</v>
      </c>
    </row>
    <row r="133" spans="2:11" x14ac:dyDescent="0.25">
      <c r="B133" t="s">
        <v>186</v>
      </c>
      <c r="C133" s="7">
        <f ca="1">Kompilirano!G129</f>
        <v>130</v>
      </c>
      <c r="D133" s="5">
        <f t="shared" ca="1" si="2"/>
        <v>473.17522123893809</v>
      </c>
      <c r="E133" s="8">
        <f ca="1">Kompilirano!AA129</f>
        <v>106937.60000000001</v>
      </c>
      <c r="F133" s="7">
        <f ca="1">Kompilirano!P129</f>
        <v>3</v>
      </c>
      <c r="G133" s="8">
        <f ca="1">Kompilirano!AJ129</f>
        <v>44430</v>
      </c>
      <c r="H133" s="6">
        <f ca="1">Kompilirano!AT129</f>
        <v>0.97853982300177</v>
      </c>
      <c r="I133" s="6">
        <f ca="1">Kompilirano!BD129</f>
        <v>0.9867256639433627</v>
      </c>
      <c r="J133" s="6">
        <f ca="1">Kompilirano!BN129</f>
        <v>8.8223220762297022E-2</v>
      </c>
      <c r="K133" s="6">
        <f ca="1">Kompilirano!BX129</f>
        <v>7.5531355984581855E-2</v>
      </c>
    </row>
    <row r="134" spans="2:11" x14ac:dyDescent="0.25">
      <c r="B134" t="s">
        <v>190</v>
      </c>
      <c r="C134" s="7">
        <f ca="1">Kompilirano!G134</f>
        <v>131</v>
      </c>
      <c r="D134" s="5">
        <f t="shared" ca="1" si="2"/>
        <v>471.66991150442476</v>
      </c>
      <c r="E134" s="8">
        <f ca="1">Kompilirano!AA134</f>
        <v>106597.4</v>
      </c>
      <c r="F134" s="7">
        <f ca="1">Kompilirano!P134</f>
        <v>54.8</v>
      </c>
      <c r="G134" s="8">
        <f ca="1">Kompilirano!AJ134</f>
        <v>26115.200000000001</v>
      </c>
      <c r="H134" s="6">
        <f ca="1">Kompilirano!AT134</f>
        <v>0.57336725653805309</v>
      </c>
      <c r="I134" s="6">
        <f ca="1">Kompilirano!BD134</f>
        <v>0.75752212393274332</v>
      </c>
      <c r="J134" s="6">
        <f ca="1">Kompilirano!BN134</f>
        <v>5.8412135405681673E-2</v>
      </c>
      <c r="K134" s="6">
        <f ca="1">Kompilirano!BX134</f>
        <v>3.8768027730324797E-2</v>
      </c>
    </row>
    <row r="135" spans="2:11" x14ac:dyDescent="0.25">
      <c r="B135" t="s">
        <v>189</v>
      </c>
      <c r="C135" s="7">
        <f ca="1">Kompilirano!G133</f>
        <v>133.6</v>
      </c>
      <c r="D135" s="5">
        <f t="shared" ca="1" si="2"/>
        <v>470.0840707964602</v>
      </c>
      <c r="E135" s="8">
        <f ca="1">Kompilirano!AA133</f>
        <v>106239</v>
      </c>
      <c r="F135" s="7">
        <f ca="1">Kompilirano!P133</f>
        <v>48</v>
      </c>
      <c r="G135" s="8">
        <f ca="1">Kompilirano!AJ133</f>
        <v>34862.6</v>
      </c>
      <c r="H135" s="6">
        <f ca="1">Kompilirano!AT133</f>
        <v>0.76691592935044239</v>
      </c>
      <c r="I135" s="6">
        <f ca="1">Kompilirano!BD133</f>
        <v>0.78761061929380527</v>
      </c>
      <c r="J135" s="6">
        <f ca="1">Kompilirano!BN133</f>
        <v>7.0696955404181833E-2</v>
      </c>
      <c r="K135" s="6">
        <f ca="1">Kompilirano!BX133</f>
        <v>5.0453415611125915E-2</v>
      </c>
    </row>
    <row r="136" spans="2:11" x14ac:dyDescent="0.25">
      <c r="B136" t="s">
        <v>183</v>
      </c>
      <c r="C136" s="7">
        <f ca="1">Kompilirano!G126</f>
        <v>132.19999999999999</v>
      </c>
      <c r="D136" s="5">
        <f t="shared" ca="1" si="2"/>
        <v>470.03185840707965</v>
      </c>
      <c r="E136" s="8">
        <f ca="1">Kompilirano!AA126</f>
        <v>106227.2</v>
      </c>
      <c r="F136" s="7">
        <f ca="1">Kompilirano!P126</f>
        <v>99.8</v>
      </c>
      <c r="G136" s="8">
        <f ca="1">Kompilirano!AJ126</f>
        <v>20141.599999999999</v>
      </c>
      <c r="H136" s="6">
        <f ca="1">Kompilirano!AT126</f>
        <v>0.44133628318053103</v>
      </c>
      <c r="I136" s="6">
        <f ca="1">Kompilirano!BD126</f>
        <v>0.55840707956991142</v>
      </c>
      <c r="J136" s="6">
        <f ca="1">Kompilirano!BN126</f>
        <v>4.2513637890553999E-2</v>
      </c>
      <c r="K136" s="6">
        <f ca="1">Kompilirano!BX126</f>
        <v>8.8264820751817585E-3</v>
      </c>
    </row>
    <row r="137" spans="2:11" x14ac:dyDescent="0.25">
      <c r="B137" t="s">
        <v>193</v>
      </c>
      <c r="C137" s="7">
        <f ca="1">Kompilirano!G137</f>
        <v>134.4</v>
      </c>
      <c r="D137" s="5">
        <f t="shared" ca="1" si="2"/>
        <v>468.8973451327434</v>
      </c>
      <c r="E137" s="8">
        <f ca="1">Kompilirano!AA137</f>
        <v>105970.8</v>
      </c>
      <c r="F137" s="7">
        <f ca="1">Kompilirano!P137</f>
        <v>60.6</v>
      </c>
      <c r="G137" s="8">
        <f ca="1">Kompilirano!AJ137</f>
        <v>25853.8</v>
      </c>
      <c r="H137" s="6">
        <f ca="1">Kompilirano!AT137</f>
        <v>0.56758407088318585</v>
      </c>
      <c r="I137" s="6">
        <f ca="1">Kompilirano!BD137</f>
        <v>0.7318584071628319</v>
      </c>
      <c r="J137" s="6">
        <f ca="1">Kompilirano!BN137</f>
        <v>5.7936994709300013E-2</v>
      </c>
      <c r="K137" s="6">
        <f ca="1">Kompilirano!BX137</f>
        <v>3.8361963384504899E-2</v>
      </c>
    </row>
    <row r="138" spans="2:11" x14ac:dyDescent="0.25">
      <c r="B138" t="s">
        <v>188</v>
      </c>
      <c r="C138" s="7">
        <f ca="1">Kompilirano!G132</f>
        <v>134</v>
      </c>
      <c r="D138" s="5">
        <f t="shared" ca="1" si="2"/>
        <v>467.72389380530979</v>
      </c>
      <c r="E138" s="8">
        <f ca="1">Kompilirano!AA132</f>
        <v>105705.60000000001</v>
      </c>
      <c r="F138" s="7">
        <f ca="1">Kompilirano!P132</f>
        <v>62.6</v>
      </c>
      <c r="G138" s="8">
        <f ca="1">Kompilirano!AJ132</f>
        <v>29931</v>
      </c>
      <c r="H138" s="6">
        <f ca="1">Kompilirano!AT132</f>
        <v>0.65983185840000003</v>
      </c>
      <c r="I138" s="6">
        <f ca="1">Kompilirano!BD132</f>
        <v>0.72300884973274326</v>
      </c>
      <c r="J138" s="6">
        <f ca="1">Kompilirano!BN132</f>
        <v>6.6503313417196314E-2</v>
      </c>
      <c r="K138" s="6">
        <f ca="1">Kompilirano!BX132</f>
        <v>5.6775590325768489E-2</v>
      </c>
    </row>
    <row r="139" spans="2:11" x14ac:dyDescent="0.25">
      <c r="B139" t="s">
        <v>197</v>
      </c>
      <c r="C139" s="7">
        <f ca="1">Kompilirano!G141</f>
        <v>136.19999999999999</v>
      </c>
      <c r="D139" s="5">
        <f t="shared" ca="1" si="2"/>
        <v>466.83185840707966</v>
      </c>
      <c r="E139" s="8">
        <f ca="1">Kompilirano!AA141</f>
        <v>105504</v>
      </c>
      <c r="F139" s="7">
        <f ca="1">Kompilirano!P141</f>
        <v>0</v>
      </c>
      <c r="G139" s="8">
        <f ca="1">Kompilirano!AJ141</f>
        <v>45400</v>
      </c>
      <c r="H139" s="6">
        <f ca="1">Kompilirano!AT141</f>
        <v>1</v>
      </c>
      <c r="I139" s="6">
        <f ca="1">Kompilirano!BD141</f>
        <v>1</v>
      </c>
      <c r="J139" s="6">
        <f ca="1">Kompilirano!BN141</f>
        <v>8.9837702166421216E-2</v>
      </c>
      <c r="K139" s="6">
        <f ca="1">Kompilirano!BX141</f>
        <v>7.6760509569246724E-2</v>
      </c>
    </row>
    <row r="140" spans="2:11" x14ac:dyDescent="0.25">
      <c r="B140" t="s">
        <v>194</v>
      </c>
      <c r="C140" s="7">
        <f ca="1">Kompilirano!G138</f>
        <v>135.80000000000001</v>
      </c>
      <c r="D140" s="5">
        <f t="shared" ca="1" si="2"/>
        <v>466.63274336283183</v>
      </c>
      <c r="E140" s="8">
        <f ca="1">Kompilirano!AA138</f>
        <v>105459</v>
      </c>
      <c r="F140" s="7">
        <f ca="1">Kompilirano!P138</f>
        <v>54.6</v>
      </c>
      <c r="G140" s="8">
        <f ca="1">Kompilirano!AJ138</f>
        <v>32487.599999999999</v>
      </c>
      <c r="H140" s="6">
        <f ca="1">Kompilirano!AT138</f>
        <v>0.71434955758761065</v>
      </c>
      <c r="I140" s="6">
        <f ca="1">Kompilirano!BD138</f>
        <v>0.758407079580531</v>
      </c>
      <c r="J140" s="6">
        <f ca="1">Kompilirano!BN138</f>
        <v>7.0552418019727212E-2</v>
      </c>
      <c r="K140" s="6">
        <f ca="1">Kompilirano!BX138</f>
        <v>5.8671659313019563E-2</v>
      </c>
    </row>
    <row r="141" spans="2:11" x14ac:dyDescent="0.25">
      <c r="B141" t="s">
        <v>195</v>
      </c>
      <c r="C141" s="7">
        <f ca="1">Kompilirano!G139</f>
        <v>135.80000000000001</v>
      </c>
      <c r="D141" s="5">
        <f t="shared" ca="1" si="2"/>
        <v>465.97345132743362</v>
      </c>
      <c r="E141" s="8">
        <f ca="1">Kompilirano!AA139</f>
        <v>105310</v>
      </c>
      <c r="F141" s="7">
        <f ca="1">Kompilirano!P139</f>
        <v>61.2</v>
      </c>
      <c r="G141" s="8">
        <f ca="1">Kompilirano!AJ139</f>
        <v>36703.800000000003</v>
      </c>
      <c r="H141" s="6">
        <f ca="1">Kompilirano!AT139</f>
        <v>0.80762831864778772</v>
      </c>
      <c r="I141" s="6">
        <f ca="1">Kompilirano!BD139</f>
        <v>0.72920353971504426</v>
      </c>
      <c r="J141" s="6">
        <f ca="1">Kompilirano!BN139</f>
        <v>7.6389621605500668E-2</v>
      </c>
      <c r="K141" s="6">
        <f ca="1">Kompilirano!BX139</f>
        <v>6.4300308717780155E-2</v>
      </c>
    </row>
    <row r="142" spans="2:11" x14ac:dyDescent="0.25">
      <c r="B142" t="s">
        <v>196</v>
      </c>
      <c r="C142" s="7">
        <f ca="1">Kompilirano!G140</f>
        <v>137</v>
      </c>
      <c r="D142" s="5">
        <f t="shared" ca="1" si="2"/>
        <v>464.70973451327433</v>
      </c>
      <c r="E142" s="8">
        <f ca="1">Kompilirano!AA140</f>
        <v>105024.4</v>
      </c>
      <c r="F142" s="7">
        <f ca="1">Kompilirano!P140</f>
        <v>83.6</v>
      </c>
      <c r="G142" s="8">
        <f ca="1">Kompilirano!AJ140</f>
        <v>18691.400000000001</v>
      </c>
      <c r="H142" s="6">
        <f ca="1">Kompilirano!AT140</f>
        <v>0.40914601759469021</v>
      </c>
      <c r="I142" s="6">
        <f ca="1">Kompilirano!BD140</f>
        <v>0.63008849561415947</v>
      </c>
      <c r="J142" s="6">
        <f ca="1">Kompilirano!BN140</f>
        <v>4.0582459501137647E-2</v>
      </c>
      <c r="K142" s="6">
        <f ca="1">Kompilirano!BX140</f>
        <v>3.0900184635675372E-3</v>
      </c>
    </row>
    <row r="143" spans="2:11" x14ac:dyDescent="0.25">
      <c r="B143" t="s">
        <v>18</v>
      </c>
      <c r="C143" s="7">
        <f ca="1">Kompilirano!G143</f>
        <v>140.4</v>
      </c>
      <c r="D143" s="5">
        <f t="shared" ca="1" si="2"/>
        <v>451.58495575221235</v>
      </c>
      <c r="E143" s="8">
        <f ca="1">Kompilirano!AA143</f>
        <v>102058.2</v>
      </c>
      <c r="F143" s="7">
        <f ca="1">Kompilirano!P143</f>
        <v>114.2</v>
      </c>
      <c r="G143" s="8">
        <f ca="1">Kompilirano!AJ143</f>
        <v>13618.8</v>
      </c>
      <c r="H143" s="6">
        <f ca="1">Kompilirano!AT143</f>
        <v>0.30130088484070794</v>
      </c>
      <c r="I143" s="6">
        <f ca="1">Kompilirano!BD143</f>
        <v>0.4946902654477876</v>
      </c>
      <c r="J143" s="6">
        <f ca="1">Kompilirano!BN143</f>
        <v>2.9151356062746187E-2</v>
      </c>
      <c r="K143" s="6">
        <f ca="1">Kompilirano!BX143</f>
        <v>-1.879270043124142E-2</v>
      </c>
    </row>
    <row r="144" spans="2:11" x14ac:dyDescent="0.25">
      <c r="B144" t="s">
        <v>198</v>
      </c>
      <c r="C144" s="7">
        <f ca="1">Kompilirano!G142</f>
        <v>142</v>
      </c>
      <c r="D144" s="5">
        <f t="shared" ca="1" si="2"/>
        <v>450.62743362831861</v>
      </c>
      <c r="E144" s="8">
        <f ca="1">Kompilirano!AA142</f>
        <v>101841.8</v>
      </c>
      <c r="F144" s="7">
        <f ca="1">Kompilirano!P142</f>
        <v>20.2</v>
      </c>
      <c r="G144" s="8">
        <f ca="1">Kompilirano!AJ142</f>
        <v>43709.4</v>
      </c>
      <c r="H144" s="6">
        <f ca="1">Kompilirano!AT142</f>
        <v>0.96525663723716826</v>
      </c>
      <c r="I144" s="6">
        <f ca="1">Kompilirano!BD142</f>
        <v>0.91061946909911495</v>
      </c>
      <c r="J144" s="6">
        <f ca="1">Kompilirano!BN142</f>
        <v>8.7370559306022888E-2</v>
      </c>
      <c r="K144" s="6">
        <f ca="1">Kompilirano!BX142</f>
        <v>7.5380655756399087E-2</v>
      </c>
    </row>
    <row r="145" spans="2:11" x14ac:dyDescent="0.25">
      <c r="B145" t="s">
        <v>199</v>
      </c>
      <c r="C145" s="7">
        <f ca="1">Kompilirano!G144</f>
        <v>142.19999999999999</v>
      </c>
      <c r="D145" s="5">
        <f t="shared" ca="1" si="2"/>
        <v>447.16371681415927</v>
      </c>
      <c r="E145" s="8">
        <f ca="1">Kompilirano!AA144</f>
        <v>101059</v>
      </c>
      <c r="F145" s="7">
        <f ca="1">Kompilirano!P144</f>
        <v>102.4</v>
      </c>
      <c r="G145" s="8">
        <f ca="1">Kompilirano!AJ144</f>
        <v>23157.200000000001</v>
      </c>
      <c r="H145" s="6">
        <f ca="1">Kompilirano!AT144</f>
        <v>0.51011504424424781</v>
      </c>
      <c r="I145" s="6">
        <f ca="1">Kompilirano!BD144</f>
        <v>0.5469026548743362</v>
      </c>
      <c r="J145" s="6">
        <f ca="1">Kompilirano!BN144</f>
        <v>4.9563410444022189E-2</v>
      </c>
      <c r="K145" s="6">
        <f ca="1">Kompilirano!BX144</f>
        <v>1.4092852737820179E-2</v>
      </c>
    </row>
    <row r="146" spans="2:11" x14ac:dyDescent="0.25">
      <c r="B146" t="s">
        <v>200</v>
      </c>
      <c r="C146" s="7">
        <f ca="1">Kompilirano!G145</f>
        <v>142.6</v>
      </c>
      <c r="D146" s="5">
        <f t="shared" ca="1" si="2"/>
        <v>446.52389380530968</v>
      </c>
      <c r="E146" s="8">
        <f ca="1">Kompilirano!AA145</f>
        <v>100914.4</v>
      </c>
      <c r="F146" s="7">
        <f ca="1">Kompilirano!P145</f>
        <v>108.2</v>
      </c>
      <c r="G146" s="8">
        <f ca="1">Kompilirano!AJ145</f>
        <v>23890.799999999999</v>
      </c>
      <c r="H146" s="6">
        <f ca="1">Kompilirano!AT145</f>
        <v>0.52424336312920361</v>
      </c>
      <c r="I146" s="6">
        <f ca="1">Kompilirano!BD145</f>
        <v>0.52123893811327437</v>
      </c>
      <c r="J146" s="6">
        <f ca="1">Kompilirano!BN145</f>
        <v>4.948720401995807E-2</v>
      </c>
      <c r="K146" s="6">
        <f ca="1">Kompilirano!BX145</f>
        <v>2.3165062649058689E-2</v>
      </c>
    </row>
    <row r="147" spans="2:11" x14ac:dyDescent="0.25">
      <c r="B147" t="s">
        <v>203</v>
      </c>
      <c r="C147" s="7">
        <f ca="1">Kompilirano!G148</f>
        <v>146.19999999999999</v>
      </c>
      <c r="D147" s="5">
        <f t="shared" ca="1" si="2"/>
        <v>442.43274336283184</v>
      </c>
      <c r="E147" s="8">
        <f ca="1">Kompilirano!AA148</f>
        <v>99989.8</v>
      </c>
      <c r="F147" s="7">
        <f ca="1">Kompilirano!P148</f>
        <v>78.599999999999994</v>
      </c>
      <c r="G147" s="8">
        <f ca="1">Kompilirano!AJ148</f>
        <v>17782.8</v>
      </c>
      <c r="H147" s="6">
        <f ca="1">Kompilirano!AT148</f>
        <v>0.39338053106017701</v>
      </c>
      <c r="I147" s="6">
        <f ca="1">Kompilirano!BD148</f>
        <v>0.65221238942300896</v>
      </c>
      <c r="J147" s="6">
        <f ca="1">Kompilirano!BN148</f>
        <v>3.8484960004099109E-2</v>
      </c>
      <c r="K147" s="6">
        <f ca="1">Kompilirano!BX148</f>
        <v>-1.6217018558731451E-3</v>
      </c>
    </row>
    <row r="148" spans="2:11" x14ac:dyDescent="0.25">
      <c r="B148" t="s">
        <v>204</v>
      </c>
      <c r="C148" s="7">
        <f ca="1">Kompilirano!G149</f>
        <v>146.4</v>
      </c>
      <c r="D148" s="5">
        <f t="shared" ca="1" si="2"/>
        <v>441.55575221238939</v>
      </c>
      <c r="E148" s="8">
        <f ca="1">Kompilirano!AA149</f>
        <v>99791.6</v>
      </c>
      <c r="F148" s="7">
        <f ca="1">Kompilirano!P149</f>
        <v>108</v>
      </c>
      <c r="G148" s="8">
        <f ca="1">Kompilirano!AJ149</f>
        <v>24574.2</v>
      </c>
      <c r="H148" s="6">
        <f ca="1">Kompilirano!AT149</f>
        <v>0.54367699108849554</v>
      </c>
      <c r="I148" s="6">
        <f ca="1">Kompilirano!BD149</f>
        <v>0.52212389380884949</v>
      </c>
      <c r="J148" s="6">
        <f ca="1">Kompilirano!BN149</f>
        <v>5.5391407612944768E-2</v>
      </c>
      <c r="K148" s="6">
        <f ca="1">Kompilirano!BX149</f>
        <v>3.2681406979864311E-2</v>
      </c>
    </row>
    <row r="149" spans="2:11" x14ac:dyDescent="0.25">
      <c r="B149" t="s">
        <v>205</v>
      </c>
      <c r="C149" s="7">
        <f ca="1">Kompilirano!G150</f>
        <v>147</v>
      </c>
      <c r="D149" s="5">
        <f t="shared" ca="1" si="2"/>
        <v>440.6513274336283</v>
      </c>
      <c r="E149" s="8">
        <f ca="1">Kompilirano!AA150</f>
        <v>99587.199999999997</v>
      </c>
      <c r="F149" s="7">
        <f ca="1">Kompilirano!P150</f>
        <v>61.8</v>
      </c>
      <c r="G149" s="8">
        <f ca="1">Kompilirano!AJ150</f>
        <v>39154</v>
      </c>
      <c r="H149" s="6">
        <f ca="1">Kompilirano!AT150</f>
        <v>0.86203097337522139</v>
      </c>
      <c r="I149" s="6">
        <f ca="1">Kompilirano!BD150</f>
        <v>0.72654867275398227</v>
      </c>
      <c r="J149" s="6">
        <f ca="1">Kompilirano!BN150</f>
        <v>8.0334151678765647E-2</v>
      </c>
      <c r="K149" s="6">
        <f ca="1">Kompilirano!BX150</f>
        <v>6.6748362388357879E-2</v>
      </c>
    </row>
    <row r="150" spans="2:11" x14ac:dyDescent="0.25">
      <c r="B150" t="s">
        <v>201</v>
      </c>
      <c r="C150" s="7">
        <f ca="1">Kompilirano!G146</f>
        <v>146.80000000000001</v>
      </c>
      <c r="D150" s="5">
        <f t="shared" ca="1" si="2"/>
        <v>440.61681415929201</v>
      </c>
      <c r="E150" s="8">
        <f ca="1">Kompilirano!AA146</f>
        <v>99579.4</v>
      </c>
      <c r="F150" s="7">
        <f ca="1">Kompilirano!P146</f>
        <v>143</v>
      </c>
      <c r="G150" s="8">
        <f ca="1">Kompilirano!AJ146</f>
        <v>21421</v>
      </c>
      <c r="H150" s="6">
        <f ca="1">Kompilirano!AT146</f>
        <v>0.47178761057522128</v>
      </c>
      <c r="I150" s="6">
        <f ca="1">Kompilirano!BD146</f>
        <v>0.36725663713805312</v>
      </c>
      <c r="J150" s="6">
        <f ca="1">Kompilirano!BN146</f>
        <v>4.7599960746190065E-2</v>
      </c>
      <c r="K150" s="6">
        <f ca="1">Kompilirano!BX146</f>
        <v>1.3152249313574513E-2</v>
      </c>
    </row>
    <row r="151" spans="2:11" x14ac:dyDescent="0.25">
      <c r="B151" t="s">
        <v>206</v>
      </c>
      <c r="C151" s="7">
        <f ca="1">Kompilirano!G151</f>
        <v>146.80000000000001</v>
      </c>
      <c r="D151" s="5">
        <f t="shared" ca="1" si="2"/>
        <v>440.20619469026553</v>
      </c>
      <c r="E151" s="8">
        <f ca="1">Kompilirano!AA151</f>
        <v>99486.6</v>
      </c>
      <c r="F151" s="7">
        <f ca="1">Kompilirano!P151</f>
        <v>65.8</v>
      </c>
      <c r="G151" s="8">
        <f ca="1">Kompilirano!AJ151</f>
        <v>19667.8</v>
      </c>
      <c r="H151" s="6">
        <f ca="1">Kompilirano!AT151</f>
        <v>0.43072566365309728</v>
      </c>
      <c r="I151" s="6">
        <f ca="1">Kompilirano!BD151</f>
        <v>0.70884955770619462</v>
      </c>
      <c r="J151" s="6">
        <f ca="1">Kompilirano!BN151</f>
        <v>3.986216935502794E-2</v>
      </c>
      <c r="K151" s="6">
        <f ca="1">Kompilirano!BX151</f>
        <v>-8.1471900839377789E-3</v>
      </c>
    </row>
    <row r="152" spans="2:11" x14ac:dyDescent="0.25">
      <c r="B152" t="s">
        <v>202</v>
      </c>
      <c r="C152" s="7">
        <f ca="1">Kompilirano!G147</f>
        <v>150.19999999999999</v>
      </c>
      <c r="D152" s="5">
        <f t="shared" ca="1" si="2"/>
        <v>437.3973451327434</v>
      </c>
      <c r="E152" s="8">
        <f ca="1">Kompilirano!AA147</f>
        <v>98851.8</v>
      </c>
      <c r="F152" s="7">
        <f ca="1">Kompilirano!P147</f>
        <v>60.6</v>
      </c>
      <c r="G152" s="8">
        <f ca="1">Kompilirano!AJ147</f>
        <v>39043</v>
      </c>
      <c r="H152" s="6">
        <f ca="1">Kompilirano!AT147</f>
        <v>0.85961504430973457</v>
      </c>
      <c r="I152" s="6">
        <f ca="1">Kompilirano!BD147</f>
        <v>0.73185840706725669</v>
      </c>
      <c r="J152" s="6">
        <f ca="1">Kompilirano!BN147</f>
        <v>8.0109971582400477E-2</v>
      </c>
      <c r="K152" s="6">
        <f ca="1">Kompilirano!BX147</f>
        <v>6.6559665773186408E-2</v>
      </c>
    </row>
    <row r="153" spans="2:11" x14ac:dyDescent="0.25">
      <c r="B153" t="s">
        <v>207</v>
      </c>
      <c r="C153" s="7">
        <f ca="1">Kompilirano!G152</f>
        <v>150.4</v>
      </c>
      <c r="D153" s="5">
        <f t="shared" ca="1" si="2"/>
        <v>436.92123893805308</v>
      </c>
      <c r="E153" s="8">
        <f ca="1">Kompilirano!AA152</f>
        <v>98744.2</v>
      </c>
      <c r="F153" s="7">
        <f ca="1">Kompilirano!P152</f>
        <v>60</v>
      </c>
      <c r="G153" s="8">
        <f ca="1">Kompilirano!AJ152</f>
        <v>38737.199999999997</v>
      </c>
      <c r="H153" s="6">
        <f ca="1">Kompilirano!AT152</f>
        <v>0.85282743374867243</v>
      </c>
      <c r="I153" s="6">
        <f ca="1">Kompilirano!BD152</f>
        <v>0.73451327432389379</v>
      </c>
      <c r="J153" s="6">
        <f ca="1">Kompilirano!BN152</f>
        <v>7.9456951347596921E-2</v>
      </c>
      <c r="K153" s="6">
        <f ca="1">Kompilirano!BX152</f>
        <v>6.5013070562926309E-2</v>
      </c>
    </row>
    <row r="154" spans="2:11" x14ac:dyDescent="0.25">
      <c r="B154" t="s">
        <v>209</v>
      </c>
      <c r="C154" s="7">
        <f ca="1">Kompilirano!G154</f>
        <v>152.19999999999999</v>
      </c>
      <c r="D154" s="5">
        <f t="shared" ca="1" si="2"/>
        <v>435.82389380530969</v>
      </c>
      <c r="E154" s="8">
        <f ca="1">Kompilirano!AA154</f>
        <v>98496.2</v>
      </c>
      <c r="F154" s="7">
        <f ca="1">Kompilirano!P154</f>
        <v>61</v>
      </c>
      <c r="G154" s="8">
        <f ca="1">Kompilirano!AJ154</f>
        <v>39006.400000000001</v>
      </c>
      <c r="H154" s="6">
        <f ca="1">Kompilirano!AT154</f>
        <v>0.85879646004955745</v>
      </c>
      <c r="I154" s="6">
        <f ca="1">Kompilirano!BD154</f>
        <v>0.73008849550619481</v>
      </c>
      <c r="J154" s="6">
        <f ca="1">Kompilirano!BN154</f>
        <v>7.9883580447637575E-2</v>
      </c>
      <c r="K154" s="6">
        <f ca="1">Kompilirano!BX154</f>
        <v>6.5240217605819675E-2</v>
      </c>
    </row>
    <row r="155" spans="2:11" x14ac:dyDescent="0.25">
      <c r="B155" t="s">
        <v>211</v>
      </c>
      <c r="C155" s="7">
        <f ca="1">Kompilirano!G157</f>
        <v>152.80000000000001</v>
      </c>
      <c r="D155" s="5">
        <f t="shared" ca="1" si="2"/>
        <v>434.81681415929205</v>
      </c>
      <c r="E155" s="8">
        <f ca="1">Kompilirano!AA157</f>
        <v>98268.6</v>
      </c>
      <c r="F155" s="7">
        <f ca="1">Kompilirano!P157</f>
        <v>42</v>
      </c>
      <c r="G155" s="8">
        <f ca="1">Kompilirano!AJ157</f>
        <v>41924</v>
      </c>
      <c r="H155" s="6">
        <f ca="1">Kompilirano!AT157</f>
        <v>0.92311946890088503</v>
      </c>
      <c r="I155" s="6">
        <f ca="1">Kompilirano!BD157</f>
        <v>0.81415929220707972</v>
      </c>
      <c r="J155" s="6">
        <f ca="1">Kompilirano!BN157</f>
        <v>8.1840348626865622E-2</v>
      </c>
      <c r="K155" s="6">
        <f ca="1">Kompilirano!BX157</f>
        <v>6.3815990908965808E-2</v>
      </c>
    </row>
    <row r="156" spans="2:11" x14ac:dyDescent="0.25">
      <c r="B156" t="s">
        <v>215</v>
      </c>
      <c r="C156" s="7">
        <f ca="1">Kompilirano!G161</f>
        <v>155</v>
      </c>
      <c r="D156" s="5">
        <f t="shared" ca="1" si="2"/>
        <v>432.80707964601766</v>
      </c>
      <c r="E156" s="8">
        <f ca="1">Kompilirano!AA161</f>
        <v>97814.399999999994</v>
      </c>
      <c r="F156" s="7">
        <f ca="1">Kompilirano!P161</f>
        <v>90</v>
      </c>
      <c r="G156" s="8">
        <f ca="1">Kompilirano!AJ161</f>
        <v>23450.400000000001</v>
      </c>
      <c r="H156" s="6">
        <f ca="1">Kompilirano!AT161</f>
        <v>0.51655309734159283</v>
      </c>
      <c r="I156" s="6">
        <f ca="1">Kompilirano!BD161</f>
        <v>0.60176991165309734</v>
      </c>
      <c r="J156" s="6">
        <f ca="1">Kompilirano!BN161</f>
        <v>4.9574184034219884E-2</v>
      </c>
      <c r="K156" s="6">
        <f ca="1">Kompilirano!BX161</f>
        <v>1.359214225481568E-2</v>
      </c>
    </row>
    <row r="157" spans="2:11" x14ac:dyDescent="0.25">
      <c r="B157" t="s">
        <v>212</v>
      </c>
      <c r="C157" s="7">
        <f ca="1">Kompilirano!G158</f>
        <v>155.4</v>
      </c>
      <c r="D157" s="5">
        <f t="shared" ca="1" si="2"/>
        <v>431.92123893805308</v>
      </c>
      <c r="E157" s="8">
        <f ca="1">Kompilirano!AA158</f>
        <v>97614.2</v>
      </c>
      <c r="F157" s="7">
        <f ca="1">Kompilirano!P158</f>
        <v>101.2</v>
      </c>
      <c r="G157" s="8">
        <f ca="1">Kompilirano!AJ158</f>
        <v>25775.599999999999</v>
      </c>
      <c r="H157" s="6">
        <f ca="1">Kompilirano!AT158</f>
        <v>0.56732300880707975</v>
      </c>
      <c r="I157" s="6">
        <f ca="1">Kompilirano!BD158</f>
        <v>0.5522123894265486</v>
      </c>
      <c r="J157" s="6">
        <f ca="1">Kompilirano!BN158</f>
        <v>5.3420073130590738E-2</v>
      </c>
      <c r="K157" s="6">
        <f ca="1">Kompilirano!BX158</f>
        <v>1.9369985087843475E-2</v>
      </c>
    </row>
    <row r="158" spans="2:11" x14ac:dyDescent="0.25">
      <c r="B158" t="s">
        <v>214</v>
      </c>
      <c r="C158" s="7">
        <f ca="1">Kompilirano!G160</f>
        <v>155.4</v>
      </c>
      <c r="D158" s="5">
        <f t="shared" ca="1" si="2"/>
        <v>431.86283185840711</v>
      </c>
      <c r="E158" s="8">
        <f ca="1">Kompilirano!AA160</f>
        <v>97601</v>
      </c>
      <c r="F158" s="7">
        <f ca="1">Kompilirano!P160</f>
        <v>38.6</v>
      </c>
      <c r="G158" s="8">
        <f ca="1">Kompilirano!AJ160</f>
        <v>41746.400000000001</v>
      </c>
      <c r="H158" s="6">
        <f ca="1">Kompilirano!AT160</f>
        <v>0.92359292031327433</v>
      </c>
      <c r="I158" s="6">
        <f ca="1">Kompilirano!BD160</f>
        <v>0.82920353981592909</v>
      </c>
      <c r="J158" s="6">
        <f ca="1">Kompilirano!BN160</f>
        <v>8.4548021456800543E-2</v>
      </c>
      <c r="K158" s="6">
        <f ca="1">Kompilirano!BX160</f>
        <v>7.3774378437215279E-2</v>
      </c>
    </row>
    <row r="159" spans="2:11" x14ac:dyDescent="0.25">
      <c r="B159" t="s">
        <v>210</v>
      </c>
      <c r="C159" s="7">
        <f ca="1">Kompilirano!G156</f>
        <v>155.6</v>
      </c>
      <c r="D159" s="5">
        <f t="shared" ca="1" si="2"/>
        <v>431.50353982300885</v>
      </c>
      <c r="E159" s="8">
        <f ca="1">Kompilirano!AA156</f>
        <v>97519.8</v>
      </c>
      <c r="F159" s="7">
        <f ca="1">Kompilirano!P156</f>
        <v>117.4</v>
      </c>
      <c r="G159" s="8">
        <f ca="1">Kompilirano!AJ156</f>
        <v>22444.2</v>
      </c>
      <c r="H159" s="6">
        <f ca="1">Kompilirano!AT156</f>
        <v>0.49452212358761061</v>
      </c>
      <c r="I159" s="6">
        <f ca="1">Kompilirano!BD156</f>
        <v>0.48053097333451333</v>
      </c>
      <c r="J159" s="6">
        <f ca="1">Kompilirano!BN156</f>
        <v>4.857484611285217E-2</v>
      </c>
      <c r="K159" s="6">
        <f ca="1">Kompilirano!BX156</f>
        <v>1.2947034291192242E-2</v>
      </c>
    </row>
    <row r="160" spans="2:11" x14ac:dyDescent="0.25">
      <c r="B160" t="s">
        <v>213</v>
      </c>
      <c r="C160" s="7">
        <f ca="1">Kompilirano!G159</f>
        <v>157.80000000000001</v>
      </c>
      <c r="D160" s="5">
        <f t="shared" ca="1" si="2"/>
        <v>430.47345132743362</v>
      </c>
      <c r="E160" s="8">
        <f ca="1">Kompilirano!AA159</f>
        <v>97287</v>
      </c>
      <c r="F160" s="7">
        <f ca="1">Kompilirano!P159</f>
        <v>118.2</v>
      </c>
      <c r="G160" s="8">
        <f ca="1">Kompilirano!AJ159</f>
        <v>14118.6</v>
      </c>
      <c r="H160" s="6">
        <f ca="1">Kompilirano!AT159</f>
        <v>0.31096460166371681</v>
      </c>
      <c r="I160" s="6">
        <f ca="1">Kompilirano!BD159</f>
        <v>0.47699115014336285</v>
      </c>
      <c r="J160" s="6">
        <f ca="1">Kompilirano!BN159</f>
        <v>2.865140526932693E-2</v>
      </c>
      <c r="K160" s="6">
        <f ca="1">Kompilirano!BX159</f>
        <v>-2.5432224322666331E-2</v>
      </c>
    </row>
    <row r="161" spans="2:11" x14ac:dyDescent="0.25">
      <c r="B161" t="s">
        <v>19</v>
      </c>
      <c r="C161" s="7">
        <f ca="1">Kompilirano!G155</f>
        <v>157.19999999999999</v>
      </c>
      <c r="D161" s="5">
        <f t="shared" ca="1" si="2"/>
        <v>430.45309734513273</v>
      </c>
      <c r="E161" s="8">
        <f ca="1">Kompilirano!AA155</f>
        <v>97282.4</v>
      </c>
      <c r="F161" s="7">
        <f ca="1">Kompilirano!P155</f>
        <v>174</v>
      </c>
      <c r="G161" s="8">
        <f ca="1">Kompilirano!AJ155</f>
        <v>16311.2</v>
      </c>
      <c r="H161" s="6">
        <f ca="1">Kompilirano!AT155</f>
        <v>0.36042477886725666</v>
      </c>
      <c r="I161" s="6">
        <f ca="1">Kompilirano!BD155</f>
        <v>0.23008849556283187</v>
      </c>
      <c r="J161" s="6">
        <f ca="1">Kompilirano!BN155</f>
        <v>3.6750267258515143E-2</v>
      </c>
      <c r="K161" s="6">
        <f ca="1">Kompilirano!BX155</f>
        <v>-5.5273898013749921E-3</v>
      </c>
    </row>
    <row r="162" spans="2:11" x14ac:dyDescent="0.25">
      <c r="B162" t="s">
        <v>208</v>
      </c>
      <c r="C162" s="7">
        <f ca="1">Kompilirano!G153</f>
        <v>158</v>
      </c>
      <c r="D162" s="5">
        <f t="shared" ca="1" si="2"/>
        <v>429.83539823008851</v>
      </c>
      <c r="E162" s="8">
        <f ca="1">Kompilirano!AA153</f>
        <v>97142.8</v>
      </c>
      <c r="F162" s="7">
        <f ca="1">Kompilirano!P153</f>
        <v>133.19999999999999</v>
      </c>
      <c r="G162" s="8">
        <f ca="1">Kompilirano!AJ153</f>
        <v>11737.2</v>
      </c>
      <c r="H162" s="6">
        <f ca="1">Kompilirano!AT153</f>
        <v>0.25965044231858403</v>
      </c>
      <c r="I162" s="6">
        <f ca="1">Kompilirano!BD153</f>
        <v>0.41061946905132746</v>
      </c>
      <c r="J162" s="6">
        <f ca="1">Kompilirano!BN153</f>
        <v>2.5770357106058302E-2</v>
      </c>
      <c r="K162" s="6">
        <f ca="1">Kompilirano!BX153</f>
        <v>-2.618745653741613E-2</v>
      </c>
    </row>
    <row r="163" spans="2:11" x14ac:dyDescent="0.25">
      <c r="B163" t="s">
        <v>218</v>
      </c>
      <c r="C163" s="7">
        <f ca="1">Kompilirano!G164</f>
        <v>158.80000000000001</v>
      </c>
      <c r="D163" s="5">
        <f t="shared" ca="1" si="2"/>
        <v>428.19469026548671</v>
      </c>
      <c r="E163" s="8">
        <f ca="1">Kompilirano!AA164</f>
        <v>96772</v>
      </c>
      <c r="F163" s="7">
        <f ca="1">Kompilirano!P164</f>
        <v>128.80000000000001</v>
      </c>
      <c r="G163" s="8">
        <f ca="1">Kompilirano!AJ164</f>
        <v>10329.6</v>
      </c>
      <c r="H163" s="6">
        <f ca="1">Kompilirano!AT164</f>
        <v>0.22432743369911501</v>
      </c>
      <c r="I163" s="6">
        <f ca="1">Kompilirano!BD164</f>
        <v>0.43008849562123891</v>
      </c>
      <c r="J163" s="6">
        <f ca="1">Kompilirano!BN164</f>
        <v>2.0059159692067115E-2</v>
      </c>
      <c r="K163" s="6">
        <f ca="1">Kompilirano!BX164</f>
        <v>-4.4446994213965765E-2</v>
      </c>
    </row>
    <row r="164" spans="2:11" x14ac:dyDescent="0.25">
      <c r="B164" t="s">
        <v>232</v>
      </c>
      <c r="C164" s="7">
        <f ca="1">Kompilirano!G180</f>
        <v>160.19999999999999</v>
      </c>
      <c r="D164" s="5">
        <f t="shared" ca="1" si="2"/>
        <v>427.20442477876105</v>
      </c>
      <c r="E164" s="8">
        <f ca="1">Kompilirano!AA180</f>
        <v>96548.2</v>
      </c>
      <c r="F164" s="7">
        <f ca="1">Kompilirano!P180</f>
        <v>82.6</v>
      </c>
      <c r="G164" s="8">
        <f ca="1">Kompilirano!AJ180</f>
        <v>27680</v>
      </c>
      <c r="H164" s="6">
        <f ca="1">Kompilirano!AT180</f>
        <v>0.60973451307433635</v>
      </c>
      <c r="I164" s="6">
        <f ca="1">Kompilirano!BD180</f>
        <v>0.63451327443539829</v>
      </c>
      <c r="J164" s="6">
        <f ca="1">Kompilirano!BN180</f>
        <v>5.4034355886410992E-2</v>
      </c>
      <c r="K164" s="6">
        <f ca="1">Kompilirano!BX180</f>
        <v>1.3879121186347442E-2</v>
      </c>
    </row>
    <row r="165" spans="2:11" x14ac:dyDescent="0.25">
      <c r="B165" t="s">
        <v>216</v>
      </c>
      <c r="C165" s="7">
        <f ca="1">Kompilirano!G162</f>
        <v>161</v>
      </c>
      <c r="D165" s="5">
        <f t="shared" ca="1" si="2"/>
        <v>426.70265486725663</v>
      </c>
      <c r="E165" s="8">
        <f ca="1">Kompilirano!AA162</f>
        <v>96434.8</v>
      </c>
      <c r="F165" s="7">
        <f ca="1">Kompilirano!P162</f>
        <v>107.6</v>
      </c>
      <c r="G165" s="8">
        <f ca="1">Kompilirano!AJ162</f>
        <v>22503.8</v>
      </c>
      <c r="H165" s="6">
        <f ca="1">Kompilirano!AT162</f>
        <v>0.49787168130796455</v>
      </c>
      <c r="I165" s="6">
        <f ca="1">Kompilirano!BD162</f>
        <v>0.52389380516991157</v>
      </c>
      <c r="J165" s="6">
        <f ca="1">Kompilirano!BN162</f>
        <v>5.1616701049697386E-2</v>
      </c>
      <c r="K165" s="6">
        <f ca="1">Kompilirano!BX162</f>
        <v>2.7556096768758892E-2</v>
      </c>
    </row>
    <row r="166" spans="2:11" x14ac:dyDescent="0.25">
      <c r="B166" t="s">
        <v>220</v>
      </c>
      <c r="C166" s="7">
        <f ca="1">Kompilirano!G166</f>
        <v>162.4</v>
      </c>
      <c r="D166" s="5">
        <f t="shared" ca="1" si="2"/>
        <v>425.73097345132743</v>
      </c>
      <c r="E166" s="8">
        <f ca="1">Kompilirano!AA166</f>
        <v>96215.2</v>
      </c>
      <c r="F166" s="7">
        <f ca="1">Kompilirano!P166</f>
        <v>70.400000000000006</v>
      </c>
      <c r="G166" s="8">
        <f ca="1">Kompilirano!AJ166</f>
        <v>40820.400000000001</v>
      </c>
      <c r="H166" s="6">
        <f ca="1">Kompilirano!AT166</f>
        <v>0.89909734504601757</v>
      </c>
      <c r="I166" s="6">
        <f ca="1">Kompilirano!BD166</f>
        <v>0.68849557514513271</v>
      </c>
      <c r="J166" s="6">
        <f ca="1">Kompilirano!BN166</f>
        <v>8.0790155692349111E-2</v>
      </c>
      <c r="K166" s="6">
        <f ca="1">Kompilirano!BX166</f>
        <v>6.1337608821620912E-2</v>
      </c>
    </row>
    <row r="167" spans="2:11" x14ac:dyDescent="0.25">
      <c r="B167" t="s">
        <v>217</v>
      </c>
      <c r="C167" s="7">
        <f ca="1">Kompilirano!G163</f>
        <v>161.80000000000001</v>
      </c>
      <c r="D167" s="5">
        <f t="shared" ca="1" si="2"/>
        <v>425.43539823008848</v>
      </c>
      <c r="E167" s="8">
        <f ca="1">Kompilirano!AA163</f>
        <v>96148.4</v>
      </c>
      <c r="F167" s="7">
        <f ca="1">Kompilirano!P163</f>
        <v>109.4</v>
      </c>
      <c r="G167" s="8">
        <f ca="1">Kompilirano!AJ163</f>
        <v>22970.6</v>
      </c>
      <c r="H167" s="6">
        <f ca="1">Kompilirano!AT163</f>
        <v>0.50819911522300887</v>
      </c>
      <c r="I167" s="6">
        <f ca="1">Kompilirano!BD163</f>
        <v>0.51592920350442473</v>
      </c>
      <c r="J167" s="6">
        <f ca="1">Kompilirano!BN163</f>
        <v>5.3053551974605206E-2</v>
      </c>
      <c r="K167" s="6">
        <f ca="1">Kompilirano!BX163</f>
        <v>3.0739729254190197E-2</v>
      </c>
    </row>
    <row r="168" spans="2:11" x14ac:dyDescent="0.25">
      <c r="B168" t="s">
        <v>219</v>
      </c>
      <c r="C168" s="7">
        <f ca="1">Kompilirano!G165</f>
        <v>164.6</v>
      </c>
      <c r="D168" s="5">
        <f t="shared" ca="1" si="2"/>
        <v>422.20265486725663</v>
      </c>
      <c r="E168" s="8">
        <f ca="1">Kompilirano!AA165</f>
        <v>95417.8</v>
      </c>
      <c r="F168" s="7">
        <f ca="1">Kompilirano!P165</f>
        <v>96.8</v>
      </c>
      <c r="G168" s="8">
        <f ca="1">Kompilirano!AJ165</f>
        <v>22549.4</v>
      </c>
      <c r="H168" s="6">
        <f ca="1">Kompilirano!AT165</f>
        <v>0.49668141577345126</v>
      </c>
      <c r="I168" s="6">
        <f ca="1">Kompilirano!BD165</f>
        <v>0.57168141578761067</v>
      </c>
      <c r="J168" s="6">
        <f ca="1">Kompilirano!BN165</f>
        <v>4.4650901580206778E-2</v>
      </c>
      <c r="K168" s="6">
        <f ca="1">Kompilirano!BX165</f>
        <v>-3.83128067830941E-4</v>
      </c>
    </row>
    <row r="169" spans="2:11" x14ac:dyDescent="0.25">
      <c r="B169" t="s">
        <v>222</v>
      </c>
      <c r="C169" s="7">
        <f ca="1">Kompilirano!G169</f>
        <v>167</v>
      </c>
      <c r="D169" s="5">
        <f t="shared" ca="1" si="2"/>
        <v>420.61769911504427</v>
      </c>
      <c r="E169" s="8">
        <f ca="1">Kompilirano!AA169</f>
        <v>95059.6</v>
      </c>
      <c r="F169" s="7">
        <f ca="1">Kompilirano!P169</f>
        <v>56.2</v>
      </c>
      <c r="G169" s="8">
        <f ca="1">Kompilirano!AJ169</f>
        <v>34912.400000000001</v>
      </c>
      <c r="H169" s="6">
        <f ca="1">Kompilirano!AT169</f>
        <v>0.76799557534690277</v>
      </c>
      <c r="I169" s="6">
        <f ca="1">Kompilirano!BD169</f>
        <v>0.75132743362831866</v>
      </c>
      <c r="J169" s="6">
        <f ca="1">Kompilirano!BN169</f>
        <v>7.2245377465368715E-2</v>
      </c>
      <c r="K169" s="6">
        <f ca="1">Kompilirano!BX169</f>
        <v>5.3150392101744624E-2</v>
      </c>
    </row>
    <row r="170" spans="2:11" x14ac:dyDescent="0.25">
      <c r="B170" t="s">
        <v>22</v>
      </c>
      <c r="C170" s="7">
        <f ca="1">Kompilirano!G167</f>
        <v>166.6</v>
      </c>
      <c r="D170" s="5">
        <f t="shared" ca="1" si="2"/>
        <v>420.28141592920355</v>
      </c>
      <c r="E170" s="8">
        <f ca="1">Kompilirano!AA167</f>
        <v>94983.6</v>
      </c>
      <c r="F170" s="7">
        <f ca="1">Kompilirano!P167</f>
        <v>149.80000000000001</v>
      </c>
      <c r="G170" s="8">
        <f ca="1">Kompilirano!AJ167</f>
        <v>19777.2</v>
      </c>
      <c r="H170" s="6">
        <f ca="1">Kompilirano!AT167</f>
        <v>0.43669026552920354</v>
      </c>
      <c r="I170" s="6">
        <f ca="1">Kompilirano!BD167</f>
        <v>0.33716814146371682</v>
      </c>
      <c r="J170" s="6">
        <f ca="1">Kompilirano!BN167</f>
        <v>4.4556018148867463E-2</v>
      </c>
      <c r="K170" s="6">
        <f ca="1">Kompilirano!BX167</f>
        <v>9.6661296667933973E-3</v>
      </c>
    </row>
    <row r="171" spans="2:11" x14ac:dyDescent="0.25">
      <c r="B171" t="s">
        <v>226</v>
      </c>
      <c r="C171" s="7">
        <f ca="1">Kompilirano!G173</f>
        <v>169.6</v>
      </c>
      <c r="D171" s="5">
        <f t="shared" ca="1" si="2"/>
        <v>416.90973451327437</v>
      </c>
      <c r="E171" s="8">
        <f ca="1">Kompilirano!AA173</f>
        <v>94221.6</v>
      </c>
      <c r="F171" s="7">
        <f ca="1">Kompilirano!P173</f>
        <v>140.4</v>
      </c>
      <c r="G171" s="8">
        <f ca="1">Kompilirano!AJ173</f>
        <v>21998.799999999999</v>
      </c>
      <c r="H171" s="6">
        <f ca="1">Kompilirano!AT173</f>
        <v>0.48643362816283187</v>
      </c>
      <c r="I171" s="6">
        <f ca="1">Kompilirano!BD173</f>
        <v>0.37876106189026548</v>
      </c>
      <c r="J171" s="6">
        <f ca="1">Kompilirano!BN173</f>
        <v>4.3979694164472331E-2</v>
      </c>
      <c r="K171" s="6">
        <f ca="1">Kompilirano!BX173</f>
        <v>3.8159338976551582E-4</v>
      </c>
    </row>
    <row r="172" spans="2:11" x14ac:dyDescent="0.25">
      <c r="B172" t="s">
        <v>229</v>
      </c>
      <c r="C172" s="7">
        <f ca="1">Kompilirano!G177</f>
        <v>170.6</v>
      </c>
      <c r="D172" s="5">
        <f t="shared" ca="1" si="2"/>
        <v>415.54424778761063</v>
      </c>
      <c r="E172" s="8">
        <f ca="1">Kompilirano!AA177</f>
        <v>93913</v>
      </c>
      <c r="F172" s="7">
        <f ca="1">Kompilirano!P177</f>
        <v>99.2</v>
      </c>
      <c r="G172" s="8">
        <f ca="1">Kompilirano!AJ177</f>
        <v>14891.2</v>
      </c>
      <c r="H172" s="6">
        <f ca="1">Kompilirano!AT177</f>
        <v>0.32507079638938052</v>
      </c>
      <c r="I172" s="6">
        <f ca="1">Kompilirano!BD177</f>
        <v>0.56106194678761057</v>
      </c>
      <c r="J172" s="6">
        <f ca="1">Kompilirano!BN177</f>
        <v>2.9362414634332246E-2</v>
      </c>
      <c r="K172" s="6">
        <f ca="1">Kompilirano!BX177</f>
        <v>-2.4536891989145521E-2</v>
      </c>
    </row>
    <row r="173" spans="2:11" x14ac:dyDescent="0.25">
      <c r="B173" t="s">
        <v>224</v>
      </c>
      <c r="C173" s="7">
        <f ca="1">Kompilirano!G171</f>
        <v>170.2</v>
      </c>
      <c r="D173" s="5">
        <f t="shared" ca="1" si="2"/>
        <v>414.97699115044247</v>
      </c>
      <c r="E173" s="8">
        <f ca="1">Kompilirano!AA171</f>
        <v>93784.8</v>
      </c>
      <c r="F173" s="7">
        <f ca="1">Kompilirano!P171</f>
        <v>104.6</v>
      </c>
      <c r="G173" s="8">
        <f ca="1">Kompilirano!AJ171</f>
        <v>10645.8</v>
      </c>
      <c r="H173" s="6">
        <f ca="1">Kompilirano!AT171</f>
        <v>0.23116814156460178</v>
      </c>
      <c r="I173" s="6">
        <f ca="1">Kompilirano!BD171</f>
        <v>0.53716814161769899</v>
      </c>
      <c r="J173" s="6">
        <f ca="1">Kompilirano!BN171</f>
        <v>2.1493735934903481E-2</v>
      </c>
      <c r="K173" s="6">
        <f ca="1">Kompilirano!BX171</f>
        <v>-3.6352523062101065E-2</v>
      </c>
    </row>
    <row r="174" spans="2:11" x14ac:dyDescent="0.25">
      <c r="B174" t="s">
        <v>225</v>
      </c>
      <c r="C174" s="7">
        <f ca="1">Kompilirano!G172</f>
        <v>171</v>
      </c>
      <c r="D174" s="5">
        <f t="shared" ca="1" si="2"/>
        <v>414.27345132743363</v>
      </c>
      <c r="E174" s="8">
        <f ca="1">Kompilirano!AA172</f>
        <v>93625.8</v>
      </c>
      <c r="F174" s="7">
        <f ca="1">Kompilirano!P172</f>
        <v>116.8</v>
      </c>
      <c r="G174" s="8">
        <f ca="1">Kompilirano!AJ172</f>
        <v>8118.4</v>
      </c>
      <c r="H174" s="6">
        <f ca="1">Kompilirano!AT172</f>
        <v>0.17819469027964602</v>
      </c>
      <c r="I174" s="6">
        <f ca="1">Kompilirano!BD172</f>
        <v>0.48318584048672564</v>
      </c>
      <c r="J174" s="6">
        <f ca="1">Kompilirano!BN172</f>
        <v>1.6429710851423453E-2</v>
      </c>
      <c r="K174" s="6">
        <f ca="1">Kompilirano!BX172</f>
        <v>-4.6208971355103191E-2</v>
      </c>
    </row>
    <row r="175" spans="2:11" x14ac:dyDescent="0.25">
      <c r="B175" t="s">
        <v>221</v>
      </c>
      <c r="C175" s="7">
        <f ca="1">Kompilirano!G168</f>
        <v>171.4</v>
      </c>
      <c r="D175" s="5">
        <f t="shared" ca="1" si="2"/>
        <v>414.01061946902655</v>
      </c>
      <c r="E175" s="8">
        <f ca="1">Kompilirano!AA168</f>
        <v>93566.399999999994</v>
      </c>
      <c r="F175" s="7">
        <f ca="1">Kompilirano!P168</f>
        <v>128.6</v>
      </c>
      <c r="G175" s="8">
        <f ca="1">Kompilirano!AJ168</f>
        <v>20839.400000000001</v>
      </c>
      <c r="H175" s="6">
        <f ca="1">Kompilirano!AT168</f>
        <v>0.46104867261415927</v>
      </c>
      <c r="I175" s="6">
        <f ca="1">Kompilirano!BD168</f>
        <v>0.43097345137345133</v>
      </c>
      <c r="J175" s="6">
        <f ca="1">Kompilirano!BN168</f>
        <v>4.8542912607163126E-2</v>
      </c>
      <c r="K175" s="6">
        <f ca="1">Kompilirano!BX168</f>
        <v>2.2290607283433635E-2</v>
      </c>
    </row>
    <row r="176" spans="2:11" x14ac:dyDescent="0.25">
      <c r="B176" t="s">
        <v>20</v>
      </c>
      <c r="C176" s="7">
        <f ca="1">Kompilirano!G174</f>
        <v>171.8</v>
      </c>
      <c r="D176" s="5">
        <f t="shared" ca="1" si="2"/>
        <v>413.13185840707968</v>
      </c>
      <c r="E176" s="8">
        <f ca="1">Kompilirano!AA174</f>
        <v>93367.8</v>
      </c>
      <c r="F176" s="7">
        <f ca="1">Kompilirano!P174</f>
        <v>174.8</v>
      </c>
      <c r="G176" s="8">
        <f ca="1">Kompilirano!AJ174</f>
        <v>18582.8</v>
      </c>
      <c r="H176" s="6">
        <f ca="1">Kompilirano!AT174</f>
        <v>0.41090265506371682</v>
      </c>
      <c r="I176" s="6">
        <f ca="1">Kompilirano!BD174</f>
        <v>0.22654867251504424</v>
      </c>
      <c r="J176" s="6">
        <f ca="1">Kompilirano!BN174</f>
        <v>4.2179455553419329E-2</v>
      </c>
      <c r="K176" s="6">
        <f ca="1">Kompilirano!BX174</f>
        <v>4.2140893647708176E-3</v>
      </c>
    </row>
    <row r="177" spans="2:11" x14ac:dyDescent="0.25">
      <c r="B177" t="s">
        <v>228</v>
      </c>
      <c r="C177" s="7">
        <f ca="1">Kompilirano!G176</f>
        <v>173.8</v>
      </c>
      <c r="D177" s="5">
        <f t="shared" ca="1" si="2"/>
        <v>411.11858407079649</v>
      </c>
      <c r="E177" s="8">
        <f ca="1">Kompilirano!AA176</f>
        <v>92912.8</v>
      </c>
      <c r="F177" s="7">
        <f ca="1">Kompilirano!P176</f>
        <v>172.8</v>
      </c>
      <c r="G177" s="8">
        <f ca="1">Kompilirano!AJ176</f>
        <v>18404.8</v>
      </c>
      <c r="H177" s="6">
        <f ca="1">Kompilirano!AT176</f>
        <v>0.40682300866725657</v>
      </c>
      <c r="I177" s="6">
        <f ca="1">Kompilirano!BD176</f>
        <v>0.23539823011504427</v>
      </c>
      <c r="J177" s="6">
        <f ca="1">Kompilirano!BN176</f>
        <v>4.1965258330421251E-2</v>
      </c>
      <c r="K177" s="6">
        <f ca="1">Kompilirano!BX176</f>
        <v>4.40317483903826E-3</v>
      </c>
    </row>
    <row r="178" spans="2:11" x14ac:dyDescent="0.25">
      <c r="B178" t="s">
        <v>230</v>
      </c>
      <c r="C178" s="7">
        <f ca="1">Kompilirano!G178</f>
        <v>174.6</v>
      </c>
      <c r="D178" s="5">
        <f t="shared" ca="1" si="2"/>
        <v>410.64336283185838</v>
      </c>
      <c r="E178" s="8">
        <f ca="1">Kompilirano!AA178</f>
        <v>92805.4</v>
      </c>
      <c r="F178" s="7">
        <f ca="1">Kompilirano!P178</f>
        <v>132.19999999999999</v>
      </c>
      <c r="G178" s="8">
        <f ca="1">Kompilirano!AJ178</f>
        <v>20248.599999999999</v>
      </c>
      <c r="H178" s="6">
        <f ca="1">Kompilirano!AT178</f>
        <v>0.44797787604070793</v>
      </c>
      <c r="I178" s="6">
        <f ca="1">Kompilirano!BD178</f>
        <v>0.41504424775575222</v>
      </c>
      <c r="J178" s="6">
        <f ca="1">Kompilirano!BN178</f>
        <v>4.7081218063505868E-2</v>
      </c>
      <c r="K178" s="6">
        <f ca="1">Kompilirano!BX178</f>
        <v>1.9074970230060027E-2</v>
      </c>
    </row>
    <row r="179" spans="2:11" x14ac:dyDescent="0.25">
      <c r="B179" t="s">
        <v>223</v>
      </c>
      <c r="C179" s="7">
        <f ca="1">Kompilirano!G170</f>
        <v>175.2</v>
      </c>
      <c r="D179" s="5">
        <f t="shared" ca="1" si="2"/>
        <v>409.92566371681414</v>
      </c>
      <c r="E179" s="8">
        <f ca="1">Kompilirano!AA170</f>
        <v>92643.199999999997</v>
      </c>
      <c r="F179" s="7">
        <f ca="1">Kompilirano!P170</f>
        <v>147</v>
      </c>
      <c r="G179" s="8">
        <f ca="1">Kompilirano!AJ170</f>
        <v>13879.8</v>
      </c>
      <c r="H179" s="6">
        <f ca="1">Kompilirano!AT170</f>
        <v>0.30610177003185834</v>
      </c>
      <c r="I179" s="6">
        <f ca="1">Kompilirano!BD170</f>
        <v>0.3495575219681416</v>
      </c>
      <c r="J179" s="6">
        <f ca="1">Kompilirano!BN170</f>
        <v>2.9908765622513912E-2</v>
      </c>
      <c r="K179" s="6">
        <f ca="1">Kompilirano!BX170</f>
        <v>-2.2936693223904164E-2</v>
      </c>
    </row>
    <row r="180" spans="2:11" x14ac:dyDescent="0.25">
      <c r="B180" t="s">
        <v>227</v>
      </c>
      <c r="C180" s="7">
        <f ca="1">Kompilirano!G175</f>
        <v>175.8</v>
      </c>
      <c r="D180" s="5">
        <f t="shared" ca="1" si="2"/>
        <v>408.89115044247785</v>
      </c>
      <c r="E180" s="8">
        <f ca="1">Kompilirano!AA175</f>
        <v>92409.4</v>
      </c>
      <c r="F180" s="7">
        <f ca="1">Kompilirano!P175</f>
        <v>174.8</v>
      </c>
      <c r="G180" s="8">
        <f ca="1">Kompilirano!AJ175</f>
        <v>18126.8</v>
      </c>
      <c r="H180" s="6">
        <f ca="1">Kompilirano!AT175</f>
        <v>0.40081858403539827</v>
      </c>
      <c r="I180" s="6">
        <f ca="1">Kompilirano!BD175</f>
        <v>0.2265486725061947</v>
      </c>
      <c r="J180" s="6">
        <f ca="1">Kompilirano!BN175</f>
        <v>4.122141240741907E-2</v>
      </c>
      <c r="K180" s="6">
        <f ca="1">Kompilirano!BX175</f>
        <v>2.3337156440878413E-3</v>
      </c>
    </row>
    <row r="181" spans="2:11" x14ac:dyDescent="0.25">
      <c r="B181" t="s">
        <v>231</v>
      </c>
      <c r="C181" s="7">
        <f ca="1">Kompilirano!G179</f>
        <v>179.4</v>
      </c>
      <c r="D181" s="5">
        <f t="shared" ca="1" si="2"/>
        <v>405.90265486725662</v>
      </c>
      <c r="E181" s="8">
        <f ca="1">Kompilirano!AA179</f>
        <v>91734</v>
      </c>
      <c r="F181" s="7">
        <f ca="1">Kompilirano!P179</f>
        <v>41</v>
      </c>
      <c r="G181" s="8">
        <f ca="1">Kompilirano!AJ179</f>
        <v>43444.800000000003</v>
      </c>
      <c r="H181" s="6">
        <f ca="1">Kompilirano!AT179</f>
        <v>0.95676548673982309</v>
      </c>
      <c r="I181" s="6">
        <f ca="1">Kompilirano!BD179</f>
        <v>0.81858407080707973</v>
      </c>
      <c r="J181" s="6">
        <f ca="1">Kompilirano!BN179</f>
        <v>8.4808631172590715E-2</v>
      </c>
      <c r="K181" s="6">
        <f ca="1">Kompilirano!BX179</f>
        <v>6.7017102692095695E-2</v>
      </c>
    </row>
    <row r="182" spans="2:11" x14ac:dyDescent="0.25">
      <c r="B182" t="s">
        <v>233</v>
      </c>
      <c r="C182" s="7">
        <f ca="1">Kompilirano!G181</f>
        <v>179.8</v>
      </c>
      <c r="D182" s="5">
        <f t="shared" ca="1" si="2"/>
        <v>403.63982300884959</v>
      </c>
      <c r="E182" s="8">
        <f ca="1">Kompilirano!AA181</f>
        <v>91222.6</v>
      </c>
      <c r="F182" s="7">
        <f ca="1">Kompilirano!P181</f>
        <v>136.6</v>
      </c>
      <c r="G182" s="8">
        <f ca="1">Kompilirano!AJ181</f>
        <v>19052</v>
      </c>
      <c r="H182" s="6">
        <f ca="1">Kompilirano!AT181</f>
        <v>0.42150442474690275</v>
      </c>
      <c r="I182" s="6">
        <f ca="1">Kompilirano!BD181</f>
        <v>0.39557522109911508</v>
      </c>
      <c r="J182" s="6">
        <f ca="1">Kompilirano!BN181</f>
        <v>4.464281075587205E-2</v>
      </c>
      <c r="K182" s="6">
        <f ca="1">Kompilirano!BX181</f>
        <v>1.4854713127654498E-2</v>
      </c>
    </row>
    <row r="183" spans="2:11" x14ac:dyDescent="0.25">
      <c r="B183" t="s">
        <v>239</v>
      </c>
      <c r="C183" s="7">
        <f ca="1">Kompilirano!G187</f>
        <v>181</v>
      </c>
      <c r="D183" s="5">
        <f t="shared" ca="1" si="2"/>
        <v>402.97168141592925</v>
      </c>
      <c r="E183" s="8">
        <f ca="1">Kompilirano!AA187</f>
        <v>91071.6</v>
      </c>
      <c r="F183" s="7">
        <f ca="1">Kompilirano!P187</f>
        <v>179.6</v>
      </c>
      <c r="G183" s="8">
        <f ca="1">Kompilirano!AJ187</f>
        <v>9276</v>
      </c>
      <c r="H183" s="6">
        <f ca="1">Kompilirano!AT187</f>
        <v>0.20084070792920355</v>
      </c>
      <c r="I183" s="6">
        <f ca="1">Kompilirano!BD187</f>
        <v>0.20530973444955752</v>
      </c>
      <c r="J183" s="6">
        <f ca="1">Kompilirano!BN187</f>
        <v>2.0302935988527983E-2</v>
      </c>
      <c r="K183" s="6">
        <f ca="1">Kompilirano!BX187</f>
        <v>-4.1052844124539162E-2</v>
      </c>
    </row>
    <row r="184" spans="2:11" x14ac:dyDescent="0.25">
      <c r="B184" t="s">
        <v>238</v>
      </c>
      <c r="C184" s="7">
        <f ca="1">Kompilirano!G186</f>
        <v>181</v>
      </c>
      <c r="D184" s="5">
        <f t="shared" ca="1" si="2"/>
        <v>402.71858407079645</v>
      </c>
      <c r="E184" s="8">
        <f ca="1">Kompilirano!AA186</f>
        <v>91014.399999999994</v>
      </c>
      <c r="F184" s="7">
        <f ca="1">Kompilirano!P186</f>
        <v>180</v>
      </c>
      <c r="G184" s="8">
        <f ca="1">Kompilirano!AJ186</f>
        <v>15535.8</v>
      </c>
      <c r="H184" s="6">
        <f ca="1">Kompilirano!AT186</f>
        <v>0.33930973461592917</v>
      </c>
      <c r="I184" s="6">
        <f ca="1">Kompilirano!BD186</f>
        <v>0.20353982290619471</v>
      </c>
      <c r="J184" s="6">
        <f ca="1">Kompilirano!BN186</f>
        <v>3.6262448476672038E-2</v>
      </c>
      <c r="K184" s="6">
        <f ca="1">Kompilirano!BX186</f>
        <v>-4.2583817349463446E-3</v>
      </c>
    </row>
    <row r="185" spans="2:11" x14ac:dyDescent="0.25">
      <c r="B185" t="s">
        <v>240</v>
      </c>
      <c r="C185" s="7">
        <f ca="1">Kompilirano!G188</f>
        <v>181.4</v>
      </c>
      <c r="D185" s="5">
        <f t="shared" ca="1" si="2"/>
        <v>401.85752212389383</v>
      </c>
      <c r="E185" s="8">
        <f ca="1">Kompilirano!AA188</f>
        <v>90819.8</v>
      </c>
      <c r="F185" s="7">
        <f ca="1">Kompilirano!P188</f>
        <v>162.19999999999999</v>
      </c>
      <c r="G185" s="8">
        <f ca="1">Kompilirano!AJ188</f>
        <v>17595.400000000001</v>
      </c>
      <c r="H185" s="6">
        <f ca="1">Kompilirano!AT188</f>
        <v>0.38927876119646021</v>
      </c>
      <c r="I185" s="6">
        <f ca="1">Kompilirano!BD188</f>
        <v>0.28230088479823012</v>
      </c>
      <c r="J185" s="6">
        <f ca="1">Kompilirano!BN188</f>
        <v>4.0222394876099098E-2</v>
      </c>
      <c r="K185" s="6">
        <f ca="1">Kompilirano!BX188</f>
        <v>2.9785999603861579E-3</v>
      </c>
    </row>
    <row r="186" spans="2:11" x14ac:dyDescent="0.25">
      <c r="B186" t="s">
        <v>243</v>
      </c>
      <c r="C186" s="7">
        <f ca="1">Kompilirano!G191</f>
        <v>183.6</v>
      </c>
      <c r="D186" s="5">
        <f t="shared" ca="1" si="2"/>
        <v>400.73008849557522</v>
      </c>
      <c r="E186" s="8">
        <f ca="1">Kompilirano!AA191</f>
        <v>90565</v>
      </c>
      <c r="F186" s="7">
        <f ca="1">Kompilirano!P191</f>
        <v>42</v>
      </c>
      <c r="G186" s="8">
        <f ca="1">Kompilirano!AJ191</f>
        <v>41692.800000000003</v>
      </c>
      <c r="H186" s="6">
        <f ca="1">Kompilirano!AT191</f>
        <v>0.92240707959292045</v>
      </c>
      <c r="I186" s="6">
        <f ca="1">Kompilirano!BD191</f>
        <v>0.81415929211150428</v>
      </c>
      <c r="J186" s="6">
        <f ca="1">Kompilirano!BN191</f>
        <v>8.4479936883989373E-2</v>
      </c>
      <c r="K186" s="6">
        <f ca="1">Kompilirano!BX191</f>
        <v>7.3709131199665767E-2</v>
      </c>
    </row>
    <row r="187" spans="2:11" x14ac:dyDescent="0.25">
      <c r="B187" t="s">
        <v>236</v>
      </c>
      <c r="C187" s="7">
        <f ca="1">Kompilirano!G184</f>
        <v>183.8</v>
      </c>
      <c r="D187" s="5">
        <f t="shared" ca="1" si="2"/>
        <v>400.55752212389382</v>
      </c>
      <c r="E187" s="8">
        <f ca="1">Kompilirano!AA184</f>
        <v>90526</v>
      </c>
      <c r="F187" s="7">
        <f ca="1">Kompilirano!P184</f>
        <v>81.2</v>
      </c>
      <c r="G187" s="8">
        <f ca="1">Kompilirano!AJ184</f>
        <v>25137.599999999999</v>
      </c>
      <c r="H187" s="6">
        <f ca="1">Kompilirano!AT184</f>
        <v>0.55238938049203534</v>
      </c>
      <c r="I187" s="6">
        <f ca="1">Kompilirano!BD184</f>
        <v>0.64070796452743362</v>
      </c>
      <c r="J187" s="6">
        <f ca="1">Kompilirano!BN184</f>
        <v>5.0802542922690333E-2</v>
      </c>
      <c r="K187" s="6">
        <f ca="1">Kompilirano!BX184</f>
        <v>1.3628699162901497E-2</v>
      </c>
    </row>
    <row r="188" spans="2:11" x14ac:dyDescent="0.25">
      <c r="B188" t="s">
        <v>235</v>
      </c>
      <c r="C188" s="7">
        <f ca="1">Kompilirano!G183</f>
        <v>183.8</v>
      </c>
      <c r="D188" s="5">
        <f t="shared" ca="1" si="2"/>
        <v>400.38938053097343</v>
      </c>
      <c r="E188" s="8">
        <f ca="1">Kompilirano!AA183</f>
        <v>90488</v>
      </c>
      <c r="F188" s="7">
        <f ca="1">Kompilirano!P183</f>
        <v>78.2</v>
      </c>
      <c r="G188" s="8">
        <f ca="1">Kompilirano!AJ183</f>
        <v>34050</v>
      </c>
      <c r="H188" s="6">
        <f ca="1">Kompilirano!AT183</f>
        <v>0.75</v>
      </c>
      <c r="I188" s="6">
        <f ca="1">Kompilirano!BD183</f>
        <v>0.65398230092743359</v>
      </c>
      <c r="J188" s="6">
        <f ca="1">Kompilirano!BN183</f>
        <v>6.7378276474815896E-2</v>
      </c>
      <c r="K188" s="6">
        <f ca="1">Kompilirano!BX183</f>
        <v>3.8380254984623365E-2</v>
      </c>
    </row>
    <row r="189" spans="2:11" x14ac:dyDescent="0.25">
      <c r="B189" t="s">
        <v>237</v>
      </c>
      <c r="C189" s="7">
        <f ca="1">Kompilirano!G185</f>
        <v>185.2</v>
      </c>
      <c r="D189" s="5">
        <f t="shared" ca="1" si="2"/>
        <v>399.38495575221236</v>
      </c>
      <c r="E189" s="8">
        <f ca="1">Kompilirano!AA185</f>
        <v>90261</v>
      </c>
      <c r="F189" s="7">
        <f ca="1">Kompilirano!P185</f>
        <v>72</v>
      </c>
      <c r="G189" s="8">
        <f ca="1">Kompilirano!AJ185</f>
        <v>30418</v>
      </c>
      <c r="H189" s="6">
        <f ca="1">Kompilirano!AT185</f>
        <v>0.67</v>
      </c>
      <c r="I189" s="6">
        <f ca="1">Kompilirano!BD185</f>
        <v>0.68141592904070802</v>
      </c>
      <c r="J189" s="6">
        <f ca="1">Kompilirano!BN185</f>
        <v>6.0191260589502214E-2</v>
      </c>
      <c r="K189" s="6">
        <f ca="1">Kompilirano!BX185</f>
        <v>2.6098573341543883E-2</v>
      </c>
    </row>
    <row r="190" spans="2:11" x14ac:dyDescent="0.25">
      <c r="B190" t="s">
        <v>234</v>
      </c>
      <c r="C190" s="7">
        <f ca="1">Kompilirano!G182</f>
        <v>185.6</v>
      </c>
      <c r="D190" s="5">
        <f t="shared" ca="1" si="2"/>
        <v>398.9858407079646</v>
      </c>
      <c r="E190" s="8">
        <f ca="1">Kompilirano!AA182</f>
        <v>90170.8</v>
      </c>
      <c r="F190" s="7">
        <f ca="1">Kompilirano!P182</f>
        <v>102.2</v>
      </c>
      <c r="G190" s="8">
        <f ca="1">Kompilirano!AJ182</f>
        <v>18659.8</v>
      </c>
      <c r="H190" s="6">
        <f ca="1">Kompilirano!AT182</f>
        <v>0.41122566364070801</v>
      </c>
      <c r="I190" s="6">
        <f ca="1">Kompilirano!BD182</f>
        <v>0.54778761067433623</v>
      </c>
      <c r="J190" s="6">
        <f ca="1">Kompilirano!BN182</f>
        <v>3.8490277939190624E-2</v>
      </c>
      <c r="K190" s="6">
        <f ca="1">Kompilirano!BX182</f>
        <v>-9.8411124444657654E-3</v>
      </c>
    </row>
    <row r="191" spans="2:11" x14ac:dyDescent="0.25">
      <c r="B191" t="s">
        <v>241</v>
      </c>
      <c r="C191" s="7">
        <f ca="1">Kompilirano!G189</f>
        <v>188</v>
      </c>
      <c r="D191" s="5">
        <f t="shared" ca="1" si="2"/>
        <v>396.51238938053098</v>
      </c>
      <c r="E191" s="8">
        <f ca="1">Kompilirano!AA189</f>
        <v>89611.8</v>
      </c>
      <c r="F191" s="7">
        <f ca="1">Kompilirano!P189</f>
        <v>63.8</v>
      </c>
      <c r="G191" s="8">
        <f ca="1">Kompilirano!AJ189</f>
        <v>37909</v>
      </c>
      <c r="H191" s="6">
        <f ca="1">Kompilirano!AT189</f>
        <v>0.83499999999999996</v>
      </c>
      <c r="I191" s="6">
        <f ca="1">Kompilirano!BD189</f>
        <v>0.71769911505840711</v>
      </c>
      <c r="J191" s="6">
        <f ca="1">Kompilirano!BN189</f>
        <v>7.5014481277961703E-2</v>
      </c>
      <c r="K191" s="6">
        <f ca="1">Kompilirano!BX189</f>
        <v>5.1429541355395306E-2</v>
      </c>
    </row>
    <row r="192" spans="2:11" x14ac:dyDescent="0.25">
      <c r="B192" t="s">
        <v>242</v>
      </c>
      <c r="C192" s="7">
        <f ca="1">Kompilirano!G190</f>
        <v>187.6</v>
      </c>
      <c r="D192" s="5">
        <f t="shared" ca="1" si="2"/>
        <v>395.59557522123896</v>
      </c>
      <c r="E192" s="8">
        <f ca="1">Kompilirano!AA190</f>
        <v>89404.6</v>
      </c>
      <c r="F192" s="7">
        <f ca="1">Kompilirano!P190</f>
        <v>120.8</v>
      </c>
      <c r="G192" s="8">
        <f ca="1">Kompilirano!AJ190</f>
        <v>6889.6</v>
      </c>
      <c r="H192" s="6">
        <f ca="1">Kompilirano!AT190</f>
        <v>0.14876548673628315</v>
      </c>
      <c r="I192" s="6">
        <f ca="1">Kompilirano!BD190</f>
        <v>0.46548672578230088</v>
      </c>
      <c r="J192" s="6">
        <f ca="1">Kompilirano!BN190</f>
        <v>1.3584934900651968E-2</v>
      </c>
      <c r="K192" s="6">
        <f ca="1">Kompilirano!BX190</f>
        <v>-5.4683323136040705E-2</v>
      </c>
    </row>
    <row r="193" spans="2:11" x14ac:dyDescent="0.25">
      <c r="B193" t="s">
        <v>244</v>
      </c>
      <c r="C193" s="7">
        <f ca="1">Kompilirano!G192</f>
        <v>189</v>
      </c>
      <c r="D193" s="5">
        <f t="shared" ca="1" si="2"/>
        <v>394.94247787610618</v>
      </c>
      <c r="E193" s="8">
        <f ca="1">Kompilirano!AA192</f>
        <v>89257</v>
      </c>
      <c r="F193" s="7">
        <f ca="1">Kompilirano!P192</f>
        <v>82</v>
      </c>
      <c r="G193" s="8">
        <f ca="1">Kompilirano!AJ192</f>
        <v>21457.4</v>
      </c>
      <c r="H193" s="6">
        <f ca="1">Kompilirano!AT192</f>
        <v>0.47242920342123895</v>
      </c>
      <c r="I193" s="6">
        <f ca="1">Kompilirano!BD192</f>
        <v>0.63716814156637169</v>
      </c>
      <c r="J193" s="6">
        <f ca="1">Kompilirano!BN192</f>
        <v>4.4054373531854041E-2</v>
      </c>
      <c r="K193" s="6">
        <f ca="1">Kompilirano!BX192</f>
        <v>-3.3623023608022798E-4</v>
      </c>
    </row>
    <row r="194" spans="2:11" x14ac:dyDescent="0.25">
      <c r="B194" t="s">
        <v>246</v>
      </c>
      <c r="C194" s="7">
        <f ca="1">Kompilirano!G194</f>
        <v>191</v>
      </c>
      <c r="D194" s="5">
        <f t="shared" ca="1" si="2"/>
        <v>391.89292035398233</v>
      </c>
      <c r="E194" s="8">
        <f ca="1">Kompilirano!AA194</f>
        <v>88567.8</v>
      </c>
      <c r="F194" s="7">
        <f ca="1">Kompilirano!P194</f>
        <v>62.8</v>
      </c>
      <c r="G194" s="8">
        <f ca="1">Kompilirano!AJ194</f>
        <v>30418</v>
      </c>
      <c r="H194" s="6">
        <f ca="1">Kompilirano!AT194</f>
        <v>0.67</v>
      </c>
      <c r="I194" s="6">
        <f ca="1">Kompilirano!BD194</f>
        <v>0.72212389390619458</v>
      </c>
      <c r="J194" s="6">
        <f ca="1">Kompilirano!BN194</f>
        <v>6.0191260589502214E-2</v>
      </c>
      <c r="K194" s="6">
        <f ca="1">Kompilirano!BX194</f>
        <v>2.6098573341543883E-2</v>
      </c>
    </row>
    <row r="195" spans="2:11" x14ac:dyDescent="0.25">
      <c r="B195" t="s">
        <v>245</v>
      </c>
      <c r="C195" s="7">
        <f ca="1">Kompilirano!G193</f>
        <v>191.6</v>
      </c>
      <c r="D195" s="5">
        <f t="shared" ca="1" si="2"/>
        <v>391.34778761061949</v>
      </c>
      <c r="E195" s="8">
        <f ca="1">Kompilirano!AA193</f>
        <v>88444.6</v>
      </c>
      <c r="F195" s="7">
        <f ca="1">Kompilirano!P193</f>
        <v>180.2</v>
      </c>
      <c r="G195" s="8">
        <f ca="1">Kompilirano!AJ193</f>
        <v>762.8</v>
      </c>
      <c r="H195" s="6">
        <f ca="1">Kompilirano!AT193</f>
        <v>1.6805309743362834E-2</v>
      </c>
      <c r="I195" s="6">
        <f ca="1">Kompilirano!BD193</f>
        <v>0.20265486715398229</v>
      </c>
      <c r="J195" s="6">
        <f ca="1">Kompilirano!BN193</f>
        <v>1.5106254838475508E-3</v>
      </c>
      <c r="K195" s="6">
        <f ca="1">Kompilirano!BX193</f>
        <v>-7.4157479552925676E-2</v>
      </c>
    </row>
    <row r="196" spans="2:11" x14ac:dyDescent="0.25">
      <c r="B196" t="s">
        <v>247</v>
      </c>
      <c r="C196" s="7">
        <f ca="1">Kompilirano!G195</f>
        <v>193</v>
      </c>
      <c r="D196" s="5">
        <f t="shared" ref="D196:D259" ca="1" si="3">E196/226</f>
        <v>389.21769911504424</v>
      </c>
      <c r="E196" s="8">
        <f ca="1">Kompilirano!AA195</f>
        <v>87963.199999999997</v>
      </c>
      <c r="F196" s="7">
        <f ca="1">Kompilirano!P195</f>
        <v>85.6</v>
      </c>
      <c r="G196" s="8">
        <f ca="1">Kompilirano!AJ195</f>
        <v>22700</v>
      </c>
      <c r="H196" s="6">
        <f ca="1">Kompilirano!AT195</f>
        <v>0.5</v>
      </c>
      <c r="I196" s="6">
        <f ca="1">Kompilirano!BD195</f>
        <v>0.62123893810973452</v>
      </c>
      <c r="J196" s="6">
        <f ca="1">Kompilirano!BN195</f>
        <v>4.4918851183210609E-2</v>
      </c>
      <c r="K196" s="6">
        <f ca="1">Kompilirano!BX195</f>
        <v>0</v>
      </c>
    </row>
    <row r="197" spans="2:11" x14ac:dyDescent="0.25">
      <c r="B197" t="s">
        <v>248</v>
      </c>
      <c r="C197" s="7">
        <f ca="1">Kompilirano!G196</f>
        <v>193.4</v>
      </c>
      <c r="D197" s="5">
        <f t="shared" ca="1" si="3"/>
        <v>388.70973451327433</v>
      </c>
      <c r="E197" s="8">
        <f ca="1">Kompilirano!AA196</f>
        <v>87848.4</v>
      </c>
      <c r="F197" s="7">
        <f ca="1">Kompilirano!P196</f>
        <v>71.8</v>
      </c>
      <c r="G197" s="8">
        <f ca="1">Kompilirano!AJ196</f>
        <v>36665</v>
      </c>
      <c r="H197" s="6">
        <f ca="1">Kompilirano!AT196</f>
        <v>0.80783185819292025</v>
      </c>
      <c r="I197" s="6">
        <f ca="1">Kompilirano!BD196</f>
        <v>0.68230088484070794</v>
      </c>
      <c r="J197" s="6">
        <f ca="1">Kompilirano!BN196</f>
        <v>6.9671375203113159E-2</v>
      </c>
      <c r="K197" s="6">
        <f ca="1">Kompilirano!BX196</f>
        <v>3.8152613601618021E-2</v>
      </c>
    </row>
    <row r="198" spans="2:11" x14ac:dyDescent="0.25">
      <c r="B198" t="s">
        <v>249</v>
      </c>
      <c r="C198" s="7">
        <f ca="1">Kompilirano!G197</f>
        <v>197.2</v>
      </c>
      <c r="D198" s="5">
        <f t="shared" ca="1" si="3"/>
        <v>384.1</v>
      </c>
      <c r="E198" s="8">
        <f ca="1">Kompilirano!AA197</f>
        <v>86806.6</v>
      </c>
      <c r="F198" s="7">
        <f ca="1">Kompilirano!P197</f>
        <v>188.6</v>
      </c>
      <c r="G198" s="8">
        <f ca="1">Kompilirano!AJ197</f>
        <v>11849.4</v>
      </c>
      <c r="H198" s="6">
        <f ca="1">Kompilirano!AT197</f>
        <v>0.26190265468849561</v>
      </c>
      <c r="I198" s="6">
        <f ca="1">Kompilirano!BD197</f>
        <v>0.16548672557522123</v>
      </c>
      <c r="J198" s="6">
        <f ca="1">Kompilirano!BN197</f>
        <v>2.641542786390046E-2</v>
      </c>
      <c r="K198" s="6">
        <f ca="1">Kompilirano!BX197</f>
        <v>-2.9511238427950011E-2</v>
      </c>
    </row>
    <row r="199" spans="2:11" x14ac:dyDescent="0.25">
      <c r="B199" t="s">
        <v>253</v>
      </c>
      <c r="C199" s="7">
        <f ca="1">Kompilirano!G201</f>
        <v>196.4</v>
      </c>
      <c r="D199" s="5">
        <f t="shared" ca="1" si="3"/>
        <v>382.95309734513273</v>
      </c>
      <c r="E199" s="8">
        <f ca="1">Kompilirano!AA201</f>
        <v>86547.4</v>
      </c>
      <c r="F199" s="7">
        <f ca="1">Kompilirano!P201</f>
        <v>61.2</v>
      </c>
      <c r="G199" s="8">
        <f ca="1">Kompilirano!AJ201</f>
        <v>40860</v>
      </c>
      <c r="H199" s="6">
        <f ca="1">Kompilirano!AT201</f>
        <v>0.9</v>
      </c>
      <c r="I199" s="6">
        <f ca="1">Kompilirano!BD201</f>
        <v>0.72920353991504427</v>
      </c>
      <c r="J199" s="6">
        <f ca="1">Kompilirano!BN201</f>
        <v>8.0853932009779084E-2</v>
      </c>
      <c r="K199" s="6">
        <f ca="1">Kompilirano!BX201</f>
        <v>6.140840781539738E-2</v>
      </c>
    </row>
    <row r="200" spans="2:11" x14ac:dyDescent="0.25">
      <c r="B200" t="s">
        <v>261</v>
      </c>
      <c r="C200" s="7">
        <f ca="1">Kompilirano!G210</f>
        <v>199.8</v>
      </c>
      <c r="D200" s="5">
        <f t="shared" ca="1" si="3"/>
        <v>381.99734513274336</v>
      </c>
      <c r="E200" s="8">
        <f ca="1">Kompilirano!AA210</f>
        <v>86331.4</v>
      </c>
      <c r="F200" s="7">
        <f ca="1">Kompilirano!P210</f>
        <v>77</v>
      </c>
      <c r="G200" s="8">
        <f ca="1">Kompilirano!AJ210</f>
        <v>35914.199999999997</v>
      </c>
      <c r="H200" s="6">
        <f ca="1">Kompilirano!AT210</f>
        <v>0.79133185860353983</v>
      </c>
      <c r="I200" s="6">
        <f ca="1">Kompilirano!BD210</f>
        <v>0.65929203533628322</v>
      </c>
      <c r="J200" s="6">
        <f ca="1">Kompilirano!BN210</f>
        <v>6.8130507933332654E-2</v>
      </c>
      <c r="K200" s="6">
        <f ca="1">Kompilirano!BX210</f>
        <v>3.5822210856838455E-2</v>
      </c>
    </row>
    <row r="201" spans="2:11" x14ac:dyDescent="0.25">
      <c r="B201" t="s">
        <v>254</v>
      </c>
      <c r="C201" s="7">
        <f ca="1">Kompilirano!G202</f>
        <v>198.8</v>
      </c>
      <c r="D201" s="5">
        <f t="shared" ca="1" si="3"/>
        <v>381.88849557522127</v>
      </c>
      <c r="E201" s="8">
        <f ca="1">Kompilirano!AA202</f>
        <v>86306.8</v>
      </c>
      <c r="F201" s="7">
        <f ca="1">Kompilirano!P202</f>
        <v>207.8</v>
      </c>
      <c r="G201" s="8">
        <f ca="1">Kompilirano!AJ202</f>
        <v>871.4</v>
      </c>
      <c r="H201" s="6">
        <f ca="1">Kompilirano!AT202</f>
        <v>1.487610605840708E-2</v>
      </c>
      <c r="I201" s="6">
        <f ca="1">Kompilirano!BD202</f>
        <v>8.0530973387610616E-2</v>
      </c>
      <c r="J201" s="6">
        <f ca="1">Kompilirano!BN202</f>
        <v>8.2312626898180794E-4</v>
      </c>
      <c r="K201" s="6">
        <f ca="1">Kompilirano!BX202</f>
        <v>-7.8225998704111024E-2</v>
      </c>
    </row>
    <row r="202" spans="2:11" x14ac:dyDescent="0.25">
      <c r="B202" t="s">
        <v>252</v>
      </c>
      <c r="C202" s="7">
        <f ca="1">Kompilirano!G200</f>
        <v>198.2</v>
      </c>
      <c r="D202" s="5">
        <f t="shared" ca="1" si="3"/>
        <v>381.73539823008849</v>
      </c>
      <c r="E202" s="8">
        <f ca="1">Kompilirano!AA200</f>
        <v>86272.2</v>
      </c>
      <c r="F202" s="7">
        <f ca="1">Kompilirano!P200</f>
        <v>84.8</v>
      </c>
      <c r="G202" s="8">
        <f ca="1">Kompilirano!AJ200</f>
        <v>22700</v>
      </c>
      <c r="H202" s="6">
        <f ca="1">Kompilirano!AT200</f>
        <v>0.5</v>
      </c>
      <c r="I202" s="6">
        <f ca="1">Kompilirano!BD200</f>
        <v>0.62477876116637165</v>
      </c>
      <c r="J202" s="6">
        <f ca="1">Kompilirano!BN200</f>
        <v>4.4918851183210609E-2</v>
      </c>
      <c r="K202" s="6">
        <f ca="1">Kompilirano!BX200</f>
        <v>0</v>
      </c>
    </row>
    <row r="203" spans="2:11" x14ac:dyDescent="0.25">
      <c r="B203" t="s">
        <v>251</v>
      </c>
      <c r="C203" s="7">
        <f ca="1">Kompilirano!G199</f>
        <v>200</v>
      </c>
      <c r="D203" s="5">
        <f t="shared" ca="1" si="3"/>
        <v>381.03893805309735</v>
      </c>
      <c r="E203" s="8">
        <f ca="1">Kompilirano!AA199</f>
        <v>86114.8</v>
      </c>
      <c r="F203" s="7">
        <f ca="1">Kompilirano!P199</f>
        <v>118</v>
      </c>
      <c r="G203" s="8">
        <f ca="1">Kompilirano!AJ199</f>
        <v>4522.8</v>
      </c>
      <c r="H203" s="6">
        <f ca="1">Kompilirano!AT199</f>
        <v>9.9606194722123897E-2</v>
      </c>
      <c r="I203" s="6">
        <f ca="1">Kompilirano!BD199</f>
        <v>0.47787610614336284</v>
      </c>
      <c r="J203" s="6">
        <f ca="1">Kompilirano!BN199</f>
        <v>8.9376812404498747E-3</v>
      </c>
      <c r="K203" s="6">
        <f ca="1">Kompilirano!BX199</f>
        <v>-6.1494907719805238E-2</v>
      </c>
    </row>
    <row r="204" spans="2:11" x14ac:dyDescent="0.25">
      <c r="B204" t="s">
        <v>250</v>
      </c>
      <c r="C204" s="7">
        <f ca="1">Kompilirano!G198</f>
        <v>203</v>
      </c>
      <c r="D204" s="5">
        <f t="shared" ca="1" si="3"/>
        <v>378.97699115044247</v>
      </c>
      <c r="E204" s="8">
        <f ca="1">Kompilirano!AA198</f>
        <v>85648.8</v>
      </c>
      <c r="F204" s="7">
        <f ca="1">Kompilirano!P198</f>
        <v>72.8</v>
      </c>
      <c r="G204" s="8">
        <f ca="1">Kompilirano!AJ198</f>
        <v>37898.6</v>
      </c>
      <c r="H204" s="6">
        <f ca="1">Kompilirano!AT198</f>
        <v>0.83443805303716823</v>
      </c>
      <c r="I204" s="6">
        <f ca="1">Kompilirano!BD198</f>
        <v>0.67787610608849558</v>
      </c>
      <c r="J204" s="6">
        <f ca="1">Kompilirano!BN198</f>
        <v>7.164759681030082E-2</v>
      </c>
      <c r="K204" s="6">
        <f ca="1">Kompilirano!BX198</f>
        <v>3.9832960762626705E-2</v>
      </c>
    </row>
    <row r="205" spans="2:11" x14ac:dyDescent="0.25">
      <c r="B205" t="s">
        <v>256</v>
      </c>
      <c r="C205" s="7">
        <f ca="1">Kompilirano!G204</f>
        <v>204.6</v>
      </c>
      <c r="D205" s="5">
        <f t="shared" ca="1" si="3"/>
        <v>378.8345132743363</v>
      </c>
      <c r="E205" s="8">
        <f ca="1">Kompilirano!AA204</f>
        <v>85616.6</v>
      </c>
      <c r="F205" s="7">
        <f ca="1">Kompilirano!P204</f>
        <v>188</v>
      </c>
      <c r="G205" s="8">
        <f ca="1">Kompilirano!AJ204</f>
        <v>11745.6</v>
      </c>
      <c r="H205" s="6">
        <f ca="1">Kompilirano!AT204</f>
        <v>0.25971238944955755</v>
      </c>
      <c r="I205" s="6">
        <f ca="1">Kompilirano!BD204</f>
        <v>0.16814159287964603</v>
      </c>
      <c r="J205" s="6">
        <f ca="1">Kompilirano!BN204</f>
        <v>2.6505913690697415E-2</v>
      </c>
      <c r="K205" s="6">
        <f ca="1">Kompilirano!BX204</f>
        <v>-2.828318667582596E-2</v>
      </c>
    </row>
    <row r="206" spans="2:11" x14ac:dyDescent="0.25">
      <c r="B206" t="s">
        <v>255</v>
      </c>
      <c r="C206" s="7">
        <f ca="1">Kompilirano!G203</f>
        <v>205</v>
      </c>
      <c r="D206" s="5">
        <f t="shared" ca="1" si="3"/>
        <v>378.01858407079646</v>
      </c>
      <c r="E206" s="8">
        <f ca="1">Kompilirano!AA203</f>
        <v>85432.2</v>
      </c>
      <c r="F206" s="7">
        <f ca="1">Kompilirano!P203</f>
        <v>72</v>
      </c>
      <c r="G206" s="8">
        <f ca="1">Kompilirano!AJ203</f>
        <v>22700</v>
      </c>
      <c r="H206" s="6">
        <f ca="1">Kompilirano!AT203</f>
        <v>0.5</v>
      </c>
      <c r="I206" s="6">
        <f ca="1">Kompilirano!BD203</f>
        <v>0.68141592919292027</v>
      </c>
      <c r="J206" s="6">
        <f ca="1">Kompilirano!BN203</f>
        <v>4.4918851183210609E-2</v>
      </c>
      <c r="K206" s="6">
        <f ca="1">Kompilirano!BX203</f>
        <v>0</v>
      </c>
    </row>
    <row r="207" spans="2:11" x14ac:dyDescent="0.25">
      <c r="B207" t="s">
        <v>270</v>
      </c>
      <c r="C207" s="7">
        <f ca="1">Kompilirano!G220</f>
        <v>205.8</v>
      </c>
      <c r="D207" s="5">
        <f t="shared" ca="1" si="3"/>
        <v>377.84336283185843</v>
      </c>
      <c r="E207" s="8">
        <f ca="1">Kompilirano!AA220</f>
        <v>85392.6</v>
      </c>
      <c r="F207" s="7">
        <f ca="1">Kompilirano!P220</f>
        <v>88.6</v>
      </c>
      <c r="G207" s="8">
        <f ca="1">Kompilirano!AJ220</f>
        <v>16537.8</v>
      </c>
      <c r="H207" s="6">
        <f ca="1">Kompilirano!AT220</f>
        <v>0.36367699128141601</v>
      </c>
      <c r="I207" s="6">
        <f ca="1">Kompilirano!BD220</f>
        <v>0.60796460201415936</v>
      </c>
      <c r="J207" s="6">
        <f ca="1">Kompilirano!BN220</f>
        <v>3.1441550045887348E-2</v>
      </c>
      <c r="K207" s="6">
        <f ca="1">Kompilirano!BX220</f>
        <v>-2.2595505135506316E-2</v>
      </c>
    </row>
    <row r="208" spans="2:11" x14ac:dyDescent="0.25">
      <c r="B208" t="s">
        <v>266</v>
      </c>
      <c r="C208" s="7">
        <f ca="1">Kompilirano!G215</f>
        <v>206.4</v>
      </c>
      <c r="D208" s="5">
        <f t="shared" ca="1" si="3"/>
        <v>377.53185840707965</v>
      </c>
      <c r="E208" s="8">
        <f ca="1">Kompilirano!AA215</f>
        <v>85322.2</v>
      </c>
      <c r="F208" s="7">
        <f ca="1">Kompilirano!P215</f>
        <v>70</v>
      </c>
      <c r="G208" s="8">
        <f ca="1">Kompilirano!AJ215</f>
        <v>22700</v>
      </c>
      <c r="H208" s="6">
        <f ca="1">Kompilirano!AT215</f>
        <v>0.5</v>
      </c>
      <c r="I208" s="6">
        <f ca="1">Kompilirano!BD215</f>
        <v>0.69026548649734509</v>
      </c>
      <c r="J208" s="6">
        <f ca="1">Kompilirano!BN215</f>
        <v>4.4918851183210609E-2</v>
      </c>
      <c r="K208" s="6">
        <f ca="1">Kompilirano!BX215</f>
        <v>0</v>
      </c>
    </row>
    <row r="209" spans="2:11" x14ac:dyDescent="0.25">
      <c r="B209" t="s">
        <v>21</v>
      </c>
      <c r="C209" s="7">
        <f ca="1">Kompilirano!G208</f>
        <v>208.8</v>
      </c>
      <c r="D209" s="5">
        <f t="shared" ca="1" si="3"/>
        <v>376.25929203539823</v>
      </c>
      <c r="E209" s="8">
        <f ca="1">Kompilirano!AA208</f>
        <v>85034.6</v>
      </c>
      <c r="F209" s="7">
        <f ca="1">Kompilirano!P208</f>
        <v>78.599999999999994</v>
      </c>
      <c r="G209" s="8">
        <f ca="1">Kompilirano!AJ208</f>
        <v>22648.6</v>
      </c>
      <c r="H209" s="6">
        <f ca="1">Kompilirano!AT208</f>
        <v>0.49881858406902657</v>
      </c>
      <c r="I209" s="6">
        <f ca="1">Kompilirano!BD208</f>
        <v>0.6522123892707965</v>
      </c>
      <c r="J209" s="6">
        <f ca="1">Kompilirano!BN208</f>
        <v>4.4746320924701044E-2</v>
      </c>
      <c r="K209" s="6">
        <f ca="1">Kompilirano!BX208</f>
        <v>-5.2193892909342546E-4</v>
      </c>
    </row>
    <row r="210" spans="2:11" x14ac:dyDescent="0.25">
      <c r="B210" t="s">
        <v>259</v>
      </c>
      <c r="C210" s="7">
        <f ca="1">Kompilirano!G207</f>
        <v>209.4</v>
      </c>
      <c r="D210" s="5">
        <f t="shared" ca="1" si="3"/>
        <v>376.14247787610617</v>
      </c>
      <c r="E210" s="8">
        <f ca="1">Kompilirano!AA207</f>
        <v>85008.2</v>
      </c>
      <c r="F210" s="7">
        <f ca="1">Kompilirano!P207</f>
        <v>179</v>
      </c>
      <c r="G210" s="8">
        <f ca="1">Kompilirano!AJ207</f>
        <v>4435</v>
      </c>
      <c r="H210" s="6">
        <f ca="1">Kompilirano!AT207</f>
        <v>9.3716814237168156E-2</v>
      </c>
      <c r="I210" s="6">
        <f ca="1">Kompilirano!BD207</f>
        <v>0.20796460195398231</v>
      </c>
      <c r="J210" s="6">
        <f ca="1">Kompilirano!BN207</f>
        <v>9.065336788746603E-3</v>
      </c>
      <c r="K210" s="6">
        <f ca="1">Kompilirano!BX207</f>
        <v>-6.3184579917517511E-2</v>
      </c>
    </row>
    <row r="211" spans="2:11" x14ac:dyDescent="0.25">
      <c r="B211" t="s">
        <v>257</v>
      </c>
      <c r="C211" s="7">
        <f ca="1">Kompilirano!G205</f>
        <v>209.6</v>
      </c>
      <c r="D211" s="5">
        <f t="shared" ca="1" si="3"/>
        <v>375.96017699115043</v>
      </c>
      <c r="E211" s="8">
        <f ca="1">Kompilirano!AA205</f>
        <v>84967</v>
      </c>
      <c r="F211" s="7">
        <f ca="1">Kompilirano!P205</f>
        <v>83</v>
      </c>
      <c r="G211" s="8">
        <f ca="1">Kompilirano!AJ205</f>
        <v>26238.799999999999</v>
      </c>
      <c r="H211" s="6">
        <f ca="1">Kompilirano!AT205</f>
        <v>0.57619026571858412</v>
      </c>
      <c r="I211" s="6">
        <f ca="1">Kompilirano!BD205</f>
        <v>0.63274336281415933</v>
      </c>
      <c r="J211" s="6">
        <f ca="1">Kompilirano!BN205</f>
        <v>5.3641456379953142E-2</v>
      </c>
      <c r="K211" s="6">
        <f ca="1">Kompilirano!BX205</f>
        <v>1.1966356805167194E-2</v>
      </c>
    </row>
    <row r="212" spans="2:11" x14ac:dyDescent="0.25">
      <c r="B212" t="s">
        <v>263</v>
      </c>
      <c r="C212" s="7">
        <f ca="1">Kompilirano!G212</f>
        <v>210.4</v>
      </c>
      <c r="D212" s="5">
        <f t="shared" ca="1" si="3"/>
        <v>375.92654867256635</v>
      </c>
      <c r="E212" s="8">
        <f ca="1">Kompilirano!AA212</f>
        <v>84959.4</v>
      </c>
      <c r="F212" s="7">
        <f ca="1">Kompilirano!P212</f>
        <v>210.8</v>
      </c>
      <c r="G212" s="8">
        <f ca="1">Kompilirano!AJ212</f>
        <v>3693.2</v>
      </c>
      <c r="H212" s="6">
        <f ca="1">Kompilirano!AT212</f>
        <v>8.1707964681415932E-2</v>
      </c>
      <c r="I212" s="6">
        <f ca="1">Kompilirano!BD212</f>
        <v>6.725663693097346E-2</v>
      </c>
      <c r="J212" s="6">
        <f ca="1">Kompilirano!BN212</f>
        <v>9.2877160504755054E-3</v>
      </c>
      <c r="K212" s="6">
        <f ca="1">Kompilirano!BX212</f>
        <v>-5.6582240220985382E-2</v>
      </c>
    </row>
    <row r="213" spans="2:11" x14ac:dyDescent="0.25">
      <c r="B213" t="s">
        <v>269</v>
      </c>
      <c r="C213" s="7">
        <f ca="1">Kompilirano!G219</f>
        <v>210.6</v>
      </c>
      <c r="D213" s="5">
        <f t="shared" ca="1" si="3"/>
        <v>375.3486725663717</v>
      </c>
      <c r="E213" s="8">
        <f ca="1">Kompilirano!AA219</f>
        <v>84828.800000000003</v>
      </c>
      <c r="F213" s="7">
        <f ca="1">Kompilirano!P219</f>
        <v>172.4</v>
      </c>
      <c r="G213" s="8">
        <f ca="1">Kompilirano!AJ219</f>
        <v>4107</v>
      </c>
      <c r="H213" s="6">
        <f ca="1">Kompilirano!AT219</f>
        <v>8.6504424679646016E-2</v>
      </c>
      <c r="I213" s="6">
        <f ca="1">Kompilirano!BD219</f>
        <v>0.23716814166725664</v>
      </c>
      <c r="J213" s="6">
        <f ca="1">Kompilirano!BN219</f>
        <v>7.9621198505287396E-3</v>
      </c>
      <c r="K213" s="6">
        <f ca="1">Kompilirano!BX219</f>
        <v>-6.5334524825719137E-2</v>
      </c>
    </row>
    <row r="214" spans="2:11" x14ac:dyDescent="0.25">
      <c r="B214" t="s">
        <v>23</v>
      </c>
      <c r="C214" s="7">
        <f ca="1">Kompilirano!G218</f>
        <v>211.2</v>
      </c>
      <c r="D214" s="5">
        <f t="shared" ca="1" si="3"/>
        <v>374.92920353982299</v>
      </c>
      <c r="E214" s="8">
        <f ca="1">Kompilirano!AA218</f>
        <v>84734</v>
      </c>
      <c r="F214" s="7">
        <f ca="1">Kompilirano!P218</f>
        <v>77.8</v>
      </c>
      <c r="G214" s="8">
        <f ca="1">Kompilirano!AJ218</f>
        <v>22690</v>
      </c>
      <c r="H214" s="6">
        <f ca="1">Kompilirano!AT218</f>
        <v>0.49978761066194693</v>
      </c>
      <c r="I214" s="6">
        <f ca="1">Kompilirano!BD218</f>
        <v>0.65575221227964609</v>
      </c>
      <c r="J214" s="6">
        <f ca="1">Kompilirano!BN218</f>
        <v>4.4911011420852985E-2</v>
      </c>
      <c r="K214" s="6">
        <f ca="1">Kompilirano!BX218</f>
        <v>8.3859289409701687E-5</v>
      </c>
    </row>
    <row r="215" spans="2:11" x14ac:dyDescent="0.25">
      <c r="B215" t="s">
        <v>258</v>
      </c>
      <c r="C215" s="7">
        <f ca="1">Kompilirano!G206</f>
        <v>211.2</v>
      </c>
      <c r="D215" s="5">
        <f t="shared" ca="1" si="3"/>
        <v>374.82477876106191</v>
      </c>
      <c r="E215" s="8">
        <f ca="1">Kompilirano!AA206</f>
        <v>84710.399999999994</v>
      </c>
      <c r="F215" s="7">
        <f ca="1">Kompilirano!P206</f>
        <v>199</v>
      </c>
      <c r="G215" s="8">
        <f ca="1">Kompilirano!AJ206</f>
        <v>7364</v>
      </c>
      <c r="H215" s="6">
        <f ca="1">Kompilirano!AT206</f>
        <v>0.16286283164247789</v>
      </c>
      <c r="I215" s="6">
        <f ca="1">Kompilirano!BD206</f>
        <v>0.11946902665309733</v>
      </c>
      <c r="J215" s="6">
        <f ca="1">Kompilirano!BN206</f>
        <v>1.6138114415819475E-2</v>
      </c>
      <c r="K215" s="6">
        <f ca="1">Kompilirano!BX206</f>
        <v>-4.9824645384274648E-2</v>
      </c>
    </row>
    <row r="216" spans="2:11" x14ac:dyDescent="0.25">
      <c r="B216" t="s">
        <v>268</v>
      </c>
      <c r="C216" s="7">
        <f ca="1">Kompilirano!G217</f>
        <v>212</v>
      </c>
      <c r="D216" s="5">
        <f t="shared" ca="1" si="3"/>
        <v>374.75752212389381</v>
      </c>
      <c r="E216" s="8">
        <f ca="1">Kompilirano!AA217</f>
        <v>84695.2</v>
      </c>
      <c r="F216" s="7">
        <f ca="1">Kompilirano!P217</f>
        <v>105.2</v>
      </c>
      <c r="G216" s="8">
        <f ca="1">Kompilirano!AJ217</f>
        <v>14982</v>
      </c>
      <c r="H216" s="6">
        <f ca="1">Kompilirano!AT217</f>
        <v>0.33</v>
      </c>
      <c r="I216" s="6">
        <f ca="1">Kompilirano!BD217</f>
        <v>0.53451327426548667</v>
      </c>
      <c r="J216" s="6">
        <f ca="1">Kompilirano!BN217</f>
        <v>2.9646441776918997E-2</v>
      </c>
      <c r="K216" s="6">
        <f ca="1">Kompilirano!BX217</f>
        <v>-2.6098573341543883E-2</v>
      </c>
    </row>
    <row r="217" spans="2:11" x14ac:dyDescent="0.25">
      <c r="B217" t="s">
        <v>265</v>
      </c>
      <c r="C217" s="7">
        <f ca="1">Kompilirano!G214</f>
        <v>213.6</v>
      </c>
      <c r="D217" s="5">
        <f t="shared" ca="1" si="3"/>
        <v>374.54778761061948</v>
      </c>
      <c r="E217" s="8">
        <f ca="1">Kompilirano!AA214</f>
        <v>84647.8</v>
      </c>
      <c r="F217" s="7">
        <f ca="1">Kompilirano!P214</f>
        <v>154</v>
      </c>
      <c r="G217" s="8">
        <f ca="1">Kompilirano!AJ214</f>
        <v>3297.6</v>
      </c>
      <c r="H217" s="6">
        <f ca="1">Kompilirano!AT214</f>
        <v>7.2955751982300893E-2</v>
      </c>
      <c r="I217" s="6">
        <f ca="1">Kompilirano!BD214</f>
        <v>0.3185840706637168</v>
      </c>
      <c r="J217" s="6">
        <f ca="1">Kompilirano!BN214</f>
        <v>6.4686753098555667E-3</v>
      </c>
      <c r="K217" s="6">
        <f ca="1">Kompilirano!BX214</f>
        <v>-6.6379352774713046E-2</v>
      </c>
    </row>
    <row r="218" spans="2:11" x14ac:dyDescent="0.25">
      <c r="B218" t="s">
        <v>260</v>
      </c>
      <c r="C218" s="7">
        <f ca="1">Kompilirano!G209</f>
        <v>212.8</v>
      </c>
      <c r="D218" s="5">
        <f t="shared" ca="1" si="3"/>
        <v>374.33097345132745</v>
      </c>
      <c r="E218" s="8">
        <f ca="1">Kompilirano!AA209</f>
        <v>84598.8</v>
      </c>
      <c r="F218" s="7">
        <f ca="1">Kompilirano!P209</f>
        <v>89.8</v>
      </c>
      <c r="G218" s="8">
        <f ca="1">Kompilirano!AJ209</f>
        <v>24537.200000000001</v>
      </c>
      <c r="H218" s="6">
        <f ca="1">Kompilirano!AT209</f>
        <v>0.54285840705840704</v>
      </c>
      <c r="I218" s="6">
        <f ca="1">Kompilirano!BD209</f>
        <v>0.60265486739646013</v>
      </c>
      <c r="J218" s="6">
        <f ca="1">Kompilirano!BN209</f>
        <v>5.0556369582081026E-2</v>
      </c>
      <c r="K218" s="6">
        <f ca="1">Kompilirano!BX209</f>
        <v>1.7768139177381688E-2</v>
      </c>
    </row>
    <row r="219" spans="2:11" x14ac:dyDescent="0.25">
      <c r="B219" t="s">
        <v>264</v>
      </c>
      <c r="C219" s="7">
        <f ca="1">Kompilirano!G213</f>
        <v>213</v>
      </c>
      <c r="D219" s="5">
        <f t="shared" ca="1" si="3"/>
        <v>374.16460176991149</v>
      </c>
      <c r="E219" s="8">
        <f ca="1">Kompilirano!AA213</f>
        <v>84561.2</v>
      </c>
      <c r="F219" s="7">
        <f ca="1">Kompilirano!P213</f>
        <v>82.2</v>
      </c>
      <c r="G219" s="8">
        <f ca="1">Kompilirano!AJ213</f>
        <v>27082.6</v>
      </c>
      <c r="H219" s="6">
        <f ca="1">Kompilirano!AT213</f>
        <v>0.59696017696991155</v>
      </c>
      <c r="I219" s="6">
        <f ca="1">Kompilirano!BD213</f>
        <v>0.63628318586194688</v>
      </c>
      <c r="J219" s="6">
        <f ca="1">Kompilirano!BN213</f>
        <v>5.0186555894618033E-2</v>
      </c>
      <c r="K219" s="6">
        <f ca="1">Kompilirano!BX213</f>
        <v>7.6826289205852837E-3</v>
      </c>
    </row>
    <row r="220" spans="2:11" x14ac:dyDescent="0.25">
      <c r="B220" t="s">
        <v>267</v>
      </c>
      <c r="C220" s="7">
        <f ca="1">Kompilirano!G216</f>
        <v>216</v>
      </c>
      <c r="D220" s="5">
        <f t="shared" ca="1" si="3"/>
        <v>373.33274336283182</v>
      </c>
      <c r="E220" s="8">
        <f ca="1">Kompilirano!AA216</f>
        <v>84373.2</v>
      </c>
      <c r="F220" s="7">
        <f ca="1">Kompilirano!P216</f>
        <v>201.6</v>
      </c>
      <c r="G220" s="8">
        <f ca="1">Kompilirano!AJ216</f>
        <v>5336.2</v>
      </c>
      <c r="H220" s="6">
        <f ca="1">Kompilirano!AT216</f>
        <v>0.11801327419646017</v>
      </c>
      <c r="I220" s="6">
        <f ca="1">Kompilirano!BD216</f>
        <v>0.10796460201415929</v>
      </c>
      <c r="J220" s="6">
        <f ca="1">Kompilirano!BN216</f>
        <v>1.1750097477278129E-2</v>
      </c>
      <c r="K220" s="6">
        <f ca="1">Kompilirano!BX216</f>
        <v>-5.7332867332647711E-2</v>
      </c>
    </row>
    <row r="221" spans="2:11" x14ac:dyDescent="0.25">
      <c r="B221" t="s">
        <v>262</v>
      </c>
      <c r="C221" s="7">
        <f ca="1">Kompilirano!G211</f>
        <v>214.2</v>
      </c>
      <c r="D221" s="5">
        <f t="shared" ca="1" si="3"/>
        <v>373.26194690265487</v>
      </c>
      <c r="E221" s="8">
        <f ca="1">Kompilirano!AA211</f>
        <v>84357.2</v>
      </c>
      <c r="F221" s="7">
        <f ca="1">Kompilirano!P211</f>
        <v>109</v>
      </c>
      <c r="G221" s="8">
        <f ca="1">Kompilirano!AJ211</f>
        <v>13587.4</v>
      </c>
      <c r="H221" s="6">
        <f ca="1">Kompilirano!AT211</f>
        <v>0.29953982303362831</v>
      </c>
      <c r="I221" s="6">
        <f ca="1">Kompilirano!BD211</f>
        <v>0.51769911511327427</v>
      </c>
      <c r="J221" s="6">
        <f ca="1">Kompilirano!BN211</f>
        <v>2.7684305583884305E-2</v>
      </c>
      <c r="K221" s="6">
        <f ca="1">Kompilirano!BX211</f>
        <v>-2.9374914059337915E-2</v>
      </c>
    </row>
    <row r="222" spans="2:11" x14ac:dyDescent="0.25">
      <c r="B222" t="s">
        <v>272</v>
      </c>
      <c r="C222" s="7">
        <f ca="1">Kompilirano!G222</f>
        <v>213.2</v>
      </c>
      <c r="D222" s="5">
        <f t="shared" ca="1" si="3"/>
        <v>372.93716814159291</v>
      </c>
      <c r="E222" s="8">
        <f ca="1">Kompilirano!AA222</f>
        <v>84283.8</v>
      </c>
      <c r="F222" s="7">
        <f ca="1">Kompilirano!P222</f>
        <v>191.6</v>
      </c>
      <c r="G222" s="8">
        <f ca="1">Kompilirano!AJ222</f>
        <v>8854.6</v>
      </c>
      <c r="H222" s="6">
        <f ca="1">Kompilirano!AT222</f>
        <v>0.19582743364955751</v>
      </c>
      <c r="I222" s="6">
        <f ca="1">Kompilirano!BD222</f>
        <v>0.15221238938407081</v>
      </c>
      <c r="J222" s="6">
        <f ca="1">Kompilirano!BN222</f>
        <v>1.9747399650976057E-2</v>
      </c>
      <c r="K222" s="6">
        <f ca="1">Kompilirano!BX222</f>
        <v>-4.2157110655672729E-2</v>
      </c>
    </row>
    <row r="223" spans="2:11" x14ac:dyDescent="0.25">
      <c r="B223" t="s">
        <v>276</v>
      </c>
      <c r="C223" s="7">
        <f ca="1">Kompilirano!G226</f>
        <v>217.6</v>
      </c>
      <c r="D223" s="5">
        <f t="shared" ca="1" si="3"/>
        <v>371.14867256637172</v>
      </c>
      <c r="E223" s="8">
        <f ca="1">Kompilirano!AA226</f>
        <v>83879.600000000006</v>
      </c>
      <c r="F223" s="7">
        <f ca="1">Kompilirano!P226</f>
        <v>202.2</v>
      </c>
      <c r="G223" s="8">
        <f ca="1">Kompilirano!AJ226</f>
        <v>4207.8</v>
      </c>
      <c r="H223" s="6">
        <f ca="1">Kompilirano!AT226</f>
        <v>9.2982300978761062E-2</v>
      </c>
      <c r="I223" s="6">
        <f ca="1">Kompilirano!BD226</f>
        <v>0.10530973434867257</v>
      </c>
      <c r="J223" s="6">
        <f ca="1">Kompilirano!BN226</f>
        <v>9.1209695970939416E-3</v>
      </c>
      <c r="K223" s="6">
        <f ca="1">Kompilirano!BX226</f>
        <v>-6.1698612081827656E-2</v>
      </c>
    </row>
    <row r="224" spans="2:11" x14ac:dyDescent="0.25">
      <c r="B224" t="s">
        <v>271</v>
      </c>
      <c r="C224" s="7">
        <f ca="1">Kompilirano!G221</f>
        <v>219.4</v>
      </c>
      <c r="D224" s="5">
        <f t="shared" ca="1" si="3"/>
        <v>370.56725663716816</v>
      </c>
      <c r="E224" s="8">
        <f ca="1">Kompilirano!AA221</f>
        <v>83748.2</v>
      </c>
      <c r="F224" s="7">
        <f ca="1">Kompilirano!P221</f>
        <v>74.8</v>
      </c>
      <c r="G224" s="8">
        <f ca="1">Kompilirano!AJ221</f>
        <v>27354.400000000001</v>
      </c>
      <c r="H224" s="6">
        <f ca="1">Kompilirano!AT221</f>
        <v>0.60297345126548674</v>
      </c>
      <c r="I224" s="6">
        <f ca="1">Kompilirano!BD221</f>
        <v>0.66902654858407085</v>
      </c>
      <c r="J224" s="6">
        <f ca="1">Kompilirano!BN221</f>
        <v>5.167635334950027E-2</v>
      </c>
      <c r="K224" s="6">
        <f ca="1">Kompilirano!BX221</f>
        <v>1.2686092659854015E-2</v>
      </c>
    </row>
    <row r="225" spans="2:11" x14ac:dyDescent="0.25">
      <c r="B225" t="s">
        <v>273</v>
      </c>
      <c r="C225" s="7">
        <f ca="1">Kompilirano!G223</f>
        <v>222.6</v>
      </c>
      <c r="D225" s="5">
        <f t="shared" ca="1" si="3"/>
        <v>366.73274336283191</v>
      </c>
      <c r="E225" s="8">
        <f ca="1">Kompilirano!AA223</f>
        <v>82881.600000000006</v>
      </c>
      <c r="F225" s="7">
        <f ca="1">Kompilirano!P223</f>
        <v>100.8</v>
      </c>
      <c r="G225" s="8">
        <f ca="1">Kompilirano!AJ223</f>
        <v>18314</v>
      </c>
      <c r="H225" s="6">
        <f ca="1">Kompilirano!AT223</f>
        <v>0.40517699124247786</v>
      </c>
      <c r="I225" s="6">
        <f ca="1">Kompilirano!BD223</f>
        <v>0.55398230067433629</v>
      </c>
      <c r="J225" s="6">
        <f ca="1">Kompilirano!BN223</f>
        <v>3.5511229858848581E-2</v>
      </c>
      <c r="K225" s="6">
        <f ca="1">Kompilirano!BX223</f>
        <v>-9.3256917199875059E-3</v>
      </c>
    </row>
    <row r="226" spans="2:11" x14ac:dyDescent="0.25">
      <c r="B226" t="s">
        <v>274</v>
      </c>
      <c r="C226" s="7">
        <f ca="1">Kompilirano!G224</f>
        <v>222.6</v>
      </c>
      <c r="D226" s="5">
        <f t="shared" ca="1" si="3"/>
        <v>366.51327433628319</v>
      </c>
      <c r="E226" s="8">
        <f ca="1">Kompilirano!AA224</f>
        <v>82832</v>
      </c>
      <c r="F226" s="7">
        <f ca="1">Kompilirano!P224</f>
        <v>72.2</v>
      </c>
      <c r="G226" s="8">
        <f ca="1">Kompilirano!AJ224</f>
        <v>33892.400000000001</v>
      </c>
      <c r="H226" s="6">
        <f ca="1">Kompilirano!AT224</f>
        <v>0.74761946900353971</v>
      </c>
      <c r="I226" s="6">
        <f ca="1">Kompilirano!BD224</f>
        <v>0.68053097338407087</v>
      </c>
      <c r="J226" s="6">
        <f ca="1">Kompilirano!BN224</f>
        <v>6.520602895893654E-2</v>
      </c>
      <c r="K226" s="6">
        <f ca="1">Kompilirano!BX224</f>
        <v>3.2958049519737659E-2</v>
      </c>
    </row>
    <row r="227" spans="2:11" x14ac:dyDescent="0.25">
      <c r="B227" t="s">
        <v>278</v>
      </c>
      <c r="C227" s="7">
        <f ca="1">Kompilirano!G228</f>
        <v>223.2</v>
      </c>
      <c r="D227" s="5">
        <f t="shared" ca="1" si="3"/>
        <v>365.35044247787607</v>
      </c>
      <c r="E227" s="8">
        <f ca="1">Kompilirano!AA228</f>
        <v>82569.2</v>
      </c>
      <c r="F227" s="7">
        <f ca="1">Kompilirano!P228</f>
        <v>78</v>
      </c>
      <c r="G227" s="8">
        <f ca="1">Kompilirano!AJ228</f>
        <v>27522.799999999999</v>
      </c>
      <c r="H227" s="6">
        <f ca="1">Kompilirano!AT228</f>
        <v>0.6066991149415929</v>
      </c>
      <c r="I227" s="6">
        <f ca="1">Kompilirano!BD228</f>
        <v>0.65486725652743361</v>
      </c>
      <c r="J227" s="6">
        <f ca="1">Kompilirano!BN228</f>
        <v>5.1360099500387627E-2</v>
      </c>
      <c r="K227" s="6">
        <f ca="1">Kompilirano!BX228</f>
        <v>1.0098647950992943E-2</v>
      </c>
    </row>
    <row r="228" spans="2:11" x14ac:dyDescent="0.25">
      <c r="B228" t="s">
        <v>277</v>
      </c>
      <c r="C228" s="7">
        <f ca="1">Kompilirano!G227</f>
        <v>223.8</v>
      </c>
      <c r="D228" s="5">
        <f t="shared" ca="1" si="3"/>
        <v>365.10353982300882</v>
      </c>
      <c r="E228" s="8">
        <f ca="1">Kompilirano!AA227</f>
        <v>82513.399999999994</v>
      </c>
      <c r="F228" s="7">
        <f ca="1">Kompilirano!P227</f>
        <v>65.599999999999994</v>
      </c>
      <c r="G228" s="8">
        <f ca="1">Kompilirano!AJ227</f>
        <v>32365.200000000001</v>
      </c>
      <c r="H228" s="6">
        <f ca="1">Kompilirano!AT227</f>
        <v>0.71332300898584067</v>
      </c>
      <c r="I228" s="6">
        <f ca="1">Kompilirano!BD227</f>
        <v>0.7097345133539823</v>
      </c>
      <c r="J228" s="6">
        <f ca="1">Kompilirano!BN227</f>
        <v>6.1092455147440973E-2</v>
      </c>
      <c r="K228" s="6">
        <f ca="1">Kompilirano!BX227</f>
        <v>2.5163368843855644E-2</v>
      </c>
    </row>
    <row r="229" spans="2:11" x14ac:dyDescent="0.25">
      <c r="B229" t="s">
        <v>275</v>
      </c>
      <c r="C229" s="7">
        <f ca="1">Kompilirano!G225</f>
        <v>225.8</v>
      </c>
      <c r="D229" s="5">
        <f t="shared" ca="1" si="3"/>
        <v>361.55840707964603</v>
      </c>
      <c r="E229" s="8">
        <f ca="1">Kompilirano!AA225</f>
        <v>81712.2</v>
      </c>
      <c r="F229" s="7">
        <f ca="1">Kompilirano!P225</f>
        <v>196</v>
      </c>
      <c r="G229" s="8">
        <f ca="1">Kompilirano!AJ225</f>
        <v>3989</v>
      </c>
      <c r="H229" s="6">
        <f ca="1">Kompilirano!AT225</f>
        <v>8.384955750973451E-2</v>
      </c>
      <c r="I229" s="6">
        <f ca="1">Kompilirano!BD225</f>
        <v>0.13274336301415929</v>
      </c>
      <c r="J229" s="6">
        <f ca="1">Kompilirano!BN225</f>
        <v>4.9932593987311296E-3</v>
      </c>
      <c r="K229" s="6">
        <f ca="1">Kompilirano!BX225</f>
        <v>-7.9275563206560359E-2</v>
      </c>
    </row>
    <row r="230" spans="2:11" x14ac:dyDescent="0.25">
      <c r="B230" t="s">
        <v>279</v>
      </c>
      <c r="C230" s="7">
        <f ca="1">Kompilirano!G229</f>
        <v>226.6</v>
      </c>
      <c r="D230" s="5">
        <f t="shared" ca="1" si="3"/>
        <v>359.18584070796459</v>
      </c>
      <c r="E230" s="8">
        <f ca="1">Kompilirano!AA229</f>
        <v>81176</v>
      </c>
      <c r="F230" s="7">
        <f ca="1">Kompilirano!P229</f>
        <v>211</v>
      </c>
      <c r="G230" s="8">
        <f ca="1">Kompilirano!AJ229</f>
        <v>0</v>
      </c>
      <c r="H230" s="6">
        <f ca="1">Kompilirano!AT229</f>
        <v>0</v>
      </c>
      <c r="I230" s="6">
        <f ca="1">Kompilirano!BD229</f>
        <v>6.6371681235398244E-2</v>
      </c>
      <c r="J230" s="6">
        <f ca="1">Kompilirano!BN229</f>
        <v>0</v>
      </c>
      <c r="K230" s="6">
        <f ca="1">Kompilirano!BX229</f>
        <v>-7.6760509569246724E-2</v>
      </c>
    </row>
  </sheetData>
  <sortState xmlns:xlrd2="http://schemas.microsoft.com/office/spreadsheetml/2017/richdata2" ref="B4:K230">
    <sortCondition descending="1" ref="D4:D23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FINAL FINAL</vt:lpstr>
      <vt:lpstr>Kompilirano</vt:lpstr>
      <vt:lpstr>Svi</vt:lpstr>
      <vt:lpstr>Adrese</vt:lpstr>
      <vt:lpstr>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Ognjen Nikolić</dc:creator>
  <cp:lastModifiedBy>Ognjen S. Nikolić</cp:lastModifiedBy>
  <dcterms:created xsi:type="dcterms:W3CDTF">2015-06-05T18:17:20Z</dcterms:created>
  <dcterms:modified xsi:type="dcterms:W3CDTF">2026-02-10T15:25:44Z</dcterms:modified>
</cp:coreProperties>
</file>