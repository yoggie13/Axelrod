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MenjanjeParametara\"/>
    </mc:Choice>
  </mc:AlternateContent>
  <xr:revisionPtr revIDLastSave="0" documentId="13_ncr:1_{CF14C7CB-0810-42A7-BC7F-87F274D6ECE8}" xr6:coauthVersionLast="47" xr6:coauthVersionMax="47" xr10:uidLastSave="{00000000-0000-0000-0000-000000000000}"/>
  <bookViews>
    <workbookView xWindow="-12" yWindow="12852" windowWidth="23256" windowHeight="12456" xr2:uid="{58550815-6177-4A2C-8E11-7ADC84ED8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M4" i="1"/>
  <c r="L4" i="1"/>
  <c r="J4" i="1"/>
  <c r="I4" i="1"/>
  <c r="B5" i="1"/>
  <c r="M5" i="1" s="1"/>
  <c r="B6" i="1" l="1"/>
  <c r="J5" i="1"/>
  <c r="I5" i="1"/>
  <c r="I6" i="1" l="1"/>
  <c r="J6" i="1"/>
  <c r="M6" i="1"/>
  <c r="B7" i="1"/>
  <c r="I7" i="1" l="1"/>
  <c r="J7" i="1"/>
  <c r="M7" i="1"/>
  <c r="B8" i="1"/>
  <c r="B9" i="1" l="1"/>
  <c r="M8" i="1"/>
  <c r="I8" i="1"/>
  <c r="J8" i="1"/>
  <c r="M9" i="1" l="1"/>
  <c r="B10" i="1"/>
  <c r="I9" i="1"/>
  <c r="J9" i="1"/>
  <c r="I10" i="1" l="1"/>
  <c r="B11" i="1"/>
  <c r="M10" i="1"/>
  <c r="J10" i="1"/>
  <c r="I11" i="1" l="1"/>
  <c r="J11" i="1"/>
  <c r="B12" i="1"/>
  <c r="M11" i="1"/>
  <c r="I12" i="1" l="1"/>
  <c r="J12" i="1"/>
  <c r="M12" i="1"/>
  <c r="B13" i="1"/>
  <c r="B14" i="1" l="1"/>
  <c r="M13" i="1"/>
  <c r="I13" i="1"/>
  <c r="J13" i="1"/>
  <c r="B15" i="1" l="1"/>
  <c r="I14" i="1"/>
  <c r="J14" i="1"/>
  <c r="M14" i="1"/>
  <c r="B16" i="1" l="1"/>
  <c r="I15" i="1"/>
  <c r="J15" i="1"/>
  <c r="M15" i="1"/>
  <c r="B17" i="1" l="1"/>
  <c r="I16" i="1"/>
  <c r="J16" i="1"/>
  <c r="M16" i="1"/>
  <c r="M17" i="1" l="1"/>
  <c r="B18" i="1"/>
  <c r="I17" i="1"/>
  <c r="J17" i="1"/>
  <c r="I18" i="1" l="1"/>
  <c r="M18" i="1"/>
  <c r="J18" i="1"/>
</calcChain>
</file>

<file path=xl/sharedStrings.xml><?xml version="1.0" encoding="utf-8"?>
<sst xmlns="http://schemas.openxmlformats.org/spreadsheetml/2006/main" count="13" uniqueCount="13">
  <si>
    <t>T</t>
  </si>
  <si>
    <t>R</t>
  </si>
  <si>
    <t>P</t>
  </si>
  <si>
    <t>S</t>
  </si>
  <si>
    <t>ALLC vs ALLC</t>
  </si>
  <si>
    <t>ALLD vs ALLD</t>
  </si>
  <si>
    <t>ALLD vs ALLC</t>
  </si>
  <si>
    <t>2R</t>
  </si>
  <si>
    <t>T + S</t>
  </si>
  <si>
    <t>PROVERITI KOJI ZD CE FUNKCIONISATI ZA KOJE VREDNOSTI T</t>
  </si>
  <si>
    <t>IZRAČUNATI OČEKIVANE VREDNOSTI</t>
  </si>
  <si>
    <t>Dg'</t>
  </si>
  <si>
    <t>Dr'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</si>
</sst>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B50F-EAA5-40C6-AA2F-489B20DAABA9}">
  <dimension ref="B3:Q18"/>
  <sheetViews>
    <sheetView tabSelected="1" zoomScale="127" workbookViewId="0">
      <selection activeCell="N4" sqref="N4"/>
    </sheetView>
  </sheetViews>
  <sheetFormatPr defaultRowHeight="15" x14ac:dyDescent="0.25"/>
  <cols>
    <col min="7" max="8" width="11.5703125" bestFit="1" customWidth="1"/>
    <col min="9" max="9" width="11.7109375" customWidth="1"/>
    <col min="15" max="15" width="11" bestFit="1" customWidth="1"/>
  </cols>
  <sheetData>
    <row r="3" spans="2:17" x14ac:dyDescent="0.25">
      <c r="B3" t="s">
        <v>0</v>
      </c>
      <c r="C3" t="s">
        <v>1</v>
      </c>
      <c r="D3" t="s">
        <v>2</v>
      </c>
      <c r="E3" t="s">
        <v>3</v>
      </c>
      <c r="G3" t="s">
        <v>4</v>
      </c>
      <c r="H3" t="s">
        <v>5</v>
      </c>
      <c r="I3" t="s">
        <v>6</v>
      </c>
      <c r="J3">
        <v>5050</v>
      </c>
      <c r="L3" t="s">
        <v>7</v>
      </c>
      <c r="M3" t="s">
        <v>8</v>
      </c>
      <c r="N3" t="s">
        <v>11</v>
      </c>
      <c r="O3" t="s">
        <v>12</v>
      </c>
    </row>
    <row r="4" spans="2:17" x14ac:dyDescent="0.25">
      <c r="B4" s="1">
        <v>3</v>
      </c>
      <c r="C4" s="1">
        <v>3</v>
      </c>
      <c r="D4" s="1">
        <v>1</v>
      </c>
      <c r="E4" s="1">
        <v>0</v>
      </c>
      <c r="F4" s="1"/>
      <c r="G4" s="1">
        <v>600</v>
      </c>
      <c r="H4" s="1">
        <v>200</v>
      </c>
      <c r="I4" s="1">
        <f>+B4*200</f>
        <v>600</v>
      </c>
      <c r="J4" s="1">
        <f>100*B4</f>
        <v>300</v>
      </c>
      <c r="K4" s="1"/>
      <c r="L4" s="1">
        <f>2*C4</f>
        <v>6</v>
      </c>
      <c r="M4" s="1">
        <f>B4+E4</f>
        <v>3</v>
      </c>
      <c r="N4">
        <f>(B4-C4)/(B4-D4)</f>
        <v>0</v>
      </c>
      <c r="O4">
        <f>(D4-E4)/(C4-E4)</f>
        <v>0.33333333333333331</v>
      </c>
    </row>
    <row r="5" spans="2:17" x14ac:dyDescent="0.25">
      <c r="B5" s="1">
        <f>+B4+0.5</f>
        <v>3.5</v>
      </c>
      <c r="C5" s="1">
        <v>3</v>
      </c>
      <c r="D5" s="1">
        <v>1</v>
      </c>
      <c r="E5" s="1">
        <v>0</v>
      </c>
      <c r="F5" s="1"/>
      <c r="G5" s="1">
        <v>600</v>
      </c>
      <c r="H5" s="1">
        <v>200</v>
      </c>
      <c r="I5" s="1">
        <f t="shared" ref="I5:I18" si="0">+B5*200</f>
        <v>700</v>
      </c>
      <c r="J5" s="1">
        <f t="shared" ref="J5:J18" si="1">100*B5</f>
        <v>350</v>
      </c>
      <c r="K5" s="1"/>
      <c r="L5" s="1">
        <f t="shared" ref="L5:L18" si="2">2*C5</f>
        <v>6</v>
      </c>
      <c r="M5" s="1">
        <f t="shared" ref="M5:M18" si="3">B5+E5</f>
        <v>3.5</v>
      </c>
      <c r="N5">
        <f t="shared" ref="N5:N18" si="4">(B5-C5)/(B5-D5)</f>
        <v>0.2</v>
      </c>
      <c r="O5">
        <f t="shared" ref="O5:O18" si="5">(D5-E5)/(C5-E5)</f>
        <v>0.33333333333333331</v>
      </c>
    </row>
    <row r="6" spans="2:17" x14ac:dyDescent="0.25">
      <c r="B6" s="1">
        <f t="shared" ref="B6:B17" si="6">+B5+0.5</f>
        <v>4</v>
      </c>
      <c r="C6" s="1">
        <v>3</v>
      </c>
      <c r="D6" s="1">
        <v>1</v>
      </c>
      <c r="E6" s="1">
        <v>0</v>
      </c>
      <c r="F6" s="1"/>
      <c r="G6" s="1">
        <v>600</v>
      </c>
      <c r="H6" s="1">
        <v>200</v>
      </c>
      <c r="I6" s="1">
        <f t="shared" si="0"/>
        <v>800</v>
      </c>
      <c r="J6" s="1">
        <f t="shared" si="1"/>
        <v>400</v>
      </c>
      <c r="K6" s="1"/>
      <c r="L6" s="1">
        <f t="shared" si="2"/>
        <v>6</v>
      </c>
      <c r="M6" s="1">
        <f t="shared" si="3"/>
        <v>4</v>
      </c>
      <c r="N6">
        <f t="shared" si="4"/>
        <v>0.33333333333333331</v>
      </c>
      <c r="O6">
        <f t="shared" si="5"/>
        <v>0.33333333333333331</v>
      </c>
    </row>
    <row r="7" spans="2:17" x14ac:dyDescent="0.25">
      <c r="B7" s="1">
        <f t="shared" si="6"/>
        <v>4.5</v>
      </c>
      <c r="C7" s="1">
        <v>3</v>
      </c>
      <c r="D7" s="1">
        <v>1</v>
      </c>
      <c r="E7" s="1">
        <v>0</v>
      </c>
      <c r="F7" s="1"/>
      <c r="G7" s="1">
        <v>600</v>
      </c>
      <c r="H7" s="1">
        <v>200</v>
      </c>
      <c r="I7" s="1">
        <f t="shared" si="0"/>
        <v>900</v>
      </c>
      <c r="J7" s="1">
        <f t="shared" si="1"/>
        <v>450</v>
      </c>
      <c r="K7" s="1"/>
      <c r="L7" s="1">
        <f t="shared" si="2"/>
        <v>6</v>
      </c>
      <c r="M7" s="1">
        <f t="shared" si="3"/>
        <v>4.5</v>
      </c>
      <c r="N7">
        <f t="shared" si="4"/>
        <v>0.42857142857142855</v>
      </c>
      <c r="O7">
        <f t="shared" si="5"/>
        <v>0.33333333333333331</v>
      </c>
      <c r="Q7" t="s">
        <v>9</v>
      </c>
    </row>
    <row r="8" spans="2:17" x14ac:dyDescent="0.25">
      <c r="B8" s="1">
        <f t="shared" si="6"/>
        <v>5</v>
      </c>
      <c r="C8" s="1">
        <v>3</v>
      </c>
      <c r="D8" s="1">
        <v>1</v>
      </c>
      <c r="E8" s="1">
        <v>0</v>
      </c>
      <c r="F8" s="1"/>
      <c r="G8" s="1">
        <v>600</v>
      </c>
      <c r="H8" s="1">
        <v>200</v>
      </c>
      <c r="I8" s="1">
        <f t="shared" si="0"/>
        <v>1000</v>
      </c>
      <c r="J8" s="1">
        <f t="shared" si="1"/>
        <v>500</v>
      </c>
      <c r="K8" s="1"/>
      <c r="L8" s="1">
        <f t="shared" si="2"/>
        <v>6</v>
      </c>
      <c r="M8" s="1">
        <f t="shared" si="3"/>
        <v>5</v>
      </c>
      <c r="N8">
        <f t="shared" si="4"/>
        <v>0.5</v>
      </c>
      <c r="O8">
        <f t="shared" si="5"/>
        <v>0.33333333333333331</v>
      </c>
      <c r="Q8" t="s">
        <v>10</v>
      </c>
    </row>
    <row r="9" spans="2:17" x14ac:dyDescent="0.25">
      <c r="B9" s="1">
        <f t="shared" si="6"/>
        <v>5.5</v>
      </c>
      <c r="C9" s="1">
        <v>3</v>
      </c>
      <c r="D9" s="1">
        <v>1</v>
      </c>
      <c r="E9" s="1">
        <v>0</v>
      </c>
      <c r="F9" s="1"/>
      <c r="G9" s="1">
        <v>600</v>
      </c>
      <c r="H9" s="1">
        <v>200</v>
      </c>
      <c r="I9" s="1">
        <f t="shared" si="0"/>
        <v>1100</v>
      </c>
      <c r="J9" s="1">
        <f t="shared" si="1"/>
        <v>550</v>
      </c>
      <c r="K9" s="1"/>
      <c r="L9" s="1">
        <f t="shared" si="2"/>
        <v>6</v>
      </c>
      <c r="M9" s="1">
        <f t="shared" si="3"/>
        <v>5.5</v>
      </c>
      <c r="N9">
        <f t="shared" si="4"/>
        <v>0.55555555555555558</v>
      </c>
      <c r="O9">
        <f t="shared" si="5"/>
        <v>0.33333333333333331</v>
      </c>
    </row>
    <row r="10" spans="2:17" x14ac:dyDescent="0.25">
      <c r="B10" s="1">
        <f t="shared" si="6"/>
        <v>6</v>
      </c>
      <c r="C10" s="1">
        <v>3</v>
      </c>
      <c r="D10" s="1">
        <v>1</v>
      </c>
      <c r="E10" s="1">
        <v>0</v>
      </c>
      <c r="F10" s="1"/>
      <c r="G10" s="1">
        <v>600</v>
      </c>
      <c r="H10" s="1">
        <v>200</v>
      </c>
      <c r="I10" s="1">
        <f t="shared" si="0"/>
        <v>1200</v>
      </c>
      <c r="J10" s="1">
        <f t="shared" si="1"/>
        <v>600</v>
      </c>
      <c r="K10" s="1"/>
      <c r="L10" s="1">
        <f t="shared" si="2"/>
        <v>6</v>
      </c>
      <c r="M10" s="1">
        <f t="shared" si="3"/>
        <v>6</v>
      </c>
      <c r="N10">
        <f t="shared" si="4"/>
        <v>0.6</v>
      </c>
      <c r="O10">
        <f t="shared" si="5"/>
        <v>0.33333333333333331</v>
      </c>
    </row>
    <row r="11" spans="2:17" x14ac:dyDescent="0.25">
      <c r="B11">
        <f t="shared" si="6"/>
        <v>6.5</v>
      </c>
      <c r="C11">
        <v>3</v>
      </c>
      <c r="D11">
        <v>1</v>
      </c>
      <c r="E11">
        <v>0</v>
      </c>
      <c r="G11">
        <v>600</v>
      </c>
      <c r="H11">
        <v>200</v>
      </c>
      <c r="I11">
        <f t="shared" si="0"/>
        <v>1300</v>
      </c>
      <c r="J11">
        <f t="shared" si="1"/>
        <v>650</v>
      </c>
      <c r="L11">
        <f t="shared" si="2"/>
        <v>6</v>
      </c>
      <c r="M11">
        <f t="shared" si="3"/>
        <v>6.5</v>
      </c>
      <c r="N11">
        <f t="shared" si="4"/>
        <v>0.63636363636363635</v>
      </c>
      <c r="O11">
        <f t="shared" si="5"/>
        <v>0.33333333333333331</v>
      </c>
    </row>
    <row r="12" spans="2:17" x14ac:dyDescent="0.25">
      <c r="B12">
        <f t="shared" si="6"/>
        <v>7</v>
      </c>
      <c r="C12">
        <v>3</v>
      </c>
      <c r="D12">
        <v>1</v>
      </c>
      <c r="E12">
        <v>0</v>
      </c>
      <c r="G12">
        <v>600</v>
      </c>
      <c r="H12">
        <v>200</v>
      </c>
      <c r="I12">
        <f t="shared" si="0"/>
        <v>1400</v>
      </c>
      <c r="J12">
        <f t="shared" si="1"/>
        <v>700</v>
      </c>
      <c r="L12">
        <f t="shared" si="2"/>
        <v>6</v>
      </c>
      <c r="M12">
        <f t="shared" si="3"/>
        <v>7</v>
      </c>
      <c r="N12">
        <f t="shared" si="4"/>
        <v>0.66666666666666663</v>
      </c>
      <c r="O12">
        <f t="shared" si="5"/>
        <v>0.33333333333333331</v>
      </c>
    </row>
    <row r="13" spans="2:17" x14ac:dyDescent="0.25">
      <c r="B13">
        <f t="shared" si="6"/>
        <v>7.5</v>
      </c>
      <c r="C13">
        <v>3</v>
      </c>
      <c r="D13">
        <v>1</v>
      </c>
      <c r="E13">
        <v>0</v>
      </c>
      <c r="G13">
        <v>600</v>
      </c>
      <c r="H13">
        <v>200</v>
      </c>
      <c r="I13">
        <f t="shared" si="0"/>
        <v>1500</v>
      </c>
      <c r="J13">
        <f t="shared" si="1"/>
        <v>750</v>
      </c>
      <c r="L13">
        <f t="shared" si="2"/>
        <v>6</v>
      </c>
      <c r="M13">
        <f t="shared" si="3"/>
        <v>7.5</v>
      </c>
      <c r="N13">
        <f t="shared" si="4"/>
        <v>0.69230769230769229</v>
      </c>
      <c r="O13">
        <f t="shared" si="5"/>
        <v>0.33333333333333331</v>
      </c>
    </row>
    <row r="14" spans="2:17" x14ac:dyDescent="0.25">
      <c r="B14">
        <f t="shared" si="6"/>
        <v>8</v>
      </c>
      <c r="C14">
        <v>3</v>
      </c>
      <c r="D14">
        <v>1</v>
      </c>
      <c r="E14">
        <v>0</v>
      </c>
      <c r="G14">
        <v>600</v>
      </c>
      <c r="H14">
        <v>200</v>
      </c>
      <c r="I14">
        <f t="shared" si="0"/>
        <v>1600</v>
      </c>
      <c r="J14">
        <f t="shared" si="1"/>
        <v>800</v>
      </c>
      <c r="L14">
        <f t="shared" si="2"/>
        <v>6</v>
      </c>
      <c r="M14">
        <f t="shared" si="3"/>
        <v>8</v>
      </c>
      <c r="N14">
        <f t="shared" si="4"/>
        <v>0.7142857142857143</v>
      </c>
      <c r="O14">
        <f t="shared" si="5"/>
        <v>0.33333333333333331</v>
      </c>
    </row>
    <row r="15" spans="2:17" x14ac:dyDescent="0.25">
      <c r="B15">
        <f t="shared" si="6"/>
        <v>8.5</v>
      </c>
      <c r="C15">
        <v>3</v>
      </c>
      <c r="D15">
        <v>1</v>
      </c>
      <c r="E15">
        <v>0</v>
      </c>
      <c r="G15">
        <v>600</v>
      </c>
      <c r="H15">
        <v>200</v>
      </c>
      <c r="I15">
        <f t="shared" si="0"/>
        <v>1700</v>
      </c>
      <c r="J15">
        <f t="shared" si="1"/>
        <v>850</v>
      </c>
      <c r="L15">
        <f t="shared" si="2"/>
        <v>6</v>
      </c>
      <c r="M15">
        <f t="shared" si="3"/>
        <v>8.5</v>
      </c>
      <c r="N15">
        <f t="shared" si="4"/>
        <v>0.73333333333333328</v>
      </c>
      <c r="O15">
        <f t="shared" si="5"/>
        <v>0.33333333333333331</v>
      </c>
    </row>
    <row r="16" spans="2:17" x14ac:dyDescent="0.25">
      <c r="B16">
        <f t="shared" si="6"/>
        <v>9</v>
      </c>
      <c r="C16">
        <v>3</v>
      </c>
      <c r="D16">
        <v>1</v>
      </c>
      <c r="E16">
        <v>0</v>
      </c>
      <c r="G16">
        <v>600</v>
      </c>
      <c r="H16">
        <v>200</v>
      </c>
      <c r="I16">
        <f t="shared" si="0"/>
        <v>1800</v>
      </c>
      <c r="J16">
        <f t="shared" si="1"/>
        <v>900</v>
      </c>
      <c r="L16">
        <f t="shared" si="2"/>
        <v>6</v>
      </c>
      <c r="M16">
        <f t="shared" si="3"/>
        <v>9</v>
      </c>
      <c r="N16">
        <f t="shared" si="4"/>
        <v>0.75</v>
      </c>
      <c r="O16">
        <f t="shared" si="5"/>
        <v>0.33333333333333331</v>
      </c>
    </row>
    <row r="17" spans="2:15" x14ac:dyDescent="0.25">
      <c r="B17">
        <f t="shared" si="6"/>
        <v>9.5</v>
      </c>
      <c r="C17">
        <v>3</v>
      </c>
      <c r="D17">
        <v>1</v>
      </c>
      <c r="E17">
        <v>0</v>
      </c>
      <c r="G17">
        <v>600</v>
      </c>
      <c r="H17">
        <v>200</v>
      </c>
      <c r="I17">
        <f t="shared" si="0"/>
        <v>1900</v>
      </c>
      <c r="J17">
        <f t="shared" si="1"/>
        <v>950</v>
      </c>
      <c r="L17">
        <f t="shared" si="2"/>
        <v>6</v>
      </c>
      <c r="M17">
        <f t="shared" si="3"/>
        <v>9.5</v>
      </c>
      <c r="N17">
        <f t="shared" si="4"/>
        <v>0.76470588235294112</v>
      </c>
      <c r="O17">
        <f t="shared" si="5"/>
        <v>0.33333333333333331</v>
      </c>
    </row>
    <row r="18" spans="2:15" x14ac:dyDescent="0.25">
      <c r="B18">
        <f>+B17+0.5</f>
        <v>10</v>
      </c>
      <c r="C18">
        <v>3</v>
      </c>
      <c r="D18">
        <v>1</v>
      </c>
      <c r="E18">
        <v>0</v>
      </c>
      <c r="G18">
        <v>600</v>
      </c>
      <c r="H18">
        <v>200</v>
      </c>
      <c r="I18">
        <f t="shared" si="0"/>
        <v>2000</v>
      </c>
      <c r="J18">
        <f t="shared" si="1"/>
        <v>1000</v>
      </c>
      <c r="L18">
        <f t="shared" si="2"/>
        <v>6</v>
      </c>
      <c r="M18">
        <f t="shared" si="3"/>
        <v>10</v>
      </c>
      <c r="N18">
        <f t="shared" si="4"/>
        <v>0.77777777777777779</v>
      </c>
      <c r="O18">
        <f t="shared" si="5"/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S. Nikolić</dc:creator>
  <cp:lastModifiedBy>Ognjen S. Nikolić</cp:lastModifiedBy>
  <dcterms:created xsi:type="dcterms:W3CDTF">2026-02-04T18:23:01Z</dcterms:created>
  <dcterms:modified xsi:type="dcterms:W3CDTF">2026-02-15T19:03:37Z</dcterms:modified>
</cp:coreProperties>
</file>