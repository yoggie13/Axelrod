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njen\axl_mab\Axelrod\mab\notebooks\changedPayoffValues\"/>
    </mc:Choice>
  </mc:AlternateContent>
  <xr:revisionPtr revIDLastSave="0" documentId="13_ncr:1_{16F304EF-4CF4-429F-85D9-C34A82DDED30}" xr6:coauthVersionLast="47" xr6:coauthVersionMax="47" xr10:uidLastSave="{00000000-0000-0000-0000-000000000000}"/>
  <bookViews>
    <workbookView xWindow="-120" yWindow="-120" windowWidth="29040" windowHeight="15720" activeTab="12" xr2:uid="{00000000-000D-0000-FFFF-FFFF00000000}"/>
  </bookViews>
  <sheets>
    <sheet name="FINAL" sheetId="67" r:id="rId1"/>
    <sheet name="T = 5" sheetId="56" r:id="rId2"/>
    <sheet name="T = 5.5" sheetId="59" r:id="rId3"/>
    <sheet name="T = 6" sheetId="57" r:id="rId4"/>
    <sheet name="T = 6.5" sheetId="60" r:id="rId5"/>
    <sheet name="T = 7" sheetId="58" r:id="rId6"/>
    <sheet name="T = 7.5" sheetId="61" r:id="rId7"/>
    <sheet name="T = 8" sheetId="62" r:id="rId8"/>
    <sheet name="T = 8.5" sheetId="63" r:id="rId9"/>
    <sheet name="T = 9" sheetId="64" r:id="rId10"/>
    <sheet name="T = 9.5" sheetId="65" r:id="rId11"/>
    <sheet name="T = 10" sheetId="66" r:id="rId12"/>
    <sheet name="5 (0)" sheetId="1" r:id="rId13"/>
    <sheet name="5 (1)" sheetId="2" r:id="rId14"/>
    <sheet name="5 (2)" sheetId="3" r:id="rId15"/>
    <sheet name="5 (3)" sheetId="4" r:id="rId16"/>
    <sheet name="5 (4)" sheetId="5" r:id="rId17"/>
    <sheet name="5.5 (0)" sheetId="6" r:id="rId18"/>
    <sheet name="5.5 (1)" sheetId="7" r:id="rId19"/>
    <sheet name="5.5 (2)" sheetId="8" r:id="rId20"/>
    <sheet name="5.5 (3)" sheetId="9" r:id="rId21"/>
    <sheet name="5.5 (4)" sheetId="10" r:id="rId22"/>
    <sheet name="6 (0)" sheetId="11" r:id="rId23"/>
    <sheet name="6 (1)" sheetId="12" r:id="rId24"/>
    <sheet name="6 (2)" sheetId="13" r:id="rId25"/>
    <sheet name="6 (3)" sheetId="14" r:id="rId26"/>
    <sheet name="6 (4)" sheetId="15" r:id="rId27"/>
    <sheet name="6.5 (0)" sheetId="16" r:id="rId28"/>
    <sheet name="6.5 (1)" sheetId="17" r:id="rId29"/>
    <sheet name="6.5 (2)" sheetId="18" r:id="rId30"/>
    <sheet name="6.5 (3)" sheetId="19" r:id="rId31"/>
    <sheet name="6.5 (4)" sheetId="20" r:id="rId32"/>
    <sheet name="7 (0)" sheetId="21" r:id="rId33"/>
    <sheet name="7 (1)" sheetId="22" r:id="rId34"/>
    <sheet name="7 (2)" sheetId="23" r:id="rId35"/>
    <sheet name="7 (3)" sheetId="24" r:id="rId36"/>
    <sheet name="7 (4)" sheetId="25" r:id="rId37"/>
    <sheet name="7.5 (0)" sheetId="26" r:id="rId38"/>
    <sheet name="7.5 (1)" sheetId="27" r:id="rId39"/>
    <sheet name="7.5 (2)" sheetId="28" r:id="rId40"/>
    <sheet name="7.5 (3)" sheetId="29" r:id="rId41"/>
    <sheet name="7.5 (4)" sheetId="30" r:id="rId42"/>
    <sheet name="8 (0)" sheetId="31" r:id="rId43"/>
    <sheet name="8 (1)" sheetId="32" r:id="rId44"/>
    <sheet name="8 (2)" sheetId="33" r:id="rId45"/>
    <sheet name="8 (3)" sheetId="34" r:id="rId46"/>
    <sheet name="8 (4)" sheetId="35" r:id="rId47"/>
    <sheet name="8.5 (0)" sheetId="36" r:id="rId48"/>
    <sheet name="8.5 (1)" sheetId="37" r:id="rId49"/>
    <sheet name="8.5 (2)" sheetId="38" r:id="rId50"/>
    <sheet name="8.5 (3)" sheetId="39" r:id="rId51"/>
    <sheet name="8.5 (4)" sheetId="40" r:id="rId52"/>
    <sheet name="9 (0)" sheetId="41" r:id="rId53"/>
    <sheet name="9 (1)" sheetId="42" r:id="rId54"/>
    <sheet name="9 (2)" sheetId="43" r:id="rId55"/>
    <sheet name="9 (3)" sheetId="44" r:id="rId56"/>
    <sheet name="9 (4)" sheetId="45" r:id="rId57"/>
    <sheet name="9.5 (0)" sheetId="46" r:id="rId58"/>
    <sheet name="9.5 (1)" sheetId="47" r:id="rId59"/>
    <sheet name="9.5 (2)" sheetId="48" r:id="rId60"/>
    <sheet name="9.5 (3)" sheetId="49" r:id="rId61"/>
    <sheet name="9.5 (4)" sheetId="50" r:id="rId62"/>
    <sheet name="10 (0)" sheetId="51" r:id="rId63"/>
    <sheet name="10 (1)" sheetId="52" r:id="rId64"/>
    <sheet name="10 (2)" sheetId="53" r:id="rId65"/>
    <sheet name="10 (3)" sheetId="54" r:id="rId66"/>
    <sheet name="10 (4)" sheetId="55" r:id="rId67"/>
  </sheets>
  <calcPr calcId="191029"/>
  <pivotCaches>
    <pivotCache cacheId="0" r:id="rId68"/>
    <pivotCache cacheId="1" r:id="rId6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9" i="67" l="1"/>
  <c r="A70" i="67" s="1"/>
  <c r="A71" i="67" s="1"/>
  <c r="A72" i="67" s="1"/>
  <c r="A73" i="67" s="1"/>
  <c r="A74" i="67" s="1"/>
  <c r="A75" i="67" s="1"/>
  <c r="A76" i="67" s="1"/>
  <c r="A77" i="67" s="1"/>
  <c r="A78" i="67" s="1"/>
  <c r="A58" i="67"/>
  <c r="A59" i="67" s="1"/>
  <c r="A60" i="67" s="1"/>
  <c r="A61" i="67" s="1"/>
  <c r="A62" i="67" s="1"/>
  <c r="A63" i="67" s="1"/>
  <c r="A64" i="67" s="1"/>
  <c r="A65" i="67" s="1"/>
  <c r="A66" i="67" s="1"/>
  <c r="A67" i="67" s="1"/>
  <c r="A47" i="67"/>
  <c r="A48" i="67" s="1"/>
  <c r="A49" i="67" s="1"/>
  <c r="A50" i="67" s="1"/>
  <c r="A51" i="67" s="1"/>
  <c r="A52" i="67" s="1"/>
  <c r="A53" i="67" s="1"/>
  <c r="A54" i="67" s="1"/>
  <c r="A55" i="67" s="1"/>
  <c r="A56" i="67" s="1"/>
  <c r="A36" i="67"/>
  <c r="A37" i="67" s="1"/>
  <c r="A38" i="67" s="1"/>
  <c r="A39" i="67" s="1"/>
  <c r="A40" i="67" s="1"/>
  <c r="A41" i="67" s="1"/>
  <c r="A42" i="67" s="1"/>
  <c r="A43" i="67" s="1"/>
  <c r="A44" i="67" s="1"/>
  <c r="A45" i="67" s="1"/>
  <c r="A25" i="67"/>
  <c r="A26" i="67" s="1"/>
  <c r="A27" i="67" s="1"/>
  <c r="A28" i="67" s="1"/>
  <c r="A29" i="67" s="1"/>
  <c r="A30" i="67" s="1"/>
  <c r="A31" i="67" s="1"/>
  <c r="A32" i="67" s="1"/>
  <c r="A33" i="67" s="1"/>
  <c r="A34" i="67" s="1"/>
  <c r="A14" i="67"/>
  <c r="A15" i="67" s="1"/>
  <c r="A16" i="67" s="1"/>
  <c r="A17" i="67" s="1"/>
  <c r="A18" i="67" s="1"/>
  <c r="A19" i="67" s="1"/>
  <c r="A20" i="67" s="1"/>
  <c r="A21" i="67" s="1"/>
  <c r="A22" i="67" s="1"/>
  <c r="A23" i="67" s="1"/>
  <c r="A3" i="67"/>
  <c r="A4" i="67" s="1"/>
  <c r="A5" i="67" s="1"/>
  <c r="A6" i="67" s="1"/>
  <c r="A7" i="67" s="1"/>
  <c r="A8" i="67" s="1"/>
  <c r="A9" i="67" s="1"/>
  <c r="A10" i="67" s="1"/>
  <c r="A11" i="67" s="1"/>
  <c r="A12" i="67" s="1"/>
  <c r="D5" i="67"/>
  <c r="D69" i="67"/>
  <c r="D133" i="67"/>
  <c r="D34" i="67"/>
  <c r="D44" i="67"/>
  <c r="D46" i="67"/>
  <c r="D110" i="67"/>
  <c r="D49" i="67"/>
  <c r="D43" i="67"/>
  <c r="D7" i="67"/>
  <c r="D71" i="67"/>
  <c r="D135" i="67"/>
  <c r="D26" i="67"/>
  <c r="D131" i="67"/>
  <c r="D32" i="67"/>
  <c r="D96" i="67"/>
  <c r="D160" i="67"/>
  <c r="D11" i="67"/>
  <c r="D164" i="67"/>
  <c r="D42" i="67"/>
  <c r="D68" i="67"/>
  <c r="F13" i="66"/>
  <c r="E14" i="66"/>
  <c r="G14" i="66"/>
  <c r="C3" i="66"/>
  <c r="H10" i="66"/>
  <c r="D2" i="66"/>
  <c r="D16" i="66"/>
  <c r="F5" i="66"/>
  <c r="E8" i="66"/>
  <c r="F12" i="66"/>
  <c r="E15" i="66"/>
  <c r="D15" i="65"/>
  <c r="F2" i="65"/>
  <c r="D6" i="65"/>
  <c r="F8" i="65"/>
  <c r="F15" i="65"/>
  <c r="G10" i="65"/>
  <c r="G5" i="65"/>
  <c r="H9" i="65"/>
  <c r="C12" i="65"/>
  <c r="E15" i="65"/>
  <c r="G2" i="65"/>
  <c r="H16" i="64"/>
  <c r="D7" i="64"/>
  <c r="H3" i="64"/>
  <c r="G6" i="64"/>
  <c r="G9" i="64"/>
  <c r="H11" i="64"/>
  <c r="H14" i="64"/>
  <c r="G13" i="64"/>
  <c r="G15" i="64"/>
  <c r="D16" i="64"/>
  <c r="F5" i="64"/>
  <c r="E8" i="64"/>
  <c r="H9" i="63"/>
  <c r="G16" i="63"/>
  <c r="C6" i="63"/>
  <c r="F5" i="63"/>
  <c r="F12" i="63"/>
  <c r="C7" i="63"/>
  <c r="H15" i="63"/>
  <c r="C16" i="63"/>
  <c r="H14" i="63"/>
  <c r="D3" i="63"/>
  <c r="C8" i="63"/>
  <c r="F11" i="62"/>
  <c r="C14" i="62"/>
  <c r="E16" i="62"/>
  <c r="G5" i="62"/>
  <c r="G7" i="62"/>
  <c r="H14" i="62"/>
  <c r="D4" i="62"/>
  <c r="E6" i="62"/>
  <c r="F14" i="62"/>
  <c r="H2" i="62"/>
  <c r="C5" i="62"/>
  <c r="D14" i="61"/>
  <c r="F2" i="61"/>
  <c r="G15" i="61"/>
  <c r="C9" i="61"/>
  <c r="C8" i="61"/>
  <c r="H10" i="61"/>
  <c r="D8" i="61"/>
  <c r="E5" i="61"/>
  <c r="F13" i="61"/>
  <c r="D13" i="61"/>
  <c r="F3" i="61"/>
  <c r="H15" i="60"/>
  <c r="D8" i="60"/>
  <c r="D16" i="60"/>
  <c r="F4" i="60"/>
  <c r="E12" i="60"/>
  <c r="G14" i="60"/>
  <c r="H14" i="60"/>
  <c r="D4" i="60"/>
  <c r="G2" i="60"/>
  <c r="D13" i="60"/>
  <c r="F2" i="60"/>
  <c r="C10" i="60"/>
  <c r="H8" i="59"/>
  <c r="G12" i="59"/>
  <c r="C2" i="59"/>
  <c r="F16" i="59"/>
  <c r="E16" i="59"/>
  <c r="G6" i="59"/>
  <c r="D9" i="59"/>
  <c r="F13" i="59"/>
  <c r="H2" i="59"/>
  <c r="C4" i="59"/>
  <c r="E2" i="59"/>
  <c r="E13" i="58"/>
  <c r="D8" i="58"/>
  <c r="D6" i="58"/>
  <c r="F7" i="58"/>
  <c r="C15" i="58"/>
  <c r="E4" i="58"/>
  <c r="C4" i="58"/>
  <c r="G9" i="58"/>
  <c r="F14" i="58"/>
  <c r="H3" i="58"/>
  <c r="G6" i="58"/>
  <c r="D14" i="57"/>
  <c r="F4" i="57"/>
  <c r="G12" i="57"/>
  <c r="C2" i="57"/>
  <c r="D13" i="67"/>
  <c r="D77" i="67"/>
  <c r="D141" i="67"/>
  <c r="D74" i="67"/>
  <c r="D92" i="67"/>
  <c r="D54" i="67"/>
  <c r="D118" i="67"/>
  <c r="D97" i="67"/>
  <c r="D83" i="67"/>
  <c r="D15" i="67"/>
  <c r="D79" i="67"/>
  <c r="D143" i="67"/>
  <c r="D58" i="67"/>
  <c r="D12" i="67"/>
  <c r="D40" i="67"/>
  <c r="D104" i="67"/>
  <c r="D33" i="67"/>
  <c r="D59" i="67"/>
  <c r="D9" i="67"/>
  <c r="D82" i="67"/>
  <c r="D100" i="67"/>
  <c r="D12" i="66"/>
  <c r="E9" i="66"/>
  <c r="E13" i="66"/>
  <c r="G10" i="66"/>
  <c r="F14" i="66"/>
  <c r="C11" i="66"/>
  <c r="H15" i="66"/>
  <c r="D4" i="66"/>
  <c r="C4" i="66"/>
  <c r="D8" i="66"/>
  <c r="C10" i="66"/>
  <c r="H12" i="65"/>
  <c r="D3" i="65"/>
  <c r="G16" i="65"/>
  <c r="D7" i="65"/>
  <c r="F9" i="65"/>
  <c r="E8" i="65"/>
  <c r="G3" i="65"/>
  <c r="F10" i="65"/>
  <c r="C8" i="65"/>
  <c r="C14" i="65"/>
  <c r="E3" i="65"/>
  <c r="F14" i="64"/>
  <c r="H4" i="64"/>
  <c r="C12" i="64"/>
  <c r="E3" i="64"/>
  <c r="E6" i="64"/>
  <c r="F9" i="64"/>
  <c r="F8" i="64"/>
  <c r="E12" i="64"/>
  <c r="G8" i="64"/>
  <c r="H15" i="64"/>
  <c r="D4" i="64"/>
  <c r="G2" i="64"/>
  <c r="F10" i="63"/>
  <c r="E14" i="63"/>
  <c r="G5" i="63"/>
  <c r="H6" i="63"/>
  <c r="F9" i="63"/>
  <c r="G8" i="63"/>
  <c r="F13" i="63"/>
  <c r="G15" i="63"/>
  <c r="F15" i="63"/>
  <c r="H2" i="63"/>
  <c r="G10" i="63"/>
  <c r="D10" i="62"/>
  <c r="G12" i="62"/>
  <c r="C15" i="62"/>
  <c r="E4" i="62"/>
  <c r="G2" i="62"/>
  <c r="F13" i="62"/>
  <c r="H3" i="62"/>
  <c r="E3" i="62"/>
  <c r="D13" i="62"/>
  <c r="F3" i="62"/>
  <c r="D6" i="62"/>
  <c r="H5" i="61"/>
  <c r="D3" i="61"/>
  <c r="E16" i="61"/>
  <c r="G4" i="61"/>
  <c r="G3" i="61"/>
  <c r="F8" i="61"/>
  <c r="H3" i="61"/>
  <c r="C11" i="61"/>
  <c r="H9" i="61"/>
  <c r="H11" i="61"/>
  <c r="G16" i="61"/>
  <c r="F16" i="60"/>
  <c r="H4" i="60"/>
  <c r="H13" i="60"/>
  <c r="D3" i="60"/>
  <c r="C11" i="60"/>
  <c r="G10" i="60"/>
  <c r="F13" i="60"/>
  <c r="H2" i="60"/>
  <c r="G3" i="60"/>
  <c r="H11" i="60"/>
  <c r="G16" i="60"/>
  <c r="C8" i="60"/>
  <c r="F5" i="59"/>
  <c r="E10" i="59"/>
  <c r="F8" i="59"/>
  <c r="D15" i="59"/>
  <c r="C15" i="59"/>
  <c r="E4" i="59"/>
  <c r="D6" i="59"/>
  <c r="D12" i="59"/>
  <c r="C16" i="59"/>
  <c r="D13" i="59"/>
  <c r="H15" i="59"/>
  <c r="C9" i="58"/>
  <c r="F16" i="58"/>
  <c r="H7" i="58"/>
  <c r="H2" i="58"/>
  <c r="G12" i="58"/>
  <c r="C3" i="58"/>
  <c r="G3" i="58"/>
  <c r="E10" i="58"/>
  <c r="D12" i="58"/>
  <c r="F2" i="58"/>
  <c r="E8" i="58"/>
  <c r="H12" i="57"/>
  <c r="D2" i="57"/>
  <c r="D21" i="67"/>
  <c r="D85" i="67"/>
  <c r="D149" i="67"/>
  <c r="D114" i="67"/>
  <c r="D140" i="67"/>
  <c r="D62" i="67"/>
  <c r="D126" i="67"/>
  <c r="D129" i="67"/>
  <c r="D115" i="67"/>
  <c r="D23" i="67"/>
  <c r="D87" i="67"/>
  <c r="D151" i="67"/>
  <c r="D98" i="67"/>
  <c r="D60" i="67"/>
  <c r="D48" i="67"/>
  <c r="D112" i="67"/>
  <c r="D89" i="67"/>
  <c r="D99" i="67"/>
  <c r="D17" i="67"/>
  <c r="D122" i="67"/>
  <c r="D132" i="67"/>
  <c r="H9" i="66"/>
  <c r="E4" i="66"/>
  <c r="C12" i="66"/>
  <c r="G8" i="66"/>
  <c r="D13" i="66"/>
  <c r="C13" i="66"/>
  <c r="F10" i="66"/>
  <c r="H3" i="66"/>
  <c r="G2" i="66"/>
  <c r="H6" i="66"/>
  <c r="G13" i="66"/>
  <c r="F11" i="65"/>
  <c r="E13" i="65"/>
  <c r="F16" i="65"/>
  <c r="H6" i="65"/>
  <c r="H7" i="65"/>
  <c r="C7" i="65"/>
  <c r="H11" i="65"/>
  <c r="D8" i="65"/>
  <c r="C4" i="65"/>
  <c r="G11" i="65"/>
  <c r="C15" i="65"/>
  <c r="D15" i="64"/>
  <c r="F2" i="64"/>
  <c r="C9" i="64"/>
  <c r="G16" i="64"/>
  <c r="C7" i="64"/>
  <c r="D6" i="64"/>
  <c r="D5" i="64"/>
  <c r="C10" i="64"/>
  <c r="E5" i="64"/>
  <c r="F13" i="64"/>
  <c r="C16" i="64"/>
  <c r="H16" i="63"/>
  <c r="D6" i="63"/>
  <c r="C15" i="63"/>
  <c r="E2" i="63"/>
  <c r="F3" i="63"/>
  <c r="D2" i="63"/>
  <c r="E9" i="63"/>
  <c r="D12" i="63"/>
  <c r="E13" i="63"/>
  <c r="D13" i="63"/>
  <c r="F4" i="63"/>
  <c r="E6" i="63"/>
  <c r="H4" i="62"/>
  <c r="E11" i="62"/>
  <c r="G13" i="62"/>
  <c r="C2" i="62"/>
  <c r="H9" i="62"/>
  <c r="D12" i="62"/>
  <c r="C16" i="62"/>
  <c r="F7" i="62"/>
  <c r="H11" i="62"/>
  <c r="G15" i="62"/>
  <c r="D3" i="62"/>
  <c r="F11" i="61"/>
  <c r="D5" i="61"/>
  <c r="C14" i="61"/>
  <c r="E2" i="61"/>
  <c r="E3" i="61"/>
  <c r="D7" i="61"/>
  <c r="C5" i="61"/>
  <c r="G10" i="61"/>
  <c r="C15" i="61"/>
  <c r="F12" i="61"/>
  <c r="E14" i="61"/>
  <c r="D14" i="60"/>
  <c r="F3" i="60"/>
  <c r="F12" i="60"/>
  <c r="C6" i="60"/>
  <c r="G9" i="60"/>
  <c r="C7" i="60"/>
  <c r="D12" i="60"/>
  <c r="C15" i="60"/>
  <c r="C14" i="60"/>
  <c r="F10" i="60"/>
  <c r="E14" i="60"/>
  <c r="H16" i="59"/>
  <c r="D7" i="59"/>
  <c r="C11" i="59"/>
  <c r="H6" i="59"/>
  <c r="H13" i="59"/>
  <c r="G13" i="59"/>
  <c r="C3" i="59"/>
  <c r="F2" i="59"/>
  <c r="H11" i="59"/>
  <c r="G14" i="59"/>
  <c r="F11" i="59"/>
  <c r="F7" i="59"/>
  <c r="G5" i="58"/>
  <c r="D15" i="58"/>
  <c r="F4" i="58"/>
  <c r="E7" i="58"/>
  <c r="E11" i="58"/>
  <c r="D16" i="58"/>
  <c r="F15" i="58"/>
  <c r="G8" i="58"/>
  <c r="H13" i="58"/>
  <c r="G15" i="58"/>
  <c r="E2" i="58"/>
  <c r="F10" i="57"/>
  <c r="C12" i="57"/>
  <c r="C11" i="57"/>
  <c r="G2" i="57"/>
  <c r="D29" i="67"/>
  <c r="D93" i="67"/>
  <c r="D157" i="67"/>
  <c r="D154" i="67"/>
  <c r="D6" i="67"/>
  <c r="D70" i="67"/>
  <c r="D134" i="67"/>
  <c r="D18" i="67"/>
  <c r="D155" i="67"/>
  <c r="D31" i="67"/>
  <c r="D95" i="67"/>
  <c r="D159" i="67"/>
  <c r="D138" i="67"/>
  <c r="D108" i="67"/>
  <c r="D56" i="67"/>
  <c r="D120" i="67"/>
  <c r="D137" i="67"/>
  <c r="D147" i="67"/>
  <c r="D25" i="67"/>
  <c r="D3" i="67"/>
  <c r="D2" i="67"/>
  <c r="F6" i="66"/>
  <c r="E5" i="66"/>
  <c r="G9" i="66"/>
  <c r="G5" i="66"/>
  <c r="H8" i="66"/>
  <c r="C6" i="66"/>
  <c r="D14" i="66"/>
  <c r="C16" i="66"/>
  <c r="E3" i="66"/>
  <c r="F7" i="66"/>
  <c r="E12" i="66"/>
  <c r="D9" i="65"/>
  <c r="G12" i="65"/>
  <c r="D13" i="65"/>
  <c r="F4" i="65"/>
  <c r="E16" i="65"/>
  <c r="G6" i="65"/>
  <c r="F5" i="65"/>
  <c r="H5" i="65"/>
  <c r="D14" i="65"/>
  <c r="E9" i="65"/>
  <c r="E11" i="65"/>
  <c r="H12" i="64"/>
  <c r="D3" i="64"/>
  <c r="G3" i="64"/>
  <c r="E14" i="64"/>
  <c r="F16" i="64"/>
  <c r="H5" i="64"/>
  <c r="E15" i="64"/>
  <c r="G11" i="64"/>
  <c r="F15" i="64"/>
  <c r="D12" i="64"/>
  <c r="E11" i="64"/>
  <c r="F14" i="63"/>
  <c r="H5" i="63"/>
  <c r="G12" i="63"/>
  <c r="C4" i="63"/>
  <c r="G6" i="63"/>
  <c r="C3" i="63"/>
  <c r="C10" i="63"/>
  <c r="F8" i="63"/>
  <c r="C12" i="63"/>
  <c r="H7" i="63"/>
  <c r="G14" i="63"/>
  <c r="G2" i="63"/>
  <c r="G4" i="62"/>
  <c r="C10" i="62"/>
  <c r="E12" i="62"/>
  <c r="G14" i="62"/>
  <c r="F2" i="62"/>
  <c r="H10" i="62"/>
  <c r="E13" i="62"/>
  <c r="E7" i="62"/>
  <c r="F10" i="62"/>
  <c r="E14" i="62"/>
  <c r="E2" i="62"/>
  <c r="D12" i="61"/>
  <c r="F6" i="61"/>
  <c r="G5" i="61"/>
  <c r="C3" i="61"/>
  <c r="F15" i="61"/>
  <c r="H6" i="61"/>
  <c r="G9" i="61"/>
  <c r="E8" i="61"/>
  <c r="G12" i="61"/>
  <c r="D10" i="61"/>
  <c r="C13" i="61"/>
  <c r="H12" i="60"/>
  <c r="D2" i="60"/>
  <c r="D11" i="60"/>
  <c r="E11" i="60"/>
  <c r="E7" i="60"/>
  <c r="E6" i="60"/>
  <c r="H10" i="60"/>
  <c r="E13" i="60"/>
  <c r="E5" i="60"/>
  <c r="D9" i="60"/>
  <c r="C13" i="60"/>
  <c r="F15" i="59"/>
  <c r="H4" i="59"/>
  <c r="G8" i="59"/>
  <c r="D37" i="67"/>
  <c r="D101" i="67"/>
  <c r="D165" i="67"/>
  <c r="D35" i="67"/>
  <c r="D14" i="67"/>
  <c r="D78" i="67"/>
  <c r="D142" i="67"/>
  <c r="D66" i="67"/>
  <c r="D36" i="67"/>
  <c r="D39" i="67"/>
  <c r="D103" i="67"/>
  <c r="D41" i="67"/>
  <c r="D162" i="67"/>
  <c r="D148" i="67"/>
  <c r="D64" i="67"/>
  <c r="D128" i="67"/>
  <c r="D10" i="67"/>
  <c r="D28" i="67"/>
  <c r="D57" i="67"/>
  <c r="D51" i="67"/>
  <c r="H16" i="66"/>
  <c r="D7" i="66"/>
  <c r="G6" i="66"/>
  <c r="E6" i="66"/>
  <c r="C9" i="66"/>
  <c r="F9" i="66"/>
  <c r="C2" i="66"/>
  <c r="H12" i="66"/>
  <c r="G15" i="66"/>
  <c r="H11" i="66"/>
  <c r="D5" i="66"/>
  <c r="C8" i="66"/>
  <c r="H8" i="65"/>
  <c r="C9" i="65"/>
  <c r="H14" i="65"/>
  <c r="D2" i="65"/>
  <c r="C13" i="65"/>
  <c r="E4" i="65"/>
  <c r="D16" i="65"/>
  <c r="F6" i="65"/>
  <c r="D10" i="65"/>
  <c r="C10" i="65"/>
  <c r="G8" i="65"/>
  <c r="F10" i="64"/>
  <c r="G4" i="64"/>
  <c r="D13" i="64"/>
  <c r="C15" i="64"/>
  <c r="D14" i="64"/>
  <c r="F4" i="64"/>
  <c r="C11" i="64"/>
  <c r="E9" i="64"/>
  <c r="H6" i="64"/>
  <c r="H8" i="64"/>
  <c r="C4" i="64"/>
  <c r="D15" i="63"/>
  <c r="F2" i="63"/>
  <c r="E7" i="63"/>
  <c r="D7" i="63"/>
  <c r="E4" i="63"/>
  <c r="E16" i="63"/>
  <c r="G3" i="63"/>
  <c r="D9" i="63"/>
  <c r="G11" i="63"/>
  <c r="F11" i="63"/>
  <c r="E15" i="63"/>
  <c r="H16" i="62"/>
  <c r="H13" i="62"/>
  <c r="G9" i="62"/>
  <c r="C11" i="62"/>
  <c r="C12" i="62"/>
  <c r="C3" i="62"/>
  <c r="F8" i="62"/>
  <c r="G10" i="62"/>
  <c r="F16" i="62"/>
  <c r="D8" i="62"/>
  <c r="C13" i="62"/>
  <c r="F12" i="62"/>
  <c r="H8" i="61"/>
  <c r="G14" i="61"/>
  <c r="E11" i="61"/>
  <c r="H14" i="61"/>
  <c r="D16" i="61"/>
  <c r="F4" i="61"/>
  <c r="E9" i="61"/>
  <c r="C7" i="61"/>
  <c r="E6" i="61"/>
  <c r="H7" i="61"/>
  <c r="G11" i="61"/>
  <c r="F11" i="60"/>
  <c r="G12" i="60"/>
  <c r="H9" i="60"/>
  <c r="G4" i="60"/>
  <c r="C5" i="60"/>
  <c r="G5" i="60"/>
  <c r="F9" i="60"/>
  <c r="C12" i="60"/>
  <c r="C2" i="60"/>
  <c r="H5" i="60"/>
  <c r="G11" i="60"/>
  <c r="D14" i="59"/>
  <c r="F3" i="59"/>
  <c r="E5" i="59"/>
  <c r="E11" i="59"/>
  <c r="D10" i="59"/>
  <c r="C10" i="59"/>
  <c r="E6" i="59"/>
  <c r="G10" i="59"/>
  <c r="D8" i="59"/>
  <c r="C12" i="59"/>
  <c r="H3" i="59"/>
  <c r="G16" i="58"/>
  <c r="C8" i="58"/>
  <c r="F11" i="58"/>
  <c r="H14" i="58"/>
  <c r="H16" i="58"/>
  <c r="G10" i="58"/>
  <c r="H9" i="58"/>
  <c r="C16" i="58"/>
  <c r="D14" i="58"/>
  <c r="D10" i="58"/>
  <c r="C12" i="58"/>
  <c r="D9" i="58"/>
  <c r="H8" i="57"/>
  <c r="E7" i="57"/>
  <c r="E6" i="57"/>
  <c r="F16" i="57"/>
  <c r="H5" i="57"/>
  <c r="D45" i="67"/>
  <c r="D109" i="67"/>
  <c r="D65" i="67"/>
  <c r="D75" i="67"/>
  <c r="D22" i="67"/>
  <c r="D86" i="67"/>
  <c r="D150" i="67"/>
  <c r="D106" i="67"/>
  <c r="D76" i="67"/>
  <c r="D47" i="67"/>
  <c r="D111" i="67"/>
  <c r="D81" i="67"/>
  <c r="D27" i="67"/>
  <c r="D8" i="67"/>
  <c r="D72" i="67"/>
  <c r="D136" i="67"/>
  <c r="D50" i="67"/>
  <c r="D52" i="67"/>
  <c r="D73" i="67"/>
  <c r="D91" i="67"/>
  <c r="F11" i="66"/>
  <c r="H4" i="66"/>
  <c r="G16" i="66"/>
  <c r="C7" i="66"/>
  <c r="G3" i="66"/>
  <c r="D6" i="66"/>
  <c r="G7" i="66"/>
  <c r="F8" i="66"/>
  <c r="E10" i="66"/>
  <c r="F15" i="66"/>
  <c r="H2" i="66"/>
  <c r="C5" i="66"/>
  <c r="F7" i="65"/>
  <c r="E7" i="65"/>
  <c r="F12" i="65"/>
  <c r="G15" i="65"/>
  <c r="G14" i="65"/>
  <c r="C2" i="65"/>
  <c r="H15" i="65"/>
  <c r="D4" i="65"/>
  <c r="F3" i="65"/>
  <c r="G7" i="65"/>
  <c r="C5" i="65"/>
  <c r="D8" i="64"/>
  <c r="E2" i="64"/>
  <c r="D11" i="64"/>
  <c r="G12" i="64"/>
  <c r="H13" i="64"/>
  <c r="C2" i="64"/>
  <c r="E7" i="64"/>
  <c r="C6" i="64"/>
  <c r="F3" i="64"/>
  <c r="F11" i="64"/>
  <c r="H10" i="64"/>
  <c r="H12" i="63"/>
  <c r="D4" i="63"/>
  <c r="C11" i="63"/>
  <c r="H8" i="63"/>
  <c r="F16" i="63"/>
  <c r="C14" i="63"/>
  <c r="E5" i="63"/>
  <c r="D5" i="63"/>
  <c r="E8" i="63"/>
  <c r="D8" i="63"/>
  <c r="C13" i="63"/>
  <c r="F15" i="62"/>
  <c r="F9" i="62"/>
  <c r="C6" i="62"/>
  <c r="G8" i="62"/>
  <c r="E8" i="62"/>
  <c r="D11" i="62"/>
  <c r="D9" i="62"/>
  <c r="C9" i="62"/>
  <c r="H8" i="62"/>
  <c r="H7" i="62"/>
  <c r="G11" i="62"/>
  <c r="H5" i="62"/>
  <c r="F7" i="61"/>
  <c r="E10" i="61"/>
  <c r="C12" i="61"/>
  <c r="F10" i="61"/>
  <c r="H13" i="61"/>
  <c r="D2" i="61"/>
  <c r="E15" i="61"/>
  <c r="G6" i="61"/>
  <c r="G2" i="61"/>
  <c r="F9" i="61"/>
  <c r="E12" i="61"/>
  <c r="D10" i="60"/>
  <c r="E3" i="60"/>
  <c r="F7" i="60"/>
  <c r="E15" i="60"/>
  <c r="G6" i="60"/>
  <c r="E16" i="60"/>
  <c r="D7" i="60"/>
  <c r="E9" i="60"/>
  <c r="E8" i="60"/>
  <c r="F8" i="60"/>
  <c r="E10" i="60"/>
  <c r="H12" i="59"/>
  <c r="D2" i="59"/>
  <c r="C7" i="59"/>
  <c r="G3" i="59"/>
  <c r="H9" i="59"/>
  <c r="G9" i="59"/>
  <c r="G2" i="59"/>
  <c r="C6" i="59"/>
  <c r="H7" i="59"/>
  <c r="G11" i="59"/>
  <c r="G15" i="59"/>
  <c r="E15" i="58"/>
  <c r="G4" i="58"/>
  <c r="D53" i="67"/>
  <c r="D4" i="67"/>
  <c r="D61" i="67"/>
  <c r="D38" i="67"/>
  <c r="D156" i="67"/>
  <c r="D107" i="67"/>
  <c r="D130" i="67"/>
  <c r="H14" i="66"/>
  <c r="D11" i="66"/>
  <c r="G12" i="66"/>
  <c r="H4" i="65"/>
  <c r="C11" i="65"/>
  <c r="G13" i="65"/>
  <c r="D2" i="64"/>
  <c r="G7" i="64"/>
  <c r="H7" i="64"/>
  <c r="E10" i="63"/>
  <c r="D16" i="63"/>
  <c r="E11" i="63"/>
  <c r="C7" i="62"/>
  <c r="G3" i="62"/>
  <c r="F16" i="61"/>
  <c r="E13" i="61"/>
  <c r="C2" i="61"/>
  <c r="F5" i="60"/>
  <c r="C3" i="60"/>
  <c r="F14" i="60"/>
  <c r="C14" i="59"/>
  <c r="E7" i="59"/>
  <c r="D16" i="59"/>
  <c r="H5" i="59"/>
  <c r="C2" i="58"/>
  <c r="H8" i="58"/>
  <c r="G7" i="58"/>
  <c r="C11" i="58"/>
  <c r="D7" i="58"/>
  <c r="F15" i="57"/>
  <c r="C14" i="57"/>
  <c r="D15" i="57"/>
  <c r="D4" i="57"/>
  <c r="E12" i="57"/>
  <c r="G14" i="57"/>
  <c r="H11" i="57"/>
  <c r="G11" i="57"/>
  <c r="D9" i="57"/>
  <c r="C13" i="57"/>
  <c r="H3" i="56"/>
  <c r="H2" i="56"/>
  <c r="G6" i="56"/>
  <c r="F2" i="56"/>
  <c r="F7" i="56"/>
  <c r="E3" i="56"/>
  <c r="E6" i="56"/>
  <c r="D5" i="56"/>
  <c r="D7" i="56"/>
  <c r="C12" i="56"/>
  <c r="C10" i="56"/>
  <c r="F10" i="56"/>
  <c r="E14" i="56"/>
  <c r="D14" i="56"/>
  <c r="C7" i="56"/>
  <c r="D16" i="62"/>
  <c r="E2" i="60"/>
  <c r="D4" i="59"/>
  <c r="E16" i="58"/>
  <c r="H3" i="57"/>
  <c r="F5" i="57"/>
  <c r="H9" i="56"/>
  <c r="F6" i="56"/>
  <c r="F5" i="56"/>
  <c r="E9" i="56"/>
  <c r="C16" i="56"/>
  <c r="D144" i="67"/>
  <c r="E10" i="65"/>
  <c r="D15" i="62"/>
  <c r="G8" i="61"/>
  <c r="F10" i="59"/>
  <c r="E16" i="57"/>
  <c r="D13" i="57"/>
  <c r="G7" i="56"/>
  <c r="D10" i="56"/>
  <c r="C13" i="56"/>
  <c r="C16" i="57"/>
  <c r="G13" i="56"/>
  <c r="E8" i="56"/>
  <c r="C6" i="56"/>
  <c r="D117" i="67"/>
  <c r="D94" i="67"/>
  <c r="D55" i="67"/>
  <c r="D16" i="67"/>
  <c r="D84" i="67"/>
  <c r="F2" i="66"/>
  <c r="H5" i="66"/>
  <c r="D10" i="66"/>
  <c r="G4" i="65"/>
  <c r="E14" i="65"/>
  <c r="E5" i="65"/>
  <c r="H2" i="64"/>
  <c r="E16" i="64"/>
  <c r="F7" i="64"/>
  <c r="D10" i="63"/>
  <c r="E3" i="63"/>
  <c r="D14" i="62"/>
  <c r="G6" i="62"/>
  <c r="D2" i="62"/>
  <c r="D9" i="61"/>
  <c r="F5" i="61"/>
  <c r="H16" i="61"/>
  <c r="G15" i="60"/>
  <c r="G7" i="60"/>
  <c r="D6" i="60"/>
  <c r="G4" i="59"/>
  <c r="E12" i="59"/>
  <c r="H14" i="59"/>
  <c r="C13" i="59"/>
  <c r="H12" i="58"/>
  <c r="G2" i="58"/>
  <c r="F12" i="58"/>
  <c r="C7" i="58"/>
  <c r="E14" i="58"/>
  <c r="D11" i="57"/>
  <c r="E10" i="57"/>
  <c r="H13" i="57"/>
  <c r="E13" i="57"/>
  <c r="C10" i="57"/>
  <c r="E9" i="57"/>
  <c r="F9" i="57"/>
  <c r="E5" i="57"/>
  <c r="H6" i="57"/>
  <c r="C9" i="57"/>
  <c r="H8" i="56"/>
  <c r="G2" i="56"/>
  <c r="G14" i="56"/>
  <c r="F13" i="56"/>
  <c r="D16" i="56"/>
  <c r="D9" i="56"/>
  <c r="C15" i="56"/>
  <c r="H12" i="61"/>
  <c r="G16" i="59"/>
  <c r="C5" i="58"/>
  <c r="G3" i="57"/>
  <c r="F14" i="57"/>
  <c r="G12" i="56"/>
  <c r="E15" i="56"/>
  <c r="D2" i="56"/>
  <c r="D123" i="67"/>
  <c r="G13" i="63"/>
  <c r="C16" i="60"/>
  <c r="G11" i="58"/>
  <c r="C13" i="58"/>
  <c r="H11" i="58"/>
  <c r="F8" i="57"/>
  <c r="D3" i="57"/>
  <c r="G16" i="56"/>
  <c r="F15" i="56"/>
  <c r="C2" i="56"/>
  <c r="D12" i="57"/>
  <c r="E5" i="56"/>
  <c r="D125" i="67"/>
  <c r="D102" i="67"/>
  <c r="D63" i="67"/>
  <c r="D24" i="67"/>
  <c r="D124" i="67"/>
  <c r="D3" i="66"/>
  <c r="F4" i="66"/>
  <c r="H13" i="66"/>
  <c r="C3" i="65"/>
  <c r="G9" i="65"/>
  <c r="C6" i="65"/>
  <c r="C13" i="64"/>
  <c r="C14" i="64"/>
  <c r="G14" i="64"/>
  <c r="H3" i="63"/>
  <c r="H11" i="63"/>
  <c r="H12" i="62"/>
  <c r="C4" i="62"/>
  <c r="H15" i="62"/>
  <c r="H4" i="61"/>
  <c r="D11" i="61"/>
  <c r="F14" i="61"/>
  <c r="F15" i="60"/>
  <c r="D15" i="60"/>
  <c r="H3" i="60"/>
  <c r="E3" i="59"/>
  <c r="E8" i="59"/>
  <c r="F9" i="59"/>
  <c r="G5" i="59"/>
  <c r="D13" i="58"/>
  <c r="F13" i="58"/>
  <c r="D5" i="58"/>
  <c r="H5" i="58"/>
  <c r="G13" i="58"/>
  <c r="F6" i="57"/>
  <c r="G8" i="57"/>
  <c r="F12" i="57"/>
  <c r="G7" i="57"/>
  <c r="G9" i="57"/>
  <c r="G10" i="57"/>
  <c r="D8" i="57"/>
  <c r="G6" i="57"/>
  <c r="F7" i="57"/>
  <c r="H4" i="56"/>
  <c r="H5" i="56"/>
  <c r="G4" i="56"/>
  <c r="G9" i="56"/>
  <c r="F14" i="56"/>
  <c r="F12" i="56"/>
  <c r="D15" i="56"/>
  <c r="D3" i="56"/>
  <c r="D8" i="56"/>
  <c r="D4" i="56"/>
  <c r="C14" i="56"/>
  <c r="C9" i="56"/>
  <c r="D12" i="56"/>
  <c r="C4" i="56"/>
  <c r="E4" i="64"/>
  <c r="G4" i="63"/>
  <c r="H2" i="61"/>
  <c r="H9" i="57"/>
  <c r="H12" i="56"/>
  <c r="D105" i="67"/>
  <c r="G4" i="66"/>
  <c r="F12" i="64"/>
  <c r="H4" i="63"/>
  <c r="H6" i="62"/>
  <c r="C16" i="61"/>
  <c r="F4" i="59"/>
  <c r="D3" i="58"/>
  <c r="F9" i="58"/>
  <c r="C3" i="57"/>
  <c r="G5" i="57"/>
  <c r="H11" i="56"/>
  <c r="G13" i="57"/>
  <c r="H7" i="56"/>
  <c r="C11" i="56"/>
  <c r="D113" i="67"/>
  <c r="D158" i="67"/>
  <c r="D119" i="67"/>
  <c r="D80" i="67"/>
  <c r="D121" i="67"/>
  <c r="E11" i="66"/>
  <c r="E7" i="66"/>
  <c r="F3" i="66"/>
  <c r="D11" i="65"/>
  <c r="F14" i="65"/>
  <c r="E2" i="65"/>
  <c r="E10" i="64"/>
  <c r="G5" i="64"/>
  <c r="F7" i="63"/>
  <c r="D14" i="63"/>
  <c r="C9" i="63"/>
  <c r="G16" i="62"/>
  <c r="F4" i="62"/>
  <c r="F6" i="62"/>
  <c r="C4" i="61"/>
  <c r="D15" i="61"/>
  <c r="D6" i="61"/>
  <c r="D5" i="60"/>
  <c r="H8" i="60"/>
  <c r="C9" i="60"/>
  <c r="D3" i="59"/>
  <c r="C5" i="59"/>
  <c r="F6" i="59"/>
  <c r="C9" i="59"/>
  <c r="H10" i="58"/>
  <c r="H4" i="58"/>
  <c r="D4" i="58"/>
  <c r="D2" i="58"/>
  <c r="E9" i="58"/>
  <c r="D7" i="57"/>
  <c r="C7" i="57"/>
  <c r="D10" i="57"/>
  <c r="E11" i="57"/>
  <c r="E8" i="57"/>
  <c r="G4" i="57"/>
  <c r="H7" i="57"/>
  <c r="H15" i="57"/>
  <c r="D5" i="57"/>
  <c r="H15" i="56"/>
  <c r="H16" i="56"/>
  <c r="G15" i="56"/>
  <c r="G11" i="56"/>
  <c r="F9" i="56"/>
  <c r="F16" i="56"/>
  <c r="D11" i="56"/>
  <c r="E10" i="56"/>
  <c r="E16" i="56"/>
  <c r="C5" i="56"/>
  <c r="D11" i="63"/>
  <c r="D5" i="62"/>
  <c r="H6" i="60"/>
  <c r="C8" i="59"/>
  <c r="F5" i="58"/>
  <c r="E2" i="57"/>
  <c r="D16" i="57"/>
  <c r="H4" i="57"/>
  <c r="G8" i="56"/>
  <c r="D13" i="56"/>
  <c r="D146" i="67"/>
  <c r="H16" i="65"/>
  <c r="H9" i="64"/>
  <c r="H10" i="63"/>
  <c r="C10" i="61"/>
  <c r="F14" i="59"/>
  <c r="F6" i="58"/>
  <c r="E4" i="57"/>
  <c r="H14" i="57"/>
  <c r="H14" i="56"/>
  <c r="F4" i="56"/>
  <c r="D6" i="56"/>
  <c r="C4" i="57"/>
  <c r="G3" i="56"/>
  <c r="D153" i="67"/>
  <c r="D166" i="67"/>
  <c r="D127" i="67"/>
  <c r="D88" i="67"/>
  <c r="D161" i="67"/>
  <c r="C15" i="66"/>
  <c r="E16" i="66"/>
  <c r="G11" i="66"/>
  <c r="H10" i="65"/>
  <c r="D12" i="65"/>
  <c r="H2" i="65"/>
  <c r="C8" i="64"/>
  <c r="H13" i="63"/>
  <c r="E15" i="62"/>
  <c r="G7" i="61"/>
  <c r="F6" i="60"/>
  <c r="C14" i="58"/>
  <c r="H15" i="58"/>
  <c r="C10" i="58"/>
  <c r="C6" i="57"/>
  <c r="D139" i="67"/>
  <c r="D9" i="66"/>
  <c r="H3" i="65"/>
  <c r="G10" i="64"/>
  <c r="E10" i="62"/>
  <c r="G8" i="60"/>
  <c r="E13" i="59"/>
  <c r="F2" i="57"/>
  <c r="E12" i="56"/>
  <c r="F11" i="57"/>
  <c r="E2" i="56"/>
  <c r="D163" i="67"/>
  <c r="D19" i="67"/>
  <c r="D145" i="67"/>
  <c r="D152" i="67"/>
  <c r="D20" i="67"/>
  <c r="E2" i="66"/>
  <c r="H7" i="66"/>
  <c r="F13" i="65"/>
  <c r="E6" i="65"/>
  <c r="C16" i="65"/>
  <c r="F6" i="64"/>
  <c r="D10" i="64"/>
  <c r="C5" i="64"/>
  <c r="C5" i="63"/>
  <c r="E12" i="63"/>
  <c r="F6" i="63"/>
  <c r="D7" i="62"/>
  <c r="F5" i="62"/>
  <c r="C8" i="62"/>
  <c r="E7" i="61"/>
  <c r="G13" i="61"/>
  <c r="C6" i="61"/>
  <c r="G13" i="60"/>
  <c r="C4" i="60"/>
  <c r="D11" i="59"/>
  <c r="F12" i="59"/>
  <c r="H10" i="59"/>
  <c r="E9" i="59"/>
  <c r="E6" i="58"/>
  <c r="D11" i="58"/>
  <c r="E5" i="58"/>
  <c r="G14" i="58"/>
  <c r="H6" i="58"/>
  <c r="F3" i="58"/>
  <c r="G16" i="57"/>
  <c r="C8" i="57"/>
  <c r="D6" i="57"/>
  <c r="C15" i="57"/>
  <c r="E3" i="57"/>
  <c r="F13" i="57"/>
  <c r="H2" i="57"/>
  <c r="H10" i="57"/>
  <c r="G15" i="57"/>
  <c r="H6" i="56"/>
  <c r="H10" i="56"/>
  <c r="G10" i="56"/>
  <c r="G5" i="56"/>
  <c r="F8" i="56"/>
  <c r="F3" i="56"/>
  <c r="E4" i="56"/>
  <c r="E7" i="56"/>
  <c r="E13" i="56"/>
  <c r="C3" i="56"/>
  <c r="C8" i="56"/>
  <c r="D30" i="67"/>
  <c r="D116" i="67"/>
  <c r="D67" i="67"/>
  <c r="D90" i="67"/>
  <c r="D15" i="66"/>
  <c r="F16" i="66"/>
  <c r="C14" i="66"/>
  <c r="D5" i="65"/>
  <c r="E12" i="65"/>
  <c r="H13" i="65"/>
  <c r="C3" i="64"/>
  <c r="E13" i="64"/>
  <c r="D9" i="64"/>
  <c r="G9" i="63"/>
  <c r="C2" i="63"/>
  <c r="G7" i="63"/>
  <c r="E9" i="62"/>
  <c r="E5" i="62"/>
  <c r="H15" i="61"/>
  <c r="D4" i="61"/>
  <c r="E4" i="61"/>
  <c r="H7" i="60"/>
  <c r="E4" i="60"/>
  <c r="H16" i="60"/>
  <c r="E15" i="59"/>
  <c r="D5" i="59"/>
  <c r="E14" i="59"/>
  <c r="G7" i="59"/>
  <c r="E3" i="58"/>
  <c r="F10" i="58"/>
  <c r="C6" i="58"/>
  <c r="E12" i="58"/>
  <c r="F8" i="58"/>
  <c r="H16" i="57"/>
  <c r="E15" i="57"/>
  <c r="C5" i="57"/>
  <c r="F3" i="57"/>
  <c r="E14" i="57"/>
  <c r="H13" i="56"/>
  <c r="F11" i="56"/>
  <c r="E11" i="56"/>
  <c r="C58" i="67"/>
  <c r="C41" i="67"/>
  <c r="C108" i="67"/>
  <c r="C49" i="67"/>
  <c r="C68" i="67"/>
  <c r="C34" i="67"/>
  <c r="C51" i="67"/>
  <c r="C25" i="67"/>
  <c r="C39" i="67"/>
  <c r="C29" i="67"/>
  <c r="C11" i="67"/>
  <c r="C150" i="67"/>
  <c r="C154" i="67"/>
  <c r="C84" i="67"/>
  <c r="C149" i="67"/>
  <c r="C97" i="67"/>
  <c r="C56" i="67"/>
  <c r="C7" i="67"/>
  <c r="C12" i="67"/>
  <c r="C148" i="67"/>
  <c r="C76" i="67"/>
  <c r="C115" i="67"/>
  <c r="C96" i="67"/>
  <c r="C18" i="67"/>
  <c r="C109" i="67"/>
  <c r="C101" i="67"/>
  <c r="C73" i="67"/>
  <c r="C13" i="67"/>
  <c r="C114" i="67"/>
  <c r="C8" i="67"/>
  <c r="C151" i="67"/>
  <c r="C157" i="67"/>
  <c r="C63" i="67"/>
  <c r="C78" i="67"/>
  <c r="C52" i="67"/>
  <c r="C33" i="67"/>
  <c r="C87" i="67"/>
  <c r="C47" i="67"/>
  <c r="C86" i="67"/>
  <c r="C4" i="67"/>
  <c r="C74" i="67"/>
  <c r="C67" i="67"/>
  <c r="C60" i="67"/>
  <c r="C22" i="67"/>
  <c r="C145" i="67"/>
  <c r="C26" i="67"/>
  <c r="C134" i="67"/>
  <c r="C152" i="67"/>
  <c r="C105" i="67"/>
  <c r="C53" i="67"/>
  <c r="C31" i="67"/>
  <c r="C136" i="67"/>
  <c r="C65" i="67"/>
  <c r="C45" i="67"/>
  <c r="C37" i="67"/>
  <c r="C161" i="67"/>
  <c r="C140" i="67"/>
  <c r="C118" i="67"/>
  <c r="C32" i="67"/>
  <c r="C143" i="67"/>
  <c r="C121" i="67"/>
  <c r="C88" i="67"/>
  <c r="C103" i="67"/>
  <c r="C163" i="67"/>
  <c r="C70" i="67"/>
  <c r="C2" i="67"/>
  <c r="C42" i="67"/>
  <c r="C57" i="67"/>
  <c r="C131" i="67"/>
  <c r="C64" i="67"/>
  <c r="C83" i="67"/>
  <c r="C119" i="67"/>
  <c r="C23" i="67"/>
  <c r="C99" i="67"/>
  <c r="C137" i="67"/>
  <c r="C75" i="67"/>
  <c r="C124" i="67"/>
  <c r="C107" i="67"/>
  <c r="C50" i="67"/>
  <c r="C62" i="67"/>
  <c r="C155" i="67"/>
  <c r="C89" i="67"/>
  <c r="C146" i="67"/>
  <c r="C130" i="67"/>
  <c r="C100" i="67"/>
  <c r="C46" i="67"/>
  <c r="C48" i="67"/>
  <c r="C55" i="67"/>
  <c r="C72" i="67"/>
  <c r="C79" i="67"/>
  <c r="C166" i="67"/>
  <c r="C35" i="67"/>
  <c r="C144" i="67"/>
  <c r="C20" i="67"/>
  <c r="C138" i="67"/>
  <c r="C141" i="67"/>
  <c r="C82" i="67"/>
  <c r="C165" i="67"/>
  <c r="C40" i="67"/>
  <c r="C21" i="67"/>
  <c r="C113" i="67"/>
  <c r="C10" i="67"/>
  <c r="C61" i="67"/>
  <c r="C139" i="67"/>
  <c r="C133" i="67"/>
  <c r="C30" i="67"/>
  <c r="C132" i="67"/>
  <c r="C59" i="67"/>
  <c r="C123" i="67"/>
  <c r="C6" i="67"/>
  <c r="C28" i="67"/>
  <c r="C94" i="67"/>
  <c r="C156" i="67"/>
  <c r="C90" i="67"/>
  <c r="C81" i="67"/>
  <c r="C3" i="67"/>
  <c r="C9" i="67"/>
  <c r="C69" i="67"/>
  <c r="C142" i="67"/>
  <c r="C93" i="67"/>
  <c r="C110" i="67"/>
  <c r="C128" i="67"/>
  <c r="C120" i="67"/>
  <c r="C36" i="67"/>
  <c r="C77" i="67"/>
  <c r="C80" i="67"/>
  <c r="C19" i="67"/>
  <c r="C159" i="67"/>
  <c r="C125" i="67"/>
  <c r="C15" i="67"/>
  <c r="C54" i="67"/>
  <c r="C102" i="67"/>
  <c r="C98" i="67"/>
  <c r="C164" i="67"/>
  <c r="C126" i="67"/>
  <c r="C116" i="67"/>
  <c r="C158" i="67"/>
  <c r="C17" i="67"/>
  <c r="C112" i="67"/>
  <c r="C92" i="67"/>
  <c r="C71" i="67"/>
  <c r="C5" i="67"/>
  <c r="C91" i="67"/>
  <c r="C129" i="67"/>
  <c r="C14" i="67"/>
  <c r="C24" i="67"/>
  <c r="C117" i="67"/>
  <c r="C38" i="67"/>
  <c r="C162" i="67"/>
  <c r="C147" i="67"/>
  <c r="C104" i="67"/>
  <c r="C43" i="67"/>
  <c r="C135" i="67"/>
  <c r="C66" i="67"/>
  <c r="C106" i="67"/>
  <c r="C160" i="67"/>
  <c r="C85" i="67"/>
  <c r="C44" i="67"/>
  <c r="C27" i="67"/>
  <c r="C111" i="67"/>
  <c r="C16" i="67"/>
  <c r="C153" i="67"/>
  <c r="C122" i="67"/>
  <c r="C127" i="67"/>
  <c r="C95" i="67"/>
</calcChain>
</file>

<file path=xl/sharedStrings.xml><?xml version="1.0" encoding="utf-8"?>
<sst xmlns="http://schemas.openxmlformats.org/spreadsheetml/2006/main" count="1672" uniqueCount="31">
  <si>
    <t>Name</t>
  </si>
  <si>
    <t>#Wins</t>
  </si>
  <si>
    <t>TotalScore</t>
  </si>
  <si>
    <t>CooperationRating</t>
  </si>
  <si>
    <t>GoodPartnerRating</t>
  </si>
  <si>
    <t>EigenJesusRating</t>
  </si>
  <si>
    <t>EigenMosesRating</t>
  </si>
  <si>
    <t>Fuzzy</t>
  </si>
  <si>
    <t>ZD-GTFT-2</t>
  </si>
  <si>
    <t>GTFT</t>
  </si>
  <si>
    <t>Tit For 2 Tats</t>
  </si>
  <si>
    <t>Hard Tit For 2 Tats</t>
  </si>
  <si>
    <t>Cooperator</t>
  </si>
  <si>
    <t>Tit For Tat</t>
  </si>
  <si>
    <t>Hard Tit For Tat</t>
  </si>
  <si>
    <t>Grudger</t>
  </si>
  <si>
    <t>Win-Stay Lose-Shift</t>
  </si>
  <si>
    <t>Hard Go By Majority</t>
  </si>
  <si>
    <t>First by Joss</t>
  </si>
  <si>
    <t>Random</t>
  </si>
  <si>
    <t>ZD-Extort-2</t>
  </si>
  <si>
    <t>Defector</t>
  </si>
  <si>
    <t>Avg. Score</t>
  </si>
  <si>
    <t>T</t>
  </si>
  <si>
    <t>Strategy</t>
  </si>
  <si>
    <t>Sum of Avg. Score</t>
  </si>
  <si>
    <t>Row Labels</t>
  </si>
  <si>
    <t>Grand Total</t>
  </si>
  <si>
    <t>Column Labels</t>
  </si>
  <si>
    <t>Rank</t>
  </si>
  <si>
    <t>Sum of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</si>
</sst>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2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pivotCacheDefinition" Target="pivotCache/pivotCacheDefinition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[axelord_t_values.xlsx]FINAL!PivotTable17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FINAL!$F$3:$F$4</c:f>
              <c:strCache>
                <c:ptCount val="1"/>
                <c:pt idx="0">
                  <c:v>Cooperator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FINAL!$E$5:$E$16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FINAL!$F$5:$F$16</c:f>
              <c:numCache>
                <c:formatCode>General</c:formatCode>
                <c:ptCount val="11"/>
                <c:pt idx="0">
                  <c:v>518.91428571428571</c:v>
                </c:pt>
                <c:pt idx="1">
                  <c:v>520.45714285714291</c:v>
                </c:pt>
                <c:pt idx="2">
                  <c:v>519</c:v>
                </c:pt>
                <c:pt idx="3">
                  <c:v>524.74285714285713</c:v>
                </c:pt>
                <c:pt idx="4">
                  <c:v>522.17142857142858</c:v>
                </c:pt>
                <c:pt idx="5">
                  <c:v>523.84285714285716</c:v>
                </c:pt>
                <c:pt idx="6">
                  <c:v>523.07142857142856</c:v>
                </c:pt>
                <c:pt idx="7">
                  <c:v>523.67142857142858</c:v>
                </c:pt>
                <c:pt idx="8">
                  <c:v>522.42857142857144</c:v>
                </c:pt>
                <c:pt idx="9">
                  <c:v>524.78571428571433</c:v>
                </c:pt>
                <c:pt idx="10">
                  <c:v>524.70000000000005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DD-4499-A499-7A0F25EB1195}"/>
            </c:ext>
          </c:extLst>
        </c:ser>
        <c:ser>
          <c:idx val="1"/>
          <c:order val="1"/>
          <c:tx>
            <c:strRef>
              <c:f>FINAL!$G$3:$G$4</c:f>
              <c:strCache>
                <c:ptCount val="1"/>
                <c:pt idx="0">
                  <c:v>Defector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FINAL!$E$5:$E$16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FINAL!$G$5:$G$16</c:f>
              <c:numCache>
                <c:formatCode>General</c:formatCode>
                <c:ptCount val="11"/>
                <c:pt idx="0">
                  <c:v>349.31428571428569</c:v>
                </c:pt>
                <c:pt idx="1">
                  <c:v>368.3</c:v>
                </c:pt>
                <c:pt idx="2">
                  <c:v>383.92857142857144</c:v>
                </c:pt>
                <c:pt idx="3">
                  <c:v>403.89285714285717</c:v>
                </c:pt>
                <c:pt idx="4">
                  <c:v>420.02857142857141</c:v>
                </c:pt>
                <c:pt idx="5">
                  <c:v>442.07857142857142</c:v>
                </c:pt>
                <c:pt idx="6">
                  <c:v>461.1</c:v>
                </c:pt>
                <c:pt idx="7">
                  <c:v>475.35714285714283</c:v>
                </c:pt>
                <c:pt idx="8">
                  <c:v>492.91428571428571</c:v>
                </c:pt>
                <c:pt idx="9">
                  <c:v>514.62142857142862</c:v>
                </c:pt>
                <c:pt idx="10">
                  <c:v>534.79999999999995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DD-4499-A499-7A0F25EB1195}"/>
            </c:ext>
          </c:extLst>
        </c:ser>
        <c:ser>
          <c:idx val="2"/>
          <c:order val="2"/>
          <c:tx>
            <c:strRef>
              <c:f>FINAL!$H$3:$H$4</c:f>
              <c:strCache>
                <c:ptCount val="1"/>
                <c:pt idx="0">
                  <c:v>First by Joss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FINAL!$E$5:$E$16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FINAL!$H$5:$H$16</c:f>
              <c:numCache>
                <c:formatCode>General</c:formatCode>
                <c:ptCount val="11"/>
                <c:pt idx="0">
                  <c:v>408.75714285714287</c:v>
                </c:pt>
                <c:pt idx="1">
                  <c:v>419.72142857142859</c:v>
                </c:pt>
                <c:pt idx="2">
                  <c:v>431.24285714285713</c:v>
                </c:pt>
                <c:pt idx="3">
                  <c:v>430.71428571428572</c:v>
                </c:pt>
                <c:pt idx="4">
                  <c:v>431.8857142857143</c:v>
                </c:pt>
                <c:pt idx="5">
                  <c:v>457.27142857142854</c:v>
                </c:pt>
                <c:pt idx="6">
                  <c:v>463.51428571428573</c:v>
                </c:pt>
                <c:pt idx="7">
                  <c:v>468.95</c:v>
                </c:pt>
                <c:pt idx="8">
                  <c:v>500.58571428571429</c:v>
                </c:pt>
                <c:pt idx="9">
                  <c:v>501.99285714285713</c:v>
                </c:pt>
                <c:pt idx="10">
                  <c:v>534.75714285714287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DD-4499-A499-7A0F25EB1195}"/>
            </c:ext>
          </c:extLst>
        </c:ser>
        <c:ser>
          <c:idx val="3"/>
          <c:order val="3"/>
          <c:tx>
            <c:strRef>
              <c:f>FINAL!$I$3:$I$4</c:f>
              <c:strCache>
                <c:ptCount val="1"/>
                <c:pt idx="0">
                  <c:v>Fuzzy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FINAL!$E$5:$E$16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FINAL!$I$5:$I$16</c:f>
              <c:numCache>
                <c:formatCode>General</c:formatCode>
                <c:ptCount val="11"/>
                <c:pt idx="0">
                  <c:v>541.74285714285713</c:v>
                </c:pt>
                <c:pt idx="1">
                  <c:v>553.08571428571429</c:v>
                </c:pt>
                <c:pt idx="2">
                  <c:v>551.05714285714282</c:v>
                </c:pt>
                <c:pt idx="3">
                  <c:v>558.30714285714282</c:v>
                </c:pt>
                <c:pt idx="4">
                  <c:v>554.84285714285716</c:v>
                </c:pt>
                <c:pt idx="5">
                  <c:v>555.45000000000005</c:v>
                </c:pt>
                <c:pt idx="6">
                  <c:v>573.2714285714286</c:v>
                </c:pt>
                <c:pt idx="7">
                  <c:v>566.98571428571427</c:v>
                </c:pt>
                <c:pt idx="8">
                  <c:v>555.54285714285709</c:v>
                </c:pt>
                <c:pt idx="9">
                  <c:v>590.45000000000005</c:v>
                </c:pt>
                <c:pt idx="10">
                  <c:v>584.61428571428576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DD-4499-A499-7A0F25EB1195}"/>
            </c:ext>
          </c:extLst>
        </c:ser>
        <c:ser>
          <c:idx val="4"/>
          <c:order val="4"/>
          <c:tx>
            <c:strRef>
              <c:f>FINAL!$J$3:$J$4</c:f>
              <c:strCache>
                <c:ptCount val="1"/>
                <c:pt idx="0">
                  <c:v>Grudger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FINAL!$E$5:$E$16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FINAL!$J$5:$J$16</c:f>
              <c:numCache>
                <c:formatCode>General</c:formatCode>
                <c:ptCount val="11"/>
                <c:pt idx="0">
                  <c:v>488.47142857142859</c:v>
                </c:pt>
                <c:pt idx="1">
                  <c:v>490.30714285714288</c:v>
                </c:pt>
                <c:pt idx="2">
                  <c:v>498.65714285714284</c:v>
                </c:pt>
                <c:pt idx="3">
                  <c:v>500.00714285714287</c:v>
                </c:pt>
                <c:pt idx="4">
                  <c:v>505.04285714285714</c:v>
                </c:pt>
                <c:pt idx="5">
                  <c:v>506.80714285714288</c:v>
                </c:pt>
                <c:pt idx="6">
                  <c:v>513.79999999999995</c:v>
                </c:pt>
                <c:pt idx="7">
                  <c:v>516.17142857142858</c:v>
                </c:pt>
                <c:pt idx="8">
                  <c:v>517.87142857142862</c:v>
                </c:pt>
                <c:pt idx="9">
                  <c:v>520.42857142857144</c:v>
                </c:pt>
                <c:pt idx="10">
                  <c:v>522.35714285714289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DD-4499-A499-7A0F25EB1195}"/>
            </c:ext>
          </c:extLst>
        </c:ser>
        <c:ser>
          <c:idx val="5"/>
          <c:order val="5"/>
          <c:tx>
            <c:strRef>
              <c:f>FINAL!$K$3:$K$4</c:f>
              <c:strCache>
                <c:ptCount val="1"/>
                <c:pt idx="0">
                  <c:v>GTFT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FINAL!$E$5:$E$16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FINAL!$K$5:$K$16</c:f>
              <c:numCache>
                <c:formatCode>General</c:formatCode>
                <c:ptCount val="11"/>
                <c:pt idx="0">
                  <c:v>528.41428571428571</c:v>
                </c:pt>
                <c:pt idx="1">
                  <c:v>530.49285714285713</c:v>
                </c:pt>
                <c:pt idx="2">
                  <c:v>534.15714285714284</c:v>
                </c:pt>
                <c:pt idx="3">
                  <c:v>538.58571428571429</c:v>
                </c:pt>
                <c:pt idx="4">
                  <c:v>543.84285714285716</c:v>
                </c:pt>
                <c:pt idx="5">
                  <c:v>542.79285714285709</c:v>
                </c:pt>
                <c:pt idx="6">
                  <c:v>547.14285714285711</c:v>
                </c:pt>
                <c:pt idx="7">
                  <c:v>548.74285714285713</c:v>
                </c:pt>
                <c:pt idx="8">
                  <c:v>553.88571428571424</c:v>
                </c:pt>
                <c:pt idx="9">
                  <c:v>559.5</c:v>
                </c:pt>
                <c:pt idx="10">
                  <c:v>559.5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DD-4499-A499-7A0F25EB1195}"/>
            </c:ext>
          </c:extLst>
        </c:ser>
        <c:ser>
          <c:idx val="6"/>
          <c:order val="6"/>
          <c:tx>
            <c:strRef>
              <c:f>FINAL!$L$3:$L$4</c:f>
              <c:strCache>
                <c:ptCount val="1"/>
                <c:pt idx="0">
                  <c:v>Hard Go By Majority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FINAL!$E$5:$E$16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FINAL!$L$5:$L$16</c:f>
              <c:numCache>
                <c:formatCode>General</c:formatCode>
                <c:ptCount val="11"/>
                <c:pt idx="0">
                  <c:v>447.14285714285717</c:v>
                </c:pt>
                <c:pt idx="1">
                  <c:v>451.72142857142859</c:v>
                </c:pt>
                <c:pt idx="2">
                  <c:v>476.01428571428573</c:v>
                </c:pt>
                <c:pt idx="3">
                  <c:v>484.56428571428569</c:v>
                </c:pt>
                <c:pt idx="4">
                  <c:v>504.7</c:v>
                </c:pt>
                <c:pt idx="5">
                  <c:v>509.04285714285714</c:v>
                </c:pt>
                <c:pt idx="6">
                  <c:v>516.7285714285714</c:v>
                </c:pt>
                <c:pt idx="7">
                  <c:v>529.75714285714287</c:v>
                </c:pt>
                <c:pt idx="8">
                  <c:v>550.71428571428567</c:v>
                </c:pt>
                <c:pt idx="9">
                  <c:v>560.1</c:v>
                </c:pt>
                <c:pt idx="10">
                  <c:v>572.9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DD-4499-A499-7A0F25EB1195}"/>
            </c:ext>
          </c:extLst>
        </c:ser>
        <c:ser>
          <c:idx val="7"/>
          <c:order val="7"/>
          <c:tx>
            <c:strRef>
              <c:f>FINAL!$M$3:$M$4</c:f>
              <c:strCache>
                <c:ptCount val="1"/>
                <c:pt idx="0">
                  <c:v>Hard Tit For 2 Tats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FINAL!$E$5:$E$16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FINAL!$M$5:$M$16</c:f>
              <c:numCache>
                <c:formatCode>General</c:formatCode>
                <c:ptCount val="11"/>
                <c:pt idx="0">
                  <c:v>518.12857142857138</c:v>
                </c:pt>
                <c:pt idx="1">
                  <c:v>526.04999999999995</c:v>
                </c:pt>
                <c:pt idx="2">
                  <c:v>521.51428571428573</c:v>
                </c:pt>
                <c:pt idx="3">
                  <c:v>516.97142857142853</c:v>
                </c:pt>
                <c:pt idx="4">
                  <c:v>514.05714285714282</c:v>
                </c:pt>
                <c:pt idx="5">
                  <c:v>524.07857142857142</c:v>
                </c:pt>
                <c:pt idx="6">
                  <c:v>521.07142857142856</c:v>
                </c:pt>
                <c:pt idx="7">
                  <c:v>525.51428571428573</c:v>
                </c:pt>
                <c:pt idx="8">
                  <c:v>531</c:v>
                </c:pt>
                <c:pt idx="9">
                  <c:v>530.13571428571424</c:v>
                </c:pt>
                <c:pt idx="10">
                  <c:v>534.52857142857147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DDD-4499-A499-7A0F25EB1195}"/>
            </c:ext>
          </c:extLst>
        </c:ser>
        <c:ser>
          <c:idx val="8"/>
          <c:order val="8"/>
          <c:tx>
            <c:strRef>
              <c:f>FINAL!$N$3:$N$4</c:f>
              <c:strCache>
                <c:ptCount val="1"/>
                <c:pt idx="0">
                  <c:v>Hard Tit For Tat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FINAL!$E$5:$E$16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FINAL!$N$5:$N$16</c:f>
              <c:numCache>
                <c:formatCode>General</c:formatCode>
                <c:ptCount val="11"/>
                <c:pt idx="0">
                  <c:v>485.82857142857142</c:v>
                </c:pt>
                <c:pt idx="1">
                  <c:v>489.6357142857143</c:v>
                </c:pt>
                <c:pt idx="2">
                  <c:v>492.04285714285714</c:v>
                </c:pt>
                <c:pt idx="3">
                  <c:v>496.6142857142857</c:v>
                </c:pt>
                <c:pt idx="4">
                  <c:v>498.1142857142857</c:v>
                </c:pt>
                <c:pt idx="5">
                  <c:v>502.8857142857143</c:v>
                </c:pt>
                <c:pt idx="6">
                  <c:v>504.02857142857141</c:v>
                </c:pt>
                <c:pt idx="7">
                  <c:v>507.15714285714284</c:v>
                </c:pt>
                <c:pt idx="8">
                  <c:v>511.24285714285713</c:v>
                </c:pt>
                <c:pt idx="9">
                  <c:v>514.4785714285714</c:v>
                </c:pt>
                <c:pt idx="10">
                  <c:v>515.70000000000005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DD-4499-A499-7A0F25EB1195}"/>
            </c:ext>
          </c:extLst>
        </c:ser>
        <c:ser>
          <c:idx val="9"/>
          <c:order val="9"/>
          <c:tx>
            <c:strRef>
              <c:f>FINAL!$O$3:$O$4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FINAL!$E$5:$E$16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FINAL!$O$5:$O$16</c:f>
              <c:numCache>
                <c:formatCode>General</c:formatCode>
                <c:ptCount val="11"/>
                <c:pt idx="0">
                  <c:v>434.27142857142854</c:v>
                </c:pt>
                <c:pt idx="1">
                  <c:v>446.72857142857146</c:v>
                </c:pt>
                <c:pt idx="2">
                  <c:v>451.3</c:v>
                </c:pt>
                <c:pt idx="3">
                  <c:v>474.05714285714288</c:v>
                </c:pt>
                <c:pt idx="4">
                  <c:v>502.98571428571427</c:v>
                </c:pt>
                <c:pt idx="5">
                  <c:v>536.25714285714287</c:v>
                </c:pt>
                <c:pt idx="6">
                  <c:v>543.04285714285709</c:v>
                </c:pt>
                <c:pt idx="7">
                  <c:v>570.67142857142858</c:v>
                </c:pt>
                <c:pt idx="8">
                  <c:v>607.11428571428576</c:v>
                </c:pt>
                <c:pt idx="9">
                  <c:v>590.45000000000005</c:v>
                </c:pt>
                <c:pt idx="10">
                  <c:v>640.01428571428573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DDD-4499-A499-7A0F25EB1195}"/>
            </c:ext>
          </c:extLst>
        </c:ser>
        <c:ser>
          <c:idx val="10"/>
          <c:order val="10"/>
          <c:tx>
            <c:strRef>
              <c:f>FINAL!$P$3:$P$4</c:f>
              <c:strCache>
                <c:ptCount val="1"/>
                <c:pt idx="0">
                  <c:v>Tit For 2 Tats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FINAL!$E$5:$E$16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FINAL!$P$5:$P$16</c:f>
              <c:numCache>
                <c:formatCode>General</c:formatCode>
                <c:ptCount val="11"/>
                <c:pt idx="0">
                  <c:v>525.70000000000005</c:v>
                </c:pt>
                <c:pt idx="1">
                  <c:v>525.41428571428571</c:v>
                </c:pt>
                <c:pt idx="2">
                  <c:v>526.48571428571427</c:v>
                </c:pt>
                <c:pt idx="3">
                  <c:v>523.53571428571433</c:v>
                </c:pt>
                <c:pt idx="4">
                  <c:v>519.78571428571433</c:v>
                </c:pt>
                <c:pt idx="5">
                  <c:v>526.42857142857144</c:v>
                </c:pt>
                <c:pt idx="6">
                  <c:v>526.1</c:v>
                </c:pt>
                <c:pt idx="7">
                  <c:v>519.37857142857138</c:v>
                </c:pt>
                <c:pt idx="8">
                  <c:v>532.70000000000005</c:v>
                </c:pt>
                <c:pt idx="9">
                  <c:v>534.73571428571427</c:v>
                </c:pt>
                <c:pt idx="10">
                  <c:v>536.87142857142862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DDD-4499-A499-7A0F25EB1195}"/>
            </c:ext>
          </c:extLst>
        </c:ser>
        <c:ser>
          <c:idx val="11"/>
          <c:order val="11"/>
          <c:tx>
            <c:strRef>
              <c:f>FINAL!$Q$3:$Q$4</c:f>
              <c:strCache>
                <c:ptCount val="1"/>
                <c:pt idx="0">
                  <c:v>Tit For Tat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FINAL!$E$5:$E$16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FINAL!$Q$5:$Q$16</c:f>
              <c:numCache>
                <c:formatCode>General</c:formatCode>
                <c:ptCount val="11"/>
                <c:pt idx="0">
                  <c:v>501.98571428571427</c:v>
                </c:pt>
                <c:pt idx="1">
                  <c:v>506.49285714285713</c:v>
                </c:pt>
                <c:pt idx="2">
                  <c:v>511.3</c:v>
                </c:pt>
                <c:pt idx="3">
                  <c:v>518.01428571428573</c:v>
                </c:pt>
                <c:pt idx="4">
                  <c:v>525.08571428571429</c:v>
                </c:pt>
                <c:pt idx="5">
                  <c:v>527.39285714285711</c:v>
                </c:pt>
                <c:pt idx="6">
                  <c:v>533.37142857142862</c:v>
                </c:pt>
                <c:pt idx="7">
                  <c:v>539.33571428571429</c:v>
                </c:pt>
                <c:pt idx="8">
                  <c:v>549.32857142857142</c:v>
                </c:pt>
                <c:pt idx="9">
                  <c:v>549.20714285714291</c:v>
                </c:pt>
                <c:pt idx="10">
                  <c:v>562.11428571428576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DDD-4499-A499-7A0F25EB1195}"/>
            </c:ext>
          </c:extLst>
        </c:ser>
        <c:ser>
          <c:idx val="12"/>
          <c:order val="12"/>
          <c:tx>
            <c:strRef>
              <c:f>FINAL!$R$3:$R$4</c:f>
              <c:strCache>
                <c:ptCount val="1"/>
                <c:pt idx="0">
                  <c:v>Win-Stay Lose-Shift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FINAL!$E$5:$E$16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FINAL!$R$5:$R$16</c:f>
              <c:numCache>
                <c:formatCode>General</c:formatCode>
                <c:ptCount val="11"/>
                <c:pt idx="0">
                  <c:v>483.27142857142854</c:v>
                </c:pt>
                <c:pt idx="1">
                  <c:v>489.75714285714287</c:v>
                </c:pt>
                <c:pt idx="2">
                  <c:v>495.1142857142857</c:v>
                </c:pt>
                <c:pt idx="3">
                  <c:v>498.21428571428572</c:v>
                </c:pt>
                <c:pt idx="4">
                  <c:v>507.97142857142859</c:v>
                </c:pt>
                <c:pt idx="5">
                  <c:v>511.44285714285712</c:v>
                </c:pt>
                <c:pt idx="6">
                  <c:v>519.6</c:v>
                </c:pt>
                <c:pt idx="7">
                  <c:v>518.47142857142853</c:v>
                </c:pt>
                <c:pt idx="8">
                  <c:v>528.4</c:v>
                </c:pt>
                <c:pt idx="9">
                  <c:v>531.82857142857142</c:v>
                </c:pt>
                <c:pt idx="10">
                  <c:v>539.34285714285716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DDD-4499-A499-7A0F25EB1195}"/>
            </c:ext>
          </c:extLst>
        </c:ser>
        <c:ser>
          <c:idx val="13"/>
          <c:order val="13"/>
          <c:tx>
            <c:strRef>
              <c:f>FINAL!$S$3:$S$4</c:f>
              <c:strCache>
                <c:ptCount val="1"/>
                <c:pt idx="0">
                  <c:v>ZD-Extort-2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FINAL!$E$5:$E$16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FINAL!$S$5:$S$16</c:f>
              <c:numCache>
                <c:formatCode>General</c:formatCode>
                <c:ptCount val="11"/>
                <c:pt idx="0">
                  <c:v>374.4</c:v>
                </c:pt>
                <c:pt idx="1">
                  <c:v>389.56428571428569</c:v>
                </c:pt>
                <c:pt idx="2">
                  <c:v>398.1142857142857</c:v>
                </c:pt>
                <c:pt idx="3">
                  <c:v>403.17857142857144</c:v>
                </c:pt>
                <c:pt idx="4">
                  <c:v>423.8</c:v>
                </c:pt>
                <c:pt idx="5">
                  <c:v>423.37857142857143</c:v>
                </c:pt>
                <c:pt idx="6">
                  <c:v>436.24285714285713</c:v>
                </c:pt>
                <c:pt idx="7">
                  <c:v>424.41428571428571</c:v>
                </c:pt>
                <c:pt idx="8">
                  <c:v>465.54285714285714</c:v>
                </c:pt>
                <c:pt idx="9">
                  <c:v>475.75</c:v>
                </c:pt>
                <c:pt idx="10">
                  <c:v>480.74285714285713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DDD-4499-A499-7A0F25EB1195}"/>
            </c:ext>
          </c:extLst>
        </c:ser>
        <c:ser>
          <c:idx val="14"/>
          <c:order val="14"/>
          <c:tx>
            <c:strRef>
              <c:f>FINAL!$T$3:$T$4</c:f>
              <c:strCache>
                <c:ptCount val="1"/>
                <c:pt idx="0">
                  <c:v>ZD-GTFT-2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FINAL!$E$5:$E$16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FINAL!$T$5:$T$16</c:f>
              <c:numCache>
                <c:formatCode>General</c:formatCode>
                <c:ptCount val="11"/>
                <c:pt idx="0">
                  <c:v>526</c:v>
                </c:pt>
                <c:pt idx="1">
                  <c:v>528.00714285714287</c:v>
                </c:pt>
                <c:pt idx="2">
                  <c:v>537.9</c:v>
                </c:pt>
                <c:pt idx="3">
                  <c:v>542.98571428571427</c:v>
                </c:pt>
                <c:pt idx="4">
                  <c:v>548.81428571428569</c:v>
                </c:pt>
                <c:pt idx="5">
                  <c:v>564.84285714285716</c:v>
                </c:pt>
                <c:pt idx="6">
                  <c:v>573.25714285714287</c:v>
                </c:pt>
                <c:pt idx="7">
                  <c:v>575.28571428571433</c:v>
                </c:pt>
                <c:pt idx="8">
                  <c:v>590.98571428571427</c:v>
                </c:pt>
                <c:pt idx="9">
                  <c:v>597.88571428571424</c:v>
                </c:pt>
                <c:pt idx="10">
                  <c:v>605.79999999999995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DDD-4499-A499-7A0F25EB1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937583"/>
        <c:axId val="1544938063"/>
      </c:lineChart>
      <c:catAx>
        <c:axId val="154493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38063"/>
        <c:crosses val="autoZero"/>
        <c:auto val="1"/>
        <c:lblAlgn val="ctr"/>
        <c:lblOffset val="100"/>
        <c:noMultiLvlLbl val="0"/>
      </c:catAx>
      <c:valAx>
        <c:axId val="1544938063"/>
        <c:scaling>
          <c:orientation val="minMax"/>
          <c:max val="650"/>
          <c:min val="3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93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[axelord_t_values.xlsx]FINAL!PivotTable19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FINAL!$F$53:$F$54</c:f>
              <c:strCache>
                <c:ptCount val="1"/>
                <c:pt idx="0">
                  <c:v>Cooperator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FINAL!$E$55:$E$66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FINAL!$F$55:$F$66</c:f>
              <c:numCache>
                <c:formatCode>General</c:formatCode>
                <c:ptCount val="11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8</c:v>
                </c:pt>
                <c:pt idx="8">
                  <c:v>10</c:v>
                </c:pt>
                <c:pt idx="9">
                  <c:v>10</c:v>
                </c:pt>
                <c:pt idx="1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49-44F1-BCC9-A8416AA9B1A0}"/>
            </c:ext>
          </c:extLst>
        </c:ser>
        <c:ser>
          <c:idx val="1"/>
          <c:order val="1"/>
          <c:tx>
            <c:strRef>
              <c:f>FINAL!$G$53:$G$54</c:f>
              <c:strCache>
                <c:ptCount val="1"/>
                <c:pt idx="0">
                  <c:v>Defector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FINAL!$E$55:$E$66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FINAL!$G$55:$G$66</c:f>
              <c:numCache>
                <c:formatCode>General</c:formatCode>
                <c:ptCount val="11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14</c:v>
                </c:pt>
                <c:pt idx="4">
                  <c:v>15</c:v>
                </c:pt>
                <c:pt idx="5">
                  <c:v>14</c:v>
                </c:pt>
                <c:pt idx="6">
                  <c:v>14</c:v>
                </c:pt>
                <c:pt idx="7">
                  <c:v>13</c:v>
                </c:pt>
                <c:pt idx="8">
                  <c:v>14</c:v>
                </c:pt>
                <c:pt idx="9">
                  <c:v>12</c:v>
                </c:pt>
                <c:pt idx="1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49-44F1-BCC9-A8416AA9B1A0}"/>
            </c:ext>
          </c:extLst>
        </c:ser>
        <c:ser>
          <c:idx val="2"/>
          <c:order val="2"/>
          <c:tx>
            <c:strRef>
              <c:f>FINAL!$H$53:$H$54</c:f>
              <c:strCache>
                <c:ptCount val="1"/>
                <c:pt idx="0">
                  <c:v>First by Joss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FINAL!$E$55:$E$66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FINAL!$H$55:$H$66</c:f>
              <c:numCache>
                <c:formatCode>General</c:formatCode>
                <c:ptCount val="11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14</c:v>
                </c:pt>
                <c:pt idx="8">
                  <c:v>13</c:v>
                </c:pt>
                <c:pt idx="9">
                  <c:v>14</c:v>
                </c:pt>
                <c:pt idx="1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49-44F1-BCC9-A8416AA9B1A0}"/>
            </c:ext>
          </c:extLst>
        </c:ser>
        <c:ser>
          <c:idx val="3"/>
          <c:order val="3"/>
          <c:tx>
            <c:strRef>
              <c:f>FINAL!$I$53:$I$54</c:f>
              <c:strCache>
                <c:ptCount val="1"/>
                <c:pt idx="0">
                  <c:v>Fuzzy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FINAL!$E$55:$E$66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FINAL!$I$55:$I$66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49-44F1-BCC9-A8416AA9B1A0}"/>
            </c:ext>
          </c:extLst>
        </c:ser>
        <c:ser>
          <c:idx val="4"/>
          <c:order val="4"/>
          <c:tx>
            <c:strRef>
              <c:f>FINAL!$J$53:$J$54</c:f>
              <c:strCache>
                <c:ptCount val="1"/>
                <c:pt idx="0">
                  <c:v>Grudger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FINAL!$E$55:$E$66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FINAL!$J$55:$J$66</c:f>
              <c:numCache>
                <c:formatCode>General</c:formatCode>
                <c:ptCount val="1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49-44F1-BCC9-A8416AA9B1A0}"/>
            </c:ext>
          </c:extLst>
        </c:ser>
        <c:ser>
          <c:idx val="5"/>
          <c:order val="5"/>
          <c:tx>
            <c:strRef>
              <c:f>FINAL!$K$53:$K$54</c:f>
              <c:strCache>
                <c:ptCount val="1"/>
                <c:pt idx="0">
                  <c:v>GTFT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FINAL!$E$55:$E$66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FINAL!$K$55:$K$66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49-44F1-BCC9-A8416AA9B1A0}"/>
            </c:ext>
          </c:extLst>
        </c:ser>
        <c:ser>
          <c:idx val="6"/>
          <c:order val="6"/>
          <c:tx>
            <c:strRef>
              <c:f>FINAL!$L$53:$L$54</c:f>
              <c:strCache>
                <c:ptCount val="1"/>
                <c:pt idx="0">
                  <c:v>Hard Go By Majority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FINAL!$E$55:$E$66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FINAL!$L$55:$L$66</c:f>
              <c:numCache>
                <c:formatCode>General</c:formatCode>
                <c:ptCount val="11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49-44F1-BCC9-A8416AA9B1A0}"/>
            </c:ext>
          </c:extLst>
        </c:ser>
        <c:ser>
          <c:idx val="7"/>
          <c:order val="7"/>
          <c:tx>
            <c:strRef>
              <c:f>FINAL!$M$53:$M$54</c:f>
              <c:strCache>
                <c:ptCount val="1"/>
                <c:pt idx="0">
                  <c:v>Hard Tit For 2 Tats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FINAL!$E$55:$E$66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FINAL!$M$55:$M$66</c:f>
              <c:numCache>
                <c:formatCode>General</c:formatCode>
                <c:ptCount val="11"/>
                <c:pt idx="0">
                  <c:v>6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49-44F1-BCC9-A8416AA9B1A0}"/>
            </c:ext>
          </c:extLst>
        </c:ser>
        <c:ser>
          <c:idx val="8"/>
          <c:order val="8"/>
          <c:tx>
            <c:strRef>
              <c:f>FINAL!$N$53:$N$54</c:f>
              <c:strCache>
                <c:ptCount val="1"/>
                <c:pt idx="0">
                  <c:v>Hard Tit For Tat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FINAL!$E$55:$E$66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FINAL!$N$55:$N$66</c:f>
              <c:numCache>
                <c:formatCode>General</c:formatCode>
                <c:ptCount val="1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349-44F1-BCC9-A8416AA9B1A0}"/>
            </c:ext>
          </c:extLst>
        </c:ser>
        <c:ser>
          <c:idx val="9"/>
          <c:order val="9"/>
          <c:tx>
            <c:strRef>
              <c:f>FINAL!$O$53:$O$54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FINAL!$E$55:$E$66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FINAL!$O$55:$O$66</c:f>
              <c:numCache>
                <c:formatCode>General</c:formatCode>
                <c:ptCount val="1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349-44F1-BCC9-A8416AA9B1A0}"/>
            </c:ext>
          </c:extLst>
        </c:ser>
        <c:ser>
          <c:idx val="10"/>
          <c:order val="10"/>
          <c:tx>
            <c:strRef>
              <c:f>FINAL!$P$53:$P$54</c:f>
              <c:strCache>
                <c:ptCount val="1"/>
                <c:pt idx="0">
                  <c:v>Tit For 2 Tats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FINAL!$E$55:$E$66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FINAL!$P$55:$P$66</c:f>
              <c:numCache>
                <c:formatCode>General</c:formatCode>
                <c:ptCount val="11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9</c:v>
                </c:pt>
                <c:pt idx="8">
                  <c:v>7</c:v>
                </c:pt>
                <c:pt idx="9">
                  <c:v>7</c:v>
                </c:pt>
                <c:pt idx="1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349-44F1-BCC9-A8416AA9B1A0}"/>
            </c:ext>
          </c:extLst>
        </c:ser>
        <c:ser>
          <c:idx val="11"/>
          <c:order val="11"/>
          <c:tx>
            <c:strRef>
              <c:f>FINAL!$Q$53:$Q$54</c:f>
              <c:strCache>
                <c:ptCount val="1"/>
                <c:pt idx="0">
                  <c:v>Tit For Tat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FINAL!$E$55:$E$66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FINAL!$Q$55:$Q$66</c:f>
              <c:numCache>
                <c:formatCode>General</c:formatCode>
                <c:ptCount val="11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349-44F1-BCC9-A8416AA9B1A0}"/>
            </c:ext>
          </c:extLst>
        </c:ser>
        <c:ser>
          <c:idx val="12"/>
          <c:order val="12"/>
          <c:tx>
            <c:strRef>
              <c:f>FINAL!$R$53:$R$54</c:f>
              <c:strCache>
                <c:ptCount val="1"/>
                <c:pt idx="0">
                  <c:v>Win-Stay Lose-Shift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FINAL!$E$55:$E$66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FINAL!$R$55:$R$66</c:f>
              <c:numCache>
                <c:formatCode>General</c:formatCode>
                <c:ptCount val="11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349-44F1-BCC9-A8416AA9B1A0}"/>
            </c:ext>
          </c:extLst>
        </c:ser>
        <c:ser>
          <c:idx val="13"/>
          <c:order val="13"/>
          <c:tx>
            <c:strRef>
              <c:f>FINAL!$S$53:$S$54</c:f>
              <c:strCache>
                <c:ptCount val="1"/>
                <c:pt idx="0">
                  <c:v>ZD-Extort-2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FINAL!$E$55:$E$66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FINAL!$S$55:$S$66</c:f>
              <c:numCache>
                <c:formatCode>General</c:formatCode>
                <c:ptCount val="11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15</c:v>
                </c:pt>
                <c:pt idx="4">
                  <c:v>14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349-44F1-BCC9-A8416AA9B1A0}"/>
            </c:ext>
          </c:extLst>
        </c:ser>
        <c:ser>
          <c:idx val="14"/>
          <c:order val="14"/>
          <c:tx>
            <c:strRef>
              <c:f>FINAL!$T$53:$T$54</c:f>
              <c:strCache>
                <c:ptCount val="1"/>
                <c:pt idx="0">
                  <c:v>ZD-GTFT-2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FINAL!$E$55:$E$66</c:f>
              <c:strCache>
                <c:ptCount val="11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7.5</c:v>
                </c:pt>
                <c:pt idx="6">
                  <c:v>8</c:v>
                </c:pt>
                <c:pt idx="7">
                  <c:v>8.5</c:v>
                </c:pt>
                <c:pt idx="8">
                  <c:v>9</c:v>
                </c:pt>
                <c:pt idx="9">
                  <c:v>9.5</c:v>
                </c:pt>
                <c:pt idx="10">
                  <c:v>10</c:v>
                </c:pt>
              </c:strCache>
            </c:strRef>
          </c:cat>
          <c:val>
            <c:numRef>
              <c:f>FINAL!$T$55:$T$66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349-44F1-BCC9-A8416AA9B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215631"/>
        <c:axId val="458214671"/>
      </c:lineChart>
      <c:catAx>
        <c:axId val="45821563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14671"/>
        <c:crosses val="autoZero"/>
        <c:auto val="1"/>
        <c:lblAlgn val="ctr"/>
        <c:lblOffset val="100"/>
        <c:noMultiLvlLbl val="0"/>
      </c:catAx>
      <c:valAx>
        <c:axId val="45821467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1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102289</xdr:colOff>
      <xdr:row>17</xdr:row>
      <xdr:rowOff>155505</xdr:rowOff>
    </xdr:from>
    <xdr:to>
      <xdr:col>17</xdr:col>
      <xdr:colOff>56697</xdr:colOff>
      <xdr:row>50</xdr:row>
      <xdr:rowOff>181428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9A31FD-864D-F3A9-1AB3-75967208A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248330</xdr:colOff>
      <xdr:row>66</xdr:row>
      <xdr:rowOff>62818</xdr:rowOff>
    </xdr:from>
    <xdr:to>
      <xdr:col>13</xdr:col>
      <xdr:colOff>113393</xdr:colOff>
      <xdr:row>92</xdr:row>
      <xdr:rowOff>147410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3AD1351-C6E9-6690-9B3E-715BC0A15D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gnjen" refreshedDate="46057.595463888887" createdVersion="8" refreshedVersion="8" minRefreshableVersion="3" recordCount="166" xr:uid="{D4539B07-886C-4C43-8C7D-C25143A784D3}">
  <cacheSource type="worksheet">
    <worksheetSource ref="A1:C1048576" sheet="FINAL"/>
  </cacheSource>
  <cacheFields count="3">
    <cacheField name="T" numFmtId="0">
      <sharedItems containsString="0" containsBlank="1" containsNumber="1" minValue="5" maxValue="10" count="12">
        <n v="5"/>
        <n v="5.5"/>
        <n v="6"/>
        <n v="6.5"/>
        <n v="7"/>
        <n v="7.5"/>
        <n v="8"/>
        <n v="8.5"/>
        <n v="9"/>
        <n v="9.5"/>
        <n v="10"/>
        <m/>
      </sharedItems>
    </cacheField>
    <cacheField name="Strategy" numFmtId="0">
      <sharedItems containsBlank="1" count="16">
        <s v="Fuzzy"/>
        <s v="GTFT"/>
        <s v="ZD-GTFT-2"/>
        <s v="Tit For 2 Tats"/>
        <s v="Cooperator"/>
        <s v="Hard Tit For 2 Tats"/>
        <s v="Tit For Tat"/>
        <s v="Grudger"/>
        <s v="Hard Tit For Tat"/>
        <s v="Win-Stay Lose-Shift"/>
        <s v="Hard Go By Majority"/>
        <s v="Random"/>
        <s v="First by Joss"/>
        <s v="ZD-Extort-2"/>
        <s v="Defector"/>
        <m/>
      </sharedItems>
    </cacheField>
    <cacheField name="Avg. Score" numFmtId="0">
      <sharedItems containsString="0" containsBlank="1" containsNumber="1" minValue="349.31428571428569" maxValue="640.014285714285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gnjen" refreshedDate="46057.600967129627" createdVersion="8" refreshedVersion="8" minRefreshableVersion="3" recordCount="165" xr:uid="{5742AA12-E550-4DB9-AC5B-7BC830984758}">
  <cacheSource type="worksheet">
    <worksheetSource ref="A1:D166" sheet="FINAL"/>
  </cacheSource>
  <cacheFields count="4">
    <cacheField name="T" numFmtId="0">
      <sharedItems containsSemiMixedTypes="0" containsString="0" containsNumber="1" minValue="5" maxValue="10" count="11">
        <n v="5"/>
        <n v="5.5"/>
        <n v="6"/>
        <n v="6.5"/>
        <n v="7"/>
        <n v="7.5"/>
        <n v="8"/>
        <n v="8.5"/>
        <n v="9"/>
        <n v="9.5"/>
        <n v="10"/>
      </sharedItems>
    </cacheField>
    <cacheField name="Strategy" numFmtId="0">
      <sharedItems count="15">
        <s v="Fuzzy"/>
        <s v="GTFT"/>
        <s v="ZD-GTFT-2"/>
        <s v="Tit For 2 Tats"/>
        <s v="Cooperator"/>
        <s v="Hard Tit For 2 Tats"/>
        <s v="Tit For Tat"/>
        <s v="Grudger"/>
        <s v="Hard Tit For Tat"/>
        <s v="Win-Stay Lose-Shift"/>
        <s v="Hard Go By Majority"/>
        <s v="Random"/>
        <s v="First by Joss"/>
        <s v="ZD-Extort-2"/>
        <s v="Defector"/>
      </sharedItems>
    </cacheField>
    <cacheField name="Avg. Score" numFmtId="0">
      <sharedItems containsSemiMixedTypes="0" containsString="0" containsNumber="1" minValue="349.31428571428569" maxValue="640.01428571428573"/>
    </cacheField>
    <cacheField name="Rank" numFmtId="0">
      <sharedItems containsSemiMixedTypes="0" containsString="0" containsNumber="1" containsInteger="1" minValue="1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x v="0"/>
    <x v="0"/>
    <n v="541.74285714285713"/>
  </r>
  <r>
    <x v="1"/>
    <x v="0"/>
    <n v="553.08571428571429"/>
  </r>
  <r>
    <x v="2"/>
    <x v="0"/>
    <n v="551.05714285714282"/>
  </r>
  <r>
    <x v="3"/>
    <x v="0"/>
    <n v="558.30714285714282"/>
  </r>
  <r>
    <x v="4"/>
    <x v="0"/>
    <n v="554.84285714285716"/>
  </r>
  <r>
    <x v="5"/>
    <x v="0"/>
    <n v="555.45000000000005"/>
  </r>
  <r>
    <x v="6"/>
    <x v="0"/>
    <n v="573.2714285714286"/>
  </r>
  <r>
    <x v="7"/>
    <x v="0"/>
    <n v="566.98571428571427"/>
  </r>
  <r>
    <x v="8"/>
    <x v="0"/>
    <n v="555.54285714285709"/>
  </r>
  <r>
    <x v="9"/>
    <x v="0"/>
    <n v="590.45000000000005"/>
  </r>
  <r>
    <x v="10"/>
    <x v="0"/>
    <n v="584.61428571428576"/>
  </r>
  <r>
    <x v="0"/>
    <x v="1"/>
    <n v="528.41428571428571"/>
  </r>
  <r>
    <x v="1"/>
    <x v="1"/>
    <n v="530.49285714285713"/>
  </r>
  <r>
    <x v="2"/>
    <x v="1"/>
    <n v="534.15714285714284"/>
  </r>
  <r>
    <x v="3"/>
    <x v="1"/>
    <n v="538.58571428571429"/>
  </r>
  <r>
    <x v="4"/>
    <x v="1"/>
    <n v="543.84285714285716"/>
  </r>
  <r>
    <x v="5"/>
    <x v="1"/>
    <n v="542.79285714285709"/>
  </r>
  <r>
    <x v="6"/>
    <x v="1"/>
    <n v="547.14285714285711"/>
  </r>
  <r>
    <x v="7"/>
    <x v="1"/>
    <n v="548.74285714285713"/>
  </r>
  <r>
    <x v="8"/>
    <x v="1"/>
    <n v="553.88571428571424"/>
  </r>
  <r>
    <x v="9"/>
    <x v="1"/>
    <n v="559.5"/>
  </r>
  <r>
    <x v="10"/>
    <x v="1"/>
    <n v="559.5"/>
  </r>
  <r>
    <x v="0"/>
    <x v="2"/>
    <n v="526"/>
  </r>
  <r>
    <x v="1"/>
    <x v="2"/>
    <n v="528.00714285714287"/>
  </r>
  <r>
    <x v="2"/>
    <x v="2"/>
    <n v="537.9"/>
  </r>
  <r>
    <x v="3"/>
    <x v="2"/>
    <n v="542.98571428571427"/>
  </r>
  <r>
    <x v="4"/>
    <x v="2"/>
    <n v="548.81428571428569"/>
  </r>
  <r>
    <x v="5"/>
    <x v="2"/>
    <n v="564.84285714285716"/>
  </r>
  <r>
    <x v="6"/>
    <x v="2"/>
    <n v="573.25714285714287"/>
  </r>
  <r>
    <x v="7"/>
    <x v="2"/>
    <n v="575.28571428571433"/>
  </r>
  <r>
    <x v="8"/>
    <x v="2"/>
    <n v="590.98571428571427"/>
  </r>
  <r>
    <x v="9"/>
    <x v="2"/>
    <n v="597.88571428571424"/>
  </r>
  <r>
    <x v="10"/>
    <x v="2"/>
    <n v="605.79999999999995"/>
  </r>
  <r>
    <x v="0"/>
    <x v="3"/>
    <n v="525.70000000000005"/>
  </r>
  <r>
    <x v="1"/>
    <x v="3"/>
    <n v="525.41428571428571"/>
  </r>
  <r>
    <x v="2"/>
    <x v="3"/>
    <n v="526.48571428571427"/>
  </r>
  <r>
    <x v="3"/>
    <x v="3"/>
    <n v="523.53571428571433"/>
  </r>
  <r>
    <x v="4"/>
    <x v="3"/>
    <n v="519.78571428571433"/>
  </r>
  <r>
    <x v="5"/>
    <x v="3"/>
    <n v="526.42857142857144"/>
  </r>
  <r>
    <x v="6"/>
    <x v="3"/>
    <n v="526.1"/>
  </r>
  <r>
    <x v="7"/>
    <x v="3"/>
    <n v="519.37857142857138"/>
  </r>
  <r>
    <x v="8"/>
    <x v="3"/>
    <n v="532.70000000000005"/>
  </r>
  <r>
    <x v="9"/>
    <x v="3"/>
    <n v="534.73571428571427"/>
  </r>
  <r>
    <x v="10"/>
    <x v="3"/>
    <n v="536.87142857142862"/>
  </r>
  <r>
    <x v="0"/>
    <x v="4"/>
    <n v="518.91428571428571"/>
  </r>
  <r>
    <x v="1"/>
    <x v="4"/>
    <n v="520.45714285714291"/>
  </r>
  <r>
    <x v="2"/>
    <x v="4"/>
    <n v="519"/>
  </r>
  <r>
    <x v="3"/>
    <x v="4"/>
    <n v="524.74285714285713"/>
  </r>
  <r>
    <x v="4"/>
    <x v="4"/>
    <n v="522.17142857142858"/>
  </r>
  <r>
    <x v="5"/>
    <x v="4"/>
    <n v="523.84285714285716"/>
  </r>
  <r>
    <x v="6"/>
    <x v="4"/>
    <n v="523.07142857142856"/>
  </r>
  <r>
    <x v="7"/>
    <x v="4"/>
    <n v="523.67142857142858"/>
  </r>
  <r>
    <x v="8"/>
    <x v="4"/>
    <n v="522.42857142857144"/>
  </r>
  <r>
    <x v="9"/>
    <x v="4"/>
    <n v="524.78571428571433"/>
  </r>
  <r>
    <x v="10"/>
    <x v="4"/>
    <n v="524.70000000000005"/>
  </r>
  <r>
    <x v="0"/>
    <x v="5"/>
    <n v="518.12857142857138"/>
  </r>
  <r>
    <x v="1"/>
    <x v="5"/>
    <n v="526.04999999999995"/>
  </r>
  <r>
    <x v="2"/>
    <x v="5"/>
    <n v="521.51428571428573"/>
  </r>
  <r>
    <x v="3"/>
    <x v="5"/>
    <n v="516.97142857142853"/>
  </r>
  <r>
    <x v="4"/>
    <x v="5"/>
    <n v="514.05714285714282"/>
  </r>
  <r>
    <x v="5"/>
    <x v="5"/>
    <n v="524.07857142857142"/>
  </r>
  <r>
    <x v="6"/>
    <x v="5"/>
    <n v="521.07142857142856"/>
  </r>
  <r>
    <x v="7"/>
    <x v="5"/>
    <n v="525.51428571428573"/>
  </r>
  <r>
    <x v="8"/>
    <x v="5"/>
    <n v="531"/>
  </r>
  <r>
    <x v="9"/>
    <x v="5"/>
    <n v="530.13571428571424"/>
  </r>
  <r>
    <x v="10"/>
    <x v="5"/>
    <n v="534.52857142857147"/>
  </r>
  <r>
    <x v="0"/>
    <x v="6"/>
    <n v="501.98571428571427"/>
  </r>
  <r>
    <x v="1"/>
    <x v="6"/>
    <n v="506.49285714285713"/>
  </r>
  <r>
    <x v="2"/>
    <x v="6"/>
    <n v="511.3"/>
  </r>
  <r>
    <x v="3"/>
    <x v="6"/>
    <n v="518.01428571428573"/>
  </r>
  <r>
    <x v="4"/>
    <x v="6"/>
    <n v="525.08571428571429"/>
  </r>
  <r>
    <x v="5"/>
    <x v="6"/>
    <n v="527.39285714285711"/>
  </r>
  <r>
    <x v="6"/>
    <x v="6"/>
    <n v="533.37142857142862"/>
  </r>
  <r>
    <x v="7"/>
    <x v="6"/>
    <n v="539.33571428571429"/>
  </r>
  <r>
    <x v="8"/>
    <x v="6"/>
    <n v="549.32857142857142"/>
  </r>
  <r>
    <x v="9"/>
    <x v="6"/>
    <n v="549.20714285714291"/>
  </r>
  <r>
    <x v="10"/>
    <x v="6"/>
    <n v="562.11428571428576"/>
  </r>
  <r>
    <x v="0"/>
    <x v="7"/>
    <n v="488.47142857142859"/>
  </r>
  <r>
    <x v="1"/>
    <x v="7"/>
    <n v="490.30714285714288"/>
  </r>
  <r>
    <x v="2"/>
    <x v="7"/>
    <n v="498.65714285714284"/>
  </r>
  <r>
    <x v="3"/>
    <x v="7"/>
    <n v="500.00714285714287"/>
  </r>
  <r>
    <x v="4"/>
    <x v="7"/>
    <n v="505.04285714285714"/>
  </r>
  <r>
    <x v="5"/>
    <x v="7"/>
    <n v="506.80714285714288"/>
  </r>
  <r>
    <x v="6"/>
    <x v="7"/>
    <n v="513.79999999999995"/>
  </r>
  <r>
    <x v="7"/>
    <x v="7"/>
    <n v="516.17142857142858"/>
  </r>
  <r>
    <x v="8"/>
    <x v="7"/>
    <n v="517.87142857142862"/>
  </r>
  <r>
    <x v="9"/>
    <x v="7"/>
    <n v="520.42857142857144"/>
  </r>
  <r>
    <x v="10"/>
    <x v="7"/>
    <n v="522.35714285714289"/>
  </r>
  <r>
    <x v="0"/>
    <x v="8"/>
    <n v="485.82857142857142"/>
  </r>
  <r>
    <x v="1"/>
    <x v="8"/>
    <n v="489.6357142857143"/>
  </r>
  <r>
    <x v="2"/>
    <x v="8"/>
    <n v="492.04285714285714"/>
  </r>
  <r>
    <x v="3"/>
    <x v="8"/>
    <n v="496.6142857142857"/>
  </r>
  <r>
    <x v="4"/>
    <x v="8"/>
    <n v="498.1142857142857"/>
  </r>
  <r>
    <x v="5"/>
    <x v="8"/>
    <n v="502.8857142857143"/>
  </r>
  <r>
    <x v="6"/>
    <x v="8"/>
    <n v="504.02857142857141"/>
  </r>
  <r>
    <x v="7"/>
    <x v="8"/>
    <n v="507.15714285714284"/>
  </r>
  <r>
    <x v="8"/>
    <x v="8"/>
    <n v="511.24285714285713"/>
  </r>
  <r>
    <x v="9"/>
    <x v="8"/>
    <n v="514.4785714285714"/>
  </r>
  <r>
    <x v="10"/>
    <x v="8"/>
    <n v="515.70000000000005"/>
  </r>
  <r>
    <x v="0"/>
    <x v="9"/>
    <n v="483.27142857142854"/>
  </r>
  <r>
    <x v="1"/>
    <x v="9"/>
    <n v="489.75714285714287"/>
  </r>
  <r>
    <x v="2"/>
    <x v="9"/>
    <n v="495.1142857142857"/>
  </r>
  <r>
    <x v="3"/>
    <x v="9"/>
    <n v="498.21428571428572"/>
  </r>
  <r>
    <x v="4"/>
    <x v="9"/>
    <n v="507.97142857142859"/>
  </r>
  <r>
    <x v="5"/>
    <x v="9"/>
    <n v="511.44285714285712"/>
  </r>
  <r>
    <x v="6"/>
    <x v="9"/>
    <n v="519.6"/>
  </r>
  <r>
    <x v="7"/>
    <x v="9"/>
    <n v="518.47142857142853"/>
  </r>
  <r>
    <x v="8"/>
    <x v="9"/>
    <n v="528.4"/>
  </r>
  <r>
    <x v="9"/>
    <x v="9"/>
    <n v="531.82857142857142"/>
  </r>
  <r>
    <x v="10"/>
    <x v="9"/>
    <n v="539.34285714285716"/>
  </r>
  <r>
    <x v="0"/>
    <x v="10"/>
    <n v="447.14285714285717"/>
  </r>
  <r>
    <x v="1"/>
    <x v="10"/>
    <n v="451.72142857142859"/>
  </r>
  <r>
    <x v="2"/>
    <x v="10"/>
    <n v="476.01428571428573"/>
  </r>
  <r>
    <x v="3"/>
    <x v="10"/>
    <n v="484.56428571428569"/>
  </r>
  <r>
    <x v="4"/>
    <x v="10"/>
    <n v="504.7"/>
  </r>
  <r>
    <x v="5"/>
    <x v="10"/>
    <n v="509.04285714285714"/>
  </r>
  <r>
    <x v="6"/>
    <x v="10"/>
    <n v="516.7285714285714"/>
  </r>
  <r>
    <x v="7"/>
    <x v="10"/>
    <n v="529.75714285714287"/>
  </r>
  <r>
    <x v="8"/>
    <x v="10"/>
    <n v="550.71428571428567"/>
  </r>
  <r>
    <x v="9"/>
    <x v="10"/>
    <n v="560.1"/>
  </r>
  <r>
    <x v="10"/>
    <x v="10"/>
    <n v="572.9"/>
  </r>
  <r>
    <x v="0"/>
    <x v="11"/>
    <n v="434.27142857142854"/>
  </r>
  <r>
    <x v="1"/>
    <x v="11"/>
    <n v="446.72857142857146"/>
  </r>
  <r>
    <x v="2"/>
    <x v="11"/>
    <n v="451.3"/>
  </r>
  <r>
    <x v="3"/>
    <x v="11"/>
    <n v="474.05714285714288"/>
  </r>
  <r>
    <x v="4"/>
    <x v="11"/>
    <n v="502.98571428571427"/>
  </r>
  <r>
    <x v="5"/>
    <x v="11"/>
    <n v="536.25714285714287"/>
  </r>
  <r>
    <x v="6"/>
    <x v="11"/>
    <n v="543.04285714285709"/>
  </r>
  <r>
    <x v="7"/>
    <x v="11"/>
    <n v="570.67142857142858"/>
  </r>
  <r>
    <x v="8"/>
    <x v="11"/>
    <n v="607.11428571428576"/>
  </r>
  <r>
    <x v="9"/>
    <x v="11"/>
    <n v="590.45000000000005"/>
  </r>
  <r>
    <x v="10"/>
    <x v="11"/>
    <n v="640.01428571428573"/>
  </r>
  <r>
    <x v="0"/>
    <x v="12"/>
    <n v="408.75714285714287"/>
  </r>
  <r>
    <x v="1"/>
    <x v="12"/>
    <n v="419.72142857142859"/>
  </r>
  <r>
    <x v="2"/>
    <x v="12"/>
    <n v="431.24285714285713"/>
  </r>
  <r>
    <x v="3"/>
    <x v="12"/>
    <n v="430.71428571428572"/>
  </r>
  <r>
    <x v="4"/>
    <x v="12"/>
    <n v="431.8857142857143"/>
  </r>
  <r>
    <x v="5"/>
    <x v="12"/>
    <n v="457.27142857142854"/>
  </r>
  <r>
    <x v="6"/>
    <x v="12"/>
    <n v="463.51428571428573"/>
  </r>
  <r>
    <x v="7"/>
    <x v="12"/>
    <n v="468.95"/>
  </r>
  <r>
    <x v="8"/>
    <x v="12"/>
    <n v="500.58571428571429"/>
  </r>
  <r>
    <x v="9"/>
    <x v="12"/>
    <n v="501.99285714285713"/>
  </r>
  <r>
    <x v="10"/>
    <x v="12"/>
    <n v="534.75714285714287"/>
  </r>
  <r>
    <x v="0"/>
    <x v="13"/>
    <n v="374.4"/>
  </r>
  <r>
    <x v="1"/>
    <x v="13"/>
    <n v="389.56428571428569"/>
  </r>
  <r>
    <x v="2"/>
    <x v="13"/>
    <n v="398.1142857142857"/>
  </r>
  <r>
    <x v="3"/>
    <x v="13"/>
    <n v="403.17857142857144"/>
  </r>
  <r>
    <x v="4"/>
    <x v="13"/>
    <n v="423.8"/>
  </r>
  <r>
    <x v="5"/>
    <x v="13"/>
    <n v="423.37857142857143"/>
  </r>
  <r>
    <x v="6"/>
    <x v="13"/>
    <n v="436.24285714285713"/>
  </r>
  <r>
    <x v="7"/>
    <x v="13"/>
    <n v="424.41428571428571"/>
  </r>
  <r>
    <x v="8"/>
    <x v="13"/>
    <n v="465.54285714285714"/>
  </r>
  <r>
    <x v="9"/>
    <x v="13"/>
    <n v="475.75"/>
  </r>
  <r>
    <x v="10"/>
    <x v="13"/>
    <n v="480.74285714285713"/>
  </r>
  <r>
    <x v="0"/>
    <x v="14"/>
    <n v="349.31428571428569"/>
  </r>
  <r>
    <x v="1"/>
    <x v="14"/>
    <n v="368.3"/>
  </r>
  <r>
    <x v="2"/>
    <x v="14"/>
    <n v="383.92857142857144"/>
  </r>
  <r>
    <x v="3"/>
    <x v="14"/>
    <n v="403.89285714285717"/>
  </r>
  <r>
    <x v="4"/>
    <x v="14"/>
    <n v="420.02857142857141"/>
  </r>
  <r>
    <x v="5"/>
    <x v="14"/>
    <n v="442.07857142857142"/>
  </r>
  <r>
    <x v="6"/>
    <x v="14"/>
    <n v="461.1"/>
  </r>
  <r>
    <x v="7"/>
    <x v="14"/>
    <n v="475.35714285714283"/>
  </r>
  <r>
    <x v="8"/>
    <x v="14"/>
    <n v="492.91428571428571"/>
  </r>
  <r>
    <x v="9"/>
    <x v="14"/>
    <n v="514.62142857142862"/>
  </r>
  <r>
    <x v="10"/>
    <x v="14"/>
    <n v="534.79999999999995"/>
  </r>
  <r>
    <x v="11"/>
    <x v="1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x v="0"/>
    <x v="0"/>
    <n v="541.74285714285713"/>
    <n v="1"/>
  </r>
  <r>
    <x v="1"/>
    <x v="0"/>
    <n v="553.08571428571429"/>
    <n v="1"/>
  </r>
  <r>
    <x v="2"/>
    <x v="0"/>
    <n v="551.05714285714282"/>
    <n v="1"/>
  </r>
  <r>
    <x v="3"/>
    <x v="0"/>
    <n v="558.30714285714282"/>
    <n v="1"/>
  </r>
  <r>
    <x v="4"/>
    <x v="0"/>
    <n v="554.84285714285716"/>
    <n v="1"/>
  </r>
  <r>
    <x v="5"/>
    <x v="0"/>
    <n v="555.45000000000005"/>
    <n v="2"/>
  </r>
  <r>
    <x v="6"/>
    <x v="0"/>
    <n v="573.2714285714286"/>
    <n v="1"/>
  </r>
  <r>
    <x v="7"/>
    <x v="0"/>
    <n v="566.98571428571427"/>
    <n v="3"/>
  </r>
  <r>
    <x v="8"/>
    <x v="0"/>
    <n v="555.54285714285709"/>
    <n v="3"/>
  </r>
  <r>
    <x v="9"/>
    <x v="0"/>
    <n v="590.45000000000005"/>
    <n v="3"/>
  </r>
  <r>
    <x v="10"/>
    <x v="0"/>
    <n v="584.61428571428576"/>
    <n v="3"/>
  </r>
  <r>
    <x v="0"/>
    <x v="1"/>
    <n v="528.41428571428571"/>
    <n v="2"/>
  </r>
  <r>
    <x v="1"/>
    <x v="1"/>
    <n v="530.49285714285713"/>
    <n v="2"/>
  </r>
  <r>
    <x v="2"/>
    <x v="1"/>
    <n v="534.15714285714284"/>
    <n v="3"/>
  </r>
  <r>
    <x v="3"/>
    <x v="1"/>
    <n v="538.58571428571429"/>
    <n v="3"/>
  </r>
  <r>
    <x v="4"/>
    <x v="1"/>
    <n v="543.84285714285716"/>
    <n v="3"/>
  </r>
  <r>
    <x v="5"/>
    <x v="1"/>
    <n v="542.79285714285709"/>
    <n v="3"/>
  </r>
  <r>
    <x v="6"/>
    <x v="1"/>
    <n v="547.14285714285711"/>
    <n v="3"/>
  </r>
  <r>
    <x v="7"/>
    <x v="1"/>
    <n v="548.74285714285713"/>
    <n v="4"/>
  </r>
  <r>
    <x v="8"/>
    <x v="1"/>
    <n v="553.88571428571424"/>
    <n v="4"/>
  </r>
  <r>
    <x v="9"/>
    <x v="1"/>
    <n v="559.5"/>
    <n v="5"/>
  </r>
  <r>
    <x v="10"/>
    <x v="1"/>
    <n v="559.5"/>
    <n v="6"/>
  </r>
  <r>
    <x v="0"/>
    <x v="2"/>
    <n v="526"/>
    <n v="3"/>
  </r>
  <r>
    <x v="1"/>
    <x v="2"/>
    <n v="528.00714285714287"/>
    <n v="3"/>
  </r>
  <r>
    <x v="2"/>
    <x v="2"/>
    <n v="537.9"/>
    <n v="2"/>
  </r>
  <r>
    <x v="3"/>
    <x v="2"/>
    <n v="542.98571428571427"/>
    <n v="2"/>
  </r>
  <r>
    <x v="4"/>
    <x v="2"/>
    <n v="548.81428571428569"/>
    <n v="2"/>
  </r>
  <r>
    <x v="5"/>
    <x v="2"/>
    <n v="564.84285714285716"/>
    <n v="1"/>
  </r>
  <r>
    <x v="6"/>
    <x v="2"/>
    <n v="573.25714285714287"/>
    <n v="2"/>
  </r>
  <r>
    <x v="7"/>
    <x v="2"/>
    <n v="575.28571428571433"/>
    <n v="1"/>
  </r>
  <r>
    <x v="8"/>
    <x v="2"/>
    <n v="590.98571428571427"/>
    <n v="2"/>
  </r>
  <r>
    <x v="9"/>
    <x v="2"/>
    <n v="597.88571428571424"/>
    <n v="1"/>
  </r>
  <r>
    <x v="10"/>
    <x v="2"/>
    <n v="605.79999999999995"/>
    <n v="2"/>
  </r>
  <r>
    <x v="0"/>
    <x v="3"/>
    <n v="525.70000000000005"/>
    <n v="4"/>
  </r>
  <r>
    <x v="1"/>
    <x v="3"/>
    <n v="525.41428571428571"/>
    <n v="5"/>
  </r>
  <r>
    <x v="2"/>
    <x v="3"/>
    <n v="526.48571428571427"/>
    <n v="4"/>
  </r>
  <r>
    <x v="3"/>
    <x v="3"/>
    <n v="523.53571428571433"/>
    <n v="5"/>
  </r>
  <r>
    <x v="4"/>
    <x v="3"/>
    <n v="519.78571428571433"/>
    <n v="6"/>
  </r>
  <r>
    <x v="5"/>
    <x v="3"/>
    <n v="526.42857142857144"/>
    <n v="6"/>
  </r>
  <r>
    <x v="6"/>
    <x v="3"/>
    <n v="526.1"/>
    <n v="6"/>
  </r>
  <r>
    <x v="7"/>
    <x v="3"/>
    <n v="519.37857142857138"/>
    <n v="9"/>
  </r>
  <r>
    <x v="8"/>
    <x v="3"/>
    <n v="532.70000000000005"/>
    <n v="7"/>
  </r>
  <r>
    <x v="9"/>
    <x v="3"/>
    <n v="534.73571428571427"/>
    <n v="7"/>
  </r>
  <r>
    <x v="10"/>
    <x v="3"/>
    <n v="536.87142857142862"/>
    <n v="8"/>
  </r>
  <r>
    <x v="0"/>
    <x v="4"/>
    <n v="518.91428571428571"/>
    <n v="5"/>
  </r>
  <r>
    <x v="1"/>
    <x v="4"/>
    <n v="520.45714285714291"/>
    <n v="6"/>
  </r>
  <r>
    <x v="2"/>
    <x v="4"/>
    <n v="519"/>
    <n v="6"/>
  </r>
  <r>
    <x v="3"/>
    <x v="4"/>
    <n v="524.74285714285713"/>
    <n v="4"/>
  </r>
  <r>
    <x v="4"/>
    <x v="4"/>
    <n v="522.17142857142858"/>
    <n v="5"/>
  </r>
  <r>
    <x v="5"/>
    <x v="4"/>
    <n v="523.84285714285716"/>
    <n v="8"/>
  </r>
  <r>
    <x v="6"/>
    <x v="4"/>
    <n v="523.07142857142856"/>
    <n v="7"/>
  </r>
  <r>
    <x v="7"/>
    <x v="4"/>
    <n v="523.67142857142858"/>
    <n v="8"/>
  </r>
  <r>
    <x v="8"/>
    <x v="4"/>
    <n v="522.42857142857144"/>
    <n v="10"/>
  </r>
  <r>
    <x v="9"/>
    <x v="4"/>
    <n v="524.78571428571433"/>
    <n v="10"/>
  </r>
  <r>
    <x v="10"/>
    <x v="4"/>
    <n v="524.70000000000005"/>
    <n v="12"/>
  </r>
  <r>
    <x v="0"/>
    <x v="5"/>
    <n v="518.12857142857138"/>
    <n v="6"/>
  </r>
  <r>
    <x v="1"/>
    <x v="5"/>
    <n v="526.04999999999995"/>
    <n v="4"/>
  </r>
  <r>
    <x v="2"/>
    <x v="5"/>
    <n v="521.51428571428573"/>
    <n v="5"/>
  </r>
  <r>
    <x v="3"/>
    <x v="5"/>
    <n v="516.97142857142853"/>
    <n v="7"/>
  </r>
  <r>
    <x v="4"/>
    <x v="5"/>
    <n v="514.05714285714282"/>
    <n v="7"/>
  </r>
  <r>
    <x v="5"/>
    <x v="5"/>
    <n v="524.07857142857142"/>
    <n v="7"/>
  </r>
  <r>
    <x v="6"/>
    <x v="5"/>
    <n v="521.07142857142856"/>
    <n v="8"/>
  </r>
  <r>
    <x v="7"/>
    <x v="5"/>
    <n v="525.51428571428573"/>
    <n v="7"/>
  </r>
  <r>
    <x v="8"/>
    <x v="5"/>
    <n v="531"/>
    <n v="8"/>
  </r>
  <r>
    <x v="9"/>
    <x v="5"/>
    <n v="530.13571428571424"/>
    <n v="9"/>
  </r>
  <r>
    <x v="10"/>
    <x v="5"/>
    <n v="534.52857142857147"/>
    <n v="11"/>
  </r>
  <r>
    <x v="0"/>
    <x v="6"/>
    <n v="501.98571428571427"/>
    <n v="7"/>
  </r>
  <r>
    <x v="1"/>
    <x v="6"/>
    <n v="506.49285714285713"/>
    <n v="7"/>
  </r>
  <r>
    <x v="2"/>
    <x v="6"/>
    <n v="511.3"/>
    <n v="7"/>
  </r>
  <r>
    <x v="3"/>
    <x v="6"/>
    <n v="518.01428571428573"/>
    <n v="6"/>
  </r>
  <r>
    <x v="4"/>
    <x v="6"/>
    <n v="525.08571428571429"/>
    <n v="4"/>
  </r>
  <r>
    <x v="5"/>
    <x v="6"/>
    <n v="527.39285714285711"/>
    <n v="5"/>
  </r>
  <r>
    <x v="6"/>
    <x v="6"/>
    <n v="533.37142857142862"/>
    <n v="5"/>
  </r>
  <r>
    <x v="7"/>
    <x v="6"/>
    <n v="539.33571428571429"/>
    <n v="5"/>
  </r>
  <r>
    <x v="8"/>
    <x v="6"/>
    <n v="549.32857142857142"/>
    <n v="6"/>
  </r>
  <r>
    <x v="9"/>
    <x v="6"/>
    <n v="549.20714285714291"/>
    <n v="6"/>
  </r>
  <r>
    <x v="10"/>
    <x v="6"/>
    <n v="562.11428571428576"/>
    <n v="5"/>
  </r>
  <r>
    <x v="0"/>
    <x v="7"/>
    <n v="488.47142857142859"/>
    <n v="8"/>
  </r>
  <r>
    <x v="1"/>
    <x v="7"/>
    <n v="490.30714285714288"/>
    <n v="8"/>
  </r>
  <r>
    <x v="2"/>
    <x v="7"/>
    <n v="498.65714285714284"/>
    <n v="8"/>
  </r>
  <r>
    <x v="3"/>
    <x v="7"/>
    <n v="500.00714285714287"/>
    <n v="8"/>
  </r>
  <r>
    <x v="4"/>
    <x v="7"/>
    <n v="505.04285714285714"/>
    <n v="9"/>
  </r>
  <r>
    <x v="5"/>
    <x v="7"/>
    <n v="506.80714285714288"/>
    <n v="11"/>
  </r>
  <r>
    <x v="6"/>
    <x v="7"/>
    <n v="513.79999999999995"/>
    <n v="11"/>
  </r>
  <r>
    <x v="7"/>
    <x v="7"/>
    <n v="516.17142857142858"/>
    <n v="11"/>
  </r>
  <r>
    <x v="8"/>
    <x v="7"/>
    <n v="517.87142857142862"/>
    <n v="11"/>
  </r>
  <r>
    <x v="9"/>
    <x v="7"/>
    <n v="520.42857142857144"/>
    <n v="11"/>
  </r>
  <r>
    <x v="10"/>
    <x v="7"/>
    <n v="522.35714285714289"/>
    <n v="13"/>
  </r>
  <r>
    <x v="0"/>
    <x v="8"/>
    <n v="485.82857142857142"/>
    <n v="9"/>
  </r>
  <r>
    <x v="1"/>
    <x v="8"/>
    <n v="489.6357142857143"/>
    <n v="10"/>
  </r>
  <r>
    <x v="2"/>
    <x v="8"/>
    <n v="492.04285714285714"/>
    <n v="10"/>
  </r>
  <r>
    <x v="3"/>
    <x v="8"/>
    <n v="496.6142857142857"/>
    <n v="10"/>
  </r>
  <r>
    <x v="4"/>
    <x v="8"/>
    <n v="498.1142857142857"/>
    <n v="12"/>
  </r>
  <r>
    <x v="5"/>
    <x v="8"/>
    <n v="502.8857142857143"/>
    <n v="12"/>
  </r>
  <r>
    <x v="6"/>
    <x v="8"/>
    <n v="504.02857142857141"/>
    <n v="12"/>
  </r>
  <r>
    <x v="7"/>
    <x v="8"/>
    <n v="507.15714285714284"/>
    <n v="12"/>
  </r>
  <r>
    <x v="8"/>
    <x v="8"/>
    <n v="511.24285714285713"/>
    <n v="12"/>
  </r>
  <r>
    <x v="9"/>
    <x v="8"/>
    <n v="514.4785714285714"/>
    <n v="13"/>
  </r>
  <r>
    <x v="10"/>
    <x v="8"/>
    <n v="515.70000000000005"/>
    <n v="14"/>
  </r>
  <r>
    <x v="0"/>
    <x v="9"/>
    <n v="483.27142857142854"/>
    <n v="10"/>
  </r>
  <r>
    <x v="1"/>
    <x v="9"/>
    <n v="489.75714285714287"/>
    <n v="9"/>
  </r>
  <r>
    <x v="2"/>
    <x v="9"/>
    <n v="495.1142857142857"/>
    <n v="9"/>
  </r>
  <r>
    <x v="3"/>
    <x v="9"/>
    <n v="498.21428571428572"/>
    <n v="9"/>
  </r>
  <r>
    <x v="4"/>
    <x v="9"/>
    <n v="507.97142857142859"/>
    <n v="8"/>
  </r>
  <r>
    <x v="5"/>
    <x v="9"/>
    <n v="511.44285714285712"/>
    <n v="9"/>
  </r>
  <r>
    <x v="6"/>
    <x v="9"/>
    <n v="519.6"/>
    <n v="9"/>
  </r>
  <r>
    <x v="7"/>
    <x v="9"/>
    <n v="518.47142857142853"/>
    <n v="10"/>
  </r>
  <r>
    <x v="8"/>
    <x v="9"/>
    <n v="528.4"/>
    <n v="9"/>
  </r>
  <r>
    <x v="9"/>
    <x v="9"/>
    <n v="531.82857142857142"/>
    <n v="8"/>
  </r>
  <r>
    <x v="10"/>
    <x v="9"/>
    <n v="539.34285714285716"/>
    <n v="7"/>
  </r>
  <r>
    <x v="0"/>
    <x v="10"/>
    <n v="447.14285714285717"/>
    <n v="11"/>
  </r>
  <r>
    <x v="1"/>
    <x v="10"/>
    <n v="451.72142857142859"/>
    <n v="11"/>
  </r>
  <r>
    <x v="2"/>
    <x v="10"/>
    <n v="476.01428571428573"/>
    <n v="11"/>
  </r>
  <r>
    <x v="3"/>
    <x v="10"/>
    <n v="484.56428571428569"/>
    <n v="11"/>
  </r>
  <r>
    <x v="4"/>
    <x v="10"/>
    <n v="504.7"/>
    <n v="10"/>
  </r>
  <r>
    <x v="5"/>
    <x v="10"/>
    <n v="509.04285714285714"/>
    <n v="10"/>
  </r>
  <r>
    <x v="6"/>
    <x v="10"/>
    <n v="516.7285714285714"/>
    <n v="10"/>
  </r>
  <r>
    <x v="7"/>
    <x v="10"/>
    <n v="529.75714285714287"/>
    <n v="6"/>
  </r>
  <r>
    <x v="8"/>
    <x v="10"/>
    <n v="550.71428571428567"/>
    <n v="5"/>
  </r>
  <r>
    <x v="9"/>
    <x v="10"/>
    <n v="560.1"/>
    <n v="4"/>
  </r>
  <r>
    <x v="10"/>
    <x v="10"/>
    <n v="572.9"/>
    <n v="4"/>
  </r>
  <r>
    <x v="0"/>
    <x v="11"/>
    <n v="434.27142857142854"/>
    <n v="12"/>
  </r>
  <r>
    <x v="1"/>
    <x v="11"/>
    <n v="446.72857142857146"/>
    <n v="12"/>
  </r>
  <r>
    <x v="2"/>
    <x v="11"/>
    <n v="451.3"/>
    <n v="12"/>
  </r>
  <r>
    <x v="3"/>
    <x v="11"/>
    <n v="474.05714285714288"/>
    <n v="12"/>
  </r>
  <r>
    <x v="4"/>
    <x v="11"/>
    <n v="502.98571428571427"/>
    <n v="11"/>
  </r>
  <r>
    <x v="5"/>
    <x v="11"/>
    <n v="536.25714285714287"/>
    <n v="4"/>
  </r>
  <r>
    <x v="6"/>
    <x v="11"/>
    <n v="543.04285714285709"/>
    <n v="4"/>
  </r>
  <r>
    <x v="7"/>
    <x v="11"/>
    <n v="570.67142857142858"/>
    <n v="2"/>
  </r>
  <r>
    <x v="8"/>
    <x v="11"/>
    <n v="607.11428571428576"/>
    <n v="1"/>
  </r>
  <r>
    <x v="9"/>
    <x v="11"/>
    <n v="590.45000000000005"/>
    <n v="2"/>
  </r>
  <r>
    <x v="10"/>
    <x v="11"/>
    <n v="640.01428571428573"/>
    <n v="1"/>
  </r>
  <r>
    <x v="0"/>
    <x v="12"/>
    <n v="408.75714285714287"/>
    <n v="13"/>
  </r>
  <r>
    <x v="1"/>
    <x v="12"/>
    <n v="419.72142857142859"/>
    <n v="13"/>
  </r>
  <r>
    <x v="2"/>
    <x v="12"/>
    <n v="431.24285714285713"/>
    <n v="13"/>
  </r>
  <r>
    <x v="3"/>
    <x v="12"/>
    <n v="430.71428571428572"/>
    <n v="13"/>
  </r>
  <r>
    <x v="4"/>
    <x v="12"/>
    <n v="431.8857142857143"/>
    <n v="13"/>
  </r>
  <r>
    <x v="5"/>
    <x v="12"/>
    <n v="457.27142857142854"/>
    <n v="13"/>
  </r>
  <r>
    <x v="6"/>
    <x v="12"/>
    <n v="463.51428571428573"/>
    <n v="13"/>
  </r>
  <r>
    <x v="7"/>
    <x v="12"/>
    <n v="468.95"/>
    <n v="14"/>
  </r>
  <r>
    <x v="8"/>
    <x v="12"/>
    <n v="500.58571428571429"/>
    <n v="13"/>
  </r>
  <r>
    <x v="9"/>
    <x v="12"/>
    <n v="501.99285714285713"/>
    <n v="14"/>
  </r>
  <r>
    <x v="10"/>
    <x v="12"/>
    <n v="534.75714285714287"/>
    <n v="10"/>
  </r>
  <r>
    <x v="0"/>
    <x v="13"/>
    <n v="374.4"/>
    <n v="14"/>
  </r>
  <r>
    <x v="1"/>
    <x v="13"/>
    <n v="389.56428571428569"/>
    <n v="14"/>
  </r>
  <r>
    <x v="2"/>
    <x v="13"/>
    <n v="398.1142857142857"/>
    <n v="14"/>
  </r>
  <r>
    <x v="3"/>
    <x v="13"/>
    <n v="403.17857142857144"/>
    <n v="15"/>
  </r>
  <r>
    <x v="4"/>
    <x v="13"/>
    <n v="423.8"/>
    <n v="14"/>
  </r>
  <r>
    <x v="5"/>
    <x v="13"/>
    <n v="423.37857142857143"/>
    <n v="15"/>
  </r>
  <r>
    <x v="6"/>
    <x v="13"/>
    <n v="436.24285714285713"/>
    <n v="15"/>
  </r>
  <r>
    <x v="7"/>
    <x v="13"/>
    <n v="424.41428571428571"/>
    <n v="15"/>
  </r>
  <r>
    <x v="8"/>
    <x v="13"/>
    <n v="465.54285714285714"/>
    <n v="15"/>
  </r>
  <r>
    <x v="9"/>
    <x v="13"/>
    <n v="475.75"/>
    <n v="15"/>
  </r>
  <r>
    <x v="10"/>
    <x v="13"/>
    <n v="480.74285714285713"/>
    <n v="15"/>
  </r>
  <r>
    <x v="0"/>
    <x v="14"/>
    <n v="349.31428571428569"/>
    <n v="15"/>
  </r>
  <r>
    <x v="1"/>
    <x v="14"/>
    <n v="368.3"/>
    <n v="15"/>
  </r>
  <r>
    <x v="2"/>
    <x v="14"/>
    <n v="383.92857142857144"/>
    <n v="15"/>
  </r>
  <r>
    <x v="3"/>
    <x v="14"/>
    <n v="403.89285714285717"/>
    <n v="14"/>
  </r>
  <r>
    <x v="4"/>
    <x v="14"/>
    <n v="420.02857142857141"/>
    <n v="15"/>
  </r>
  <r>
    <x v="5"/>
    <x v="14"/>
    <n v="442.07857142857142"/>
    <n v="14"/>
  </r>
  <r>
    <x v="6"/>
    <x v="14"/>
    <n v="461.1"/>
    <n v="14"/>
  </r>
  <r>
    <x v="7"/>
    <x v="14"/>
    <n v="475.35714285714283"/>
    <n v="13"/>
  </r>
  <r>
    <x v="8"/>
    <x v="14"/>
    <n v="492.91428571428571"/>
    <n v="14"/>
  </r>
  <r>
    <x v="9"/>
    <x v="14"/>
    <n v="514.62142857142862"/>
    <n v="12"/>
  </r>
  <r>
    <x v="10"/>
    <x v="14"/>
    <n v="534.79999999999995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EF9F7-61F7-4D7F-89F9-1A36B66153B0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53:U66" firstHeaderRow="1" firstDataRow="2" firstDataCol="1"/>
  <pivotFields count="4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6">
        <item x="4"/>
        <item x="14"/>
        <item x="12"/>
        <item x="0"/>
        <item x="7"/>
        <item x="1"/>
        <item x="10"/>
        <item x="5"/>
        <item x="8"/>
        <item x="11"/>
        <item x="3"/>
        <item x="6"/>
        <item x="9"/>
        <item x="13"/>
        <item x="2"/>
        <item t="default"/>
      </items>
    </pivotField>
    <pivotField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Rank" fld="3" baseField="0" baseItem="0"/>
  </dataFields>
  <chartFormats count="1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F71B6-0960-48C1-8586-7813936902DC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E3:U16" firstHeaderRow="1" firstDataRow="2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17">
        <item x="4"/>
        <item x="14"/>
        <item x="12"/>
        <item x="0"/>
        <item x="7"/>
        <item x="1"/>
        <item x="10"/>
        <item x="5"/>
        <item x="8"/>
        <item x="11"/>
        <item x="3"/>
        <item x="6"/>
        <item x="9"/>
        <item x="13"/>
        <item x="2"/>
        <item h="1" x="15"/>
        <item t="default"/>
      </items>
    </pivotField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Avg. Score" fld="2" baseField="0" baseItem="0"/>
  </dataFields>
  <chartFormats count="1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3D91-0D46-41E2-8E0E-7AD319F633EE}">
  <dimension ref="A1:U166"/>
  <sheetViews>
    <sheetView topLeftCell="A16" zoomScale="84" workbookViewId="0">
      <selection activeCell="S34" sqref="S34"/>
    </sheetView>
  </sheetViews>
  <sheetFormatPr defaultRowHeight="15" x14ac:dyDescent="0.25"/>
  <cols>
    <col min="1" max="1" width="5.7109375" customWidth="1"/>
    <col min="2" max="3" width="10.140625" bestFit="1" customWidth="1"/>
    <col min="5" max="5" width="13.42578125" bestFit="1" customWidth="1"/>
    <col min="6" max="6" width="16.28515625" bestFit="1" customWidth="1"/>
    <col min="7" max="7" width="8.7109375" bestFit="1" customWidth="1"/>
    <col min="8" max="8" width="11.42578125" bestFit="1" customWidth="1"/>
    <col min="9" max="9" width="5.85546875" bestFit="1" customWidth="1"/>
    <col min="10" max="10" width="8.28515625" bestFit="1" customWidth="1"/>
    <col min="11" max="11" width="5.5703125" bestFit="1" customWidth="1"/>
    <col min="12" max="12" width="19" bestFit="1" customWidth="1"/>
    <col min="13" max="13" width="17" bestFit="1" customWidth="1"/>
    <col min="14" max="14" width="14.5703125" bestFit="1" customWidth="1"/>
    <col min="15" max="15" width="8.28515625" bestFit="1" customWidth="1"/>
    <col min="16" max="16" width="12.28515625" bestFit="1" customWidth="1"/>
    <col min="17" max="17" width="9.85546875" bestFit="1" customWidth="1"/>
    <col min="18" max="18" width="18.7109375" bestFit="1" customWidth="1"/>
    <col min="19" max="19" width="11" bestFit="1" customWidth="1"/>
    <col min="20" max="20" width="10.28515625" bestFit="1" customWidth="1"/>
    <col min="21" max="21" width="11.28515625" bestFit="1" customWidth="1"/>
    <col min="22" max="22" width="16.7109375" bestFit="1" customWidth="1"/>
    <col min="23" max="23" width="8.28515625" bestFit="1" customWidth="1"/>
    <col min="24" max="24" width="12" bestFit="1" customWidth="1"/>
    <col min="25" max="25" width="9.7109375" bestFit="1" customWidth="1"/>
    <col min="26" max="26" width="6.85546875" bestFit="1" customWidth="1"/>
    <col min="27" max="27" width="11" bestFit="1" customWidth="1"/>
    <col min="28" max="28" width="5.42578125" bestFit="1" customWidth="1"/>
    <col min="29" max="29" width="19" bestFit="1" customWidth="1"/>
    <col min="30" max="30" width="16.7109375" bestFit="1" customWidth="1"/>
    <col min="31" max="31" width="12" bestFit="1" customWidth="1"/>
    <col min="32" max="32" width="9.7109375" bestFit="1" customWidth="1"/>
    <col min="33" max="33" width="6.85546875" bestFit="1" customWidth="1"/>
    <col min="34" max="34" width="11" bestFit="1" customWidth="1"/>
    <col min="35" max="35" width="5.42578125" bestFit="1" customWidth="1"/>
    <col min="36" max="36" width="19" bestFit="1" customWidth="1"/>
    <col min="37" max="37" width="16.7109375" bestFit="1" customWidth="1"/>
    <col min="38" max="38" width="12" bestFit="1" customWidth="1"/>
    <col min="39" max="39" width="9.7109375" bestFit="1" customWidth="1"/>
    <col min="40" max="40" width="6.85546875" bestFit="1" customWidth="1"/>
    <col min="41" max="41" width="11" bestFit="1" customWidth="1"/>
    <col min="42" max="42" width="16.7109375" bestFit="1" customWidth="1"/>
    <col min="43" max="43" width="12" bestFit="1" customWidth="1"/>
    <col min="44" max="44" width="9.7109375" bestFit="1" customWidth="1"/>
    <col min="45" max="45" width="18.7109375" bestFit="1" customWidth="1"/>
    <col min="46" max="46" width="6.85546875" bestFit="1" customWidth="1"/>
    <col min="47" max="47" width="11" bestFit="1" customWidth="1"/>
    <col min="48" max="48" width="8.28515625" bestFit="1" customWidth="1"/>
    <col min="49" max="49" width="16.7109375" bestFit="1" customWidth="1"/>
    <col min="50" max="50" width="12" bestFit="1" customWidth="1"/>
    <col min="51" max="51" width="18.7109375" bestFit="1" customWidth="1"/>
    <col min="52" max="52" width="6.85546875" bestFit="1" customWidth="1"/>
    <col min="53" max="53" width="8.7109375" bestFit="1" customWidth="1"/>
    <col min="54" max="54" width="8.28515625" bestFit="1" customWidth="1"/>
    <col min="55" max="55" width="16.7109375" bestFit="1" customWidth="1"/>
    <col min="56" max="56" width="14.42578125" bestFit="1" customWidth="1"/>
    <col min="57" max="57" width="12" bestFit="1" customWidth="1"/>
    <col min="58" max="58" width="18.7109375" bestFit="1" customWidth="1"/>
    <col min="59" max="59" width="6.85546875" bestFit="1" customWidth="1"/>
    <col min="60" max="60" width="11" bestFit="1" customWidth="1"/>
    <col min="61" max="61" width="11.42578125" bestFit="1" customWidth="1"/>
    <col min="62" max="62" width="19" bestFit="1" customWidth="1"/>
    <col min="63" max="63" width="14.42578125" bestFit="1" customWidth="1"/>
    <col min="64" max="64" width="18.7109375" bestFit="1" customWidth="1"/>
    <col min="65" max="65" width="7.85546875" bestFit="1" customWidth="1"/>
    <col min="66" max="66" width="8.28515625" bestFit="1" customWidth="1"/>
    <col min="67" max="67" width="19" bestFit="1" customWidth="1"/>
    <col min="68" max="68" width="16.7109375" bestFit="1" customWidth="1"/>
    <col min="69" max="69" width="8.28515625" bestFit="1" customWidth="1"/>
    <col min="70" max="70" width="7.85546875" bestFit="1" customWidth="1"/>
    <col min="71" max="71" width="11" bestFit="1" customWidth="1"/>
    <col min="72" max="72" width="8.7109375" bestFit="1" customWidth="1"/>
    <col min="73" max="73" width="14.42578125" bestFit="1" customWidth="1"/>
    <col min="74" max="74" width="8.28515625" bestFit="1" customWidth="1"/>
    <col min="75" max="75" width="7.85546875" bestFit="1" customWidth="1"/>
    <col min="76" max="76" width="8.7109375" bestFit="1" customWidth="1"/>
    <col min="77" max="77" width="11.42578125" bestFit="1" customWidth="1"/>
    <col min="78" max="78" width="8.28515625" bestFit="1" customWidth="1"/>
    <col min="79" max="79" width="14.42578125" bestFit="1" customWidth="1"/>
    <col min="80" max="80" width="7.85546875" bestFit="1" customWidth="1"/>
    <col min="81" max="81" width="8.7109375" bestFit="1" customWidth="1"/>
    <col min="82" max="82" width="11.42578125" bestFit="1" customWidth="1"/>
    <col min="83" max="83" width="14.42578125" bestFit="1" customWidth="1"/>
    <col min="84" max="84" width="11" bestFit="1" customWidth="1"/>
    <col min="85" max="85" width="7.85546875" bestFit="1" customWidth="1"/>
    <col min="86" max="86" width="8.7109375" bestFit="1" customWidth="1"/>
    <col min="87" max="87" width="11" bestFit="1" customWidth="1"/>
    <col min="88" max="88" width="7.85546875" bestFit="1" customWidth="1"/>
    <col min="89" max="89" width="11.28515625" bestFit="1" customWidth="1"/>
  </cols>
  <sheetData>
    <row r="1" spans="1:21" x14ac:dyDescent="0.25">
      <c r="A1" s="4" t="s">
        <v>23</v>
      </c>
      <c r="B1" s="4" t="s">
        <v>24</v>
      </c>
      <c r="C1" s="4" t="s">
        <v>22</v>
      </c>
      <c r="D1" s="4" t="s">
        <v>29</v>
      </c>
    </row>
    <row r="2" spans="1:21" x14ac:dyDescent="0.25">
      <c r="A2">
        <v>5</v>
      </c>
      <c r="B2" t="s">
        <v>7</v>
      </c>
      <c r="C2">
        <f ca="1">VLOOKUP(B2,INDIRECT(_xlfn.CONCAT("'T = ",A2,"'!$A:$D")),4,FALSE)</f>
        <v>541.74285714285713</v>
      </c>
      <c r="D2">
        <f ca="1">VLOOKUP(B2,INDIRECT(_xlfn.CONCAT("'T = ",A2,"'!$A:$B")),2,FALSE)</f>
        <v>1</v>
      </c>
    </row>
    <row r="3" spans="1:21" x14ac:dyDescent="0.25">
      <c r="A3">
        <f t="shared" ref="A3:A12" si="0">A2+0.5</f>
        <v>5.5</v>
      </c>
      <c r="B3" t="s">
        <v>7</v>
      </c>
      <c r="C3">
        <f t="shared" ref="C3:C66" ca="1" si="1">VLOOKUP(B3,INDIRECT(_xlfn.CONCAT("'T = ",A3,"'!$A:$D")),4,FALSE)</f>
        <v>553.08571428571429</v>
      </c>
      <c r="D3">
        <f t="shared" ref="D3:D66" ca="1" si="2">VLOOKUP(B3,INDIRECT(_xlfn.CONCAT("'T = ",A3,"'!$A:$B")),2,FALSE)</f>
        <v>1</v>
      </c>
      <c r="E3" s="5" t="s">
        <v>25</v>
      </c>
      <c r="F3" s="5" t="s">
        <v>28</v>
      </c>
    </row>
    <row r="4" spans="1:21" x14ac:dyDescent="0.25">
      <c r="A4">
        <f t="shared" si="0"/>
        <v>6</v>
      </c>
      <c r="B4" t="s">
        <v>7</v>
      </c>
      <c r="C4">
        <f t="shared" ca="1" si="1"/>
        <v>551.05714285714282</v>
      </c>
      <c r="D4">
        <f t="shared" ca="1" si="2"/>
        <v>1</v>
      </c>
      <c r="E4" s="5" t="s">
        <v>26</v>
      </c>
      <c r="F4" t="s">
        <v>12</v>
      </c>
      <c r="G4" t="s">
        <v>21</v>
      </c>
      <c r="H4" t="s">
        <v>18</v>
      </c>
      <c r="I4" t="s">
        <v>7</v>
      </c>
      <c r="J4" t="s">
        <v>15</v>
      </c>
      <c r="K4" t="s">
        <v>9</v>
      </c>
      <c r="L4" t="s">
        <v>17</v>
      </c>
      <c r="M4" t="s">
        <v>11</v>
      </c>
      <c r="N4" t="s">
        <v>14</v>
      </c>
      <c r="O4" t="s">
        <v>19</v>
      </c>
      <c r="P4" t="s">
        <v>10</v>
      </c>
      <c r="Q4" t="s">
        <v>13</v>
      </c>
      <c r="R4" t="s">
        <v>16</v>
      </c>
      <c r="S4" t="s">
        <v>20</v>
      </c>
      <c r="T4" t="s">
        <v>8</v>
      </c>
      <c r="U4" t="s">
        <v>27</v>
      </c>
    </row>
    <row r="5" spans="1:21" x14ac:dyDescent="0.25">
      <c r="A5">
        <f t="shared" si="0"/>
        <v>6.5</v>
      </c>
      <c r="B5" t="s">
        <v>7</v>
      </c>
      <c r="C5">
        <f t="shared" ca="1" si="1"/>
        <v>558.30714285714282</v>
      </c>
      <c r="D5">
        <f t="shared" ca="1" si="2"/>
        <v>1</v>
      </c>
      <c r="E5" s="6">
        <v>5</v>
      </c>
      <c r="F5">
        <v>518.91428571428571</v>
      </c>
      <c r="G5">
        <v>349.31428571428569</v>
      </c>
      <c r="H5">
        <v>408.75714285714287</v>
      </c>
      <c r="I5">
        <v>541.74285714285713</v>
      </c>
      <c r="J5">
        <v>488.47142857142859</v>
      </c>
      <c r="K5">
        <v>528.41428571428571</v>
      </c>
      <c r="L5">
        <v>447.14285714285717</v>
      </c>
      <c r="M5">
        <v>518.12857142857138</v>
      </c>
      <c r="N5">
        <v>485.82857142857142</v>
      </c>
      <c r="O5">
        <v>434.27142857142854</v>
      </c>
      <c r="P5">
        <v>525.70000000000005</v>
      </c>
      <c r="Q5">
        <v>501.98571428571427</v>
      </c>
      <c r="R5">
        <v>483.27142857142854</v>
      </c>
      <c r="S5">
        <v>374.4</v>
      </c>
      <c r="T5">
        <v>526</v>
      </c>
      <c r="U5">
        <v>7132.3428571428558</v>
      </c>
    </row>
    <row r="6" spans="1:21" x14ac:dyDescent="0.25">
      <c r="A6">
        <f t="shared" si="0"/>
        <v>7</v>
      </c>
      <c r="B6" t="s">
        <v>7</v>
      </c>
      <c r="C6">
        <f t="shared" ca="1" si="1"/>
        <v>554.84285714285716</v>
      </c>
      <c r="D6">
        <f t="shared" ca="1" si="2"/>
        <v>1</v>
      </c>
      <c r="E6" s="6">
        <v>5.5</v>
      </c>
      <c r="F6">
        <v>520.45714285714291</v>
      </c>
      <c r="G6">
        <v>368.3</v>
      </c>
      <c r="H6">
        <v>419.72142857142859</v>
      </c>
      <c r="I6">
        <v>553.08571428571429</v>
      </c>
      <c r="J6">
        <v>490.30714285714288</v>
      </c>
      <c r="K6">
        <v>530.49285714285713</v>
      </c>
      <c r="L6">
        <v>451.72142857142859</v>
      </c>
      <c r="M6">
        <v>526.04999999999995</v>
      </c>
      <c r="N6">
        <v>489.6357142857143</v>
      </c>
      <c r="O6">
        <v>446.72857142857146</v>
      </c>
      <c r="P6">
        <v>525.41428571428571</v>
      </c>
      <c r="Q6">
        <v>506.49285714285713</v>
      </c>
      <c r="R6">
        <v>489.75714285714287</v>
      </c>
      <c r="S6">
        <v>389.56428571428569</v>
      </c>
      <c r="T6">
        <v>528.00714285714287</v>
      </c>
      <c r="U6">
        <v>7235.7357142857145</v>
      </c>
    </row>
    <row r="7" spans="1:21" x14ac:dyDescent="0.25">
      <c r="A7">
        <f t="shared" si="0"/>
        <v>7.5</v>
      </c>
      <c r="B7" t="s">
        <v>7</v>
      </c>
      <c r="C7">
        <f t="shared" ca="1" si="1"/>
        <v>555.45000000000005</v>
      </c>
      <c r="D7">
        <f t="shared" ca="1" si="2"/>
        <v>2</v>
      </c>
      <c r="E7" s="6">
        <v>6</v>
      </c>
      <c r="F7">
        <v>519</v>
      </c>
      <c r="G7">
        <v>383.92857142857144</v>
      </c>
      <c r="H7">
        <v>431.24285714285713</v>
      </c>
      <c r="I7">
        <v>551.05714285714282</v>
      </c>
      <c r="J7">
        <v>498.65714285714284</v>
      </c>
      <c r="K7">
        <v>534.15714285714284</v>
      </c>
      <c r="L7">
        <v>476.01428571428573</v>
      </c>
      <c r="M7">
        <v>521.51428571428573</v>
      </c>
      <c r="N7">
        <v>492.04285714285714</v>
      </c>
      <c r="O7">
        <v>451.3</v>
      </c>
      <c r="P7">
        <v>526.48571428571427</v>
      </c>
      <c r="Q7">
        <v>511.3</v>
      </c>
      <c r="R7">
        <v>495.1142857142857</v>
      </c>
      <c r="S7">
        <v>398.1142857142857</v>
      </c>
      <c r="T7">
        <v>537.9</v>
      </c>
      <c r="U7">
        <v>7327.8285714285721</v>
      </c>
    </row>
    <row r="8" spans="1:21" x14ac:dyDescent="0.25">
      <c r="A8">
        <f t="shared" si="0"/>
        <v>8</v>
      </c>
      <c r="B8" t="s">
        <v>7</v>
      </c>
      <c r="C8">
        <f t="shared" ca="1" si="1"/>
        <v>573.2714285714286</v>
      </c>
      <c r="D8">
        <f t="shared" ca="1" si="2"/>
        <v>1</v>
      </c>
      <c r="E8" s="6">
        <v>6.5</v>
      </c>
      <c r="F8">
        <v>524.74285714285713</v>
      </c>
      <c r="G8">
        <v>403.89285714285717</v>
      </c>
      <c r="H8">
        <v>430.71428571428572</v>
      </c>
      <c r="I8">
        <v>558.30714285714282</v>
      </c>
      <c r="J8">
        <v>500.00714285714287</v>
      </c>
      <c r="K8">
        <v>538.58571428571429</v>
      </c>
      <c r="L8">
        <v>484.56428571428569</v>
      </c>
      <c r="M8">
        <v>516.97142857142853</v>
      </c>
      <c r="N8">
        <v>496.6142857142857</v>
      </c>
      <c r="O8">
        <v>474.05714285714288</v>
      </c>
      <c r="P8">
        <v>523.53571428571433</v>
      </c>
      <c r="Q8">
        <v>518.01428571428573</v>
      </c>
      <c r="R8">
        <v>498.21428571428572</v>
      </c>
      <c r="S8">
        <v>403.17857142857144</v>
      </c>
      <c r="T8">
        <v>542.98571428571427</v>
      </c>
      <c r="U8">
        <v>7414.3857142857141</v>
      </c>
    </row>
    <row r="9" spans="1:21" x14ac:dyDescent="0.25">
      <c r="A9">
        <f t="shared" si="0"/>
        <v>8.5</v>
      </c>
      <c r="B9" t="s">
        <v>7</v>
      </c>
      <c r="C9">
        <f t="shared" ca="1" si="1"/>
        <v>566.98571428571427</v>
      </c>
      <c r="D9">
        <f t="shared" ca="1" si="2"/>
        <v>3</v>
      </c>
      <c r="E9" s="6">
        <v>7</v>
      </c>
      <c r="F9">
        <v>522.17142857142858</v>
      </c>
      <c r="G9">
        <v>420.02857142857141</v>
      </c>
      <c r="H9">
        <v>431.8857142857143</v>
      </c>
      <c r="I9">
        <v>554.84285714285716</v>
      </c>
      <c r="J9">
        <v>505.04285714285714</v>
      </c>
      <c r="K9">
        <v>543.84285714285716</v>
      </c>
      <c r="L9">
        <v>504.7</v>
      </c>
      <c r="M9">
        <v>514.05714285714282</v>
      </c>
      <c r="N9">
        <v>498.1142857142857</v>
      </c>
      <c r="O9">
        <v>502.98571428571427</v>
      </c>
      <c r="P9">
        <v>519.78571428571433</v>
      </c>
      <c r="Q9">
        <v>525.08571428571429</v>
      </c>
      <c r="R9">
        <v>507.97142857142859</v>
      </c>
      <c r="S9">
        <v>423.8</v>
      </c>
      <c r="T9">
        <v>548.81428571428569</v>
      </c>
      <c r="U9">
        <v>7523.1285714285723</v>
      </c>
    </row>
    <row r="10" spans="1:21" x14ac:dyDescent="0.25">
      <c r="A10">
        <f t="shared" si="0"/>
        <v>9</v>
      </c>
      <c r="B10" t="s">
        <v>7</v>
      </c>
      <c r="C10">
        <f t="shared" ca="1" si="1"/>
        <v>555.54285714285709</v>
      </c>
      <c r="D10">
        <f t="shared" ca="1" si="2"/>
        <v>3</v>
      </c>
      <c r="E10" s="6">
        <v>7.5</v>
      </c>
      <c r="F10">
        <v>523.84285714285716</v>
      </c>
      <c r="G10">
        <v>442.07857142857142</v>
      </c>
      <c r="H10">
        <v>457.27142857142854</v>
      </c>
      <c r="I10">
        <v>555.45000000000005</v>
      </c>
      <c r="J10">
        <v>506.80714285714288</v>
      </c>
      <c r="K10">
        <v>542.79285714285709</v>
      </c>
      <c r="L10">
        <v>509.04285714285714</v>
      </c>
      <c r="M10">
        <v>524.07857142857142</v>
      </c>
      <c r="N10">
        <v>502.8857142857143</v>
      </c>
      <c r="O10">
        <v>536.25714285714287</v>
      </c>
      <c r="P10">
        <v>526.42857142857144</v>
      </c>
      <c r="Q10">
        <v>527.39285714285711</v>
      </c>
      <c r="R10">
        <v>511.44285714285712</v>
      </c>
      <c r="S10">
        <v>423.37857142857143</v>
      </c>
      <c r="T10">
        <v>564.84285714285716</v>
      </c>
      <c r="U10">
        <v>7653.9928571428554</v>
      </c>
    </row>
    <row r="11" spans="1:21" x14ac:dyDescent="0.25">
      <c r="A11">
        <f t="shared" si="0"/>
        <v>9.5</v>
      </c>
      <c r="B11" t="s">
        <v>7</v>
      </c>
      <c r="C11">
        <f t="shared" ca="1" si="1"/>
        <v>590.45000000000005</v>
      </c>
      <c r="D11">
        <f t="shared" ca="1" si="2"/>
        <v>3</v>
      </c>
      <c r="E11" s="6">
        <v>8</v>
      </c>
      <c r="F11">
        <v>523.07142857142856</v>
      </c>
      <c r="G11">
        <v>461.1</v>
      </c>
      <c r="H11">
        <v>463.51428571428573</v>
      </c>
      <c r="I11">
        <v>573.2714285714286</v>
      </c>
      <c r="J11">
        <v>513.79999999999995</v>
      </c>
      <c r="K11">
        <v>547.14285714285711</v>
      </c>
      <c r="L11">
        <v>516.7285714285714</v>
      </c>
      <c r="M11">
        <v>521.07142857142856</v>
      </c>
      <c r="N11">
        <v>504.02857142857141</v>
      </c>
      <c r="O11">
        <v>543.04285714285709</v>
      </c>
      <c r="P11">
        <v>526.1</v>
      </c>
      <c r="Q11">
        <v>533.37142857142862</v>
      </c>
      <c r="R11">
        <v>519.6</v>
      </c>
      <c r="S11">
        <v>436.24285714285713</v>
      </c>
      <c r="T11">
        <v>573.25714285714287</v>
      </c>
      <c r="U11">
        <v>7755.3428571428576</v>
      </c>
    </row>
    <row r="12" spans="1:21" x14ac:dyDescent="0.25">
      <c r="A12">
        <f t="shared" si="0"/>
        <v>10</v>
      </c>
      <c r="B12" t="s">
        <v>7</v>
      </c>
      <c r="C12">
        <f t="shared" ca="1" si="1"/>
        <v>584.61428571428576</v>
      </c>
      <c r="D12">
        <f t="shared" ca="1" si="2"/>
        <v>3</v>
      </c>
      <c r="E12" s="6">
        <v>8.5</v>
      </c>
      <c r="F12">
        <v>523.67142857142858</v>
      </c>
      <c r="G12">
        <v>475.35714285714283</v>
      </c>
      <c r="H12">
        <v>468.95</v>
      </c>
      <c r="I12">
        <v>566.98571428571427</v>
      </c>
      <c r="J12">
        <v>516.17142857142858</v>
      </c>
      <c r="K12">
        <v>548.74285714285713</v>
      </c>
      <c r="L12">
        <v>529.75714285714287</v>
      </c>
      <c r="M12">
        <v>525.51428571428573</v>
      </c>
      <c r="N12">
        <v>507.15714285714284</v>
      </c>
      <c r="O12">
        <v>570.67142857142858</v>
      </c>
      <c r="P12">
        <v>519.37857142857138</v>
      </c>
      <c r="Q12">
        <v>539.33571428571429</v>
      </c>
      <c r="R12">
        <v>518.47142857142853</v>
      </c>
      <c r="S12">
        <v>424.41428571428571</v>
      </c>
      <c r="T12">
        <v>575.28571428571433</v>
      </c>
      <c r="U12">
        <v>7809.8642857142859</v>
      </c>
    </row>
    <row r="13" spans="1:21" x14ac:dyDescent="0.25">
      <c r="A13">
        <v>5</v>
      </c>
      <c r="B13" t="s">
        <v>9</v>
      </c>
      <c r="C13">
        <f t="shared" ca="1" si="1"/>
        <v>528.41428571428571</v>
      </c>
      <c r="D13">
        <f t="shared" ca="1" si="2"/>
        <v>2</v>
      </c>
      <c r="E13" s="6">
        <v>9</v>
      </c>
      <c r="F13">
        <v>522.42857142857144</v>
      </c>
      <c r="G13">
        <v>492.91428571428571</v>
      </c>
      <c r="H13">
        <v>500.58571428571429</v>
      </c>
      <c r="I13">
        <v>555.54285714285709</v>
      </c>
      <c r="J13">
        <v>517.87142857142862</v>
      </c>
      <c r="K13">
        <v>553.88571428571424</v>
      </c>
      <c r="L13">
        <v>550.71428571428567</v>
      </c>
      <c r="M13">
        <v>531</v>
      </c>
      <c r="N13">
        <v>511.24285714285713</v>
      </c>
      <c r="O13">
        <v>607.11428571428576</v>
      </c>
      <c r="P13">
        <v>532.70000000000005</v>
      </c>
      <c r="Q13">
        <v>549.32857142857142</v>
      </c>
      <c r="R13">
        <v>528.4</v>
      </c>
      <c r="S13">
        <v>465.54285714285714</v>
      </c>
      <c r="T13">
        <v>590.98571428571427</v>
      </c>
      <c r="U13">
        <v>8010.2571428571428</v>
      </c>
    </row>
    <row r="14" spans="1:21" x14ac:dyDescent="0.25">
      <c r="A14">
        <f t="shared" ref="A14:A23" si="3">A13+0.5</f>
        <v>5.5</v>
      </c>
      <c r="B14" t="s">
        <v>9</v>
      </c>
      <c r="C14">
        <f t="shared" ca="1" si="1"/>
        <v>530.49285714285713</v>
      </c>
      <c r="D14">
        <f t="shared" ca="1" si="2"/>
        <v>2</v>
      </c>
      <c r="E14" s="6">
        <v>9.5</v>
      </c>
      <c r="F14">
        <v>524.78571428571433</v>
      </c>
      <c r="G14">
        <v>514.62142857142862</v>
      </c>
      <c r="H14">
        <v>501.99285714285713</v>
      </c>
      <c r="I14">
        <v>590.45000000000005</v>
      </c>
      <c r="J14">
        <v>520.42857142857144</v>
      </c>
      <c r="K14">
        <v>559.5</v>
      </c>
      <c r="L14">
        <v>560.1</v>
      </c>
      <c r="M14">
        <v>530.13571428571424</v>
      </c>
      <c r="N14">
        <v>514.4785714285714</v>
      </c>
      <c r="O14">
        <v>590.45000000000005</v>
      </c>
      <c r="P14">
        <v>534.73571428571427</v>
      </c>
      <c r="Q14">
        <v>549.20714285714291</v>
      </c>
      <c r="R14">
        <v>531.82857142857142</v>
      </c>
      <c r="S14">
        <v>475.75</v>
      </c>
      <c r="T14">
        <v>597.88571428571424</v>
      </c>
      <c r="U14">
        <v>8096.35</v>
      </c>
    </row>
    <row r="15" spans="1:21" x14ac:dyDescent="0.25">
      <c r="A15">
        <f t="shared" si="3"/>
        <v>6</v>
      </c>
      <c r="B15" t="s">
        <v>9</v>
      </c>
      <c r="C15">
        <f t="shared" ca="1" si="1"/>
        <v>534.15714285714284</v>
      </c>
      <c r="D15">
        <f t="shared" ca="1" si="2"/>
        <v>3</v>
      </c>
      <c r="E15" s="6">
        <v>10</v>
      </c>
      <c r="F15">
        <v>524.70000000000005</v>
      </c>
      <c r="G15">
        <v>534.79999999999995</v>
      </c>
      <c r="H15">
        <v>534.75714285714287</v>
      </c>
      <c r="I15">
        <v>584.61428571428576</v>
      </c>
      <c r="J15">
        <v>522.35714285714289</v>
      </c>
      <c r="K15">
        <v>559.5</v>
      </c>
      <c r="L15">
        <v>572.9</v>
      </c>
      <c r="M15">
        <v>534.52857142857147</v>
      </c>
      <c r="N15">
        <v>515.70000000000005</v>
      </c>
      <c r="O15">
        <v>640.01428571428573</v>
      </c>
      <c r="P15">
        <v>536.87142857142862</v>
      </c>
      <c r="Q15">
        <v>562.11428571428576</v>
      </c>
      <c r="R15">
        <v>539.34285714285716</v>
      </c>
      <c r="S15">
        <v>480.74285714285713</v>
      </c>
      <c r="T15">
        <v>605.79999999999995</v>
      </c>
      <c r="U15">
        <v>8248.7428571428572</v>
      </c>
    </row>
    <row r="16" spans="1:21" x14ac:dyDescent="0.25">
      <c r="A16">
        <f t="shared" si="3"/>
        <v>6.5</v>
      </c>
      <c r="B16" t="s">
        <v>9</v>
      </c>
      <c r="C16">
        <f t="shared" ca="1" si="1"/>
        <v>538.58571428571429</v>
      </c>
      <c r="D16">
        <f t="shared" ca="1" si="2"/>
        <v>3</v>
      </c>
      <c r="E16" s="6" t="s">
        <v>27</v>
      </c>
      <c r="F16">
        <v>5747.7857142857147</v>
      </c>
      <c r="G16">
        <v>4846.3357142857139</v>
      </c>
      <c r="H16">
        <v>5049.3928571428569</v>
      </c>
      <c r="I16">
        <v>6185.35</v>
      </c>
      <c r="J16">
        <v>5579.9214285714288</v>
      </c>
      <c r="K16">
        <v>5987.0571428571429</v>
      </c>
      <c r="L16">
        <v>5603.3857142857132</v>
      </c>
      <c r="M16">
        <v>5763.0499999999993</v>
      </c>
      <c r="N16">
        <v>5517.7285714285717</v>
      </c>
      <c r="O16">
        <v>5796.8928571428569</v>
      </c>
      <c r="P16">
        <v>5797.135714285715</v>
      </c>
      <c r="Q16">
        <v>5823.6285714285705</v>
      </c>
      <c r="R16">
        <v>5623.4142857142851</v>
      </c>
      <c r="S16">
        <v>4695.1285714285714</v>
      </c>
      <c r="T16">
        <v>6191.7642857142855</v>
      </c>
      <c r="U16">
        <v>84207.971428571429</v>
      </c>
    </row>
    <row r="17" spans="1:4" x14ac:dyDescent="0.25">
      <c r="A17">
        <f t="shared" si="3"/>
        <v>7</v>
      </c>
      <c r="B17" t="s">
        <v>9</v>
      </c>
      <c r="C17">
        <f t="shared" ca="1" si="1"/>
        <v>543.84285714285716</v>
      </c>
      <c r="D17">
        <f t="shared" ca="1" si="2"/>
        <v>3</v>
      </c>
    </row>
    <row r="18" spans="1:4" x14ac:dyDescent="0.25">
      <c r="A18">
        <f t="shared" si="3"/>
        <v>7.5</v>
      </c>
      <c r="B18" t="s">
        <v>9</v>
      </c>
      <c r="C18">
        <f t="shared" ca="1" si="1"/>
        <v>542.79285714285709</v>
      </c>
      <c r="D18">
        <f t="shared" ca="1" si="2"/>
        <v>3</v>
      </c>
    </row>
    <row r="19" spans="1:4" x14ac:dyDescent="0.25">
      <c r="A19">
        <f t="shared" si="3"/>
        <v>8</v>
      </c>
      <c r="B19" t="s">
        <v>9</v>
      </c>
      <c r="C19">
        <f t="shared" ca="1" si="1"/>
        <v>547.14285714285711</v>
      </c>
      <c r="D19">
        <f t="shared" ca="1" si="2"/>
        <v>3</v>
      </c>
    </row>
    <row r="20" spans="1:4" x14ac:dyDescent="0.25">
      <c r="A20">
        <f t="shared" si="3"/>
        <v>8.5</v>
      </c>
      <c r="B20" t="s">
        <v>9</v>
      </c>
      <c r="C20">
        <f t="shared" ca="1" si="1"/>
        <v>548.74285714285713</v>
      </c>
      <c r="D20">
        <f t="shared" ca="1" si="2"/>
        <v>4</v>
      </c>
    </row>
    <row r="21" spans="1:4" x14ac:dyDescent="0.25">
      <c r="A21">
        <f t="shared" si="3"/>
        <v>9</v>
      </c>
      <c r="B21" t="s">
        <v>9</v>
      </c>
      <c r="C21">
        <f t="shared" ca="1" si="1"/>
        <v>553.88571428571424</v>
      </c>
      <c r="D21">
        <f t="shared" ca="1" si="2"/>
        <v>4</v>
      </c>
    </row>
    <row r="22" spans="1:4" x14ac:dyDescent="0.25">
      <c r="A22">
        <f t="shared" si="3"/>
        <v>9.5</v>
      </c>
      <c r="B22" t="s">
        <v>9</v>
      </c>
      <c r="C22">
        <f t="shared" ca="1" si="1"/>
        <v>559.5</v>
      </c>
      <c r="D22">
        <f t="shared" ca="1" si="2"/>
        <v>5</v>
      </c>
    </row>
    <row r="23" spans="1:4" x14ac:dyDescent="0.25">
      <c r="A23">
        <f t="shared" si="3"/>
        <v>10</v>
      </c>
      <c r="B23" t="s">
        <v>9</v>
      </c>
      <c r="C23">
        <f t="shared" ca="1" si="1"/>
        <v>559.5</v>
      </c>
      <c r="D23">
        <f t="shared" ca="1" si="2"/>
        <v>6</v>
      </c>
    </row>
    <row r="24" spans="1:4" x14ac:dyDescent="0.25">
      <c r="A24">
        <v>5</v>
      </c>
      <c r="B24" t="s">
        <v>8</v>
      </c>
      <c r="C24">
        <f t="shared" ca="1" si="1"/>
        <v>526</v>
      </c>
      <c r="D24">
        <f t="shared" ca="1" si="2"/>
        <v>3</v>
      </c>
    </row>
    <row r="25" spans="1:4" x14ac:dyDescent="0.25">
      <c r="A25">
        <f t="shared" ref="A25:A34" si="4">A24+0.5</f>
        <v>5.5</v>
      </c>
      <c r="B25" t="s">
        <v>8</v>
      </c>
      <c r="C25">
        <f t="shared" ca="1" si="1"/>
        <v>528.00714285714287</v>
      </c>
      <c r="D25">
        <f t="shared" ca="1" si="2"/>
        <v>3</v>
      </c>
    </row>
    <row r="26" spans="1:4" x14ac:dyDescent="0.25">
      <c r="A26">
        <f t="shared" si="4"/>
        <v>6</v>
      </c>
      <c r="B26" t="s">
        <v>8</v>
      </c>
      <c r="C26">
        <f t="shared" ca="1" si="1"/>
        <v>537.9</v>
      </c>
      <c r="D26">
        <f t="shared" ca="1" si="2"/>
        <v>2</v>
      </c>
    </row>
    <row r="27" spans="1:4" x14ac:dyDescent="0.25">
      <c r="A27">
        <f t="shared" si="4"/>
        <v>6.5</v>
      </c>
      <c r="B27" t="s">
        <v>8</v>
      </c>
      <c r="C27">
        <f t="shared" ca="1" si="1"/>
        <v>542.98571428571427</v>
      </c>
      <c r="D27">
        <f t="shared" ca="1" si="2"/>
        <v>2</v>
      </c>
    </row>
    <row r="28" spans="1:4" x14ac:dyDescent="0.25">
      <c r="A28">
        <f t="shared" si="4"/>
        <v>7</v>
      </c>
      <c r="B28" t="s">
        <v>8</v>
      </c>
      <c r="C28">
        <f t="shared" ca="1" si="1"/>
        <v>548.81428571428569</v>
      </c>
      <c r="D28">
        <f t="shared" ca="1" si="2"/>
        <v>2</v>
      </c>
    </row>
    <row r="29" spans="1:4" x14ac:dyDescent="0.25">
      <c r="A29">
        <f t="shared" si="4"/>
        <v>7.5</v>
      </c>
      <c r="B29" t="s">
        <v>8</v>
      </c>
      <c r="C29">
        <f t="shared" ca="1" si="1"/>
        <v>564.84285714285716</v>
      </c>
      <c r="D29">
        <f t="shared" ca="1" si="2"/>
        <v>1</v>
      </c>
    </row>
    <row r="30" spans="1:4" x14ac:dyDescent="0.25">
      <c r="A30">
        <f t="shared" si="4"/>
        <v>8</v>
      </c>
      <c r="B30" t="s">
        <v>8</v>
      </c>
      <c r="C30">
        <f t="shared" ca="1" si="1"/>
        <v>573.25714285714287</v>
      </c>
      <c r="D30">
        <f t="shared" ca="1" si="2"/>
        <v>2</v>
      </c>
    </row>
    <row r="31" spans="1:4" x14ac:dyDescent="0.25">
      <c r="A31">
        <f t="shared" si="4"/>
        <v>8.5</v>
      </c>
      <c r="B31" t="s">
        <v>8</v>
      </c>
      <c r="C31">
        <f t="shared" ca="1" si="1"/>
        <v>575.28571428571433</v>
      </c>
      <c r="D31">
        <f t="shared" ca="1" si="2"/>
        <v>1</v>
      </c>
    </row>
    <row r="32" spans="1:4" x14ac:dyDescent="0.25">
      <c r="A32">
        <f t="shared" si="4"/>
        <v>9</v>
      </c>
      <c r="B32" t="s">
        <v>8</v>
      </c>
      <c r="C32">
        <f t="shared" ca="1" si="1"/>
        <v>590.98571428571427</v>
      </c>
      <c r="D32">
        <f t="shared" ca="1" si="2"/>
        <v>2</v>
      </c>
    </row>
    <row r="33" spans="1:4" x14ac:dyDescent="0.25">
      <c r="A33">
        <f t="shared" si="4"/>
        <v>9.5</v>
      </c>
      <c r="B33" t="s">
        <v>8</v>
      </c>
      <c r="C33">
        <f t="shared" ca="1" si="1"/>
        <v>597.88571428571424</v>
      </c>
      <c r="D33">
        <f t="shared" ca="1" si="2"/>
        <v>1</v>
      </c>
    </row>
    <row r="34" spans="1:4" x14ac:dyDescent="0.25">
      <c r="A34">
        <f t="shared" si="4"/>
        <v>10</v>
      </c>
      <c r="B34" t="s">
        <v>8</v>
      </c>
      <c r="C34">
        <f t="shared" ca="1" si="1"/>
        <v>605.79999999999995</v>
      </c>
      <c r="D34">
        <f t="shared" ca="1" si="2"/>
        <v>2</v>
      </c>
    </row>
    <row r="35" spans="1:4" x14ac:dyDescent="0.25">
      <c r="A35">
        <v>5</v>
      </c>
      <c r="B35" t="s">
        <v>10</v>
      </c>
      <c r="C35">
        <f t="shared" ca="1" si="1"/>
        <v>525.70000000000005</v>
      </c>
      <c r="D35">
        <f t="shared" ca="1" si="2"/>
        <v>4</v>
      </c>
    </row>
    <row r="36" spans="1:4" x14ac:dyDescent="0.25">
      <c r="A36">
        <f t="shared" ref="A36:A45" si="5">A35+0.5</f>
        <v>5.5</v>
      </c>
      <c r="B36" t="s">
        <v>10</v>
      </c>
      <c r="C36">
        <f t="shared" ca="1" si="1"/>
        <v>525.41428571428571</v>
      </c>
      <c r="D36">
        <f t="shared" ca="1" si="2"/>
        <v>5</v>
      </c>
    </row>
    <row r="37" spans="1:4" x14ac:dyDescent="0.25">
      <c r="A37">
        <f t="shared" si="5"/>
        <v>6</v>
      </c>
      <c r="B37" t="s">
        <v>10</v>
      </c>
      <c r="C37">
        <f t="shared" ca="1" si="1"/>
        <v>526.48571428571427</v>
      </c>
      <c r="D37">
        <f t="shared" ca="1" si="2"/>
        <v>4</v>
      </c>
    </row>
    <row r="38" spans="1:4" x14ac:dyDescent="0.25">
      <c r="A38">
        <f t="shared" si="5"/>
        <v>6.5</v>
      </c>
      <c r="B38" t="s">
        <v>10</v>
      </c>
      <c r="C38">
        <f t="shared" ca="1" si="1"/>
        <v>523.53571428571433</v>
      </c>
      <c r="D38">
        <f t="shared" ca="1" si="2"/>
        <v>5</v>
      </c>
    </row>
    <row r="39" spans="1:4" x14ac:dyDescent="0.25">
      <c r="A39">
        <f t="shared" si="5"/>
        <v>7</v>
      </c>
      <c r="B39" t="s">
        <v>10</v>
      </c>
      <c r="C39">
        <f t="shared" ca="1" si="1"/>
        <v>519.78571428571433</v>
      </c>
      <c r="D39">
        <f t="shared" ca="1" si="2"/>
        <v>6</v>
      </c>
    </row>
    <row r="40" spans="1:4" x14ac:dyDescent="0.25">
      <c r="A40">
        <f t="shared" si="5"/>
        <v>7.5</v>
      </c>
      <c r="B40" t="s">
        <v>10</v>
      </c>
      <c r="C40">
        <f t="shared" ca="1" si="1"/>
        <v>526.42857142857144</v>
      </c>
      <c r="D40">
        <f t="shared" ca="1" si="2"/>
        <v>6</v>
      </c>
    </row>
    <row r="41" spans="1:4" x14ac:dyDescent="0.25">
      <c r="A41">
        <f t="shared" si="5"/>
        <v>8</v>
      </c>
      <c r="B41" t="s">
        <v>10</v>
      </c>
      <c r="C41">
        <f t="shared" ca="1" si="1"/>
        <v>526.1</v>
      </c>
      <c r="D41">
        <f t="shared" ca="1" si="2"/>
        <v>6</v>
      </c>
    </row>
    <row r="42" spans="1:4" x14ac:dyDescent="0.25">
      <c r="A42">
        <f t="shared" si="5"/>
        <v>8.5</v>
      </c>
      <c r="B42" t="s">
        <v>10</v>
      </c>
      <c r="C42">
        <f t="shared" ca="1" si="1"/>
        <v>519.37857142857138</v>
      </c>
      <c r="D42">
        <f t="shared" ca="1" si="2"/>
        <v>9</v>
      </c>
    </row>
    <row r="43" spans="1:4" x14ac:dyDescent="0.25">
      <c r="A43">
        <f t="shared" si="5"/>
        <v>9</v>
      </c>
      <c r="B43" t="s">
        <v>10</v>
      </c>
      <c r="C43">
        <f t="shared" ca="1" si="1"/>
        <v>532.70000000000005</v>
      </c>
      <c r="D43">
        <f t="shared" ca="1" si="2"/>
        <v>7</v>
      </c>
    </row>
    <row r="44" spans="1:4" x14ac:dyDescent="0.25">
      <c r="A44">
        <f t="shared" si="5"/>
        <v>9.5</v>
      </c>
      <c r="B44" t="s">
        <v>10</v>
      </c>
      <c r="C44">
        <f t="shared" ca="1" si="1"/>
        <v>534.73571428571427</v>
      </c>
      <c r="D44">
        <f t="shared" ca="1" si="2"/>
        <v>7</v>
      </c>
    </row>
    <row r="45" spans="1:4" x14ac:dyDescent="0.25">
      <c r="A45">
        <f t="shared" si="5"/>
        <v>10</v>
      </c>
      <c r="B45" t="s">
        <v>10</v>
      </c>
      <c r="C45">
        <f t="shared" ca="1" si="1"/>
        <v>536.87142857142862</v>
      </c>
      <c r="D45">
        <f t="shared" ca="1" si="2"/>
        <v>8</v>
      </c>
    </row>
    <row r="46" spans="1:4" x14ac:dyDescent="0.25">
      <c r="A46">
        <v>5</v>
      </c>
      <c r="B46" t="s">
        <v>12</v>
      </c>
      <c r="C46">
        <f t="shared" ca="1" si="1"/>
        <v>518.91428571428571</v>
      </c>
      <c r="D46">
        <f t="shared" ca="1" si="2"/>
        <v>5</v>
      </c>
    </row>
    <row r="47" spans="1:4" x14ac:dyDescent="0.25">
      <c r="A47">
        <f t="shared" ref="A47:A56" si="6">A46+0.5</f>
        <v>5.5</v>
      </c>
      <c r="B47" t="s">
        <v>12</v>
      </c>
      <c r="C47">
        <f t="shared" ca="1" si="1"/>
        <v>520.45714285714291</v>
      </c>
      <c r="D47">
        <f t="shared" ca="1" si="2"/>
        <v>6</v>
      </c>
    </row>
    <row r="48" spans="1:4" x14ac:dyDescent="0.25">
      <c r="A48">
        <f t="shared" si="6"/>
        <v>6</v>
      </c>
      <c r="B48" t="s">
        <v>12</v>
      </c>
      <c r="C48">
        <f t="shared" ca="1" si="1"/>
        <v>519</v>
      </c>
      <c r="D48">
        <f t="shared" ca="1" si="2"/>
        <v>6</v>
      </c>
    </row>
    <row r="49" spans="1:21" x14ac:dyDescent="0.25">
      <c r="A49">
        <f t="shared" si="6"/>
        <v>6.5</v>
      </c>
      <c r="B49" t="s">
        <v>12</v>
      </c>
      <c r="C49">
        <f t="shared" ca="1" si="1"/>
        <v>524.74285714285713</v>
      </c>
      <c r="D49">
        <f t="shared" ca="1" si="2"/>
        <v>4</v>
      </c>
    </row>
    <row r="50" spans="1:21" x14ac:dyDescent="0.25">
      <c r="A50">
        <f t="shared" si="6"/>
        <v>7</v>
      </c>
      <c r="B50" t="s">
        <v>12</v>
      </c>
      <c r="C50">
        <f t="shared" ca="1" si="1"/>
        <v>522.17142857142858</v>
      </c>
      <c r="D50">
        <f t="shared" ca="1" si="2"/>
        <v>5</v>
      </c>
    </row>
    <row r="51" spans="1:21" x14ac:dyDescent="0.25">
      <c r="A51">
        <f t="shared" si="6"/>
        <v>7.5</v>
      </c>
      <c r="B51" t="s">
        <v>12</v>
      </c>
      <c r="C51">
        <f t="shared" ca="1" si="1"/>
        <v>523.84285714285716</v>
      </c>
      <c r="D51">
        <f t="shared" ca="1" si="2"/>
        <v>8</v>
      </c>
    </row>
    <row r="52" spans="1:21" x14ac:dyDescent="0.25">
      <c r="A52">
        <f t="shared" si="6"/>
        <v>8</v>
      </c>
      <c r="B52" t="s">
        <v>12</v>
      </c>
      <c r="C52">
        <f t="shared" ca="1" si="1"/>
        <v>523.07142857142856</v>
      </c>
      <c r="D52">
        <f t="shared" ca="1" si="2"/>
        <v>7</v>
      </c>
    </row>
    <row r="53" spans="1:21" x14ac:dyDescent="0.25">
      <c r="A53">
        <f t="shared" si="6"/>
        <v>8.5</v>
      </c>
      <c r="B53" t="s">
        <v>12</v>
      </c>
      <c r="C53">
        <f t="shared" ca="1" si="1"/>
        <v>523.67142857142858</v>
      </c>
      <c r="D53">
        <f t="shared" ca="1" si="2"/>
        <v>8</v>
      </c>
      <c r="E53" s="5" t="s">
        <v>30</v>
      </c>
      <c r="F53" s="5" t="s">
        <v>28</v>
      </c>
    </row>
    <row r="54" spans="1:21" x14ac:dyDescent="0.25">
      <c r="A54">
        <f t="shared" si="6"/>
        <v>9</v>
      </c>
      <c r="B54" t="s">
        <v>12</v>
      </c>
      <c r="C54">
        <f t="shared" ca="1" si="1"/>
        <v>522.42857142857144</v>
      </c>
      <c r="D54">
        <f t="shared" ca="1" si="2"/>
        <v>10</v>
      </c>
      <c r="E54" s="5" t="s">
        <v>26</v>
      </c>
      <c r="F54" t="s">
        <v>12</v>
      </c>
      <c r="G54" t="s">
        <v>21</v>
      </c>
      <c r="H54" t="s">
        <v>18</v>
      </c>
      <c r="I54" t="s">
        <v>7</v>
      </c>
      <c r="J54" t="s">
        <v>15</v>
      </c>
      <c r="K54" t="s">
        <v>9</v>
      </c>
      <c r="L54" t="s">
        <v>17</v>
      </c>
      <c r="M54" t="s">
        <v>11</v>
      </c>
      <c r="N54" t="s">
        <v>14</v>
      </c>
      <c r="O54" t="s">
        <v>19</v>
      </c>
      <c r="P54" t="s">
        <v>10</v>
      </c>
      <c r="Q54" t="s">
        <v>13</v>
      </c>
      <c r="R54" t="s">
        <v>16</v>
      </c>
      <c r="S54" t="s">
        <v>20</v>
      </c>
      <c r="T54" t="s">
        <v>8</v>
      </c>
      <c r="U54" t="s">
        <v>27</v>
      </c>
    </row>
    <row r="55" spans="1:21" x14ac:dyDescent="0.25">
      <c r="A55">
        <f t="shared" si="6"/>
        <v>9.5</v>
      </c>
      <c r="B55" t="s">
        <v>12</v>
      </c>
      <c r="C55">
        <f t="shared" ca="1" si="1"/>
        <v>524.78571428571433</v>
      </c>
      <c r="D55">
        <f t="shared" ca="1" si="2"/>
        <v>10</v>
      </c>
      <c r="E55" s="6">
        <v>5</v>
      </c>
      <c r="F55">
        <v>5</v>
      </c>
      <c r="G55">
        <v>15</v>
      </c>
      <c r="H55">
        <v>13</v>
      </c>
      <c r="I55">
        <v>1</v>
      </c>
      <c r="J55">
        <v>8</v>
      </c>
      <c r="K55">
        <v>2</v>
      </c>
      <c r="L55">
        <v>11</v>
      </c>
      <c r="M55">
        <v>6</v>
      </c>
      <c r="N55">
        <v>9</v>
      </c>
      <c r="O55">
        <v>12</v>
      </c>
      <c r="P55">
        <v>4</v>
      </c>
      <c r="Q55">
        <v>7</v>
      </c>
      <c r="R55">
        <v>10</v>
      </c>
      <c r="S55">
        <v>14</v>
      </c>
      <c r="T55">
        <v>3</v>
      </c>
      <c r="U55">
        <v>120</v>
      </c>
    </row>
    <row r="56" spans="1:21" x14ac:dyDescent="0.25">
      <c r="A56">
        <f t="shared" si="6"/>
        <v>10</v>
      </c>
      <c r="B56" t="s">
        <v>12</v>
      </c>
      <c r="C56">
        <f t="shared" ca="1" si="1"/>
        <v>524.70000000000005</v>
      </c>
      <c r="D56">
        <f t="shared" ca="1" si="2"/>
        <v>12</v>
      </c>
      <c r="E56" s="6">
        <v>5.5</v>
      </c>
      <c r="F56">
        <v>6</v>
      </c>
      <c r="G56">
        <v>15</v>
      </c>
      <c r="H56">
        <v>13</v>
      </c>
      <c r="I56">
        <v>1</v>
      </c>
      <c r="J56">
        <v>8</v>
      </c>
      <c r="K56">
        <v>2</v>
      </c>
      <c r="L56">
        <v>11</v>
      </c>
      <c r="M56">
        <v>4</v>
      </c>
      <c r="N56">
        <v>10</v>
      </c>
      <c r="O56">
        <v>12</v>
      </c>
      <c r="P56">
        <v>5</v>
      </c>
      <c r="Q56">
        <v>7</v>
      </c>
      <c r="R56">
        <v>9</v>
      </c>
      <c r="S56">
        <v>14</v>
      </c>
      <c r="T56">
        <v>3</v>
      </c>
      <c r="U56">
        <v>120</v>
      </c>
    </row>
    <row r="57" spans="1:21" x14ac:dyDescent="0.25">
      <c r="A57">
        <v>5</v>
      </c>
      <c r="B57" t="s">
        <v>11</v>
      </c>
      <c r="C57">
        <f t="shared" ca="1" si="1"/>
        <v>518.12857142857138</v>
      </c>
      <c r="D57">
        <f t="shared" ca="1" si="2"/>
        <v>6</v>
      </c>
      <c r="E57" s="6">
        <v>6</v>
      </c>
      <c r="F57">
        <v>6</v>
      </c>
      <c r="G57">
        <v>15</v>
      </c>
      <c r="H57">
        <v>13</v>
      </c>
      <c r="I57">
        <v>1</v>
      </c>
      <c r="J57">
        <v>8</v>
      </c>
      <c r="K57">
        <v>3</v>
      </c>
      <c r="L57">
        <v>11</v>
      </c>
      <c r="M57">
        <v>5</v>
      </c>
      <c r="N57">
        <v>10</v>
      </c>
      <c r="O57">
        <v>12</v>
      </c>
      <c r="P57">
        <v>4</v>
      </c>
      <c r="Q57">
        <v>7</v>
      </c>
      <c r="R57">
        <v>9</v>
      </c>
      <c r="S57">
        <v>14</v>
      </c>
      <c r="T57">
        <v>2</v>
      </c>
      <c r="U57">
        <v>120</v>
      </c>
    </row>
    <row r="58" spans="1:21" x14ac:dyDescent="0.25">
      <c r="A58">
        <f t="shared" ref="A58:A67" si="7">A57+0.5</f>
        <v>5.5</v>
      </c>
      <c r="B58" t="s">
        <v>11</v>
      </c>
      <c r="C58">
        <f t="shared" ca="1" si="1"/>
        <v>526.04999999999995</v>
      </c>
      <c r="D58">
        <f t="shared" ca="1" si="2"/>
        <v>4</v>
      </c>
      <c r="E58" s="6">
        <v>6.5</v>
      </c>
      <c r="F58">
        <v>4</v>
      </c>
      <c r="G58">
        <v>14</v>
      </c>
      <c r="H58">
        <v>13</v>
      </c>
      <c r="I58">
        <v>1</v>
      </c>
      <c r="J58">
        <v>8</v>
      </c>
      <c r="K58">
        <v>3</v>
      </c>
      <c r="L58">
        <v>11</v>
      </c>
      <c r="M58">
        <v>7</v>
      </c>
      <c r="N58">
        <v>10</v>
      </c>
      <c r="O58">
        <v>12</v>
      </c>
      <c r="P58">
        <v>5</v>
      </c>
      <c r="Q58">
        <v>6</v>
      </c>
      <c r="R58">
        <v>9</v>
      </c>
      <c r="S58">
        <v>15</v>
      </c>
      <c r="T58">
        <v>2</v>
      </c>
      <c r="U58">
        <v>120</v>
      </c>
    </row>
    <row r="59" spans="1:21" x14ac:dyDescent="0.25">
      <c r="A59">
        <f t="shared" si="7"/>
        <v>6</v>
      </c>
      <c r="B59" t="s">
        <v>11</v>
      </c>
      <c r="C59">
        <f t="shared" ca="1" si="1"/>
        <v>521.51428571428573</v>
      </c>
      <c r="D59">
        <f t="shared" ca="1" si="2"/>
        <v>5</v>
      </c>
      <c r="E59" s="6">
        <v>7</v>
      </c>
      <c r="F59">
        <v>5</v>
      </c>
      <c r="G59">
        <v>15</v>
      </c>
      <c r="H59">
        <v>13</v>
      </c>
      <c r="I59">
        <v>1</v>
      </c>
      <c r="J59">
        <v>9</v>
      </c>
      <c r="K59">
        <v>3</v>
      </c>
      <c r="L59">
        <v>10</v>
      </c>
      <c r="M59">
        <v>7</v>
      </c>
      <c r="N59">
        <v>12</v>
      </c>
      <c r="O59">
        <v>11</v>
      </c>
      <c r="P59">
        <v>6</v>
      </c>
      <c r="Q59">
        <v>4</v>
      </c>
      <c r="R59">
        <v>8</v>
      </c>
      <c r="S59">
        <v>14</v>
      </c>
      <c r="T59">
        <v>2</v>
      </c>
      <c r="U59">
        <v>120</v>
      </c>
    </row>
    <row r="60" spans="1:21" x14ac:dyDescent="0.25">
      <c r="A60">
        <f t="shared" si="7"/>
        <v>6.5</v>
      </c>
      <c r="B60" t="s">
        <v>11</v>
      </c>
      <c r="C60">
        <f t="shared" ca="1" si="1"/>
        <v>516.97142857142853</v>
      </c>
      <c r="D60">
        <f t="shared" ca="1" si="2"/>
        <v>7</v>
      </c>
      <c r="E60" s="6">
        <v>7.5</v>
      </c>
      <c r="F60">
        <v>8</v>
      </c>
      <c r="G60">
        <v>14</v>
      </c>
      <c r="H60">
        <v>13</v>
      </c>
      <c r="I60">
        <v>2</v>
      </c>
      <c r="J60">
        <v>11</v>
      </c>
      <c r="K60">
        <v>3</v>
      </c>
      <c r="L60">
        <v>10</v>
      </c>
      <c r="M60">
        <v>7</v>
      </c>
      <c r="N60">
        <v>12</v>
      </c>
      <c r="O60">
        <v>4</v>
      </c>
      <c r="P60">
        <v>6</v>
      </c>
      <c r="Q60">
        <v>5</v>
      </c>
      <c r="R60">
        <v>9</v>
      </c>
      <c r="S60">
        <v>15</v>
      </c>
      <c r="T60">
        <v>1</v>
      </c>
      <c r="U60">
        <v>120</v>
      </c>
    </row>
    <row r="61" spans="1:21" x14ac:dyDescent="0.25">
      <c r="A61">
        <f t="shared" si="7"/>
        <v>7</v>
      </c>
      <c r="B61" t="s">
        <v>11</v>
      </c>
      <c r="C61">
        <f t="shared" ca="1" si="1"/>
        <v>514.05714285714282</v>
      </c>
      <c r="D61">
        <f t="shared" ca="1" si="2"/>
        <v>7</v>
      </c>
      <c r="E61" s="6">
        <v>8</v>
      </c>
      <c r="F61">
        <v>7</v>
      </c>
      <c r="G61">
        <v>14</v>
      </c>
      <c r="H61">
        <v>13</v>
      </c>
      <c r="I61">
        <v>1</v>
      </c>
      <c r="J61">
        <v>11</v>
      </c>
      <c r="K61">
        <v>3</v>
      </c>
      <c r="L61">
        <v>10</v>
      </c>
      <c r="M61">
        <v>8</v>
      </c>
      <c r="N61">
        <v>12</v>
      </c>
      <c r="O61">
        <v>4</v>
      </c>
      <c r="P61">
        <v>6</v>
      </c>
      <c r="Q61">
        <v>5</v>
      </c>
      <c r="R61">
        <v>9</v>
      </c>
      <c r="S61">
        <v>15</v>
      </c>
      <c r="T61">
        <v>2</v>
      </c>
      <c r="U61">
        <v>120</v>
      </c>
    </row>
    <row r="62" spans="1:21" x14ac:dyDescent="0.25">
      <c r="A62">
        <f t="shared" si="7"/>
        <v>7.5</v>
      </c>
      <c r="B62" t="s">
        <v>11</v>
      </c>
      <c r="C62">
        <f t="shared" ca="1" si="1"/>
        <v>524.07857142857142</v>
      </c>
      <c r="D62">
        <f t="shared" ca="1" si="2"/>
        <v>7</v>
      </c>
      <c r="E62" s="6">
        <v>8.5</v>
      </c>
      <c r="F62">
        <v>8</v>
      </c>
      <c r="G62">
        <v>13</v>
      </c>
      <c r="H62">
        <v>14</v>
      </c>
      <c r="I62">
        <v>3</v>
      </c>
      <c r="J62">
        <v>11</v>
      </c>
      <c r="K62">
        <v>4</v>
      </c>
      <c r="L62">
        <v>6</v>
      </c>
      <c r="M62">
        <v>7</v>
      </c>
      <c r="N62">
        <v>12</v>
      </c>
      <c r="O62">
        <v>2</v>
      </c>
      <c r="P62">
        <v>9</v>
      </c>
      <c r="Q62">
        <v>5</v>
      </c>
      <c r="R62">
        <v>10</v>
      </c>
      <c r="S62">
        <v>15</v>
      </c>
      <c r="T62">
        <v>1</v>
      </c>
      <c r="U62">
        <v>120</v>
      </c>
    </row>
    <row r="63" spans="1:21" x14ac:dyDescent="0.25">
      <c r="A63">
        <f t="shared" si="7"/>
        <v>8</v>
      </c>
      <c r="B63" t="s">
        <v>11</v>
      </c>
      <c r="C63">
        <f t="shared" ca="1" si="1"/>
        <v>521.07142857142856</v>
      </c>
      <c r="D63">
        <f t="shared" ca="1" si="2"/>
        <v>8</v>
      </c>
      <c r="E63" s="6">
        <v>9</v>
      </c>
      <c r="F63">
        <v>10</v>
      </c>
      <c r="G63">
        <v>14</v>
      </c>
      <c r="H63">
        <v>13</v>
      </c>
      <c r="I63">
        <v>3</v>
      </c>
      <c r="J63">
        <v>11</v>
      </c>
      <c r="K63">
        <v>4</v>
      </c>
      <c r="L63">
        <v>5</v>
      </c>
      <c r="M63">
        <v>8</v>
      </c>
      <c r="N63">
        <v>12</v>
      </c>
      <c r="O63">
        <v>1</v>
      </c>
      <c r="P63">
        <v>7</v>
      </c>
      <c r="Q63">
        <v>6</v>
      </c>
      <c r="R63">
        <v>9</v>
      </c>
      <c r="S63">
        <v>15</v>
      </c>
      <c r="T63">
        <v>2</v>
      </c>
      <c r="U63">
        <v>120</v>
      </c>
    </row>
    <row r="64" spans="1:21" x14ac:dyDescent="0.25">
      <c r="A64">
        <f t="shared" si="7"/>
        <v>8.5</v>
      </c>
      <c r="B64" t="s">
        <v>11</v>
      </c>
      <c r="C64">
        <f t="shared" ca="1" si="1"/>
        <v>525.51428571428573</v>
      </c>
      <c r="D64">
        <f t="shared" ca="1" si="2"/>
        <v>7</v>
      </c>
      <c r="E64" s="6">
        <v>9.5</v>
      </c>
      <c r="F64">
        <v>10</v>
      </c>
      <c r="G64">
        <v>12</v>
      </c>
      <c r="H64">
        <v>14</v>
      </c>
      <c r="I64">
        <v>3</v>
      </c>
      <c r="J64">
        <v>11</v>
      </c>
      <c r="K64">
        <v>5</v>
      </c>
      <c r="L64">
        <v>4</v>
      </c>
      <c r="M64">
        <v>9</v>
      </c>
      <c r="N64">
        <v>13</v>
      </c>
      <c r="O64">
        <v>2</v>
      </c>
      <c r="P64">
        <v>7</v>
      </c>
      <c r="Q64">
        <v>6</v>
      </c>
      <c r="R64">
        <v>8</v>
      </c>
      <c r="S64">
        <v>15</v>
      </c>
      <c r="T64">
        <v>1</v>
      </c>
      <c r="U64">
        <v>120</v>
      </c>
    </row>
    <row r="65" spans="1:21" x14ac:dyDescent="0.25">
      <c r="A65">
        <f t="shared" si="7"/>
        <v>9</v>
      </c>
      <c r="B65" t="s">
        <v>11</v>
      </c>
      <c r="C65">
        <f t="shared" ca="1" si="1"/>
        <v>531</v>
      </c>
      <c r="D65">
        <f t="shared" ca="1" si="2"/>
        <v>8</v>
      </c>
      <c r="E65" s="6">
        <v>10</v>
      </c>
      <c r="F65">
        <v>12</v>
      </c>
      <c r="G65">
        <v>9</v>
      </c>
      <c r="H65">
        <v>10</v>
      </c>
      <c r="I65">
        <v>3</v>
      </c>
      <c r="J65">
        <v>13</v>
      </c>
      <c r="K65">
        <v>6</v>
      </c>
      <c r="L65">
        <v>4</v>
      </c>
      <c r="M65">
        <v>11</v>
      </c>
      <c r="N65">
        <v>14</v>
      </c>
      <c r="O65">
        <v>1</v>
      </c>
      <c r="P65">
        <v>8</v>
      </c>
      <c r="Q65">
        <v>5</v>
      </c>
      <c r="R65">
        <v>7</v>
      </c>
      <c r="S65">
        <v>15</v>
      </c>
      <c r="T65">
        <v>2</v>
      </c>
      <c r="U65">
        <v>120</v>
      </c>
    </row>
    <row r="66" spans="1:21" x14ac:dyDescent="0.25">
      <c r="A66">
        <f t="shared" si="7"/>
        <v>9.5</v>
      </c>
      <c r="B66" t="s">
        <v>11</v>
      </c>
      <c r="C66">
        <f t="shared" ca="1" si="1"/>
        <v>530.13571428571424</v>
      </c>
      <c r="D66">
        <f t="shared" ca="1" si="2"/>
        <v>9</v>
      </c>
      <c r="E66" s="6" t="s">
        <v>27</v>
      </c>
      <c r="F66">
        <v>81</v>
      </c>
      <c r="G66">
        <v>150</v>
      </c>
      <c r="H66">
        <v>142</v>
      </c>
      <c r="I66">
        <v>20</v>
      </c>
      <c r="J66">
        <v>109</v>
      </c>
      <c r="K66">
        <v>38</v>
      </c>
      <c r="L66">
        <v>93</v>
      </c>
      <c r="M66">
        <v>79</v>
      </c>
      <c r="N66">
        <v>126</v>
      </c>
      <c r="O66">
        <v>73</v>
      </c>
      <c r="P66">
        <v>67</v>
      </c>
      <c r="Q66">
        <v>63</v>
      </c>
      <c r="R66">
        <v>97</v>
      </c>
      <c r="S66">
        <v>161</v>
      </c>
      <c r="T66">
        <v>21</v>
      </c>
      <c r="U66">
        <v>1320</v>
      </c>
    </row>
    <row r="67" spans="1:21" x14ac:dyDescent="0.25">
      <c r="A67">
        <f t="shared" si="7"/>
        <v>10</v>
      </c>
      <c r="B67" t="s">
        <v>11</v>
      </c>
      <c r="C67">
        <f t="shared" ref="C67:C130" ca="1" si="8">VLOOKUP(B67,INDIRECT(_xlfn.CONCAT("'T = ",A67,"'!$A:$D")),4,FALSE)</f>
        <v>534.52857142857147</v>
      </c>
      <c r="D67">
        <f t="shared" ref="D67:D130" ca="1" si="9">VLOOKUP(B67,INDIRECT(_xlfn.CONCAT("'T = ",A67,"'!$A:$B")),2,FALSE)</f>
        <v>11</v>
      </c>
    </row>
    <row r="68" spans="1:21" x14ac:dyDescent="0.25">
      <c r="A68">
        <v>5</v>
      </c>
      <c r="B68" t="s">
        <v>13</v>
      </c>
      <c r="C68">
        <f t="shared" ca="1" si="8"/>
        <v>501.98571428571427</v>
      </c>
      <c r="D68">
        <f t="shared" ca="1" si="9"/>
        <v>7</v>
      </c>
    </row>
    <row r="69" spans="1:21" x14ac:dyDescent="0.25">
      <c r="A69">
        <f t="shared" ref="A69:A78" si="10">A68+0.5</f>
        <v>5.5</v>
      </c>
      <c r="B69" t="s">
        <v>13</v>
      </c>
      <c r="C69">
        <f t="shared" ca="1" si="8"/>
        <v>506.49285714285713</v>
      </c>
      <c r="D69">
        <f t="shared" ca="1" si="9"/>
        <v>7</v>
      </c>
    </row>
    <row r="70" spans="1:21" x14ac:dyDescent="0.25">
      <c r="A70">
        <f t="shared" si="10"/>
        <v>6</v>
      </c>
      <c r="B70" t="s">
        <v>13</v>
      </c>
      <c r="C70">
        <f t="shared" ca="1" si="8"/>
        <v>511.3</v>
      </c>
      <c r="D70">
        <f t="shared" ca="1" si="9"/>
        <v>7</v>
      </c>
    </row>
    <row r="71" spans="1:21" x14ac:dyDescent="0.25">
      <c r="A71">
        <f t="shared" si="10"/>
        <v>6.5</v>
      </c>
      <c r="B71" t="s">
        <v>13</v>
      </c>
      <c r="C71">
        <f t="shared" ca="1" si="8"/>
        <v>518.01428571428573</v>
      </c>
      <c r="D71">
        <f t="shared" ca="1" si="9"/>
        <v>6</v>
      </c>
    </row>
    <row r="72" spans="1:21" x14ac:dyDescent="0.25">
      <c r="A72">
        <f t="shared" si="10"/>
        <v>7</v>
      </c>
      <c r="B72" t="s">
        <v>13</v>
      </c>
      <c r="C72">
        <f t="shared" ca="1" si="8"/>
        <v>525.08571428571429</v>
      </c>
      <c r="D72">
        <f t="shared" ca="1" si="9"/>
        <v>4</v>
      </c>
    </row>
    <row r="73" spans="1:21" x14ac:dyDescent="0.25">
      <c r="A73">
        <f t="shared" si="10"/>
        <v>7.5</v>
      </c>
      <c r="B73" t="s">
        <v>13</v>
      </c>
      <c r="C73">
        <f t="shared" ca="1" si="8"/>
        <v>527.39285714285711</v>
      </c>
      <c r="D73">
        <f t="shared" ca="1" si="9"/>
        <v>5</v>
      </c>
    </row>
    <row r="74" spans="1:21" x14ac:dyDescent="0.25">
      <c r="A74">
        <f t="shared" si="10"/>
        <v>8</v>
      </c>
      <c r="B74" t="s">
        <v>13</v>
      </c>
      <c r="C74">
        <f t="shared" ca="1" si="8"/>
        <v>533.37142857142862</v>
      </c>
      <c r="D74">
        <f t="shared" ca="1" si="9"/>
        <v>5</v>
      </c>
    </row>
    <row r="75" spans="1:21" x14ac:dyDescent="0.25">
      <c r="A75">
        <f t="shared" si="10"/>
        <v>8.5</v>
      </c>
      <c r="B75" t="s">
        <v>13</v>
      </c>
      <c r="C75">
        <f t="shared" ca="1" si="8"/>
        <v>539.33571428571429</v>
      </c>
      <c r="D75">
        <f t="shared" ca="1" si="9"/>
        <v>5</v>
      </c>
    </row>
    <row r="76" spans="1:21" x14ac:dyDescent="0.25">
      <c r="A76">
        <f t="shared" si="10"/>
        <v>9</v>
      </c>
      <c r="B76" t="s">
        <v>13</v>
      </c>
      <c r="C76">
        <f t="shared" ca="1" si="8"/>
        <v>549.32857142857142</v>
      </c>
      <c r="D76">
        <f t="shared" ca="1" si="9"/>
        <v>6</v>
      </c>
    </row>
    <row r="77" spans="1:21" x14ac:dyDescent="0.25">
      <c r="A77">
        <f t="shared" si="10"/>
        <v>9.5</v>
      </c>
      <c r="B77" t="s">
        <v>13</v>
      </c>
      <c r="C77">
        <f t="shared" ca="1" si="8"/>
        <v>549.20714285714291</v>
      </c>
      <c r="D77">
        <f t="shared" ca="1" si="9"/>
        <v>6</v>
      </c>
    </row>
    <row r="78" spans="1:21" x14ac:dyDescent="0.25">
      <c r="A78">
        <f t="shared" si="10"/>
        <v>10</v>
      </c>
      <c r="B78" t="s">
        <v>13</v>
      </c>
      <c r="C78">
        <f t="shared" ca="1" si="8"/>
        <v>562.11428571428576</v>
      </c>
      <c r="D78">
        <f t="shared" ca="1" si="9"/>
        <v>5</v>
      </c>
    </row>
    <row r="79" spans="1:21" x14ac:dyDescent="0.25">
      <c r="A79">
        <v>5</v>
      </c>
      <c r="B79" t="s">
        <v>15</v>
      </c>
      <c r="C79">
        <f t="shared" ca="1" si="8"/>
        <v>488.47142857142859</v>
      </c>
      <c r="D79">
        <f t="shared" ca="1" si="9"/>
        <v>8</v>
      </c>
    </row>
    <row r="80" spans="1:21" x14ac:dyDescent="0.25">
      <c r="A80">
        <v>5.5</v>
      </c>
      <c r="B80" t="s">
        <v>15</v>
      </c>
      <c r="C80">
        <f t="shared" ca="1" si="8"/>
        <v>490.30714285714288</v>
      </c>
      <c r="D80">
        <f t="shared" ca="1" si="9"/>
        <v>8</v>
      </c>
    </row>
    <row r="81" spans="1:4" x14ac:dyDescent="0.25">
      <c r="A81">
        <v>6</v>
      </c>
      <c r="B81" t="s">
        <v>15</v>
      </c>
      <c r="C81">
        <f t="shared" ca="1" si="8"/>
        <v>498.65714285714284</v>
      </c>
      <c r="D81">
        <f t="shared" ca="1" si="9"/>
        <v>8</v>
      </c>
    </row>
    <row r="82" spans="1:4" x14ac:dyDescent="0.25">
      <c r="A82">
        <v>6.5</v>
      </c>
      <c r="B82" t="s">
        <v>15</v>
      </c>
      <c r="C82">
        <f t="shared" ca="1" si="8"/>
        <v>500.00714285714287</v>
      </c>
      <c r="D82">
        <f t="shared" ca="1" si="9"/>
        <v>8</v>
      </c>
    </row>
    <row r="83" spans="1:4" x14ac:dyDescent="0.25">
      <c r="A83">
        <v>7</v>
      </c>
      <c r="B83" t="s">
        <v>15</v>
      </c>
      <c r="C83">
        <f t="shared" ca="1" si="8"/>
        <v>505.04285714285714</v>
      </c>
      <c r="D83">
        <f t="shared" ca="1" si="9"/>
        <v>9</v>
      </c>
    </row>
    <row r="84" spans="1:4" x14ac:dyDescent="0.25">
      <c r="A84">
        <v>7.5</v>
      </c>
      <c r="B84" t="s">
        <v>15</v>
      </c>
      <c r="C84">
        <f t="shared" ca="1" si="8"/>
        <v>506.80714285714288</v>
      </c>
      <c r="D84">
        <f t="shared" ca="1" si="9"/>
        <v>11</v>
      </c>
    </row>
    <row r="85" spans="1:4" x14ac:dyDescent="0.25">
      <c r="A85">
        <v>8</v>
      </c>
      <c r="B85" t="s">
        <v>15</v>
      </c>
      <c r="C85">
        <f t="shared" ca="1" si="8"/>
        <v>513.79999999999995</v>
      </c>
      <c r="D85">
        <f t="shared" ca="1" si="9"/>
        <v>11</v>
      </c>
    </row>
    <row r="86" spans="1:4" x14ac:dyDescent="0.25">
      <c r="A86">
        <v>8.5</v>
      </c>
      <c r="B86" t="s">
        <v>15</v>
      </c>
      <c r="C86">
        <f t="shared" ca="1" si="8"/>
        <v>516.17142857142858</v>
      </c>
      <c r="D86">
        <f t="shared" ca="1" si="9"/>
        <v>11</v>
      </c>
    </row>
    <row r="87" spans="1:4" x14ac:dyDescent="0.25">
      <c r="A87">
        <v>9</v>
      </c>
      <c r="B87" t="s">
        <v>15</v>
      </c>
      <c r="C87">
        <f t="shared" ca="1" si="8"/>
        <v>517.87142857142862</v>
      </c>
      <c r="D87">
        <f t="shared" ca="1" si="9"/>
        <v>11</v>
      </c>
    </row>
    <row r="88" spans="1:4" x14ac:dyDescent="0.25">
      <c r="A88">
        <v>9.5</v>
      </c>
      <c r="B88" t="s">
        <v>15</v>
      </c>
      <c r="C88">
        <f t="shared" ca="1" si="8"/>
        <v>520.42857142857144</v>
      </c>
      <c r="D88">
        <f t="shared" ca="1" si="9"/>
        <v>11</v>
      </c>
    </row>
    <row r="89" spans="1:4" x14ac:dyDescent="0.25">
      <c r="A89">
        <v>10</v>
      </c>
      <c r="B89" t="s">
        <v>15</v>
      </c>
      <c r="C89">
        <f t="shared" ca="1" si="8"/>
        <v>522.35714285714289</v>
      </c>
      <c r="D89">
        <f t="shared" ca="1" si="9"/>
        <v>13</v>
      </c>
    </row>
    <row r="90" spans="1:4" x14ac:dyDescent="0.25">
      <c r="A90">
        <v>5</v>
      </c>
      <c r="B90" t="s">
        <v>14</v>
      </c>
      <c r="C90">
        <f t="shared" ca="1" si="8"/>
        <v>485.82857142857142</v>
      </c>
      <c r="D90">
        <f t="shared" ca="1" si="9"/>
        <v>9</v>
      </c>
    </row>
    <row r="91" spans="1:4" x14ac:dyDescent="0.25">
      <c r="A91">
        <v>5.5</v>
      </c>
      <c r="B91" t="s">
        <v>14</v>
      </c>
      <c r="C91">
        <f t="shared" ca="1" si="8"/>
        <v>489.6357142857143</v>
      </c>
      <c r="D91">
        <f t="shared" ca="1" si="9"/>
        <v>10</v>
      </c>
    </row>
    <row r="92" spans="1:4" x14ac:dyDescent="0.25">
      <c r="A92">
        <v>6</v>
      </c>
      <c r="B92" t="s">
        <v>14</v>
      </c>
      <c r="C92">
        <f t="shared" ca="1" si="8"/>
        <v>492.04285714285714</v>
      </c>
      <c r="D92">
        <f t="shared" ca="1" si="9"/>
        <v>10</v>
      </c>
    </row>
    <row r="93" spans="1:4" x14ac:dyDescent="0.25">
      <c r="A93">
        <v>6.5</v>
      </c>
      <c r="B93" t="s">
        <v>14</v>
      </c>
      <c r="C93">
        <f t="shared" ca="1" si="8"/>
        <v>496.6142857142857</v>
      </c>
      <c r="D93">
        <f t="shared" ca="1" si="9"/>
        <v>10</v>
      </c>
    </row>
    <row r="94" spans="1:4" x14ac:dyDescent="0.25">
      <c r="A94">
        <v>7</v>
      </c>
      <c r="B94" t="s">
        <v>14</v>
      </c>
      <c r="C94">
        <f t="shared" ca="1" si="8"/>
        <v>498.1142857142857</v>
      </c>
      <c r="D94">
        <f t="shared" ca="1" si="9"/>
        <v>12</v>
      </c>
    </row>
    <row r="95" spans="1:4" x14ac:dyDescent="0.25">
      <c r="A95">
        <v>7.5</v>
      </c>
      <c r="B95" t="s">
        <v>14</v>
      </c>
      <c r="C95">
        <f t="shared" ca="1" si="8"/>
        <v>502.8857142857143</v>
      </c>
      <c r="D95">
        <f t="shared" ca="1" si="9"/>
        <v>12</v>
      </c>
    </row>
    <row r="96" spans="1:4" x14ac:dyDescent="0.25">
      <c r="A96">
        <v>8</v>
      </c>
      <c r="B96" t="s">
        <v>14</v>
      </c>
      <c r="C96">
        <f t="shared" ca="1" si="8"/>
        <v>504.02857142857141</v>
      </c>
      <c r="D96">
        <f t="shared" ca="1" si="9"/>
        <v>12</v>
      </c>
    </row>
    <row r="97" spans="1:4" x14ac:dyDescent="0.25">
      <c r="A97">
        <v>8.5</v>
      </c>
      <c r="B97" t="s">
        <v>14</v>
      </c>
      <c r="C97">
        <f t="shared" ca="1" si="8"/>
        <v>507.15714285714284</v>
      </c>
      <c r="D97">
        <f t="shared" ca="1" si="9"/>
        <v>12</v>
      </c>
    </row>
    <row r="98" spans="1:4" x14ac:dyDescent="0.25">
      <c r="A98">
        <v>9</v>
      </c>
      <c r="B98" t="s">
        <v>14</v>
      </c>
      <c r="C98">
        <f t="shared" ca="1" si="8"/>
        <v>511.24285714285713</v>
      </c>
      <c r="D98">
        <f t="shared" ca="1" si="9"/>
        <v>12</v>
      </c>
    </row>
    <row r="99" spans="1:4" x14ac:dyDescent="0.25">
      <c r="A99">
        <v>9.5</v>
      </c>
      <c r="B99" t="s">
        <v>14</v>
      </c>
      <c r="C99">
        <f t="shared" ca="1" si="8"/>
        <v>514.4785714285714</v>
      </c>
      <c r="D99">
        <f t="shared" ca="1" si="9"/>
        <v>13</v>
      </c>
    </row>
    <row r="100" spans="1:4" x14ac:dyDescent="0.25">
      <c r="A100">
        <v>10</v>
      </c>
      <c r="B100" t="s">
        <v>14</v>
      </c>
      <c r="C100">
        <f t="shared" ca="1" si="8"/>
        <v>515.70000000000005</v>
      </c>
      <c r="D100">
        <f t="shared" ca="1" si="9"/>
        <v>14</v>
      </c>
    </row>
    <row r="101" spans="1:4" x14ac:dyDescent="0.25">
      <c r="A101">
        <v>5</v>
      </c>
      <c r="B101" t="s">
        <v>16</v>
      </c>
      <c r="C101">
        <f t="shared" ca="1" si="8"/>
        <v>483.27142857142854</v>
      </c>
      <c r="D101">
        <f t="shared" ca="1" si="9"/>
        <v>10</v>
      </c>
    </row>
    <row r="102" spans="1:4" x14ac:dyDescent="0.25">
      <c r="A102">
        <v>5.5</v>
      </c>
      <c r="B102" t="s">
        <v>16</v>
      </c>
      <c r="C102">
        <f t="shared" ca="1" si="8"/>
        <v>489.75714285714287</v>
      </c>
      <c r="D102">
        <f t="shared" ca="1" si="9"/>
        <v>9</v>
      </c>
    </row>
    <row r="103" spans="1:4" x14ac:dyDescent="0.25">
      <c r="A103">
        <v>6</v>
      </c>
      <c r="B103" t="s">
        <v>16</v>
      </c>
      <c r="C103">
        <f t="shared" ca="1" si="8"/>
        <v>495.1142857142857</v>
      </c>
      <c r="D103">
        <f t="shared" ca="1" si="9"/>
        <v>9</v>
      </c>
    </row>
    <row r="104" spans="1:4" x14ac:dyDescent="0.25">
      <c r="A104">
        <v>6.5</v>
      </c>
      <c r="B104" t="s">
        <v>16</v>
      </c>
      <c r="C104">
        <f t="shared" ca="1" si="8"/>
        <v>498.21428571428572</v>
      </c>
      <c r="D104">
        <f t="shared" ca="1" si="9"/>
        <v>9</v>
      </c>
    </row>
    <row r="105" spans="1:4" x14ac:dyDescent="0.25">
      <c r="A105">
        <v>7</v>
      </c>
      <c r="B105" t="s">
        <v>16</v>
      </c>
      <c r="C105">
        <f t="shared" ca="1" si="8"/>
        <v>507.97142857142859</v>
      </c>
      <c r="D105">
        <f t="shared" ca="1" si="9"/>
        <v>8</v>
      </c>
    </row>
    <row r="106" spans="1:4" x14ac:dyDescent="0.25">
      <c r="A106">
        <v>7.5</v>
      </c>
      <c r="B106" t="s">
        <v>16</v>
      </c>
      <c r="C106">
        <f t="shared" ca="1" si="8"/>
        <v>511.44285714285712</v>
      </c>
      <c r="D106">
        <f t="shared" ca="1" si="9"/>
        <v>9</v>
      </c>
    </row>
    <row r="107" spans="1:4" x14ac:dyDescent="0.25">
      <c r="A107">
        <v>8</v>
      </c>
      <c r="B107" t="s">
        <v>16</v>
      </c>
      <c r="C107">
        <f t="shared" ca="1" si="8"/>
        <v>519.6</v>
      </c>
      <c r="D107">
        <f t="shared" ca="1" si="9"/>
        <v>9</v>
      </c>
    </row>
    <row r="108" spans="1:4" x14ac:dyDescent="0.25">
      <c r="A108">
        <v>8.5</v>
      </c>
      <c r="B108" t="s">
        <v>16</v>
      </c>
      <c r="C108">
        <f t="shared" ca="1" si="8"/>
        <v>518.47142857142853</v>
      </c>
      <c r="D108">
        <f t="shared" ca="1" si="9"/>
        <v>10</v>
      </c>
    </row>
    <row r="109" spans="1:4" x14ac:dyDescent="0.25">
      <c r="A109">
        <v>9</v>
      </c>
      <c r="B109" t="s">
        <v>16</v>
      </c>
      <c r="C109">
        <f t="shared" ca="1" si="8"/>
        <v>528.4</v>
      </c>
      <c r="D109">
        <f t="shared" ca="1" si="9"/>
        <v>9</v>
      </c>
    </row>
    <row r="110" spans="1:4" x14ac:dyDescent="0.25">
      <c r="A110">
        <v>9.5</v>
      </c>
      <c r="B110" t="s">
        <v>16</v>
      </c>
      <c r="C110">
        <f t="shared" ca="1" si="8"/>
        <v>531.82857142857142</v>
      </c>
      <c r="D110">
        <f t="shared" ca="1" si="9"/>
        <v>8</v>
      </c>
    </row>
    <row r="111" spans="1:4" x14ac:dyDescent="0.25">
      <c r="A111">
        <v>10</v>
      </c>
      <c r="B111" t="s">
        <v>16</v>
      </c>
      <c r="C111">
        <f t="shared" ca="1" si="8"/>
        <v>539.34285714285716</v>
      </c>
      <c r="D111">
        <f t="shared" ca="1" si="9"/>
        <v>7</v>
      </c>
    </row>
    <row r="112" spans="1:4" x14ac:dyDescent="0.25">
      <c r="A112">
        <v>5</v>
      </c>
      <c r="B112" t="s">
        <v>17</v>
      </c>
      <c r="C112">
        <f t="shared" ca="1" si="8"/>
        <v>447.14285714285717</v>
      </c>
      <c r="D112">
        <f t="shared" ca="1" si="9"/>
        <v>11</v>
      </c>
    </row>
    <row r="113" spans="1:4" x14ac:dyDescent="0.25">
      <c r="A113">
        <v>5.5</v>
      </c>
      <c r="B113" t="s">
        <v>17</v>
      </c>
      <c r="C113">
        <f t="shared" ca="1" si="8"/>
        <v>451.72142857142859</v>
      </c>
      <c r="D113">
        <f t="shared" ca="1" si="9"/>
        <v>11</v>
      </c>
    </row>
    <row r="114" spans="1:4" x14ac:dyDescent="0.25">
      <c r="A114">
        <v>6</v>
      </c>
      <c r="B114" t="s">
        <v>17</v>
      </c>
      <c r="C114">
        <f t="shared" ca="1" si="8"/>
        <v>476.01428571428573</v>
      </c>
      <c r="D114">
        <f t="shared" ca="1" si="9"/>
        <v>11</v>
      </c>
    </row>
    <row r="115" spans="1:4" x14ac:dyDescent="0.25">
      <c r="A115">
        <v>6.5</v>
      </c>
      <c r="B115" t="s">
        <v>17</v>
      </c>
      <c r="C115">
        <f t="shared" ca="1" si="8"/>
        <v>484.56428571428569</v>
      </c>
      <c r="D115">
        <f t="shared" ca="1" si="9"/>
        <v>11</v>
      </c>
    </row>
    <row r="116" spans="1:4" x14ac:dyDescent="0.25">
      <c r="A116">
        <v>7</v>
      </c>
      <c r="B116" t="s">
        <v>17</v>
      </c>
      <c r="C116">
        <f t="shared" ca="1" si="8"/>
        <v>504.7</v>
      </c>
      <c r="D116">
        <f t="shared" ca="1" si="9"/>
        <v>10</v>
      </c>
    </row>
    <row r="117" spans="1:4" x14ac:dyDescent="0.25">
      <c r="A117">
        <v>7.5</v>
      </c>
      <c r="B117" t="s">
        <v>17</v>
      </c>
      <c r="C117">
        <f t="shared" ca="1" si="8"/>
        <v>509.04285714285714</v>
      </c>
      <c r="D117">
        <f t="shared" ca="1" si="9"/>
        <v>10</v>
      </c>
    </row>
    <row r="118" spans="1:4" x14ac:dyDescent="0.25">
      <c r="A118">
        <v>8</v>
      </c>
      <c r="B118" t="s">
        <v>17</v>
      </c>
      <c r="C118">
        <f t="shared" ca="1" si="8"/>
        <v>516.7285714285714</v>
      </c>
      <c r="D118">
        <f t="shared" ca="1" si="9"/>
        <v>10</v>
      </c>
    </row>
    <row r="119" spans="1:4" x14ac:dyDescent="0.25">
      <c r="A119">
        <v>8.5</v>
      </c>
      <c r="B119" t="s">
        <v>17</v>
      </c>
      <c r="C119">
        <f t="shared" ca="1" si="8"/>
        <v>529.75714285714287</v>
      </c>
      <c r="D119">
        <f t="shared" ca="1" si="9"/>
        <v>6</v>
      </c>
    </row>
    <row r="120" spans="1:4" x14ac:dyDescent="0.25">
      <c r="A120">
        <v>9</v>
      </c>
      <c r="B120" t="s">
        <v>17</v>
      </c>
      <c r="C120">
        <f t="shared" ca="1" si="8"/>
        <v>550.71428571428567</v>
      </c>
      <c r="D120">
        <f t="shared" ca="1" si="9"/>
        <v>5</v>
      </c>
    </row>
    <row r="121" spans="1:4" x14ac:dyDescent="0.25">
      <c r="A121">
        <v>9.5</v>
      </c>
      <c r="B121" t="s">
        <v>17</v>
      </c>
      <c r="C121">
        <f t="shared" ca="1" si="8"/>
        <v>560.1</v>
      </c>
      <c r="D121">
        <f t="shared" ca="1" si="9"/>
        <v>4</v>
      </c>
    </row>
    <row r="122" spans="1:4" x14ac:dyDescent="0.25">
      <c r="A122">
        <v>10</v>
      </c>
      <c r="B122" t="s">
        <v>17</v>
      </c>
      <c r="C122">
        <f t="shared" ca="1" si="8"/>
        <v>572.9</v>
      </c>
      <c r="D122">
        <f t="shared" ca="1" si="9"/>
        <v>4</v>
      </c>
    </row>
    <row r="123" spans="1:4" x14ac:dyDescent="0.25">
      <c r="A123">
        <v>5</v>
      </c>
      <c r="B123" t="s">
        <v>19</v>
      </c>
      <c r="C123">
        <f t="shared" ca="1" si="8"/>
        <v>434.27142857142854</v>
      </c>
      <c r="D123">
        <f t="shared" ca="1" si="9"/>
        <v>12</v>
      </c>
    </row>
    <row r="124" spans="1:4" x14ac:dyDescent="0.25">
      <c r="A124">
        <v>5.5</v>
      </c>
      <c r="B124" t="s">
        <v>19</v>
      </c>
      <c r="C124">
        <f t="shared" ca="1" si="8"/>
        <v>446.72857142857146</v>
      </c>
      <c r="D124">
        <f t="shared" ca="1" si="9"/>
        <v>12</v>
      </c>
    </row>
    <row r="125" spans="1:4" x14ac:dyDescent="0.25">
      <c r="A125">
        <v>6</v>
      </c>
      <c r="B125" t="s">
        <v>19</v>
      </c>
      <c r="C125">
        <f t="shared" ca="1" si="8"/>
        <v>451.3</v>
      </c>
      <c r="D125">
        <f t="shared" ca="1" si="9"/>
        <v>12</v>
      </c>
    </row>
    <row r="126" spans="1:4" x14ac:dyDescent="0.25">
      <c r="A126">
        <v>6.5</v>
      </c>
      <c r="B126" t="s">
        <v>19</v>
      </c>
      <c r="C126">
        <f t="shared" ca="1" si="8"/>
        <v>474.05714285714288</v>
      </c>
      <c r="D126">
        <f t="shared" ca="1" si="9"/>
        <v>12</v>
      </c>
    </row>
    <row r="127" spans="1:4" x14ac:dyDescent="0.25">
      <c r="A127">
        <v>7</v>
      </c>
      <c r="B127" t="s">
        <v>19</v>
      </c>
      <c r="C127">
        <f t="shared" ca="1" si="8"/>
        <v>502.98571428571427</v>
      </c>
      <c r="D127">
        <f t="shared" ca="1" si="9"/>
        <v>11</v>
      </c>
    </row>
    <row r="128" spans="1:4" x14ac:dyDescent="0.25">
      <c r="A128">
        <v>7.5</v>
      </c>
      <c r="B128" t="s">
        <v>19</v>
      </c>
      <c r="C128">
        <f t="shared" ca="1" si="8"/>
        <v>536.25714285714287</v>
      </c>
      <c r="D128">
        <f t="shared" ca="1" si="9"/>
        <v>4</v>
      </c>
    </row>
    <row r="129" spans="1:4" x14ac:dyDescent="0.25">
      <c r="A129">
        <v>8</v>
      </c>
      <c r="B129" t="s">
        <v>19</v>
      </c>
      <c r="C129">
        <f t="shared" ca="1" si="8"/>
        <v>543.04285714285709</v>
      </c>
      <c r="D129">
        <f t="shared" ca="1" si="9"/>
        <v>4</v>
      </c>
    </row>
    <row r="130" spans="1:4" x14ac:dyDescent="0.25">
      <c r="A130">
        <v>8.5</v>
      </c>
      <c r="B130" t="s">
        <v>19</v>
      </c>
      <c r="C130">
        <f t="shared" ca="1" si="8"/>
        <v>570.67142857142858</v>
      </c>
      <c r="D130">
        <f t="shared" ca="1" si="9"/>
        <v>2</v>
      </c>
    </row>
    <row r="131" spans="1:4" x14ac:dyDescent="0.25">
      <c r="A131">
        <v>9</v>
      </c>
      <c r="B131" t="s">
        <v>19</v>
      </c>
      <c r="C131">
        <f t="shared" ref="C131:C166" ca="1" si="11">VLOOKUP(B131,INDIRECT(_xlfn.CONCAT("'T = ",A131,"'!$A:$D")),4,FALSE)</f>
        <v>607.11428571428576</v>
      </c>
      <c r="D131">
        <f t="shared" ref="D131:D166" ca="1" si="12">VLOOKUP(B131,INDIRECT(_xlfn.CONCAT("'T = ",A131,"'!$A:$B")),2,FALSE)</f>
        <v>1</v>
      </c>
    </row>
    <row r="132" spans="1:4" x14ac:dyDescent="0.25">
      <c r="A132">
        <v>9.5</v>
      </c>
      <c r="B132" t="s">
        <v>19</v>
      </c>
      <c r="C132">
        <f t="shared" ca="1" si="11"/>
        <v>590.45000000000005</v>
      </c>
      <c r="D132">
        <f t="shared" ca="1" si="12"/>
        <v>2</v>
      </c>
    </row>
    <row r="133" spans="1:4" x14ac:dyDescent="0.25">
      <c r="A133">
        <v>10</v>
      </c>
      <c r="B133" t="s">
        <v>19</v>
      </c>
      <c r="C133">
        <f t="shared" ca="1" si="11"/>
        <v>640.01428571428573</v>
      </c>
      <c r="D133">
        <f t="shared" ca="1" si="12"/>
        <v>1</v>
      </c>
    </row>
    <row r="134" spans="1:4" x14ac:dyDescent="0.25">
      <c r="A134">
        <v>5</v>
      </c>
      <c r="B134" t="s">
        <v>18</v>
      </c>
      <c r="C134">
        <f t="shared" ca="1" si="11"/>
        <v>408.75714285714287</v>
      </c>
      <c r="D134">
        <f t="shared" ca="1" si="12"/>
        <v>13</v>
      </c>
    </row>
    <row r="135" spans="1:4" x14ac:dyDescent="0.25">
      <c r="A135">
        <v>5.5</v>
      </c>
      <c r="B135" t="s">
        <v>18</v>
      </c>
      <c r="C135">
        <f t="shared" ca="1" si="11"/>
        <v>419.72142857142859</v>
      </c>
      <c r="D135">
        <f t="shared" ca="1" si="12"/>
        <v>13</v>
      </c>
    </row>
    <row r="136" spans="1:4" x14ac:dyDescent="0.25">
      <c r="A136">
        <v>6</v>
      </c>
      <c r="B136" t="s">
        <v>18</v>
      </c>
      <c r="C136">
        <f t="shared" ca="1" si="11"/>
        <v>431.24285714285713</v>
      </c>
      <c r="D136">
        <f t="shared" ca="1" si="12"/>
        <v>13</v>
      </c>
    </row>
    <row r="137" spans="1:4" x14ac:dyDescent="0.25">
      <c r="A137">
        <v>6.5</v>
      </c>
      <c r="B137" t="s">
        <v>18</v>
      </c>
      <c r="C137">
        <f t="shared" ca="1" si="11"/>
        <v>430.71428571428572</v>
      </c>
      <c r="D137">
        <f t="shared" ca="1" si="12"/>
        <v>13</v>
      </c>
    </row>
    <row r="138" spans="1:4" x14ac:dyDescent="0.25">
      <c r="A138">
        <v>7</v>
      </c>
      <c r="B138" t="s">
        <v>18</v>
      </c>
      <c r="C138">
        <f t="shared" ca="1" si="11"/>
        <v>431.8857142857143</v>
      </c>
      <c r="D138">
        <f t="shared" ca="1" si="12"/>
        <v>13</v>
      </c>
    </row>
    <row r="139" spans="1:4" x14ac:dyDescent="0.25">
      <c r="A139">
        <v>7.5</v>
      </c>
      <c r="B139" t="s">
        <v>18</v>
      </c>
      <c r="C139">
        <f t="shared" ca="1" si="11"/>
        <v>457.27142857142854</v>
      </c>
      <c r="D139">
        <f t="shared" ca="1" si="12"/>
        <v>13</v>
      </c>
    </row>
    <row r="140" spans="1:4" x14ac:dyDescent="0.25">
      <c r="A140">
        <v>8</v>
      </c>
      <c r="B140" t="s">
        <v>18</v>
      </c>
      <c r="C140">
        <f t="shared" ca="1" si="11"/>
        <v>463.51428571428573</v>
      </c>
      <c r="D140">
        <f t="shared" ca="1" si="12"/>
        <v>13</v>
      </c>
    </row>
    <row r="141" spans="1:4" x14ac:dyDescent="0.25">
      <c r="A141">
        <v>8.5</v>
      </c>
      <c r="B141" t="s">
        <v>18</v>
      </c>
      <c r="C141">
        <f t="shared" ca="1" si="11"/>
        <v>468.95</v>
      </c>
      <c r="D141">
        <f t="shared" ca="1" si="12"/>
        <v>14</v>
      </c>
    </row>
    <row r="142" spans="1:4" x14ac:dyDescent="0.25">
      <c r="A142">
        <v>9</v>
      </c>
      <c r="B142" t="s">
        <v>18</v>
      </c>
      <c r="C142">
        <f t="shared" ca="1" si="11"/>
        <v>500.58571428571429</v>
      </c>
      <c r="D142">
        <f t="shared" ca="1" si="12"/>
        <v>13</v>
      </c>
    </row>
    <row r="143" spans="1:4" x14ac:dyDescent="0.25">
      <c r="A143">
        <v>9.5</v>
      </c>
      <c r="B143" t="s">
        <v>18</v>
      </c>
      <c r="C143">
        <f t="shared" ca="1" si="11"/>
        <v>501.99285714285713</v>
      </c>
      <c r="D143">
        <f t="shared" ca="1" si="12"/>
        <v>14</v>
      </c>
    </row>
    <row r="144" spans="1:4" x14ac:dyDescent="0.25">
      <c r="A144">
        <v>10</v>
      </c>
      <c r="B144" t="s">
        <v>18</v>
      </c>
      <c r="C144">
        <f t="shared" ca="1" si="11"/>
        <v>534.75714285714287</v>
      </c>
      <c r="D144">
        <f t="shared" ca="1" si="12"/>
        <v>10</v>
      </c>
    </row>
    <row r="145" spans="1:4" x14ac:dyDescent="0.25">
      <c r="A145">
        <v>5</v>
      </c>
      <c r="B145" t="s">
        <v>20</v>
      </c>
      <c r="C145">
        <f t="shared" ca="1" si="11"/>
        <v>374.4</v>
      </c>
      <c r="D145">
        <f t="shared" ca="1" si="12"/>
        <v>14</v>
      </c>
    </row>
    <row r="146" spans="1:4" x14ac:dyDescent="0.25">
      <c r="A146">
        <v>5.5</v>
      </c>
      <c r="B146" t="s">
        <v>20</v>
      </c>
      <c r="C146">
        <f t="shared" ca="1" si="11"/>
        <v>389.56428571428569</v>
      </c>
      <c r="D146">
        <f t="shared" ca="1" si="12"/>
        <v>14</v>
      </c>
    </row>
    <row r="147" spans="1:4" x14ac:dyDescent="0.25">
      <c r="A147">
        <v>6</v>
      </c>
      <c r="B147" t="s">
        <v>20</v>
      </c>
      <c r="C147">
        <f t="shared" ca="1" si="11"/>
        <v>398.1142857142857</v>
      </c>
      <c r="D147">
        <f t="shared" ca="1" si="12"/>
        <v>14</v>
      </c>
    </row>
    <row r="148" spans="1:4" x14ac:dyDescent="0.25">
      <c r="A148">
        <v>6.5</v>
      </c>
      <c r="B148" t="s">
        <v>20</v>
      </c>
      <c r="C148">
        <f t="shared" ca="1" si="11"/>
        <v>403.17857142857144</v>
      </c>
      <c r="D148">
        <f t="shared" ca="1" si="12"/>
        <v>15</v>
      </c>
    </row>
    <row r="149" spans="1:4" x14ac:dyDescent="0.25">
      <c r="A149">
        <v>7</v>
      </c>
      <c r="B149" t="s">
        <v>20</v>
      </c>
      <c r="C149">
        <f t="shared" ca="1" si="11"/>
        <v>423.8</v>
      </c>
      <c r="D149">
        <f t="shared" ca="1" si="12"/>
        <v>14</v>
      </c>
    </row>
    <row r="150" spans="1:4" x14ac:dyDescent="0.25">
      <c r="A150">
        <v>7.5</v>
      </c>
      <c r="B150" t="s">
        <v>20</v>
      </c>
      <c r="C150">
        <f t="shared" ca="1" si="11"/>
        <v>423.37857142857143</v>
      </c>
      <c r="D150">
        <f t="shared" ca="1" si="12"/>
        <v>15</v>
      </c>
    </row>
    <row r="151" spans="1:4" x14ac:dyDescent="0.25">
      <c r="A151">
        <v>8</v>
      </c>
      <c r="B151" t="s">
        <v>20</v>
      </c>
      <c r="C151">
        <f t="shared" ca="1" si="11"/>
        <v>436.24285714285713</v>
      </c>
      <c r="D151">
        <f t="shared" ca="1" si="12"/>
        <v>15</v>
      </c>
    </row>
    <row r="152" spans="1:4" x14ac:dyDescent="0.25">
      <c r="A152">
        <v>8.5</v>
      </c>
      <c r="B152" t="s">
        <v>20</v>
      </c>
      <c r="C152">
        <f t="shared" ca="1" si="11"/>
        <v>424.41428571428571</v>
      </c>
      <c r="D152">
        <f t="shared" ca="1" si="12"/>
        <v>15</v>
      </c>
    </row>
    <row r="153" spans="1:4" x14ac:dyDescent="0.25">
      <c r="A153">
        <v>9</v>
      </c>
      <c r="B153" t="s">
        <v>20</v>
      </c>
      <c r="C153">
        <f t="shared" ca="1" si="11"/>
        <v>465.54285714285714</v>
      </c>
      <c r="D153">
        <f t="shared" ca="1" si="12"/>
        <v>15</v>
      </c>
    </row>
    <row r="154" spans="1:4" x14ac:dyDescent="0.25">
      <c r="A154">
        <v>9.5</v>
      </c>
      <c r="B154" t="s">
        <v>20</v>
      </c>
      <c r="C154">
        <f t="shared" ca="1" si="11"/>
        <v>475.75</v>
      </c>
      <c r="D154">
        <f t="shared" ca="1" si="12"/>
        <v>15</v>
      </c>
    </row>
    <row r="155" spans="1:4" x14ac:dyDescent="0.25">
      <c r="A155">
        <v>10</v>
      </c>
      <c r="B155" t="s">
        <v>20</v>
      </c>
      <c r="C155">
        <f t="shared" ca="1" si="11"/>
        <v>480.74285714285713</v>
      </c>
      <c r="D155">
        <f t="shared" ca="1" si="12"/>
        <v>15</v>
      </c>
    </row>
    <row r="156" spans="1:4" x14ac:dyDescent="0.25">
      <c r="A156">
        <v>5</v>
      </c>
      <c r="B156" t="s">
        <v>21</v>
      </c>
      <c r="C156">
        <f t="shared" ca="1" si="11"/>
        <v>349.31428571428569</v>
      </c>
      <c r="D156">
        <f t="shared" ca="1" si="12"/>
        <v>15</v>
      </c>
    </row>
    <row r="157" spans="1:4" x14ac:dyDescent="0.25">
      <c r="A157">
        <v>5.5</v>
      </c>
      <c r="B157" t="s">
        <v>21</v>
      </c>
      <c r="C157">
        <f t="shared" ca="1" si="11"/>
        <v>368.3</v>
      </c>
      <c r="D157">
        <f t="shared" ca="1" si="12"/>
        <v>15</v>
      </c>
    </row>
    <row r="158" spans="1:4" x14ac:dyDescent="0.25">
      <c r="A158">
        <v>6</v>
      </c>
      <c r="B158" t="s">
        <v>21</v>
      </c>
      <c r="C158">
        <f t="shared" ca="1" si="11"/>
        <v>383.92857142857144</v>
      </c>
      <c r="D158">
        <f t="shared" ca="1" si="12"/>
        <v>15</v>
      </c>
    </row>
    <row r="159" spans="1:4" x14ac:dyDescent="0.25">
      <c r="A159">
        <v>6.5</v>
      </c>
      <c r="B159" t="s">
        <v>21</v>
      </c>
      <c r="C159">
        <f t="shared" ca="1" si="11"/>
        <v>403.89285714285717</v>
      </c>
      <c r="D159">
        <f t="shared" ca="1" si="12"/>
        <v>14</v>
      </c>
    </row>
    <row r="160" spans="1:4" x14ac:dyDescent="0.25">
      <c r="A160">
        <v>7</v>
      </c>
      <c r="B160" t="s">
        <v>21</v>
      </c>
      <c r="C160">
        <f t="shared" ca="1" si="11"/>
        <v>420.02857142857141</v>
      </c>
      <c r="D160">
        <f t="shared" ca="1" si="12"/>
        <v>15</v>
      </c>
    </row>
    <row r="161" spans="1:4" x14ac:dyDescent="0.25">
      <c r="A161">
        <v>7.5</v>
      </c>
      <c r="B161" t="s">
        <v>21</v>
      </c>
      <c r="C161">
        <f t="shared" ca="1" si="11"/>
        <v>442.07857142857142</v>
      </c>
      <c r="D161">
        <f t="shared" ca="1" si="12"/>
        <v>14</v>
      </c>
    </row>
    <row r="162" spans="1:4" x14ac:dyDescent="0.25">
      <c r="A162">
        <v>8</v>
      </c>
      <c r="B162" t="s">
        <v>21</v>
      </c>
      <c r="C162">
        <f t="shared" ca="1" si="11"/>
        <v>461.1</v>
      </c>
      <c r="D162">
        <f t="shared" ca="1" si="12"/>
        <v>14</v>
      </c>
    </row>
    <row r="163" spans="1:4" x14ac:dyDescent="0.25">
      <c r="A163">
        <v>8.5</v>
      </c>
      <c r="B163" t="s">
        <v>21</v>
      </c>
      <c r="C163">
        <f t="shared" ca="1" si="11"/>
        <v>475.35714285714283</v>
      </c>
      <c r="D163">
        <f t="shared" ca="1" si="12"/>
        <v>13</v>
      </c>
    </row>
    <row r="164" spans="1:4" x14ac:dyDescent="0.25">
      <c r="A164">
        <v>9</v>
      </c>
      <c r="B164" t="s">
        <v>21</v>
      </c>
      <c r="C164">
        <f t="shared" ca="1" si="11"/>
        <v>492.91428571428571</v>
      </c>
      <c r="D164">
        <f t="shared" ca="1" si="12"/>
        <v>14</v>
      </c>
    </row>
    <row r="165" spans="1:4" x14ac:dyDescent="0.25">
      <c r="A165">
        <v>9.5</v>
      </c>
      <c r="B165" t="s">
        <v>21</v>
      </c>
      <c r="C165">
        <f t="shared" ca="1" si="11"/>
        <v>514.62142857142862</v>
      </c>
      <c r="D165">
        <f t="shared" ca="1" si="12"/>
        <v>12</v>
      </c>
    </row>
    <row r="166" spans="1:4" x14ac:dyDescent="0.25">
      <c r="A166">
        <v>10</v>
      </c>
      <c r="B166" t="s">
        <v>21</v>
      </c>
      <c r="C166">
        <f t="shared" ca="1" si="11"/>
        <v>534.79999999999995</v>
      </c>
      <c r="D166">
        <f t="shared" ca="1" si="12"/>
        <v>9</v>
      </c>
    </row>
  </sheetData>
  <phoneticPr fontId="3" type="noConversion"/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B330-042F-4B1C-9920-DC7FB96EFA5A}">
  <dimension ref="A1:J16"/>
  <sheetViews>
    <sheetView workbookViewId="0">
      <selection activeCell="B1" sqref="B1:B16"/>
    </sheetView>
  </sheetViews>
  <sheetFormatPr defaultRowHeight="15" x14ac:dyDescent="0.25"/>
  <cols>
    <col min="1" max="1" width="18.7109375" bestFit="1" customWidth="1"/>
    <col min="2" max="2" width="18.7109375" customWidth="1"/>
    <col min="3" max="3" width="18.7109375" bestFit="1" customWidth="1"/>
    <col min="4" max="4" width="10.7109375" bestFit="1" customWidth="1"/>
    <col min="5" max="5" width="17.85546875" bestFit="1" customWidth="1"/>
    <col min="6" max="6" width="18.28515625" bestFit="1" customWidth="1"/>
    <col min="7" max="7" width="16.28515625" bestFit="1" customWidth="1"/>
    <col min="8" max="9" width="17.5703125" bestFit="1" customWidth="1"/>
  </cols>
  <sheetData>
    <row r="1" spans="1:10" x14ac:dyDescent="0.25">
      <c r="A1" s="1" t="s">
        <v>0</v>
      </c>
      <c r="B1" s="1" t="s">
        <v>29</v>
      </c>
      <c r="C1" s="1" t="s">
        <v>1</v>
      </c>
      <c r="D1" s="1" t="s">
        <v>22</v>
      </c>
      <c r="E1" s="1" t="s">
        <v>3</v>
      </c>
      <c r="F1" s="1" t="s">
        <v>4</v>
      </c>
      <c r="G1" s="1" t="s">
        <v>5</v>
      </c>
      <c r="H1" s="1" t="s">
        <v>6</v>
      </c>
      <c r="J1">
        <v>5</v>
      </c>
    </row>
    <row r="2" spans="1:10" x14ac:dyDescent="0.25">
      <c r="A2" t="s">
        <v>7</v>
      </c>
      <c r="B2">
        <v>1</v>
      </c>
      <c r="C2" s="2">
        <f t="shared" ref="C2:C16" ca="1" si="0">SUM(VLOOKUP(A2,INDIRECT(_xlfn.CONCAT("'",$J$1," (0)'!A:B")),2,FALSE),VLOOKUP(A2,INDIRECT(_xlfn.CONCAT("'",$J$1," (1)'!A:B")),2,FALSE),VLOOKUP(A2,INDIRECT(_xlfn.CONCAT("'",$J$1," (2)'!A:B")),2,FALSE),VLOOKUP(A2,INDIRECT(_xlfn.CONCAT("'",$J$1," (3)'!A:B")),2,FALSE),VLOOKUP(A2,INDIRECT(_xlfn.CONCAT("'",$J$1," (4)'!A:B")),2,FALSE))/(14*5)</f>
        <v>4.2857142857142858E-2</v>
      </c>
      <c r="D2" s="3">
        <f t="shared" ref="D2:D16" ca="1" si="1">SUM(VLOOKUP(A2,INDIRECT(_xlfn.CONCAT("'",$J$1," (0)'!A:C")),3,FALSE),VLOOKUP(A2,INDIRECT(_xlfn.CONCAT("'",$J$1," (1)'!A:C")),3,FALSE),VLOOKUP(A2,INDIRECT(_xlfn.CONCAT("'",$J$1," (2)'!A:C")),3,FALSE),VLOOKUP(A2,INDIRECT(_xlfn.CONCAT("'",$J$1," (3)'!A:C")),3,FALSE),VLOOKUP(A2,INDIRECT(_xlfn.CONCAT("'",$J$1," (4)'!A:C")),3,FALSE))/(14*5)</f>
        <v>541.74285714285713</v>
      </c>
      <c r="E2" s="3">
        <f t="shared" ref="E2:E16" ca="1" si="2">SUM(VLOOKUP(A2,INDIRECT(_xlfn.CONCAT("'",$J$1," (0)'!A:D")),4,FALSE),VLOOKUP(A2,INDIRECT(_xlfn.CONCAT("'",$J$1," (1)'!A:D")),4,FALSE),VLOOKUP(A2,INDIRECT(_xlfn.CONCAT("'",$J$1," (2)'!A:D")),4,FALSE),VLOOKUP(A2,INDIRECT(_xlfn.CONCAT("'",$J$1," (3)'!A:D")),4,FALSE),VLOOKUP(A2,INDIRECT(_xlfn.CONCAT("'",$J$1," (4)'!A:D")),4,FALSE))/5</f>
        <v>0.87142857142857155</v>
      </c>
      <c r="F2" s="3">
        <f t="shared" ref="F2:F16" ca="1" si="3">SUM(VLOOKUP(A2,INDIRECT(_xlfn.CONCAT("'",$J$1," (0)'!A:E")),5,FALSE),VLOOKUP(A2,INDIRECT(_xlfn.CONCAT("'",$J$1," (1)'!A:E")),5,FALSE),VLOOKUP(A2,INDIRECT(_xlfn.CONCAT("'",$J$1," (2)'!A:E")),5,FALSE),VLOOKUP(A2,INDIRECT(_xlfn.CONCAT("'",$J$1," (3)'!A:E")),5,FALSE),VLOOKUP(A2,INDIRECT(_xlfn.CONCAT("'",$J$1," (4)'!A:E")),5,FALSE))/5</f>
        <v>0.95714285714285707</v>
      </c>
      <c r="G2" s="3">
        <f t="shared" ref="G2:G16" ca="1" si="4">SUM(VLOOKUP(A2,INDIRECT(_xlfn.CONCAT("'",$J$1," (0)'!A:F")),6,FALSE),VLOOKUP(A2,INDIRECT(_xlfn.CONCAT("'",$J$1," (1)'!A:F")),6,FALSE),VLOOKUP(A2,INDIRECT(_xlfn.CONCAT("'",$J$1," (2)'!A:F")),6,FALSE),VLOOKUP(A2,INDIRECT(_xlfn.CONCAT("'",$J$1," (3)'!A:F")),6,FALSE),VLOOKUP(A2,INDIRECT(_xlfn.CONCAT("'",$J$1," (4)'!A:F")),6,FALSE))/5</f>
        <v>0.31365751718703505</v>
      </c>
      <c r="H2" s="3">
        <f t="shared" ref="H2:H16" ca="1" si="5">SUM(VLOOKUP(A2,INDIRECT(_xlfn.CONCAT("'",$J$1," (0)'!A:G")),7,FALSE),VLOOKUP(A2,INDIRECT(_xlfn.CONCAT("'",$J$1," (1)'!A:G")),7,FALSE),VLOOKUP(A2,INDIRECT(_xlfn.CONCAT("'",$J$1," (2)'!A:G")),7,FALSE),VLOOKUP(A2,INDIRECT(_xlfn.CONCAT("'",$J$1," (3)'!A:G")),7,FALSE),VLOOKUP(A2,INDIRECT(_xlfn.CONCAT("'",$J$1," (4)'!A:G")),7,FALSE))/5</f>
        <v>0.31168233487804209</v>
      </c>
    </row>
    <row r="3" spans="1:10" x14ac:dyDescent="0.25">
      <c r="A3" t="s">
        <v>9</v>
      </c>
      <c r="B3">
        <v>2</v>
      </c>
      <c r="C3" s="2">
        <f t="shared" ca="1" si="0"/>
        <v>0</v>
      </c>
      <c r="D3" s="3">
        <f t="shared" ca="1" si="1"/>
        <v>528.41428571428571</v>
      </c>
      <c r="E3" s="3">
        <f t="shared" ca="1" si="2"/>
        <v>0.8918571428571429</v>
      </c>
      <c r="F3" s="3">
        <f t="shared" ca="1" si="3"/>
        <v>1</v>
      </c>
      <c r="G3" s="3">
        <f t="shared" ca="1" si="4"/>
        <v>0.31379919242260956</v>
      </c>
      <c r="H3" s="3">
        <f t="shared" ca="1" si="5"/>
        <v>0.29696579912383164</v>
      </c>
    </row>
    <row r="4" spans="1:10" x14ac:dyDescent="0.25">
      <c r="A4" t="s">
        <v>8</v>
      </c>
      <c r="B4">
        <v>3</v>
      </c>
      <c r="C4" s="2">
        <f t="shared" ca="1" si="0"/>
        <v>0</v>
      </c>
      <c r="D4" s="3">
        <f t="shared" ca="1" si="1"/>
        <v>526</v>
      </c>
      <c r="E4" s="3">
        <f t="shared" ca="1" si="2"/>
        <v>0.8490714285714287</v>
      </c>
      <c r="F4" s="3">
        <f t="shared" ca="1" si="3"/>
        <v>1</v>
      </c>
      <c r="G4" s="3">
        <f t="shared" ca="1" si="4"/>
        <v>0.30749912167729004</v>
      </c>
      <c r="H4" s="3">
        <f t="shared" ca="1" si="5"/>
        <v>0.30231705553310745</v>
      </c>
    </row>
    <row r="5" spans="1:10" x14ac:dyDescent="0.25">
      <c r="A5" t="s">
        <v>10</v>
      </c>
      <c r="B5">
        <v>4</v>
      </c>
      <c r="C5" s="2">
        <f t="shared" ca="1" si="0"/>
        <v>0</v>
      </c>
      <c r="D5" s="3">
        <f t="shared" ca="1" si="1"/>
        <v>525.70000000000005</v>
      </c>
      <c r="E5" s="3">
        <f t="shared" ca="1" si="2"/>
        <v>0.85085714285714287</v>
      </c>
      <c r="F5" s="3">
        <f t="shared" ca="1" si="3"/>
        <v>1</v>
      </c>
      <c r="G5" s="3">
        <f t="shared" ca="1" si="4"/>
        <v>0.31329470127713516</v>
      </c>
      <c r="H5" s="3">
        <f t="shared" ca="1" si="5"/>
        <v>0.32314112113960275</v>
      </c>
    </row>
    <row r="6" spans="1:10" x14ac:dyDescent="0.25">
      <c r="A6" t="s">
        <v>12</v>
      </c>
      <c r="B6">
        <v>5</v>
      </c>
      <c r="C6" s="2">
        <f t="shared" ca="1" si="0"/>
        <v>0</v>
      </c>
      <c r="D6" s="3">
        <f t="shared" ca="1" si="1"/>
        <v>518.91428571428571</v>
      </c>
      <c r="E6" s="3">
        <f t="shared" ca="1" si="2"/>
        <v>1</v>
      </c>
      <c r="F6" s="3">
        <f t="shared" ca="1" si="3"/>
        <v>1</v>
      </c>
      <c r="G6" s="3">
        <f t="shared" ca="1" si="4"/>
        <v>0.32363032144069581</v>
      </c>
      <c r="H6" s="3">
        <f t="shared" ca="1" si="5"/>
        <v>0.25879566126657305</v>
      </c>
    </row>
    <row r="7" spans="1:10" x14ac:dyDescent="0.25">
      <c r="A7" t="s">
        <v>11</v>
      </c>
      <c r="B7">
        <v>6</v>
      </c>
      <c r="C7" s="2">
        <f t="shared" ca="1" si="0"/>
        <v>0</v>
      </c>
      <c r="D7" s="3">
        <f t="shared" ca="1" si="1"/>
        <v>518.12857142857138</v>
      </c>
      <c r="E7" s="3">
        <f t="shared" ca="1" si="2"/>
        <v>0.81242857142857139</v>
      </c>
      <c r="F7" s="3">
        <f t="shared" ca="1" si="3"/>
        <v>1</v>
      </c>
      <c r="G7" s="3">
        <f t="shared" ca="1" si="4"/>
        <v>0.30623807492689287</v>
      </c>
      <c r="H7" s="3">
        <f t="shared" ca="1" si="5"/>
        <v>0.32298176885752083</v>
      </c>
    </row>
    <row r="8" spans="1:10" x14ac:dyDescent="0.25">
      <c r="A8" t="s">
        <v>13</v>
      </c>
      <c r="B8">
        <v>7</v>
      </c>
      <c r="C8" s="2">
        <f t="shared" ca="1" si="0"/>
        <v>0</v>
      </c>
      <c r="D8" s="3">
        <f t="shared" ca="1" si="1"/>
        <v>501.98571428571427</v>
      </c>
      <c r="E8" s="3">
        <f t="shared" ca="1" si="2"/>
        <v>0.72857142857142843</v>
      </c>
      <c r="F8" s="3">
        <f t="shared" ca="1" si="3"/>
        <v>1</v>
      </c>
      <c r="G8" s="3">
        <f t="shared" ca="1" si="4"/>
        <v>0.28811067112342004</v>
      </c>
      <c r="H8" s="3">
        <f t="shared" ca="1" si="5"/>
        <v>0.31038265453115743</v>
      </c>
    </row>
    <row r="9" spans="1:10" x14ac:dyDescent="0.25">
      <c r="A9" t="s">
        <v>15</v>
      </c>
      <c r="B9">
        <v>8</v>
      </c>
      <c r="C9" s="2">
        <f t="shared" ca="1" si="0"/>
        <v>7.1428571428571425E-2</v>
      </c>
      <c r="D9" s="3">
        <f t="shared" ca="1" si="1"/>
        <v>488.47142857142859</v>
      </c>
      <c r="E9" s="3">
        <f t="shared" ca="1" si="2"/>
        <v>0.64971428571428569</v>
      </c>
      <c r="F9" s="3">
        <f t="shared" ca="1" si="3"/>
        <v>0.9285714285714286</v>
      </c>
      <c r="G9" s="3">
        <f t="shared" ca="1" si="4"/>
        <v>0.27124441444843739</v>
      </c>
      <c r="H9" s="3">
        <f t="shared" ca="1" si="5"/>
        <v>0.30274115511426086</v>
      </c>
    </row>
    <row r="10" spans="1:10" x14ac:dyDescent="0.25">
      <c r="A10" t="s">
        <v>14</v>
      </c>
      <c r="B10">
        <v>9</v>
      </c>
      <c r="C10" s="2">
        <f t="shared" ca="1" si="0"/>
        <v>7.1428571428571425E-2</v>
      </c>
      <c r="D10" s="3">
        <f t="shared" ca="1" si="1"/>
        <v>485.82857142857142</v>
      </c>
      <c r="E10" s="3">
        <f t="shared" ca="1" si="2"/>
        <v>0.65928571428571436</v>
      </c>
      <c r="F10" s="3">
        <f t="shared" ca="1" si="3"/>
        <v>0.9285714285714286</v>
      </c>
      <c r="G10" s="3">
        <f t="shared" ca="1" si="4"/>
        <v>0.27313089109306421</v>
      </c>
      <c r="H10" s="3">
        <f t="shared" ca="1" si="5"/>
        <v>0.30269113295229977</v>
      </c>
    </row>
    <row r="11" spans="1:10" x14ac:dyDescent="0.25">
      <c r="A11" t="s">
        <v>16</v>
      </c>
      <c r="B11">
        <v>10</v>
      </c>
      <c r="C11" s="2">
        <f t="shared" ca="1" si="0"/>
        <v>4.2857142857142858E-2</v>
      </c>
      <c r="D11" s="3">
        <f t="shared" ca="1" si="1"/>
        <v>483.27142857142854</v>
      </c>
      <c r="E11" s="3">
        <f t="shared" ca="1" si="2"/>
        <v>0.80378571428571421</v>
      </c>
      <c r="F11" s="3">
        <f t="shared" ca="1" si="3"/>
        <v>0.95714285714285707</v>
      </c>
      <c r="G11" s="3">
        <f t="shared" ca="1" si="4"/>
        <v>0.29407117642484665</v>
      </c>
      <c r="H11" s="3">
        <f t="shared" ca="1" si="5"/>
        <v>0.28212560392505903</v>
      </c>
    </row>
    <row r="12" spans="1:10" x14ac:dyDescent="0.25">
      <c r="A12" t="s">
        <v>17</v>
      </c>
      <c r="B12">
        <v>11</v>
      </c>
      <c r="C12" s="2">
        <f t="shared" ca="1" si="0"/>
        <v>0.51428571428571423</v>
      </c>
      <c r="D12" s="3">
        <f t="shared" ca="1" si="1"/>
        <v>447.14285714285717</v>
      </c>
      <c r="E12" s="3">
        <f t="shared" ca="1" si="2"/>
        <v>0.5336428571428572</v>
      </c>
      <c r="F12" s="3">
        <f t="shared" ca="1" si="3"/>
        <v>0.48571428571428565</v>
      </c>
      <c r="G12" s="3">
        <f t="shared" ca="1" si="4"/>
        <v>0.19185173179975501</v>
      </c>
      <c r="H12" s="3">
        <f t="shared" ca="1" si="5"/>
        <v>9.4931432651124609E-2</v>
      </c>
    </row>
    <row r="13" spans="1:10" x14ac:dyDescent="0.25">
      <c r="A13" t="s">
        <v>19</v>
      </c>
      <c r="B13">
        <v>12</v>
      </c>
      <c r="C13" s="2">
        <f t="shared" ca="1" si="0"/>
        <v>0.47142857142857142</v>
      </c>
      <c r="D13" s="3">
        <f t="shared" ca="1" si="1"/>
        <v>434.27142857142854</v>
      </c>
      <c r="E13" s="3">
        <f t="shared" ca="1" si="2"/>
        <v>0.49657142857142861</v>
      </c>
      <c r="F13" s="3">
        <f t="shared" ca="1" si="3"/>
        <v>0.52857142857142858</v>
      </c>
      <c r="G13" s="3">
        <f t="shared" ca="1" si="4"/>
        <v>0.16082325938593744</v>
      </c>
      <c r="H13" s="3">
        <f t="shared" ca="1" si="5"/>
        <v>-1.6472862093187333E-3</v>
      </c>
    </row>
    <row r="14" spans="1:10" x14ac:dyDescent="0.25">
      <c r="A14" t="s">
        <v>18</v>
      </c>
      <c r="B14">
        <v>13</v>
      </c>
      <c r="C14" s="2">
        <f t="shared" ca="1" si="0"/>
        <v>0.6428571428571429</v>
      </c>
      <c r="D14" s="3">
        <f t="shared" ca="1" si="1"/>
        <v>408.75714285714287</v>
      </c>
      <c r="E14" s="3">
        <f t="shared" ca="1" si="2"/>
        <v>0.40571428571428569</v>
      </c>
      <c r="F14" s="3">
        <f t="shared" ca="1" si="3"/>
        <v>0.35714285714285721</v>
      </c>
      <c r="G14" s="3">
        <f t="shared" ca="1" si="4"/>
        <v>0.15197274978664935</v>
      </c>
      <c r="H14" s="3">
        <f t="shared" ca="1" si="5"/>
        <v>2.7996526470837058E-2</v>
      </c>
    </row>
    <row r="15" spans="1:10" x14ac:dyDescent="0.25">
      <c r="A15" t="s">
        <v>20</v>
      </c>
      <c r="B15">
        <v>14</v>
      </c>
      <c r="C15" s="2">
        <f t="shared" ca="1" si="0"/>
        <v>0.82857142857142863</v>
      </c>
      <c r="D15" s="3">
        <f t="shared" ca="1" si="1"/>
        <v>374.4</v>
      </c>
      <c r="E15" s="3">
        <f t="shared" ca="1" si="2"/>
        <v>0.2495</v>
      </c>
      <c r="F15" s="3">
        <f t="shared" ca="1" si="3"/>
        <v>0.17142857142857143</v>
      </c>
      <c r="G15" s="3">
        <f t="shared" ca="1" si="4"/>
        <v>8.9911311971809432E-2</v>
      </c>
      <c r="H15" s="3">
        <f t="shared" ca="1" si="5"/>
        <v>-0.10168204071869365</v>
      </c>
    </row>
    <row r="16" spans="1:10" x14ac:dyDescent="0.25">
      <c r="A16" t="s">
        <v>21</v>
      </c>
      <c r="B16">
        <v>15</v>
      </c>
      <c r="C16" s="2">
        <f t="shared" ca="1" si="0"/>
        <v>0.9285714285714286</v>
      </c>
      <c r="D16" s="3">
        <f t="shared" ca="1" si="1"/>
        <v>349.31428571428569</v>
      </c>
      <c r="E16" s="3">
        <f t="shared" ca="1" si="2"/>
        <v>0</v>
      </c>
      <c r="F16" s="3">
        <f t="shared" ca="1" si="3"/>
        <v>7.1428571428571425E-2</v>
      </c>
      <c r="G16" s="3">
        <f t="shared" ca="1" si="4"/>
        <v>0</v>
      </c>
      <c r="H16" s="3">
        <f t="shared" ca="1" si="5"/>
        <v>-0.25879566126657305</v>
      </c>
    </row>
  </sheetData>
  <sortState xmlns:xlrd2="http://schemas.microsoft.com/office/spreadsheetml/2017/richdata2" ref="A2:H16">
    <sortCondition descending="1" ref="D2:D1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4255-550F-47F4-934E-E08827CF93E1}">
  <dimension ref="A1:J16"/>
  <sheetViews>
    <sheetView workbookViewId="0">
      <selection activeCell="C3" sqref="C3"/>
    </sheetView>
  </sheetViews>
  <sheetFormatPr defaultRowHeight="15" x14ac:dyDescent="0.25"/>
  <cols>
    <col min="1" max="1" width="18.7109375" bestFit="1" customWidth="1"/>
    <col min="2" max="2" width="18.7109375" customWidth="1"/>
    <col min="3" max="3" width="18.7109375" bestFit="1" customWidth="1"/>
    <col min="4" max="4" width="10.7109375" bestFit="1" customWidth="1"/>
    <col min="5" max="5" width="17.85546875" bestFit="1" customWidth="1"/>
    <col min="6" max="6" width="18.28515625" bestFit="1" customWidth="1"/>
    <col min="7" max="7" width="16.28515625" bestFit="1" customWidth="1"/>
    <col min="8" max="9" width="17.5703125" bestFit="1" customWidth="1"/>
  </cols>
  <sheetData>
    <row r="1" spans="1:10" x14ac:dyDescent="0.25">
      <c r="A1" s="1" t="s">
        <v>0</v>
      </c>
      <c r="B1" s="1" t="s">
        <v>29</v>
      </c>
      <c r="C1" s="1" t="s">
        <v>1</v>
      </c>
      <c r="D1" s="1" t="s">
        <v>22</v>
      </c>
      <c r="E1" s="1" t="s">
        <v>3</v>
      </c>
      <c r="F1" s="1" t="s">
        <v>4</v>
      </c>
      <c r="G1" s="1" t="s">
        <v>5</v>
      </c>
      <c r="H1" s="1" t="s">
        <v>6</v>
      </c>
      <c r="J1">
        <v>5.5</v>
      </c>
    </row>
    <row r="2" spans="1:10" x14ac:dyDescent="0.25">
      <c r="A2" t="s">
        <v>7</v>
      </c>
      <c r="B2">
        <v>1</v>
      </c>
      <c r="C2" s="2">
        <f t="shared" ref="C2:C16" ca="1" si="0">SUM(VLOOKUP(A2,INDIRECT(_xlfn.CONCAT("'",$J$1," (0)'!A:B")),2,FALSE),VLOOKUP(A2,INDIRECT(_xlfn.CONCAT("'",$J$1," (1)'!A:B")),2,FALSE),VLOOKUP(A2,INDIRECT(_xlfn.CONCAT("'",$J$1," (2)'!A:B")),2,FALSE),VLOOKUP(A2,INDIRECT(_xlfn.CONCAT("'",$J$1," (3)'!A:B")),2,FALSE),VLOOKUP(A2,INDIRECT(_xlfn.CONCAT("'",$J$1," (4)'!A:B")),2,FALSE))/(14*5)</f>
        <v>7.1428571428571425E-2</v>
      </c>
      <c r="D2" s="3">
        <f t="shared" ref="D2:D16" ca="1" si="1">SUM(VLOOKUP(A2,INDIRECT(_xlfn.CONCAT("'",$J$1," (0)'!A:C")),3,FALSE),VLOOKUP(A2,INDIRECT(_xlfn.CONCAT("'",$J$1," (1)'!A:C")),3,FALSE),VLOOKUP(A2,INDIRECT(_xlfn.CONCAT("'",$J$1," (2)'!A:C")),3,FALSE),VLOOKUP(A2,INDIRECT(_xlfn.CONCAT("'",$J$1," (3)'!A:C")),3,FALSE),VLOOKUP(A2,INDIRECT(_xlfn.CONCAT("'",$J$1," (4)'!A:C")),3,FALSE))/(14*5)</f>
        <v>553.08571428571429</v>
      </c>
      <c r="E2" s="3">
        <f t="shared" ref="E2:E16" ca="1" si="2">SUM(VLOOKUP(A2,INDIRECT(_xlfn.CONCAT("'",$J$1," (0)'!A:D")),4,FALSE),VLOOKUP(A2,INDIRECT(_xlfn.CONCAT("'",$J$1," (1)'!A:D")),4,FALSE),VLOOKUP(A2,INDIRECT(_xlfn.CONCAT("'",$J$1," (2)'!A:D")),4,FALSE),VLOOKUP(A2,INDIRECT(_xlfn.CONCAT("'",$J$1," (3)'!A:D")),4,FALSE),VLOOKUP(A2,INDIRECT(_xlfn.CONCAT("'",$J$1," (4)'!A:D")),4,FALSE))/5</f>
        <v>0.85442857142857132</v>
      </c>
      <c r="F2" s="3">
        <f t="shared" ref="F2:F16" ca="1" si="3">SUM(VLOOKUP(A2,INDIRECT(_xlfn.CONCAT("'",$J$1," (0)'!A:E")),5,FALSE),VLOOKUP(A2,INDIRECT(_xlfn.CONCAT("'",$J$1," (1)'!A:E")),5,FALSE),VLOOKUP(A2,INDIRECT(_xlfn.CONCAT("'",$J$1," (2)'!A:E")),5,FALSE),VLOOKUP(A2,INDIRECT(_xlfn.CONCAT("'",$J$1," (3)'!A:E")),5,FALSE),VLOOKUP(A2,INDIRECT(_xlfn.CONCAT("'",$J$1," (4)'!A:E")),5,FALSE))/5</f>
        <v>0.9285714285714286</v>
      </c>
      <c r="G2" s="3">
        <f t="shared" ref="G2:G16" ca="1" si="4">SUM(VLOOKUP(A2,INDIRECT(_xlfn.CONCAT("'",$J$1," (0)'!A:F")),6,FALSE),VLOOKUP(A2,INDIRECT(_xlfn.CONCAT("'",$J$1," (1)'!A:F")),6,FALSE),VLOOKUP(A2,INDIRECT(_xlfn.CONCAT("'",$J$1," (2)'!A:F")),6,FALSE),VLOOKUP(A2,INDIRECT(_xlfn.CONCAT("'",$J$1," (3)'!A:F")),6,FALSE),VLOOKUP(A2,INDIRECT(_xlfn.CONCAT("'",$J$1," (4)'!A:F")),6,FALSE))/5</f>
        <v>0.31132274035741264</v>
      </c>
      <c r="H2" s="3">
        <f t="shared" ref="H2:H16" ca="1" si="5">SUM(VLOOKUP(A2,INDIRECT(_xlfn.CONCAT("'",$J$1," (0)'!A:G")),7,FALSE),VLOOKUP(A2,INDIRECT(_xlfn.CONCAT("'",$J$1," (1)'!A:G")),7,FALSE),VLOOKUP(A2,INDIRECT(_xlfn.CONCAT("'",$J$1," (2)'!A:G")),7,FALSE),VLOOKUP(A2,INDIRECT(_xlfn.CONCAT("'",$J$1," (3)'!A:G")),7,FALSE),VLOOKUP(A2,INDIRECT(_xlfn.CONCAT("'",$J$1," (4)'!A:G")),7,FALSE))/5</f>
        <v>0.31139875149577878</v>
      </c>
    </row>
    <row r="3" spans="1:10" x14ac:dyDescent="0.25">
      <c r="A3" t="s">
        <v>9</v>
      </c>
      <c r="B3">
        <v>2</v>
      </c>
      <c r="C3" s="2">
        <f t="shared" ca="1" si="0"/>
        <v>0</v>
      </c>
      <c r="D3" s="3">
        <f t="shared" ca="1" si="1"/>
        <v>530.49285714285713</v>
      </c>
      <c r="E3" s="3">
        <f t="shared" ca="1" si="2"/>
        <v>0.88971428571428568</v>
      </c>
      <c r="F3" s="3">
        <f t="shared" ca="1" si="3"/>
        <v>1</v>
      </c>
      <c r="G3" s="3">
        <f t="shared" ca="1" si="4"/>
        <v>0.31478827186999714</v>
      </c>
      <c r="H3" s="3">
        <f t="shared" ca="1" si="5"/>
        <v>0.29687427422828255</v>
      </c>
    </row>
    <row r="4" spans="1:10" x14ac:dyDescent="0.25">
      <c r="A4" t="s">
        <v>8</v>
      </c>
      <c r="B4">
        <v>3</v>
      </c>
      <c r="C4" s="2">
        <f t="shared" ca="1" si="0"/>
        <v>0</v>
      </c>
      <c r="D4" s="3">
        <f t="shared" ca="1" si="1"/>
        <v>528.00714285714287</v>
      </c>
      <c r="E4" s="3">
        <f t="shared" ca="1" si="2"/>
        <v>0.80099999999999993</v>
      </c>
      <c r="F4" s="3">
        <f t="shared" ca="1" si="3"/>
        <v>1</v>
      </c>
      <c r="G4" s="3">
        <f t="shared" ca="1" si="4"/>
        <v>0.29886889047275739</v>
      </c>
      <c r="H4" s="3">
        <f t="shared" ca="1" si="5"/>
        <v>0.29767538367919721</v>
      </c>
    </row>
    <row r="5" spans="1:10" x14ac:dyDescent="0.25">
      <c r="A5" t="s">
        <v>11</v>
      </c>
      <c r="B5">
        <v>4</v>
      </c>
      <c r="C5" s="2">
        <f t="shared" ca="1" si="0"/>
        <v>0</v>
      </c>
      <c r="D5" s="3">
        <f t="shared" ca="1" si="1"/>
        <v>526.04999999999995</v>
      </c>
      <c r="E5" s="3">
        <f t="shared" ca="1" si="2"/>
        <v>0.82471428571428562</v>
      </c>
      <c r="F5" s="3">
        <f t="shared" ca="1" si="3"/>
        <v>1</v>
      </c>
      <c r="G5" s="3">
        <f t="shared" ca="1" si="4"/>
        <v>0.30967571832840779</v>
      </c>
      <c r="H5" s="3">
        <f t="shared" ca="1" si="5"/>
        <v>0.32283950662415317</v>
      </c>
    </row>
    <row r="6" spans="1:10" x14ac:dyDescent="0.25">
      <c r="A6" t="s">
        <v>10</v>
      </c>
      <c r="B6">
        <v>5</v>
      </c>
      <c r="C6" s="2">
        <f t="shared" ca="1" si="0"/>
        <v>0</v>
      </c>
      <c r="D6" s="3">
        <f t="shared" ca="1" si="1"/>
        <v>525.41428571428571</v>
      </c>
      <c r="E6" s="3">
        <f t="shared" ca="1" si="2"/>
        <v>0.84899999999999998</v>
      </c>
      <c r="F6" s="3">
        <f t="shared" ca="1" si="3"/>
        <v>1</v>
      </c>
      <c r="G6" s="3">
        <f t="shared" ca="1" si="4"/>
        <v>0.31431079831467051</v>
      </c>
      <c r="H6" s="3">
        <f t="shared" ca="1" si="5"/>
        <v>0.32285161186692191</v>
      </c>
    </row>
    <row r="7" spans="1:10" x14ac:dyDescent="0.25">
      <c r="A7" t="s">
        <v>12</v>
      </c>
      <c r="B7">
        <v>6</v>
      </c>
      <c r="C7" s="2">
        <f t="shared" ca="1" si="0"/>
        <v>0</v>
      </c>
      <c r="D7" s="3">
        <f t="shared" ca="1" si="1"/>
        <v>520.45714285714291</v>
      </c>
      <c r="E7" s="3">
        <f t="shared" ca="1" si="2"/>
        <v>1</v>
      </c>
      <c r="F7" s="3">
        <f t="shared" ca="1" si="3"/>
        <v>1</v>
      </c>
      <c r="G7" s="3">
        <f t="shared" ca="1" si="4"/>
        <v>0.32539056432771285</v>
      </c>
      <c r="H7" s="3">
        <f t="shared" ca="1" si="5"/>
        <v>0.2592735774833434</v>
      </c>
    </row>
    <row r="8" spans="1:10" x14ac:dyDescent="0.25">
      <c r="A8" t="s">
        <v>13</v>
      </c>
      <c r="B8">
        <v>7</v>
      </c>
      <c r="C8" s="2">
        <f t="shared" ca="1" si="0"/>
        <v>0</v>
      </c>
      <c r="D8" s="3">
        <f t="shared" ca="1" si="1"/>
        <v>506.49285714285713</v>
      </c>
      <c r="E8" s="3">
        <f t="shared" ca="1" si="2"/>
        <v>0.7251428571428572</v>
      </c>
      <c r="F8" s="3">
        <f t="shared" ca="1" si="3"/>
        <v>1</v>
      </c>
      <c r="G8" s="3">
        <f t="shared" ca="1" si="4"/>
        <v>0.28940031140288486</v>
      </c>
      <c r="H8" s="3">
        <f t="shared" ca="1" si="5"/>
        <v>0.31376998300707309</v>
      </c>
    </row>
    <row r="9" spans="1:10" x14ac:dyDescent="0.25">
      <c r="A9" t="s">
        <v>15</v>
      </c>
      <c r="B9">
        <v>8</v>
      </c>
      <c r="C9" s="2">
        <f t="shared" ca="1" si="0"/>
        <v>7.1428571428571425E-2</v>
      </c>
      <c r="D9" s="3">
        <f t="shared" ca="1" si="1"/>
        <v>490.30714285714288</v>
      </c>
      <c r="E9" s="3">
        <f t="shared" ca="1" si="2"/>
        <v>0.65049999999999997</v>
      </c>
      <c r="F9" s="3">
        <f t="shared" ca="1" si="3"/>
        <v>0.9285714285714286</v>
      </c>
      <c r="G9" s="3">
        <f t="shared" ca="1" si="4"/>
        <v>0.27306393841551513</v>
      </c>
      <c r="H9" s="3">
        <f t="shared" ca="1" si="5"/>
        <v>0.30662550604335814</v>
      </c>
    </row>
    <row r="10" spans="1:10" x14ac:dyDescent="0.25">
      <c r="A10" t="s">
        <v>16</v>
      </c>
      <c r="B10">
        <v>9</v>
      </c>
      <c r="C10" s="2">
        <f t="shared" ca="1" si="0"/>
        <v>4.2857142857142858E-2</v>
      </c>
      <c r="D10" s="3">
        <f t="shared" ca="1" si="1"/>
        <v>489.75714285714287</v>
      </c>
      <c r="E10" s="3">
        <f t="shared" ca="1" si="2"/>
        <v>0.80678571428571433</v>
      </c>
      <c r="F10" s="3">
        <f t="shared" ca="1" si="3"/>
        <v>0.95714285714285707</v>
      </c>
      <c r="G10" s="3">
        <f t="shared" ca="1" si="4"/>
        <v>0.29629931690358785</v>
      </c>
      <c r="H10" s="3">
        <f t="shared" ca="1" si="5"/>
        <v>0.28426220430729621</v>
      </c>
    </row>
    <row r="11" spans="1:10" x14ac:dyDescent="0.25">
      <c r="A11" t="s">
        <v>14</v>
      </c>
      <c r="B11">
        <v>10</v>
      </c>
      <c r="C11" s="2">
        <f t="shared" ca="1" si="0"/>
        <v>7.1428571428571425E-2</v>
      </c>
      <c r="D11" s="3">
        <f t="shared" ca="1" si="1"/>
        <v>489.6357142857143</v>
      </c>
      <c r="E11" s="3">
        <f t="shared" ca="1" si="2"/>
        <v>0.66199999999999992</v>
      </c>
      <c r="F11" s="3">
        <f t="shared" ca="1" si="3"/>
        <v>0.9285714285714286</v>
      </c>
      <c r="G11" s="3">
        <f t="shared" ca="1" si="4"/>
        <v>0.27540122583258692</v>
      </c>
      <c r="H11" s="3">
        <f t="shared" ca="1" si="5"/>
        <v>0.30671096384137275</v>
      </c>
    </row>
    <row r="12" spans="1:10" x14ac:dyDescent="0.25">
      <c r="A12" t="s">
        <v>17</v>
      </c>
      <c r="B12">
        <v>11</v>
      </c>
      <c r="C12" s="2">
        <f t="shared" ca="1" si="0"/>
        <v>0.44285714285714284</v>
      </c>
      <c r="D12" s="3">
        <f t="shared" ca="1" si="1"/>
        <v>451.72142857142859</v>
      </c>
      <c r="E12" s="3">
        <f t="shared" ca="1" si="2"/>
        <v>0.51214285714285712</v>
      </c>
      <c r="F12" s="3">
        <f t="shared" ca="1" si="3"/>
        <v>0.55714285714285716</v>
      </c>
      <c r="G12" s="3">
        <f t="shared" ca="1" si="4"/>
        <v>0.18277627408101615</v>
      </c>
      <c r="H12" s="3">
        <f t="shared" ca="1" si="5"/>
        <v>7.0835798718753729E-2</v>
      </c>
    </row>
    <row r="13" spans="1:10" x14ac:dyDescent="0.25">
      <c r="A13" t="s">
        <v>19</v>
      </c>
      <c r="B13">
        <v>12</v>
      </c>
      <c r="C13" s="2">
        <f t="shared" ca="1" si="0"/>
        <v>0.48571428571428571</v>
      </c>
      <c r="D13" s="3">
        <f t="shared" ca="1" si="1"/>
        <v>446.72857142857146</v>
      </c>
      <c r="E13" s="3">
        <f t="shared" ca="1" si="2"/>
        <v>0.50721428571428573</v>
      </c>
      <c r="F13" s="3">
        <f t="shared" ca="1" si="3"/>
        <v>0.51428571428571423</v>
      </c>
      <c r="G13" s="3">
        <f t="shared" ca="1" si="4"/>
        <v>0.16446709996008219</v>
      </c>
      <c r="H13" s="3">
        <f t="shared" ca="1" si="5"/>
        <v>2.0207321972831906E-3</v>
      </c>
    </row>
    <row r="14" spans="1:10" x14ac:dyDescent="0.25">
      <c r="A14" t="s">
        <v>18</v>
      </c>
      <c r="B14">
        <v>13</v>
      </c>
      <c r="C14" s="2">
        <f t="shared" ca="1" si="0"/>
        <v>0.6428571428571429</v>
      </c>
      <c r="D14" s="3">
        <f t="shared" ca="1" si="1"/>
        <v>419.72142857142859</v>
      </c>
      <c r="E14" s="3">
        <f t="shared" ca="1" si="2"/>
        <v>0.39764285714285713</v>
      </c>
      <c r="F14" s="3">
        <f t="shared" ca="1" si="3"/>
        <v>0.35714285714285721</v>
      </c>
      <c r="G14" s="3">
        <f t="shared" ca="1" si="4"/>
        <v>0.15047702202787178</v>
      </c>
      <c r="H14" s="3">
        <f t="shared" ca="1" si="5"/>
        <v>2.4518631082904887E-2</v>
      </c>
    </row>
    <row r="15" spans="1:10" x14ac:dyDescent="0.25">
      <c r="A15" t="s">
        <v>20</v>
      </c>
      <c r="B15">
        <v>14</v>
      </c>
      <c r="C15" s="2">
        <f t="shared" ca="1" si="0"/>
        <v>0.81428571428571428</v>
      </c>
      <c r="D15" s="3">
        <f t="shared" ca="1" si="1"/>
        <v>389.56428571428569</v>
      </c>
      <c r="E15" s="3">
        <f t="shared" ca="1" si="2"/>
        <v>0.25850000000000001</v>
      </c>
      <c r="F15" s="3">
        <f t="shared" ca="1" si="3"/>
        <v>0.18571428571428569</v>
      </c>
      <c r="G15" s="3">
        <f t="shared" ca="1" si="4"/>
        <v>9.3433072281309121E-2</v>
      </c>
      <c r="H15" s="3">
        <f t="shared" ca="1" si="5"/>
        <v>-9.5945898375794841E-2</v>
      </c>
    </row>
    <row r="16" spans="1:10" x14ac:dyDescent="0.25">
      <c r="A16" t="s">
        <v>21</v>
      </c>
      <c r="B16">
        <v>15</v>
      </c>
      <c r="C16" s="2">
        <f t="shared" ca="1" si="0"/>
        <v>0.9285714285714286</v>
      </c>
      <c r="D16" s="3">
        <f t="shared" ca="1" si="1"/>
        <v>368.3</v>
      </c>
      <c r="E16" s="3">
        <f t="shared" ca="1" si="2"/>
        <v>0</v>
      </c>
      <c r="F16" s="3">
        <f t="shared" ca="1" si="3"/>
        <v>7.1428571428571425E-2</v>
      </c>
      <c r="G16" s="3">
        <f t="shared" ca="1" si="4"/>
        <v>0</v>
      </c>
      <c r="H16" s="3">
        <f t="shared" ca="1" si="5"/>
        <v>-0.2592735774833434</v>
      </c>
    </row>
  </sheetData>
  <sortState xmlns:xlrd2="http://schemas.microsoft.com/office/spreadsheetml/2017/richdata2" ref="A2:H16">
    <sortCondition descending="1" ref="D2:D1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A676-8F96-4040-A571-D049F9F4B3B1}">
  <dimension ref="A1:J16"/>
  <sheetViews>
    <sheetView workbookViewId="0">
      <selection activeCell="B1" sqref="B1:B16"/>
    </sheetView>
  </sheetViews>
  <sheetFormatPr defaultRowHeight="15" x14ac:dyDescent="0.25"/>
  <cols>
    <col min="1" max="1" width="18.7109375" bestFit="1" customWidth="1"/>
    <col min="2" max="2" width="18.7109375" customWidth="1"/>
    <col min="3" max="3" width="18.7109375" bestFit="1" customWidth="1"/>
    <col min="4" max="4" width="10.7109375" bestFit="1" customWidth="1"/>
    <col min="5" max="5" width="17.85546875" bestFit="1" customWidth="1"/>
    <col min="6" max="6" width="18.28515625" bestFit="1" customWidth="1"/>
    <col min="7" max="7" width="16.28515625" bestFit="1" customWidth="1"/>
    <col min="8" max="9" width="17.5703125" bestFit="1" customWidth="1"/>
  </cols>
  <sheetData>
    <row r="1" spans="1:10" x14ac:dyDescent="0.25">
      <c r="A1" s="1" t="s">
        <v>0</v>
      </c>
      <c r="B1" s="1" t="s">
        <v>29</v>
      </c>
      <c r="C1" s="1" t="s">
        <v>1</v>
      </c>
      <c r="D1" s="1" t="s">
        <v>22</v>
      </c>
      <c r="E1" s="1" t="s">
        <v>3</v>
      </c>
      <c r="F1" s="1" t="s">
        <v>4</v>
      </c>
      <c r="G1" s="1" t="s">
        <v>5</v>
      </c>
      <c r="H1" s="1" t="s">
        <v>6</v>
      </c>
      <c r="J1">
        <v>6</v>
      </c>
    </row>
    <row r="2" spans="1:10" x14ac:dyDescent="0.25">
      <c r="A2" t="s">
        <v>7</v>
      </c>
      <c r="B2">
        <v>1</v>
      </c>
      <c r="C2" s="2">
        <f t="shared" ref="C2:C16" ca="1" si="0">SUM(VLOOKUP(A2,INDIRECT(_xlfn.CONCAT("'",$J$1," (0)'!A:B")),2,FALSE),VLOOKUP(A2,INDIRECT(_xlfn.CONCAT("'",$J$1," (1)'!A:B")),2,FALSE),VLOOKUP(A2,INDIRECT(_xlfn.CONCAT("'",$J$1," (2)'!A:B")),2,FALSE),VLOOKUP(A2,INDIRECT(_xlfn.CONCAT("'",$J$1," (3)'!A:B")),2,FALSE),VLOOKUP(A2,INDIRECT(_xlfn.CONCAT("'",$J$1," (4)'!A:B")),2,FALSE))/(14*5)</f>
        <v>5.7142857142857141E-2</v>
      </c>
      <c r="D2" s="3">
        <f t="shared" ref="D2:D16" ca="1" si="1">SUM(VLOOKUP(A2,INDIRECT(_xlfn.CONCAT("'",$J$1," (0)'!A:C")),3,FALSE),VLOOKUP(A2,INDIRECT(_xlfn.CONCAT("'",$J$1," (1)'!A:C")),3,FALSE),VLOOKUP(A2,INDIRECT(_xlfn.CONCAT("'",$J$1," (2)'!A:C")),3,FALSE),VLOOKUP(A2,INDIRECT(_xlfn.CONCAT("'",$J$1," (3)'!A:C")),3,FALSE),VLOOKUP(A2,INDIRECT(_xlfn.CONCAT("'",$J$1," (4)'!A:C")),3,FALSE))/(14*5)</f>
        <v>551.05714285714282</v>
      </c>
      <c r="E2" s="3">
        <f t="shared" ref="E2:E16" ca="1" si="2">SUM(VLOOKUP(A2,INDIRECT(_xlfn.CONCAT("'",$J$1," (0)'!A:D")),4,FALSE),VLOOKUP(A2,INDIRECT(_xlfn.CONCAT("'",$J$1," (1)'!A:D")),4,FALSE),VLOOKUP(A2,INDIRECT(_xlfn.CONCAT("'",$J$1," (2)'!A:D")),4,FALSE),VLOOKUP(A2,INDIRECT(_xlfn.CONCAT("'",$J$1," (3)'!A:D")),4,FALSE),VLOOKUP(A2,INDIRECT(_xlfn.CONCAT("'",$J$1," (4)'!A:D")),4,FALSE))/5</f>
        <v>0.84128571428571441</v>
      </c>
      <c r="F2" s="3">
        <f t="shared" ref="F2:F16" ca="1" si="3">SUM(VLOOKUP(A2,INDIRECT(_xlfn.CONCAT("'",$J$1," (0)'!A:E")),5,FALSE),VLOOKUP(A2,INDIRECT(_xlfn.CONCAT("'",$J$1," (1)'!A:E")),5,FALSE),VLOOKUP(A2,INDIRECT(_xlfn.CONCAT("'",$J$1," (2)'!A:E")),5,FALSE),VLOOKUP(A2,INDIRECT(_xlfn.CONCAT("'",$J$1," (3)'!A:E")),5,FALSE),VLOOKUP(A2,INDIRECT(_xlfn.CONCAT("'",$J$1," (4)'!A:E")),5,FALSE))/5</f>
        <v>0.94285714285714284</v>
      </c>
      <c r="G2" s="3">
        <f t="shared" ref="G2:G16" ca="1" si="4">SUM(VLOOKUP(A2,INDIRECT(_xlfn.CONCAT("'",$J$1," (0)'!A:F")),6,FALSE),VLOOKUP(A2,INDIRECT(_xlfn.CONCAT("'",$J$1," (1)'!A:F")),6,FALSE),VLOOKUP(A2,INDIRECT(_xlfn.CONCAT("'",$J$1," (2)'!A:F")),6,FALSE),VLOOKUP(A2,INDIRECT(_xlfn.CONCAT("'",$J$1," (3)'!A:F")),6,FALSE),VLOOKUP(A2,INDIRECT(_xlfn.CONCAT("'",$J$1," (4)'!A:F")),6,FALSE))/5</f>
        <v>0.310669751183694</v>
      </c>
      <c r="H2" s="3">
        <f t="shared" ref="H2:H16" ca="1" si="5">SUM(VLOOKUP(A2,INDIRECT(_xlfn.CONCAT("'",$J$1," (0)'!A:G")),7,FALSE),VLOOKUP(A2,INDIRECT(_xlfn.CONCAT("'",$J$1," (1)'!A:G")),7,FALSE),VLOOKUP(A2,INDIRECT(_xlfn.CONCAT("'",$J$1," (2)'!A:G")),7,FALSE),VLOOKUP(A2,INDIRECT(_xlfn.CONCAT("'",$J$1," (3)'!A:G")),7,FALSE),VLOOKUP(A2,INDIRECT(_xlfn.CONCAT("'",$J$1," (4)'!A:G")),7,FALSE))/5</f>
        <v>0.31309598520787657</v>
      </c>
    </row>
    <row r="3" spans="1:10" x14ac:dyDescent="0.25">
      <c r="A3" t="s">
        <v>8</v>
      </c>
      <c r="B3">
        <v>2</v>
      </c>
      <c r="C3" s="2">
        <f t="shared" ca="1" si="0"/>
        <v>0</v>
      </c>
      <c r="D3" s="3">
        <f t="shared" ca="1" si="1"/>
        <v>537.9</v>
      </c>
      <c r="E3" s="3">
        <f t="shared" ca="1" si="2"/>
        <v>0.80249999999999999</v>
      </c>
      <c r="F3" s="3">
        <f t="shared" ca="1" si="3"/>
        <v>1</v>
      </c>
      <c r="G3" s="3">
        <f t="shared" ca="1" si="4"/>
        <v>0.30004904290208229</v>
      </c>
      <c r="H3" s="3">
        <f t="shared" ca="1" si="5"/>
        <v>0.29700252415474182</v>
      </c>
    </row>
    <row r="4" spans="1:10" x14ac:dyDescent="0.25">
      <c r="A4" t="s">
        <v>9</v>
      </c>
      <c r="B4">
        <v>3</v>
      </c>
      <c r="C4" s="2">
        <f t="shared" ca="1" si="0"/>
        <v>0</v>
      </c>
      <c r="D4" s="3">
        <f t="shared" ca="1" si="1"/>
        <v>534.15714285714284</v>
      </c>
      <c r="E4" s="3">
        <f t="shared" ca="1" si="2"/>
        <v>0.89107142857142851</v>
      </c>
      <c r="F4" s="3">
        <f t="shared" ca="1" si="3"/>
        <v>1</v>
      </c>
      <c r="G4" s="3">
        <f t="shared" ca="1" si="4"/>
        <v>0.31531461983595765</v>
      </c>
      <c r="H4" s="3">
        <f t="shared" ca="1" si="5"/>
        <v>0.29388165936118654</v>
      </c>
    </row>
    <row r="5" spans="1:10" x14ac:dyDescent="0.25">
      <c r="A5" t="s">
        <v>10</v>
      </c>
      <c r="B5">
        <v>4</v>
      </c>
      <c r="C5" s="2">
        <f t="shared" ca="1" si="0"/>
        <v>0</v>
      </c>
      <c r="D5" s="3">
        <f t="shared" ca="1" si="1"/>
        <v>526.48571428571427</v>
      </c>
      <c r="E5" s="3">
        <f t="shared" ca="1" si="2"/>
        <v>0.84749999999999992</v>
      </c>
      <c r="F5" s="3">
        <f t="shared" ca="1" si="3"/>
        <v>1</v>
      </c>
      <c r="G5" s="3">
        <f t="shared" ca="1" si="4"/>
        <v>0.3149733479898334</v>
      </c>
      <c r="H5" s="3">
        <f t="shared" ca="1" si="5"/>
        <v>0.32290913750553452</v>
      </c>
    </row>
    <row r="6" spans="1:10" x14ac:dyDescent="0.25">
      <c r="A6" t="s">
        <v>11</v>
      </c>
      <c r="B6">
        <v>5</v>
      </c>
      <c r="C6" s="2">
        <f t="shared" ca="1" si="0"/>
        <v>0</v>
      </c>
      <c r="D6" s="3">
        <f t="shared" ca="1" si="1"/>
        <v>521.51428571428573</v>
      </c>
      <c r="E6" s="3">
        <f t="shared" ca="1" si="2"/>
        <v>0.80928571428571439</v>
      </c>
      <c r="F6" s="3">
        <f t="shared" ca="1" si="3"/>
        <v>1</v>
      </c>
      <c r="G6" s="3">
        <f t="shared" ca="1" si="4"/>
        <v>0.30798333044915838</v>
      </c>
      <c r="H6" s="3">
        <f t="shared" ca="1" si="5"/>
        <v>0.32292650753582752</v>
      </c>
    </row>
    <row r="7" spans="1:10" x14ac:dyDescent="0.25">
      <c r="A7" t="s">
        <v>12</v>
      </c>
      <c r="B7">
        <v>6</v>
      </c>
      <c r="C7" s="2">
        <f t="shared" ca="1" si="0"/>
        <v>0</v>
      </c>
      <c r="D7" s="3">
        <f t="shared" ca="1" si="1"/>
        <v>519</v>
      </c>
      <c r="E7" s="3">
        <f t="shared" ca="1" si="2"/>
        <v>1</v>
      </c>
      <c r="F7" s="3">
        <f t="shared" ca="1" si="3"/>
        <v>1</v>
      </c>
      <c r="G7" s="3">
        <f t="shared" ca="1" si="4"/>
        <v>0.32585482139831795</v>
      </c>
      <c r="H7" s="3">
        <f t="shared" ca="1" si="5"/>
        <v>0.25725784855841555</v>
      </c>
    </row>
    <row r="8" spans="1:10" x14ac:dyDescent="0.25">
      <c r="A8" t="s">
        <v>13</v>
      </c>
      <c r="B8">
        <v>7</v>
      </c>
      <c r="C8" s="2">
        <f t="shared" ca="1" si="0"/>
        <v>0</v>
      </c>
      <c r="D8" s="3">
        <f t="shared" ca="1" si="1"/>
        <v>511.3</v>
      </c>
      <c r="E8" s="3">
        <f t="shared" ca="1" si="2"/>
        <v>0.72499999999999998</v>
      </c>
      <c r="F8" s="3">
        <f t="shared" ca="1" si="3"/>
        <v>1</v>
      </c>
      <c r="G8" s="3">
        <f t="shared" ca="1" si="4"/>
        <v>0.29050774475222407</v>
      </c>
      <c r="H8" s="3">
        <f t="shared" ca="1" si="5"/>
        <v>0.31449103314749716</v>
      </c>
    </row>
    <row r="9" spans="1:10" x14ac:dyDescent="0.25">
      <c r="A9" t="s">
        <v>15</v>
      </c>
      <c r="B9">
        <v>8</v>
      </c>
      <c r="C9" s="2">
        <f t="shared" ca="1" si="0"/>
        <v>7.1428571428571425E-2</v>
      </c>
      <c r="D9" s="3">
        <f t="shared" ca="1" si="1"/>
        <v>498.65714285714284</v>
      </c>
      <c r="E9" s="3">
        <f t="shared" ca="1" si="2"/>
        <v>0.65557142857142847</v>
      </c>
      <c r="F9" s="3">
        <f t="shared" ca="1" si="3"/>
        <v>0.9285714285714286</v>
      </c>
      <c r="G9" s="3">
        <f t="shared" ca="1" si="4"/>
        <v>0.27530353000992985</v>
      </c>
      <c r="H9" s="3">
        <f t="shared" ca="1" si="5"/>
        <v>0.30752011578925076</v>
      </c>
    </row>
    <row r="10" spans="1:10" x14ac:dyDescent="0.25">
      <c r="A10" t="s">
        <v>16</v>
      </c>
      <c r="B10">
        <v>9</v>
      </c>
      <c r="C10" s="2">
        <f t="shared" ca="1" si="0"/>
        <v>2.8571428571428571E-2</v>
      </c>
      <c r="D10" s="3">
        <f t="shared" ca="1" si="1"/>
        <v>495.1142857142857</v>
      </c>
      <c r="E10" s="3">
        <f t="shared" ca="1" si="2"/>
        <v>0.80642857142857149</v>
      </c>
      <c r="F10" s="3">
        <f t="shared" ca="1" si="3"/>
        <v>0.97142857142857153</v>
      </c>
      <c r="G10" s="3">
        <f t="shared" ca="1" si="4"/>
        <v>0.29708497934695183</v>
      </c>
      <c r="H10" s="3">
        <f t="shared" ca="1" si="5"/>
        <v>0.28371143696362455</v>
      </c>
    </row>
    <row r="11" spans="1:10" x14ac:dyDescent="0.25">
      <c r="A11" t="s">
        <v>14</v>
      </c>
      <c r="B11">
        <v>10</v>
      </c>
      <c r="C11" s="2">
        <f t="shared" ca="1" si="0"/>
        <v>8.5714285714285715E-2</v>
      </c>
      <c r="D11" s="3">
        <f t="shared" ca="1" si="1"/>
        <v>492.04285714285714</v>
      </c>
      <c r="E11" s="3">
        <f t="shared" ca="1" si="2"/>
        <v>0.65692857142857142</v>
      </c>
      <c r="F11" s="3">
        <f t="shared" ca="1" si="3"/>
        <v>0.91428571428571437</v>
      </c>
      <c r="G11" s="3">
        <f t="shared" ca="1" si="4"/>
        <v>0.27586023172978014</v>
      </c>
      <c r="H11" s="3">
        <f t="shared" ca="1" si="5"/>
        <v>0.30771857418023096</v>
      </c>
    </row>
    <row r="12" spans="1:10" x14ac:dyDescent="0.25">
      <c r="A12" t="s">
        <v>17</v>
      </c>
      <c r="B12">
        <v>11</v>
      </c>
      <c r="C12" s="2">
        <f t="shared" ca="1" si="0"/>
        <v>0.47142857142857142</v>
      </c>
      <c r="D12" s="3">
        <f t="shared" ca="1" si="1"/>
        <v>476.01428571428573</v>
      </c>
      <c r="E12" s="3">
        <f t="shared" ca="1" si="2"/>
        <v>0.49914285714285711</v>
      </c>
      <c r="F12" s="3">
        <f t="shared" ca="1" si="3"/>
        <v>0.52857142857142847</v>
      </c>
      <c r="G12" s="3">
        <f t="shared" ca="1" si="4"/>
        <v>0.17982344988190116</v>
      </c>
      <c r="H12" s="3">
        <f t="shared" ca="1" si="5"/>
        <v>6.9219021487034127E-2</v>
      </c>
    </row>
    <row r="13" spans="1:10" x14ac:dyDescent="0.25">
      <c r="A13" t="s">
        <v>19</v>
      </c>
      <c r="B13">
        <v>12</v>
      </c>
      <c r="C13" s="2">
        <f t="shared" ca="1" si="0"/>
        <v>0.45714285714285713</v>
      </c>
      <c r="D13" s="3">
        <f t="shared" ca="1" si="1"/>
        <v>451.3</v>
      </c>
      <c r="E13" s="3">
        <f t="shared" ca="1" si="2"/>
        <v>0.4995</v>
      </c>
      <c r="F13" s="3">
        <f t="shared" ca="1" si="3"/>
        <v>0.54285714285714293</v>
      </c>
      <c r="G13" s="3">
        <f t="shared" ca="1" si="4"/>
        <v>0.16377994437813537</v>
      </c>
      <c r="H13" s="3">
        <f t="shared" ca="1" si="5"/>
        <v>3.7011284064918494E-3</v>
      </c>
    </row>
    <row r="14" spans="1:10" x14ac:dyDescent="0.25">
      <c r="A14" t="s">
        <v>18</v>
      </c>
      <c r="B14">
        <v>13</v>
      </c>
      <c r="C14" s="2">
        <f t="shared" ca="1" si="0"/>
        <v>0.65714285714285714</v>
      </c>
      <c r="D14" s="3">
        <f t="shared" ca="1" si="1"/>
        <v>431.24285714285713</v>
      </c>
      <c r="E14" s="3">
        <f t="shared" ca="1" si="2"/>
        <v>0.38900000000000007</v>
      </c>
      <c r="F14" s="3">
        <f t="shared" ca="1" si="3"/>
        <v>0.34285714285714286</v>
      </c>
      <c r="G14" s="3">
        <f t="shared" ca="1" si="4"/>
        <v>0.14681392115532016</v>
      </c>
      <c r="H14" s="3">
        <f t="shared" ca="1" si="5"/>
        <v>1.8235524976891033E-2</v>
      </c>
    </row>
    <row r="15" spans="1:10" x14ac:dyDescent="0.25">
      <c r="A15" t="s">
        <v>20</v>
      </c>
      <c r="B15">
        <v>14</v>
      </c>
      <c r="C15" s="2">
        <f t="shared" ca="1" si="0"/>
        <v>0.8571428571428571</v>
      </c>
      <c r="D15" s="3">
        <f t="shared" ca="1" si="1"/>
        <v>398.1142857142857</v>
      </c>
      <c r="E15" s="3">
        <f t="shared" ca="1" si="2"/>
        <v>0.25271428571428572</v>
      </c>
      <c r="F15" s="3">
        <f t="shared" ca="1" si="3"/>
        <v>0.14285714285714282</v>
      </c>
      <c r="G15" s="3">
        <f t="shared" ca="1" si="4"/>
        <v>8.9646297175209805E-2</v>
      </c>
      <c r="H15" s="3">
        <f t="shared" ca="1" si="5"/>
        <v>-0.10649088048241255</v>
      </c>
    </row>
    <row r="16" spans="1:10" x14ac:dyDescent="0.25">
      <c r="A16" t="s">
        <v>21</v>
      </c>
      <c r="B16">
        <v>15</v>
      </c>
      <c r="C16" s="2">
        <f t="shared" ca="1" si="0"/>
        <v>0.9285714285714286</v>
      </c>
      <c r="D16" s="3">
        <f t="shared" ca="1" si="1"/>
        <v>383.92857142857144</v>
      </c>
      <c r="E16" s="3">
        <f t="shared" ca="1" si="2"/>
        <v>0</v>
      </c>
      <c r="F16" s="3">
        <f t="shared" ca="1" si="3"/>
        <v>7.1428571428571425E-2</v>
      </c>
      <c r="G16" s="3">
        <f t="shared" ca="1" si="4"/>
        <v>0</v>
      </c>
      <c r="H16" s="3">
        <f t="shared" ca="1" si="5"/>
        <v>-0.25725784855841555</v>
      </c>
    </row>
  </sheetData>
  <sortState xmlns:xlrd2="http://schemas.microsoft.com/office/spreadsheetml/2017/richdata2" ref="A2:H16">
    <sortCondition descending="1" ref="D2:D1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61510-05A0-429C-910E-B8A9A281C240}">
  <dimension ref="A1:J16"/>
  <sheetViews>
    <sheetView workbookViewId="0">
      <selection activeCell="B1" sqref="B1:B16"/>
    </sheetView>
  </sheetViews>
  <sheetFormatPr defaultRowHeight="15" x14ac:dyDescent="0.25"/>
  <cols>
    <col min="1" max="1" width="18.7109375" bestFit="1" customWidth="1"/>
    <col min="2" max="2" width="18.7109375" customWidth="1"/>
    <col min="3" max="3" width="18.7109375" bestFit="1" customWidth="1"/>
    <col min="4" max="4" width="10.7109375" bestFit="1" customWidth="1"/>
    <col min="5" max="5" width="17.85546875" bestFit="1" customWidth="1"/>
    <col min="6" max="6" width="18.28515625" bestFit="1" customWidth="1"/>
    <col min="7" max="7" width="16.28515625" bestFit="1" customWidth="1"/>
    <col min="8" max="9" width="17.5703125" bestFit="1" customWidth="1"/>
  </cols>
  <sheetData>
    <row r="1" spans="1:10" x14ac:dyDescent="0.25">
      <c r="A1" s="1" t="s">
        <v>0</v>
      </c>
      <c r="B1" s="1" t="s">
        <v>29</v>
      </c>
      <c r="C1" s="1" t="s">
        <v>1</v>
      </c>
      <c r="D1" s="1" t="s">
        <v>22</v>
      </c>
      <c r="E1" s="1" t="s">
        <v>3</v>
      </c>
      <c r="F1" s="1" t="s">
        <v>4</v>
      </c>
      <c r="G1" s="1" t="s">
        <v>5</v>
      </c>
      <c r="H1" s="1" t="s">
        <v>6</v>
      </c>
      <c r="J1">
        <v>6.5</v>
      </c>
    </row>
    <row r="2" spans="1:10" x14ac:dyDescent="0.25">
      <c r="A2" t="s">
        <v>7</v>
      </c>
      <c r="B2">
        <v>1</v>
      </c>
      <c r="C2" s="2">
        <f t="shared" ref="C2:C16" ca="1" si="0">SUM(VLOOKUP(A2,INDIRECT(_xlfn.CONCAT("'",$J$1," (0)'!A:B")),2,FALSE),VLOOKUP(A2,INDIRECT(_xlfn.CONCAT("'",$J$1," (1)'!A:B")),2,FALSE),VLOOKUP(A2,INDIRECT(_xlfn.CONCAT("'",$J$1," (2)'!A:B")),2,FALSE),VLOOKUP(A2,INDIRECT(_xlfn.CONCAT("'",$J$1," (3)'!A:B")),2,FALSE),VLOOKUP(A2,INDIRECT(_xlfn.CONCAT("'",$J$1," (4)'!A:B")),2,FALSE))/(14*5)</f>
        <v>5.7142857142857141E-2</v>
      </c>
      <c r="D2" s="3">
        <f t="shared" ref="D2:D16" ca="1" si="1">SUM(VLOOKUP(A2,INDIRECT(_xlfn.CONCAT("'",$J$1," (0)'!A:C")),3,FALSE),VLOOKUP(A2,INDIRECT(_xlfn.CONCAT("'",$J$1," (1)'!A:C")),3,FALSE),VLOOKUP(A2,INDIRECT(_xlfn.CONCAT("'",$J$1," (2)'!A:C")),3,FALSE),VLOOKUP(A2,INDIRECT(_xlfn.CONCAT("'",$J$1," (3)'!A:C")),3,FALSE),VLOOKUP(A2,INDIRECT(_xlfn.CONCAT("'",$J$1," (4)'!A:C")),3,FALSE))/(14*5)</f>
        <v>558.30714285714282</v>
      </c>
      <c r="E2" s="3">
        <f t="shared" ref="E2:E16" ca="1" si="2">SUM(VLOOKUP(A2,INDIRECT(_xlfn.CONCAT("'",$J$1," (0)'!A:D")),4,FALSE),VLOOKUP(A2,INDIRECT(_xlfn.CONCAT("'",$J$1," (1)'!A:D")),4,FALSE),VLOOKUP(A2,INDIRECT(_xlfn.CONCAT("'",$J$1," (2)'!A:D")),4,FALSE),VLOOKUP(A2,INDIRECT(_xlfn.CONCAT("'",$J$1," (3)'!A:D")),4,FALSE),VLOOKUP(A2,INDIRECT(_xlfn.CONCAT("'",$J$1," (4)'!A:D")),4,FALSE))/5</f>
        <v>0.85457142857142865</v>
      </c>
      <c r="F2" s="3">
        <f t="shared" ref="F2:F16" ca="1" si="3">SUM(VLOOKUP(A2,INDIRECT(_xlfn.CONCAT("'",$J$1," (0)'!A:E")),5,FALSE),VLOOKUP(A2,INDIRECT(_xlfn.CONCAT("'",$J$1," (1)'!A:E")),5,FALSE),VLOOKUP(A2,INDIRECT(_xlfn.CONCAT("'",$J$1," (2)'!A:E")),5,FALSE),VLOOKUP(A2,INDIRECT(_xlfn.CONCAT("'",$J$1," (3)'!A:E")),5,FALSE),VLOOKUP(A2,INDIRECT(_xlfn.CONCAT("'",$J$1," (4)'!A:E")),5,FALSE))/5</f>
        <v>0.94285714285714284</v>
      </c>
      <c r="G2" s="3">
        <f t="shared" ref="G2:G16" ca="1" si="4">SUM(VLOOKUP(A2,INDIRECT(_xlfn.CONCAT("'",$J$1," (0)'!A:F")),6,FALSE),VLOOKUP(A2,INDIRECT(_xlfn.CONCAT("'",$J$1," (1)'!A:F")),6,FALSE),VLOOKUP(A2,INDIRECT(_xlfn.CONCAT("'",$J$1," (2)'!A:F")),6,FALSE),VLOOKUP(A2,INDIRECT(_xlfn.CONCAT("'",$J$1," (3)'!A:F")),6,FALSE),VLOOKUP(A2,INDIRECT(_xlfn.CONCAT("'",$J$1," (4)'!A:F")),6,FALSE))/5</f>
        <v>0.31229472221259263</v>
      </c>
      <c r="H2" s="3">
        <f t="shared" ref="H2:H16" ca="1" si="5">SUM(VLOOKUP(A2,INDIRECT(_xlfn.CONCAT("'",$J$1," (0)'!A:G")),7,FALSE),VLOOKUP(A2,INDIRECT(_xlfn.CONCAT("'",$J$1," (1)'!A:G")),7,FALSE),VLOOKUP(A2,INDIRECT(_xlfn.CONCAT("'",$J$1," (2)'!A:G")),7,FALSE),VLOOKUP(A2,INDIRECT(_xlfn.CONCAT("'",$J$1," (3)'!A:G")),7,FALSE),VLOOKUP(A2,INDIRECT(_xlfn.CONCAT("'",$J$1," (4)'!A:G")),7,FALSE))/5</f>
        <v>0.30905046039717932</v>
      </c>
    </row>
    <row r="3" spans="1:10" x14ac:dyDescent="0.25">
      <c r="A3" t="s">
        <v>8</v>
      </c>
      <c r="B3">
        <v>2</v>
      </c>
      <c r="C3" s="2">
        <f t="shared" ca="1" si="0"/>
        <v>0</v>
      </c>
      <c r="D3" s="3">
        <f t="shared" ca="1" si="1"/>
        <v>542.98571428571427</v>
      </c>
      <c r="E3" s="3">
        <f t="shared" ca="1" si="2"/>
        <v>0.80042857142857149</v>
      </c>
      <c r="F3" s="3">
        <f t="shared" ca="1" si="3"/>
        <v>1</v>
      </c>
      <c r="G3" s="3">
        <f t="shared" ca="1" si="4"/>
        <v>0.30036701675215893</v>
      </c>
      <c r="H3" s="3">
        <f t="shared" ca="1" si="5"/>
        <v>0.29807081435282046</v>
      </c>
    </row>
    <row r="4" spans="1:10" x14ac:dyDescent="0.25">
      <c r="A4" t="s">
        <v>9</v>
      </c>
      <c r="B4">
        <v>3</v>
      </c>
      <c r="C4" s="2">
        <f t="shared" ca="1" si="0"/>
        <v>0</v>
      </c>
      <c r="D4" s="3">
        <f t="shared" ca="1" si="1"/>
        <v>538.58571428571429</v>
      </c>
      <c r="E4" s="3">
        <f t="shared" ca="1" si="2"/>
        <v>0.89592857142857141</v>
      </c>
      <c r="F4" s="3">
        <f t="shared" ca="1" si="3"/>
        <v>1</v>
      </c>
      <c r="G4" s="3">
        <f t="shared" ca="1" si="4"/>
        <v>0.31706954634995849</v>
      </c>
      <c r="H4" s="3">
        <f t="shared" ca="1" si="5"/>
        <v>0.29581780973297861</v>
      </c>
    </row>
    <row r="5" spans="1:10" x14ac:dyDescent="0.25">
      <c r="A5" t="s">
        <v>12</v>
      </c>
      <c r="B5">
        <v>4</v>
      </c>
      <c r="C5" s="2">
        <f t="shared" ca="1" si="0"/>
        <v>0</v>
      </c>
      <c r="D5" s="3">
        <f t="shared" ca="1" si="1"/>
        <v>524.74285714285713</v>
      </c>
      <c r="E5" s="3">
        <f t="shared" ca="1" si="2"/>
        <v>1</v>
      </c>
      <c r="F5" s="3">
        <f t="shared" ca="1" si="3"/>
        <v>1</v>
      </c>
      <c r="G5" s="3">
        <f t="shared" ca="1" si="4"/>
        <v>0.32637830195922096</v>
      </c>
      <c r="H5" s="3">
        <f t="shared" ca="1" si="5"/>
        <v>0.25764445543367376</v>
      </c>
    </row>
    <row r="6" spans="1:10" x14ac:dyDescent="0.25">
      <c r="A6" t="s">
        <v>10</v>
      </c>
      <c r="B6">
        <v>5</v>
      </c>
      <c r="C6" s="2">
        <f t="shared" ca="1" si="0"/>
        <v>0</v>
      </c>
      <c r="D6" s="3">
        <f t="shared" ca="1" si="1"/>
        <v>523.53571428571433</v>
      </c>
      <c r="E6" s="3">
        <f t="shared" ca="1" si="2"/>
        <v>0.83721428571428569</v>
      </c>
      <c r="F6" s="3">
        <f t="shared" ca="1" si="3"/>
        <v>1</v>
      </c>
      <c r="G6" s="3">
        <f t="shared" ca="1" si="4"/>
        <v>0.31339269722905472</v>
      </c>
      <c r="H6" s="3">
        <f t="shared" ca="1" si="5"/>
        <v>0.32265390112875691</v>
      </c>
    </row>
    <row r="7" spans="1:10" x14ac:dyDescent="0.25">
      <c r="A7" t="s">
        <v>13</v>
      </c>
      <c r="B7">
        <v>6</v>
      </c>
      <c r="C7" s="2">
        <f t="shared" ca="1" si="0"/>
        <v>0</v>
      </c>
      <c r="D7" s="3">
        <f t="shared" ca="1" si="1"/>
        <v>518.01428571428573</v>
      </c>
      <c r="E7" s="3">
        <f t="shared" ca="1" si="2"/>
        <v>0.72607142857142848</v>
      </c>
      <c r="F7" s="3">
        <f t="shared" ca="1" si="3"/>
        <v>1</v>
      </c>
      <c r="G7" s="3">
        <f t="shared" ca="1" si="4"/>
        <v>0.29157734969916083</v>
      </c>
      <c r="H7" s="3">
        <f t="shared" ca="1" si="5"/>
        <v>0.31623388093754079</v>
      </c>
    </row>
    <row r="8" spans="1:10" x14ac:dyDescent="0.25">
      <c r="A8" t="s">
        <v>11</v>
      </c>
      <c r="B8">
        <v>7</v>
      </c>
      <c r="C8" s="2">
        <f t="shared" ca="1" si="0"/>
        <v>0</v>
      </c>
      <c r="D8" s="3">
        <f t="shared" ca="1" si="1"/>
        <v>516.97142857142853</v>
      </c>
      <c r="E8" s="3">
        <f t="shared" ca="1" si="2"/>
        <v>0.79292857142857154</v>
      </c>
      <c r="F8" s="3">
        <f t="shared" ca="1" si="3"/>
        <v>1</v>
      </c>
      <c r="G8" s="3">
        <f t="shared" ca="1" si="4"/>
        <v>0.30497326442903999</v>
      </c>
      <c r="H8" s="3">
        <f t="shared" ca="1" si="5"/>
        <v>0.32145529812258666</v>
      </c>
    </row>
    <row r="9" spans="1:10" x14ac:dyDescent="0.25">
      <c r="A9" t="s">
        <v>15</v>
      </c>
      <c r="B9">
        <v>8</v>
      </c>
      <c r="C9" s="2">
        <f t="shared" ca="1" si="0"/>
        <v>8.5714285714285715E-2</v>
      </c>
      <c r="D9" s="3">
        <f t="shared" ca="1" si="1"/>
        <v>500.00714285714287</v>
      </c>
      <c r="E9" s="3">
        <f t="shared" ca="1" si="2"/>
        <v>0.65428571428571436</v>
      </c>
      <c r="F9" s="3">
        <f t="shared" ca="1" si="3"/>
        <v>0.91428571428571426</v>
      </c>
      <c r="G9" s="3">
        <f t="shared" ca="1" si="4"/>
        <v>0.27587480880834991</v>
      </c>
      <c r="H9" s="3">
        <f t="shared" ca="1" si="5"/>
        <v>0.30897738649590428</v>
      </c>
    </row>
    <row r="10" spans="1:10" x14ac:dyDescent="0.25">
      <c r="A10" t="s">
        <v>16</v>
      </c>
      <c r="B10">
        <v>9</v>
      </c>
      <c r="C10" s="2">
        <f t="shared" ca="1" si="0"/>
        <v>2.8571428571428571E-2</v>
      </c>
      <c r="D10" s="3">
        <f t="shared" ca="1" si="1"/>
        <v>498.21428571428572</v>
      </c>
      <c r="E10" s="3">
        <f t="shared" ca="1" si="2"/>
        <v>0.80478571428571433</v>
      </c>
      <c r="F10" s="3">
        <f t="shared" ca="1" si="3"/>
        <v>0.97142857142857153</v>
      </c>
      <c r="G10" s="3">
        <f t="shared" ca="1" si="4"/>
        <v>0.29760769764261658</v>
      </c>
      <c r="H10" s="3">
        <f t="shared" ca="1" si="5"/>
        <v>0.28533084940852216</v>
      </c>
    </row>
    <row r="11" spans="1:10" x14ac:dyDescent="0.25">
      <c r="A11" t="s">
        <v>14</v>
      </c>
      <c r="B11">
        <v>10</v>
      </c>
      <c r="C11" s="2">
        <f t="shared" ca="1" si="0"/>
        <v>8.5714285714285715E-2</v>
      </c>
      <c r="D11" s="3">
        <f t="shared" ca="1" si="1"/>
        <v>496.6142857142857</v>
      </c>
      <c r="E11" s="3">
        <f t="shared" ca="1" si="2"/>
        <v>0.66049999999999998</v>
      </c>
      <c r="F11" s="3">
        <f t="shared" ca="1" si="3"/>
        <v>0.91428571428571437</v>
      </c>
      <c r="G11" s="3">
        <f t="shared" ca="1" si="4"/>
        <v>0.27712031679872978</v>
      </c>
      <c r="H11" s="3">
        <f t="shared" ca="1" si="5"/>
        <v>0.30849424041084761</v>
      </c>
    </row>
    <row r="12" spans="1:10" x14ac:dyDescent="0.25">
      <c r="A12" t="s">
        <v>17</v>
      </c>
      <c r="B12">
        <v>11</v>
      </c>
      <c r="C12" s="2">
        <f t="shared" ca="1" si="0"/>
        <v>0.47142857142857142</v>
      </c>
      <c r="D12" s="3">
        <f t="shared" ca="1" si="1"/>
        <v>484.56428571428569</v>
      </c>
      <c r="E12" s="3">
        <f t="shared" ca="1" si="2"/>
        <v>0.4860714285714286</v>
      </c>
      <c r="F12" s="3">
        <f t="shared" ca="1" si="3"/>
        <v>0.52857142857142858</v>
      </c>
      <c r="G12" s="3">
        <f t="shared" ca="1" si="4"/>
        <v>0.17868806984692567</v>
      </c>
      <c r="H12" s="3">
        <f t="shared" ca="1" si="5"/>
        <v>7.2859782166624434E-2</v>
      </c>
    </row>
    <row r="13" spans="1:10" x14ac:dyDescent="0.25">
      <c r="A13" t="s">
        <v>19</v>
      </c>
      <c r="B13">
        <v>12</v>
      </c>
      <c r="C13" s="2">
        <f t="shared" ca="1" si="0"/>
        <v>0.47142857142857142</v>
      </c>
      <c r="D13" s="3">
        <f t="shared" ca="1" si="1"/>
        <v>474.05714285714288</v>
      </c>
      <c r="E13" s="3">
        <f t="shared" ca="1" si="2"/>
        <v>0.50214285714285711</v>
      </c>
      <c r="F13" s="3">
        <f t="shared" ca="1" si="3"/>
        <v>0.52857142857142858</v>
      </c>
      <c r="G13" s="3">
        <f t="shared" ca="1" si="4"/>
        <v>0.16455311214851914</v>
      </c>
      <c r="H13" s="3">
        <f t="shared" ca="1" si="5"/>
        <v>4.104253448124151E-3</v>
      </c>
    </row>
    <row r="14" spans="1:10" x14ac:dyDescent="0.25">
      <c r="A14" t="s">
        <v>18</v>
      </c>
      <c r="B14">
        <v>13</v>
      </c>
      <c r="C14" s="2">
        <f t="shared" ca="1" si="0"/>
        <v>0.68571428571428572</v>
      </c>
      <c r="D14" s="3">
        <f t="shared" ca="1" si="1"/>
        <v>430.71428571428572</v>
      </c>
      <c r="E14" s="3">
        <f t="shared" ca="1" si="2"/>
        <v>0.36921428571428566</v>
      </c>
      <c r="F14" s="3">
        <f t="shared" ca="1" si="3"/>
        <v>0.31428571428571433</v>
      </c>
      <c r="G14" s="3">
        <f t="shared" ca="1" si="4"/>
        <v>0.13979242402043618</v>
      </c>
      <c r="H14" s="3">
        <f t="shared" ca="1" si="5"/>
        <v>1.9827104467723248E-3</v>
      </c>
    </row>
    <row r="15" spans="1:10" x14ac:dyDescent="0.25">
      <c r="A15" t="s">
        <v>21</v>
      </c>
      <c r="B15">
        <v>14</v>
      </c>
      <c r="C15" s="2">
        <f t="shared" ca="1" si="0"/>
        <v>0.9285714285714286</v>
      </c>
      <c r="D15" s="3">
        <f t="shared" ca="1" si="1"/>
        <v>403.89285714285717</v>
      </c>
      <c r="E15" s="3">
        <f t="shared" ca="1" si="2"/>
        <v>0</v>
      </c>
      <c r="F15" s="3">
        <f t="shared" ca="1" si="3"/>
        <v>7.1428571428571425E-2</v>
      </c>
      <c r="G15" s="3">
        <f t="shared" ca="1" si="4"/>
        <v>0</v>
      </c>
      <c r="H15" s="3">
        <f t="shared" ca="1" si="5"/>
        <v>-0.25764445543367376</v>
      </c>
    </row>
    <row r="16" spans="1:10" x14ac:dyDescent="0.25">
      <c r="A16" t="s">
        <v>20</v>
      </c>
      <c r="B16">
        <v>15</v>
      </c>
      <c r="C16" s="2">
        <f t="shared" ca="1" si="0"/>
        <v>0.7857142857142857</v>
      </c>
      <c r="D16" s="3">
        <f t="shared" ca="1" si="1"/>
        <v>403.17857142857144</v>
      </c>
      <c r="E16" s="3">
        <f t="shared" ca="1" si="2"/>
        <v>0.25557142857142862</v>
      </c>
      <c r="F16" s="3">
        <f t="shared" ca="1" si="3"/>
        <v>0.21428571428571427</v>
      </c>
      <c r="G16" s="3">
        <f t="shared" ca="1" si="4"/>
        <v>9.298849580577892E-2</v>
      </c>
      <c r="H16" s="3">
        <f t="shared" ca="1" si="5"/>
        <v>-9.9569670470222915E-2</v>
      </c>
    </row>
  </sheetData>
  <sortState xmlns:xlrd2="http://schemas.microsoft.com/office/spreadsheetml/2017/richdata2" ref="A2:H16">
    <sortCondition descending="1" ref="D2:D1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39EF-5C98-4A65-B4D7-94B1326DD866}">
  <dimension ref="A1:J16"/>
  <sheetViews>
    <sheetView workbookViewId="0">
      <selection activeCell="B1" sqref="B1:B16"/>
    </sheetView>
  </sheetViews>
  <sheetFormatPr defaultRowHeight="15" x14ac:dyDescent="0.25"/>
  <cols>
    <col min="1" max="1" width="18.7109375" bestFit="1" customWidth="1"/>
    <col min="2" max="2" width="18.7109375" customWidth="1"/>
    <col min="3" max="3" width="18.7109375" bestFit="1" customWidth="1"/>
    <col min="4" max="4" width="10.7109375" bestFit="1" customWidth="1"/>
    <col min="5" max="5" width="17.85546875" bestFit="1" customWidth="1"/>
    <col min="6" max="6" width="18.28515625" bestFit="1" customWidth="1"/>
    <col min="7" max="7" width="16.28515625" bestFit="1" customWidth="1"/>
    <col min="8" max="9" width="17.5703125" bestFit="1" customWidth="1"/>
  </cols>
  <sheetData>
    <row r="1" spans="1:10" x14ac:dyDescent="0.25">
      <c r="A1" s="1" t="s">
        <v>0</v>
      </c>
      <c r="B1" s="1" t="s">
        <v>29</v>
      </c>
      <c r="C1" s="1" t="s">
        <v>1</v>
      </c>
      <c r="D1" s="1" t="s">
        <v>22</v>
      </c>
      <c r="E1" s="1" t="s">
        <v>3</v>
      </c>
      <c r="F1" s="1" t="s">
        <v>4</v>
      </c>
      <c r="G1" s="1" t="s">
        <v>5</v>
      </c>
      <c r="H1" s="1" t="s">
        <v>6</v>
      </c>
      <c r="J1">
        <v>7</v>
      </c>
    </row>
    <row r="2" spans="1:10" x14ac:dyDescent="0.25">
      <c r="A2" t="s">
        <v>7</v>
      </c>
      <c r="B2">
        <v>1</v>
      </c>
      <c r="C2" s="2">
        <f t="shared" ref="C2:C16" ca="1" si="0">SUM(VLOOKUP(A2,INDIRECT(_xlfn.CONCAT("'",$J$1," (0)'!A:B")),2,FALSE),VLOOKUP(A2,INDIRECT(_xlfn.CONCAT("'",$J$1," (1)'!A:B")),2,FALSE),VLOOKUP(A2,INDIRECT(_xlfn.CONCAT("'",$J$1," (2)'!A:B")),2,FALSE),VLOOKUP(A2,INDIRECT(_xlfn.CONCAT("'",$J$1," (3)'!A:B")),2,FALSE),VLOOKUP(A2,INDIRECT(_xlfn.CONCAT("'",$J$1," (4)'!A:B")),2,FALSE))/(14*5)</f>
        <v>4.2857142857142858E-2</v>
      </c>
      <c r="D2" s="3">
        <f t="shared" ref="D2:D16" ca="1" si="1">SUM(VLOOKUP(A2,INDIRECT(_xlfn.CONCAT("'",$J$1," (0)'!A:C")),3,FALSE),VLOOKUP(A2,INDIRECT(_xlfn.CONCAT("'",$J$1," (1)'!A:C")),3,FALSE),VLOOKUP(A2,INDIRECT(_xlfn.CONCAT("'",$J$1," (2)'!A:C")),3,FALSE),VLOOKUP(A2,INDIRECT(_xlfn.CONCAT("'",$J$1," (3)'!A:C")),3,FALSE),VLOOKUP(A2,INDIRECT(_xlfn.CONCAT("'",$J$1," (4)'!A:C")),3,FALSE))/(14*5)</f>
        <v>554.84285714285716</v>
      </c>
      <c r="E2" s="3">
        <f t="shared" ref="E2:E16" ca="1" si="2">SUM(VLOOKUP(A2,INDIRECT(_xlfn.CONCAT("'",$J$1," (0)'!A:D")),4,FALSE),VLOOKUP(A2,INDIRECT(_xlfn.CONCAT("'",$J$1," (1)'!A:D")),4,FALSE),VLOOKUP(A2,INDIRECT(_xlfn.CONCAT("'",$J$1," (2)'!A:D")),4,FALSE),VLOOKUP(A2,INDIRECT(_xlfn.CONCAT("'",$J$1," (3)'!A:D")),4,FALSE),VLOOKUP(A2,INDIRECT(_xlfn.CONCAT("'",$J$1," (4)'!A:D")),4,FALSE))/5</f>
        <v>0.86642857142857144</v>
      </c>
      <c r="F2" s="3">
        <f t="shared" ref="F2:F16" ca="1" si="3">SUM(VLOOKUP(A2,INDIRECT(_xlfn.CONCAT("'",$J$1," (0)'!A:E")),5,FALSE),VLOOKUP(A2,INDIRECT(_xlfn.CONCAT("'",$J$1," (1)'!A:E")),5,FALSE),VLOOKUP(A2,INDIRECT(_xlfn.CONCAT("'",$J$1," (2)'!A:E")),5,FALSE),VLOOKUP(A2,INDIRECT(_xlfn.CONCAT("'",$J$1," (3)'!A:E")),5,FALSE),VLOOKUP(A2,INDIRECT(_xlfn.CONCAT("'",$J$1," (4)'!A:E")),5,FALSE))/5</f>
        <v>0.9571428571428573</v>
      </c>
      <c r="G2" s="3">
        <f t="shared" ref="G2:G16" ca="1" si="4">SUM(VLOOKUP(A2,INDIRECT(_xlfn.CONCAT("'",$J$1," (0)'!A:F")),6,FALSE),VLOOKUP(A2,INDIRECT(_xlfn.CONCAT("'",$J$1," (1)'!A:F")),6,FALSE),VLOOKUP(A2,INDIRECT(_xlfn.CONCAT("'",$J$1," (2)'!A:F")),6,FALSE),VLOOKUP(A2,INDIRECT(_xlfn.CONCAT("'",$J$1," (3)'!A:F")),6,FALSE),VLOOKUP(A2,INDIRECT(_xlfn.CONCAT("'",$J$1," (4)'!A:F")),6,FALSE))/5</f>
        <v>0.31513357290618987</v>
      </c>
      <c r="H2" s="3">
        <f t="shared" ref="H2:H16" ca="1" si="5">SUM(VLOOKUP(A2,INDIRECT(_xlfn.CONCAT("'",$J$1," (0)'!A:G")),7,FALSE),VLOOKUP(A2,INDIRECT(_xlfn.CONCAT("'",$J$1," (1)'!A:G")),7,FALSE),VLOOKUP(A2,INDIRECT(_xlfn.CONCAT("'",$J$1," (2)'!A:G")),7,FALSE),VLOOKUP(A2,INDIRECT(_xlfn.CONCAT("'",$J$1," (3)'!A:G")),7,FALSE),VLOOKUP(A2,INDIRECT(_xlfn.CONCAT("'",$J$1," (4)'!A:G")),7,FALSE))/5</f>
        <v>0.30990369648483307</v>
      </c>
    </row>
    <row r="3" spans="1:10" x14ac:dyDescent="0.25">
      <c r="A3" t="s">
        <v>8</v>
      </c>
      <c r="B3">
        <v>2</v>
      </c>
      <c r="C3" s="2">
        <f t="shared" ca="1" si="0"/>
        <v>0</v>
      </c>
      <c r="D3" s="3">
        <f t="shared" ca="1" si="1"/>
        <v>548.81428571428569</v>
      </c>
      <c r="E3" s="3">
        <f t="shared" ca="1" si="2"/>
        <v>0.79392857142857143</v>
      </c>
      <c r="F3" s="3">
        <f t="shared" ca="1" si="3"/>
        <v>1</v>
      </c>
      <c r="G3" s="3">
        <f t="shared" ca="1" si="4"/>
        <v>0.29972251131693556</v>
      </c>
      <c r="H3" s="3">
        <f t="shared" ca="1" si="5"/>
        <v>0.29985786602664249</v>
      </c>
    </row>
    <row r="4" spans="1:10" x14ac:dyDescent="0.25">
      <c r="A4" t="s">
        <v>9</v>
      </c>
      <c r="B4">
        <v>3</v>
      </c>
      <c r="C4" s="2">
        <f t="shared" ca="1" si="0"/>
        <v>0</v>
      </c>
      <c r="D4" s="3">
        <f t="shared" ca="1" si="1"/>
        <v>543.84285714285716</v>
      </c>
      <c r="E4" s="3">
        <f t="shared" ca="1" si="2"/>
        <v>0.89871428571428569</v>
      </c>
      <c r="F4" s="3">
        <f t="shared" ca="1" si="3"/>
        <v>1</v>
      </c>
      <c r="G4" s="3">
        <f t="shared" ca="1" si="4"/>
        <v>0.31770482660956445</v>
      </c>
      <c r="H4" s="3">
        <f t="shared" ca="1" si="5"/>
        <v>0.29519689165204704</v>
      </c>
    </row>
    <row r="5" spans="1:10" x14ac:dyDescent="0.25">
      <c r="A5" t="s">
        <v>13</v>
      </c>
      <c r="B5">
        <v>4</v>
      </c>
      <c r="C5" s="2">
        <f t="shared" ca="1" si="0"/>
        <v>0</v>
      </c>
      <c r="D5" s="3">
        <f t="shared" ca="1" si="1"/>
        <v>525.08571428571429</v>
      </c>
      <c r="E5" s="3">
        <f t="shared" ca="1" si="2"/>
        <v>0.72914285714285709</v>
      </c>
      <c r="F5" s="3">
        <f t="shared" ca="1" si="3"/>
        <v>1</v>
      </c>
      <c r="G5" s="3">
        <f t="shared" ca="1" si="4"/>
        <v>0.29199591952887172</v>
      </c>
      <c r="H5" s="3">
        <f t="shared" ca="1" si="5"/>
        <v>0.31551264877100282</v>
      </c>
    </row>
    <row r="6" spans="1:10" x14ac:dyDescent="0.25">
      <c r="A6" t="s">
        <v>12</v>
      </c>
      <c r="B6">
        <v>5</v>
      </c>
      <c r="C6" s="2">
        <f t="shared" ca="1" si="0"/>
        <v>0</v>
      </c>
      <c r="D6" s="3">
        <f t="shared" ca="1" si="1"/>
        <v>522.17142857142858</v>
      </c>
      <c r="E6" s="3">
        <f t="shared" ca="1" si="2"/>
        <v>1</v>
      </c>
      <c r="F6" s="3">
        <f t="shared" ca="1" si="3"/>
        <v>1</v>
      </c>
      <c r="G6" s="3">
        <f t="shared" ca="1" si="4"/>
        <v>0.32662198547197385</v>
      </c>
      <c r="H6" s="3">
        <f t="shared" ca="1" si="5"/>
        <v>0.25709080921786331</v>
      </c>
    </row>
    <row r="7" spans="1:10" x14ac:dyDescent="0.25">
      <c r="A7" t="s">
        <v>10</v>
      </c>
      <c r="B7">
        <v>6</v>
      </c>
      <c r="C7" s="2">
        <f t="shared" ca="1" si="0"/>
        <v>0</v>
      </c>
      <c r="D7" s="3">
        <f t="shared" ca="1" si="1"/>
        <v>519.78571428571433</v>
      </c>
      <c r="E7" s="3">
        <f t="shared" ca="1" si="2"/>
        <v>0.82207142857142868</v>
      </c>
      <c r="F7" s="3">
        <f t="shared" ca="1" si="3"/>
        <v>1</v>
      </c>
      <c r="G7" s="3">
        <f t="shared" ca="1" si="4"/>
        <v>0.31073444039326459</v>
      </c>
      <c r="H7" s="3">
        <f t="shared" ca="1" si="5"/>
        <v>0.32165290431966864</v>
      </c>
    </row>
    <row r="8" spans="1:10" x14ac:dyDescent="0.25">
      <c r="A8" t="s">
        <v>11</v>
      </c>
      <c r="B8">
        <v>7</v>
      </c>
      <c r="C8" s="2">
        <f t="shared" ca="1" si="0"/>
        <v>0</v>
      </c>
      <c r="D8" s="3">
        <f t="shared" ca="1" si="1"/>
        <v>514.05714285714282</v>
      </c>
      <c r="E8" s="3">
        <f t="shared" ca="1" si="2"/>
        <v>0.78342857142857147</v>
      </c>
      <c r="F8" s="3">
        <f t="shared" ca="1" si="3"/>
        <v>1</v>
      </c>
      <c r="G8" s="3">
        <f t="shared" ca="1" si="4"/>
        <v>0.30381541759123898</v>
      </c>
      <c r="H8" s="3">
        <f t="shared" ca="1" si="5"/>
        <v>0.32273233770866538</v>
      </c>
    </row>
    <row r="9" spans="1:10" x14ac:dyDescent="0.25">
      <c r="A9" t="s">
        <v>16</v>
      </c>
      <c r="B9">
        <v>8</v>
      </c>
      <c r="C9" s="2">
        <f t="shared" ca="1" si="0"/>
        <v>4.2857142857142858E-2</v>
      </c>
      <c r="D9" s="3">
        <f t="shared" ca="1" si="1"/>
        <v>507.97142857142859</v>
      </c>
      <c r="E9" s="3">
        <f t="shared" ca="1" si="2"/>
        <v>0.80764285714285722</v>
      </c>
      <c r="F9" s="3">
        <f t="shared" ca="1" si="3"/>
        <v>0.95714285714285707</v>
      </c>
      <c r="G9" s="3">
        <f t="shared" ca="1" si="4"/>
        <v>0.29840525231402043</v>
      </c>
      <c r="H9" s="3">
        <f t="shared" ca="1" si="5"/>
        <v>0.28578035198835078</v>
      </c>
    </row>
    <row r="10" spans="1:10" x14ac:dyDescent="0.25">
      <c r="A10" t="s">
        <v>15</v>
      </c>
      <c r="B10">
        <v>9</v>
      </c>
      <c r="C10" s="2">
        <f t="shared" ca="1" si="0"/>
        <v>8.5714285714285715E-2</v>
      </c>
      <c r="D10" s="3">
        <f t="shared" ca="1" si="1"/>
        <v>505.04285714285714</v>
      </c>
      <c r="E10" s="3">
        <f t="shared" ca="1" si="2"/>
        <v>0.65685714285714281</v>
      </c>
      <c r="F10" s="3">
        <f t="shared" ca="1" si="3"/>
        <v>0.91428571428571437</v>
      </c>
      <c r="G10" s="3">
        <f t="shared" ca="1" si="4"/>
        <v>0.27642721614905741</v>
      </c>
      <c r="H10" s="3">
        <f t="shared" ca="1" si="5"/>
        <v>0.30948099996599338</v>
      </c>
    </row>
    <row r="11" spans="1:10" x14ac:dyDescent="0.25">
      <c r="A11" t="s">
        <v>17</v>
      </c>
      <c r="B11">
        <v>10</v>
      </c>
      <c r="C11" s="2">
        <f t="shared" ca="1" si="0"/>
        <v>0.47142857142857142</v>
      </c>
      <c r="D11" s="3">
        <f t="shared" ca="1" si="1"/>
        <v>504.7</v>
      </c>
      <c r="E11" s="3">
        <f t="shared" ca="1" si="2"/>
        <v>0.49485714285714283</v>
      </c>
      <c r="F11" s="3">
        <f t="shared" ca="1" si="3"/>
        <v>0.52857142857142858</v>
      </c>
      <c r="G11" s="3">
        <f t="shared" ca="1" si="4"/>
        <v>0.17923271642722843</v>
      </c>
      <c r="H11" s="3">
        <f t="shared" ca="1" si="5"/>
        <v>6.9235399667408076E-2</v>
      </c>
    </row>
    <row r="12" spans="1:10" x14ac:dyDescent="0.25">
      <c r="A12" t="s">
        <v>19</v>
      </c>
      <c r="B12">
        <v>11</v>
      </c>
      <c r="C12" s="2">
        <f t="shared" ca="1" si="0"/>
        <v>0.45714285714285713</v>
      </c>
      <c r="D12" s="3">
        <f t="shared" ca="1" si="1"/>
        <v>502.98571428571427</v>
      </c>
      <c r="E12" s="3">
        <f t="shared" ca="1" si="2"/>
        <v>0.49464285714285711</v>
      </c>
      <c r="F12" s="3">
        <f t="shared" ca="1" si="3"/>
        <v>0.54285714285714282</v>
      </c>
      <c r="G12" s="3">
        <f t="shared" ca="1" si="4"/>
        <v>0.16157445614120933</v>
      </c>
      <c r="H12" s="3">
        <f t="shared" ca="1" si="5"/>
        <v>-3.3187796209822227E-3</v>
      </c>
    </row>
    <row r="13" spans="1:10" x14ac:dyDescent="0.25">
      <c r="A13" t="s">
        <v>14</v>
      </c>
      <c r="B13">
        <v>12</v>
      </c>
      <c r="C13" s="2">
        <f t="shared" ca="1" si="0"/>
        <v>7.1428571428571425E-2</v>
      </c>
      <c r="D13" s="3">
        <f t="shared" ca="1" si="1"/>
        <v>498.1142857142857</v>
      </c>
      <c r="E13" s="3">
        <f t="shared" ca="1" si="2"/>
        <v>0.66192857142857142</v>
      </c>
      <c r="F13" s="3">
        <f t="shared" ca="1" si="3"/>
        <v>0.9285714285714286</v>
      </c>
      <c r="G13" s="3">
        <f t="shared" ca="1" si="4"/>
        <v>0.27772187674119281</v>
      </c>
      <c r="H13" s="3">
        <f t="shared" ca="1" si="5"/>
        <v>0.31018371847841986</v>
      </c>
    </row>
    <row r="14" spans="1:10" x14ac:dyDescent="0.25">
      <c r="A14" t="s">
        <v>18</v>
      </c>
      <c r="B14">
        <v>13</v>
      </c>
      <c r="C14" s="2">
        <f t="shared" ca="1" si="0"/>
        <v>0.65714285714285714</v>
      </c>
      <c r="D14" s="3">
        <f t="shared" ca="1" si="1"/>
        <v>431.8857142857143</v>
      </c>
      <c r="E14" s="3">
        <f t="shared" ca="1" si="2"/>
        <v>0.35449999999999993</v>
      </c>
      <c r="F14" s="3">
        <f t="shared" ca="1" si="3"/>
        <v>0.34285714285714286</v>
      </c>
      <c r="G14" s="3">
        <f t="shared" ca="1" si="4"/>
        <v>0.13486885663902787</v>
      </c>
      <c r="H14" s="3">
        <f t="shared" ca="1" si="5"/>
        <v>-8.9509516856388083E-3</v>
      </c>
    </row>
    <row r="15" spans="1:10" x14ac:dyDescent="0.25">
      <c r="A15" t="s">
        <v>20</v>
      </c>
      <c r="B15">
        <v>14</v>
      </c>
      <c r="C15" s="2">
        <f t="shared" ca="1" si="0"/>
        <v>0.8571428571428571</v>
      </c>
      <c r="D15" s="3">
        <f t="shared" ca="1" si="1"/>
        <v>423.8</v>
      </c>
      <c r="E15" s="3">
        <f t="shared" ca="1" si="2"/>
        <v>0.27707142857142852</v>
      </c>
      <c r="F15" s="3">
        <f t="shared" ca="1" si="3"/>
        <v>0.14285714285714282</v>
      </c>
      <c r="G15" s="3">
        <f t="shared" ca="1" si="4"/>
        <v>9.8884532618897236E-2</v>
      </c>
      <c r="H15" s="3">
        <f t="shared" ca="1" si="5"/>
        <v>-9.0319367599749747E-2</v>
      </c>
    </row>
    <row r="16" spans="1:10" x14ac:dyDescent="0.25">
      <c r="A16" t="s">
        <v>21</v>
      </c>
      <c r="B16">
        <v>15</v>
      </c>
      <c r="C16" s="2">
        <f t="shared" ca="1" si="0"/>
        <v>0.9285714285714286</v>
      </c>
      <c r="D16" s="3">
        <f t="shared" ca="1" si="1"/>
        <v>420.02857142857141</v>
      </c>
      <c r="E16" s="3">
        <f t="shared" ca="1" si="2"/>
        <v>0</v>
      </c>
      <c r="F16" s="3">
        <f t="shared" ca="1" si="3"/>
        <v>7.1428571428571425E-2</v>
      </c>
      <c r="G16" s="3">
        <f t="shared" ca="1" si="4"/>
        <v>0</v>
      </c>
      <c r="H16" s="3">
        <f t="shared" ca="1" si="5"/>
        <v>-0.25709080921786331</v>
      </c>
    </row>
  </sheetData>
  <sortState xmlns:xlrd2="http://schemas.microsoft.com/office/spreadsheetml/2017/richdata2" ref="A2:H16">
    <sortCondition descending="1" ref="D2:D1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5922-CC38-454E-9C1B-47329BCE6FB6}">
  <dimension ref="A1:J16"/>
  <sheetViews>
    <sheetView workbookViewId="0">
      <selection activeCell="B1" sqref="B1:B16"/>
    </sheetView>
  </sheetViews>
  <sheetFormatPr defaultRowHeight="15" x14ac:dyDescent="0.25"/>
  <cols>
    <col min="1" max="2" width="18.7109375" bestFit="1" customWidth="1"/>
    <col min="3" max="3" width="10.7109375" bestFit="1" customWidth="1"/>
    <col min="4" max="4" width="17.85546875" bestFit="1" customWidth="1"/>
    <col min="5" max="5" width="18.28515625" bestFit="1" customWidth="1"/>
    <col min="6" max="6" width="16.28515625" bestFit="1" customWidth="1"/>
    <col min="7" max="8" width="17.5703125" bestFit="1" customWidth="1"/>
  </cols>
  <sheetData>
    <row r="1" spans="1:10" x14ac:dyDescent="0.25">
      <c r="A1" s="1" t="s">
        <v>0</v>
      </c>
      <c r="B1" s="1" t="s">
        <v>29</v>
      </c>
      <c r="C1" s="1" t="s">
        <v>1</v>
      </c>
      <c r="D1" s="1" t="s">
        <v>22</v>
      </c>
      <c r="E1" s="1" t="s">
        <v>3</v>
      </c>
      <c r="F1" s="1" t="s">
        <v>4</v>
      </c>
      <c r="G1" s="1" t="s">
        <v>5</v>
      </c>
      <c r="H1" s="1" t="s">
        <v>6</v>
      </c>
      <c r="J1">
        <v>7.5</v>
      </c>
    </row>
    <row r="2" spans="1:10" x14ac:dyDescent="0.25">
      <c r="A2" t="s">
        <v>8</v>
      </c>
      <c r="B2">
        <v>1</v>
      </c>
      <c r="C2" s="2">
        <f t="shared" ref="C2:C16" ca="1" si="0">SUM(VLOOKUP(A2,INDIRECT(_xlfn.CONCAT("'",$J$1," (0)'!A:B")),2,FALSE),VLOOKUP(A2,INDIRECT(_xlfn.CONCAT("'",$J$1," (1)'!A:B")),2,FALSE),VLOOKUP(A2,INDIRECT(_xlfn.CONCAT("'",$J$1," (2)'!A:B")),2,FALSE),VLOOKUP(A2,INDIRECT(_xlfn.CONCAT("'",$J$1," (3)'!A:B")),2,FALSE),VLOOKUP(A2,INDIRECT(_xlfn.CONCAT("'",$J$1," (4)'!A:B")),2,FALSE))/(14*5)</f>
        <v>0</v>
      </c>
      <c r="D2" s="3">
        <f t="shared" ref="D2:D16" ca="1" si="1">SUM(VLOOKUP(A2,INDIRECT(_xlfn.CONCAT("'",$J$1," (0)'!A:C")),3,FALSE),VLOOKUP(A2,INDIRECT(_xlfn.CONCAT("'",$J$1," (1)'!A:C")),3,FALSE),VLOOKUP(A2,INDIRECT(_xlfn.CONCAT("'",$J$1," (2)'!A:C")),3,FALSE),VLOOKUP(A2,INDIRECT(_xlfn.CONCAT("'",$J$1," (3)'!A:C")),3,FALSE),VLOOKUP(A2,INDIRECT(_xlfn.CONCAT("'",$J$1," (4)'!A:C")),3,FALSE))/(14*5)</f>
        <v>564.84285714285716</v>
      </c>
      <c r="E2" s="3">
        <f t="shared" ref="E2:E16" ca="1" si="2">SUM(VLOOKUP(A2,INDIRECT(_xlfn.CONCAT("'",$J$1," (0)'!A:D")),4,FALSE),VLOOKUP(A2,INDIRECT(_xlfn.CONCAT("'",$J$1," (1)'!A:D")),4,FALSE),VLOOKUP(A2,INDIRECT(_xlfn.CONCAT("'",$J$1," (2)'!A:D")),4,FALSE),VLOOKUP(A2,INDIRECT(_xlfn.CONCAT("'",$J$1," (3)'!A:D")),4,FALSE),VLOOKUP(A2,INDIRECT(_xlfn.CONCAT("'",$J$1," (4)'!A:D")),4,FALSE))/5</f>
        <v>0.80571428571428572</v>
      </c>
      <c r="F2" s="3">
        <f t="shared" ref="F2:F16" ca="1" si="3">SUM(VLOOKUP(A2,INDIRECT(_xlfn.CONCAT("'",$J$1," (0)'!A:E")),5,FALSE),VLOOKUP(A2,INDIRECT(_xlfn.CONCAT("'",$J$1," (1)'!A:E")),5,FALSE),VLOOKUP(A2,INDIRECT(_xlfn.CONCAT("'",$J$1," (2)'!A:E")),5,FALSE),VLOOKUP(A2,INDIRECT(_xlfn.CONCAT("'",$J$1," (3)'!A:E")),5,FALSE),VLOOKUP(A2,INDIRECT(_xlfn.CONCAT("'",$J$1," (4)'!A:E")),5,FALSE))/5</f>
        <v>1</v>
      </c>
      <c r="G2" s="3">
        <f t="shared" ref="G2:G16" ca="1" si="4">SUM(VLOOKUP(A2,INDIRECT(_xlfn.CONCAT("'",$J$1," (0)'!A:F")),6,FALSE),VLOOKUP(A2,INDIRECT(_xlfn.CONCAT("'",$J$1," (1)'!A:F")),6,FALSE),VLOOKUP(A2,INDIRECT(_xlfn.CONCAT("'",$J$1," (2)'!A:F")),6,FALSE),VLOOKUP(A2,INDIRECT(_xlfn.CONCAT("'",$J$1," (3)'!A:F")),6,FALSE),VLOOKUP(A2,INDIRECT(_xlfn.CONCAT("'",$J$1," (4)'!A:F")),6,FALSE))/5</f>
        <v>0.3005842050871706</v>
      </c>
      <c r="H2" s="3">
        <f t="shared" ref="H2:H16" ca="1" si="5">SUM(VLOOKUP(A2,INDIRECT(_xlfn.CONCAT("'",$J$1," (0)'!A:G")),7,FALSE),VLOOKUP(A2,INDIRECT(_xlfn.CONCAT("'",$J$1," (1)'!A:G")),7,FALSE),VLOOKUP(A2,INDIRECT(_xlfn.CONCAT("'",$J$1," (2)'!A:G")),7,FALSE),VLOOKUP(A2,INDIRECT(_xlfn.CONCAT("'",$J$1," (3)'!A:G")),7,FALSE),VLOOKUP(A2,INDIRECT(_xlfn.CONCAT("'",$J$1," (4)'!A:G")),7,FALSE))/5</f>
        <v>0.29698007578587166</v>
      </c>
    </row>
    <row r="3" spans="1:10" x14ac:dyDescent="0.25">
      <c r="A3" t="s">
        <v>7</v>
      </c>
      <c r="B3">
        <v>2</v>
      </c>
      <c r="C3" s="2">
        <f t="shared" ca="1" si="0"/>
        <v>4.2857142857142858E-2</v>
      </c>
      <c r="D3" s="3">
        <f t="shared" ca="1" si="1"/>
        <v>555.45000000000005</v>
      </c>
      <c r="E3" s="3">
        <f t="shared" ca="1" si="2"/>
        <v>0.86821428571428572</v>
      </c>
      <c r="F3" s="3">
        <f t="shared" ca="1" si="3"/>
        <v>0.9571428571428573</v>
      </c>
      <c r="G3" s="3">
        <f t="shared" ca="1" si="4"/>
        <v>0.31496533215722483</v>
      </c>
      <c r="H3" s="3">
        <f t="shared" ca="1" si="5"/>
        <v>0.31088942180035523</v>
      </c>
    </row>
    <row r="4" spans="1:10" x14ac:dyDescent="0.25">
      <c r="A4" t="s">
        <v>9</v>
      </c>
      <c r="B4">
        <v>3</v>
      </c>
      <c r="C4" s="2">
        <f t="shared" ca="1" si="0"/>
        <v>0</v>
      </c>
      <c r="D4" s="3">
        <f t="shared" ca="1" si="1"/>
        <v>542.79285714285709</v>
      </c>
      <c r="E4" s="3">
        <f t="shared" ca="1" si="2"/>
        <v>0.89678571428571419</v>
      </c>
      <c r="F4" s="3">
        <f t="shared" ca="1" si="3"/>
        <v>1</v>
      </c>
      <c r="G4" s="3">
        <f t="shared" ca="1" si="4"/>
        <v>0.31676674618273415</v>
      </c>
      <c r="H4" s="3">
        <f t="shared" ca="1" si="5"/>
        <v>0.29624502031058064</v>
      </c>
    </row>
    <row r="5" spans="1:10" x14ac:dyDescent="0.25">
      <c r="A5" t="s">
        <v>19</v>
      </c>
      <c r="B5">
        <v>4</v>
      </c>
      <c r="C5" s="2">
        <f t="shared" ca="1" si="0"/>
        <v>0.45714285714285713</v>
      </c>
      <c r="D5" s="3">
        <f t="shared" ca="1" si="1"/>
        <v>536.25714285714287</v>
      </c>
      <c r="E5" s="3">
        <f t="shared" ca="1" si="2"/>
        <v>0.49921428571428572</v>
      </c>
      <c r="F5" s="3">
        <f t="shared" ca="1" si="3"/>
        <v>0.54285714285714293</v>
      </c>
      <c r="G5" s="3">
        <f t="shared" ca="1" si="4"/>
        <v>0.16198851284991389</v>
      </c>
      <c r="H5" s="3">
        <f t="shared" ca="1" si="5"/>
        <v>-2.971926701251913E-3</v>
      </c>
    </row>
    <row r="6" spans="1:10" x14ac:dyDescent="0.25">
      <c r="A6" t="s">
        <v>13</v>
      </c>
      <c r="B6">
        <v>5</v>
      </c>
      <c r="C6" s="2">
        <f t="shared" ca="1" si="0"/>
        <v>0</v>
      </c>
      <c r="D6" s="3">
        <f t="shared" ca="1" si="1"/>
        <v>527.39285714285711</v>
      </c>
      <c r="E6" s="3">
        <f t="shared" ca="1" si="2"/>
        <v>0.72207142857142848</v>
      </c>
      <c r="F6" s="3">
        <f t="shared" ca="1" si="3"/>
        <v>1</v>
      </c>
      <c r="G6" s="3">
        <f t="shared" ca="1" si="4"/>
        <v>0.29013197949140695</v>
      </c>
      <c r="H6" s="3">
        <f t="shared" ca="1" si="5"/>
        <v>0.31516986057024754</v>
      </c>
    </row>
    <row r="7" spans="1:10" x14ac:dyDescent="0.25">
      <c r="A7" t="s">
        <v>10</v>
      </c>
      <c r="B7">
        <v>6</v>
      </c>
      <c r="C7" s="2">
        <f t="shared" ca="1" si="0"/>
        <v>0</v>
      </c>
      <c r="D7" s="3">
        <f t="shared" ca="1" si="1"/>
        <v>526.42857142857144</v>
      </c>
      <c r="E7" s="3">
        <f t="shared" ca="1" si="2"/>
        <v>0.83821428571428558</v>
      </c>
      <c r="F7" s="3">
        <f t="shared" ca="1" si="3"/>
        <v>1</v>
      </c>
      <c r="G7" s="3">
        <f t="shared" ca="1" si="4"/>
        <v>0.31299872891683456</v>
      </c>
      <c r="H7" s="3">
        <f t="shared" ca="1" si="5"/>
        <v>0.32207549802640462</v>
      </c>
    </row>
    <row r="8" spans="1:10" x14ac:dyDescent="0.25">
      <c r="A8" t="s">
        <v>11</v>
      </c>
      <c r="B8">
        <v>7</v>
      </c>
      <c r="C8" s="2">
        <f t="shared" ca="1" si="0"/>
        <v>0</v>
      </c>
      <c r="D8" s="3">
        <f t="shared" ca="1" si="1"/>
        <v>524.07857142857142</v>
      </c>
      <c r="E8" s="3">
        <f t="shared" ca="1" si="2"/>
        <v>0.79914285714285715</v>
      </c>
      <c r="F8" s="3">
        <f t="shared" ca="1" si="3"/>
        <v>1</v>
      </c>
      <c r="G8" s="3">
        <f t="shared" ca="1" si="4"/>
        <v>0.30586838758552015</v>
      </c>
      <c r="H8" s="3">
        <f t="shared" ca="1" si="5"/>
        <v>0.32253353887058117</v>
      </c>
    </row>
    <row r="9" spans="1:10" x14ac:dyDescent="0.25">
      <c r="A9" t="s">
        <v>12</v>
      </c>
      <c r="B9">
        <v>8</v>
      </c>
      <c r="C9" s="2">
        <f t="shared" ca="1" si="0"/>
        <v>0</v>
      </c>
      <c r="D9" s="3">
        <f t="shared" ca="1" si="1"/>
        <v>523.84285714285716</v>
      </c>
      <c r="E9" s="3">
        <f t="shared" ca="1" si="2"/>
        <v>1</v>
      </c>
      <c r="F9" s="3">
        <f t="shared" ca="1" si="3"/>
        <v>1</v>
      </c>
      <c r="G9" s="3">
        <f t="shared" ca="1" si="4"/>
        <v>0.32596474519280638</v>
      </c>
      <c r="H9" s="3">
        <f t="shared" ca="1" si="5"/>
        <v>0.25819731421282033</v>
      </c>
    </row>
    <row r="10" spans="1:10" x14ac:dyDescent="0.25">
      <c r="A10" t="s">
        <v>16</v>
      </c>
      <c r="B10">
        <v>9</v>
      </c>
      <c r="C10" s="2">
        <f t="shared" ca="1" si="0"/>
        <v>2.8571428571428571E-2</v>
      </c>
      <c r="D10" s="3">
        <f t="shared" ca="1" si="1"/>
        <v>511.44285714285712</v>
      </c>
      <c r="E10" s="3">
        <f t="shared" ca="1" si="2"/>
        <v>0.80428571428571427</v>
      </c>
      <c r="F10" s="3">
        <f t="shared" ca="1" si="3"/>
        <v>0.97142857142857153</v>
      </c>
      <c r="G10" s="3">
        <f t="shared" ca="1" si="4"/>
        <v>0.29711355473455897</v>
      </c>
      <c r="H10" s="3">
        <f t="shared" ca="1" si="5"/>
        <v>0.28530363902903538</v>
      </c>
    </row>
    <row r="11" spans="1:10" x14ac:dyDescent="0.25">
      <c r="A11" t="s">
        <v>17</v>
      </c>
      <c r="B11">
        <v>10</v>
      </c>
      <c r="C11" s="2">
        <f t="shared" ca="1" si="0"/>
        <v>0.48571428571428571</v>
      </c>
      <c r="D11" s="3">
        <f t="shared" ca="1" si="1"/>
        <v>509.04285714285714</v>
      </c>
      <c r="E11" s="3">
        <f t="shared" ca="1" si="2"/>
        <v>0.47400000000000003</v>
      </c>
      <c r="F11" s="3">
        <f t="shared" ca="1" si="3"/>
        <v>0.51428571428571423</v>
      </c>
      <c r="G11" s="3">
        <f t="shared" ca="1" si="4"/>
        <v>0.17696402714771514</v>
      </c>
      <c r="H11" s="3">
        <f t="shared" ca="1" si="5"/>
        <v>7.4922128575806227E-2</v>
      </c>
    </row>
    <row r="12" spans="1:10" x14ac:dyDescent="0.25">
      <c r="A12" t="s">
        <v>15</v>
      </c>
      <c r="B12">
        <v>11</v>
      </c>
      <c r="C12" s="2">
        <f t="shared" ca="1" si="0"/>
        <v>8.5714285714285715E-2</v>
      </c>
      <c r="D12" s="3">
        <f t="shared" ca="1" si="1"/>
        <v>506.80714285714288</v>
      </c>
      <c r="E12" s="3">
        <f t="shared" ca="1" si="2"/>
        <v>0.65199999999999991</v>
      </c>
      <c r="F12" s="3">
        <f t="shared" ca="1" si="3"/>
        <v>0.91428571428571426</v>
      </c>
      <c r="G12" s="3">
        <f t="shared" ca="1" si="4"/>
        <v>0.27504614228081375</v>
      </c>
      <c r="H12" s="3">
        <f t="shared" ca="1" si="5"/>
        <v>0.30837569993353731</v>
      </c>
    </row>
    <row r="13" spans="1:10" x14ac:dyDescent="0.25">
      <c r="A13" t="s">
        <v>14</v>
      </c>
      <c r="B13">
        <v>12</v>
      </c>
      <c r="C13" s="2">
        <f t="shared" ca="1" si="0"/>
        <v>7.1428571428571425E-2</v>
      </c>
      <c r="D13" s="3">
        <f t="shared" ca="1" si="1"/>
        <v>502.8857142857143</v>
      </c>
      <c r="E13" s="3">
        <f t="shared" ca="1" si="2"/>
        <v>0.66350000000000009</v>
      </c>
      <c r="F13" s="3">
        <f t="shared" ca="1" si="3"/>
        <v>0.9285714285714286</v>
      </c>
      <c r="G13" s="3">
        <f t="shared" ca="1" si="4"/>
        <v>0.27744244836465759</v>
      </c>
      <c r="H13" s="3">
        <f t="shared" ca="1" si="5"/>
        <v>0.30854284651855757</v>
      </c>
    </row>
    <row r="14" spans="1:10" x14ac:dyDescent="0.25">
      <c r="A14" t="s">
        <v>18</v>
      </c>
      <c r="B14">
        <v>13</v>
      </c>
      <c r="C14" s="2">
        <f t="shared" ca="1" si="0"/>
        <v>0.67142857142857137</v>
      </c>
      <c r="D14" s="3">
        <f t="shared" ca="1" si="1"/>
        <v>457.27142857142854</v>
      </c>
      <c r="E14" s="3">
        <f t="shared" ca="1" si="2"/>
        <v>0.37328571428571428</v>
      </c>
      <c r="F14" s="3">
        <f t="shared" ca="1" si="3"/>
        <v>0.32857142857142863</v>
      </c>
      <c r="G14" s="3">
        <f t="shared" ca="1" si="4"/>
        <v>0.14176004602487993</v>
      </c>
      <c r="H14" s="3">
        <f t="shared" ca="1" si="5"/>
        <v>3.3289189907697745E-3</v>
      </c>
    </row>
    <row r="15" spans="1:10" x14ac:dyDescent="0.25">
      <c r="A15" t="s">
        <v>21</v>
      </c>
      <c r="B15">
        <v>14</v>
      </c>
      <c r="C15" s="2">
        <f t="shared" ca="1" si="0"/>
        <v>0.9285714285714286</v>
      </c>
      <c r="D15" s="3">
        <f t="shared" ca="1" si="1"/>
        <v>442.07857142857142</v>
      </c>
      <c r="E15" s="3">
        <f t="shared" ca="1" si="2"/>
        <v>0</v>
      </c>
      <c r="F15" s="3">
        <f t="shared" ca="1" si="3"/>
        <v>7.1428571428571425E-2</v>
      </c>
      <c r="G15" s="3">
        <f t="shared" ca="1" si="4"/>
        <v>0</v>
      </c>
      <c r="H15" s="3">
        <f t="shared" ca="1" si="5"/>
        <v>-0.25819731421282033</v>
      </c>
    </row>
    <row r="16" spans="1:10" x14ac:dyDescent="0.25">
      <c r="A16" t="s">
        <v>20</v>
      </c>
      <c r="B16">
        <v>15</v>
      </c>
      <c r="C16" s="2">
        <f t="shared" ca="1" si="0"/>
        <v>0.77142857142857146</v>
      </c>
      <c r="D16" s="3">
        <f t="shared" ca="1" si="1"/>
        <v>423.37857142857143</v>
      </c>
      <c r="E16" s="3">
        <f t="shared" ca="1" si="2"/>
        <v>0.26092857142857145</v>
      </c>
      <c r="F16" s="3">
        <f t="shared" ca="1" si="3"/>
        <v>0.22857142857142856</v>
      </c>
      <c r="G16" s="3">
        <f t="shared" ca="1" si="4"/>
        <v>9.5749862164210095E-2</v>
      </c>
      <c r="H16" s="3">
        <f t="shared" ca="1" si="5"/>
        <v>-9.0427013955308694E-2</v>
      </c>
    </row>
  </sheetData>
  <sortState xmlns:xlrd2="http://schemas.microsoft.com/office/spreadsheetml/2017/richdata2" ref="A2:H16">
    <sortCondition descending="1" ref="D2:D1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046D-C89B-4880-B6B7-63FF5C786049}">
  <dimension ref="A1:J16"/>
  <sheetViews>
    <sheetView workbookViewId="0">
      <selection activeCell="B1" sqref="B1:B16"/>
    </sheetView>
  </sheetViews>
  <sheetFormatPr defaultRowHeight="15" x14ac:dyDescent="0.25"/>
  <cols>
    <col min="1" max="2" width="18.7109375" bestFit="1" customWidth="1"/>
    <col min="3" max="3" width="10.7109375" bestFit="1" customWidth="1"/>
    <col min="4" max="4" width="17.85546875" bestFit="1" customWidth="1"/>
    <col min="5" max="5" width="18.28515625" bestFit="1" customWidth="1"/>
    <col min="6" max="6" width="16.28515625" bestFit="1" customWidth="1"/>
    <col min="7" max="8" width="17.5703125" bestFit="1" customWidth="1"/>
  </cols>
  <sheetData>
    <row r="1" spans="1:10" x14ac:dyDescent="0.25">
      <c r="A1" s="1" t="s">
        <v>0</v>
      </c>
      <c r="B1" s="1" t="s">
        <v>29</v>
      </c>
      <c r="C1" s="1" t="s">
        <v>1</v>
      </c>
      <c r="D1" s="1" t="s">
        <v>22</v>
      </c>
      <c r="E1" s="1" t="s">
        <v>3</v>
      </c>
      <c r="F1" s="1" t="s">
        <v>4</v>
      </c>
      <c r="G1" s="1" t="s">
        <v>5</v>
      </c>
      <c r="H1" s="1" t="s">
        <v>6</v>
      </c>
      <c r="J1">
        <v>8</v>
      </c>
    </row>
    <row r="2" spans="1:10" x14ac:dyDescent="0.25">
      <c r="A2" t="s">
        <v>7</v>
      </c>
      <c r="B2">
        <v>1</v>
      </c>
      <c r="C2" s="2">
        <f t="shared" ref="C2:C16" ca="1" si="0">SUM(VLOOKUP(A2,INDIRECT(_xlfn.CONCAT("'",$J$1," (0)'!A:B")),2,FALSE),VLOOKUP(A2,INDIRECT(_xlfn.CONCAT("'",$J$1," (1)'!A:B")),2,FALSE),VLOOKUP(A2,INDIRECT(_xlfn.CONCAT("'",$J$1," (2)'!A:B")),2,FALSE),VLOOKUP(A2,INDIRECT(_xlfn.CONCAT("'",$J$1," (3)'!A:B")),2,FALSE),VLOOKUP(A2,INDIRECT(_xlfn.CONCAT("'",$J$1," (4)'!A:B")),2,FALSE))/(14*5)</f>
        <v>8.5714285714285715E-2</v>
      </c>
      <c r="D2" s="3">
        <f t="shared" ref="D2:D16" ca="1" si="1">SUM(VLOOKUP(A2,INDIRECT(_xlfn.CONCAT("'",$J$1," (0)'!A:C")),3,FALSE),VLOOKUP(A2,INDIRECT(_xlfn.CONCAT("'",$J$1," (1)'!A:C")),3,FALSE),VLOOKUP(A2,INDIRECT(_xlfn.CONCAT("'",$J$1," (2)'!A:C")),3,FALSE),VLOOKUP(A2,INDIRECT(_xlfn.CONCAT("'",$J$1," (3)'!A:C")),3,FALSE),VLOOKUP(A2,INDIRECT(_xlfn.CONCAT("'",$J$1," (4)'!A:C")),3,FALSE))/(14*5)</f>
        <v>573.2714285714286</v>
      </c>
      <c r="E2" s="3">
        <f t="shared" ref="E2:E16" ca="1" si="2">SUM(VLOOKUP(A2,INDIRECT(_xlfn.CONCAT("'",$J$1," (0)'!A:D")),4,FALSE),VLOOKUP(A2,INDIRECT(_xlfn.CONCAT("'",$J$1," (1)'!A:D")),4,FALSE),VLOOKUP(A2,INDIRECT(_xlfn.CONCAT("'",$J$1," (2)'!A:D")),4,FALSE),VLOOKUP(A2,INDIRECT(_xlfn.CONCAT("'",$J$1," (3)'!A:D")),4,FALSE),VLOOKUP(A2,INDIRECT(_xlfn.CONCAT("'",$J$1," (4)'!A:D")),4,FALSE))/5</f>
        <v>0.82814285714285718</v>
      </c>
      <c r="F2" s="3">
        <f t="shared" ref="F2:F16" ca="1" si="3">SUM(VLOOKUP(A2,INDIRECT(_xlfn.CONCAT("'",$J$1," (0)'!A:E")),5,FALSE),VLOOKUP(A2,INDIRECT(_xlfn.CONCAT("'",$J$1," (1)'!A:E")),5,FALSE),VLOOKUP(A2,INDIRECT(_xlfn.CONCAT("'",$J$1," (2)'!A:E")),5,FALSE),VLOOKUP(A2,INDIRECT(_xlfn.CONCAT("'",$J$1," (3)'!A:E")),5,FALSE),VLOOKUP(A2,INDIRECT(_xlfn.CONCAT("'",$J$1," (4)'!A:E")),5,FALSE))/5</f>
        <v>0.91428571428571437</v>
      </c>
      <c r="G2" s="3">
        <f t="shared" ref="G2:G16" ca="1" si="4">SUM(VLOOKUP(A2,INDIRECT(_xlfn.CONCAT("'",$J$1," (0)'!A:F")),6,FALSE),VLOOKUP(A2,INDIRECT(_xlfn.CONCAT("'",$J$1," (1)'!A:F")),6,FALSE),VLOOKUP(A2,INDIRECT(_xlfn.CONCAT("'",$J$1," (2)'!A:F")),6,FALSE),VLOOKUP(A2,INDIRECT(_xlfn.CONCAT("'",$J$1," (3)'!A:F")),6,FALSE),VLOOKUP(A2,INDIRECT(_xlfn.CONCAT("'",$J$1," (4)'!A:F")),6,FALSE))/5</f>
        <v>0.30904095653928287</v>
      </c>
      <c r="H2" s="3">
        <f t="shared" ref="H2:H16" ca="1" si="5">SUM(VLOOKUP(A2,INDIRECT(_xlfn.CONCAT("'",$J$1," (0)'!A:G")),7,FALSE),VLOOKUP(A2,INDIRECT(_xlfn.CONCAT("'",$J$1," (1)'!A:G")),7,FALSE),VLOOKUP(A2,INDIRECT(_xlfn.CONCAT("'",$J$1," (2)'!A:G")),7,FALSE),VLOOKUP(A2,INDIRECT(_xlfn.CONCAT("'",$J$1," (3)'!A:G")),7,FALSE),VLOOKUP(A2,INDIRECT(_xlfn.CONCAT("'",$J$1," (4)'!A:G")),7,FALSE))/5</f>
        <v>0.31367782140341116</v>
      </c>
    </row>
    <row r="3" spans="1:10" x14ac:dyDescent="0.25">
      <c r="A3" t="s">
        <v>8</v>
      </c>
      <c r="B3">
        <v>2</v>
      </c>
      <c r="C3" s="2">
        <f t="shared" ca="1" si="0"/>
        <v>0</v>
      </c>
      <c r="D3" s="3">
        <f t="shared" ca="1" si="1"/>
        <v>573.25714285714287</v>
      </c>
      <c r="E3" s="3">
        <f t="shared" ca="1" si="2"/>
        <v>0.80085714285714293</v>
      </c>
      <c r="F3" s="3">
        <f t="shared" ca="1" si="3"/>
        <v>1</v>
      </c>
      <c r="G3" s="3">
        <f t="shared" ca="1" si="4"/>
        <v>0.30060534705001207</v>
      </c>
      <c r="H3" s="3">
        <f t="shared" ca="1" si="5"/>
        <v>0.29700684745380579</v>
      </c>
    </row>
    <row r="4" spans="1:10" x14ac:dyDescent="0.25">
      <c r="A4" t="s">
        <v>9</v>
      </c>
      <c r="B4">
        <v>3</v>
      </c>
      <c r="C4" s="2">
        <f t="shared" ca="1" si="0"/>
        <v>0</v>
      </c>
      <c r="D4" s="3">
        <f t="shared" ca="1" si="1"/>
        <v>547.14285714285711</v>
      </c>
      <c r="E4" s="3">
        <f t="shared" ca="1" si="2"/>
        <v>0.89742857142857135</v>
      </c>
      <c r="F4" s="3">
        <f t="shared" ca="1" si="3"/>
        <v>1</v>
      </c>
      <c r="G4" s="3">
        <f t="shared" ca="1" si="4"/>
        <v>0.31721978625601921</v>
      </c>
      <c r="H4" s="3">
        <f t="shared" ca="1" si="5"/>
        <v>0.29314172449004816</v>
      </c>
    </row>
    <row r="5" spans="1:10" x14ac:dyDescent="0.25">
      <c r="A5" t="s">
        <v>19</v>
      </c>
      <c r="B5">
        <v>4</v>
      </c>
      <c r="C5" s="2">
        <f t="shared" ca="1" si="0"/>
        <v>0.48571428571428571</v>
      </c>
      <c r="D5" s="3">
        <f t="shared" ca="1" si="1"/>
        <v>543.04285714285709</v>
      </c>
      <c r="E5" s="3">
        <f t="shared" ca="1" si="2"/>
        <v>0.49907142857142855</v>
      </c>
      <c r="F5" s="3">
        <f t="shared" ca="1" si="3"/>
        <v>0.51428571428571423</v>
      </c>
      <c r="G5" s="3">
        <f t="shared" ca="1" si="4"/>
        <v>0.16321805598615546</v>
      </c>
      <c r="H5" s="3">
        <f t="shared" ca="1" si="5"/>
        <v>1.1000913872129721E-3</v>
      </c>
    </row>
    <row r="6" spans="1:10" x14ac:dyDescent="0.25">
      <c r="A6" t="s">
        <v>13</v>
      </c>
      <c r="B6">
        <v>5</v>
      </c>
      <c r="C6" s="2">
        <f t="shared" ca="1" si="0"/>
        <v>0</v>
      </c>
      <c r="D6" s="3">
        <f t="shared" ca="1" si="1"/>
        <v>533.37142857142862</v>
      </c>
      <c r="E6" s="3">
        <f t="shared" ca="1" si="2"/>
        <v>0.72349999999999992</v>
      </c>
      <c r="F6" s="3">
        <f t="shared" ca="1" si="3"/>
        <v>1</v>
      </c>
      <c r="G6" s="3">
        <f t="shared" ca="1" si="4"/>
        <v>0.29131146356553239</v>
      </c>
      <c r="H6" s="3">
        <f t="shared" ca="1" si="5"/>
        <v>0.31537340325288088</v>
      </c>
    </row>
    <row r="7" spans="1:10" x14ac:dyDescent="0.25">
      <c r="A7" t="s">
        <v>10</v>
      </c>
      <c r="B7">
        <v>6</v>
      </c>
      <c r="C7" s="2">
        <f t="shared" ca="1" si="0"/>
        <v>0</v>
      </c>
      <c r="D7" s="3">
        <f t="shared" ca="1" si="1"/>
        <v>526.1</v>
      </c>
      <c r="E7" s="3">
        <f t="shared" ca="1" si="2"/>
        <v>0.83742857142857141</v>
      </c>
      <c r="F7" s="3">
        <f t="shared" ca="1" si="3"/>
        <v>1</v>
      </c>
      <c r="G7" s="3">
        <f t="shared" ca="1" si="4"/>
        <v>0.31384580327905409</v>
      </c>
      <c r="H7" s="3">
        <f t="shared" ca="1" si="5"/>
        <v>0.32166019334902757</v>
      </c>
    </row>
    <row r="8" spans="1:10" x14ac:dyDescent="0.25">
      <c r="A8" t="s">
        <v>12</v>
      </c>
      <c r="B8">
        <v>7</v>
      </c>
      <c r="C8" s="2">
        <f t="shared" ca="1" si="0"/>
        <v>0</v>
      </c>
      <c r="D8" s="3">
        <f t="shared" ca="1" si="1"/>
        <v>523.07142857142856</v>
      </c>
      <c r="E8" s="3">
        <f t="shared" ca="1" si="2"/>
        <v>1</v>
      </c>
      <c r="F8" s="3">
        <f t="shared" ca="1" si="3"/>
        <v>1</v>
      </c>
      <c r="G8" s="3">
        <f t="shared" ca="1" si="4"/>
        <v>0.32671012697242718</v>
      </c>
      <c r="H8" s="3">
        <f t="shared" ca="1" si="5"/>
        <v>0.2566578314096094</v>
      </c>
    </row>
    <row r="9" spans="1:10" x14ac:dyDescent="0.25">
      <c r="A9" t="s">
        <v>11</v>
      </c>
      <c r="B9">
        <v>8</v>
      </c>
      <c r="C9" s="2">
        <f t="shared" ca="1" si="0"/>
        <v>0</v>
      </c>
      <c r="D9" s="3">
        <f t="shared" ca="1" si="1"/>
        <v>521.07142857142856</v>
      </c>
      <c r="E9" s="3">
        <f t="shared" ca="1" si="2"/>
        <v>0.79214285714285715</v>
      </c>
      <c r="F9" s="3">
        <f t="shared" ca="1" si="3"/>
        <v>1</v>
      </c>
      <c r="G9" s="3">
        <f t="shared" ca="1" si="4"/>
        <v>0.30582497264386682</v>
      </c>
      <c r="H9" s="3">
        <f t="shared" ca="1" si="5"/>
        <v>0.32280473399330667</v>
      </c>
    </row>
    <row r="10" spans="1:10" x14ac:dyDescent="0.25">
      <c r="A10" t="s">
        <v>16</v>
      </c>
      <c r="B10">
        <v>9</v>
      </c>
      <c r="C10" s="2">
        <f t="shared" ca="1" si="0"/>
        <v>4.2857142857142858E-2</v>
      </c>
      <c r="D10" s="3">
        <f t="shared" ca="1" si="1"/>
        <v>519.6</v>
      </c>
      <c r="E10" s="3">
        <f t="shared" ca="1" si="2"/>
        <v>0.80442857142857138</v>
      </c>
      <c r="F10" s="3">
        <f t="shared" ca="1" si="3"/>
        <v>0.95714285714285707</v>
      </c>
      <c r="G10" s="3">
        <f t="shared" ca="1" si="4"/>
        <v>0.29777416375268484</v>
      </c>
      <c r="H10" s="3">
        <f t="shared" ca="1" si="5"/>
        <v>0.28462128358328331</v>
      </c>
    </row>
    <row r="11" spans="1:10" x14ac:dyDescent="0.25">
      <c r="A11" t="s">
        <v>17</v>
      </c>
      <c r="B11">
        <v>10</v>
      </c>
      <c r="C11" s="2">
        <f t="shared" ca="1" si="0"/>
        <v>0.44285714285714284</v>
      </c>
      <c r="D11" s="3">
        <f t="shared" ca="1" si="1"/>
        <v>516.7285714285714</v>
      </c>
      <c r="E11" s="3">
        <f t="shared" ca="1" si="2"/>
        <v>0.49942857142857139</v>
      </c>
      <c r="F11" s="3">
        <f t="shared" ca="1" si="3"/>
        <v>0.55714285714285716</v>
      </c>
      <c r="G11" s="3">
        <f t="shared" ca="1" si="4"/>
        <v>0.18187506746586588</v>
      </c>
      <c r="H11" s="3">
        <f t="shared" ca="1" si="5"/>
        <v>7.4401997457488656E-2</v>
      </c>
    </row>
    <row r="12" spans="1:10" x14ac:dyDescent="0.25">
      <c r="A12" t="s">
        <v>15</v>
      </c>
      <c r="B12">
        <v>11</v>
      </c>
      <c r="C12" s="2">
        <f t="shared" ca="1" si="0"/>
        <v>8.5714285714285715E-2</v>
      </c>
      <c r="D12" s="3">
        <f t="shared" ca="1" si="1"/>
        <v>513.79999999999995</v>
      </c>
      <c r="E12" s="3">
        <f t="shared" ca="1" si="2"/>
        <v>0.65492857142857142</v>
      </c>
      <c r="F12" s="3">
        <f t="shared" ca="1" si="3"/>
        <v>0.91428571428571437</v>
      </c>
      <c r="G12" s="3">
        <f t="shared" ca="1" si="4"/>
        <v>0.27612701983379623</v>
      </c>
      <c r="H12" s="3">
        <f t="shared" ca="1" si="5"/>
        <v>0.30801070181941437</v>
      </c>
    </row>
    <row r="13" spans="1:10" x14ac:dyDescent="0.25">
      <c r="A13" t="s">
        <v>14</v>
      </c>
      <c r="B13">
        <v>12</v>
      </c>
      <c r="C13" s="2">
        <f t="shared" ca="1" si="0"/>
        <v>7.1428571428571425E-2</v>
      </c>
      <c r="D13" s="3">
        <f t="shared" ca="1" si="1"/>
        <v>504.02857142857141</v>
      </c>
      <c r="E13" s="3">
        <f t="shared" ca="1" si="2"/>
        <v>0.65864285714285709</v>
      </c>
      <c r="F13" s="3">
        <f t="shared" ca="1" si="3"/>
        <v>0.9285714285714286</v>
      </c>
      <c r="G13" s="3">
        <f t="shared" ca="1" si="4"/>
        <v>0.27713739107738078</v>
      </c>
      <c r="H13" s="3">
        <f t="shared" ca="1" si="5"/>
        <v>0.3086020626052291</v>
      </c>
    </row>
    <row r="14" spans="1:10" x14ac:dyDescent="0.25">
      <c r="A14" t="s">
        <v>18</v>
      </c>
      <c r="B14">
        <v>13</v>
      </c>
      <c r="C14" s="2">
        <f t="shared" ca="1" si="0"/>
        <v>0.6428571428571429</v>
      </c>
      <c r="D14" s="3">
        <f t="shared" ca="1" si="1"/>
        <v>463.51428571428573</v>
      </c>
      <c r="E14" s="3">
        <f t="shared" ca="1" si="2"/>
        <v>0.36692857142857138</v>
      </c>
      <c r="F14" s="3">
        <f t="shared" ca="1" si="3"/>
        <v>0.35714285714285721</v>
      </c>
      <c r="G14" s="3">
        <f t="shared" ca="1" si="4"/>
        <v>0.1389241104480998</v>
      </c>
      <c r="H14" s="3">
        <f t="shared" ca="1" si="5"/>
        <v>-1.4450885616776982E-3</v>
      </c>
    </row>
    <row r="15" spans="1:10" x14ac:dyDescent="0.25">
      <c r="A15" t="s">
        <v>21</v>
      </c>
      <c r="B15">
        <v>14</v>
      </c>
      <c r="C15" s="2">
        <f t="shared" ca="1" si="0"/>
        <v>0.9285714285714286</v>
      </c>
      <c r="D15" s="3">
        <f t="shared" ca="1" si="1"/>
        <v>461.1</v>
      </c>
      <c r="E15" s="3">
        <f t="shared" ca="1" si="2"/>
        <v>0</v>
      </c>
      <c r="F15" s="3">
        <f t="shared" ca="1" si="3"/>
        <v>7.1428571428571425E-2</v>
      </c>
      <c r="G15" s="3">
        <f t="shared" ca="1" si="4"/>
        <v>0</v>
      </c>
      <c r="H15" s="3">
        <f t="shared" ca="1" si="5"/>
        <v>-0.2566578314096094</v>
      </c>
    </row>
    <row r="16" spans="1:10" x14ac:dyDescent="0.25">
      <c r="A16" t="s">
        <v>20</v>
      </c>
      <c r="B16">
        <v>15</v>
      </c>
      <c r="C16" s="2">
        <f t="shared" ca="1" si="0"/>
        <v>0.77142857142857146</v>
      </c>
      <c r="D16" s="3">
        <f t="shared" ca="1" si="1"/>
        <v>436.24285714285713</v>
      </c>
      <c r="E16" s="3">
        <f t="shared" ca="1" si="2"/>
        <v>0.25442857142857139</v>
      </c>
      <c r="F16" s="3">
        <f t="shared" ca="1" si="3"/>
        <v>0.22857142857142856</v>
      </c>
      <c r="G16" s="3">
        <f t="shared" ca="1" si="4"/>
        <v>9.2139724596825581E-2</v>
      </c>
      <c r="H16" s="3">
        <f t="shared" ca="1" si="5"/>
        <v>-0.10013538005623952</v>
      </c>
    </row>
  </sheetData>
  <sortState xmlns:xlrd2="http://schemas.microsoft.com/office/spreadsheetml/2017/richdata2" ref="A2:H16">
    <sortCondition descending="1" ref="D2:D1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78F7F-5DDA-4230-BF6B-A08E30B33DA6}">
  <dimension ref="A1:J16"/>
  <sheetViews>
    <sheetView workbookViewId="0">
      <selection activeCell="B1" sqref="B1:B16"/>
    </sheetView>
  </sheetViews>
  <sheetFormatPr defaultRowHeight="15" x14ac:dyDescent="0.25"/>
  <cols>
    <col min="1" max="2" width="18.7109375" bestFit="1" customWidth="1"/>
    <col min="3" max="3" width="10.7109375" bestFit="1" customWidth="1"/>
    <col min="4" max="4" width="17.85546875" bestFit="1" customWidth="1"/>
    <col min="5" max="5" width="18.28515625" bestFit="1" customWidth="1"/>
    <col min="6" max="6" width="16.28515625" bestFit="1" customWidth="1"/>
    <col min="7" max="8" width="17.5703125" bestFit="1" customWidth="1"/>
  </cols>
  <sheetData>
    <row r="1" spans="1:10" x14ac:dyDescent="0.25">
      <c r="A1" s="1" t="s">
        <v>0</v>
      </c>
      <c r="B1" s="1" t="s">
        <v>29</v>
      </c>
      <c r="C1" s="1" t="s">
        <v>1</v>
      </c>
      <c r="D1" s="1" t="s">
        <v>22</v>
      </c>
      <c r="E1" s="1" t="s">
        <v>3</v>
      </c>
      <c r="F1" s="1" t="s">
        <v>4</v>
      </c>
      <c r="G1" s="1" t="s">
        <v>5</v>
      </c>
      <c r="H1" s="1" t="s">
        <v>6</v>
      </c>
      <c r="J1">
        <v>8.5</v>
      </c>
    </row>
    <row r="2" spans="1:10" x14ac:dyDescent="0.25">
      <c r="A2" t="s">
        <v>8</v>
      </c>
      <c r="B2">
        <v>1</v>
      </c>
      <c r="C2" s="2">
        <f t="shared" ref="C2:C16" ca="1" si="0">SUM(VLOOKUP(A2,INDIRECT(_xlfn.CONCAT("'",$J$1," (0)'!A:B")),2,FALSE),VLOOKUP(A2,INDIRECT(_xlfn.CONCAT("'",$J$1," (1)'!A:B")),2,FALSE),VLOOKUP(A2,INDIRECT(_xlfn.CONCAT("'",$J$1," (2)'!A:B")),2,FALSE),VLOOKUP(A2,INDIRECT(_xlfn.CONCAT("'",$J$1," (3)'!A:B")),2,FALSE),VLOOKUP(A2,INDIRECT(_xlfn.CONCAT("'",$J$1," (4)'!A:B")),2,FALSE))/(14*5)</f>
        <v>0</v>
      </c>
      <c r="D2" s="3">
        <f t="shared" ref="D2:D16" ca="1" si="1">SUM(VLOOKUP(A2,INDIRECT(_xlfn.CONCAT("'",$J$1," (0)'!A:C")),3,FALSE),VLOOKUP(A2,INDIRECT(_xlfn.CONCAT("'",$J$1," (1)'!A:C")),3,FALSE),VLOOKUP(A2,INDIRECT(_xlfn.CONCAT("'",$J$1," (2)'!A:C")),3,FALSE),VLOOKUP(A2,INDIRECT(_xlfn.CONCAT("'",$J$1," (3)'!A:C")),3,FALSE),VLOOKUP(A2,INDIRECT(_xlfn.CONCAT("'",$J$1," (4)'!A:C")),3,FALSE))/(14*5)</f>
        <v>575.28571428571433</v>
      </c>
      <c r="E2" s="3">
        <f t="shared" ref="E2:E16" ca="1" si="2">SUM(VLOOKUP(A2,INDIRECT(_xlfn.CONCAT("'",$J$1," (0)'!A:D")),4,FALSE),VLOOKUP(A2,INDIRECT(_xlfn.CONCAT("'",$J$1," (1)'!A:D")),4,FALSE),VLOOKUP(A2,INDIRECT(_xlfn.CONCAT("'",$J$1," (2)'!A:D")),4,FALSE),VLOOKUP(A2,INDIRECT(_xlfn.CONCAT("'",$J$1," (3)'!A:D")),4,FALSE),VLOOKUP(A2,INDIRECT(_xlfn.CONCAT("'",$J$1," (4)'!A:D")),4,FALSE))/5</f>
        <v>0.7946428571428571</v>
      </c>
      <c r="F2" s="3">
        <f t="shared" ref="F2:F16" ca="1" si="3">SUM(VLOOKUP(A2,INDIRECT(_xlfn.CONCAT("'",$J$1," (0)'!A:E")),5,FALSE),VLOOKUP(A2,INDIRECT(_xlfn.CONCAT("'",$J$1," (1)'!A:E")),5,FALSE),VLOOKUP(A2,INDIRECT(_xlfn.CONCAT("'",$J$1," (2)'!A:E")),5,FALSE),VLOOKUP(A2,INDIRECT(_xlfn.CONCAT("'",$J$1," (3)'!A:E")),5,FALSE),VLOOKUP(A2,INDIRECT(_xlfn.CONCAT("'",$J$1," (4)'!A:E")),5,FALSE))/5</f>
        <v>1</v>
      </c>
      <c r="G2" s="3">
        <f t="shared" ref="G2:G16" ca="1" si="4">SUM(VLOOKUP(A2,INDIRECT(_xlfn.CONCAT("'",$J$1," (0)'!A:F")),6,FALSE),VLOOKUP(A2,INDIRECT(_xlfn.CONCAT("'",$J$1," (1)'!A:F")),6,FALSE),VLOOKUP(A2,INDIRECT(_xlfn.CONCAT("'",$J$1," (2)'!A:F")),6,FALSE),VLOOKUP(A2,INDIRECT(_xlfn.CONCAT("'",$J$1," (3)'!A:F")),6,FALSE),VLOOKUP(A2,INDIRECT(_xlfn.CONCAT("'",$J$1," (4)'!A:F")),6,FALSE))/5</f>
        <v>0.30126908072374914</v>
      </c>
      <c r="H2" s="3">
        <f t="shared" ref="H2:H16" ca="1" si="5">SUM(VLOOKUP(A2,INDIRECT(_xlfn.CONCAT("'",$J$1," (0)'!A:G")),7,FALSE),VLOOKUP(A2,INDIRECT(_xlfn.CONCAT("'",$J$1," (1)'!A:G")),7,FALSE),VLOOKUP(A2,INDIRECT(_xlfn.CONCAT("'",$J$1," (2)'!A:G")),7,FALSE),VLOOKUP(A2,INDIRECT(_xlfn.CONCAT("'",$J$1," (3)'!A:G")),7,FALSE),VLOOKUP(A2,INDIRECT(_xlfn.CONCAT("'",$J$1," (4)'!A:G")),7,FALSE))/5</f>
        <v>0.29876399758373789</v>
      </c>
    </row>
    <row r="3" spans="1:10" x14ac:dyDescent="0.25">
      <c r="A3" t="s">
        <v>19</v>
      </c>
      <c r="B3">
        <v>2</v>
      </c>
      <c r="C3" s="2">
        <f t="shared" ca="1" si="0"/>
        <v>0.47142857142857142</v>
      </c>
      <c r="D3" s="3">
        <f t="shared" ca="1" si="1"/>
        <v>570.67142857142858</v>
      </c>
      <c r="E3" s="3">
        <f t="shared" ca="1" si="2"/>
        <v>0.50185714285714289</v>
      </c>
      <c r="F3" s="3">
        <f t="shared" ca="1" si="3"/>
        <v>0.52857142857142858</v>
      </c>
      <c r="G3" s="3">
        <f t="shared" ca="1" si="4"/>
        <v>0.16467860475130383</v>
      </c>
      <c r="H3" s="3">
        <f t="shared" ca="1" si="5"/>
        <v>4.01343097107846E-3</v>
      </c>
    </row>
    <row r="4" spans="1:10" x14ac:dyDescent="0.25">
      <c r="A4" t="s">
        <v>7</v>
      </c>
      <c r="B4">
        <v>3</v>
      </c>
      <c r="C4" s="2">
        <f t="shared" ca="1" si="0"/>
        <v>7.1428571428571425E-2</v>
      </c>
      <c r="D4" s="3">
        <f t="shared" ca="1" si="1"/>
        <v>566.98571428571427</v>
      </c>
      <c r="E4" s="3">
        <f t="shared" ca="1" si="2"/>
        <v>0.8404285714285713</v>
      </c>
      <c r="F4" s="3">
        <f t="shared" ca="1" si="3"/>
        <v>0.9285714285714286</v>
      </c>
      <c r="G4" s="3">
        <f t="shared" ca="1" si="4"/>
        <v>0.31162359948662288</v>
      </c>
      <c r="H4" s="3">
        <f t="shared" ca="1" si="5"/>
        <v>0.31022659531959718</v>
      </c>
    </row>
    <row r="5" spans="1:10" x14ac:dyDescent="0.25">
      <c r="A5" t="s">
        <v>9</v>
      </c>
      <c r="B5">
        <v>4</v>
      </c>
      <c r="C5" s="2">
        <f t="shared" ca="1" si="0"/>
        <v>0</v>
      </c>
      <c r="D5" s="3">
        <f t="shared" ca="1" si="1"/>
        <v>548.74285714285713</v>
      </c>
      <c r="E5" s="3">
        <f t="shared" ca="1" si="2"/>
        <v>0.89178571428571429</v>
      </c>
      <c r="F5" s="3">
        <f t="shared" ca="1" si="3"/>
        <v>1</v>
      </c>
      <c r="G5" s="3">
        <f t="shared" ca="1" si="4"/>
        <v>0.31724859655562476</v>
      </c>
      <c r="H5" s="3">
        <f t="shared" ca="1" si="5"/>
        <v>0.29352633265263006</v>
      </c>
    </row>
    <row r="6" spans="1:10" x14ac:dyDescent="0.25">
      <c r="A6" t="s">
        <v>13</v>
      </c>
      <c r="B6">
        <v>5</v>
      </c>
      <c r="C6" s="2">
        <f t="shared" ca="1" si="0"/>
        <v>0</v>
      </c>
      <c r="D6" s="3">
        <f t="shared" ca="1" si="1"/>
        <v>539.33571428571429</v>
      </c>
      <c r="E6" s="3">
        <f t="shared" ca="1" si="2"/>
        <v>0.72614285714285709</v>
      </c>
      <c r="F6" s="3">
        <f t="shared" ca="1" si="3"/>
        <v>1</v>
      </c>
      <c r="G6" s="3">
        <f t="shared" ca="1" si="4"/>
        <v>0.29349949625988569</v>
      </c>
      <c r="H6" s="3">
        <f t="shared" ca="1" si="5"/>
        <v>0.31649942547226467</v>
      </c>
    </row>
    <row r="7" spans="1:10" x14ac:dyDescent="0.25">
      <c r="A7" t="s">
        <v>17</v>
      </c>
      <c r="B7">
        <v>6</v>
      </c>
      <c r="C7" s="2">
        <f t="shared" ca="1" si="0"/>
        <v>0.47142857142857142</v>
      </c>
      <c r="D7" s="3">
        <f t="shared" ca="1" si="1"/>
        <v>529.75714285714287</v>
      </c>
      <c r="E7" s="3">
        <f t="shared" ca="1" si="2"/>
        <v>0.46214285714285708</v>
      </c>
      <c r="F7" s="3">
        <f t="shared" ca="1" si="3"/>
        <v>0.52857142857142847</v>
      </c>
      <c r="G7" s="3">
        <f t="shared" ca="1" si="4"/>
        <v>0.17679521355820194</v>
      </c>
      <c r="H7" s="3">
        <f t="shared" ca="1" si="5"/>
        <v>8.0374801769877283E-2</v>
      </c>
    </row>
    <row r="8" spans="1:10" x14ac:dyDescent="0.25">
      <c r="A8" t="s">
        <v>11</v>
      </c>
      <c r="B8">
        <v>7</v>
      </c>
      <c r="C8" s="2">
        <f t="shared" ca="1" si="0"/>
        <v>0</v>
      </c>
      <c r="D8" s="3">
        <f t="shared" ca="1" si="1"/>
        <v>525.51428571428573</v>
      </c>
      <c r="E8" s="3">
        <f t="shared" ca="1" si="2"/>
        <v>0.79964285714285721</v>
      </c>
      <c r="F8" s="3">
        <f t="shared" ca="1" si="3"/>
        <v>1</v>
      </c>
      <c r="G8" s="3">
        <f t="shared" ca="1" si="4"/>
        <v>0.30800531020265065</v>
      </c>
      <c r="H8" s="3">
        <f t="shared" ca="1" si="5"/>
        <v>0.3218617283875877</v>
      </c>
    </row>
    <row r="9" spans="1:10" x14ac:dyDescent="0.25">
      <c r="A9" t="s">
        <v>12</v>
      </c>
      <c r="B9">
        <v>8</v>
      </c>
      <c r="C9" s="2">
        <f t="shared" ca="1" si="0"/>
        <v>0</v>
      </c>
      <c r="D9" s="3">
        <f t="shared" ca="1" si="1"/>
        <v>523.67142857142858</v>
      </c>
      <c r="E9" s="3">
        <f t="shared" ca="1" si="2"/>
        <v>1</v>
      </c>
      <c r="F9" s="3">
        <f t="shared" ca="1" si="3"/>
        <v>1</v>
      </c>
      <c r="G9" s="3">
        <f t="shared" ca="1" si="4"/>
        <v>0.32673364004047389</v>
      </c>
      <c r="H9" s="3">
        <f t="shared" ca="1" si="5"/>
        <v>0.25391988786655728</v>
      </c>
    </row>
    <row r="10" spans="1:10" x14ac:dyDescent="0.25">
      <c r="A10" t="s">
        <v>10</v>
      </c>
      <c r="B10">
        <v>9</v>
      </c>
      <c r="C10" s="2">
        <f t="shared" ca="1" si="0"/>
        <v>0</v>
      </c>
      <c r="D10" s="3">
        <f t="shared" ca="1" si="1"/>
        <v>519.37857142857138</v>
      </c>
      <c r="E10" s="3">
        <f t="shared" ca="1" si="2"/>
        <v>0.81392857142857145</v>
      </c>
      <c r="F10" s="3">
        <f t="shared" ca="1" si="3"/>
        <v>1</v>
      </c>
      <c r="G10" s="3">
        <f t="shared" ca="1" si="4"/>
        <v>0.31087441046832509</v>
      </c>
      <c r="H10" s="3">
        <f t="shared" ca="1" si="5"/>
        <v>0.32190678760660674</v>
      </c>
    </row>
    <row r="11" spans="1:10" x14ac:dyDescent="0.25">
      <c r="A11" t="s">
        <v>16</v>
      </c>
      <c r="B11">
        <v>10</v>
      </c>
      <c r="C11" s="2">
        <f t="shared" ca="1" si="0"/>
        <v>1.4285714285714285E-2</v>
      </c>
      <c r="D11" s="3">
        <f t="shared" ca="1" si="1"/>
        <v>518.47142857142853</v>
      </c>
      <c r="E11" s="3">
        <f t="shared" ca="1" si="2"/>
        <v>0.8095714285714285</v>
      </c>
      <c r="F11" s="3">
        <f t="shared" ca="1" si="3"/>
        <v>0.98571428571428577</v>
      </c>
      <c r="G11" s="3">
        <f t="shared" ca="1" si="4"/>
        <v>0.29977162720138578</v>
      </c>
      <c r="H11" s="3">
        <f t="shared" ca="1" si="5"/>
        <v>0.28361075889388632</v>
      </c>
    </row>
    <row r="12" spans="1:10" x14ac:dyDescent="0.25">
      <c r="A12" t="s">
        <v>15</v>
      </c>
      <c r="B12">
        <v>11</v>
      </c>
      <c r="C12" s="2">
        <f t="shared" ca="1" si="0"/>
        <v>0.12857142857142856</v>
      </c>
      <c r="D12" s="3">
        <f t="shared" ca="1" si="1"/>
        <v>516.17142857142858</v>
      </c>
      <c r="E12" s="3">
        <f t="shared" ca="1" si="2"/>
        <v>0.65007142857142841</v>
      </c>
      <c r="F12" s="3">
        <f t="shared" ca="1" si="3"/>
        <v>0.87142857142857133</v>
      </c>
      <c r="G12" s="3">
        <f t="shared" ca="1" si="4"/>
        <v>0.27706811578915458</v>
      </c>
      <c r="H12" s="3">
        <f t="shared" ca="1" si="5"/>
        <v>0.30858776763468609</v>
      </c>
    </row>
    <row r="13" spans="1:10" x14ac:dyDescent="0.25">
      <c r="A13" t="s">
        <v>14</v>
      </c>
      <c r="B13">
        <v>12</v>
      </c>
      <c r="C13" s="2">
        <f t="shared" ca="1" si="0"/>
        <v>7.1428571428571425E-2</v>
      </c>
      <c r="D13" s="3">
        <f t="shared" ca="1" si="1"/>
        <v>507.15714285714284</v>
      </c>
      <c r="E13" s="3">
        <f t="shared" ca="1" si="2"/>
        <v>0.65807142857142853</v>
      </c>
      <c r="F13" s="3">
        <f t="shared" ca="1" si="3"/>
        <v>0.9285714285714286</v>
      </c>
      <c r="G13" s="3">
        <f t="shared" ca="1" si="4"/>
        <v>0.27885474641799735</v>
      </c>
      <c r="H13" s="3">
        <f t="shared" ca="1" si="5"/>
        <v>0.3090078968017973</v>
      </c>
    </row>
    <row r="14" spans="1:10" x14ac:dyDescent="0.25">
      <c r="A14" t="s">
        <v>21</v>
      </c>
      <c r="B14">
        <v>13</v>
      </c>
      <c r="C14" s="2">
        <f t="shared" ca="1" si="0"/>
        <v>0.9285714285714286</v>
      </c>
      <c r="D14" s="3">
        <f t="shared" ca="1" si="1"/>
        <v>475.35714285714283</v>
      </c>
      <c r="E14" s="3">
        <f t="shared" ca="1" si="2"/>
        <v>0</v>
      </c>
      <c r="F14" s="3">
        <f t="shared" ca="1" si="3"/>
        <v>7.1428571428571425E-2</v>
      </c>
      <c r="G14" s="3">
        <f t="shared" ca="1" si="4"/>
        <v>0</v>
      </c>
      <c r="H14" s="3">
        <f t="shared" ca="1" si="5"/>
        <v>-0.25391988786655728</v>
      </c>
    </row>
    <row r="15" spans="1:10" x14ac:dyDescent="0.25">
      <c r="A15" t="s">
        <v>18</v>
      </c>
      <c r="B15">
        <v>14</v>
      </c>
      <c r="C15" s="2">
        <f t="shared" ca="1" si="0"/>
        <v>0.7</v>
      </c>
      <c r="D15" s="3">
        <f t="shared" ca="1" si="1"/>
        <v>468.95</v>
      </c>
      <c r="E15" s="3">
        <f t="shared" ca="1" si="2"/>
        <v>0.34714285714285714</v>
      </c>
      <c r="F15" s="3">
        <f t="shared" ca="1" si="3"/>
        <v>0.3</v>
      </c>
      <c r="G15" s="3">
        <f t="shared" ca="1" si="4"/>
        <v>0.13211056235201374</v>
      </c>
      <c r="H15" s="3">
        <f t="shared" ca="1" si="5"/>
        <v>-1.5020227000798036E-2</v>
      </c>
    </row>
    <row r="16" spans="1:10" x14ac:dyDescent="0.25">
      <c r="A16" t="s">
        <v>20</v>
      </c>
      <c r="B16">
        <v>15</v>
      </c>
      <c r="C16" s="2">
        <f t="shared" ca="1" si="0"/>
        <v>0.67142857142857137</v>
      </c>
      <c r="D16" s="3">
        <f t="shared" ca="1" si="1"/>
        <v>424.41428571428571</v>
      </c>
      <c r="E16" s="3">
        <f t="shared" ca="1" si="2"/>
        <v>0.21421428571428575</v>
      </c>
      <c r="F16" s="3">
        <f t="shared" ca="1" si="3"/>
        <v>0.32857142857142863</v>
      </c>
      <c r="G16" s="3">
        <f t="shared" ca="1" si="4"/>
        <v>8.0768087445840603E-2</v>
      </c>
      <c r="H16" s="3">
        <f t="shared" ca="1" si="5"/>
        <v>-0.11492630626249611</v>
      </c>
    </row>
  </sheetData>
  <sortState xmlns:xlrd2="http://schemas.microsoft.com/office/spreadsheetml/2017/richdata2" ref="A2:H16">
    <sortCondition descending="1" ref="D2:D16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BCC4-ECCE-4DCA-BC91-F9D377BD9A7C}">
  <dimension ref="A1:J16"/>
  <sheetViews>
    <sheetView workbookViewId="0">
      <selection activeCell="B1" sqref="B1:B16"/>
    </sheetView>
  </sheetViews>
  <sheetFormatPr defaultRowHeight="15" x14ac:dyDescent="0.25"/>
  <cols>
    <col min="1" max="2" width="18.7109375" bestFit="1" customWidth="1"/>
    <col min="3" max="3" width="10.7109375" bestFit="1" customWidth="1"/>
    <col min="4" max="4" width="17.85546875" bestFit="1" customWidth="1"/>
    <col min="5" max="5" width="18.28515625" bestFit="1" customWidth="1"/>
    <col min="6" max="6" width="16.28515625" bestFit="1" customWidth="1"/>
    <col min="7" max="8" width="17.5703125" bestFit="1" customWidth="1"/>
  </cols>
  <sheetData>
    <row r="1" spans="1:10" x14ac:dyDescent="0.25">
      <c r="A1" s="1" t="s">
        <v>0</v>
      </c>
      <c r="B1" s="1" t="s">
        <v>29</v>
      </c>
      <c r="C1" s="1" t="s">
        <v>1</v>
      </c>
      <c r="D1" s="1" t="s">
        <v>22</v>
      </c>
      <c r="E1" s="1" t="s">
        <v>3</v>
      </c>
      <c r="F1" s="1" t="s">
        <v>4</v>
      </c>
      <c r="G1" s="1" t="s">
        <v>5</v>
      </c>
      <c r="H1" s="1" t="s">
        <v>6</v>
      </c>
      <c r="J1">
        <v>9</v>
      </c>
    </row>
    <row r="2" spans="1:10" x14ac:dyDescent="0.25">
      <c r="A2" t="s">
        <v>19</v>
      </c>
      <c r="B2">
        <v>1</v>
      </c>
      <c r="C2" s="2">
        <f t="shared" ref="C2:C16" ca="1" si="0">SUM(VLOOKUP(A2,INDIRECT(_xlfn.CONCAT("'",$J$1," (0)'!A:B")),2,FALSE),VLOOKUP(A2,INDIRECT(_xlfn.CONCAT("'",$J$1," (1)'!A:B")),2,FALSE),VLOOKUP(A2,INDIRECT(_xlfn.CONCAT("'",$J$1," (2)'!A:B")),2,FALSE),VLOOKUP(A2,INDIRECT(_xlfn.CONCAT("'",$J$1," (3)'!A:B")),2,FALSE),VLOOKUP(A2,INDIRECT(_xlfn.CONCAT("'",$J$1," (4)'!A:B")),2,FALSE))/(14*5)</f>
        <v>0.44285714285714284</v>
      </c>
      <c r="D2" s="3">
        <f t="shared" ref="D2:D16" ca="1" si="1">SUM(VLOOKUP(A2,INDIRECT(_xlfn.CONCAT("'",$J$1," (0)'!A:C")),3,FALSE),VLOOKUP(A2,INDIRECT(_xlfn.CONCAT("'",$J$1," (1)'!A:C")),3,FALSE),VLOOKUP(A2,INDIRECT(_xlfn.CONCAT("'",$J$1," (2)'!A:C")),3,FALSE),VLOOKUP(A2,INDIRECT(_xlfn.CONCAT("'",$J$1," (3)'!A:C")),3,FALSE),VLOOKUP(A2,INDIRECT(_xlfn.CONCAT("'",$J$1," (4)'!A:C")),3,FALSE))/(14*5)</f>
        <v>607.11428571428576</v>
      </c>
      <c r="E2" s="3">
        <f t="shared" ref="E2:E16" ca="1" si="2">SUM(VLOOKUP(A2,INDIRECT(_xlfn.CONCAT("'",$J$1," (0)'!A:D")),4,FALSE),VLOOKUP(A2,INDIRECT(_xlfn.CONCAT("'",$J$1," (1)'!A:D")),4,FALSE),VLOOKUP(A2,INDIRECT(_xlfn.CONCAT("'",$J$1," (2)'!A:D")),4,FALSE),VLOOKUP(A2,INDIRECT(_xlfn.CONCAT("'",$J$1," (3)'!A:D")),4,FALSE),VLOOKUP(A2,INDIRECT(_xlfn.CONCAT("'",$J$1," (4)'!A:D")),4,FALSE))/5</f>
        <v>0.49407142857142861</v>
      </c>
      <c r="F2" s="3">
        <f t="shared" ref="F2:F16" ca="1" si="3">SUM(VLOOKUP(A2,INDIRECT(_xlfn.CONCAT("'",$J$1," (0)'!A:E")),5,FALSE),VLOOKUP(A2,INDIRECT(_xlfn.CONCAT("'",$J$1," (1)'!A:E")),5,FALSE),VLOOKUP(A2,INDIRECT(_xlfn.CONCAT("'",$J$1," (2)'!A:E")),5,FALSE),VLOOKUP(A2,INDIRECT(_xlfn.CONCAT("'",$J$1," (3)'!A:E")),5,FALSE),VLOOKUP(A2,INDIRECT(_xlfn.CONCAT("'",$J$1," (4)'!A:E")),5,FALSE))/5</f>
        <v>0.55714285714285716</v>
      </c>
      <c r="G2" s="3">
        <f t="shared" ref="G2:G16" ca="1" si="4">SUM(VLOOKUP(A2,INDIRECT(_xlfn.CONCAT("'",$J$1," (0)'!A:F")),6,FALSE),VLOOKUP(A2,INDIRECT(_xlfn.CONCAT("'",$J$1," (1)'!A:F")),6,FALSE),VLOOKUP(A2,INDIRECT(_xlfn.CONCAT("'",$J$1," (2)'!A:F")),6,FALSE),VLOOKUP(A2,INDIRECT(_xlfn.CONCAT("'",$J$1," (3)'!A:F")),6,FALSE),VLOOKUP(A2,INDIRECT(_xlfn.CONCAT("'",$J$1," (4)'!A:F")),6,FALSE))/5</f>
        <v>0.16174359783072767</v>
      </c>
      <c r="H2" s="3">
        <f t="shared" ref="H2:H16" ca="1" si="5">SUM(VLOOKUP(A2,INDIRECT(_xlfn.CONCAT("'",$J$1," (0)'!A:G")),7,FALSE),VLOOKUP(A2,INDIRECT(_xlfn.CONCAT("'",$J$1," (1)'!A:G")),7,FALSE),VLOOKUP(A2,INDIRECT(_xlfn.CONCAT("'",$J$1," (2)'!A:G")),7,FALSE),VLOOKUP(A2,INDIRECT(_xlfn.CONCAT("'",$J$1," (3)'!A:G")),7,FALSE),VLOOKUP(A2,INDIRECT(_xlfn.CONCAT("'",$J$1," (4)'!A:G")),7,FALSE))/5</f>
        <v>8.6405454504094771E-5</v>
      </c>
    </row>
    <row r="3" spans="1:10" x14ac:dyDescent="0.25">
      <c r="A3" t="s">
        <v>8</v>
      </c>
      <c r="B3">
        <v>2</v>
      </c>
      <c r="C3" s="2">
        <f t="shared" ca="1" si="0"/>
        <v>0</v>
      </c>
      <c r="D3" s="3">
        <f t="shared" ca="1" si="1"/>
        <v>590.98571428571427</v>
      </c>
      <c r="E3" s="3">
        <f t="shared" ca="1" si="2"/>
        <v>0.79471428571428571</v>
      </c>
      <c r="F3" s="3">
        <f t="shared" ca="1" si="3"/>
        <v>1</v>
      </c>
      <c r="G3" s="3">
        <f t="shared" ca="1" si="4"/>
        <v>0.29947709258393279</v>
      </c>
      <c r="H3" s="3">
        <f t="shared" ca="1" si="5"/>
        <v>0.3015229471452282</v>
      </c>
    </row>
    <row r="4" spans="1:10" x14ac:dyDescent="0.25">
      <c r="A4" t="s">
        <v>7</v>
      </c>
      <c r="B4">
        <v>3</v>
      </c>
      <c r="C4" s="2">
        <f t="shared" ca="1" si="0"/>
        <v>2.8571428571428571E-2</v>
      </c>
      <c r="D4" s="3">
        <f t="shared" ca="1" si="1"/>
        <v>555.54285714285709</v>
      </c>
      <c r="E4" s="3">
        <f t="shared" ca="1" si="2"/>
        <v>0.89521428571428585</v>
      </c>
      <c r="F4" s="3">
        <f t="shared" ca="1" si="3"/>
        <v>0.97142857142857153</v>
      </c>
      <c r="G4" s="3">
        <f t="shared" ca="1" si="4"/>
        <v>0.3188012793167862</v>
      </c>
      <c r="H4" s="3">
        <f t="shared" ca="1" si="5"/>
        <v>0.30802139318343685</v>
      </c>
    </row>
    <row r="5" spans="1:10" x14ac:dyDescent="0.25">
      <c r="A5" t="s">
        <v>9</v>
      </c>
      <c r="B5">
        <v>4</v>
      </c>
      <c r="C5" s="2">
        <f t="shared" ca="1" si="0"/>
        <v>0</v>
      </c>
      <c r="D5" s="3">
        <f t="shared" ca="1" si="1"/>
        <v>553.88571428571424</v>
      </c>
      <c r="E5" s="3">
        <f t="shared" ca="1" si="2"/>
        <v>0.89078571428571429</v>
      </c>
      <c r="F5" s="3">
        <f t="shared" ca="1" si="3"/>
        <v>1</v>
      </c>
      <c r="G5" s="3">
        <f t="shared" ca="1" si="4"/>
        <v>0.31500226661352981</v>
      </c>
      <c r="H5" s="3">
        <f t="shared" ca="1" si="5"/>
        <v>0.29614503048512897</v>
      </c>
    </row>
    <row r="6" spans="1:10" x14ac:dyDescent="0.25">
      <c r="A6" t="s">
        <v>17</v>
      </c>
      <c r="B6">
        <v>5</v>
      </c>
      <c r="C6" s="2">
        <f t="shared" ca="1" si="0"/>
        <v>0.48571428571428571</v>
      </c>
      <c r="D6" s="3">
        <f t="shared" ca="1" si="1"/>
        <v>550.71428571428567</v>
      </c>
      <c r="E6" s="3">
        <f t="shared" ca="1" si="2"/>
        <v>0.4468571428571429</v>
      </c>
      <c r="F6" s="3">
        <f t="shared" ca="1" si="3"/>
        <v>0.51428571428571423</v>
      </c>
      <c r="G6" s="3">
        <f t="shared" ca="1" si="4"/>
        <v>0.17262111356324655</v>
      </c>
      <c r="H6" s="3">
        <f t="shared" ca="1" si="5"/>
        <v>7.7445771639660696E-2</v>
      </c>
    </row>
    <row r="7" spans="1:10" x14ac:dyDescent="0.25">
      <c r="A7" t="s">
        <v>13</v>
      </c>
      <c r="B7">
        <v>6</v>
      </c>
      <c r="C7" s="2">
        <f t="shared" ca="1" si="0"/>
        <v>0</v>
      </c>
      <c r="D7" s="3">
        <f t="shared" ca="1" si="1"/>
        <v>549.32857142857142</v>
      </c>
      <c r="E7" s="3">
        <f t="shared" ca="1" si="2"/>
        <v>0.72635714285714292</v>
      </c>
      <c r="F7" s="3">
        <f t="shared" ca="1" si="3"/>
        <v>1</v>
      </c>
      <c r="G7" s="3">
        <f t="shared" ca="1" si="4"/>
        <v>0.29088359003435571</v>
      </c>
      <c r="H7" s="3">
        <f t="shared" ca="1" si="5"/>
        <v>0.31542756348780676</v>
      </c>
    </row>
    <row r="8" spans="1:10" x14ac:dyDescent="0.25">
      <c r="A8" t="s">
        <v>10</v>
      </c>
      <c r="B8">
        <v>7</v>
      </c>
      <c r="C8" s="2">
        <f t="shared" ca="1" si="0"/>
        <v>0</v>
      </c>
      <c r="D8" s="3">
        <f t="shared" ca="1" si="1"/>
        <v>532.70000000000005</v>
      </c>
      <c r="E8" s="3">
        <f t="shared" ca="1" si="2"/>
        <v>0.84564285714285714</v>
      </c>
      <c r="F8" s="3">
        <f t="shared" ca="1" si="3"/>
        <v>1</v>
      </c>
      <c r="G8" s="3">
        <f t="shared" ca="1" si="4"/>
        <v>0.31332628176447769</v>
      </c>
      <c r="H8" s="3">
        <f t="shared" ca="1" si="5"/>
        <v>0.32064559265519765</v>
      </c>
    </row>
    <row r="9" spans="1:10" x14ac:dyDescent="0.25">
      <c r="A9" t="s">
        <v>11</v>
      </c>
      <c r="B9">
        <v>8</v>
      </c>
      <c r="C9" s="2">
        <f t="shared" ca="1" si="0"/>
        <v>0</v>
      </c>
      <c r="D9" s="3">
        <f t="shared" ca="1" si="1"/>
        <v>531</v>
      </c>
      <c r="E9" s="3">
        <f t="shared" ca="1" si="2"/>
        <v>0.80985714285714283</v>
      </c>
      <c r="F9" s="3">
        <f t="shared" ca="1" si="3"/>
        <v>1</v>
      </c>
      <c r="G9" s="3">
        <f t="shared" ca="1" si="4"/>
        <v>0.30708013563374509</v>
      </c>
      <c r="H9" s="3">
        <f t="shared" ca="1" si="5"/>
        <v>0.32168275533687396</v>
      </c>
    </row>
    <row r="10" spans="1:10" x14ac:dyDescent="0.25">
      <c r="A10" t="s">
        <v>16</v>
      </c>
      <c r="B10">
        <v>9</v>
      </c>
      <c r="C10" s="2">
        <f t="shared" ca="1" si="0"/>
        <v>4.2857142857142858E-2</v>
      </c>
      <c r="D10" s="3">
        <f t="shared" ca="1" si="1"/>
        <v>528.4</v>
      </c>
      <c r="E10" s="3">
        <f t="shared" ca="1" si="2"/>
        <v>0.80414285714285716</v>
      </c>
      <c r="F10" s="3">
        <f t="shared" ca="1" si="3"/>
        <v>0.9571428571428573</v>
      </c>
      <c r="G10" s="3">
        <f t="shared" ca="1" si="4"/>
        <v>0.29701291460249341</v>
      </c>
      <c r="H10" s="3">
        <f t="shared" ca="1" si="5"/>
        <v>0.28587691730091869</v>
      </c>
    </row>
    <row r="11" spans="1:10" x14ac:dyDescent="0.25">
      <c r="A11" t="s">
        <v>12</v>
      </c>
      <c r="B11">
        <v>10</v>
      </c>
      <c r="C11" s="2">
        <f t="shared" ca="1" si="0"/>
        <v>0</v>
      </c>
      <c r="D11" s="3">
        <f t="shared" ca="1" si="1"/>
        <v>522.42857142857144</v>
      </c>
      <c r="E11" s="3">
        <f t="shared" ca="1" si="2"/>
        <v>1</v>
      </c>
      <c r="F11" s="3">
        <f t="shared" ca="1" si="3"/>
        <v>1</v>
      </c>
      <c r="G11" s="3">
        <f t="shared" ca="1" si="4"/>
        <v>0.32560178086661884</v>
      </c>
      <c r="H11" s="3">
        <f t="shared" ca="1" si="5"/>
        <v>0.25959659783183353</v>
      </c>
    </row>
    <row r="12" spans="1:10" x14ac:dyDescent="0.25">
      <c r="A12" t="s">
        <v>15</v>
      </c>
      <c r="B12">
        <v>11</v>
      </c>
      <c r="C12" s="2">
        <f t="shared" ca="1" si="0"/>
        <v>7.1428571428571425E-2</v>
      </c>
      <c r="D12" s="3">
        <f t="shared" ca="1" si="1"/>
        <v>517.87142857142862</v>
      </c>
      <c r="E12" s="3">
        <f t="shared" ca="1" si="2"/>
        <v>0.65192857142857141</v>
      </c>
      <c r="F12" s="3">
        <f t="shared" ca="1" si="3"/>
        <v>0.9285714285714286</v>
      </c>
      <c r="G12" s="3">
        <f t="shared" ca="1" si="4"/>
        <v>0.27512679139491175</v>
      </c>
      <c r="H12" s="3">
        <f t="shared" ca="1" si="5"/>
        <v>0.30797072236608736</v>
      </c>
    </row>
    <row r="13" spans="1:10" x14ac:dyDescent="0.25">
      <c r="A13" t="s">
        <v>14</v>
      </c>
      <c r="B13">
        <v>12</v>
      </c>
      <c r="C13" s="2">
        <f t="shared" ca="1" si="0"/>
        <v>7.1428571428571425E-2</v>
      </c>
      <c r="D13" s="3">
        <f t="shared" ca="1" si="1"/>
        <v>511.24285714285713</v>
      </c>
      <c r="E13" s="3">
        <f t="shared" ca="1" si="2"/>
        <v>0.66328571428571437</v>
      </c>
      <c r="F13" s="3">
        <f t="shared" ca="1" si="3"/>
        <v>0.9285714285714286</v>
      </c>
      <c r="G13" s="3">
        <f t="shared" ca="1" si="4"/>
        <v>0.27747261530438305</v>
      </c>
      <c r="H13" s="3">
        <f t="shared" ca="1" si="5"/>
        <v>0.3082390482573954</v>
      </c>
    </row>
    <row r="14" spans="1:10" x14ac:dyDescent="0.25">
      <c r="A14" t="s">
        <v>18</v>
      </c>
      <c r="B14">
        <v>13</v>
      </c>
      <c r="C14" s="2">
        <f t="shared" ca="1" si="0"/>
        <v>0.65714285714285714</v>
      </c>
      <c r="D14" s="3">
        <f t="shared" ca="1" si="1"/>
        <v>500.58571428571429</v>
      </c>
      <c r="E14" s="3">
        <f t="shared" ca="1" si="2"/>
        <v>0.37671428571428567</v>
      </c>
      <c r="F14" s="3">
        <f t="shared" ca="1" si="3"/>
        <v>0.34285714285714286</v>
      </c>
      <c r="G14" s="3">
        <f t="shared" ca="1" si="4"/>
        <v>0.14270954247084297</v>
      </c>
      <c r="H14" s="3">
        <f t="shared" ca="1" si="5"/>
        <v>7.3959818115844648E-3</v>
      </c>
    </row>
    <row r="15" spans="1:10" x14ac:dyDescent="0.25">
      <c r="A15" t="s">
        <v>21</v>
      </c>
      <c r="B15">
        <v>14</v>
      </c>
      <c r="C15" s="2">
        <f t="shared" ca="1" si="0"/>
        <v>0.9285714285714286</v>
      </c>
      <c r="D15" s="3">
        <f t="shared" ca="1" si="1"/>
        <v>492.91428571428571</v>
      </c>
      <c r="E15" s="3">
        <f t="shared" ca="1" si="2"/>
        <v>0</v>
      </c>
      <c r="F15" s="3">
        <f t="shared" ca="1" si="3"/>
        <v>7.1428571428571425E-2</v>
      </c>
      <c r="G15" s="3">
        <f t="shared" ca="1" si="4"/>
        <v>0</v>
      </c>
      <c r="H15" s="3">
        <f t="shared" ca="1" si="5"/>
        <v>-0.25959659783183353</v>
      </c>
    </row>
    <row r="16" spans="1:10" x14ac:dyDescent="0.25">
      <c r="A16" t="s">
        <v>20</v>
      </c>
      <c r="B16">
        <v>15</v>
      </c>
      <c r="C16" s="2">
        <f t="shared" ca="1" si="0"/>
        <v>0.72857142857142854</v>
      </c>
      <c r="D16" s="3">
        <f t="shared" ca="1" si="1"/>
        <v>465.54285714285714</v>
      </c>
      <c r="E16" s="3">
        <f t="shared" ca="1" si="2"/>
        <v>0.25071428571428572</v>
      </c>
      <c r="F16" s="3">
        <f t="shared" ca="1" si="3"/>
        <v>0.27142857142857146</v>
      </c>
      <c r="G16" s="3">
        <f t="shared" ca="1" si="4"/>
        <v>9.4716631105063828E-2</v>
      </c>
      <c r="H16" s="3">
        <f t="shared" ca="1" si="5"/>
        <v>-8.8551328563834908E-2</v>
      </c>
    </row>
  </sheetData>
  <sortState xmlns:xlrd2="http://schemas.microsoft.com/office/spreadsheetml/2017/richdata2" ref="A2:H16">
    <sortCondition descending="1" ref="D2:D16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557A4-5183-4FB7-A5FD-A34E9C5D4331}">
  <dimension ref="A1:J16"/>
  <sheetViews>
    <sheetView workbookViewId="0">
      <selection activeCell="B1" sqref="B1:B16"/>
    </sheetView>
  </sheetViews>
  <sheetFormatPr defaultRowHeight="15" x14ac:dyDescent="0.25"/>
  <cols>
    <col min="1" max="2" width="18.7109375" bestFit="1" customWidth="1"/>
    <col min="3" max="3" width="10.7109375" bestFit="1" customWidth="1"/>
    <col min="4" max="4" width="17.85546875" bestFit="1" customWidth="1"/>
    <col min="5" max="5" width="18.28515625" bestFit="1" customWidth="1"/>
    <col min="6" max="6" width="16.28515625" bestFit="1" customWidth="1"/>
    <col min="7" max="8" width="17.5703125" bestFit="1" customWidth="1"/>
  </cols>
  <sheetData>
    <row r="1" spans="1:10" x14ac:dyDescent="0.25">
      <c r="A1" s="1" t="s">
        <v>0</v>
      </c>
      <c r="B1" s="1" t="s">
        <v>29</v>
      </c>
      <c r="C1" s="1" t="s">
        <v>1</v>
      </c>
      <c r="D1" s="1" t="s">
        <v>22</v>
      </c>
      <c r="E1" s="1" t="s">
        <v>3</v>
      </c>
      <c r="F1" s="1" t="s">
        <v>4</v>
      </c>
      <c r="G1" s="1" t="s">
        <v>5</v>
      </c>
      <c r="H1" s="1" t="s">
        <v>6</v>
      </c>
      <c r="J1">
        <v>9.5</v>
      </c>
    </row>
    <row r="2" spans="1:10" x14ac:dyDescent="0.25">
      <c r="A2" t="s">
        <v>8</v>
      </c>
      <c r="B2">
        <v>1</v>
      </c>
      <c r="C2" s="2">
        <f t="shared" ref="C2:C16" ca="1" si="0">SUM(VLOOKUP(A2,INDIRECT(_xlfn.CONCAT("'",$J$1," (0)'!A:B")),2,FALSE),VLOOKUP(A2,INDIRECT(_xlfn.CONCAT("'",$J$1," (1)'!A:B")),2,FALSE),VLOOKUP(A2,INDIRECT(_xlfn.CONCAT("'",$J$1," (2)'!A:B")),2,FALSE),VLOOKUP(A2,INDIRECT(_xlfn.CONCAT("'",$J$1," (3)'!A:B")),2,FALSE),VLOOKUP(A2,INDIRECT(_xlfn.CONCAT("'",$J$1," (4)'!A:B")),2,FALSE))/(14*5)</f>
        <v>0</v>
      </c>
      <c r="D2" s="3">
        <f t="shared" ref="D2:D16" ca="1" si="1">SUM(VLOOKUP(A2,INDIRECT(_xlfn.CONCAT("'",$J$1," (0)'!A:C")),3,FALSE),VLOOKUP(A2,INDIRECT(_xlfn.CONCAT("'",$J$1," (1)'!A:C")),3,FALSE),VLOOKUP(A2,INDIRECT(_xlfn.CONCAT("'",$J$1," (2)'!A:C")),3,FALSE),VLOOKUP(A2,INDIRECT(_xlfn.CONCAT("'",$J$1," (3)'!A:C")),3,FALSE),VLOOKUP(A2,INDIRECT(_xlfn.CONCAT("'",$J$1," (4)'!A:C")),3,FALSE))/(14*5)</f>
        <v>597.88571428571424</v>
      </c>
      <c r="E2" s="3">
        <f t="shared" ref="E2:E16" ca="1" si="2">SUM(VLOOKUP(A2,INDIRECT(_xlfn.CONCAT("'",$J$1," (0)'!A:D")),4,FALSE),VLOOKUP(A2,INDIRECT(_xlfn.CONCAT("'",$J$1," (1)'!A:D")),4,FALSE),VLOOKUP(A2,INDIRECT(_xlfn.CONCAT("'",$J$1," (2)'!A:D")),4,FALSE),VLOOKUP(A2,INDIRECT(_xlfn.CONCAT("'",$J$1," (3)'!A:D")),4,FALSE),VLOOKUP(A2,INDIRECT(_xlfn.CONCAT("'",$J$1," (4)'!A:D")),4,FALSE))/5</f>
        <v>0.79357142857142848</v>
      </c>
      <c r="F2" s="3">
        <f t="shared" ref="F2:F16" ca="1" si="3">SUM(VLOOKUP(A2,INDIRECT(_xlfn.CONCAT("'",$J$1," (0)'!A:E")),5,FALSE),VLOOKUP(A2,INDIRECT(_xlfn.CONCAT("'",$J$1," (1)'!A:E")),5,FALSE),VLOOKUP(A2,INDIRECT(_xlfn.CONCAT("'",$J$1," (2)'!A:E")),5,FALSE),VLOOKUP(A2,INDIRECT(_xlfn.CONCAT("'",$J$1," (3)'!A:E")),5,FALSE),VLOOKUP(A2,INDIRECT(_xlfn.CONCAT("'",$J$1," (4)'!A:E")),5,FALSE))/5</f>
        <v>1</v>
      </c>
      <c r="G2" s="3">
        <f t="shared" ref="G2:G16" ca="1" si="4">SUM(VLOOKUP(A2,INDIRECT(_xlfn.CONCAT("'",$J$1," (0)'!A:F")),6,FALSE),VLOOKUP(A2,INDIRECT(_xlfn.CONCAT("'",$J$1," (1)'!A:F")),6,FALSE),VLOOKUP(A2,INDIRECT(_xlfn.CONCAT("'",$J$1," (2)'!A:F")),6,FALSE),VLOOKUP(A2,INDIRECT(_xlfn.CONCAT("'",$J$1," (3)'!A:F")),6,FALSE),VLOOKUP(A2,INDIRECT(_xlfn.CONCAT("'",$J$1," (4)'!A:F")),6,FALSE))/5</f>
        <v>0.29998168478924103</v>
      </c>
      <c r="H2" s="3">
        <f t="shared" ref="H2:H16" ca="1" si="5">SUM(VLOOKUP(A2,INDIRECT(_xlfn.CONCAT("'",$J$1," (0)'!A:G")),7,FALSE),VLOOKUP(A2,INDIRECT(_xlfn.CONCAT("'",$J$1," (1)'!A:G")),7,FALSE),VLOOKUP(A2,INDIRECT(_xlfn.CONCAT("'",$J$1," (2)'!A:G")),7,FALSE),VLOOKUP(A2,INDIRECT(_xlfn.CONCAT("'",$J$1," (3)'!A:G")),7,FALSE),VLOOKUP(A2,INDIRECT(_xlfn.CONCAT("'",$J$1," (4)'!A:G")),7,FALSE))/5</f>
        <v>0.30149198990594278</v>
      </c>
    </row>
    <row r="3" spans="1:10" x14ac:dyDescent="0.25">
      <c r="A3" t="s">
        <v>19</v>
      </c>
      <c r="B3">
        <v>2</v>
      </c>
      <c r="C3" s="2">
        <f t="shared" ca="1" si="0"/>
        <v>0.5</v>
      </c>
      <c r="D3" s="3">
        <f t="shared" ca="1" si="1"/>
        <v>590.45000000000005</v>
      </c>
      <c r="E3" s="3">
        <f t="shared" ca="1" si="2"/>
        <v>0.49828571428571433</v>
      </c>
      <c r="F3" s="3">
        <f t="shared" ca="1" si="3"/>
        <v>0.49999999999999989</v>
      </c>
      <c r="G3" s="3">
        <f t="shared" ca="1" si="4"/>
        <v>0.1632186369574124</v>
      </c>
      <c r="H3" s="3">
        <f t="shared" ca="1" si="5"/>
        <v>1.6268087745140186E-4</v>
      </c>
    </row>
    <row r="4" spans="1:10" x14ac:dyDescent="0.25">
      <c r="A4" t="s">
        <v>7</v>
      </c>
      <c r="B4">
        <v>3</v>
      </c>
      <c r="C4" s="2">
        <f t="shared" ca="1" si="0"/>
        <v>7.1428571428571425E-2</v>
      </c>
      <c r="D4" s="3">
        <f t="shared" ca="1" si="1"/>
        <v>590.45000000000005</v>
      </c>
      <c r="E4" s="3">
        <f t="shared" ca="1" si="2"/>
        <v>0.85371428571428576</v>
      </c>
      <c r="F4" s="3">
        <f t="shared" ca="1" si="3"/>
        <v>0.9285714285714286</v>
      </c>
      <c r="G4" s="3">
        <f t="shared" ca="1" si="4"/>
        <v>0.3111452131515462</v>
      </c>
      <c r="H4" s="3">
        <f t="shared" ca="1" si="5"/>
        <v>0.30799313947606455</v>
      </c>
    </row>
    <row r="5" spans="1:10" x14ac:dyDescent="0.25">
      <c r="A5" t="s">
        <v>17</v>
      </c>
      <c r="B5">
        <v>4</v>
      </c>
      <c r="C5" s="2">
        <f t="shared" ca="1" si="0"/>
        <v>0.45714285714285713</v>
      </c>
      <c r="D5" s="3">
        <f t="shared" ca="1" si="1"/>
        <v>560.1</v>
      </c>
      <c r="E5" s="3">
        <f t="shared" ca="1" si="2"/>
        <v>0.45992857142857141</v>
      </c>
      <c r="F5" s="3">
        <f t="shared" ca="1" si="3"/>
        <v>0.54285714285714293</v>
      </c>
      <c r="G5" s="3">
        <f t="shared" ca="1" si="4"/>
        <v>0.1755010998672093</v>
      </c>
      <c r="H5" s="3">
        <f t="shared" ca="1" si="5"/>
        <v>7.7666361176037091E-2</v>
      </c>
    </row>
    <row r="6" spans="1:10" x14ac:dyDescent="0.25">
      <c r="A6" t="s">
        <v>9</v>
      </c>
      <c r="B6">
        <v>5</v>
      </c>
      <c r="C6" s="2">
        <f t="shared" ca="1" si="0"/>
        <v>0</v>
      </c>
      <c r="D6" s="3">
        <f t="shared" ca="1" si="1"/>
        <v>559.5</v>
      </c>
      <c r="E6" s="3">
        <f t="shared" ca="1" si="2"/>
        <v>0.89628571428571424</v>
      </c>
      <c r="F6" s="3">
        <f t="shared" ca="1" si="3"/>
        <v>1</v>
      </c>
      <c r="G6" s="3">
        <f t="shared" ca="1" si="4"/>
        <v>0.31705742615774374</v>
      </c>
      <c r="H6" s="3">
        <f t="shared" ca="1" si="5"/>
        <v>0.29654824930642365</v>
      </c>
    </row>
    <row r="7" spans="1:10" x14ac:dyDescent="0.25">
      <c r="A7" t="s">
        <v>13</v>
      </c>
      <c r="B7">
        <v>6</v>
      </c>
      <c r="C7" s="2">
        <f t="shared" ca="1" si="0"/>
        <v>0</v>
      </c>
      <c r="D7" s="3">
        <f t="shared" ca="1" si="1"/>
        <v>549.20714285714291</v>
      </c>
      <c r="E7" s="3">
        <f t="shared" ca="1" si="2"/>
        <v>0.7211428571428572</v>
      </c>
      <c r="F7" s="3">
        <f t="shared" ca="1" si="3"/>
        <v>1</v>
      </c>
      <c r="G7" s="3">
        <f t="shared" ca="1" si="4"/>
        <v>0.29057754043267964</v>
      </c>
      <c r="H7" s="3">
        <f t="shared" ca="1" si="5"/>
        <v>0.31590646167027803</v>
      </c>
    </row>
    <row r="8" spans="1:10" x14ac:dyDescent="0.25">
      <c r="A8" t="s">
        <v>10</v>
      </c>
      <c r="B8">
        <v>7</v>
      </c>
      <c r="C8" s="2">
        <f t="shared" ca="1" si="0"/>
        <v>0</v>
      </c>
      <c r="D8" s="3">
        <f t="shared" ca="1" si="1"/>
        <v>534.73571428571427</v>
      </c>
      <c r="E8" s="3">
        <f t="shared" ca="1" si="2"/>
        <v>0.85257142857142854</v>
      </c>
      <c r="F8" s="3">
        <f t="shared" ca="1" si="3"/>
        <v>1</v>
      </c>
      <c r="G8" s="3">
        <f t="shared" ca="1" si="4"/>
        <v>0.31496207624946465</v>
      </c>
      <c r="H8" s="3">
        <f t="shared" ca="1" si="5"/>
        <v>0.31851039933641989</v>
      </c>
    </row>
    <row r="9" spans="1:10" x14ac:dyDescent="0.25">
      <c r="A9" t="s">
        <v>16</v>
      </c>
      <c r="B9">
        <v>8</v>
      </c>
      <c r="C9" s="2">
        <f t="shared" ca="1" si="0"/>
        <v>1.4285714285714285E-2</v>
      </c>
      <c r="D9" s="3">
        <f t="shared" ca="1" si="1"/>
        <v>531.82857142857142</v>
      </c>
      <c r="E9" s="3">
        <f t="shared" ca="1" si="2"/>
        <v>0.80700000000000005</v>
      </c>
      <c r="F9" s="3">
        <f t="shared" ca="1" si="3"/>
        <v>0.98571428571428577</v>
      </c>
      <c r="G9" s="3">
        <f t="shared" ca="1" si="4"/>
        <v>0.29825546965111205</v>
      </c>
      <c r="H9" s="3">
        <f t="shared" ca="1" si="5"/>
        <v>0.28602868044398139</v>
      </c>
    </row>
    <row r="10" spans="1:10" x14ac:dyDescent="0.25">
      <c r="A10" t="s">
        <v>11</v>
      </c>
      <c r="B10">
        <v>9</v>
      </c>
      <c r="C10" s="2">
        <f t="shared" ca="1" si="0"/>
        <v>0</v>
      </c>
      <c r="D10" s="3">
        <f t="shared" ca="1" si="1"/>
        <v>530.13571428571424</v>
      </c>
      <c r="E10" s="3">
        <f t="shared" ca="1" si="2"/>
        <v>0.80342857142857138</v>
      </c>
      <c r="F10" s="3">
        <f t="shared" ca="1" si="3"/>
        <v>1</v>
      </c>
      <c r="G10" s="3">
        <f t="shared" ca="1" si="4"/>
        <v>0.30709592549820441</v>
      </c>
      <c r="H10" s="3">
        <f t="shared" ca="1" si="5"/>
        <v>0.32283826411075073</v>
      </c>
    </row>
    <row r="11" spans="1:10" x14ac:dyDescent="0.25">
      <c r="A11" t="s">
        <v>12</v>
      </c>
      <c r="B11">
        <v>10</v>
      </c>
      <c r="C11" s="2">
        <f t="shared" ca="1" si="0"/>
        <v>0</v>
      </c>
      <c r="D11" s="3">
        <f t="shared" ca="1" si="1"/>
        <v>524.78571428571433</v>
      </c>
      <c r="E11" s="3">
        <f t="shared" ca="1" si="2"/>
        <v>1</v>
      </c>
      <c r="F11" s="3">
        <f t="shared" ca="1" si="3"/>
        <v>1</v>
      </c>
      <c r="G11" s="3">
        <f t="shared" ca="1" si="4"/>
        <v>0.32667268763404472</v>
      </c>
      <c r="H11" s="3">
        <f t="shared" ca="1" si="5"/>
        <v>0.25963307495714222</v>
      </c>
    </row>
    <row r="12" spans="1:10" x14ac:dyDescent="0.25">
      <c r="A12" t="s">
        <v>15</v>
      </c>
      <c r="B12">
        <v>11</v>
      </c>
      <c r="C12" s="2">
        <f t="shared" ca="1" si="0"/>
        <v>7.1428571428571425E-2</v>
      </c>
      <c r="D12" s="3">
        <f t="shared" ca="1" si="1"/>
        <v>520.42857142857144</v>
      </c>
      <c r="E12" s="3">
        <f t="shared" ca="1" si="2"/>
        <v>0.64892857142857141</v>
      </c>
      <c r="F12" s="3">
        <f t="shared" ca="1" si="3"/>
        <v>0.9285714285714286</v>
      </c>
      <c r="G12" s="3">
        <f t="shared" ca="1" si="4"/>
        <v>0.27515648796040937</v>
      </c>
      <c r="H12" s="3">
        <f t="shared" ca="1" si="5"/>
        <v>0.30891455120862832</v>
      </c>
    </row>
    <row r="13" spans="1:10" x14ac:dyDescent="0.25">
      <c r="A13" t="s">
        <v>21</v>
      </c>
      <c r="B13">
        <v>12</v>
      </c>
      <c r="C13" s="2">
        <f t="shared" ca="1" si="0"/>
        <v>0.9285714285714286</v>
      </c>
      <c r="D13" s="3">
        <f t="shared" ca="1" si="1"/>
        <v>514.62142857142862</v>
      </c>
      <c r="E13" s="3">
        <f t="shared" ca="1" si="2"/>
        <v>0</v>
      </c>
      <c r="F13" s="3">
        <f t="shared" ca="1" si="3"/>
        <v>7.1428571428571425E-2</v>
      </c>
      <c r="G13" s="3">
        <f t="shared" ca="1" si="4"/>
        <v>0</v>
      </c>
      <c r="H13" s="3">
        <f t="shared" ca="1" si="5"/>
        <v>-0.25963307495714222</v>
      </c>
    </row>
    <row r="14" spans="1:10" x14ac:dyDescent="0.25">
      <c r="A14" t="s">
        <v>14</v>
      </c>
      <c r="B14">
        <v>13</v>
      </c>
      <c r="C14" s="2">
        <f t="shared" ca="1" si="0"/>
        <v>7.1428571428571425E-2</v>
      </c>
      <c r="D14" s="3">
        <f t="shared" ca="1" si="1"/>
        <v>514.4785714285714</v>
      </c>
      <c r="E14" s="3">
        <f t="shared" ca="1" si="2"/>
        <v>0.65642857142857147</v>
      </c>
      <c r="F14" s="3">
        <f t="shared" ca="1" si="3"/>
        <v>0.9285714285714286</v>
      </c>
      <c r="G14" s="3">
        <f t="shared" ca="1" si="4"/>
        <v>0.27666890809150779</v>
      </c>
      <c r="H14" s="3">
        <f t="shared" ca="1" si="5"/>
        <v>0.30886245153091568</v>
      </c>
    </row>
    <row r="15" spans="1:10" x14ac:dyDescent="0.25">
      <c r="A15" t="s">
        <v>18</v>
      </c>
      <c r="B15">
        <v>14</v>
      </c>
      <c r="C15" s="2">
        <f t="shared" ca="1" si="0"/>
        <v>0.67142857142857137</v>
      </c>
      <c r="D15" s="3">
        <f t="shared" ca="1" si="1"/>
        <v>501.99285714285713</v>
      </c>
      <c r="E15" s="3">
        <f t="shared" ca="1" si="2"/>
        <v>0.36678571428571427</v>
      </c>
      <c r="F15" s="3">
        <f t="shared" ca="1" si="3"/>
        <v>0.32857142857142857</v>
      </c>
      <c r="G15" s="3">
        <f t="shared" ca="1" si="4"/>
        <v>0.1384895435338396</v>
      </c>
      <c r="H15" s="3">
        <f t="shared" ca="1" si="5"/>
        <v>-3.0790532728502931E-3</v>
      </c>
    </row>
    <row r="16" spans="1:10" x14ac:dyDescent="0.25">
      <c r="A16" t="s">
        <v>20</v>
      </c>
      <c r="B16">
        <v>15</v>
      </c>
      <c r="C16" s="2">
        <f t="shared" ca="1" si="0"/>
        <v>0.72857142857142854</v>
      </c>
      <c r="D16" s="3">
        <f t="shared" ca="1" si="1"/>
        <v>475.75</v>
      </c>
      <c r="E16" s="3">
        <f t="shared" ca="1" si="2"/>
        <v>0.26371428571428568</v>
      </c>
      <c r="F16" s="3">
        <f t="shared" ca="1" si="3"/>
        <v>0.27142857142857146</v>
      </c>
      <c r="G16" s="3">
        <f t="shared" ca="1" si="4"/>
        <v>9.9727365407723062E-2</v>
      </c>
      <c r="H16" s="3">
        <f t="shared" ca="1" si="5"/>
        <v>-7.973231765831168E-2</v>
      </c>
    </row>
  </sheetData>
  <sortState xmlns:xlrd2="http://schemas.microsoft.com/office/spreadsheetml/2017/richdata2" ref="A2:H16">
    <sortCondition descending="1" ref="D2:D16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07039-B78F-45AE-99CD-3593D6FA35D2}">
  <dimension ref="A1:J16"/>
  <sheetViews>
    <sheetView workbookViewId="0">
      <selection activeCell="B1" sqref="B1:B16"/>
    </sheetView>
  </sheetViews>
  <sheetFormatPr defaultRowHeight="15" x14ac:dyDescent="0.25"/>
  <cols>
    <col min="1" max="2" width="18.7109375" bestFit="1" customWidth="1"/>
    <col min="3" max="3" width="10.7109375" bestFit="1" customWidth="1"/>
    <col min="4" max="4" width="17.85546875" bestFit="1" customWidth="1"/>
    <col min="5" max="5" width="18.28515625" bestFit="1" customWidth="1"/>
    <col min="6" max="6" width="16.28515625" bestFit="1" customWidth="1"/>
    <col min="7" max="8" width="17.5703125" bestFit="1" customWidth="1"/>
  </cols>
  <sheetData>
    <row r="1" spans="1:10" x14ac:dyDescent="0.25">
      <c r="A1" s="1" t="s">
        <v>0</v>
      </c>
      <c r="B1" s="1" t="s">
        <v>29</v>
      </c>
      <c r="C1" s="1" t="s">
        <v>1</v>
      </c>
      <c r="D1" s="1" t="s">
        <v>22</v>
      </c>
      <c r="E1" s="1" t="s">
        <v>3</v>
      </c>
      <c r="F1" s="1" t="s">
        <v>4</v>
      </c>
      <c r="G1" s="1" t="s">
        <v>5</v>
      </c>
      <c r="H1" s="1" t="s">
        <v>6</v>
      </c>
      <c r="J1">
        <v>10</v>
      </c>
    </row>
    <row r="2" spans="1:10" x14ac:dyDescent="0.25">
      <c r="A2" t="s">
        <v>19</v>
      </c>
      <c r="B2">
        <v>1</v>
      </c>
      <c r="C2" s="2">
        <f t="shared" ref="C2:C16" ca="1" si="0">SUM(VLOOKUP(A2,INDIRECT(_xlfn.CONCAT("'",$J$1," (0)'!A:B")),2,FALSE),VLOOKUP(A2,INDIRECT(_xlfn.CONCAT("'",$J$1," (1)'!A:B")),2,FALSE),VLOOKUP(A2,INDIRECT(_xlfn.CONCAT("'",$J$1," (2)'!A:B")),2,FALSE),VLOOKUP(A2,INDIRECT(_xlfn.CONCAT("'",$J$1," (3)'!A:B")),2,FALSE),VLOOKUP(A2,INDIRECT(_xlfn.CONCAT("'",$J$1," (4)'!A:B")),2,FALSE))/(14*5)</f>
        <v>0.5</v>
      </c>
      <c r="D2" s="3">
        <f t="shared" ref="D2:D16" ca="1" si="1">SUM(VLOOKUP(A2,INDIRECT(_xlfn.CONCAT("'",$J$1," (0)'!A:C")),3,FALSE),VLOOKUP(A2,INDIRECT(_xlfn.CONCAT("'",$J$1," (1)'!A:C")),3,FALSE),VLOOKUP(A2,INDIRECT(_xlfn.CONCAT("'",$J$1," (2)'!A:C")),3,FALSE),VLOOKUP(A2,INDIRECT(_xlfn.CONCAT("'",$J$1," (3)'!A:C")),3,FALSE),VLOOKUP(A2,INDIRECT(_xlfn.CONCAT("'",$J$1," (4)'!A:C")),3,FALSE))/(14*5)</f>
        <v>640.01428571428573</v>
      </c>
      <c r="E2" s="3">
        <f t="shared" ref="E2:E16" ca="1" si="2">SUM(VLOOKUP(A2,INDIRECT(_xlfn.CONCAT("'",$J$1," (0)'!A:D")),4,FALSE),VLOOKUP(A2,INDIRECT(_xlfn.CONCAT("'",$J$1," (1)'!A:D")),4,FALSE),VLOOKUP(A2,INDIRECT(_xlfn.CONCAT("'",$J$1," (2)'!A:D")),4,FALSE),VLOOKUP(A2,INDIRECT(_xlfn.CONCAT("'",$J$1," (3)'!A:D")),4,FALSE),VLOOKUP(A2,INDIRECT(_xlfn.CONCAT("'",$J$1," (4)'!A:D")),4,FALSE))/5</f>
        <v>0.49800000000000005</v>
      </c>
      <c r="F2" s="3">
        <f t="shared" ref="F2:F16" ca="1" si="3">SUM(VLOOKUP(A2,INDIRECT(_xlfn.CONCAT("'",$J$1," (0)'!A:E")),5,FALSE),VLOOKUP(A2,INDIRECT(_xlfn.CONCAT("'",$J$1," (1)'!A:E")),5,FALSE),VLOOKUP(A2,INDIRECT(_xlfn.CONCAT("'",$J$1," (2)'!A:E")),5,FALSE),VLOOKUP(A2,INDIRECT(_xlfn.CONCAT("'",$J$1," (3)'!A:E")),5,FALSE),VLOOKUP(A2,INDIRECT(_xlfn.CONCAT("'",$J$1," (4)'!A:E")),5,FALSE))/5</f>
        <v>0.49999999999999989</v>
      </c>
      <c r="G2" s="3">
        <f t="shared" ref="G2:G16" ca="1" si="4">SUM(VLOOKUP(A2,INDIRECT(_xlfn.CONCAT("'",$J$1," (0)'!A:F")),6,FALSE),VLOOKUP(A2,INDIRECT(_xlfn.CONCAT("'",$J$1," (1)'!A:F")),6,FALSE),VLOOKUP(A2,INDIRECT(_xlfn.CONCAT("'",$J$1," (2)'!A:F")),6,FALSE),VLOOKUP(A2,INDIRECT(_xlfn.CONCAT("'",$J$1," (3)'!A:F")),6,FALSE),VLOOKUP(A2,INDIRECT(_xlfn.CONCAT("'",$J$1," (4)'!A:F")),6,FALSE))/5</f>
        <v>0.16131628540892531</v>
      </c>
      <c r="H2" s="3">
        <f t="shared" ref="H2:H16" ca="1" si="5">SUM(VLOOKUP(A2,INDIRECT(_xlfn.CONCAT("'",$J$1," (0)'!A:G")),7,FALSE),VLOOKUP(A2,INDIRECT(_xlfn.CONCAT("'",$J$1," (1)'!A:G")),7,FALSE),VLOOKUP(A2,INDIRECT(_xlfn.CONCAT("'",$J$1," (2)'!A:G")),7,FALSE),VLOOKUP(A2,INDIRECT(_xlfn.CONCAT("'",$J$1," (3)'!A:G")),7,FALSE),VLOOKUP(A2,INDIRECT(_xlfn.CONCAT("'",$J$1," (4)'!A:G")),7,FALSE))/5</f>
        <v>-3.8509079696640637E-3</v>
      </c>
    </row>
    <row r="3" spans="1:10" x14ac:dyDescent="0.25">
      <c r="A3" t="s">
        <v>8</v>
      </c>
      <c r="B3">
        <v>2</v>
      </c>
      <c r="C3" s="2">
        <f t="shared" ca="1" si="0"/>
        <v>0</v>
      </c>
      <c r="D3" s="3">
        <f t="shared" ca="1" si="1"/>
        <v>605.79999999999995</v>
      </c>
      <c r="E3" s="3">
        <f t="shared" ca="1" si="2"/>
        <v>0.79207142857142854</v>
      </c>
      <c r="F3" s="3">
        <f t="shared" ca="1" si="3"/>
        <v>1</v>
      </c>
      <c r="G3" s="3">
        <f t="shared" ca="1" si="4"/>
        <v>0.2988054284020657</v>
      </c>
      <c r="H3" s="3">
        <f t="shared" ca="1" si="5"/>
        <v>0.30096587262189994</v>
      </c>
    </row>
    <row r="4" spans="1:10" x14ac:dyDescent="0.25">
      <c r="A4" t="s">
        <v>7</v>
      </c>
      <c r="B4">
        <v>3</v>
      </c>
      <c r="C4" s="2">
        <f t="shared" ca="1" si="0"/>
        <v>5.7142857142857141E-2</v>
      </c>
      <c r="D4" s="3">
        <f t="shared" ca="1" si="1"/>
        <v>584.61428571428576</v>
      </c>
      <c r="E4" s="3">
        <f t="shared" ca="1" si="2"/>
        <v>0.86735714285714283</v>
      </c>
      <c r="F4" s="3">
        <f t="shared" ca="1" si="3"/>
        <v>0.94285714285714284</v>
      </c>
      <c r="G4" s="3">
        <f t="shared" ca="1" si="4"/>
        <v>0.31335863228875915</v>
      </c>
      <c r="H4" s="3">
        <f t="shared" ca="1" si="5"/>
        <v>0.30906844067140904</v>
      </c>
    </row>
    <row r="5" spans="1:10" x14ac:dyDescent="0.25">
      <c r="A5" t="s">
        <v>17</v>
      </c>
      <c r="B5">
        <v>4</v>
      </c>
      <c r="C5" s="2">
        <f t="shared" ca="1" si="0"/>
        <v>0.45714285714285713</v>
      </c>
      <c r="D5" s="3">
        <f t="shared" ca="1" si="1"/>
        <v>572.9</v>
      </c>
      <c r="E5" s="3">
        <f t="shared" ca="1" si="2"/>
        <v>0.45921428571428569</v>
      </c>
      <c r="F5" s="3">
        <f t="shared" ca="1" si="3"/>
        <v>0.54285714285714293</v>
      </c>
      <c r="G5" s="3">
        <f t="shared" ca="1" si="4"/>
        <v>0.17475649519626063</v>
      </c>
      <c r="H5" s="3">
        <f t="shared" ca="1" si="5"/>
        <v>7.6857855551156221E-2</v>
      </c>
    </row>
    <row r="6" spans="1:10" x14ac:dyDescent="0.25">
      <c r="A6" t="s">
        <v>13</v>
      </c>
      <c r="B6">
        <v>5</v>
      </c>
      <c r="C6" s="2">
        <f t="shared" ca="1" si="0"/>
        <v>0</v>
      </c>
      <c r="D6" s="3">
        <f t="shared" ca="1" si="1"/>
        <v>562.11428571428576</v>
      </c>
      <c r="E6" s="3">
        <f t="shared" ca="1" si="2"/>
        <v>0.7272142857142857</v>
      </c>
      <c r="F6" s="3">
        <f t="shared" ca="1" si="3"/>
        <v>1</v>
      </c>
      <c r="G6" s="3">
        <f t="shared" ca="1" si="4"/>
        <v>0.29065078526359073</v>
      </c>
      <c r="H6" s="3">
        <f t="shared" ca="1" si="5"/>
        <v>0.31484909719567911</v>
      </c>
    </row>
    <row r="7" spans="1:10" x14ac:dyDescent="0.25">
      <c r="A7" t="s">
        <v>9</v>
      </c>
      <c r="B7">
        <v>6</v>
      </c>
      <c r="C7" s="2">
        <f t="shared" ca="1" si="0"/>
        <v>0</v>
      </c>
      <c r="D7" s="3">
        <f t="shared" ca="1" si="1"/>
        <v>559.5</v>
      </c>
      <c r="E7" s="3">
        <f t="shared" ca="1" si="2"/>
        <v>0.89114285714285713</v>
      </c>
      <c r="F7" s="3">
        <f t="shared" ca="1" si="3"/>
        <v>1</v>
      </c>
      <c r="G7" s="3">
        <f t="shared" ca="1" si="4"/>
        <v>0.31524299967070957</v>
      </c>
      <c r="H7" s="3">
        <f t="shared" ca="1" si="5"/>
        <v>0.29641262222707371</v>
      </c>
    </row>
    <row r="8" spans="1:10" x14ac:dyDescent="0.25">
      <c r="A8" t="s">
        <v>16</v>
      </c>
      <c r="B8">
        <v>7</v>
      </c>
      <c r="C8" s="2">
        <f t="shared" ca="1" si="0"/>
        <v>2.8571428571428571E-2</v>
      </c>
      <c r="D8" s="3">
        <f t="shared" ca="1" si="1"/>
        <v>539.34285714285716</v>
      </c>
      <c r="E8" s="3">
        <f t="shared" ca="1" si="2"/>
        <v>0.80657142857142861</v>
      </c>
      <c r="F8" s="3">
        <f t="shared" ca="1" si="3"/>
        <v>0.97142857142857153</v>
      </c>
      <c r="G8" s="3">
        <f t="shared" ca="1" si="4"/>
        <v>0.29713069615582716</v>
      </c>
      <c r="H8" s="3">
        <f t="shared" ca="1" si="5"/>
        <v>0.28493437526723181</v>
      </c>
    </row>
    <row r="9" spans="1:10" x14ac:dyDescent="0.25">
      <c r="A9" t="s">
        <v>10</v>
      </c>
      <c r="B9">
        <v>8</v>
      </c>
      <c r="C9" s="2">
        <f t="shared" ca="1" si="0"/>
        <v>0</v>
      </c>
      <c r="D9" s="3">
        <f t="shared" ca="1" si="1"/>
        <v>536.87142857142862</v>
      </c>
      <c r="E9" s="3">
        <f t="shared" ca="1" si="2"/>
        <v>0.85771428571428565</v>
      </c>
      <c r="F9" s="3">
        <f t="shared" ca="1" si="3"/>
        <v>1</v>
      </c>
      <c r="G9" s="3">
        <f t="shared" ca="1" si="4"/>
        <v>0.31590517759648384</v>
      </c>
      <c r="H9" s="3">
        <f t="shared" ca="1" si="5"/>
        <v>0.32155958497834802</v>
      </c>
    </row>
    <row r="10" spans="1:10" x14ac:dyDescent="0.25">
      <c r="A10" t="s">
        <v>21</v>
      </c>
      <c r="B10">
        <v>9</v>
      </c>
      <c r="C10" s="2">
        <f t="shared" ca="1" si="0"/>
        <v>0.9285714285714286</v>
      </c>
      <c r="D10" s="3">
        <f t="shared" ca="1" si="1"/>
        <v>534.79999999999995</v>
      </c>
      <c r="E10" s="3">
        <f t="shared" ca="1" si="2"/>
        <v>0</v>
      </c>
      <c r="F10" s="3">
        <f t="shared" ca="1" si="3"/>
        <v>7.1428571428571425E-2</v>
      </c>
      <c r="G10" s="3">
        <f t="shared" ca="1" si="4"/>
        <v>0</v>
      </c>
      <c r="H10" s="3">
        <f t="shared" ca="1" si="5"/>
        <v>-0.26009060146168611</v>
      </c>
    </row>
    <row r="11" spans="1:10" x14ac:dyDescent="0.25">
      <c r="A11" t="s">
        <v>18</v>
      </c>
      <c r="B11">
        <v>10</v>
      </c>
      <c r="C11" s="2">
        <f t="shared" ca="1" si="0"/>
        <v>0.67142857142857137</v>
      </c>
      <c r="D11" s="3">
        <f t="shared" ca="1" si="1"/>
        <v>534.75714285714287</v>
      </c>
      <c r="E11" s="3">
        <f t="shared" ca="1" si="2"/>
        <v>0.39085714285714285</v>
      </c>
      <c r="F11" s="3">
        <f t="shared" ca="1" si="3"/>
        <v>0.32857142857142863</v>
      </c>
      <c r="G11" s="3">
        <f t="shared" ca="1" si="4"/>
        <v>0.14743571932243557</v>
      </c>
      <c r="H11" s="3">
        <f t="shared" ca="1" si="5"/>
        <v>1.5507710699052841E-2</v>
      </c>
    </row>
    <row r="12" spans="1:10" x14ac:dyDescent="0.25">
      <c r="A12" t="s">
        <v>11</v>
      </c>
      <c r="B12">
        <v>11</v>
      </c>
      <c r="C12" s="2">
        <f t="shared" ca="1" si="0"/>
        <v>0</v>
      </c>
      <c r="D12" s="3">
        <f t="shared" ca="1" si="1"/>
        <v>534.52857142857147</v>
      </c>
      <c r="E12" s="3">
        <f t="shared" ca="1" si="2"/>
        <v>0.80899999999999994</v>
      </c>
      <c r="F12" s="3">
        <f t="shared" ca="1" si="3"/>
        <v>1</v>
      </c>
      <c r="G12" s="3">
        <f t="shared" ca="1" si="4"/>
        <v>0.30712678339981675</v>
      </c>
      <c r="H12" s="3">
        <f t="shared" ca="1" si="5"/>
        <v>0.32252085536997505</v>
      </c>
    </row>
    <row r="13" spans="1:10" x14ac:dyDescent="0.25">
      <c r="A13" t="s">
        <v>12</v>
      </c>
      <c r="B13">
        <v>12</v>
      </c>
      <c r="C13" s="2">
        <f t="shared" ca="1" si="0"/>
        <v>0</v>
      </c>
      <c r="D13" s="3">
        <f t="shared" ca="1" si="1"/>
        <v>524.70000000000005</v>
      </c>
      <c r="E13" s="3">
        <f t="shared" ca="1" si="2"/>
        <v>1</v>
      </c>
      <c r="F13" s="3">
        <f t="shared" ca="1" si="3"/>
        <v>1</v>
      </c>
      <c r="G13" s="3">
        <f t="shared" ca="1" si="4"/>
        <v>0.32592040387515991</v>
      </c>
      <c r="H13" s="3">
        <f t="shared" ca="1" si="5"/>
        <v>0.26009060146168611</v>
      </c>
    </row>
    <row r="14" spans="1:10" x14ac:dyDescent="0.25">
      <c r="A14" t="s">
        <v>15</v>
      </c>
      <c r="B14">
        <v>13</v>
      </c>
      <c r="C14" s="2">
        <f t="shared" ca="1" si="0"/>
        <v>7.1428571428571425E-2</v>
      </c>
      <c r="D14" s="3">
        <f t="shared" ca="1" si="1"/>
        <v>522.35714285714289</v>
      </c>
      <c r="E14" s="3">
        <f t="shared" ca="1" si="2"/>
        <v>0.65235714285714297</v>
      </c>
      <c r="F14" s="3">
        <f t="shared" ca="1" si="3"/>
        <v>0.9285714285714286</v>
      </c>
      <c r="G14" s="3">
        <f t="shared" ca="1" si="4"/>
        <v>0.27460139083771085</v>
      </c>
      <c r="H14" s="3">
        <f t="shared" ca="1" si="5"/>
        <v>0.30683720644524637</v>
      </c>
    </row>
    <row r="15" spans="1:10" x14ac:dyDescent="0.25">
      <c r="A15" t="s">
        <v>14</v>
      </c>
      <c r="B15">
        <v>14</v>
      </c>
      <c r="C15" s="2">
        <f t="shared" ca="1" si="0"/>
        <v>7.1428571428571425E-2</v>
      </c>
      <c r="D15" s="3">
        <f t="shared" ca="1" si="1"/>
        <v>515.70000000000005</v>
      </c>
      <c r="E15" s="3">
        <f t="shared" ca="1" si="2"/>
        <v>0.66099999999999992</v>
      </c>
      <c r="F15" s="3">
        <f t="shared" ca="1" si="3"/>
        <v>0.9285714285714286</v>
      </c>
      <c r="G15" s="3">
        <f t="shared" ca="1" si="4"/>
        <v>0.27666269080202854</v>
      </c>
      <c r="H15" s="3">
        <f t="shared" ca="1" si="5"/>
        <v>0.30767006343575376</v>
      </c>
    </row>
    <row r="16" spans="1:10" x14ac:dyDescent="0.25">
      <c r="A16" t="s">
        <v>20</v>
      </c>
      <c r="B16">
        <v>15</v>
      </c>
      <c r="C16" s="2">
        <f t="shared" ca="1" si="0"/>
        <v>0.75714285714285712</v>
      </c>
      <c r="D16" s="3">
        <f t="shared" ca="1" si="1"/>
        <v>480.74285714285713</v>
      </c>
      <c r="E16" s="3">
        <f t="shared" ca="1" si="2"/>
        <v>0.25999999999999995</v>
      </c>
      <c r="F16" s="3">
        <f t="shared" ca="1" si="3"/>
        <v>0.24285714285714288</v>
      </c>
      <c r="G16" s="3">
        <f t="shared" ca="1" si="4"/>
        <v>9.7553060782267595E-2</v>
      </c>
      <c r="H16" s="3">
        <f t="shared" ca="1" si="5"/>
        <v>-8.4732467195252265E-2</v>
      </c>
    </row>
  </sheetData>
  <sortState xmlns:xlrd2="http://schemas.microsoft.com/office/spreadsheetml/2017/richdata2" ref="A2:H16">
    <sortCondition descending="1" ref="D2:D16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16" sqref="A1:G1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7689</v>
      </c>
      <c r="D2">
        <v>0.85357142857142854</v>
      </c>
      <c r="E2">
        <v>0.9285714285714286</v>
      </c>
      <c r="F2">
        <v>0.30815890081047981</v>
      </c>
      <c r="G2">
        <v>0.30811839535569652</v>
      </c>
    </row>
    <row r="3" spans="1:7" x14ac:dyDescent="0.25">
      <c r="A3" t="s">
        <v>8</v>
      </c>
      <c r="B3">
        <v>0</v>
      </c>
      <c r="C3">
        <v>7380</v>
      </c>
      <c r="D3">
        <v>0.85428571428571431</v>
      </c>
      <c r="E3">
        <v>1</v>
      </c>
      <c r="F3">
        <v>0.3078659337811574</v>
      </c>
      <c r="G3">
        <v>0.30343770311258123</v>
      </c>
    </row>
    <row r="4" spans="1:7" x14ac:dyDescent="0.25">
      <c r="A4" t="s">
        <v>9</v>
      </c>
      <c r="B4">
        <v>0</v>
      </c>
      <c r="C4">
        <v>7377</v>
      </c>
      <c r="D4">
        <v>0.89535714285714285</v>
      </c>
      <c r="E4">
        <v>1</v>
      </c>
      <c r="F4">
        <v>0.3135929906106632</v>
      </c>
      <c r="G4">
        <v>0.29659971828917547</v>
      </c>
    </row>
    <row r="5" spans="1:7" x14ac:dyDescent="0.25">
      <c r="A5" t="s">
        <v>10</v>
      </c>
      <c r="B5">
        <v>0</v>
      </c>
      <c r="C5">
        <v>7369</v>
      </c>
      <c r="D5">
        <v>0.85392857142857148</v>
      </c>
      <c r="E5">
        <v>1</v>
      </c>
      <c r="F5">
        <v>0.31311215095007772</v>
      </c>
      <c r="G5">
        <v>0.32418798909310148</v>
      </c>
    </row>
    <row r="6" spans="1:7" x14ac:dyDescent="0.25">
      <c r="A6" t="s">
        <v>11</v>
      </c>
      <c r="B6">
        <v>0</v>
      </c>
      <c r="C6">
        <v>7361</v>
      </c>
      <c r="D6">
        <v>0.83285714285714285</v>
      </c>
      <c r="E6">
        <v>1</v>
      </c>
      <c r="F6">
        <v>0.30945124740746949</v>
      </c>
      <c r="G6">
        <v>0.3260386273619707</v>
      </c>
    </row>
    <row r="7" spans="1:7" x14ac:dyDescent="0.25">
      <c r="A7" t="s">
        <v>12</v>
      </c>
      <c r="B7">
        <v>0</v>
      </c>
      <c r="C7">
        <v>7263</v>
      </c>
      <c r="D7">
        <v>1</v>
      </c>
      <c r="E7">
        <v>1</v>
      </c>
      <c r="F7">
        <v>0.3234706037475214</v>
      </c>
      <c r="G7">
        <v>0.2605645089581049</v>
      </c>
    </row>
    <row r="8" spans="1:7" x14ac:dyDescent="0.25">
      <c r="A8" t="s">
        <v>13</v>
      </c>
      <c r="B8">
        <v>0</v>
      </c>
      <c r="C8">
        <v>6964</v>
      </c>
      <c r="D8">
        <v>0.71892857142857147</v>
      </c>
      <c r="E8">
        <v>1</v>
      </c>
      <c r="F8">
        <v>0.28504704044915191</v>
      </c>
      <c r="G8">
        <v>0.31071090325538853</v>
      </c>
    </row>
    <row r="9" spans="1:7" x14ac:dyDescent="0.25">
      <c r="A9" t="s">
        <v>14</v>
      </c>
      <c r="B9">
        <v>1</v>
      </c>
      <c r="C9">
        <v>6828</v>
      </c>
      <c r="D9">
        <v>0.65821428571428575</v>
      </c>
      <c r="E9">
        <v>0.9285714285714286</v>
      </c>
      <c r="F9">
        <v>0.27101440856189668</v>
      </c>
      <c r="G9">
        <v>0.30255848214540643</v>
      </c>
    </row>
    <row r="10" spans="1:7" x14ac:dyDescent="0.25">
      <c r="A10" t="s">
        <v>15</v>
      </c>
      <c r="B10">
        <v>1</v>
      </c>
      <c r="C10">
        <v>6825</v>
      </c>
      <c r="D10">
        <v>0.65</v>
      </c>
      <c r="E10">
        <v>0.9285714285714286</v>
      </c>
      <c r="F10">
        <v>0.26926108161799739</v>
      </c>
      <c r="G10">
        <v>0.30205053722662939</v>
      </c>
    </row>
    <row r="11" spans="1:7" x14ac:dyDescent="0.25">
      <c r="A11" t="s">
        <v>16</v>
      </c>
      <c r="B11">
        <v>1</v>
      </c>
      <c r="C11">
        <v>6746</v>
      </c>
      <c r="D11">
        <v>0.8035714285714286</v>
      </c>
      <c r="E11">
        <v>0.9285714285714286</v>
      </c>
      <c r="F11">
        <v>0.29268523562936127</v>
      </c>
      <c r="G11">
        <v>0.28189889344034952</v>
      </c>
    </row>
    <row r="12" spans="1:7" x14ac:dyDescent="0.25">
      <c r="A12" t="s">
        <v>17</v>
      </c>
      <c r="B12">
        <v>7</v>
      </c>
      <c r="C12">
        <v>6409</v>
      </c>
      <c r="D12">
        <v>0.5903571428571428</v>
      </c>
      <c r="E12">
        <v>0.5</v>
      </c>
      <c r="F12">
        <v>0.19881429198717909</v>
      </c>
      <c r="G12">
        <v>8.3775487091025294E-2</v>
      </c>
    </row>
    <row r="13" spans="1:7" x14ac:dyDescent="0.25">
      <c r="A13" t="s">
        <v>18</v>
      </c>
      <c r="B13">
        <v>9</v>
      </c>
      <c r="C13">
        <v>5904</v>
      </c>
      <c r="D13">
        <v>0.43035714285714288</v>
      </c>
      <c r="E13">
        <v>0.35714285714285721</v>
      </c>
      <c r="F13">
        <v>0.16007211014849601</v>
      </c>
      <c r="G13">
        <v>4.5863456940746762E-2</v>
      </c>
    </row>
    <row r="14" spans="1:7" x14ac:dyDescent="0.25">
      <c r="A14" t="s">
        <v>19</v>
      </c>
      <c r="B14">
        <v>6</v>
      </c>
      <c r="C14">
        <v>5902</v>
      </c>
      <c r="D14">
        <v>0.49857142857142861</v>
      </c>
      <c r="E14">
        <v>0.5714285714285714</v>
      </c>
      <c r="F14">
        <v>0.16193674348441139</v>
      </c>
      <c r="G14">
        <v>2.7677983583096902E-3</v>
      </c>
    </row>
    <row r="15" spans="1:7" x14ac:dyDescent="0.25">
      <c r="A15" t="s">
        <v>20</v>
      </c>
      <c r="B15">
        <v>11</v>
      </c>
      <c r="C15">
        <v>5667</v>
      </c>
      <c r="D15">
        <v>0.28000000000000003</v>
      </c>
      <c r="E15">
        <v>0.2142857142857143</v>
      </c>
      <c r="F15">
        <v>9.6140811532921713E-2</v>
      </c>
      <c r="G15">
        <v>-9.9582092331718997E-2</v>
      </c>
    </row>
    <row r="16" spans="1:7" x14ac:dyDescent="0.25">
      <c r="A16" t="s">
        <v>21</v>
      </c>
      <c r="B16">
        <v>13</v>
      </c>
      <c r="C16">
        <v>4864</v>
      </c>
      <c r="D16">
        <v>0</v>
      </c>
      <c r="E16">
        <v>7.1428571428571425E-2</v>
      </c>
      <c r="F16">
        <v>0</v>
      </c>
      <c r="G16">
        <v>-0.2605645089581049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>
        <v>7525</v>
      </c>
      <c r="D2">
        <v>0.91678571428571431</v>
      </c>
      <c r="E2">
        <v>1</v>
      </c>
      <c r="F2">
        <v>0.31945216936044107</v>
      </c>
      <c r="G2">
        <v>0.3088258460994408</v>
      </c>
    </row>
    <row r="3" spans="1:7" x14ac:dyDescent="0.25">
      <c r="A3" t="s">
        <v>9</v>
      </c>
      <c r="B3">
        <v>0</v>
      </c>
      <c r="C3">
        <v>7414</v>
      </c>
      <c r="D3">
        <v>0.89321428571428574</v>
      </c>
      <c r="E3">
        <v>1</v>
      </c>
      <c r="F3">
        <v>0.31248934578783227</v>
      </c>
      <c r="G3">
        <v>0.29998955110250503</v>
      </c>
    </row>
    <row r="4" spans="1:7" x14ac:dyDescent="0.25">
      <c r="A4" t="s">
        <v>11</v>
      </c>
      <c r="B4">
        <v>0</v>
      </c>
      <c r="C4">
        <v>7362</v>
      </c>
      <c r="D4">
        <v>0.83714285714285719</v>
      </c>
      <c r="E4">
        <v>1</v>
      </c>
      <c r="F4">
        <v>0.30862011994943078</v>
      </c>
      <c r="G4">
        <v>0.32553530678031789</v>
      </c>
    </row>
    <row r="5" spans="1:7" x14ac:dyDescent="0.25">
      <c r="A5" t="s">
        <v>8</v>
      </c>
      <c r="B5">
        <v>0</v>
      </c>
      <c r="C5">
        <v>7342</v>
      </c>
      <c r="D5">
        <v>0.84571428571428575</v>
      </c>
      <c r="E5">
        <v>1</v>
      </c>
      <c r="F5">
        <v>0.30472653427304619</v>
      </c>
      <c r="G5">
        <v>0.30254951681786091</v>
      </c>
    </row>
    <row r="6" spans="1:7" x14ac:dyDescent="0.25">
      <c r="A6" t="s">
        <v>10</v>
      </c>
      <c r="B6">
        <v>0</v>
      </c>
      <c r="C6">
        <v>7340</v>
      </c>
      <c r="D6">
        <v>0.84428571428571431</v>
      </c>
      <c r="E6">
        <v>1</v>
      </c>
      <c r="F6">
        <v>0.31022735214936831</v>
      </c>
      <c r="G6">
        <v>0.32607074031759842</v>
      </c>
    </row>
    <row r="7" spans="1:7" x14ac:dyDescent="0.25">
      <c r="A7" t="s">
        <v>12</v>
      </c>
      <c r="B7">
        <v>0</v>
      </c>
      <c r="C7">
        <v>7209</v>
      </c>
      <c r="D7">
        <v>1</v>
      </c>
      <c r="E7">
        <v>1</v>
      </c>
      <c r="F7">
        <v>0.32187593107640489</v>
      </c>
      <c r="G7">
        <v>0.26066796265097553</v>
      </c>
    </row>
    <row r="8" spans="1:7" x14ac:dyDescent="0.25">
      <c r="A8" t="s">
        <v>13</v>
      </c>
      <c r="B8">
        <v>0</v>
      </c>
      <c r="C8">
        <v>7076</v>
      </c>
      <c r="D8">
        <v>0.73642857142857143</v>
      </c>
      <c r="E8">
        <v>1</v>
      </c>
      <c r="F8">
        <v>0.28606754617932978</v>
      </c>
      <c r="G8">
        <v>0.30698262962415618</v>
      </c>
    </row>
    <row r="9" spans="1:7" x14ac:dyDescent="0.25">
      <c r="A9" t="s">
        <v>15</v>
      </c>
      <c r="B9">
        <v>1</v>
      </c>
      <c r="C9">
        <v>6835</v>
      </c>
      <c r="D9">
        <v>0.64892857142857141</v>
      </c>
      <c r="E9">
        <v>0.9285714285714286</v>
      </c>
      <c r="F9">
        <v>0.26782759597606709</v>
      </c>
      <c r="G9">
        <v>0.30224679731524617</v>
      </c>
    </row>
    <row r="10" spans="1:7" x14ac:dyDescent="0.25">
      <c r="A10" t="s">
        <v>14</v>
      </c>
      <c r="B10">
        <v>1</v>
      </c>
      <c r="C10">
        <v>6803</v>
      </c>
      <c r="D10">
        <v>0.66607142857142854</v>
      </c>
      <c r="E10">
        <v>0.9285714285714286</v>
      </c>
      <c r="F10">
        <v>0.27110675283681018</v>
      </c>
      <c r="G10">
        <v>0.30227681004323792</v>
      </c>
    </row>
    <row r="11" spans="1:7" x14ac:dyDescent="0.25">
      <c r="A11" t="s">
        <v>19</v>
      </c>
      <c r="B11">
        <v>8</v>
      </c>
      <c r="C11">
        <v>6727</v>
      </c>
      <c r="D11">
        <v>0.48857142857142849</v>
      </c>
      <c r="E11">
        <v>0.42857142857142849</v>
      </c>
      <c r="F11">
        <v>0.15712976627640601</v>
      </c>
      <c r="G11">
        <v>-6.3248981827240831E-3</v>
      </c>
    </row>
    <row r="12" spans="1:7" x14ac:dyDescent="0.25">
      <c r="A12" t="s">
        <v>16</v>
      </c>
      <c r="B12">
        <v>0</v>
      </c>
      <c r="C12">
        <v>6690</v>
      </c>
      <c r="D12">
        <v>0.80428571428571427</v>
      </c>
      <c r="E12">
        <v>1</v>
      </c>
      <c r="F12">
        <v>0.29130288359303591</v>
      </c>
      <c r="G12">
        <v>0.28154780150054481</v>
      </c>
    </row>
    <row r="13" spans="1:7" x14ac:dyDescent="0.25">
      <c r="A13" t="s">
        <v>17</v>
      </c>
      <c r="B13">
        <v>7</v>
      </c>
      <c r="C13">
        <v>6310</v>
      </c>
      <c r="D13">
        <v>0.59857142857142853</v>
      </c>
      <c r="E13">
        <v>0.5</v>
      </c>
      <c r="F13">
        <v>0.20001715097132461</v>
      </c>
      <c r="G13">
        <v>8.5073733351931621E-2</v>
      </c>
    </row>
    <row r="14" spans="1:7" x14ac:dyDescent="0.25">
      <c r="A14" t="s">
        <v>18</v>
      </c>
      <c r="B14">
        <v>9</v>
      </c>
      <c r="C14">
        <v>5818</v>
      </c>
      <c r="D14">
        <v>0.435</v>
      </c>
      <c r="E14">
        <v>0.35714285714285721</v>
      </c>
      <c r="F14">
        <v>0.16100730937720209</v>
      </c>
      <c r="G14">
        <v>5.0475031221095631E-2</v>
      </c>
    </row>
    <row r="15" spans="1:7" x14ac:dyDescent="0.25">
      <c r="A15" t="s">
        <v>20</v>
      </c>
      <c r="B15">
        <v>13</v>
      </c>
      <c r="C15">
        <v>5654</v>
      </c>
      <c r="D15">
        <v>0.28749999999999998</v>
      </c>
      <c r="E15">
        <v>7.1428571428571425E-2</v>
      </c>
      <c r="F15">
        <v>9.9037743977019824E-2</v>
      </c>
      <c r="G15">
        <v>-9.406673008188611E-2</v>
      </c>
    </row>
    <row r="16" spans="1:7" x14ac:dyDescent="0.25">
      <c r="A16" t="s">
        <v>21</v>
      </c>
      <c r="B16">
        <v>13</v>
      </c>
      <c r="C16">
        <v>4860</v>
      </c>
      <c r="D16">
        <v>0</v>
      </c>
      <c r="E16">
        <v>7.1428571428571425E-2</v>
      </c>
      <c r="F16">
        <v>0</v>
      </c>
      <c r="G16">
        <v>-0.26066796265097553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7633</v>
      </c>
      <c r="D2">
        <v>0.87714285714285711</v>
      </c>
      <c r="E2">
        <v>0.9285714285714286</v>
      </c>
      <c r="F2">
        <v>0.31424652259900981</v>
      </c>
      <c r="G2">
        <v>0.30855736768126951</v>
      </c>
    </row>
    <row r="3" spans="1:7" x14ac:dyDescent="0.25">
      <c r="A3" t="s">
        <v>8</v>
      </c>
      <c r="B3">
        <v>0</v>
      </c>
      <c r="C3">
        <v>7441</v>
      </c>
      <c r="D3">
        <v>0.85392857142857148</v>
      </c>
      <c r="E3">
        <v>1</v>
      </c>
      <c r="F3">
        <v>0.30860847952085407</v>
      </c>
      <c r="G3">
        <v>0.30056422009682882</v>
      </c>
    </row>
    <row r="4" spans="1:7" x14ac:dyDescent="0.25">
      <c r="A4" t="s">
        <v>10</v>
      </c>
      <c r="B4">
        <v>0</v>
      </c>
      <c r="C4">
        <v>7397</v>
      </c>
      <c r="D4">
        <v>0.85428571428571431</v>
      </c>
      <c r="E4">
        <v>1</v>
      </c>
      <c r="F4">
        <v>0.31424854233876293</v>
      </c>
      <c r="G4">
        <v>0.32190236184000948</v>
      </c>
    </row>
    <row r="5" spans="1:7" x14ac:dyDescent="0.25">
      <c r="A5" t="s">
        <v>12</v>
      </c>
      <c r="B5">
        <v>0</v>
      </c>
      <c r="C5">
        <v>7356</v>
      </c>
      <c r="D5">
        <v>1</v>
      </c>
      <c r="E5">
        <v>1</v>
      </c>
      <c r="F5">
        <v>0.32486936379785158</v>
      </c>
      <c r="G5">
        <v>0.26081291543919632</v>
      </c>
    </row>
    <row r="6" spans="1:7" x14ac:dyDescent="0.25">
      <c r="A6" t="s">
        <v>9</v>
      </c>
      <c r="B6">
        <v>0</v>
      </c>
      <c r="C6">
        <v>7338</v>
      </c>
      <c r="D6">
        <v>0.88535714285714284</v>
      </c>
      <c r="E6">
        <v>1</v>
      </c>
      <c r="F6">
        <v>0.31396614037348508</v>
      </c>
      <c r="G6">
        <v>0.29944764598188361</v>
      </c>
    </row>
    <row r="7" spans="1:7" x14ac:dyDescent="0.25">
      <c r="A7" t="s">
        <v>11</v>
      </c>
      <c r="B7">
        <v>0</v>
      </c>
      <c r="C7">
        <v>7207</v>
      </c>
      <c r="D7">
        <v>0.79892857142857143</v>
      </c>
      <c r="E7">
        <v>1</v>
      </c>
      <c r="F7">
        <v>0.30459304917454738</v>
      </c>
      <c r="G7">
        <v>0.32283147834883008</v>
      </c>
    </row>
    <row r="8" spans="1:7" x14ac:dyDescent="0.25">
      <c r="A8" t="s">
        <v>13</v>
      </c>
      <c r="B8">
        <v>0</v>
      </c>
      <c r="C8">
        <v>7022</v>
      </c>
      <c r="D8">
        <v>0.72642857142857142</v>
      </c>
      <c r="E8">
        <v>1</v>
      </c>
      <c r="F8">
        <v>0.28962734420072461</v>
      </c>
      <c r="G8">
        <v>0.31335415472260869</v>
      </c>
    </row>
    <row r="9" spans="1:7" x14ac:dyDescent="0.25">
      <c r="A9" t="s">
        <v>15</v>
      </c>
      <c r="B9">
        <v>1</v>
      </c>
      <c r="C9">
        <v>6881</v>
      </c>
      <c r="D9">
        <v>0.64928571428571424</v>
      </c>
      <c r="E9">
        <v>0.9285714285714286</v>
      </c>
      <c r="F9">
        <v>0.27301809139503103</v>
      </c>
      <c r="G9">
        <v>0.30322032940721771</v>
      </c>
    </row>
    <row r="10" spans="1:7" x14ac:dyDescent="0.25">
      <c r="A10" t="s">
        <v>16</v>
      </c>
      <c r="B10">
        <v>1</v>
      </c>
      <c r="C10">
        <v>6857</v>
      </c>
      <c r="D10">
        <v>0.79892857142857143</v>
      </c>
      <c r="E10">
        <v>0.9285714285714286</v>
      </c>
      <c r="F10">
        <v>0.29496759087638269</v>
      </c>
      <c r="G10">
        <v>0.28448611634906767</v>
      </c>
    </row>
    <row r="11" spans="1:7" x14ac:dyDescent="0.25">
      <c r="A11" t="s">
        <v>14</v>
      </c>
      <c r="B11">
        <v>1</v>
      </c>
      <c r="C11">
        <v>6791</v>
      </c>
      <c r="D11">
        <v>0.65678571428571431</v>
      </c>
      <c r="E11">
        <v>0.9285714285714286</v>
      </c>
      <c r="F11">
        <v>0.27465496428352121</v>
      </c>
      <c r="G11">
        <v>0.30339560681314431</v>
      </c>
    </row>
    <row r="12" spans="1:7" x14ac:dyDescent="0.25">
      <c r="A12" t="s">
        <v>17</v>
      </c>
      <c r="B12">
        <v>8</v>
      </c>
      <c r="C12">
        <v>6303</v>
      </c>
      <c r="D12">
        <v>0.45464285714285713</v>
      </c>
      <c r="E12">
        <v>0.42857142857142849</v>
      </c>
      <c r="F12">
        <v>0.1781230875436374</v>
      </c>
      <c r="G12">
        <v>9.6744167667287467E-2</v>
      </c>
    </row>
    <row r="13" spans="1:7" x14ac:dyDescent="0.25">
      <c r="A13" t="s">
        <v>18</v>
      </c>
      <c r="B13">
        <v>9</v>
      </c>
      <c r="C13">
        <v>5637</v>
      </c>
      <c r="D13">
        <v>0.39428571428571429</v>
      </c>
      <c r="E13">
        <v>0.35714285714285721</v>
      </c>
      <c r="F13">
        <v>0.148918587030723</v>
      </c>
      <c r="G13">
        <v>1.91262325435963E-2</v>
      </c>
    </row>
    <row r="14" spans="1:7" x14ac:dyDescent="0.25">
      <c r="A14" t="s">
        <v>19</v>
      </c>
      <c r="B14">
        <v>5</v>
      </c>
      <c r="C14">
        <v>5527</v>
      </c>
      <c r="D14">
        <v>0.50464285714285717</v>
      </c>
      <c r="E14">
        <v>0.6428571428571429</v>
      </c>
      <c r="F14">
        <v>0.1634321756749739</v>
      </c>
      <c r="G14">
        <v>3.2324258081617261E-3</v>
      </c>
    </row>
    <row r="15" spans="1:7" x14ac:dyDescent="0.25">
      <c r="A15" t="s">
        <v>20</v>
      </c>
      <c r="B15">
        <v>11</v>
      </c>
      <c r="C15">
        <v>5008</v>
      </c>
      <c r="D15">
        <v>0.24607142857142861</v>
      </c>
      <c r="E15">
        <v>0.2142857142857143</v>
      </c>
      <c r="F15">
        <v>9.4272238031227348E-2</v>
      </c>
      <c r="G15">
        <v>-8.9700756240170251E-2</v>
      </c>
    </row>
    <row r="16" spans="1:7" x14ac:dyDescent="0.25">
      <c r="A16" t="s">
        <v>21</v>
      </c>
      <c r="B16">
        <v>13</v>
      </c>
      <c r="C16">
        <v>4908</v>
      </c>
      <c r="D16">
        <v>0</v>
      </c>
      <c r="E16">
        <v>7.1428571428571425E-2</v>
      </c>
      <c r="F16">
        <v>0</v>
      </c>
      <c r="G16">
        <v>-0.26081291543919632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7863</v>
      </c>
      <c r="D2">
        <v>0.85357142857142854</v>
      </c>
      <c r="E2">
        <v>0.9285714285714286</v>
      </c>
      <c r="F2">
        <v>0.30937559956073207</v>
      </c>
      <c r="G2">
        <v>0.31069578424745292</v>
      </c>
    </row>
    <row r="3" spans="1:7" x14ac:dyDescent="0.25">
      <c r="A3" t="s">
        <v>9</v>
      </c>
      <c r="B3">
        <v>0</v>
      </c>
      <c r="C3">
        <v>7483</v>
      </c>
      <c r="D3">
        <v>0.89500000000000002</v>
      </c>
      <c r="E3">
        <v>1</v>
      </c>
      <c r="F3">
        <v>0.31530793556507358</v>
      </c>
      <c r="G3">
        <v>0.30012306173948639</v>
      </c>
    </row>
    <row r="4" spans="1:7" x14ac:dyDescent="0.25">
      <c r="A4" t="s">
        <v>10</v>
      </c>
      <c r="B4">
        <v>0</v>
      </c>
      <c r="C4">
        <v>7382</v>
      </c>
      <c r="D4">
        <v>0.85928571428571432</v>
      </c>
      <c r="E4">
        <v>1</v>
      </c>
      <c r="F4">
        <v>0.31467914199977831</v>
      </c>
      <c r="G4">
        <v>0.32106078820921591</v>
      </c>
    </row>
    <row r="5" spans="1:7" x14ac:dyDescent="0.25">
      <c r="A5" t="s">
        <v>8</v>
      </c>
      <c r="B5">
        <v>0</v>
      </c>
      <c r="C5">
        <v>7336</v>
      </c>
      <c r="D5">
        <v>0.8532142857142857</v>
      </c>
      <c r="E5">
        <v>1</v>
      </c>
      <c r="F5">
        <v>0.30909278554458441</v>
      </c>
      <c r="G5">
        <v>0.30504155323642951</v>
      </c>
    </row>
    <row r="6" spans="1:7" x14ac:dyDescent="0.25">
      <c r="A6" t="s">
        <v>12</v>
      </c>
      <c r="B6">
        <v>0</v>
      </c>
      <c r="C6">
        <v>7263</v>
      </c>
      <c r="D6">
        <v>1</v>
      </c>
      <c r="E6">
        <v>1</v>
      </c>
      <c r="F6">
        <v>0.32479877316473882</v>
      </c>
      <c r="G6">
        <v>0.26217947637327599</v>
      </c>
    </row>
    <row r="7" spans="1:7" x14ac:dyDescent="0.25">
      <c r="A7" t="s">
        <v>11</v>
      </c>
      <c r="B7">
        <v>0</v>
      </c>
      <c r="C7">
        <v>7169</v>
      </c>
      <c r="D7">
        <v>0.79749999999999999</v>
      </c>
      <c r="E7">
        <v>1</v>
      </c>
      <c r="F7">
        <v>0.30334985268439518</v>
      </c>
      <c r="G7">
        <v>0.32015105914741637</v>
      </c>
    </row>
    <row r="8" spans="1:7" x14ac:dyDescent="0.25">
      <c r="A8" t="s">
        <v>13</v>
      </c>
      <c r="B8">
        <v>0</v>
      </c>
      <c r="C8">
        <v>7013</v>
      </c>
      <c r="D8">
        <v>0.72571428571428576</v>
      </c>
      <c r="E8">
        <v>1</v>
      </c>
      <c r="F8">
        <v>0.28832220652124108</v>
      </c>
      <c r="G8">
        <v>0.31145821251213801</v>
      </c>
    </row>
    <row r="9" spans="1:7" x14ac:dyDescent="0.25">
      <c r="A9" t="s">
        <v>15</v>
      </c>
      <c r="B9">
        <v>1</v>
      </c>
      <c r="C9">
        <v>6835</v>
      </c>
      <c r="D9">
        <v>0.65249999999999997</v>
      </c>
      <c r="E9">
        <v>0.9285714285714286</v>
      </c>
      <c r="F9">
        <v>0.27261990771120181</v>
      </c>
      <c r="G9">
        <v>0.30310293206523292</v>
      </c>
    </row>
    <row r="10" spans="1:7" x14ac:dyDescent="0.25">
      <c r="A10" t="s">
        <v>16</v>
      </c>
      <c r="B10">
        <v>1</v>
      </c>
      <c r="C10">
        <v>6822</v>
      </c>
      <c r="D10">
        <v>0.8046428571428571</v>
      </c>
      <c r="E10">
        <v>0.9285714285714286</v>
      </c>
      <c r="F10">
        <v>0.29553681413267058</v>
      </c>
      <c r="G10">
        <v>0.28467384585099581</v>
      </c>
    </row>
    <row r="11" spans="1:7" x14ac:dyDescent="0.25">
      <c r="A11" t="s">
        <v>14</v>
      </c>
      <c r="B11">
        <v>1</v>
      </c>
      <c r="C11">
        <v>6810</v>
      </c>
      <c r="D11">
        <v>0.66035714285714286</v>
      </c>
      <c r="E11">
        <v>0.9285714285714286</v>
      </c>
      <c r="F11">
        <v>0.27396390218694178</v>
      </c>
      <c r="G11">
        <v>0.30221278326946782</v>
      </c>
    </row>
    <row r="12" spans="1:7" x14ac:dyDescent="0.25">
      <c r="A12" t="s">
        <v>17</v>
      </c>
      <c r="B12">
        <v>7</v>
      </c>
      <c r="C12">
        <v>6185</v>
      </c>
      <c r="D12">
        <v>0.49928571428571428</v>
      </c>
      <c r="E12">
        <v>0.5</v>
      </c>
      <c r="F12">
        <v>0.1882585231111768</v>
      </c>
      <c r="G12">
        <v>0.10367520900637479</v>
      </c>
    </row>
    <row r="13" spans="1:7" x14ac:dyDescent="0.25">
      <c r="A13" t="s">
        <v>19</v>
      </c>
      <c r="B13">
        <v>7</v>
      </c>
      <c r="C13">
        <v>5647</v>
      </c>
      <c r="D13">
        <v>0.49857142857142861</v>
      </c>
      <c r="E13">
        <v>0.5</v>
      </c>
      <c r="F13">
        <v>0.16262897672000001</v>
      </c>
      <c r="G13">
        <v>-6.2739059316104103E-4</v>
      </c>
    </row>
    <row r="14" spans="1:7" x14ac:dyDescent="0.25">
      <c r="A14" t="s">
        <v>18</v>
      </c>
      <c r="B14">
        <v>9</v>
      </c>
      <c r="C14">
        <v>5601</v>
      </c>
      <c r="D14">
        <v>0.38285714285714278</v>
      </c>
      <c r="E14">
        <v>0.35714285714285721</v>
      </c>
      <c r="F14">
        <v>0.14444640484101079</v>
      </c>
      <c r="G14">
        <v>9.3424026604670453E-3</v>
      </c>
    </row>
    <row r="15" spans="1:7" x14ac:dyDescent="0.25">
      <c r="A15" t="s">
        <v>20</v>
      </c>
      <c r="B15">
        <v>11</v>
      </c>
      <c r="C15">
        <v>5175</v>
      </c>
      <c r="D15">
        <v>0.26964285714285707</v>
      </c>
      <c r="E15">
        <v>0.2142857142857143</v>
      </c>
      <c r="F15">
        <v>0.1009316549964506</v>
      </c>
      <c r="G15">
        <v>-7.2148795421705311E-2</v>
      </c>
    </row>
    <row r="16" spans="1:7" x14ac:dyDescent="0.25">
      <c r="A16" t="s">
        <v>21</v>
      </c>
      <c r="B16">
        <v>13</v>
      </c>
      <c r="C16">
        <v>4904</v>
      </c>
      <c r="D16">
        <v>0</v>
      </c>
      <c r="E16">
        <v>7.1428571428571425E-2</v>
      </c>
      <c r="F16">
        <v>0</v>
      </c>
      <c r="G16">
        <v>-0.26217947637327599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9</v>
      </c>
      <c r="B2">
        <v>0</v>
      </c>
      <c r="C2">
        <v>7377</v>
      </c>
      <c r="D2">
        <v>0.89035714285714285</v>
      </c>
      <c r="E2">
        <v>1</v>
      </c>
      <c r="F2">
        <v>0.31363954977599368</v>
      </c>
      <c r="G2">
        <v>0.28866901850610788</v>
      </c>
    </row>
    <row r="3" spans="1:7" x14ac:dyDescent="0.25">
      <c r="A3" t="s">
        <v>8</v>
      </c>
      <c r="B3">
        <v>0</v>
      </c>
      <c r="C3">
        <v>7321</v>
      </c>
      <c r="D3">
        <v>0.83821428571428569</v>
      </c>
      <c r="E3">
        <v>1</v>
      </c>
      <c r="F3">
        <v>0.30720187526680798</v>
      </c>
      <c r="G3">
        <v>0.29999228440183678</v>
      </c>
    </row>
    <row r="4" spans="1:7" x14ac:dyDescent="0.25">
      <c r="A4" t="s">
        <v>10</v>
      </c>
      <c r="B4">
        <v>0</v>
      </c>
      <c r="C4">
        <v>7311</v>
      </c>
      <c r="D4">
        <v>0.84250000000000003</v>
      </c>
      <c r="E4">
        <v>1</v>
      </c>
      <c r="F4">
        <v>0.31420631894768858</v>
      </c>
      <c r="G4">
        <v>0.32248372623808841</v>
      </c>
    </row>
    <row r="5" spans="1:7" x14ac:dyDescent="0.25">
      <c r="A5" t="s">
        <v>12</v>
      </c>
      <c r="B5">
        <v>0</v>
      </c>
      <c r="C5">
        <v>7233</v>
      </c>
      <c r="D5">
        <v>1</v>
      </c>
      <c r="E5">
        <v>1</v>
      </c>
      <c r="F5">
        <v>0.32313693541696248</v>
      </c>
      <c r="G5">
        <v>0.24975344291131271</v>
      </c>
    </row>
    <row r="6" spans="1:7" x14ac:dyDescent="0.25">
      <c r="A6" t="s">
        <v>7</v>
      </c>
      <c r="B6">
        <v>0</v>
      </c>
      <c r="C6">
        <v>7212</v>
      </c>
      <c r="D6">
        <v>0.85607142857142859</v>
      </c>
      <c r="E6">
        <v>1</v>
      </c>
      <c r="F6">
        <v>0.31705439360451249</v>
      </c>
      <c r="G6">
        <v>0.32221428100635041</v>
      </c>
    </row>
    <row r="7" spans="1:7" x14ac:dyDescent="0.25">
      <c r="A7" t="s">
        <v>11</v>
      </c>
      <c r="B7">
        <v>0</v>
      </c>
      <c r="C7">
        <v>7170</v>
      </c>
      <c r="D7">
        <v>0.79571428571428571</v>
      </c>
      <c r="E7">
        <v>1</v>
      </c>
      <c r="F7">
        <v>0.30517610541862139</v>
      </c>
      <c r="G7">
        <v>0.32035237264906902</v>
      </c>
    </row>
    <row r="8" spans="1:7" x14ac:dyDescent="0.25">
      <c r="A8" t="s">
        <v>13</v>
      </c>
      <c r="B8">
        <v>0</v>
      </c>
      <c r="C8">
        <v>7064</v>
      </c>
      <c r="D8">
        <v>0.73535714285714282</v>
      </c>
      <c r="E8">
        <v>1</v>
      </c>
      <c r="F8">
        <v>0.29148921826665269</v>
      </c>
      <c r="G8">
        <v>0.3094073725414957</v>
      </c>
    </row>
    <row r="9" spans="1:7" x14ac:dyDescent="0.25">
      <c r="A9" t="s">
        <v>15</v>
      </c>
      <c r="B9">
        <v>1</v>
      </c>
      <c r="C9">
        <v>6817</v>
      </c>
      <c r="D9">
        <v>0.64785714285714291</v>
      </c>
      <c r="E9">
        <v>0.9285714285714286</v>
      </c>
      <c r="F9">
        <v>0.27349539554188979</v>
      </c>
      <c r="G9">
        <v>0.30308517955697811</v>
      </c>
    </row>
    <row r="10" spans="1:7" x14ac:dyDescent="0.25">
      <c r="A10" t="s">
        <v>14</v>
      </c>
      <c r="B10">
        <v>1</v>
      </c>
      <c r="C10">
        <v>6776</v>
      </c>
      <c r="D10">
        <v>0.65500000000000003</v>
      </c>
      <c r="E10">
        <v>0.9285714285714286</v>
      </c>
      <c r="F10">
        <v>0.27491442759615109</v>
      </c>
      <c r="G10">
        <v>0.3030119824902423</v>
      </c>
    </row>
    <row r="11" spans="1:7" x14ac:dyDescent="0.25">
      <c r="A11" t="s">
        <v>16</v>
      </c>
      <c r="B11">
        <v>0</v>
      </c>
      <c r="C11">
        <v>6714</v>
      </c>
      <c r="D11">
        <v>0.8075</v>
      </c>
      <c r="E11">
        <v>1</v>
      </c>
      <c r="F11">
        <v>0.29586335789278267</v>
      </c>
      <c r="G11">
        <v>0.27802136248433729</v>
      </c>
    </row>
    <row r="12" spans="1:7" x14ac:dyDescent="0.25">
      <c r="A12" t="s">
        <v>19</v>
      </c>
      <c r="B12">
        <v>7</v>
      </c>
      <c r="C12">
        <v>6596</v>
      </c>
      <c r="D12">
        <v>0.49249999999999999</v>
      </c>
      <c r="E12">
        <v>0.5</v>
      </c>
      <c r="F12">
        <v>0.15898863477389591</v>
      </c>
      <c r="G12">
        <v>-7.2843664371799594E-3</v>
      </c>
    </row>
    <row r="13" spans="1:7" x14ac:dyDescent="0.25">
      <c r="A13" t="s">
        <v>17</v>
      </c>
      <c r="B13">
        <v>7</v>
      </c>
      <c r="C13">
        <v>6093</v>
      </c>
      <c r="D13">
        <v>0.52535714285714286</v>
      </c>
      <c r="E13">
        <v>0.5</v>
      </c>
      <c r="F13">
        <v>0.19404560538545709</v>
      </c>
      <c r="G13">
        <v>0.10538856613900389</v>
      </c>
    </row>
    <row r="14" spans="1:7" x14ac:dyDescent="0.25">
      <c r="A14" t="s">
        <v>18</v>
      </c>
      <c r="B14">
        <v>9</v>
      </c>
      <c r="C14">
        <v>5653</v>
      </c>
      <c r="D14">
        <v>0.38607142857142862</v>
      </c>
      <c r="E14">
        <v>0.35714285714285721</v>
      </c>
      <c r="F14">
        <v>0.14541933753581479</v>
      </c>
      <c r="G14">
        <v>1.517550898827956E-2</v>
      </c>
    </row>
    <row r="15" spans="1:7" x14ac:dyDescent="0.25">
      <c r="A15" t="s">
        <v>21</v>
      </c>
      <c r="B15">
        <v>13</v>
      </c>
      <c r="C15">
        <v>4916</v>
      </c>
      <c r="D15">
        <v>0</v>
      </c>
      <c r="E15">
        <v>7.1428571428571425E-2</v>
      </c>
      <c r="F15">
        <v>0</v>
      </c>
      <c r="G15">
        <v>-0.24975344291131271</v>
      </c>
    </row>
    <row r="16" spans="1:7" x14ac:dyDescent="0.25">
      <c r="A16" t="s">
        <v>20</v>
      </c>
      <c r="B16">
        <v>12</v>
      </c>
      <c r="C16">
        <v>4704</v>
      </c>
      <c r="D16">
        <v>0.16428571428571431</v>
      </c>
      <c r="E16">
        <v>0.14285714285714279</v>
      </c>
      <c r="F16">
        <v>5.9174111321427678E-2</v>
      </c>
      <c r="G16">
        <v>-0.15291182951798751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</v>
      </c>
      <c r="C2">
        <v>7709</v>
      </c>
      <c r="D2">
        <v>0.78928571428571426</v>
      </c>
      <c r="E2">
        <v>0.8571428571428571</v>
      </c>
      <c r="F2">
        <v>0.30307084678405172</v>
      </c>
      <c r="G2">
        <v>0.32235514383520458</v>
      </c>
    </row>
    <row r="3" spans="1:7" x14ac:dyDescent="0.25">
      <c r="A3" t="s">
        <v>9</v>
      </c>
      <c r="B3">
        <v>0</v>
      </c>
      <c r="C3">
        <v>7463.5</v>
      </c>
      <c r="D3">
        <v>0.9</v>
      </c>
      <c r="E3">
        <v>1</v>
      </c>
      <c r="F3">
        <v>0.31648261339463329</v>
      </c>
      <c r="G3">
        <v>0.29093781210233111</v>
      </c>
    </row>
    <row r="4" spans="1:7" x14ac:dyDescent="0.25">
      <c r="A4" t="s">
        <v>10</v>
      </c>
      <c r="B4">
        <v>0</v>
      </c>
      <c r="C4">
        <v>7339</v>
      </c>
      <c r="D4">
        <v>0.84214285714285719</v>
      </c>
      <c r="E4">
        <v>1</v>
      </c>
      <c r="F4">
        <v>0.31434975135066429</v>
      </c>
      <c r="G4">
        <v>0.32353248249529198</v>
      </c>
    </row>
    <row r="5" spans="1:7" x14ac:dyDescent="0.25">
      <c r="A5" t="s">
        <v>8</v>
      </c>
      <c r="B5">
        <v>0</v>
      </c>
      <c r="C5">
        <v>7334</v>
      </c>
      <c r="D5">
        <v>0.79571428571428571</v>
      </c>
      <c r="E5">
        <v>1</v>
      </c>
      <c r="F5">
        <v>0.29800785437987459</v>
      </c>
      <c r="G5">
        <v>0.29450265088658711</v>
      </c>
    </row>
    <row r="6" spans="1:7" x14ac:dyDescent="0.25">
      <c r="A6" t="s">
        <v>11</v>
      </c>
      <c r="B6">
        <v>0</v>
      </c>
      <c r="C6">
        <v>7330.5</v>
      </c>
      <c r="D6">
        <v>0.81785714285714284</v>
      </c>
      <c r="E6">
        <v>1</v>
      </c>
      <c r="F6">
        <v>0.30965008372779129</v>
      </c>
      <c r="G6">
        <v>0.32286886383521501</v>
      </c>
    </row>
    <row r="7" spans="1:7" x14ac:dyDescent="0.25">
      <c r="A7" t="s">
        <v>12</v>
      </c>
      <c r="B7">
        <v>0</v>
      </c>
      <c r="C7">
        <v>7272</v>
      </c>
      <c r="D7">
        <v>1</v>
      </c>
      <c r="E7">
        <v>1</v>
      </c>
      <c r="F7">
        <v>0.32568416527353489</v>
      </c>
      <c r="G7">
        <v>0.25496402742416291</v>
      </c>
    </row>
    <row r="8" spans="1:7" x14ac:dyDescent="0.25">
      <c r="A8" t="s">
        <v>13</v>
      </c>
      <c r="B8">
        <v>0</v>
      </c>
      <c r="C8">
        <v>7169.5</v>
      </c>
      <c r="D8">
        <v>0.73285714285714287</v>
      </c>
      <c r="E8">
        <v>1</v>
      </c>
      <c r="F8">
        <v>0.29135393557013439</v>
      </c>
      <c r="G8">
        <v>0.31296903320682462</v>
      </c>
    </row>
    <row r="9" spans="1:7" x14ac:dyDescent="0.25">
      <c r="A9" t="s">
        <v>16</v>
      </c>
      <c r="B9">
        <v>1</v>
      </c>
      <c r="C9">
        <v>6898</v>
      </c>
      <c r="D9">
        <v>0.81428571428571428</v>
      </c>
      <c r="E9">
        <v>0.9285714285714286</v>
      </c>
      <c r="F9">
        <v>0.29769109955529571</v>
      </c>
      <c r="G9">
        <v>0.28153569546904289</v>
      </c>
    </row>
    <row r="10" spans="1:7" x14ac:dyDescent="0.25">
      <c r="A10" t="s">
        <v>14</v>
      </c>
      <c r="B10">
        <v>1</v>
      </c>
      <c r="C10">
        <v>6875</v>
      </c>
      <c r="D10">
        <v>0.66285714285714281</v>
      </c>
      <c r="E10">
        <v>0.9285714285714286</v>
      </c>
      <c r="F10">
        <v>0.27553440949226798</v>
      </c>
      <c r="G10">
        <v>0.306026153031697</v>
      </c>
    </row>
    <row r="11" spans="1:7" x14ac:dyDescent="0.25">
      <c r="A11" t="s">
        <v>15</v>
      </c>
      <c r="B11">
        <v>1</v>
      </c>
      <c r="C11">
        <v>6854</v>
      </c>
      <c r="D11">
        <v>0.64785714285714291</v>
      </c>
      <c r="E11">
        <v>0.9285714285714286</v>
      </c>
      <c r="F11">
        <v>0.27273401793029878</v>
      </c>
      <c r="G11">
        <v>0.30668755669787329</v>
      </c>
    </row>
    <row r="12" spans="1:7" x14ac:dyDescent="0.25">
      <c r="A12" t="s">
        <v>17</v>
      </c>
      <c r="B12">
        <v>6</v>
      </c>
      <c r="C12">
        <v>6373.5</v>
      </c>
      <c r="D12">
        <v>0.56821428571428567</v>
      </c>
      <c r="E12">
        <v>0.5714285714285714</v>
      </c>
      <c r="F12">
        <v>0.18995660166156339</v>
      </c>
      <c r="G12">
        <v>5.8497122734769917E-2</v>
      </c>
    </row>
    <row r="13" spans="1:7" x14ac:dyDescent="0.25">
      <c r="A13" t="s">
        <v>19</v>
      </c>
      <c r="B13">
        <v>6</v>
      </c>
      <c r="C13">
        <v>6174.5</v>
      </c>
      <c r="D13">
        <v>0.52142857142857146</v>
      </c>
      <c r="E13">
        <v>0.5714285714285714</v>
      </c>
      <c r="F13">
        <v>0.16827237431618269</v>
      </c>
      <c r="G13">
        <v>6.9201336391102588E-3</v>
      </c>
    </row>
    <row r="14" spans="1:7" x14ac:dyDescent="0.25">
      <c r="A14" t="s">
        <v>18</v>
      </c>
      <c r="B14">
        <v>9</v>
      </c>
      <c r="C14">
        <v>6001</v>
      </c>
      <c r="D14">
        <v>0.40500000000000003</v>
      </c>
      <c r="E14">
        <v>0.35714285714285721</v>
      </c>
      <c r="F14">
        <v>0.15310543764013079</v>
      </c>
      <c r="G14">
        <v>3.560193320966118E-2</v>
      </c>
    </row>
    <row r="15" spans="1:7" x14ac:dyDescent="0.25">
      <c r="A15" t="s">
        <v>20</v>
      </c>
      <c r="B15">
        <v>10</v>
      </c>
      <c r="C15">
        <v>5294.5</v>
      </c>
      <c r="D15">
        <v>0.24</v>
      </c>
      <c r="E15">
        <v>0.2857142857142857</v>
      </c>
      <c r="F15">
        <v>8.2209978436541875E-2</v>
      </c>
      <c r="G15">
        <v>-0.1269690187404805</v>
      </c>
    </row>
    <row r="16" spans="1:7" x14ac:dyDescent="0.25">
      <c r="A16" t="s">
        <v>21</v>
      </c>
      <c r="B16">
        <v>13</v>
      </c>
      <c r="C16">
        <v>5225.5</v>
      </c>
      <c r="D16">
        <v>0</v>
      </c>
      <c r="E16">
        <v>7.1428571428571425E-2</v>
      </c>
      <c r="F16">
        <v>0</v>
      </c>
      <c r="G16">
        <v>-0.25496402742416291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7848</v>
      </c>
      <c r="D2">
        <v>0.85428571428571431</v>
      </c>
      <c r="E2">
        <v>0.9285714285714286</v>
      </c>
      <c r="F2">
        <v>0.3103589897634032</v>
      </c>
      <c r="G2">
        <v>0.30931770075849851</v>
      </c>
    </row>
    <row r="3" spans="1:7" x14ac:dyDescent="0.25">
      <c r="A3" t="s">
        <v>10</v>
      </c>
      <c r="B3">
        <v>0</v>
      </c>
      <c r="C3">
        <v>7418</v>
      </c>
      <c r="D3">
        <v>0.86321428571428571</v>
      </c>
      <c r="E3">
        <v>1</v>
      </c>
      <c r="F3">
        <v>0.3166567382810454</v>
      </c>
      <c r="G3">
        <v>0.32158855779700107</v>
      </c>
    </row>
    <row r="4" spans="1:7" x14ac:dyDescent="0.25">
      <c r="A4" t="s">
        <v>9</v>
      </c>
      <c r="B4">
        <v>0</v>
      </c>
      <c r="C4">
        <v>7390.5</v>
      </c>
      <c r="D4">
        <v>0.88107142857142862</v>
      </c>
      <c r="E4">
        <v>1</v>
      </c>
      <c r="F4">
        <v>0.31357571187316691</v>
      </c>
      <c r="G4">
        <v>0.29787724440486879</v>
      </c>
    </row>
    <row r="5" spans="1:7" x14ac:dyDescent="0.25">
      <c r="A5" t="s">
        <v>11</v>
      </c>
      <c r="B5">
        <v>0</v>
      </c>
      <c r="C5">
        <v>7383</v>
      </c>
      <c r="D5">
        <v>0.82964285714285713</v>
      </c>
      <c r="E5">
        <v>1</v>
      </c>
      <c r="F5">
        <v>0.31106867967733931</v>
      </c>
      <c r="G5">
        <v>0.32535289517463012</v>
      </c>
    </row>
    <row r="6" spans="1:7" x14ac:dyDescent="0.25">
      <c r="A6" t="s">
        <v>8</v>
      </c>
      <c r="B6">
        <v>0</v>
      </c>
      <c r="C6">
        <v>7375</v>
      </c>
      <c r="D6">
        <v>0.79928571428571427</v>
      </c>
      <c r="E6">
        <v>1</v>
      </c>
      <c r="F6">
        <v>0.2992813575834179</v>
      </c>
      <c r="G6">
        <v>0.29902490506638862</v>
      </c>
    </row>
    <row r="7" spans="1:7" x14ac:dyDescent="0.25">
      <c r="A7" t="s">
        <v>12</v>
      </c>
      <c r="B7">
        <v>0</v>
      </c>
      <c r="C7">
        <v>7326</v>
      </c>
      <c r="D7">
        <v>1</v>
      </c>
      <c r="E7">
        <v>1</v>
      </c>
      <c r="F7">
        <v>0.32570451388223742</v>
      </c>
      <c r="G7">
        <v>0.26064766985649629</v>
      </c>
    </row>
    <row r="8" spans="1:7" x14ac:dyDescent="0.25">
      <c r="A8" t="s">
        <v>13</v>
      </c>
      <c r="B8">
        <v>0</v>
      </c>
      <c r="C8">
        <v>7029</v>
      </c>
      <c r="D8">
        <v>0.71607142857142858</v>
      </c>
      <c r="E8">
        <v>1</v>
      </c>
      <c r="F8">
        <v>0.28812483099978919</v>
      </c>
      <c r="G8">
        <v>0.31388525388399602</v>
      </c>
    </row>
    <row r="9" spans="1:7" x14ac:dyDescent="0.25">
      <c r="A9" t="s">
        <v>15</v>
      </c>
      <c r="B9">
        <v>1</v>
      </c>
      <c r="C9">
        <v>6892</v>
      </c>
      <c r="D9">
        <v>0.65785714285714281</v>
      </c>
      <c r="E9">
        <v>0.9285714285714286</v>
      </c>
      <c r="F9">
        <v>0.27454930666477989</v>
      </c>
      <c r="G9">
        <v>0.30460074266687831</v>
      </c>
    </row>
    <row r="10" spans="1:7" x14ac:dyDescent="0.25">
      <c r="A10" t="s">
        <v>16</v>
      </c>
      <c r="B10">
        <v>1</v>
      </c>
      <c r="C10">
        <v>6848.5</v>
      </c>
      <c r="D10">
        <v>0.80571428571428572</v>
      </c>
      <c r="E10">
        <v>0.9285714285714286</v>
      </c>
      <c r="F10">
        <v>0.29654531631469971</v>
      </c>
      <c r="G10">
        <v>0.28460833845697231</v>
      </c>
    </row>
    <row r="11" spans="1:7" x14ac:dyDescent="0.25">
      <c r="A11" t="s">
        <v>14</v>
      </c>
      <c r="B11">
        <v>1</v>
      </c>
      <c r="C11">
        <v>6824</v>
      </c>
      <c r="D11">
        <v>0.6596428571428572</v>
      </c>
      <c r="E11">
        <v>0.9285714285714286</v>
      </c>
      <c r="F11">
        <v>0.27529530595491891</v>
      </c>
      <c r="G11">
        <v>0.3056841358548858</v>
      </c>
    </row>
    <row r="12" spans="1:7" x14ac:dyDescent="0.25">
      <c r="A12" t="s">
        <v>17</v>
      </c>
      <c r="B12">
        <v>6</v>
      </c>
      <c r="C12">
        <v>6302.5</v>
      </c>
      <c r="D12">
        <v>0.4757142857142857</v>
      </c>
      <c r="E12">
        <v>0.5714285714285714</v>
      </c>
      <c r="F12">
        <v>0.17787030511782859</v>
      </c>
      <c r="G12">
        <v>7.7275993878401367E-2</v>
      </c>
    </row>
    <row r="13" spans="1:7" x14ac:dyDescent="0.25">
      <c r="A13" t="s">
        <v>19</v>
      </c>
      <c r="B13">
        <v>7</v>
      </c>
      <c r="C13">
        <v>6052</v>
      </c>
      <c r="D13">
        <v>0.50249999999999995</v>
      </c>
      <c r="E13">
        <v>0.5</v>
      </c>
      <c r="F13">
        <v>0.1637243223846086</v>
      </c>
      <c r="G13">
        <v>-4.8133162094110983E-4</v>
      </c>
    </row>
    <row r="14" spans="1:7" x14ac:dyDescent="0.25">
      <c r="A14" t="s">
        <v>18</v>
      </c>
      <c r="B14">
        <v>9</v>
      </c>
      <c r="C14">
        <v>5991.5</v>
      </c>
      <c r="D14">
        <v>0.40464285714285708</v>
      </c>
      <c r="E14">
        <v>0.35714285714285721</v>
      </c>
      <c r="F14">
        <v>0.15331012013216749</v>
      </c>
      <c r="G14">
        <v>2.8140810059021141E-2</v>
      </c>
    </row>
    <row r="15" spans="1:7" x14ac:dyDescent="0.25">
      <c r="A15" t="s">
        <v>20</v>
      </c>
      <c r="B15">
        <v>11</v>
      </c>
      <c r="C15">
        <v>5290.5</v>
      </c>
      <c r="D15">
        <v>0.24892857142857139</v>
      </c>
      <c r="E15">
        <v>0.2142857142857143</v>
      </c>
      <c r="F15">
        <v>9.2694300824431863E-2</v>
      </c>
      <c r="G15">
        <v>-9.226978125660136E-2</v>
      </c>
    </row>
    <row r="16" spans="1:7" x14ac:dyDescent="0.25">
      <c r="A16" t="s">
        <v>21</v>
      </c>
      <c r="B16">
        <v>13</v>
      </c>
      <c r="C16">
        <v>5153.5</v>
      </c>
      <c r="D16">
        <v>0</v>
      </c>
      <c r="E16">
        <v>7.1428571428571425E-2</v>
      </c>
      <c r="F16">
        <v>0</v>
      </c>
      <c r="G16">
        <v>-0.26064766985649629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7800</v>
      </c>
      <c r="D2">
        <v>0.85428571428571431</v>
      </c>
      <c r="E2">
        <v>0.9285714285714286</v>
      </c>
      <c r="F2">
        <v>0.31025876129421648</v>
      </c>
      <c r="G2">
        <v>0.31327366944805118</v>
      </c>
    </row>
    <row r="3" spans="1:7" x14ac:dyDescent="0.25">
      <c r="A3" t="s">
        <v>11</v>
      </c>
      <c r="B3">
        <v>0</v>
      </c>
      <c r="C3">
        <v>7498.5</v>
      </c>
      <c r="D3">
        <v>0.85214285714285709</v>
      </c>
      <c r="E3">
        <v>1</v>
      </c>
      <c r="F3">
        <v>0.31277099364881739</v>
      </c>
      <c r="G3">
        <v>0.3212459347368396</v>
      </c>
    </row>
    <row r="4" spans="1:7" x14ac:dyDescent="0.25">
      <c r="A4" t="s">
        <v>10</v>
      </c>
      <c r="B4">
        <v>0</v>
      </c>
      <c r="C4">
        <v>7466.5</v>
      </c>
      <c r="D4">
        <v>0.86785714285714288</v>
      </c>
      <c r="E4">
        <v>1</v>
      </c>
      <c r="F4">
        <v>0.31606116091986758</v>
      </c>
      <c r="G4">
        <v>0.32155045905580459</v>
      </c>
    </row>
    <row r="5" spans="1:7" x14ac:dyDescent="0.25">
      <c r="A5" t="s">
        <v>9</v>
      </c>
      <c r="B5">
        <v>0</v>
      </c>
      <c r="C5">
        <v>7438</v>
      </c>
      <c r="D5">
        <v>0.89249999999999996</v>
      </c>
      <c r="E5">
        <v>1</v>
      </c>
      <c r="F5">
        <v>0.31498741179553841</v>
      </c>
      <c r="G5">
        <v>0.30077180130196107</v>
      </c>
    </row>
    <row r="6" spans="1:7" x14ac:dyDescent="0.25">
      <c r="A6" t="s">
        <v>8</v>
      </c>
      <c r="B6">
        <v>0</v>
      </c>
      <c r="C6">
        <v>7410</v>
      </c>
      <c r="D6">
        <v>0.80392857142857144</v>
      </c>
      <c r="E6">
        <v>1</v>
      </c>
      <c r="F6">
        <v>0.29846495254910438</v>
      </c>
      <c r="G6">
        <v>0.29825216989607389</v>
      </c>
    </row>
    <row r="7" spans="1:7" x14ac:dyDescent="0.25">
      <c r="A7" t="s">
        <v>12</v>
      </c>
      <c r="B7">
        <v>0</v>
      </c>
      <c r="C7">
        <v>7326</v>
      </c>
      <c r="D7">
        <v>1</v>
      </c>
      <c r="E7">
        <v>1</v>
      </c>
      <c r="F7">
        <v>0.32529067204026552</v>
      </c>
      <c r="G7">
        <v>0.26420673989437432</v>
      </c>
    </row>
    <row r="8" spans="1:7" x14ac:dyDescent="0.25">
      <c r="A8" t="s">
        <v>13</v>
      </c>
      <c r="B8">
        <v>0</v>
      </c>
      <c r="C8">
        <v>7102</v>
      </c>
      <c r="D8">
        <v>0.72857142857142854</v>
      </c>
      <c r="E8">
        <v>1</v>
      </c>
      <c r="F8">
        <v>0.28882097345206131</v>
      </c>
      <c r="G8">
        <v>0.31244454585829329</v>
      </c>
    </row>
    <row r="9" spans="1:7" x14ac:dyDescent="0.25">
      <c r="A9" t="s">
        <v>16</v>
      </c>
      <c r="B9">
        <v>1</v>
      </c>
      <c r="C9">
        <v>6918</v>
      </c>
      <c r="D9">
        <v>0.79749999999999999</v>
      </c>
      <c r="E9">
        <v>0.9285714285714286</v>
      </c>
      <c r="F9">
        <v>0.29394095509276841</v>
      </c>
      <c r="G9">
        <v>0.28546663437217812</v>
      </c>
    </row>
    <row r="10" spans="1:7" x14ac:dyDescent="0.25">
      <c r="A10" t="s">
        <v>15</v>
      </c>
      <c r="B10">
        <v>1</v>
      </c>
      <c r="C10">
        <v>6814.5</v>
      </c>
      <c r="D10">
        <v>0.64964285714285719</v>
      </c>
      <c r="E10">
        <v>0.9285714285714286</v>
      </c>
      <c r="F10">
        <v>0.27187020602405471</v>
      </c>
      <c r="G10">
        <v>0.304601510467857</v>
      </c>
    </row>
    <row r="11" spans="1:7" x14ac:dyDescent="0.25">
      <c r="A11" t="s">
        <v>14</v>
      </c>
      <c r="B11">
        <v>1</v>
      </c>
      <c r="C11">
        <v>6778.5</v>
      </c>
      <c r="D11">
        <v>0.6528571428571428</v>
      </c>
      <c r="E11">
        <v>0.9285714285714286</v>
      </c>
      <c r="F11">
        <v>0.27270942551303579</v>
      </c>
      <c r="G11">
        <v>0.30510354907755599</v>
      </c>
    </row>
    <row r="12" spans="1:7" x14ac:dyDescent="0.25">
      <c r="A12" t="s">
        <v>19</v>
      </c>
      <c r="B12">
        <v>7</v>
      </c>
      <c r="C12">
        <v>6286.5</v>
      </c>
      <c r="D12">
        <v>0.48035714285714293</v>
      </c>
      <c r="E12">
        <v>0.5</v>
      </c>
      <c r="F12">
        <v>0.15978500456167219</v>
      </c>
      <c r="G12">
        <v>6.0463478292229725E-4</v>
      </c>
    </row>
    <row r="13" spans="1:7" x14ac:dyDescent="0.25">
      <c r="A13" t="s">
        <v>17</v>
      </c>
      <c r="B13">
        <v>6</v>
      </c>
      <c r="C13">
        <v>6138</v>
      </c>
      <c r="D13">
        <v>0.4975</v>
      </c>
      <c r="E13">
        <v>0.5714285714285714</v>
      </c>
      <c r="F13">
        <v>0.18186398328390671</v>
      </c>
      <c r="G13">
        <v>7.6838132422284489E-2</v>
      </c>
    </row>
    <row r="14" spans="1:7" x14ac:dyDescent="0.25">
      <c r="A14" t="s">
        <v>18</v>
      </c>
      <c r="B14">
        <v>9</v>
      </c>
      <c r="C14">
        <v>5897</v>
      </c>
      <c r="D14">
        <v>0.40892857142857142</v>
      </c>
      <c r="E14">
        <v>0.35714285714285721</v>
      </c>
      <c r="F14">
        <v>0.15439213319708911</v>
      </c>
      <c r="G14">
        <v>3.3152798152617853E-2</v>
      </c>
    </row>
    <row r="15" spans="1:7" x14ac:dyDescent="0.25">
      <c r="A15" t="s">
        <v>20</v>
      </c>
      <c r="B15">
        <v>11</v>
      </c>
      <c r="C15">
        <v>5467.5</v>
      </c>
      <c r="D15">
        <v>0.28642857142857142</v>
      </c>
      <c r="E15">
        <v>0.2142857142857143</v>
      </c>
      <c r="F15">
        <v>0.1065896991187662</v>
      </c>
      <c r="G15">
        <v>-6.519894164118599E-2</v>
      </c>
    </row>
    <row r="16" spans="1:7" x14ac:dyDescent="0.25">
      <c r="A16" t="s">
        <v>21</v>
      </c>
      <c r="B16">
        <v>13</v>
      </c>
      <c r="C16">
        <v>5018.5</v>
      </c>
      <c r="D16">
        <v>0</v>
      </c>
      <c r="E16">
        <v>7.1428571428571425E-2</v>
      </c>
      <c r="F16">
        <v>0</v>
      </c>
      <c r="G16">
        <v>-0.26420673989437432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>
        <v>7539.5</v>
      </c>
      <c r="D2">
        <v>0.92107142857142854</v>
      </c>
      <c r="E2">
        <v>1</v>
      </c>
      <c r="F2">
        <v>0.3238369566266332</v>
      </c>
      <c r="G2">
        <v>0.30453821761815902</v>
      </c>
    </row>
    <row r="3" spans="1:7" x14ac:dyDescent="0.25">
      <c r="A3" t="s">
        <v>9</v>
      </c>
      <c r="B3">
        <v>0</v>
      </c>
      <c r="C3">
        <v>7411.5</v>
      </c>
      <c r="D3">
        <v>0.88642857142857145</v>
      </c>
      <c r="E3">
        <v>1</v>
      </c>
      <c r="F3">
        <v>0.31407545685521021</v>
      </c>
      <c r="G3">
        <v>0.29455606923611127</v>
      </c>
    </row>
    <row r="4" spans="1:7" x14ac:dyDescent="0.25">
      <c r="A4" t="s">
        <v>8</v>
      </c>
      <c r="B4">
        <v>0</v>
      </c>
      <c r="C4">
        <v>7401</v>
      </c>
      <c r="D4">
        <v>0.80285714285714282</v>
      </c>
      <c r="E4">
        <v>1</v>
      </c>
      <c r="F4">
        <v>0.30002763049047171</v>
      </c>
      <c r="G4">
        <v>0.30021987974215508</v>
      </c>
    </row>
    <row r="5" spans="1:7" x14ac:dyDescent="0.25">
      <c r="A5" t="s">
        <v>10</v>
      </c>
      <c r="B5">
        <v>0</v>
      </c>
      <c r="C5">
        <v>7242.5</v>
      </c>
      <c r="D5">
        <v>0.82785714285714285</v>
      </c>
      <c r="E5">
        <v>1</v>
      </c>
      <c r="F5">
        <v>0.31030710660152788</v>
      </c>
      <c r="G5">
        <v>0.3204500458835331</v>
      </c>
    </row>
    <row r="6" spans="1:7" x14ac:dyDescent="0.25">
      <c r="A6" t="s">
        <v>12</v>
      </c>
      <c r="B6">
        <v>0</v>
      </c>
      <c r="C6">
        <v>7206</v>
      </c>
      <c r="D6">
        <v>1</v>
      </c>
      <c r="E6">
        <v>1</v>
      </c>
      <c r="F6">
        <v>0.32539153200998672</v>
      </c>
      <c r="G6">
        <v>0.25656335143122488</v>
      </c>
    </row>
    <row r="7" spans="1:7" x14ac:dyDescent="0.25">
      <c r="A7" t="s">
        <v>11</v>
      </c>
      <c r="B7">
        <v>0</v>
      </c>
      <c r="C7">
        <v>7166.5</v>
      </c>
      <c r="D7">
        <v>0.79285714285714282</v>
      </c>
      <c r="E7">
        <v>1</v>
      </c>
      <c r="F7">
        <v>0.30446292413348408</v>
      </c>
      <c r="G7">
        <v>0.32215543450362227</v>
      </c>
    </row>
    <row r="8" spans="1:7" x14ac:dyDescent="0.25">
      <c r="A8" t="s">
        <v>13</v>
      </c>
      <c r="B8">
        <v>0</v>
      </c>
      <c r="C8">
        <v>7036</v>
      </c>
      <c r="D8">
        <v>0.71785714285714286</v>
      </c>
      <c r="E8">
        <v>1</v>
      </c>
      <c r="F8">
        <v>0.28925517779617571</v>
      </c>
      <c r="G8">
        <v>0.31912665520395173</v>
      </c>
    </row>
    <row r="9" spans="1:7" x14ac:dyDescent="0.25">
      <c r="A9" t="s">
        <v>15</v>
      </c>
      <c r="B9">
        <v>1</v>
      </c>
      <c r="C9">
        <v>6920.5</v>
      </c>
      <c r="D9">
        <v>0.64607142857142852</v>
      </c>
      <c r="E9">
        <v>0.9285714285714286</v>
      </c>
      <c r="F9">
        <v>0.27357090702613462</v>
      </c>
      <c r="G9">
        <v>0.31349142749000208</v>
      </c>
    </row>
    <row r="10" spans="1:7" x14ac:dyDescent="0.25">
      <c r="A10" t="s">
        <v>14</v>
      </c>
      <c r="B10">
        <v>1</v>
      </c>
      <c r="C10">
        <v>6919.5</v>
      </c>
      <c r="D10">
        <v>0.66678571428571431</v>
      </c>
      <c r="E10">
        <v>0.9285714285714286</v>
      </c>
      <c r="F10">
        <v>0.27729512273774132</v>
      </c>
      <c r="G10">
        <v>0.31196448991248132</v>
      </c>
    </row>
    <row r="11" spans="1:7" x14ac:dyDescent="0.25">
      <c r="A11" t="s">
        <v>16</v>
      </c>
      <c r="B11">
        <v>0</v>
      </c>
      <c r="C11">
        <v>6754</v>
      </c>
      <c r="D11">
        <v>0.81214285714285717</v>
      </c>
      <c r="E11">
        <v>1</v>
      </c>
      <c r="F11">
        <v>0.29796902203497688</v>
      </c>
      <c r="G11">
        <v>0.28671534445774732</v>
      </c>
    </row>
    <row r="12" spans="1:7" x14ac:dyDescent="0.25">
      <c r="A12" t="s">
        <v>19</v>
      </c>
      <c r="B12">
        <v>7</v>
      </c>
      <c r="C12">
        <v>6609</v>
      </c>
      <c r="D12">
        <v>0.51678571428571429</v>
      </c>
      <c r="E12">
        <v>0.5</v>
      </c>
      <c r="F12">
        <v>0.16422071848619599</v>
      </c>
      <c r="G12">
        <v>-3.3510839220969818E-4</v>
      </c>
    </row>
    <row r="13" spans="1:7" x14ac:dyDescent="0.25">
      <c r="A13" t="s">
        <v>17</v>
      </c>
      <c r="B13">
        <v>7</v>
      </c>
      <c r="C13">
        <v>6554</v>
      </c>
      <c r="D13">
        <v>0.52892857142857141</v>
      </c>
      <c r="E13">
        <v>0.5</v>
      </c>
      <c r="F13">
        <v>0.1837049343815482</v>
      </c>
      <c r="G13">
        <v>6.3459769490501361E-2</v>
      </c>
    </row>
    <row r="14" spans="1:7" x14ac:dyDescent="0.25">
      <c r="A14" t="s">
        <v>20</v>
      </c>
      <c r="B14">
        <v>13</v>
      </c>
      <c r="C14">
        <v>5904</v>
      </c>
      <c r="D14">
        <v>0.28642857142857142</v>
      </c>
      <c r="E14">
        <v>7.1428571428571425E-2</v>
      </c>
      <c r="F14">
        <v>0.1007388952314197</v>
      </c>
      <c r="G14">
        <v>-8.9708063022780005E-2</v>
      </c>
    </row>
    <row r="15" spans="1:7" x14ac:dyDescent="0.25">
      <c r="A15" t="s">
        <v>18</v>
      </c>
      <c r="B15">
        <v>9</v>
      </c>
      <c r="C15">
        <v>5503.5</v>
      </c>
      <c r="D15">
        <v>0.33892857142857141</v>
      </c>
      <c r="E15">
        <v>0.35714285714285721</v>
      </c>
      <c r="F15">
        <v>0.12864617225093389</v>
      </c>
      <c r="G15">
        <v>-2.2767022500310239E-2</v>
      </c>
    </row>
    <row r="16" spans="1:7" x14ac:dyDescent="0.25">
      <c r="A16" t="s">
        <v>21</v>
      </c>
      <c r="B16">
        <v>13</v>
      </c>
      <c r="C16">
        <v>5252.5</v>
      </c>
      <c r="D16">
        <v>0</v>
      </c>
      <c r="E16">
        <v>7.1428571428571425E-2</v>
      </c>
      <c r="F16">
        <v>0</v>
      </c>
      <c r="G16">
        <v>-0.25656335143122488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7819.5</v>
      </c>
      <c r="D2">
        <v>0.8532142857142857</v>
      </c>
      <c r="E2">
        <v>0.9285714285714286</v>
      </c>
      <c r="F2">
        <v>0.30908814731875861</v>
      </c>
      <c r="G2">
        <v>0.30750902581898049</v>
      </c>
    </row>
    <row r="3" spans="1:7" x14ac:dyDescent="0.25">
      <c r="A3" t="s">
        <v>11</v>
      </c>
      <c r="B3">
        <v>0</v>
      </c>
      <c r="C3">
        <v>7445</v>
      </c>
      <c r="D3">
        <v>0.83107142857142857</v>
      </c>
      <c r="E3">
        <v>1</v>
      </c>
      <c r="F3">
        <v>0.31042591045460688</v>
      </c>
      <c r="G3">
        <v>0.32257440487045891</v>
      </c>
    </row>
    <row r="4" spans="1:7" x14ac:dyDescent="0.25">
      <c r="A4" t="s">
        <v>8</v>
      </c>
      <c r="B4">
        <v>0</v>
      </c>
      <c r="C4">
        <v>7440.5</v>
      </c>
      <c r="D4">
        <v>0.80321428571428577</v>
      </c>
      <c r="E4">
        <v>1</v>
      </c>
      <c r="F4">
        <v>0.29856265736091858</v>
      </c>
      <c r="G4">
        <v>0.29637731280478119</v>
      </c>
    </row>
    <row r="5" spans="1:7" x14ac:dyDescent="0.25">
      <c r="A5" t="s">
        <v>9</v>
      </c>
      <c r="B5">
        <v>0</v>
      </c>
      <c r="C5">
        <v>7431</v>
      </c>
      <c r="D5">
        <v>0.88857142857142857</v>
      </c>
      <c r="E5">
        <v>1</v>
      </c>
      <c r="F5">
        <v>0.3148201654314367</v>
      </c>
      <c r="G5">
        <v>0.30022844409614052</v>
      </c>
    </row>
    <row r="6" spans="1:7" x14ac:dyDescent="0.25">
      <c r="A6" t="s">
        <v>10</v>
      </c>
      <c r="B6">
        <v>0</v>
      </c>
      <c r="C6">
        <v>7313</v>
      </c>
      <c r="D6">
        <v>0.84392857142857147</v>
      </c>
      <c r="E6">
        <v>1</v>
      </c>
      <c r="F6">
        <v>0.31417923442024748</v>
      </c>
      <c r="G6">
        <v>0.32713651410297861</v>
      </c>
    </row>
    <row r="7" spans="1:7" x14ac:dyDescent="0.25">
      <c r="A7" t="s">
        <v>12</v>
      </c>
      <c r="B7">
        <v>0</v>
      </c>
      <c r="C7">
        <v>7302</v>
      </c>
      <c r="D7">
        <v>1</v>
      </c>
      <c r="E7">
        <v>1</v>
      </c>
      <c r="F7">
        <v>0.3248819384325396</v>
      </c>
      <c r="G7">
        <v>0.25998609881045848</v>
      </c>
    </row>
    <row r="8" spans="1:7" x14ac:dyDescent="0.25">
      <c r="A8" t="s">
        <v>13</v>
      </c>
      <c r="B8">
        <v>0</v>
      </c>
      <c r="C8">
        <v>7118</v>
      </c>
      <c r="D8">
        <v>0.73035714285714282</v>
      </c>
      <c r="E8">
        <v>1</v>
      </c>
      <c r="F8">
        <v>0.28944663919626351</v>
      </c>
      <c r="G8">
        <v>0.31042442688229988</v>
      </c>
    </row>
    <row r="9" spans="1:7" x14ac:dyDescent="0.25">
      <c r="A9" t="s">
        <v>14</v>
      </c>
      <c r="B9">
        <v>1</v>
      </c>
      <c r="C9">
        <v>6877.5</v>
      </c>
      <c r="D9">
        <v>0.66785714285714282</v>
      </c>
      <c r="E9">
        <v>0.9285714285714286</v>
      </c>
      <c r="F9">
        <v>0.27617186546497052</v>
      </c>
      <c r="G9">
        <v>0.30477649133024348</v>
      </c>
    </row>
    <row r="10" spans="1:7" x14ac:dyDescent="0.25">
      <c r="A10" t="s">
        <v>16</v>
      </c>
      <c r="B10">
        <v>0</v>
      </c>
      <c r="C10">
        <v>6864.5</v>
      </c>
      <c r="D10">
        <v>0.80428571428571427</v>
      </c>
      <c r="E10">
        <v>1</v>
      </c>
      <c r="F10">
        <v>0.29535019152019848</v>
      </c>
      <c r="G10">
        <v>0.28298500878054039</v>
      </c>
    </row>
    <row r="11" spans="1:7" x14ac:dyDescent="0.25">
      <c r="A11" t="s">
        <v>15</v>
      </c>
      <c r="B11">
        <v>1</v>
      </c>
      <c r="C11">
        <v>6840.5</v>
      </c>
      <c r="D11">
        <v>0.65107142857142852</v>
      </c>
      <c r="E11">
        <v>0.9285714285714286</v>
      </c>
      <c r="F11">
        <v>0.27259525443230748</v>
      </c>
      <c r="G11">
        <v>0.30374629289417998</v>
      </c>
    </row>
    <row r="12" spans="1:7" x14ac:dyDescent="0.25">
      <c r="A12" t="s">
        <v>17</v>
      </c>
      <c r="B12">
        <v>6</v>
      </c>
      <c r="C12">
        <v>6252.5</v>
      </c>
      <c r="D12">
        <v>0.49035714285714288</v>
      </c>
      <c r="E12">
        <v>0.5714285714285714</v>
      </c>
      <c r="F12">
        <v>0.18048554596023381</v>
      </c>
      <c r="G12">
        <v>7.8107975067811475E-2</v>
      </c>
    </row>
    <row r="13" spans="1:7" x14ac:dyDescent="0.25">
      <c r="A13" t="s">
        <v>19</v>
      </c>
      <c r="B13">
        <v>7</v>
      </c>
      <c r="C13">
        <v>6149</v>
      </c>
      <c r="D13">
        <v>0.51500000000000001</v>
      </c>
      <c r="E13">
        <v>0.5</v>
      </c>
      <c r="F13">
        <v>0.16633308005175149</v>
      </c>
      <c r="G13">
        <v>3.395332577534205E-3</v>
      </c>
    </row>
    <row r="14" spans="1:7" x14ac:dyDescent="0.25">
      <c r="A14" t="s">
        <v>18</v>
      </c>
      <c r="B14">
        <v>9</v>
      </c>
      <c r="C14">
        <v>5987.5</v>
      </c>
      <c r="D14">
        <v>0.43071428571428572</v>
      </c>
      <c r="E14">
        <v>0.35714285714285721</v>
      </c>
      <c r="F14">
        <v>0.1629312469190376</v>
      </c>
      <c r="G14">
        <v>4.846463649353451E-2</v>
      </c>
    </row>
    <row r="15" spans="1:7" x14ac:dyDescent="0.25">
      <c r="A15" t="s">
        <v>20</v>
      </c>
      <c r="B15">
        <v>12</v>
      </c>
      <c r="C15">
        <v>5313</v>
      </c>
      <c r="D15">
        <v>0.23071428571428571</v>
      </c>
      <c r="E15">
        <v>0.14285714285714279</v>
      </c>
      <c r="F15">
        <v>8.4932487795386008E-2</v>
      </c>
      <c r="G15">
        <v>-0.10558368721792639</v>
      </c>
    </row>
    <row r="16" spans="1:7" x14ac:dyDescent="0.25">
      <c r="A16" t="s">
        <v>21</v>
      </c>
      <c r="B16">
        <v>13</v>
      </c>
      <c r="C16">
        <v>5131</v>
      </c>
      <c r="D16">
        <v>0</v>
      </c>
      <c r="E16">
        <v>7.1428571428571425E-2</v>
      </c>
      <c r="F16">
        <v>0</v>
      </c>
      <c r="G16">
        <v>-0.25998609881045848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7909</v>
      </c>
      <c r="D2">
        <v>0.85285714285714287</v>
      </c>
      <c r="E2">
        <v>0.9285714285714286</v>
      </c>
      <c r="F2">
        <v>0.31052979119643259</v>
      </c>
      <c r="G2">
        <v>0.30941890273251182</v>
      </c>
    </row>
    <row r="3" spans="1:7" x14ac:dyDescent="0.25">
      <c r="A3" t="s">
        <v>8</v>
      </c>
      <c r="B3">
        <v>0</v>
      </c>
      <c r="C3">
        <v>7560</v>
      </c>
      <c r="D3">
        <v>0.80535714285714288</v>
      </c>
      <c r="E3">
        <v>1</v>
      </c>
      <c r="F3">
        <v>0.2999078338706711</v>
      </c>
      <c r="G3">
        <v>0.29929232406431538</v>
      </c>
    </row>
    <row r="4" spans="1:7" x14ac:dyDescent="0.25">
      <c r="A4" t="s">
        <v>9</v>
      </c>
      <c r="B4">
        <v>0</v>
      </c>
      <c r="C4">
        <v>7445</v>
      </c>
      <c r="D4">
        <v>0.89142857142857146</v>
      </c>
      <c r="E4">
        <v>1</v>
      </c>
      <c r="F4">
        <v>0.31564127682586712</v>
      </c>
      <c r="G4">
        <v>0.29809799419069499</v>
      </c>
    </row>
    <row r="5" spans="1:7" x14ac:dyDescent="0.25">
      <c r="A5" t="s">
        <v>10</v>
      </c>
      <c r="B5">
        <v>0</v>
      </c>
      <c r="C5">
        <v>7378</v>
      </c>
      <c r="D5">
        <v>0.84607142857142859</v>
      </c>
      <c r="E5">
        <v>1</v>
      </c>
      <c r="F5">
        <v>0.31369820197350601</v>
      </c>
      <c r="G5">
        <v>0.32303762552948928</v>
      </c>
    </row>
    <row r="6" spans="1:7" x14ac:dyDescent="0.25">
      <c r="A6" t="s">
        <v>12</v>
      </c>
      <c r="B6">
        <v>0</v>
      </c>
      <c r="C6">
        <v>7317</v>
      </c>
      <c r="D6">
        <v>1</v>
      </c>
      <c r="E6">
        <v>1</v>
      </c>
      <c r="F6">
        <v>0.3261217099646751</v>
      </c>
      <c r="G6">
        <v>0.26060766187582601</v>
      </c>
    </row>
    <row r="7" spans="1:7" x14ac:dyDescent="0.25">
      <c r="A7" t="s">
        <v>11</v>
      </c>
      <c r="B7">
        <v>0</v>
      </c>
      <c r="C7">
        <v>7287</v>
      </c>
      <c r="D7">
        <v>0.79785714285714282</v>
      </c>
      <c r="E7">
        <v>1</v>
      </c>
      <c r="F7">
        <v>0.30456878923901032</v>
      </c>
      <c r="G7">
        <v>0.32079170376074712</v>
      </c>
    </row>
    <row r="8" spans="1:7" x14ac:dyDescent="0.25">
      <c r="A8" t="s">
        <v>13</v>
      </c>
      <c r="B8">
        <v>0</v>
      </c>
      <c r="C8">
        <v>7235</v>
      </c>
      <c r="D8">
        <v>0.73928571428571432</v>
      </c>
      <c r="E8">
        <v>1</v>
      </c>
      <c r="F8">
        <v>0.29181181394647659</v>
      </c>
      <c r="G8">
        <v>0.31508019186042863</v>
      </c>
    </row>
    <row r="9" spans="1:7" x14ac:dyDescent="0.25">
      <c r="A9" t="s">
        <v>15</v>
      </c>
      <c r="B9">
        <v>1</v>
      </c>
      <c r="C9">
        <v>7061</v>
      </c>
      <c r="D9">
        <v>0.66178571428571431</v>
      </c>
      <c r="E9">
        <v>0.9285714285714286</v>
      </c>
      <c r="F9">
        <v>0.27476537197709427</v>
      </c>
      <c r="G9">
        <v>0.30785834916373278</v>
      </c>
    </row>
    <row r="10" spans="1:7" x14ac:dyDescent="0.25">
      <c r="A10" t="s">
        <v>16</v>
      </c>
      <c r="B10">
        <v>1</v>
      </c>
      <c r="C10">
        <v>6908</v>
      </c>
      <c r="D10">
        <v>0.8</v>
      </c>
      <c r="E10">
        <v>0.9285714285714286</v>
      </c>
      <c r="F10">
        <v>0.29519160741727513</v>
      </c>
      <c r="G10">
        <v>0.28592448795006792</v>
      </c>
    </row>
    <row r="11" spans="1:7" x14ac:dyDescent="0.25">
      <c r="A11" t="s">
        <v>14</v>
      </c>
      <c r="B11">
        <v>2</v>
      </c>
      <c r="C11">
        <v>6869</v>
      </c>
      <c r="D11">
        <v>0.6517857142857143</v>
      </c>
      <c r="E11">
        <v>0.8571428571428571</v>
      </c>
      <c r="F11">
        <v>0.27343506578227489</v>
      </c>
      <c r="G11">
        <v>0.30914595938807149</v>
      </c>
    </row>
    <row r="12" spans="1:7" x14ac:dyDescent="0.25">
      <c r="A12" t="s">
        <v>17</v>
      </c>
      <c r="B12">
        <v>6</v>
      </c>
      <c r="C12">
        <v>6644</v>
      </c>
      <c r="D12">
        <v>0.53892857142857142</v>
      </c>
      <c r="E12">
        <v>0.5714285714285714</v>
      </c>
      <c r="F12">
        <v>0.18529682873407971</v>
      </c>
      <c r="G12">
        <v>6.2273720264861283E-2</v>
      </c>
    </row>
    <row r="13" spans="1:7" x14ac:dyDescent="0.25">
      <c r="A13" t="s">
        <v>19</v>
      </c>
      <c r="B13">
        <v>6</v>
      </c>
      <c r="C13">
        <v>6311</v>
      </c>
      <c r="D13">
        <v>0.50214285714285711</v>
      </c>
      <c r="E13">
        <v>0.5714285714285714</v>
      </c>
      <c r="F13">
        <v>0.1634891903402412</v>
      </c>
      <c r="G13">
        <v>3.8198872430622761E-4</v>
      </c>
    </row>
    <row r="14" spans="1:7" x14ac:dyDescent="0.25">
      <c r="A14" t="s">
        <v>18</v>
      </c>
      <c r="B14">
        <v>10</v>
      </c>
      <c r="C14">
        <v>6048</v>
      </c>
      <c r="D14">
        <v>0.39535714285714291</v>
      </c>
      <c r="E14">
        <v>0.2857142857142857</v>
      </c>
      <c r="F14">
        <v>0.14847318999907061</v>
      </c>
      <c r="G14">
        <v>2.1192770731875692E-2</v>
      </c>
    </row>
    <row r="15" spans="1:7" x14ac:dyDescent="0.25">
      <c r="A15" t="s">
        <v>20</v>
      </c>
      <c r="B15">
        <v>10</v>
      </c>
      <c r="C15">
        <v>6041</v>
      </c>
      <c r="D15">
        <v>0.29785714285714288</v>
      </c>
      <c r="E15">
        <v>0.2857142857142857</v>
      </c>
      <c r="F15">
        <v>0.103971930755935</v>
      </c>
      <c r="G15">
        <v>-8.3813355325043457E-2</v>
      </c>
    </row>
    <row r="16" spans="1:7" x14ac:dyDescent="0.25">
      <c r="A16" t="s">
        <v>21</v>
      </c>
      <c r="B16">
        <v>13</v>
      </c>
      <c r="C16">
        <v>5375</v>
      </c>
      <c r="D16">
        <v>0</v>
      </c>
      <c r="E16">
        <v>7.1428571428571425E-2</v>
      </c>
      <c r="F16">
        <v>0</v>
      </c>
      <c r="G16">
        <v>-0.26060766187582601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>
        <v>0</v>
      </c>
      <c r="C2">
        <v>7515</v>
      </c>
      <c r="D2">
        <v>0.80249999999999999</v>
      </c>
      <c r="E2">
        <v>1</v>
      </c>
      <c r="F2">
        <v>0.30036261214517829</v>
      </c>
      <c r="G2">
        <v>0.29986245646054072</v>
      </c>
    </row>
    <row r="3" spans="1:7" x14ac:dyDescent="0.25">
      <c r="A3" t="s">
        <v>9</v>
      </c>
      <c r="B3">
        <v>0</v>
      </c>
      <c r="C3">
        <v>7489</v>
      </c>
      <c r="D3">
        <v>0.89035714285714285</v>
      </c>
      <c r="E3">
        <v>1</v>
      </c>
      <c r="F3">
        <v>0.31505108738295529</v>
      </c>
      <c r="G3">
        <v>0.29393848497474762</v>
      </c>
    </row>
    <row r="4" spans="1:7" x14ac:dyDescent="0.25">
      <c r="A4" t="s">
        <v>7</v>
      </c>
      <c r="B4">
        <v>0</v>
      </c>
      <c r="C4">
        <v>7464</v>
      </c>
      <c r="D4">
        <v>0.91714285714285715</v>
      </c>
      <c r="E4">
        <v>1</v>
      </c>
      <c r="F4">
        <v>0.32357331384763538</v>
      </c>
      <c r="G4">
        <v>0.30506195662429902</v>
      </c>
    </row>
    <row r="5" spans="1:7" x14ac:dyDescent="0.25">
      <c r="A5" t="s">
        <v>10</v>
      </c>
      <c r="B5">
        <v>0</v>
      </c>
      <c r="C5">
        <v>7414</v>
      </c>
      <c r="D5">
        <v>0.85107142857142859</v>
      </c>
      <c r="E5">
        <v>1</v>
      </c>
      <c r="F5">
        <v>0.31435922719946341</v>
      </c>
      <c r="G5">
        <v>0.31875962014821257</v>
      </c>
    </row>
    <row r="6" spans="1:7" x14ac:dyDescent="0.25">
      <c r="A6" t="s">
        <v>12</v>
      </c>
      <c r="B6">
        <v>0</v>
      </c>
      <c r="C6">
        <v>7239</v>
      </c>
      <c r="D6">
        <v>1</v>
      </c>
      <c r="E6">
        <v>1</v>
      </c>
      <c r="F6">
        <v>0.3259151412095706</v>
      </c>
      <c r="G6">
        <v>0.25687738701751212</v>
      </c>
    </row>
    <row r="7" spans="1:7" x14ac:dyDescent="0.25">
      <c r="A7" t="s">
        <v>11</v>
      </c>
      <c r="B7">
        <v>0</v>
      </c>
      <c r="C7">
        <v>7089</v>
      </c>
      <c r="D7">
        <v>0.76928571428571424</v>
      </c>
      <c r="E7">
        <v>1</v>
      </c>
      <c r="F7">
        <v>0.30060905249199882</v>
      </c>
      <c r="G7">
        <v>0.32346579359891697</v>
      </c>
    </row>
    <row r="8" spans="1:7" x14ac:dyDescent="0.25">
      <c r="A8" t="s">
        <v>13</v>
      </c>
      <c r="B8">
        <v>0</v>
      </c>
      <c r="C8">
        <v>7086</v>
      </c>
      <c r="D8">
        <v>0.71392857142857147</v>
      </c>
      <c r="E8">
        <v>1</v>
      </c>
      <c r="F8">
        <v>0.28890148040261571</v>
      </c>
      <c r="G8">
        <v>0.31916074161237318</v>
      </c>
    </row>
    <row r="9" spans="1:7" x14ac:dyDescent="0.25">
      <c r="A9" t="s">
        <v>16</v>
      </c>
      <c r="B9">
        <v>0</v>
      </c>
      <c r="C9">
        <v>7018</v>
      </c>
      <c r="D9">
        <v>0.81107142857142855</v>
      </c>
      <c r="E9">
        <v>1</v>
      </c>
      <c r="F9">
        <v>0.29820176698985412</v>
      </c>
      <c r="G9">
        <v>0.28669611913813042</v>
      </c>
    </row>
    <row r="10" spans="1:7" x14ac:dyDescent="0.25">
      <c r="A10" t="s">
        <v>15</v>
      </c>
      <c r="B10">
        <v>1</v>
      </c>
      <c r="C10">
        <v>6930</v>
      </c>
      <c r="D10">
        <v>0.64642857142857146</v>
      </c>
      <c r="E10">
        <v>0.9285714285714286</v>
      </c>
      <c r="F10">
        <v>0.274147343277097</v>
      </c>
      <c r="G10">
        <v>0.3133630231670021</v>
      </c>
    </row>
    <row r="11" spans="1:7" x14ac:dyDescent="0.25">
      <c r="A11" t="s">
        <v>14</v>
      </c>
      <c r="B11">
        <v>1</v>
      </c>
      <c r="C11">
        <v>6885</v>
      </c>
      <c r="D11">
        <v>0.65678571428571431</v>
      </c>
      <c r="E11">
        <v>0.9285714285714286</v>
      </c>
      <c r="F11">
        <v>0.2762162946810014</v>
      </c>
      <c r="G11">
        <v>0.31327928320429499</v>
      </c>
    </row>
    <row r="12" spans="1:7" x14ac:dyDescent="0.25">
      <c r="A12" t="s">
        <v>17</v>
      </c>
      <c r="B12">
        <v>7</v>
      </c>
      <c r="C12">
        <v>6828</v>
      </c>
      <c r="D12">
        <v>0.51821428571428574</v>
      </c>
      <c r="E12">
        <v>0.5</v>
      </c>
      <c r="F12">
        <v>0.1820828265213387</v>
      </c>
      <c r="G12">
        <v>6.3949711793817546E-2</v>
      </c>
    </row>
    <row r="13" spans="1:7" x14ac:dyDescent="0.25">
      <c r="A13" t="s">
        <v>19</v>
      </c>
      <c r="B13">
        <v>8</v>
      </c>
      <c r="C13">
        <v>6784</v>
      </c>
      <c r="D13">
        <v>0.49178571428571433</v>
      </c>
      <c r="E13">
        <v>0.42857142857142849</v>
      </c>
      <c r="F13">
        <v>0.16046858422210189</v>
      </c>
      <c r="G13">
        <v>-3.206183221316048E-3</v>
      </c>
    </row>
    <row r="14" spans="1:7" x14ac:dyDescent="0.25">
      <c r="A14" t="s">
        <v>20</v>
      </c>
      <c r="B14">
        <v>12</v>
      </c>
      <c r="C14">
        <v>5814</v>
      </c>
      <c r="D14">
        <v>0.29321428571428571</v>
      </c>
      <c r="E14">
        <v>0.14285714285714279</v>
      </c>
      <c r="F14">
        <v>0.1028802277177685</v>
      </c>
      <c r="G14">
        <v>-8.6926695204989662E-2</v>
      </c>
    </row>
    <row r="15" spans="1:7" x14ac:dyDescent="0.25">
      <c r="A15" t="s">
        <v>18</v>
      </c>
      <c r="B15">
        <v>9</v>
      </c>
      <c r="C15">
        <v>5759</v>
      </c>
      <c r="D15">
        <v>0.34535714285714292</v>
      </c>
      <c r="E15">
        <v>0.35714285714285721</v>
      </c>
      <c r="F15">
        <v>0.1307210339431828</v>
      </c>
      <c r="G15">
        <v>-1.885324937107952E-2</v>
      </c>
    </row>
    <row r="16" spans="1:7" x14ac:dyDescent="0.25">
      <c r="A16" t="s">
        <v>21</v>
      </c>
      <c r="B16">
        <v>13</v>
      </c>
      <c r="C16">
        <v>5470</v>
      </c>
      <c r="D16">
        <v>0</v>
      </c>
      <c r="E16">
        <v>7.1428571428571425E-2</v>
      </c>
      <c r="F16">
        <v>0</v>
      </c>
      <c r="G16">
        <v>-0.25687738701751212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7655</v>
      </c>
      <c r="D2">
        <v>0.79</v>
      </c>
      <c r="E2">
        <v>0.9285714285714286</v>
      </c>
      <c r="F2">
        <v>0.30478871396463858</v>
      </c>
      <c r="G2">
        <v>0.32349890130269698</v>
      </c>
    </row>
    <row r="3" spans="1:7" x14ac:dyDescent="0.25">
      <c r="A3" t="s">
        <v>8</v>
      </c>
      <c r="B3">
        <v>0</v>
      </c>
      <c r="C3">
        <v>7556</v>
      </c>
      <c r="D3">
        <v>0.80214285714285716</v>
      </c>
      <c r="E3">
        <v>1</v>
      </c>
      <c r="F3">
        <v>0.30037801097693001</v>
      </c>
      <c r="G3">
        <v>0.29237130070778761</v>
      </c>
    </row>
    <row r="4" spans="1:7" x14ac:dyDescent="0.25">
      <c r="A4" t="s">
        <v>9</v>
      </c>
      <c r="B4">
        <v>0</v>
      </c>
      <c r="C4">
        <v>7511</v>
      </c>
      <c r="D4">
        <v>0.90107142857142852</v>
      </c>
      <c r="E4">
        <v>1</v>
      </c>
      <c r="F4">
        <v>0.31658557059039238</v>
      </c>
      <c r="G4">
        <v>0.28748084564122273</v>
      </c>
    </row>
    <row r="5" spans="1:7" x14ac:dyDescent="0.25">
      <c r="A5" t="s">
        <v>11</v>
      </c>
      <c r="B5">
        <v>0</v>
      </c>
      <c r="C5">
        <v>7422</v>
      </c>
      <c r="D5">
        <v>0.83107142857142857</v>
      </c>
      <c r="E5">
        <v>1</v>
      </c>
      <c r="F5">
        <v>0.31382330592678509</v>
      </c>
      <c r="G5">
        <v>0.32589359527301909</v>
      </c>
    </row>
    <row r="6" spans="1:7" x14ac:dyDescent="0.25">
      <c r="A6" t="s">
        <v>10</v>
      </c>
      <c r="B6">
        <v>0</v>
      </c>
      <c r="C6">
        <v>7329</v>
      </c>
      <c r="D6">
        <v>0.84321428571428569</v>
      </c>
      <c r="E6">
        <v>1</v>
      </c>
      <c r="F6">
        <v>0.31614921937448692</v>
      </c>
      <c r="G6">
        <v>0.32536609754854368</v>
      </c>
    </row>
    <row r="7" spans="1:7" x14ac:dyDescent="0.25">
      <c r="A7" t="s">
        <v>13</v>
      </c>
      <c r="B7">
        <v>0</v>
      </c>
      <c r="C7">
        <v>7185</v>
      </c>
      <c r="D7">
        <v>0.72642857142857142</v>
      </c>
      <c r="E7">
        <v>1</v>
      </c>
      <c r="F7">
        <v>0.29179154354668951</v>
      </c>
      <c r="G7">
        <v>0.3107975384047913</v>
      </c>
    </row>
    <row r="8" spans="1:7" x14ac:dyDescent="0.25">
      <c r="A8" t="s">
        <v>12</v>
      </c>
      <c r="B8">
        <v>0</v>
      </c>
      <c r="C8">
        <v>7179</v>
      </c>
      <c r="D8">
        <v>1</v>
      </c>
      <c r="E8">
        <v>1</v>
      </c>
      <c r="F8">
        <v>0.32561631706585792</v>
      </c>
      <c r="G8">
        <v>0.25363298534533912</v>
      </c>
    </row>
    <row r="9" spans="1:7" x14ac:dyDescent="0.25">
      <c r="A9" t="s">
        <v>15</v>
      </c>
      <c r="B9">
        <v>1</v>
      </c>
      <c r="C9">
        <v>6939</v>
      </c>
      <c r="D9">
        <v>0.65428571428571425</v>
      </c>
      <c r="E9">
        <v>0.9285714285714286</v>
      </c>
      <c r="F9">
        <v>0.27626681855588259</v>
      </c>
      <c r="G9">
        <v>0.30290203504769908</v>
      </c>
    </row>
    <row r="10" spans="1:7" x14ac:dyDescent="0.25">
      <c r="A10" t="s">
        <v>16</v>
      </c>
      <c r="B10">
        <v>0</v>
      </c>
      <c r="C10">
        <v>6880</v>
      </c>
      <c r="D10">
        <v>0.8075</v>
      </c>
      <c r="E10">
        <v>1</v>
      </c>
      <c r="F10">
        <v>0.29790704629436232</v>
      </c>
      <c r="G10">
        <v>0.27986608296880128</v>
      </c>
    </row>
    <row r="11" spans="1:7" x14ac:dyDescent="0.25">
      <c r="A11" t="s">
        <v>14</v>
      </c>
      <c r="B11">
        <v>1</v>
      </c>
      <c r="C11">
        <v>6873</v>
      </c>
      <c r="D11">
        <v>0.65607142857142853</v>
      </c>
      <c r="E11">
        <v>0.9285714285714286</v>
      </c>
      <c r="F11">
        <v>0.27694932974766878</v>
      </c>
      <c r="G11">
        <v>0.30362362327470022</v>
      </c>
    </row>
    <row r="12" spans="1:7" x14ac:dyDescent="0.25">
      <c r="A12" t="s">
        <v>17</v>
      </c>
      <c r="B12">
        <v>7</v>
      </c>
      <c r="C12">
        <v>6559</v>
      </c>
      <c r="D12">
        <v>0.45714285714285707</v>
      </c>
      <c r="E12">
        <v>0.5</v>
      </c>
      <c r="F12">
        <v>0.1751654842232318</v>
      </c>
      <c r="G12">
        <v>8.0497320639459594E-2</v>
      </c>
    </row>
    <row r="13" spans="1:7" x14ac:dyDescent="0.25">
      <c r="A13" t="s">
        <v>19</v>
      </c>
      <c r="B13">
        <v>5</v>
      </c>
      <c r="C13">
        <v>6178</v>
      </c>
      <c r="D13">
        <v>0.49178571428571433</v>
      </c>
      <c r="E13">
        <v>0.6428571428571429</v>
      </c>
      <c r="F13">
        <v>0.1613081663623398</v>
      </c>
      <c r="G13">
        <v>1.071394097305551E-3</v>
      </c>
    </row>
    <row r="14" spans="1:7" x14ac:dyDescent="0.25">
      <c r="A14" t="s">
        <v>18</v>
      </c>
      <c r="B14">
        <v>9</v>
      </c>
      <c r="C14">
        <v>6176</v>
      </c>
      <c r="D14">
        <v>0.40678571428571431</v>
      </c>
      <c r="E14">
        <v>0.35714285714285721</v>
      </c>
      <c r="F14">
        <v>0.15509382837556379</v>
      </c>
      <c r="G14">
        <v>3.834520230687611E-2</v>
      </c>
    </row>
    <row r="15" spans="1:7" x14ac:dyDescent="0.25">
      <c r="A15" t="s">
        <v>21</v>
      </c>
      <c r="B15">
        <v>13</v>
      </c>
      <c r="C15">
        <v>5390</v>
      </c>
      <c r="D15">
        <v>0</v>
      </c>
      <c r="E15">
        <v>7.1428571428571425E-2</v>
      </c>
      <c r="F15">
        <v>0</v>
      </c>
      <c r="G15">
        <v>-0.25363298534533912</v>
      </c>
    </row>
    <row r="16" spans="1:7" x14ac:dyDescent="0.25">
      <c r="A16" t="s">
        <v>20</v>
      </c>
      <c r="B16">
        <v>13</v>
      </c>
      <c r="C16">
        <v>5052</v>
      </c>
      <c r="D16">
        <v>0.18357142857142861</v>
      </c>
      <c r="E16">
        <v>7.1428571428571425E-2</v>
      </c>
      <c r="F16">
        <v>6.7205046413511382E-2</v>
      </c>
      <c r="G16">
        <v>-0.1403022758432656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7642</v>
      </c>
      <c r="D2">
        <v>0.79249999999999998</v>
      </c>
      <c r="E2">
        <v>0.9285714285714286</v>
      </c>
      <c r="F2">
        <v>0.30551055937388338</v>
      </c>
      <c r="G2">
        <v>0.32107613854606709</v>
      </c>
    </row>
    <row r="3" spans="1:7" x14ac:dyDescent="0.25">
      <c r="A3" t="s">
        <v>8</v>
      </c>
      <c r="B3">
        <v>0</v>
      </c>
      <c r="C3">
        <v>7521</v>
      </c>
      <c r="D3">
        <v>0.80571428571428572</v>
      </c>
      <c r="E3">
        <v>1</v>
      </c>
      <c r="F3">
        <v>0.30254653112726487</v>
      </c>
      <c r="G3">
        <v>0.29455391104912848</v>
      </c>
    </row>
    <row r="4" spans="1:7" x14ac:dyDescent="0.25">
      <c r="A4" t="s">
        <v>9</v>
      </c>
      <c r="B4">
        <v>0</v>
      </c>
      <c r="C4">
        <v>7519</v>
      </c>
      <c r="D4">
        <v>0.89035714285714285</v>
      </c>
      <c r="E4">
        <v>1</v>
      </c>
      <c r="F4">
        <v>0.31636731246407712</v>
      </c>
      <c r="G4">
        <v>0.29105087050438377</v>
      </c>
    </row>
    <row r="5" spans="1:7" x14ac:dyDescent="0.25">
      <c r="A5" t="s">
        <v>10</v>
      </c>
      <c r="B5">
        <v>0</v>
      </c>
      <c r="C5">
        <v>7349</v>
      </c>
      <c r="D5">
        <v>0.84642857142857142</v>
      </c>
      <c r="E5">
        <v>1</v>
      </c>
      <c r="F5">
        <v>0.31664039150615358</v>
      </c>
      <c r="G5">
        <v>0.32171192466783011</v>
      </c>
    </row>
    <row r="6" spans="1:7" x14ac:dyDescent="0.25">
      <c r="A6" t="s">
        <v>12</v>
      </c>
      <c r="B6">
        <v>0</v>
      </c>
      <c r="C6">
        <v>7269</v>
      </c>
      <c r="D6">
        <v>1</v>
      </c>
      <c r="E6">
        <v>1</v>
      </c>
      <c r="F6">
        <v>0.3268227776503046</v>
      </c>
      <c r="G6">
        <v>0.25456542605303811</v>
      </c>
    </row>
    <row r="7" spans="1:7" x14ac:dyDescent="0.25">
      <c r="A7" t="s">
        <v>11</v>
      </c>
      <c r="B7">
        <v>0</v>
      </c>
      <c r="C7">
        <v>7255</v>
      </c>
      <c r="D7">
        <v>0.80178571428571432</v>
      </c>
      <c r="E7">
        <v>1</v>
      </c>
      <c r="F7">
        <v>0.30828228362821591</v>
      </c>
      <c r="G7">
        <v>0.32054877445218338</v>
      </c>
    </row>
    <row r="8" spans="1:7" x14ac:dyDescent="0.25">
      <c r="A8" t="s">
        <v>13</v>
      </c>
      <c r="B8">
        <v>0</v>
      </c>
      <c r="C8">
        <v>7129</v>
      </c>
      <c r="D8">
        <v>0.7221428571428572</v>
      </c>
      <c r="E8">
        <v>1</v>
      </c>
      <c r="F8">
        <v>0.2929939079916713</v>
      </c>
      <c r="G8">
        <v>0.31519935771021618</v>
      </c>
    </row>
    <row r="9" spans="1:7" x14ac:dyDescent="0.25">
      <c r="A9" t="s">
        <v>15</v>
      </c>
      <c r="B9">
        <v>1</v>
      </c>
      <c r="C9">
        <v>7011</v>
      </c>
      <c r="D9">
        <v>0.6528571428571428</v>
      </c>
      <c r="E9">
        <v>0.9285714285714286</v>
      </c>
      <c r="F9">
        <v>0.27788043843325488</v>
      </c>
      <c r="G9">
        <v>0.30657860447232987</v>
      </c>
    </row>
    <row r="10" spans="1:7" x14ac:dyDescent="0.25">
      <c r="A10" t="s">
        <v>14</v>
      </c>
      <c r="B10">
        <v>1</v>
      </c>
      <c r="C10">
        <v>6930</v>
      </c>
      <c r="D10">
        <v>0.66392857142857142</v>
      </c>
      <c r="E10">
        <v>0.9285714285714286</v>
      </c>
      <c r="F10">
        <v>0.28051054588599822</v>
      </c>
      <c r="G10">
        <v>0.30751478825366219</v>
      </c>
    </row>
    <row r="11" spans="1:7" x14ac:dyDescent="0.25">
      <c r="A11" t="s">
        <v>16</v>
      </c>
      <c r="B11">
        <v>0</v>
      </c>
      <c r="C11">
        <v>6896</v>
      </c>
      <c r="D11">
        <v>0.8075</v>
      </c>
      <c r="E11">
        <v>1</v>
      </c>
      <c r="F11">
        <v>0.29977252749485561</v>
      </c>
      <c r="G11">
        <v>0.283622359152917</v>
      </c>
    </row>
    <row r="12" spans="1:7" x14ac:dyDescent="0.25">
      <c r="A12" t="s">
        <v>17</v>
      </c>
      <c r="B12">
        <v>7</v>
      </c>
      <c r="C12">
        <v>6585</v>
      </c>
      <c r="D12">
        <v>0.43321428571428572</v>
      </c>
      <c r="E12">
        <v>0.5</v>
      </c>
      <c r="F12">
        <v>0.1708797406202614</v>
      </c>
      <c r="G12">
        <v>7.9968530244472202E-2</v>
      </c>
    </row>
    <row r="13" spans="1:7" x14ac:dyDescent="0.25">
      <c r="A13" t="s">
        <v>19</v>
      </c>
      <c r="B13">
        <v>6</v>
      </c>
      <c r="C13">
        <v>5918</v>
      </c>
      <c r="D13">
        <v>0.49964285714285722</v>
      </c>
      <c r="E13">
        <v>0.5714285714285714</v>
      </c>
      <c r="F13">
        <v>0.16516144648336681</v>
      </c>
      <c r="G13">
        <v>6.8315439247856853E-3</v>
      </c>
    </row>
    <row r="14" spans="1:7" x14ac:dyDescent="0.25">
      <c r="A14" t="s">
        <v>18</v>
      </c>
      <c r="B14">
        <v>9</v>
      </c>
      <c r="C14">
        <v>5890</v>
      </c>
      <c r="D14">
        <v>0.35892857142857137</v>
      </c>
      <c r="E14">
        <v>0.35714285714285721</v>
      </c>
      <c r="F14">
        <v>0.1377556281614791</v>
      </c>
      <c r="G14">
        <v>9.0924641800716312E-4</v>
      </c>
    </row>
    <row r="15" spans="1:7" x14ac:dyDescent="0.25">
      <c r="A15" t="s">
        <v>21</v>
      </c>
      <c r="B15">
        <v>13</v>
      </c>
      <c r="C15">
        <v>5345</v>
      </c>
      <c r="D15">
        <v>0</v>
      </c>
      <c r="E15">
        <v>7.1428571428571425E-2</v>
      </c>
      <c r="F15">
        <v>0</v>
      </c>
      <c r="G15">
        <v>-0.25456542605303811</v>
      </c>
    </row>
    <row r="16" spans="1:7" x14ac:dyDescent="0.25">
      <c r="A16" t="s">
        <v>20</v>
      </c>
      <c r="B16">
        <v>12</v>
      </c>
      <c r="C16">
        <v>5057</v>
      </c>
      <c r="D16">
        <v>0.20250000000000001</v>
      </c>
      <c r="E16">
        <v>0.14285714285714279</v>
      </c>
      <c r="F16">
        <v>7.6556392729935599E-2</v>
      </c>
      <c r="G16">
        <v>-0.12161323934112619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7904</v>
      </c>
      <c r="D2">
        <v>0.85392857142857148</v>
      </c>
      <c r="E2">
        <v>0.9285714285714286</v>
      </c>
      <c r="F2">
        <v>0.30894637753588011</v>
      </c>
      <c r="G2">
        <v>0.30642402683380798</v>
      </c>
    </row>
    <row r="3" spans="1:7" x14ac:dyDescent="0.25">
      <c r="A3" t="s">
        <v>8</v>
      </c>
      <c r="B3">
        <v>0</v>
      </c>
      <c r="C3">
        <v>7501</v>
      </c>
      <c r="D3">
        <v>0.79678571428571432</v>
      </c>
      <c r="E3">
        <v>1</v>
      </c>
      <c r="F3">
        <v>0.29705022639036721</v>
      </c>
      <c r="G3">
        <v>0.29893262849193702</v>
      </c>
    </row>
    <row r="4" spans="1:7" x14ac:dyDescent="0.25">
      <c r="A4" t="s">
        <v>11</v>
      </c>
      <c r="B4">
        <v>0</v>
      </c>
      <c r="C4">
        <v>7453</v>
      </c>
      <c r="D4">
        <v>0.84642857142857142</v>
      </c>
      <c r="E4">
        <v>1</v>
      </c>
      <c r="F4">
        <v>0.3126332209597818</v>
      </c>
      <c r="G4">
        <v>0.32393267059427089</v>
      </c>
    </row>
    <row r="5" spans="1:7" x14ac:dyDescent="0.25">
      <c r="A5" t="s">
        <v>9</v>
      </c>
      <c r="B5">
        <v>0</v>
      </c>
      <c r="C5">
        <v>7427</v>
      </c>
      <c r="D5">
        <v>0.88214285714285712</v>
      </c>
      <c r="E5">
        <v>1</v>
      </c>
      <c r="F5">
        <v>0.31292785191649619</v>
      </c>
      <c r="G5">
        <v>0.29884010149488349</v>
      </c>
    </row>
    <row r="6" spans="1:7" x14ac:dyDescent="0.25">
      <c r="A6" t="s">
        <v>10</v>
      </c>
      <c r="B6">
        <v>0</v>
      </c>
      <c r="C6">
        <v>7384</v>
      </c>
      <c r="D6">
        <v>0.85071428571428576</v>
      </c>
      <c r="E6">
        <v>1</v>
      </c>
      <c r="F6">
        <v>0.31401969989555678</v>
      </c>
      <c r="G6">
        <v>0.32567041963359677</v>
      </c>
    </row>
    <row r="7" spans="1:7" x14ac:dyDescent="0.25">
      <c r="A7" t="s">
        <v>12</v>
      </c>
      <c r="B7">
        <v>0</v>
      </c>
      <c r="C7">
        <v>7326</v>
      </c>
      <c r="D7">
        <v>1</v>
      </c>
      <c r="E7">
        <v>1</v>
      </c>
      <c r="F7">
        <v>0.32479816110118148</v>
      </c>
      <c r="G7">
        <v>0.26060578250036243</v>
      </c>
    </row>
    <row r="8" spans="1:7" x14ac:dyDescent="0.25">
      <c r="A8" t="s">
        <v>13</v>
      </c>
      <c r="B8">
        <v>0</v>
      </c>
      <c r="C8">
        <v>7156</v>
      </c>
      <c r="D8">
        <v>0.7232142857142857</v>
      </c>
      <c r="E8">
        <v>1</v>
      </c>
      <c r="F8">
        <v>0.2870399778736672</v>
      </c>
      <c r="G8">
        <v>0.31221733614967651</v>
      </c>
    </row>
    <row r="9" spans="1:7" x14ac:dyDescent="0.25">
      <c r="A9" t="s">
        <v>15</v>
      </c>
      <c r="B9">
        <v>1</v>
      </c>
      <c r="C9">
        <v>6965</v>
      </c>
      <c r="D9">
        <v>0.66249999999999998</v>
      </c>
      <c r="E9">
        <v>0.9285714285714286</v>
      </c>
      <c r="F9">
        <v>0.27345767780632041</v>
      </c>
      <c r="G9">
        <v>0.3068985670954899</v>
      </c>
    </row>
    <row r="10" spans="1:7" x14ac:dyDescent="0.25">
      <c r="A10" t="s">
        <v>16</v>
      </c>
      <c r="B10">
        <v>1</v>
      </c>
      <c r="C10">
        <v>6956</v>
      </c>
      <c r="D10">
        <v>0.80607142857142855</v>
      </c>
      <c r="E10">
        <v>0.9285714285714286</v>
      </c>
      <c r="F10">
        <v>0.29435194853841179</v>
      </c>
      <c r="G10">
        <v>0.28244813560820609</v>
      </c>
    </row>
    <row r="11" spans="1:7" x14ac:dyDescent="0.25">
      <c r="A11" t="s">
        <v>14</v>
      </c>
      <c r="B11">
        <v>1</v>
      </c>
      <c r="C11">
        <v>6886</v>
      </c>
      <c r="D11">
        <v>0.65607142857142853</v>
      </c>
      <c r="E11">
        <v>0.9285714285714286</v>
      </c>
      <c r="F11">
        <v>0.27218992255195751</v>
      </c>
      <c r="G11">
        <v>0.30502921678042588</v>
      </c>
    </row>
    <row r="12" spans="1:7" x14ac:dyDescent="0.25">
      <c r="A12" t="s">
        <v>17</v>
      </c>
      <c r="B12">
        <v>6</v>
      </c>
      <c r="C12">
        <v>6705</v>
      </c>
      <c r="D12">
        <v>0.54821428571428577</v>
      </c>
      <c r="E12">
        <v>0.5714285714285714</v>
      </c>
      <c r="F12">
        <v>0.18569236931059421</v>
      </c>
      <c r="G12">
        <v>5.9405824492559968E-2</v>
      </c>
    </row>
    <row r="13" spans="1:7" x14ac:dyDescent="0.25">
      <c r="A13" t="s">
        <v>19</v>
      </c>
      <c r="B13">
        <v>7</v>
      </c>
      <c r="C13">
        <v>6400</v>
      </c>
      <c r="D13">
        <v>0.51214285714285712</v>
      </c>
      <c r="E13">
        <v>0.5</v>
      </c>
      <c r="F13">
        <v>0.16847233448262711</v>
      </c>
      <c r="G13">
        <v>1.342689850737783E-2</v>
      </c>
    </row>
    <row r="14" spans="1:7" x14ac:dyDescent="0.25">
      <c r="A14" t="s">
        <v>18</v>
      </c>
      <c r="B14">
        <v>9</v>
      </c>
      <c r="C14">
        <v>6314</v>
      </c>
      <c r="D14">
        <v>0.43857142857142861</v>
      </c>
      <c r="E14">
        <v>0.35714285714285721</v>
      </c>
      <c r="F14">
        <v>0.16202592529730439</v>
      </c>
      <c r="G14">
        <v>4.958365479877571E-2</v>
      </c>
    </row>
    <row r="15" spans="1:7" x14ac:dyDescent="0.25">
      <c r="A15" t="s">
        <v>20</v>
      </c>
      <c r="B15">
        <v>13</v>
      </c>
      <c r="C15">
        <v>5904</v>
      </c>
      <c r="D15">
        <v>0.28642857142857142</v>
      </c>
      <c r="E15">
        <v>7.1428571428571425E-2</v>
      </c>
      <c r="F15">
        <v>9.7617888258898625E-2</v>
      </c>
      <c r="G15">
        <v>-9.9798836697637866E-2</v>
      </c>
    </row>
    <row r="16" spans="1:7" x14ac:dyDescent="0.25">
      <c r="A16" t="s">
        <v>21</v>
      </c>
      <c r="B16">
        <v>13</v>
      </c>
      <c r="C16">
        <v>5295</v>
      </c>
      <c r="D16">
        <v>0</v>
      </c>
      <c r="E16">
        <v>7.1428571428571425E-2</v>
      </c>
      <c r="F16">
        <v>0</v>
      </c>
      <c r="G16">
        <v>-0.26060578250036243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>
        <v>0</v>
      </c>
      <c r="C2">
        <v>7626.5</v>
      </c>
      <c r="D2">
        <v>0.80214285714285716</v>
      </c>
      <c r="E2">
        <v>1</v>
      </c>
      <c r="F2">
        <v>0.29787381365146087</v>
      </c>
      <c r="G2">
        <v>0.29890127690381518</v>
      </c>
    </row>
    <row r="3" spans="1:7" x14ac:dyDescent="0.25">
      <c r="A3" t="s">
        <v>9</v>
      </c>
      <c r="B3">
        <v>0</v>
      </c>
      <c r="C3">
        <v>7569</v>
      </c>
      <c r="D3">
        <v>0.89964285714285719</v>
      </c>
      <c r="E3">
        <v>1</v>
      </c>
      <c r="F3">
        <v>0.3152472719051469</v>
      </c>
      <c r="G3">
        <v>0.29750357526886068</v>
      </c>
    </row>
    <row r="4" spans="1:7" x14ac:dyDescent="0.25">
      <c r="A4" t="s">
        <v>7</v>
      </c>
      <c r="B4">
        <v>0</v>
      </c>
      <c r="C4">
        <v>7546.5</v>
      </c>
      <c r="D4">
        <v>0.9235714285714286</v>
      </c>
      <c r="E4">
        <v>1</v>
      </c>
      <c r="F4">
        <v>0.32362274686061671</v>
      </c>
      <c r="G4">
        <v>0.31063674475530878</v>
      </c>
    </row>
    <row r="5" spans="1:7" x14ac:dyDescent="0.25">
      <c r="A5" t="s">
        <v>10</v>
      </c>
      <c r="B5">
        <v>0</v>
      </c>
      <c r="C5">
        <v>7406.5</v>
      </c>
      <c r="D5">
        <v>0.85607142857142859</v>
      </c>
      <c r="E5">
        <v>1</v>
      </c>
      <c r="F5">
        <v>0.31304399494292012</v>
      </c>
      <c r="G5">
        <v>0.32062737880689962</v>
      </c>
    </row>
    <row r="6" spans="1:7" x14ac:dyDescent="0.25">
      <c r="A6" t="s">
        <v>13</v>
      </c>
      <c r="B6">
        <v>0</v>
      </c>
      <c r="C6">
        <v>7331.5</v>
      </c>
      <c r="D6">
        <v>0.7282142857142857</v>
      </c>
      <c r="E6">
        <v>1</v>
      </c>
      <c r="F6">
        <v>0.28860645522673017</v>
      </c>
      <c r="G6">
        <v>0.31561125260348039</v>
      </c>
    </row>
    <row r="7" spans="1:7" x14ac:dyDescent="0.25">
      <c r="A7" t="s">
        <v>11</v>
      </c>
      <c r="B7">
        <v>0</v>
      </c>
      <c r="C7">
        <v>7316.5</v>
      </c>
      <c r="D7">
        <v>0.80821428571428566</v>
      </c>
      <c r="E7">
        <v>1</v>
      </c>
      <c r="F7">
        <v>0.30468096294874358</v>
      </c>
      <c r="G7">
        <v>0.32218934298768948</v>
      </c>
    </row>
    <row r="8" spans="1:7" x14ac:dyDescent="0.25">
      <c r="A8" t="s">
        <v>12</v>
      </c>
      <c r="B8">
        <v>0</v>
      </c>
      <c r="C8">
        <v>7308</v>
      </c>
      <c r="D8">
        <v>1</v>
      </c>
      <c r="E8">
        <v>1</v>
      </c>
      <c r="F8">
        <v>0.32467012967876591</v>
      </c>
      <c r="G8">
        <v>0.26174758029726691</v>
      </c>
    </row>
    <row r="9" spans="1:7" x14ac:dyDescent="0.25">
      <c r="A9" t="s">
        <v>17</v>
      </c>
      <c r="B9">
        <v>7</v>
      </c>
      <c r="C9">
        <v>7119.5</v>
      </c>
      <c r="D9">
        <v>0.49642857142857139</v>
      </c>
      <c r="E9">
        <v>0.5</v>
      </c>
      <c r="F9">
        <v>0.17702476057368091</v>
      </c>
      <c r="G9">
        <v>6.3713139961839915E-2</v>
      </c>
    </row>
    <row r="10" spans="1:7" x14ac:dyDescent="0.25">
      <c r="A10" t="s">
        <v>16</v>
      </c>
      <c r="B10">
        <v>1</v>
      </c>
      <c r="C10">
        <v>7029.5</v>
      </c>
      <c r="D10">
        <v>0.8035714285714286</v>
      </c>
      <c r="E10">
        <v>0.9285714285714286</v>
      </c>
      <c r="F10">
        <v>0.29479798563814841</v>
      </c>
      <c r="G10">
        <v>0.28658202448044939</v>
      </c>
    </row>
    <row r="11" spans="1:7" x14ac:dyDescent="0.25">
      <c r="A11" t="s">
        <v>15</v>
      </c>
      <c r="B11">
        <v>1</v>
      </c>
      <c r="C11">
        <v>6995.5</v>
      </c>
      <c r="D11">
        <v>0.65071428571428569</v>
      </c>
      <c r="E11">
        <v>0.9285714285714286</v>
      </c>
      <c r="F11">
        <v>0.27202539415260729</v>
      </c>
      <c r="G11">
        <v>0.30848333615926948</v>
      </c>
    </row>
    <row r="12" spans="1:7" x14ac:dyDescent="0.25">
      <c r="A12" t="s">
        <v>14</v>
      </c>
      <c r="B12">
        <v>1</v>
      </c>
      <c r="C12">
        <v>6922</v>
      </c>
      <c r="D12">
        <v>0.65785714285714281</v>
      </c>
      <c r="E12">
        <v>0.9285714285714286</v>
      </c>
      <c r="F12">
        <v>0.2735651375133869</v>
      </c>
      <c r="G12">
        <v>0.30886855000720242</v>
      </c>
    </row>
    <row r="13" spans="1:7" x14ac:dyDescent="0.25">
      <c r="A13" t="s">
        <v>19</v>
      </c>
      <c r="B13">
        <v>6</v>
      </c>
      <c r="C13">
        <v>6856.5</v>
      </c>
      <c r="D13">
        <v>0.50249999999999995</v>
      </c>
      <c r="E13">
        <v>0.5714285714285714</v>
      </c>
      <c r="F13">
        <v>0.16399368950910179</v>
      </c>
      <c r="G13">
        <v>2.3741244398850238E-3</v>
      </c>
    </row>
    <row r="14" spans="1:7" x14ac:dyDescent="0.25">
      <c r="A14" t="s">
        <v>18</v>
      </c>
      <c r="B14">
        <v>9</v>
      </c>
      <c r="C14">
        <v>6346</v>
      </c>
      <c r="D14">
        <v>0.38785714285714279</v>
      </c>
      <c r="E14">
        <v>0.35714285714285721</v>
      </c>
      <c r="F14">
        <v>0.14612573792283229</v>
      </c>
      <c r="G14">
        <v>1.7275781147321239E-2</v>
      </c>
    </row>
    <row r="15" spans="1:7" x14ac:dyDescent="0.25">
      <c r="A15" t="s">
        <v>20</v>
      </c>
      <c r="B15">
        <v>13</v>
      </c>
      <c r="C15">
        <v>6065.5</v>
      </c>
      <c r="D15">
        <v>0.31892857142857151</v>
      </c>
      <c r="E15">
        <v>7.1428571428571425E-2</v>
      </c>
      <c r="F15">
        <v>0.1109111182557716</v>
      </c>
      <c r="G15">
        <v>-7.3198764575026179E-2</v>
      </c>
    </row>
    <row r="16" spans="1:7" x14ac:dyDescent="0.25">
      <c r="A16" t="s">
        <v>21</v>
      </c>
      <c r="B16">
        <v>13</v>
      </c>
      <c r="C16">
        <v>5671</v>
      </c>
      <c r="D16">
        <v>0</v>
      </c>
      <c r="E16">
        <v>7.1428571428571425E-2</v>
      </c>
      <c r="F16">
        <v>0</v>
      </c>
      <c r="G16">
        <v>-0.26174758029726691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7963</v>
      </c>
      <c r="D2">
        <v>0.85392857142857148</v>
      </c>
      <c r="E2">
        <v>0.9285714285714286</v>
      </c>
      <c r="F2">
        <v>0.31156630711318678</v>
      </c>
      <c r="G2">
        <v>0.30744481686826142</v>
      </c>
    </row>
    <row r="3" spans="1:7" x14ac:dyDescent="0.25">
      <c r="A3" t="s">
        <v>8</v>
      </c>
      <c r="B3">
        <v>0</v>
      </c>
      <c r="C3">
        <v>7679.5</v>
      </c>
      <c r="D3">
        <v>0.80535714285714288</v>
      </c>
      <c r="E3">
        <v>1</v>
      </c>
      <c r="F3">
        <v>0.30123443637894259</v>
      </c>
      <c r="G3">
        <v>0.29999926650326059</v>
      </c>
    </row>
    <row r="4" spans="1:7" x14ac:dyDescent="0.25">
      <c r="A4" t="s">
        <v>9</v>
      </c>
      <c r="B4">
        <v>0</v>
      </c>
      <c r="C4">
        <v>7491.5</v>
      </c>
      <c r="D4">
        <v>0.89571428571428569</v>
      </c>
      <c r="E4">
        <v>1</v>
      </c>
      <c r="F4">
        <v>0.31713043210747022</v>
      </c>
      <c r="G4">
        <v>0.29643309704190951</v>
      </c>
    </row>
    <row r="5" spans="1:7" x14ac:dyDescent="0.25">
      <c r="A5" t="s">
        <v>10</v>
      </c>
      <c r="B5">
        <v>0</v>
      </c>
      <c r="C5">
        <v>7377.5</v>
      </c>
      <c r="D5">
        <v>0.84250000000000003</v>
      </c>
      <c r="E5">
        <v>1</v>
      </c>
      <c r="F5">
        <v>0.31391644648412659</v>
      </c>
      <c r="G5">
        <v>0.32222641509929117</v>
      </c>
    </row>
    <row r="6" spans="1:7" x14ac:dyDescent="0.25">
      <c r="A6" t="s">
        <v>12</v>
      </c>
      <c r="B6">
        <v>0</v>
      </c>
      <c r="C6">
        <v>7344</v>
      </c>
      <c r="D6">
        <v>1</v>
      </c>
      <c r="E6">
        <v>1</v>
      </c>
      <c r="F6">
        <v>0.32666115821990999</v>
      </c>
      <c r="G6">
        <v>0.25824261910421059</v>
      </c>
    </row>
    <row r="7" spans="1:7" x14ac:dyDescent="0.25">
      <c r="A7" t="s">
        <v>13</v>
      </c>
      <c r="B7">
        <v>0</v>
      </c>
      <c r="C7">
        <v>7249</v>
      </c>
      <c r="D7">
        <v>0.72428571428571431</v>
      </c>
      <c r="E7">
        <v>1</v>
      </c>
      <c r="F7">
        <v>0.29073196917173438</v>
      </c>
      <c r="G7">
        <v>0.31664834032777961</v>
      </c>
    </row>
    <row r="8" spans="1:7" x14ac:dyDescent="0.25">
      <c r="A8" t="s">
        <v>11</v>
      </c>
      <c r="B8">
        <v>0</v>
      </c>
      <c r="C8">
        <v>7231</v>
      </c>
      <c r="D8">
        <v>0.7846428571428572</v>
      </c>
      <c r="E8">
        <v>1</v>
      </c>
      <c r="F8">
        <v>0.30323184254780172</v>
      </c>
      <c r="G8">
        <v>0.3209522417348859</v>
      </c>
    </row>
    <row r="9" spans="1:7" x14ac:dyDescent="0.25">
      <c r="A9" t="s">
        <v>17</v>
      </c>
      <c r="B9">
        <v>7</v>
      </c>
      <c r="C9">
        <v>6994.5</v>
      </c>
      <c r="D9">
        <v>0.53142857142857147</v>
      </c>
      <c r="E9">
        <v>0.5</v>
      </c>
      <c r="F9">
        <v>0.1841336593238159</v>
      </c>
      <c r="G9">
        <v>6.2312110201064717E-2</v>
      </c>
    </row>
    <row r="10" spans="1:7" x14ac:dyDescent="0.25">
      <c r="A10" t="s">
        <v>15</v>
      </c>
      <c r="B10">
        <v>1</v>
      </c>
      <c r="C10">
        <v>6927</v>
      </c>
      <c r="D10">
        <v>0.65321428571428575</v>
      </c>
      <c r="E10">
        <v>0.9285714285714286</v>
      </c>
      <c r="F10">
        <v>0.27504495795020939</v>
      </c>
      <c r="G10">
        <v>0.31080053933621538</v>
      </c>
    </row>
    <row r="11" spans="1:7" x14ac:dyDescent="0.25">
      <c r="A11" t="s">
        <v>14</v>
      </c>
      <c r="B11">
        <v>1</v>
      </c>
      <c r="C11">
        <v>6904.5</v>
      </c>
      <c r="D11">
        <v>0.65892857142857142</v>
      </c>
      <c r="E11">
        <v>0.9285714285714286</v>
      </c>
      <c r="F11">
        <v>0.27626918907428039</v>
      </c>
      <c r="G11">
        <v>0.3106042931272317</v>
      </c>
    </row>
    <row r="12" spans="1:7" x14ac:dyDescent="0.25">
      <c r="A12" t="s">
        <v>16</v>
      </c>
      <c r="B12">
        <v>0</v>
      </c>
      <c r="C12">
        <v>6900.5</v>
      </c>
      <c r="D12">
        <v>0.80428571428571427</v>
      </c>
      <c r="E12">
        <v>1</v>
      </c>
      <c r="F12">
        <v>0.2971299525125064</v>
      </c>
      <c r="G12">
        <v>0.28596332066327651</v>
      </c>
    </row>
    <row r="13" spans="1:7" x14ac:dyDescent="0.25">
      <c r="A13" t="s">
        <v>19</v>
      </c>
      <c r="B13">
        <v>7</v>
      </c>
      <c r="C13">
        <v>6520</v>
      </c>
      <c r="D13">
        <v>0.48464285714285721</v>
      </c>
      <c r="E13">
        <v>0.5</v>
      </c>
      <c r="F13">
        <v>0.15874671605418039</v>
      </c>
      <c r="G13">
        <v>-4.9839957443842823E-3</v>
      </c>
    </row>
    <row r="14" spans="1:7" x14ac:dyDescent="0.25">
      <c r="A14" t="s">
        <v>20</v>
      </c>
      <c r="B14">
        <v>11</v>
      </c>
      <c r="C14">
        <v>6091.5</v>
      </c>
      <c r="D14">
        <v>0.28928571428571431</v>
      </c>
      <c r="E14">
        <v>0.2142857142857143</v>
      </c>
      <c r="F14">
        <v>0.1007078399153154</v>
      </c>
      <c r="G14">
        <v>-9.1101794337811765E-2</v>
      </c>
    </row>
    <row r="15" spans="1:7" x14ac:dyDescent="0.25">
      <c r="A15" t="s">
        <v>18</v>
      </c>
      <c r="B15">
        <v>9</v>
      </c>
      <c r="C15">
        <v>5989.5</v>
      </c>
      <c r="D15">
        <v>0.37535714285714278</v>
      </c>
      <c r="E15">
        <v>0.35714285714285721</v>
      </c>
      <c r="F15">
        <v>0.14275317147575331</v>
      </c>
      <c r="G15">
        <v>8.1528136113348717E-3</v>
      </c>
    </row>
    <row r="16" spans="1:7" x14ac:dyDescent="0.25">
      <c r="A16" t="s">
        <v>21</v>
      </c>
      <c r="B16">
        <v>13</v>
      </c>
      <c r="C16">
        <v>5627</v>
      </c>
      <c r="D16">
        <v>0</v>
      </c>
      <c r="E16">
        <v>7.1428571428571425E-2</v>
      </c>
      <c r="F16">
        <v>0</v>
      </c>
      <c r="G16">
        <v>-0.25824261910421059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7908.5</v>
      </c>
      <c r="D2">
        <v>0.85464285714285715</v>
      </c>
      <c r="E2">
        <v>0.9285714285714286</v>
      </c>
      <c r="F2">
        <v>0.31087453947723798</v>
      </c>
      <c r="G2">
        <v>0.30421300091219172</v>
      </c>
    </row>
    <row r="3" spans="1:7" x14ac:dyDescent="0.25">
      <c r="A3" t="s">
        <v>8</v>
      </c>
      <c r="B3">
        <v>0</v>
      </c>
      <c r="C3">
        <v>7477.5</v>
      </c>
      <c r="D3">
        <v>0.79249999999999998</v>
      </c>
      <c r="E3">
        <v>1</v>
      </c>
      <c r="F3">
        <v>0.29921802584607221</v>
      </c>
      <c r="G3">
        <v>0.29847139696953717</v>
      </c>
    </row>
    <row r="4" spans="1:7" x14ac:dyDescent="0.25">
      <c r="A4" t="s">
        <v>9</v>
      </c>
      <c r="B4">
        <v>0</v>
      </c>
      <c r="C4">
        <v>7449</v>
      </c>
      <c r="D4">
        <v>0.8928571428571429</v>
      </c>
      <c r="E4">
        <v>1</v>
      </c>
      <c r="F4">
        <v>0.31695361561222751</v>
      </c>
      <c r="G4">
        <v>0.29676673679311982</v>
      </c>
    </row>
    <row r="5" spans="1:7" x14ac:dyDescent="0.25">
      <c r="A5" t="s">
        <v>12</v>
      </c>
      <c r="B5">
        <v>0</v>
      </c>
      <c r="C5">
        <v>7341</v>
      </c>
      <c r="D5">
        <v>1</v>
      </c>
      <c r="E5">
        <v>1</v>
      </c>
      <c r="F5">
        <v>0.3261246319972162</v>
      </c>
      <c r="G5">
        <v>0.25643253321821752</v>
      </c>
    </row>
    <row r="6" spans="1:7" x14ac:dyDescent="0.25">
      <c r="A6" t="s">
        <v>10</v>
      </c>
      <c r="B6">
        <v>0</v>
      </c>
      <c r="C6">
        <v>7332</v>
      </c>
      <c r="D6">
        <v>0.84321428571428569</v>
      </c>
      <c r="E6">
        <v>1</v>
      </c>
      <c r="F6">
        <v>0.31526809942175688</v>
      </c>
      <c r="G6">
        <v>0.32421288116088293</v>
      </c>
    </row>
    <row r="7" spans="1:7" x14ac:dyDescent="0.25">
      <c r="A7" t="s">
        <v>11</v>
      </c>
      <c r="B7">
        <v>0</v>
      </c>
      <c r="C7">
        <v>7259</v>
      </c>
      <c r="D7">
        <v>0.79678571428571432</v>
      </c>
      <c r="E7">
        <v>1</v>
      </c>
      <c r="F7">
        <v>0.30613790552993619</v>
      </c>
      <c r="G7">
        <v>0.32170036266444108</v>
      </c>
    </row>
    <row r="8" spans="1:7" x14ac:dyDescent="0.25">
      <c r="A8" t="s">
        <v>13</v>
      </c>
      <c r="B8">
        <v>0</v>
      </c>
      <c r="C8">
        <v>7200</v>
      </c>
      <c r="D8">
        <v>0.72357142857142853</v>
      </c>
      <c r="E8">
        <v>1</v>
      </c>
      <c r="F8">
        <v>0.29128941858165092</v>
      </c>
      <c r="G8">
        <v>0.31519151829634628</v>
      </c>
    </row>
    <row r="9" spans="1:7" x14ac:dyDescent="0.25">
      <c r="A9" t="s">
        <v>16</v>
      </c>
      <c r="B9">
        <v>1</v>
      </c>
      <c r="C9">
        <v>7014.5</v>
      </c>
      <c r="D9">
        <v>0.80392857142857144</v>
      </c>
      <c r="E9">
        <v>0.9285714285714286</v>
      </c>
      <c r="F9">
        <v>0.29743801562264349</v>
      </c>
      <c r="G9">
        <v>0.28449444867203338</v>
      </c>
    </row>
    <row r="10" spans="1:7" x14ac:dyDescent="0.25">
      <c r="A10" t="s">
        <v>15</v>
      </c>
      <c r="B10">
        <v>1</v>
      </c>
      <c r="C10">
        <v>6972.5</v>
      </c>
      <c r="D10">
        <v>0.65642857142857147</v>
      </c>
      <c r="E10">
        <v>0.9285714285714286</v>
      </c>
      <c r="F10">
        <v>0.27651047418569419</v>
      </c>
      <c r="G10">
        <v>0.30909644936576219</v>
      </c>
    </row>
    <row r="11" spans="1:7" x14ac:dyDescent="0.25">
      <c r="A11" t="s">
        <v>14</v>
      </c>
      <c r="B11">
        <v>2</v>
      </c>
      <c r="C11">
        <v>6972</v>
      </c>
      <c r="D11">
        <v>0.65928571428571425</v>
      </c>
      <c r="E11">
        <v>0.8571428571428571</v>
      </c>
      <c r="F11">
        <v>0.27714261005441149</v>
      </c>
      <c r="G11">
        <v>0.30844311768287208</v>
      </c>
    </row>
    <row r="12" spans="1:7" x14ac:dyDescent="0.25">
      <c r="A12" t="s">
        <v>19</v>
      </c>
      <c r="B12">
        <v>7</v>
      </c>
      <c r="C12">
        <v>6910.5</v>
      </c>
      <c r="D12">
        <v>0.50142857142857145</v>
      </c>
      <c r="E12">
        <v>0.5</v>
      </c>
      <c r="F12">
        <v>0.16219451784610259</v>
      </c>
      <c r="G12">
        <v>-8.7845212793925028E-4</v>
      </c>
    </row>
    <row r="13" spans="1:7" x14ac:dyDescent="0.25">
      <c r="A13" t="s">
        <v>17</v>
      </c>
      <c r="B13">
        <v>6</v>
      </c>
      <c r="C13">
        <v>6492.5</v>
      </c>
      <c r="D13">
        <v>0.50107142857142861</v>
      </c>
      <c r="E13">
        <v>0.5714285714285714</v>
      </c>
      <c r="F13">
        <v>0.1836556473029459</v>
      </c>
      <c r="G13">
        <v>7.8347668234304932E-2</v>
      </c>
    </row>
    <row r="14" spans="1:7" x14ac:dyDescent="0.25">
      <c r="A14" t="s">
        <v>18</v>
      </c>
      <c r="B14">
        <v>9</v>
      </c>
      <c r="C14">
        <v>6111</v>
      </c>
      <c r="D14">
        <v>0.38</v>
      </c>
      <c r="E14">
        <v>0.35714285714285721</v>
      </c>
      <c r="F14">
        <v>0.14318686130641939</v>
      </c>
      <c r="G14">
        <v>9.6564623866118842E-3</v>
      </c>
    </row>
    <row r="15" spans="1:7" x14ac:dyDescent="0.25">
      <c r="A15" t="s">
        <v>21</v>
      </c>
      <c r="B15">
        <v>13</v>
      </c>
      <c r="C15">
        <v>5698.5</v>
      </c>
      <c r="D15">
        <v>0</v>
      </c>
      <c r="E15">
        <v>7.1428571428571425E-2</v>
      </c>
      <c r="F15">
        <v>0</v>
      </c>
      <c r="G15">
        <v>-0.25643253321821752</v>
      </c>
    </row>
    <row r="16" spans="1:7" x14ac:dyDescent="0.25">
      <c r="A16" t="s">
        <v>20</v>
      </c>
      <c r="B16">
        <v>10</v>
      </c>
      <c r="C16">
        <v>5544</v>
      </c>
      <c r="D16">
        <v>0.2175</v>
      </c>
      <c r="E16">
        <v>0.2857142857142857</v>
      </c>
      <c r="F16">
        <v>8.228261748163708E-2</v>
      </c>
      <c r="G16">
        <v>-0.1139536875945118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7662</v>
      </c>
      <c r="D2">
        <v>0.78785714285714281</v>
      </c>
      <c r="E2">
        <v>0.9285714285714286</v>
      </c>
      <c r="F2">
        <v>0.30480392475075191</v>
      </c>
      <c r="G2">
        <v>0.31979348471219898</v>
      </c>
    </row>
    <row r="3" spans="1:7" x14ac:dyDescent="0.25">
      <c r="A3" t="s">
        <v>8</v>
      </c>
      <c r="B3">
        <v>0</v>
      </c>
      <c r="C3">
        <v>7641.5</v>
      </c>
      <c r="D3">
        <v>0.80535714285714288</v>
      </c>
      <c r="E3">
        <v>1</v>
      </c>
      <c r="F3">
        <v>0.30277110990672468</v>
      </c>
      <c r="G3">
        <v>0.29460189644733731</v>
      </c>
    </row>
    <row r="4" spans="1:7" x14ac:dyDescent="0.25">
      <c r="A4" t="s">
        <v>9</v>
      </c>
      <c r="B4">
        <v>0</v>
      </c>
      <c r="C4">
        <v>7620</v>
      </c>
      <c r="D4">
        <v>0.90357142857142858</v>
      </c>
      <c r="E4">
        <v>1</v>
      </c>
      <c r="F4">
        <v>0.31926898594448683</v>
      </c>
      <c r="G4">
        <v>0.28976344950082422</v>
      </c>
    </row>
    <row r="5" spans="1:7" x14ac:dyDescent="0.25">
      <c r="A5" t="s">
        <v>12</v>
      </c>
      <c r="B5">
        <v>0</v>
      </c>
      <c r="C5">
        <v>7380</v>
      </c>
      <c r="D5">
        <v>1</v>
      </c>
      <c r="E5">
        <v>1</v>
      </c>
      <c r="F5">
        <v>0.32747352098344179</v>
      </c>
      <c r="G5">
        <v>0.25348500350319009</v>
      </c>
    </row>
    <row r="6" spans="1:7" x14ac:dyDescent="0.25">
      <c r="A6" t="s">
        <v>11</v>
      </c>
      <c r="B6">
        <v>0</v>
      </c>
      <c r="C6">
        <v>7287.5</v>
      </c>
      <c r="D6">
        <v>0.80535714285714288</v>
      </c>
      <c r="E6">
        <v>1</v>
      </c>
      <c r="F6">
        <v>0.30910176558351282</v>
      </c>
      <c r="G6">
        <v>0.31923294840193228</v>
      </c>
    </row>
    <row r="7" spans="1:7" x14ac:dyDescent="0.25">
      <c r="A7" t="s">
        <v>13</v>
      </c>
      <c r="B7">
        <v>0</v>
      </c>
      <c r="C7">
        <v>7215.5</v>
      </c>
      <c r="D7">
        <v>0.7232142857142857</v>
      </c>
      <c r="E7">
        <v>1</v>
      </c>
      <c r="F7">
        <v>0.29374512530222763</v>
      </c>
      <c r="G7">
        <v>0.31706567072982128</v>
      </c>
    </row>
    <row r="8" spans="1:7" x14ac:dyDescent="0.25">
      <c r="A8" t="s">
        <v>10</v>
      </c>
      <c r="B8">
        <v>0</v>
      </c>
      <c r="C8">
        <v>7158</v>
      </c>
      <c r="D8">
        <v>0.80285714285714282</v>
      </c>
      <c r="E8">
        <v>1</v>
      </c>
      <c r="F8">
        <v>0.31007795114696141</v>
      </c>
      <c r="G8">
        <v>0.32317891200086302</v>
      </c>
    </row>
    <row r="9" spans="1:7" x14ac:dyDescent="0.25">
      <c r="A9" t="s">
        <v>15</v>
      </c>
      <c r="B9">
        <v>2</v>
      </c>
      <c r="C9">
        <v>7025</v>
      </c>
      <c r="D9">
        <v>0.65107142857142852</v>
      </c>
      <c r="E9">
        <v>0.8571428571428571</v>
      </c>
      <c r="F9">
        <v>0.27766891074230898</v>
      </c>
      <c r="G9">
        <v>0.30860237272010183</v>
      </c>
    </row>
    <row r="10" spans="1:7" x14ac:dyDescent="0.25">
      <c r="A10" t="s">
        <v>14</v>
      </c>
      <c r="B10">
        <v>1</v>
      </c>
      <c r="C10">
        <v>7008.5</v>
      </c>
      <c r="D10">
        <v>0.66107142857142853</v>
      </c>
      <c r="E10">
        <v>0.9285714285714286</v>
      </c>
      <c r="F10">
        <v>0.27942184114207708</v>
      </c>
      <c r="G10">
        <v>0.30750746018627662</v>
      </c>
    </row>
    <row r="11" spans="1:7" x14ac:dyDescent="0.25">
      <c r="A11" t="s">
        <v>16</v>
      </c>
      <c r="B11">
        <v>0</v>
      </c>
      <c r="C11">
        <v>6941</v>
      </c>
      <c r="D11">
        <v>0.80535714285714288</v>
      </c>
      <c r="E11">
        <v>1</v>
      </c>
      <c r="F11">
        <v>0.29979819450293888</v>
      </c>
      <c r="G11">
        <v>0.28451813161870082</v>
      </c>
    </row>
    <row r="12" spans="1:7" x14ac:dyDescent="0.25">
      <c r="A12" t="s">
        <v>19</v>
      </c>
      <c r="B12">
        <v>8</v>
      </c>
      <c r="C12">
        <v>6758.5</v>
      </c>
      <c r="D12">
        <v>0.50642857142857145</v>
      </c>
      <c r="E12">
        <v>0.42857142857142849</v>
      </c>
      <c r="F12">
        <v>0.16676419078118321</v>
      </c>
      <c r="G12">
        <v>6.0238836755048941E-3</v>
      </c>
    </row>
    <row r="13" spans="1:7" x14ac:dyDescent="0.25">
      <c r="A13" t="s">
        <v>17</v>
      </c>
      <c r="B13">
        <v>6</v>
      </c>
      <c r="C13">
        <v>6518.5</v>
      </c>
      <c r="D13">
        <v>0.47535714285714292</v>
      </c>
      <c r="E13">
        <v>0.5714285714285714</v>
      </c>
      <c r="F13">
        <v>0.1798963374696152</v>
      </c>
      <c r="G13">
        <v>8.1352328893690401E-2</v>
      </c>
    </row>
    <row r="14" spans="1:7" x14ac:dyDescent="0.25">
      <c r="A14" t="s">
        <v>21</v>
      </c>
      <c r="B14">
        <v>13</v>
      </c>
      <c r="C14">
        <v>5726</v>
      </c>
      <c r="D14">
        <v>0</v>
      </c>
      <c r="E14">
        <v>7.1428571428571425E-2</v>
      </c>
      <c r="F14">
        <v>0</v>
      </c>
      <c r="G14">
        <v>-0.25348500350319009</v>
      </c>
    </row>
    <row r="15" spans="1:7" x14ac:dyDescent="0.25">
      <c r="A15" t="s">
        <v>18</v>
      </c>
      <c r="B15">
        <v>9</v>
      </c>
      <c r="C15">
        <v>5714</v>
      </c>
      <c r="D15">
        <v>0.33785714285714291</v>
      </c>
      <c r="E15">
        <v>0.35714285714285721</v>
      </c>
      <c r="F15">
        <v>0.1283396141019521</v>
      </c>
      <c r="G15">
        <v>-2.1115405368273391E-2</v>
      </c>
    </row>
    <row r="16" spans="1:7" x14ac:dyDescent="0.25">
      <c r="A16" t="s">
        <v>20</v>
      </c>
      <c r="B16">
        <v>11</v>
      </c>
      <c r="C16">
        <v>5042.5</v>
      </c>
      <c r="D16">
        <v>0.2142857142857143</v>
      </c>
      <c r="E16">
        <v>0.2142857142857143</v>
      </c>
      <c r="F16">
        <v>8.1083928006219691E-2</v>
      </c>
      <c r="G16">
        <v>-0.1172074926807098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8001.5</v>
      </c>
      <c r="D2">
        <v>0.85285714285714287</v>
      </c>
      <c r="E2">
        <v>0.9285714285714286</v>
      </c>
      <c r="F2">
        <v>0.31060609286116991</v>
      </c>
      <c r="G2">
        <v>0.30316425473793562</v>
      </c>
    </row>
    <row r="3" spans="1:7" x14ac:dyDescent="0.25">
      <c r="A3" t="s">
        <v>8</v>
      </c>
      <c r="B3">
        <v>0</v>
      </c>
      <c r="C3">
        <v>7584</v>
      </c>
      <c r="D3">
        <v>0.79678571428571432</v>
      </c>
      <c r="E3">
        <v>1</v>
      </c>
      <c r="F3">
        <v>0.3007376979775942</v>
      </c>
      <c r="G3">
        <v>0.29838023494015198</v>
      </c>
    </row>
    <row r="4" spans="1:7" x14ac:dyDescent="0.25">
      <c r="A4" t="s">
        <v>9</v>
      </c>
      <c r="B4">
        <v>0</v>
      </c>
      <c r="C4">
        <v>7571.5</v>
      </c>
      <c r="D4">
        <v>0.8878571428571429</v>
      </c>
      <c r="E4">
        <v>1</v>
      </c>
      <c r="F4">
        <v>0.31674742618046092</v>
      </c>
      <c r="G4">
        <v>0.29862219006017882</v>
      </c>
    </row>
    <row r="5" spans="1:7" x14ac:dyDescent="0.25">
      <c r="A5" t="s">
        <v>10</v>
      </c>
      <c r="B5">
        <v>0</v>
      </c>
      <c r="C5">
        <v>7373.5</v>
      </c>
      <c r="D5">
        <v>0.84142857142857141</v>
      </c>
      <c r="E5">
        <v>1</v>
      </c>
      <c r="F5">
        <v>0.31465699414950848</v>
      </c>
      <c r="G5">
        <v>0.32302391857584772</v>
      </c>
    </row>
    <row r="6" spans="1:7" x14ac:dyDescent="0.25">
      <c r="A6" t="s">
        <v>12</v>
      </c>
      <c r="B6">
        <v>0</v>
      </c>
      <c r="C6">
        <v>7359</v>
      </c>
      <c r="D6">
        <v>1</v>
      </c>
      <c r="E6">
        <v>1</v>
      </c>
      <c r="F6">
        <v>0.32696206891677082</v>
      </c>
      <c r="G6">
        <v>0.25831454104548351</v>
      </c>
    </row>
    <row r="7" spans="1:7" x14ac:dyDescent="0.25">
      <c r="A7" t="s">
        <v>13</v>
      </c>
      <c r="B7">
        <v>0</v>
      </c>
      <c r="C7">
        <v>7265</v>
      </c>
      <c r="D7">
        <v>0.73107142857142859</v>
      </c>
      <c r="E7">
        <v>1</v>
      </c>
      <c r="F7">
        <v>0.29351378021346131</v>
      </c>
      <c r="G7">
        <v>0.31665262273027628</v>
      </c>
    </row>
    <row r="8" spans="1:7" x14ac:dyDescent="0.25">
      <c r="A8" t="s">
        <v>11</v>
      </c>
      <c r="B8">
        <v>0</v>
      </c>
      <c r="C8">
        <v>7094</v>
      </c>
      <c r="D8">
        <v>0.76964285714285718</v>
      </c>
      <c r="E8">
        <v>1</v>
      </c>
      <c r="F8">
        <v>0.30171384553520558</v>
      </c>
      <c r="G8">
        <v>0.32320159482398458</v>
      </c>
    </row>
    <row r="9" spans="1:7" x14ac:dyDescent="0.25">
      <c r="A9" t="s">
        <v>15</v>
      </c>
      <c r="B9">
        <v>1</v>
      </c>
      <c r="C9">
        <v>7080.5</v>
      </c>
      <c r="D9">
        <v>0.66</v>
      </c>
      <c r="E9">
        <v>0.9285714285714286</v>
      </c>
      <c r="F9">
        <v>0.27812430701092961</v>
      </c>
      <c r="G9">
        <v>0.30790423489817242</v>
      </c>
    </row>
    <row r="10" spans="1:7" x14ac:dyDescent="0.25">
      <c r="A10" t="s">
        <v>16</v>
      </c>
      <c r="B10">
        <v>0</v>
      </c>
      <c r="C10">
        <v>6989.5</v>
      </c>
      <c r="D10">
        <v>0.80678571428571433</v>
      </c>
      <c r="E10">
        <v>1</v>
      </c>
      <c r="F10">
        <v>0.2988743399368457</v>
      </c>
      <c r="G10">
        <v>0.28509632160815052</v>
      </c>
    </row>
    <row r="11" spans="1:7" x14ac:dyDescent="0.25">
      <c r="A11" t="s">
        <v>14</v>
      </c>
      <c r="B11">
        <v>1</v>
      </c>
      <c r="C11">
        <v>6956</v>
      </c>
      <c r="D11">
        <v>0.66535714285714287</v>
      </c>
      <c r="E11">
        <v>0.9285714285714286</v>
      </c>
      <c r="F11">
        <v>0.27920280620949323</v>
      </c>
      <c r="G11">
        <v>0.30704778105065528</v>
      </c>
    </row>
    <row r="12" spans="1:7" x14ac:dyDescent="0.25">
      <c r="A12" t="s">
        <v>17</v>
      </c>
      <c r="B12">
        <v>7</v>
      </c>
      <c r="C12">
        <v>6794.5</v>
      </c>
      <c r="D12">
        <v>0.42607142857142849</v>
      </c>
      <c r="E12">
        <v>0.5</v>
      </c>
      <c r="F12">
        <v>0.16872994456457049</v>
      </c>
      <c r="G12">
        <v>7.85736635422222E-2</v>
      </c>
    </row>
    <row r="13" spans="1:7" x14ac:dyDescent="0.25">
      <c r="A13" t="s">
        <v>19</v>
      </c>
      <c r="B13">
        <v>5</v>
      </c>
      <c r="C13">
        <v>6138.5</v>
      </c>
      <c r="D13">
        <v>0.51571428571428568</v>
      </c>
      <c r="E13">
        <v>0.6428571428571429</v>
      </c>
      <c r="F13">
        <v>0.17106644655202771</v>
      </c>
      <c r="G13">
        <v>1.798570699755437E-2</v>
      </c>
    </row>
    <row r="14" spans="1:7" x14ac:dyDescent="0.25">
      <c r="A14" t="s">
        <v>18</v>
      </c>
      <c r="B14">
        <v>12</v>
      </c>
      <c r="C14">
        <v>5989.5</v>
      </c>
      <c r="D14">
        <v>0.36499999999999999</v>
      </c>
      <c r="E14">
        <v>0.14285714285714279</v>
      </c>
      <c r="F14">
        <v>0.13855673529522369</v>
      </c>
      <c r="G14">
        <v>-4.0560995431329809E-3</v>
      </c>
    </row>
    <row r="15" spans="1:7" x14ac:dyDescent="0.25">
      <c r="A15" t="s">
        <v>21</v>
      </c>
      <c r="B15">
        <v>13</v>
      </c>
      <c r="C15">
        <v>5550</v>
      </c>
      <c r="D15">
        <v>0</v>
      </c>
      <c r="E15">
        <v>7.1428571428571425E-2</v>
      </c>
      <c r="F15">
        <v>0</v>
      </c>
      <c r="G15">
        <v>-0.25831454104548351</v>
      </c>
    </row>
    <row r="16" spans="1:7" x14ac:dyDescent="0.25">
      <c r="A16" t="s">
        <v>20</v>
      </c>
      <c r="B16">
        <v>10</v>
      </c>
      <c r="C16">
        <v>5479</v>
      </c>
      <c r="D16">
        <v>0.23785714285714291</v>
      </c>
      <c r="E16">
        <v>0.2857142857142857</v>
      </c>
      <c r="F16">
        <v>8.9956975369950856E-2</v>
      </c>
      <c r="G16">
        <v>-0.102386613163055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>
        <v>7</v>
      </c>
      <c r="C2">
        <v>7703</v>
      </c>
      <c r="D2">
        <v>0.48928571428571432</v>
      </c>
      <c r="E2">
        <v>0.5</v>
      </c>
      <c r="F2">
        <v>0.15780969411104759</v>
      </c>
      <c r="G2">
        <v>-9.7181652407363241E-3</v>
      </c>
    </row>
    <row r="3" spans="1:7" x14ac:dyDescent="0.25">
      <c r="A3" t="s">
        <v>8</v>
      </c>
      <c r="B3">
        <v>0</v>
      </c>
      <c r="C3">
        <v>7653</v>
      </c>
      <c r="D3">
        <v>0.78892857142857142</v>
      </c>
      <c r="E3">
        <v>1</v>
      </c>
      <c r="F3">
        <v>0.29754728769150668</v>
      </c>
      <c r="G3">
        <v>0.3016184464508152</v>
      </c>
    </row>
    <row r="4" spans="1:7" x14ac:dyDescent="0.25">
      <c r="A4" t="s">
        <v>9</v>
      </c>
      <c r="B4">
        <v>0</v>
      </c>
      <c r="C4">
        <v>7545</v>
      </c>
      <c r="D4">
        <v>0.8928571428571429</v>
      </c>
      <c r="E4">
        <v>1</v>
      </c>
      <c r="F4">
        <v>0.31564534910169878</v>
      </c>
      <c r="G4">
        <v>0.29670471774648971</v>
      </c>
    </row>
    <row r="5" spans="1:7" x14ac:dyDescent="0.25">
      <c r="A5" t="s">
        <v>7</v>
      </c>
      <c r="B5">
        <v>0</v>
      </c>
      <c r="C5">
        <v>7519</v>
      </c>
      <c r="D5">
        <v>0.92249999999999999</v>
      </c>
      <c r="E5">
        <v>1</v>
      </c>
      <c r="F5">
        <v>0.32429721192038108</v>
      </c>
      <c r="G5">
        <v>0.30588116699050688</v>
      </c>
    </row>
    <row r="6" spans="1:7" x14ac:dyDescent="0.25">
      <c r="A6" t="s">
        <v>11</v>
      </c>
      <c r="B6">
        <v>0</v>
      </c>
      <c r="C6">
        <v>7475</v>
      </c>
      <c r="D6">
        <v>0.8342857142857143</v>
      </c>
      <c r="E6">
        <v>1</v>
      </c>
      <c r="F6">
        <v>0.31115520168994149</v>
      </c>
      <c r="G6">
        <v>0.32196268234320069</v>
      </c>
    </row>
    <row r="7" spans="1:7" x14ac:dyDescent="0.25">
      <c r="A7" t="s">
        <v>13</v>
      </c>
      <c r="B7">
        <v>0</v>
      </c>
      <c r="C7">
        <v>7322</v>
      </c>
      <c r="D7">
        <v>0.72499999999999998</v>
      </c>
      <c r="E7">
        <v>1</v>
      </c>
      <c r="F7">
        <v>0.2895934371559149</v>
      </c>
      <c r="G7">
        <v>0.31615138131145692</v>
      </c>
    </row>
    <row r="8" spans="1:7" x14ac:dyDescent="0.25">
      <c r="A8" t="s">
        <v>12</v>
      </c>
      <c r="B8">
        <v>0</v>
      </c>
      <c r="C8">
        <v>7317</v>
      </c>
      <c r="D8">
        <v>1</v>
      </c>
      <c r="E8">
        <v>1</v>
      </c>
      <c r="F8">
        <v>0.32555439448036788</v>
      </c>
      <c r="G8">
        <v>0.25774828651994958</v>
      </c>
    </row>
    <row r="9" spans="1:7" x14ac:dyDescent="0.25">
      <c r="A9" t="s">
        <v>17</v>
      </c>
      <c r="B9">
        <v>7</v>
      </c>
      <c r="C9">
        <v>7183</v>
      </c>
      <c r="D9">
        <v>0.52607142857142852</v>
      </c>
      <c r="E9">
        <v>0.5</v>
      </c>
      <c r="F9">
        <v>0.1830853621657568</v>
      </c>
      <c r="G9">
        <v>6.2734567388326751E-2</v>
      </c>
    </row>
    <row r="10" spans="1:7" x14ac:dyDescent="0.25">
      <c r="A10" t="s">
        <v>16</v>
      </c>
      <c r="B10">
        <v>1</v>
      </c>
      <c r="C10">
        <v>7118</v>
      </c>
      <c r="D10">
        <v>0.80321428571428577</v>
      </c>
      <c r="E10">
        <v>0.9285714285714286</v>
      </c>
      <c r="F10">
        <v>0.29620165220511568</v>
      </c>
      <c r="G10">
        <v>0.28679468883868098</v>
      </c>
    </row>
    <row r="11" spans="1:7" x14ac:dyDescent="0.25">
      <c r="A11" t="s">
        <v>15</v>
      </c>
      <c r="B11">
        <v>2</v>
      </c>
      <c r="C11">
        <v>7091</v>
      </c>
      <c r="D11">
        <v>0.65535714285714286</v>
      </c>
      <c r="E11">
        <v>0.8571428571428571</v>
      </c>
      <c r="F11">
        <v>0.27458401011238842</v>
      </c>
      <c r="G11">
        <v>0.31119387289513661</v>
      </c>
    </row>
    <row r="12" spans="1:7" x14ac:dyDescent="0.25">
      <c r="A12" t="s">
        <v>10</v>
      </c>
      <c r="B12">
        <v>0</v>
      </c>
      <c r="C12">
        <v>7089</v>
      </c>
      <c r="D12">
        <v>0.7846428571428572</v>
      </c>
      <c r="E12">
        <v>1</v>
      </c>
      <c r="F12">
        <v>0.30252199313186767</v>
      </c>
      <c r="G12">
        <v>0.32123542195550231</v>
      </c>
    </row>
    <row r="13" spans="1:7" x14ac:dyDescent="0.25">
      <c r="A13" t="s">
        <v>14</v>
      </c>
      <c r="B13">
        <v>1</v>
      </c>
      <c r="C13">
        <v>6974</v>
      </c>
      <c r="D13">
        <v>0.66392857142857142</v>
      </c>
      <c r="E13">
        <v>0.9285714285714286</v>
      </c>
      <c r="F13">
        <v>0.27638935754363869</v>
      </c>
      <c r="G13">
        <v>0.31094363435616929</v>
      </c>
    </row>
    <row r="14" spans="1:7" x14ac:dyDescent="0.25">
      <c r="A14" t="s">
        <v>20</v>
      </c>
      <c r="B14">
        <v>12</v>
      </c>
      <c r="C14">
        <v>6110</v>
      </c>
      <c r="D14">
        <v>0.29749999999999999</v>
      </c>
      <c r="E14">
        <v>0.14285714285714279</v>
      </c>
      <c r="F14">
        <v>0.1031872559114928</v>
      </c>
      <c r="G14">
        <v>-8.9125085363880863E-2</v>
      </c>
    </row>
    <row r="15" spans="1:7" x14ac:dyDescent="0.25">
      <c r="A15" t="s">
        <v>18</v>
      </c>
      <c r="B15">
        <v>9</v>
      </c>
      <c r="C15">
        <v>6101</v>
      </c>
      <c r="D15">
        <v>0.36928571428571427</v>
      </c>
      <c r="E15">
        <v>0.35714285714285721</v>
      </c>
      <c r="F15">
        <v>0.14100770022577239</v>
      </c>
      <c r="G15">
        <v>2.2365402116934279E-3</v>
      </c>
    </row>
    <row r="16" spans="1:7" x14ac:dyDescent="0.25">
      <c r="A16" t="s">
        <v>21</v>
      </c>
      <c r="B16">
        <v>13</v>
      </c>
      <c r="C16">
        <v>5920</v>
      </c>
      <c r="D16">
        <v>0</v>
      </c>
      <c r="E16">
        <v>7.1428571428571425E-2</v>
      </c>
      <c r="F16">
        <v>0</v>
      </c>
      <c r="G16">
        <v>-0.25774828651994958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8055</v>
      </c>
      <c r="D2">
        <v>0.85428571428571431</v>
      </c>
      <c r="E2">
        <v>0.9285714285714286</v>
      </c>
      <c r="F2">
        <v>0.31253261003443361</v>
      </c>
      <c r="G2">
        <v>0.30437383041589933</v>
      </c>
    </row>
    <row r="3" spans="1:7" x14ac:dyDescent="0.25">
      <c r="A3" t="s">
        <v>8</v>
      </c>
      <c r="B3">
        <v>0</v>
      </c>
      <c r="C3">
        <v>7725</v>
      </c>
      <c r="D3">
        <v>0.79428571428571426</v>
      </c>
      <c r="E3">
        <v>1</v>
      </c>
      <c r="F3">
        <v>0.3018590637632898</v>
      </c>
      <c r="G3">
        <v>0.30023650001169172</v>
      </c>
    </row>
    <row r="4" spans="1:7" x14ac:dyDescent="0.25">
      <c r="A4" t="s">
        <v>9</v>
      </c>
      <c r="B4">
        <v>0</v>
      </c>
      <c r="C4">
        <v>7636</v>
      </c>
      <c r="D4">
        <v>0.90428571428571425</v>
      </c>
      <c r="E4">
        <v>1</v>
      </c>
      <c r="F4">
        <v>0.32016504213154912</v>
      </c>
      <c r="G4">
        <v>0.29431064490499698</v>
      </c>
    </row>
    <row r="5" spans="1:7" x14ac:dyDescent="0.25">
      <c r="A5" t="s">
        <v>13</v>
      </c>
      <c r="B5">
        <v>0</v>
      </c>
      <c r="C5">
        <v>7348</v>
      </c>
      <c r="D5">
        <v>0.72964285714285715</v>
      </c>
      <c r="E5">
        <v>1</v>
      </c>
      <c r="F5">
        <v>0.29432600664858999</v>
      </c>
      <c r="G5">
        <v>0.31644790082425522</v>
      </c>
    </row>
    <row r="6" spans="1:7" x14ac:dyDescent="0.25">
      <c r="A6" t="s">
        <v>12</v>
      </c>
      <c r="B6">
        <v>0</v>
      </c>
      <c r="C6">
        <v>7251</v>
      </c>
      <c r="D6">
        <v>1</v>
      </c>
      <c r="E6">
        <v>1</v>
      </c>
      <c r="F6">
        <v>0.32768821232169132</v>
      </c>
      <c r="G6">
        <v>0.25514639951197099</v>
      </c>
    </row>
    <row r="7" spans="1:7" x14ac:dyDescent="0.25">
      <c r="A7" t="s">
        <v>10</v>
      </c>
      <c r="B7">
        <v>0</v>
      </c>
      <c r="C7">
        <v>7149</v>
      </c>
      <c r="D7">
        <v>0.79535714285714287</v>
      </c>
      <c r="E7">
        <v>1</v>
      </c>
      <c r="F7">
        <v>0.30821243432846862</v>
      </c>
      <c r="G7">
        <v>0.32302028610399541</v>
      </c>
    </row>
    <row r="8" spans="1:7" x14ac:dyDescent="0.25">
      <c r="A8" t="s">
        <v>11</v>
      </c>
      <c r="B8">
        <v>0</v>
      </c>
      <c r="C8">
        <v>7118</v>
      </c>
      <c r="D8">
        <v>0.76892857142857141</v>
      </c>
      <c r="E8">
        <v>1</v>
      </c>
      <c r="F8">
        <v>0.30361198158920077</v>
      </c>
      <c r="G8">
        <v>0.32469374897117209</v>
      </c>
    </row>
    <row r="9" spans="1:7" x14ac:dyDescent="0.25">
      <c r="A9" t="s">
        <v>15</v>
      </c>
      <c r="B9">
        <v>1</v>
      </c>
      <c r="C9">
        <v>7111</v>
      </c>
      <c r="D9">
        <v>0.66428571428571426</v>
      </c>
      <c r="E9">
        <v>0.9285714285714286</v>
      </c>
      <c r="F9">
        <v>0.27984889551400438</v>
      </c>
      <c r="G9">
        <v>0.30932535707481201</v>
      </c>
    </row>
    <row r="10" spans="1:7" x14ac:dyDescent="0.25">
      <c r="A10" t="s">
        <v>16</v>
      </c>
      <c r="B10">
        <v>0</v>
      </c>
      <c r="C10">
        <v>7006</v>
      </c>
      <c r="D10">
        <v>0.81</v>
      </c>
      <c r="E10">
        <v>1</v>
      </c>
      <c r="F10">
        <v>0.30088334295900798</v>
      </c>
      <c r="G10">
        <v>0.28604970287557069</v>
      </c>
    </row>
    <row r="11" spans="1:7" x14ac:dyDescent="0.25">
      <c r="A11" t="s">
        <v>14</v>
      </c>
      <c r="B11">
        <v>1</v>
      </c>
      <c r="C11">
        <v>6908</v>
      </c>
      <c r="D11">
        <v>0.64892857142857141</v>
      </c>
      <c r="E11">
        <v>0.9285714285714286</v>
      </c>
      <c r="F11">
        <v>0.2778224376182436</v>
      </c>
      <c r="G11">
        <v>0.31198432830504902</v>
      </c>
    </row>
    <row r="12" spans="1:7" x14ac:dyDescent="0.25">
      <c r="A12" t="s">
        <v>17</v>
      </c>
      <c r="B12">
        <v>6</v>
      </c>
      <c r="C12">
        <v>6866</v>
      </c>
      <c r="D12">
        <v>0.47107142857142859</v>
      </c>
      <c r="E12">
        <v>0.5714285714285714</v>
      </c>
      <c r="F12">
        <v>0.17844565137286911</v>
      </c>
      <c r="G12">
        <v>7.9035755260784199E-2</v>
      </c>
    </row>
    <row r="13" spans="1:7" x14ac:dyDescent="0.25">
      <c r="A13" t="s">
        <v>19</v>
      </c>
      <c r="B13">
        <v>7</v>
      </c>
      <c r="C13">
        <v>6856</v>
      </c>
      <c r="D13">
        <v>0.48857142857142849</v>
      </c>
      <c r="E13">
        <v>0.5</v>
      </c>
      <c r="F13">
        <v>0.15950986559591179</v>
      </c>
      <c r="G13">
        <v>-9.4182180247585727E-3</v>
      </c>
    </row>
    <row r="14" spans="1:7" x14ac:dyDescent="0.25">
      <c r="A14" t="s">
        <v>18</v>
      </c>
      <c r="B14">
        <v>9</v>
      </c>
      <c r="C14">
        <v>5859</v>
      </c>
      <c r="D14">
        <v>0.33035714285714279</v>
      </c>
      <c r="E14">
        <v>0.35714285714285721</v>
      </c>
      <c r="F14">
        <v>0.1251321650950212</v>
      </c>
      <c r="G14">
        <v>-3.114560058104485E-2</v>
      </c>
    </row>
    <row r="15" spans="1:7" x14ac:dyDescent="0.25">
      <c r="A15" t="s">
        <v>20</v>
      </c>
      <c r="B15">
        <v>11</v>
      </c>
      <c r="C15">
        <v>5833</v>
      </c>
      <c r="D15">
        <v>0.24321428571428569</v>
      </c>
      <c r="E15">
        <v>0.2142857142857143</v>
      </c>
      <c r="F15">
        <v>9.241489420004026E-2</v>
      </c>
      <c r="G15">
        <v>-9.1339189432195197E-2</v>
      </c>
    </row>
    <row r="16" spans="1:7" x14ac:dyDescent="0.25">
      <c r="A16" t="s">
        <v>21</v>
      </c>
      <c r="B16">
        <v>13</v>
      </c>
      <c r="C16">
        <v>5800</v>
      </c>
      <c r="D16">
        <v>0</v>
      </c>
      <c r="E16">
        <v>7.1428571428571425E-2</v>
      </c>
      <c r="F16">
        <v>0</v>
      </c>
      <c r="G16">
        <v>-0.25514639951197099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>
        <v>7</v>
      </c>
      <c r="C2">
        <v>7858</v>
      </c>
      <c r="D2">
        <v>0.50464285714285717</v>
      </c>
      <c r="E2">
        <v>0.5</v>
      </c>
      <c r="F2">
        <v>0.1654402670113248</v>
      </c>
      <c r="G2">
        <v>7.1209126985994657E-3</v>
      </c>
    </row>
    <row r="3" spans="1:7" x14ac:dyDescent="0.25">
      <c r="A3" t="s">
        <v>8</v>
      </c>
      <c r="B3">
        <v>0</v>
      </c>
      <c r="C3">
        <v>7647</v>
      </c>
      <c r="D3">
        <v>0.79107142857142854</v>
      </c>
      <c r="E3">
        <v>1</v>
      </c>
      <c r="F3">
        <v>0.29705858228728488</v>
      </c>
      <c r="G3">
        <v>0.30294696576680308</v>
      </c>
    </row>
    <row r="4" spans="1:7" x14ac:dyDescent="0.25">
      <c r="A4" t="s">
        <v>9</v>
      </c>
      <c r="B4">
        <v>0</v>
      </c>
      <c r="C4">
        <v>7636</v>
      </c>
      <c r="D4">
        <v>0.8967857142857143</v>
      </c>
      <c r="E4">
        <v>1</v>
      </c>
      <c r="F4">
        <v>0.31553789474541682</v>
      </c>
      <c r="G4">
        <v>0.29825655592390821</v>
      </c>
    </row>
    <row r="5" spans="1:7" x14ac:dyDescent="0.25">
      <c r="A5" t="s">
        <v>7</v>
      </c>
      <c r="B5">
        <v>0</v>
      </c>
      <c r="C5">
        <v>7541</v>
      </c>
      <c r="D5">
        <v>0.91357142857142859</v>
      </c>
      <c r="E5">
        <v>1</v>
      </c>
      <c r="F5">
        <v>0.32199771607947142</v>
      </c>
      <c r="G5">
        <v>0.30987630624469059</v>
      </c>
    </row>
    <row r="6" spans="1:7" x14ac:dyDescent="0.25">
      <c r="A6" t="s">
        <v>13</v>
      </c>
      <c r="B6">
        <v>0</v>
      </c>
      <c r="C6">
        <v>7512</v>
      </c>
      <c r="D6">
        <v>0.75035714285714283</v>
      </c>
      <c r="E6">
        <v>1</v>
      </c>
      <c r="F6">
        <v>0.292520754357114</v>
      </c>
      <c r="G6">
        <v>0.3136740621005189</v>
      </c>
    </row>
    <row r="7" spans="1:7" x14ac:dyDescent="0.25">
      <c r="A7" t="s">
        <v>10</v>
      </c>
      <c r="B7">
        <v>0</v>
      </c>
      <c r="C7">
        <v>7356</v>
      </c>
      <c r="D7">
        <v>0.83821428571428569</v>
      </c>
      <c r="E7">
        <v>1</v>
      </c>
      <c r="F7">
        <v>0.31035137328751522</v>
      </c>
      <c r="G7">
        <v>0.3203877735445757</v>
      </c>
    </row>
    <row r="8" spans="1:7" x14ac:dyDescent="0.25">
      <c r="A8" t="s">
        <v>12</v>
      </c>
      <c r="B8">
        <v>0</v>
      </c>
      <c r="C8">
        <v>7323</v>
      </c>
      <c r="D8">
        <v>1</v>
      </c>
      <c r="E8">
        <v>1</v>
      </c>
      <c r="F8">
        <v>0.32511000759300263</v>
      </c>
      <c r="G8">
        <v>0.26118979794505309</v>
      </c>
    </row>
    <row r="9" spans="1:7" x14ac:dyDescent="0.25">
      <c r="A9" t="s">
        <v>16</v>
      </c>
      <c r="B9">
        <v>1</v>
      </c>
      <c r="C9">
        <v>7186</v>
      </c>
      <c r="D9">
        <v>0.81321428571428567</v>
      </c>
      <c r="E9">
        <v>0.9285714285714286</v>
      </c>
      <c r="F9">
        <v>0.29655478736251317</v>
      </c>
      <c r="G9">
        <v>0.28606261427966878</v>
      </c>
    </row>
    <row r="10" spans="1:7" x14ac:dyDescent="0.25">
      <c r="A10" t="s">
        <v>11</v>
      </c>
      <c r="B10">
        <v>0</v>
      </c>
      <c r="C10">
        <v>7132</v>
      </c>
      <c r="D10">
        <v>0.76607142857142863</v>
      </c>
      <c r="E10">
        <v>1</v>
      </c>
      <c r="F10">
        <v>0.29813724273503339</v>
      </c>
      <c r="G10">
        <v>0.32301431774557859</v>
      </c>
    </row>
    <row r="11" spans="1:7" x14ac:dyDescent="0.25">
      <c r="A11" t="s">
        <v>15</v>
      </c>
      <c r="B11">
        <v>1</v>
      </c>
      <c r="C11">
        <v>7017</v>
      </c>
      <c r="D11">
        <v>0.65607142857142853</v>
      </c>
      <c r="E11">
        <v>0.9285714285714286</v>
      </c>
      <c r="F11">
        <v>0.27287469943823739</v>
      </c>
      <c r="G11">
        <v>0.30883925013051511</v>
      </c>
    </row>
    <row r="12" spans="1:7" x14ac:dyDescent="0.25">
      <c r="A12" t="s">
        <v>17</v>
      </c>
      <c r="B12">
        <v>6</v>
      </c>
      <c r="C12">
        <v>6995</v>
      </c>
      <c r="D12">
        <v>0.5535714285714286</v>
      </c>
      <c r="E12">
        <v>0.5714285714285714</v>
      </c>
      <c r="F12">
        <v>0.18861442144195301</v>
      </c>
      <c r="G12">
        <v>6.6887906151163912E-2</v>
      </c>
    </row>
    <row r="13" spans="1:7" x14ac:dyDescent="0.25">
      <c r="A13" t="s">
        <v>14</v>
      </c>
      <c r="B13">
        <v>1</v>
      </c>
      <c r="C13">
        <v>6982</v>
      </c>
      <c r="D13">
        <v>0.66857142857142859</v>
      </c>
      <c r="E13">
        <v>0.9285714285714286</v>
      </c>
      <c r="F13">
        <v>0.27564576335817448</v>
      </c>
      <c r="G13">
        <v>0.3094967479169291</v>
      </c>
    </row>
    <row r="14" spans="1:7" x14ac:dyDescent="0.25">
      <c r="A14" t="s">
        <v>20</v>
      </c>
      <c r="B14">
        <v>12</v>
      </c>
      <c r="C14">
        <v>6383</v>
      </c>
      <c r="D14">
        <v>0.33500000000000002</v>
      </c>
      <c r="E14">
        <v>0.14285714285714279</v>
      </c>
      <c r="F14">
        <v>0.1169569509033139</v>
      </c>
      <c r="G14">
        <v>-6.0230421167328067E-2</v>
      </c>
    </row>
    <row r="15" spans="1:7" x14ac:dyDescent="0.25">
      <c r="A15" t="s">
        <v>18</v>
      </c>
      <c r="B15">
        <v>10</v>
      </c>
      <c r="C15">
        <v>6122</v>
      </c>
      <c r="D15">
        <v>0.3457142857142857</v>
      </c>
      <c r="E15">
        <v>0.2857142857142857</v>
      </c>
      <c r="F15">
        <v>0.13049929764993001</v>
      </c>
      <c r="G15">
        <v>-1.6446357230739259E-2</v>
      </c>
    </row>
    <row r="16" spans="1:7" x14ac:dyDescent="0.25">
      <c r="A16" t="s">
        <v>21</v>
      </c>
      <c r="B16">
        <v>13</v>
      </c>
      <c r="C16">
        <v>5800</v>
      </c>
      <c r="D16">
        <v>0</v>
      </c>
      <c r="E16">
        <v>7.1428571428571425E-2</v>
      </c>
      <c r="F16">
        <v>0</v>
      </c>
      <c r="G16">
        <v>-0.26118979794505309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7986</v>
      </c>
      <c r="D2">
        <v>0.85428571428571431</v>
      </c>
      <c r="E2">
        <v>0.9285714285714286</v>
      </c>
      <c r="F2">
        <v>0.31206244368748542</v>
      </c>
      <c r="G2">
        <v>0.30757731025994178</v>
      </c>
    </row>
    <row r="3" spans="1:7" x14ac:dyDescent="0.25">
      <c r="A3" t="s">
        <v>8</v>
      </c>
      <c r="B3">
        <v>0</v>
      </c>
      <c r="C3">
        <v>7686</v>
      </c>
      <c r="D3">
        <v>0.79214285714285715</v>
      </c>
      <c r="E3">
        <v>1</v>
      </c>
      <c r="F3">
        <v>0.30005642879216798</v>
      </c>
      <c r="G3">
        <v>0.29924084457850608</v>
      </c>
    </row>
    <row r="4" spans="1:7" x14ac:dyDescent="0.25">
      <c r="A4" t="s">
        <v>9</v>
      </c>
      <c r="B4">
        <v>0</v>
      </c>
      <c r="C4">
        <v>7672</v>
      </c>
      <c r="D4">
        <v>0.90857142857142859</v>
      </c>
      <c r="E4">
        <v>1</v>
      </c>
      <c r="F4">
        <v>0.31950506695948688</v>
      </c>
      <c r="G4">
        <v>0.29385798689724951</v>
      </c>
    </row>
    <row r="5" spans="1:7" x14ac:dyDescent="0.25">
      <c r="A5" t="s">
        <v>10</v>
      </c>
      <c r="B5">
        <v>0</v>
      </c>
      <c r="C5">
        <v>7408</v>
      </c>
      <c r="D5">
        <v>0.84642857142857142</v>
      </c>
      <c r="E5">
        <v>1</v>
      </c>
      <c r="F5">
        <v>0.31576977699093428</v>
      </c>
      <c r="G5">
        <v>0.32207673105116119</v>
      </c>
    </row>
    <row r="6" spans="1:7" x14ac:dyDescent="0.25">
      <c r="A6" t="s">
        <v>12</v>
      </c>
      <c r="B6">
        <v>0</v>
      </c>
      <c r="C6">
        <v>7329</v>
      </c>
      <c r="D6">
        <v>1</v>
      </c>
      <c r="E6">
        <v>1</v>
      </c>
      <c r="F6">
        <v>0.3274048002495839</v>
      </c>
      <c r="G6">
        <v>0.25859477675024273</v>
      </c>
    </row>
    <row r="7" spans="1:7" x14ac:dyDescent="0.25">
      <c r="A7" t="s">
        <v>13</v>
      </c>
      <c r="B7">
        <v>0</v>
      </c>
      <c r="C7">
        <v>7306</v>
      </c>
      <c r="D7">
        <v>0.7221428571428572</v>
      </c>
      <c r="E7">
        <v>1</v>
      </c>
      <c r="F7">
        <v>0.29180518388370441</v>
      </c>
      <c r="G7">
        <v>0.31652603735851109</v>
      </c>
    </row>
    <row r="8" spans="1:7" x14ac:dyDescent="0.25">
      <c r="A8" t="s">
        <v>11</v>
      </c>
      <c r="B8">
        <v>0</v>
      </c>
      <c r="C8">
        <v>7113</v>
      </c>
      <c r="D8">
        <v>0.76964285714285718</v>
      </c>
      <c r="E8">
        <v>1</v>
      </c>
      <c r="F8">
        <v>0.30194902583182359</v>
      </c>
      <c r="G8">
        <v>0.32396812533115882</v>
      </c>
    </row>
    <row r="9" spans="1:7" x14ac:dyDescent="0.25">
      <c r="A9" t="s">
        <v>16</v>
      </c>
      <c r="B9">
        <v>0</v>
      </c>
      <c r="C9">
        <v>7094</v>
      </c>
      <c r="D9">
        <v>0.80642857142857138</v>
      </c>
      <c r="E9">
        <v>1</v>
      </c>
      <c r="F9">
        <v>0.29917609011904611</v>
      </c>
      <c r="G9">
        <v>0.28613815175506419</v>
      </c>
    </row>
    <row r="10" spans="1:7" x14ac:dyDescent="0.25">
      <c r="A10" t="s">
        <v>15</v>
      </c>
      <c r="B10">
        <v>1</v>
      </c>
      <c r="C10">
        <v>7049</v>
      </c>
      <c r="D10">
        <v>0.65107142857142852</v>
      </c>
      <c r="E10">
        <v>0.9285714285714286</v>
      </c>
      <c r="F10">
        <v>0.27704685326157119</v>
      </c>
      <c r="G10">
        <v>0.31037538530469372</v>
      </c>
    </row>
    <row r="11" spans="1:7" x14ac:dyDescent="0.25">
      <c r="A11" t="s">
        <v>17</v>
      </c>
      <c r="B11">
        <v>7</v>
      </c>
      <c r="C11">
        <v>7000</v>
      </c>
      <c r="D11">
        <v>0.42535714285714288</v>
      </c>
      <c r="E11">
        <v>0.5</v>
      </c>
      <c r="F11">
        <v>0.16908071603740821</v>
      </c>
      <c r="G11">
        <v>7.8958690988244165E-2</v>
      </c>
    </row>
    <row r="12" spans="1:7" x14ac:dyDescent="0.25">
      <c r="A12" t="s">
        <v>14</v>
      </c>
      <c r="B12">
        <v>1</v>
      </c>
      <c r="C12">
        <v>6995</v>
      </c>
      <c r="D12">
        <v>0.66178571428571431</v>
      </c>
      <c r="E12">
        <v>0.9285714285714286</v>
      </c>
      <c r="F12">
        <v>0.27874572697443828</v>
      </c>
      <c r="G12">
        <v>0.30859056347584141</v>
      </c>
    </row>
    <row r="13" spans="1:7" x14ac:dyDescent="0.25">
      <c r="A13" t="s">
        <v>19</v>
      </c>
      <c r="B13">
        <v>6</v>
      </c>
      <c r="C13">
        <v>6457</v>
      </c>
      <c r="D13">
        <v>0.49714285714285722</v>
      </c>
      <c r="E13">
        <v>0.5714285714285714</v>
      </c>
      <c r="F13">
        <v>0.1621149701403681</v>
      </c>
      <c r="G13">
        <v>-3.8402521406170551E-3</v>
      </c>
    </row>
    <row r="14" spans="1:7" x14ac:dyDescent="0.25">
      <c r="A14" t="s">
        <v>18</v>
      </c>
      <c r="B14">
        <v>9</v>
      </c>
      <c r="C14">
        <v>6081</v>
      </c>
      <c r="D14">
        <v>0.36142857142857138</v>
      </c>
      <c r="E14">
        <v>0.35714285714285721</v>
      </c>
      <c r="F14">
        <v>0.13694022224350991</v>
      </c>
      <c r="G14">
        <v>-9.3131816619639492E-3</v>
      </c>
    </row>
    <row r="15" spans="1:7" x14ac:dyDescent="0.25">
      <c r="A15" t="s">
        <v>21</v>
      </c>
      <c r="B15">
        <v>13</v>
      </c>
      <c r="C15">
        <v>5950</v>
      </c>
      <c r="D15">
        <v>0</v>
      </c>
      <c r="E15">
        <v>7.1428571428571425E-2</v>
      </c>
      <c r="F15">
        <v>0</v>
      </c>
      <c r="G15">
        <v>-0.25859477675024273</v>
      </c>
    </row>
    <row r="16" spans="1:7" x14ac:dyDescent="0.25">
      <c r="A16" t="s">
        <v>20</v>
      </c>
      <c r="B16">
        <v>12</v>
      </c>
      <c r="C16">
        <v>5641</v>
      </c>
      <c r="D16">
        <v>0.26250000000000001</v>
      </c>
      <c r="E16">
        <v>0.14285714285714279</v>
      </c>
      <c r="F16">
        <v>9.8433223471204936E-2</v>
      </c>
      <c r="G16">
        <v>-8.4300456635093432E-2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7738</v>
      </c>
      <c r="D2">
        <v>0.78749999999999998</v>
      </c>
      <c r="E2">
        <v>0.9285714285714286</v>
      </c>
      <c r="F2">
        <v>0.30477788280917778</v>
      </c>
      <c r="G2">
        <v>0.32180986851312698</v>
      </c>
    </row>
    <row r="3" spans="1:7" x14ac:dyDescent="0.25">
      <c r="A3" t="s">
        <v>8</v>
      </c>
      <c r="B3">
        <v>0</v>
      </c>
      <c r="C3">
        <v>7706</v>
      </c>
      <c r="D3">
        <v>0.80321428571428577</v>
      </c>
      <c r="E3">
        <v>1</v>
      </c>
      <c r="F3">
        <v>0.30209119405042822</v>
      </c>
      <c r="G3">
        <v>0.29524657332539628</v>
      </c>
    </row>
    <row r="4" spans="1:7" x14ac:dyDescent="0.25">
      <c r="A4" t="s">
        <v>9</v>
      </c>
      <c r="B4">
        <v>0</v>
      </c>
      <c r="C4">
        <v>7580</v>
      </c>
      <c r="D4">
        <v>0.89107142857142863</v>
      </c>
      <c r="E4">
        <v>1</v>
      </c>
      <c r="F4">
        <v>0.31767078010967043</v>
      </c>
      <c r="G4">
        <v>0.29285455278759071</v>
      </c>
    </row>
    <row r="5" spans="1:7" x14ac:dyDescent="0.25">
      <c r="A5" t="s">
        <v>10</v>
      </c>
      <c r="B5">
        <v>0</v>
      </c>
      <c r="C5">
        <v>7383</v>
      </c>
      <c r="D5">
        <v>0.84571428571428575</v>
      </c>
      <c r="E5">
        <v>1</v>
      </c>
      <c r="F5">
        <v>0.3168166242275372</v>
      </c>
      <c r="G5">
        <v>0.32154430894310881</v>
      </c>
    </row>
    <row r="6" spans="1:7" x14ac:dyDescent="0.25">
      <c r="A6" t="s">
        <v>12</v>
      </c>
      <c r="B6">
        <v>0</v>
      </c>
      <c r="C6">
        <v>7332</v>
      </c>
      <c r="D6">
        <v>1</v>
      </c>
      <c r="E6">
        <v>1</v>
      </c>
      <c r="F6">
        <v>0.32735251271522342</v>
      </c>
      <c r="G6">
        <v>0.25277478536210007</v>
      </c>
    </row>
    <row r="7" spans="1:7" x14ac:dyDescent="0.25">
      <c r="A7" t="s">
        <v>17</v>
      </c>
      <c r="B7">
        <v>7</v>
      </c>
      <c r="C7">
        <v>7285</v>
      </c>
      <c r="D7">
        <v>0.49821428571428572</v>
      </c>
      <c r="E7">
        <v>0.5</v>
      </c>
      <c r="F7">
        <v>0.17693743111815499</v>
      </c>
      <c r="G7">
        <v>5.8560078548521438E-2</v>
      </c>
    </row>
    <row r="8" spans="1:7" x14ac:dyDescent="0.25">
      <c r="A8" t="s">
        <v>13</v>
      </c>
      <c r="B8">
        <v>0</v>
      </c>
      <c r="C8">
        <v>7268</v>
      </c>
      <c r="D8">
        <v>0.71857142857142853</v>
      </c>
      <c r="E8">
        <v>1</v>
      </c>
      <c r="F8">
        <v>0.29173421559903528</v>
      </c>
      <c r="G8">
        <v>0.31476386226027209</v>
      </c>
    </row>
    <row r="9" spans="1:7" x14ac:dyDescent="0.25">
      <c r="A9" t="s">
        <v>16</v>
      </c>
      <c r="B9">
        <v>1</v>
      </c>
      <c r="C9">
        <v>7154</v>
      </c>
      <c r="D9">
        <v>0.80535714285714288</v>
      </c>
      <c r="E9">
        <v>0.9285714285714286</v>
      </c>
      <c r="F9">
        <v>0.2992103889244192</v>
      </c>
      <c r="G9">
        <v>0.28385660219276931</v>
      </c>
    </row>
    <row r="10" spans="1:7" x14ac:dyDescent="0.25">
      <c r="A10" t="s">
        <v>11</v>
      </c>
      <c r="B10">
        <v>0</v>
      </c>
      <c r="C10">
        <v>7146</v>
      </c>
      <c r="D10">
        <v>0.77821428571428575</v>
      </c>
      <c r="E10">
        <v>1</v>
      </c>
      <c r="F10">
        <v>0.30422363611019559</v>
      </c>
      <c r="G10">
        <v>0.32002281415221662</v>
      </c>
    </row>
    <row r="11" spans="1:7" x14ac:dyDescent="0.25">
      <c r="A11" t="s">
        <v>15</v>
      </c>
      <c r="B11">
        <v>1</v>
      </c>
      <c r="C11">
        <v>7085</v>
      </c>
      <c r="D11">
        <v>0.65749999999999997</v>
      </c>
      <c r="E11">
        <v>0.9285714285714286</v>
      </c>
      <c r="F11">
        <v>0.27778162241908572</v>
      </c>
      <c r="G11">
        <v>0.30767113442480931</v>
      </c>
    </row>
    <row r="12" spans="1:7" x14ac:dyDescent="0.25">
      <c r="A12" t="s">
        <v>14</v>
      </c>
      <c r="B12">
        <v>1</v>
      </c>
      <c r="C12">
        <v>7009</v>
      </c>
      <c r="D12">
        <v>0.66642857142857148</v>
      </c>
      <c r="E12">
        <v>0.9285714285714286</v>
      </c>
      <c r="F12">
        <v>0.28000609821146882</v>
      </c>
      <c r="G12">
        <v>0.30990331833811058</v>
      </c>
    </row>
    <row r="13" spans="1:7" x14ac:dyDescent="0.25">
      <c r="A13" t="s">
        <v>19</v>
      </c>
      <c r="B13">
        <v>5</v>
      </c>
      <c r="C13">
        <v>6335</v>
      </c>
      <c r="D13">
        <v>0.49357142857142849</v>
      </c>
      <c r="E13">
        <v>0.6428571428571429</v>
      </c>
      <c r="F13">
        <v>0.1629974838473944</v>
      </c>
      <c r="G13">
        <v>-7.3817539739862799E-4</v>
      </c>
    </row>
    <row r="14" spans="1:7" x14ac:dyDescent="0.25">
      <c r="A14" t="s">
        <v>18</v>
      </c>
      <c r="B14">
        <v>9</v>
      </c>
      <c r="C14">
        <v>6069</v>
      </c>
      <c r="D14">
        <v>0.36571428571428571</v>
      </c>
      <c r="E14">
        <v>0.35714285714285721</v>
      </c>
      <c r="F14">
        <v>0.1407648979809058</v>
      </c>
      <c r="G14">
        <v>9.9138408338605849E-3</v>
      </c>
    </row>
    <row r="15" spans="1:7" x14ac:dyDescent="0.25">
      <c r="A15" t="s">
        <v>21</v>
      </c>
      <c r="B15">
        <v>13</v>
      </c>
      <c r="C15">
        <v>5932</v>
      </c>
      <c r="D15">
        <v>0</v>
      </c>
      <c r="E15">
        <v>7.1428571428571425E-2</v>
      </c>
      <c r="F15">
        <v>0</v>
      </c>
      <c r="G15">
        <v>-0.25277478536210007</v>
      </c>
    </row>
    <row r="16" spans="1:7" x14ac:dyDescent="0.25">
      <c r="A16" t="s">
        <v>20</v>
      </c>
      <c r="B16">
        <v>13</v>
      </c>
      <c r="C16">
        <v>5699</v>
      </c>
      <c r="D16">
        <v>0.24714285714285711</v>
      </c>
      <c r="E16">
        <v>7.1428571428571425E-2</v>
      </c>
      <c r="F16">
        <v>8.3430338608434282E-2</v>
      </c>
      <c r="G16">
        <v>-0.1266016854002511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>
        <v>7</v>
      </c>
      <c r="C2">
        <v>8421.5</v>
      </c>
      <c r="D2">
        <v>0.50642857142857145</v>
      </c>
      <c r="E2">
        <v>0.5</v>
      </c>
      <c r="F2">
        <v>0.1653213867442303</v>
      </c>
      <c r="G2">
        <v>4.8656865406433653E-3</v>
      </c>
    </row>
    <row r="3" spans="1:7" x14ac:dyDescent="0.25">
      <c r="A3" t="s">
        <v>8</v>
      </c>
      <c r="B3">
        <v>0</v>
      </c>
      <c r="C3">
        <v>7981.5</v>
      </c>
      <c r="D3">
        <v>0.8125</v>
      </c>
      <c r="E3">
        <v>1</v>
      </c>
      <c r="F3">
        <v>0.30079423557364998</v>
      </c>
      <c r="G3">
        <v>0.29949371853384998</v>
      </c>
    </row>
    <row r="4" spans="1:7" x14ac:dyDescent="0.25">
      <c r="A4" t="s">
        <v>9</v>
      </c>
      <c r="B4">
        <v>0</v>
      </c>
      <c r="C4">
        <v>7659</v>
      </c>
      <c r="D4">
        <v>0.90392857142857141</v>
      </c>
      <c r="E4">
        <v>1</v>
      </c>
      <c r="F4">
        <v>0.31595973250063042</v>
      </c>
      <c r="G4">
        <v>0.29390765873337138</v>
      </c>
    </row>
    <row r="5" spans="1:7" x14ac:dyDescent="0.25">
      <c r="A5" t="s">
        <v>7</v>
      </c>
      <c r="B5">
        <v>0</v>
      </c>
      <c r="C5">
        <v>7517.5</v>
      </c>
      <c r="D5">
        <v>0.92</v>
      </c>
      <c r="E5">
        <v>1</v>
      </c>
      <c r="F5">
        <v>0.32369507691198213</v>
      </c>
      <c r="G5">
        <v>0.3107567911267608</v>
      </c>
    </row>
    <row r="6" spans="1:7" x14ac:dyDescent="0.25">
      <c r="A6" t="s">
        <v>13</v>
      </c>
      <c r="B6">
        <v>0</v>
      </c>
      <c r="C6">
        <v>7418</v>
      </c>
      <c r="D6">
        <v>0.72750000000000004</v>
      </c>
      <c r="E6">
        <v>1</v>
      </c>
      <c r="F6">
        <v>0.28988839052012999</v>
      </c>
      <c r="G6">
        <v>0.31668882123309089</v>
      </c>
    </row>
    <row r="7" spans="1:7" x14ac:dyDescent="0.25">
      <c r="A7" t="s">
        <v>11</v>
      </c>
      <c r="B7">
        <v>0</v>
      </c>
      <c r="C7">
        <v>7344.5</v>
      </c>
      <c r="D7">
        <v>0.7996428571428571</v>
      </c>
      <c r="E7">
        <v>1</v>
      </c>
      <c r="F7">
        <v>0.30416670398728451</v>
      </c>
      <c r="G7">
        <v>0.32116132430389499</v>
      </c>
    </row>
    <row r="8" spans="1:7" x14ac:dyDescent="0.25">
      <c r="A8" t="s">
        <v>12</v>
      </c>
      <c r="B8">
        <v>0</v>
      </c>
      <c r="C8">
        <v>7344</v>
      </c>
      <c r="D8">
        <v>1</v>
      </c>
      <c r="E8">
        <v>1</v>
      </c>
      <c r="F8">
        <v>0.32548718446047692</v>
      </c>
      <c r="G8">
        <v>0.26186840222267471</v>
      </c>
    </row>
    <row r="9" spans="1:7" x14ac:dyDescent="0.25">
      <c r="A9" t="s">
        <v>10</v>
      </c>
      <c r="B9">
        <v>0</v>
      </c>
      <c r="C9">
        <v>7244</v>
      </c>
      <c r="D9">
        <v>0.80857142857142861</v>
      </c>
      <c r="E9">
        <v>1</v>
      </c>
      <c r="F9">
        <v>0.30615252195879672</v>
      </c>
      <c r="G9">
        <v>0.32164493823305129</v>
      </c>
    </row>
    <row r="10" spans="1:7" x14ac:dyDescent="0.25">
      <c r="A10" t="s">
        <v>16</v>
      </c>
      <c r="B10">
        <v>1</v>
      </c>
      <c r="C10">
        <v>7204</v>
      </c>
      <c r="D10">
        <v>0.7996428571428571</v>
      </c>
      <c r="E10">
        <v>0.9285714285714286</v>
      </c>
      <c r="F10">
        <v>0.29531516478168168</v>
      </c>
      <c r="G10">
        <v>0.28799905904507361</v>
      </c>
    </row>
    <row r="11" spans="1:7" x14ac:dyDescent="0.25">
      <c r="A11" t="s">
        <v>15</v>
      </c>
      <c r="B11">
        <v>1</v>
      </c>
      <c r="C11">
        <v>7190.5</v>
      </c>
      <c r="D11">
        <v>0.65785714285714281</v>
      </c>
      <c r="E11">
        <v>0.9285714285714286</v>
      </c>
      <c r="F11">
        <v>0.27450894071687187</v>
      </c>
      <c r="G11">
        <v>0.30883502498514759</v>
      </c>
    </row>
    <row r="12" spans="1:7" x14ac:dyDescent="0.25">
      <c r="A12" t="s">
        <v>14</v>
      </c>
      <c r="B12">
        <v>1</v>
      </c>
      <c r="C12">
        <v>7039.5</v>
      </c>
      <c r="D12">
        <v>0.66749999999999998</v>
      </c>
      <c r="E12">
        <v>0.9285714285714286</v>
      </c>
      <c r="F12">
        <v>0.27667637314595289</v>
      </c>
      <c r="G12">
        <v>0.30927886469509153</v>
      </c>
    </row>
    <row r="13" spans="1:7" x14ac:dyDescent="0.25">
      <c r="A13" t="s">
        <v>17</v>
      </c>
      <c r="B13">
        <v>6</v>
      </c>
      <c r="C13">
        <v>6776</v>
      </c>
      <c r="D13">
        <v>0.49678571428571427</v>
      </c>
      <c r="E13">
        <v>0.5714285714285714</v>
      </c>
      <c r="F13">
        <v>0.18198400613922411</v>
      </c>
      <c r="G13">
        <v>7.7244381160769274E-2</v>
      </c>
    </row>
    <row r="14" spans="1:7" x14ac:dyDescent="0.25">
      <c r="A14" t="s">
        <v>21</v>
      </c>
      <c r="B14">
        <v>13</v>
      </c>
      <c r="C14">
        <v>6199.5</v>
      </c>
      <c r="D14">
        <v>0</v>
      </c>
      <c r="E14">
        <v>7.1428571428571425E-2</v>
      </c>
      <c r="F14">
        <v>0</v>
      </c>
      <c r="G14">
        <v>-0.26186840222267471</v>
      </c>
    </row>
    <row r="15" spans="1:7" x14ac:dyDescent="0.25">
      <c r="A15" t="s">
        <v>20</v>
      </c>
      <c r="B15">
        <v>11</v>
      </c>
      <c r="C15">
        <v>6140</v>
      </c>
      <c r="D15">
        <v>0.30214285714285721</v>
      </c>
      <c r="E15">
        <v>0.2142857142857143</v>
      </c>
      <c r="F15">
        <v>0.11345280800172761</v>
      </c>
      <c r="G15">
        <v>-4.9332359895689543E-2</v>
      </c>
    </row>
    <row r="16" spans="1:7" x14ac:dyDescent="0.25">
      <c r="A16" t="s">
        <v>18</v>
      </c>
      <c r="B16">
        <v>11</v>
      </c>
      <c r="C16">
        <v>6111</v>
      </c>
      <c r="D16">
        <v>0.33571428571428569</v>
      </c>
      <c r="E16">
        <v>0.2142857142857143</v>
      </c>
      <c r="F16">
        <v>0.1274870038648529</v>
      </c>
      <c r="G16">
        <v>-3.01666605963011E-2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8061</v>
      </c>
      <c r="D2">
        <v>0.85357142857142854</v>
      </c>
      <c r="E2">
        <v>0.9285714285714286</v>
      </c>
      <c r="F2">
        <v>0.3107290712282651</v>
      </c>
      <c r="G2">
        <v>0.31179375011095262</v>
      </c>
    </row>
    <row r="3" spans="1:7" x14ac:dyDescent="0.25">
      <c r="A3" t="s">
        <v>8</v>
      </c>
      <c r="B3">
        <v>0</v>
      </c>
      <c r="C3">
        <v>7924.5</v>
      </c>
      <c r="D3">
        <v>0.81321428571428567</v>
      </c>
      <c r="E3">
        <v>1</v>
      </c>
      <c r="F3">
        <v>0.30107091746554687</v>
      </c>
      <c r="G3">
        <v>0.29646841855423328</v>
      </c>
    </row>
    <row r="4" spans="1:7" x14ac:dyDescent="0.25">
      <c r="A4" t="s">
        <v>9</v>
      </c>
      <c r="B4">
        <v>0</v>
      </c>
      <c r="C4">
        <v>7599</v>
      </c>
      <c r="D4">
        <v>0.89857142857142858</v>
      </c>
      <c r="E4">
        <v>1</v>
      </c>
      <c r="F4">
        <v>0.31694056346227562</v>
      </c>
      <c r="G4">
        <v>0.29967609988486549</v>
      </c>
    </row>
    <row r="5" spans="1:7" x14ac:dyDescent="0.25">
      <c r="A5" t="s">
        <v>11</v>
      </c>
      <c r="B5">
        <v>0</v>
      </c>
      <c r="C5">
        <v>7537</v>
      </c>
      <c r="D5">
        <v>0.82821428571428568</v>
      </c>
      <c r="E5">
        <v>1</v>
      </c>
      <c r="F5">
        <v>0.30974487820302132</v>
      </c>
      <c r="G5">
        <v>0.32021633181339959</v>
      </c>
    </row>
    <row r="6" spans="1:7" x14ac:dyDescent="0.25">
      <c r="A6" t="s">
        <v>10</v>
      </c>
      <c r="B6">
        <v>0</v>
      </c>
      <c r="C6">
        <v>7439.5</v>
      </c>
      <c r="D6">
        <v>0.85214285714285709</v>
      </c>
      <c r="E6">
        <v>1</v>
      </c>
      <c r="F6">
        <v>0.31467942031909768</v>
      </c>
      <c r="G6">
        <v>0.32221967021313019</v>
      </c>
    </row>
    <row r="7" spans="1:7" x14ac:dyDescent="0.25">
      <c r="A7" t="s">
        <v>13</v>
      </c>
      <c r="B7">
        <v>0</v>
      </c>
      <c r="C7">
        <v>7309.5</v>
      </c>
      <c r="D7">
        <v>0.71499999999999997</v>
      </c>
      <c r="E7">
        <v>1</v>
      </c>
      <c r="F7">
        <v>0.28782887899763632</v>
      </c>
      <c r="G7">
        <v>0.31401837008539951</v>
      </c>
    </row>
    <row r="8" spans="1:7" x14ac:dyDescent="0.25">
      <c r="A8" t="s">
        <v>12</v>
      </c>
      <c r="B8">
        <v>0</v>
      </c>
      <c r="C8">
        <v>7242</v>
      </c>
      <c r="D8">
        <v>1</v>
      </c>
      <c r="E8">
        <v>1</v>
      </c>
      <c r="F8">
        <v>0.32595112040875268</v>
      </c>
      <c r="G8">
        <v>0.26153758765447449</v>
      </c>
    </row>
    <row r="9" spans="1:7" x14ac:dyDescent="0.25">
      <c r="A9" t="s">
        <v>16</v>
      </c>
      <c r="B9">
        <v>1</v>
      </c>
      <c r="C9">
        <v>7189</v>
      </c>
      <c r="D9">
        <v>0.80285714285714282</v>
      </c>
      <c r="E9">
        <v>0.9285714285714286</v>
      </c>
      <c r="F9">
        <v>0.29639511389365347</v>
      </c>
      <c r="G9">
        <v>0.28613132822372273</v>
      </c>
    </row>
    <row r="10" spans="1:7" x14ac:dyDescent="0.25">
      <c r="A10" t="s">
        <v>15</v>
      </c>
      <c r="B10">
        <v>1</v>
      </c>
      <c r="C10">
        <v>7134.5</v>
      </c>
      <c r="D10">
        <v>0.65714285714285714</v>
      </c>
      <c r="E10">
        <v>0.9285714285714286</v>
      </c>
      <c r="F10">
        <v>0.27512638978655207</v>
      </c>
      <c r="G10">
        <v>0.30702535303184358</v>
      </c>
    </row>
    <row r="11" spans="1:7" x14ac:dyDescent="0.25">
      <c r="A11" t="s">
        <v>19</v>
      </c>
      <c r="B11">
        <v>5</v>
      </c>
      <c r="C11">
        <v>7059.5</v>
      </c>
      <c r="D11">
        <v>0.49678571428571427</v>
      </c>
      <c r="E11">
        <v>0.6428571428571429</v>
      </c>
      <c r="F11">
        <v>0.1599438382871215</v>
      </c>
      <c r="G11">
        <v>-8.4794367564224576E-3</v>
      </c>
    </row>
    <row r="12" spans="1:7" x14ac:dyDescent="0.25">
      <c r="A12" t="s">
        <v>17</v>
      </c>
      <c r="B12">
        <v>7</v>
      </c>
      <c r="C12">
        <v>7035</v>
      </c>
      <c r="D12">
        <v>0.45785714285714291</v>
      </c>
      <c r="E12">
        <v>0.5</v>
      </c>
      <c r="F12">
        <v>0.1744441330144644</v>
      </c>
      <c r="G12">
        <v>7.6472861895641855E-2</v>
      </c>
    </row>
    <row r="13" spans="1:7" x14ac:dyDescent="0.25">
      <c r="A13" t="s">
        <v>14</v>
      </c>
      <c r="B13">
        <v>1</v>
      </c>
      <c r="C13">
        <v>6946.5</v>
      </c>
      <c r="D13">
        <v>0.65678571428571431</v>
      </c>
      <c r="E13">
        <v>0.9285714285714286</v>
      </c>
      <c r="F13">
        <v>0.27545465478560299</v>
      </c>
      <c r="G13">
        <v>0.30776995045141842</v>
      </c>
    </row>
    <row r="14" spans="1:7" x14ac:dyDescent="0.25">
      <c r="A14" t="s">
        <v>18</v>
      </c>
      <c r="B14">
        <v>9</v>
      </c>
      <c r="C14">
        <v>6633</v>
      </c>
      <c r="D14">
        <v>0.39642857142857141</v>
      </c>
      <c r="E14">
        <v>0.35714285714285721</v>
      </c>
      <c r="F14">
        <v>0.1510429700686434</v>
      </c>
      <c r="G14">
        <v>2.1781256318062919E-2</v>
      </c>
    </row>
    <row r="15" spans="1:7" x14ac:dyDescent="0.25">
      <c r="A15" t="s">
        <v>21</v>
      </c>
      <c r="B15">
        <v>13</v>
      </c>
      <c r="C15">
        <v>6264.5</v>
      </c>
      <c r="D15">
        <v>0</v>
      </c>
      <c r="E15">
        <v>7.1428571428571425E-2</v>
      </c>
      <c r="F15">
        <v>0</v>
      </c>
      <c r="G15">
        <v>-0.26153758765447449</v>
      </c>
    </row>
    <row r="16" spans="1:7" x14ac:dyDescent="0.25">
      <c r="A16" t="s">
        <v>20</v>
      </c>
      <c r="B16">
        <v>10</v>
      </c>
      <c r="C16">
        <v>6136</v>
      </c>
      <c r="D16">
        <v>0.27035714285714291</v>
      </c>
      <c r="E16">
        <v>0.2857142857142857</v>
      </c>
      <c r="F16">
        <v>0.10025555376014041</v>
      </c>
      <c r="G16">
        <v>-7.7830127049857839E-2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>
        <v>0</v>
      </c>
      <c r="C2">
        <v>7919.5</v>
      </c>
      <c r="D2">
        <v>0.80392857142857144</v>
      </c>
      <c r="E2">
        <v>1</v>
      </c>
      <c r="F2">
        <v>0.30067105334911898</v>
      </c>
      <c r="G2">
        <v>0.29709052018915111</v>
      </c>
    </row>
    <row r="3" spans="1:7" x14ac:dyDescent="0.25">
      <c r="A3" t="s">
        <v>19</v>
      </c>
      <c r="B3">
        <v>7</v>
      </c>
      <c r="C3">
        <v>7755</v>
      </c>
      <c r="D3">
        <v>0.49464285714285722</v>
      </c>
      <c r="E3">
        <v>0.5</v>
      </c>
      <c r="F3">
        <v>0.160018254855117</v>
      </c>
      <c r="G3">
        <v>-6.5633736314439179E-3</v>
      </c>
    </row>
    <row r="4" spans="1:7" x14ac:dyDescent="0.25">
      <c r="A4" t="s">
        <v>9</v>
      </c>
      <c r="B4">
        <v>0</v>
      </c>
      <c r="C4">
        <v>7553.5</v>
      </c>
      <c r="D4">
        <v>0.89928571428571424</v>
      </c>
      <c r="E4">
        <v>1</v>
      </c>
      <c r="F4">
        <v>0.31703380684958798</v>
      </c>
      <c r="G4">
        <v>0.29524324630634308</v>
      </c>
    </row>
    <row r="5" spans="1:7" x14ac:dyDescent="0.25">
      <c r="A5" t="s">
        <v>7</v>
      </c>
      <c r="B5">
        <v>0</v>
      </c>
      <c r="C5">
        <v>7464.5</v>
      </c>
      <c r="D5">
        <v>0.92</v>
      </c>
      <c r="E5">
        <v>1</v>
      </c>
      <c r="F5">
        <v>0.32403389715945041</v>
      </c>
      <c r="G5">
        <v>0.30544171121829122</v>
      </c>
    </row>
    <row r="6" spans="1:7" x14ac:dyDescent="0.25">
      <c r="A6" t="s">
        <v>10</v>
      </c>
      <c r="B6">
        <v>0</v>
      </c>
      <c r="C6">
        <v>7404</v>
      </c>
      <c r="D6">
        <v>0.84392857142857147</v>
      </c>
      <c r="E6">
        <v>1</v>
      </c>
      <c r="F6">
        <v>0.31393133554155472</v>
      </c>
      <c r="G6">
        <v>0.3217957492022398</v>
      </c>
    </row>
    <row r="7" spans="1:7" x14ac:dyDescent="0.25">
      <c r="A7" t="s">
        <v>13</v>
      </c>
      <c r="B7">
        <v>0</v>
      </c>
      <c r="C7">
        <v>7384</v>
      </c>
      <c r="D7">
        <v>0.72642857142857142</v>
      </c>
      <c r="E7">
        <v>1</v>
      </c>
      <c r="F7">
        <v>0.29186845490577301</v>
      </c>
      <c r="G7">
        <v>0.31695483171218952</v>
      </c>
    </row>
    <row r="8" spans="1:7" x14ac:dyDescent="0.25">
      <c r="A8" t="s">
        <v>12</v>
      </c>
      <c r="B8">
        <v>0</v>
      </c>
      <c r="C8">
        <v>7362</v>
      </c>
      <c r="D8">
        <v>1</v>
      </c>
      <c r="E8">
        <v>1</v>
      </c>
      <c r="F8">
        <v>0.32569272973971408</v>
      </c>
      <c r="G8">
        <v>0.25722591313001542</v>
      </c>
    </row>
    <row r="9" spans="1:7" x14ac:dyDescent="0.25">
      <c r="A9" t="s">
        <v>17</v>
      </c>
      <c r="B9">
        <v>7</v>
      </c>
      <c r="C9">
        <v>7240.5</v>
      </c>
      <c r="D9">
        <v>0.42714285714285721</v>
      </c>
      <c r="E9">
        <v>0.5</v>
      </c>
      <c r="F9">
        <v>0.1693807793725883</v>
      </c>
      <c r="G9">
        <v>7.989057133912475E-2</v>
      </c>
    </row>
    <row r="10" spans="1:7" x14ac:dyDescent="0.25">
      <c r="A10" t="s">
        <v>11</v>
      </c>
      <c r="B10">
        <v>0</v>
      </c>
      <c r="C10">
        <v>7188.5</v>
      </c>
      <c r="D10">
        <v>0.76857142857142857</v>
      </c>
      <c r="E10">
        <v>1</v>
      </c>
      <c r="F10">
        <v>0.30087902134564298</v>
      </c>
      <c r="G10">
        <v>0.32425600114024722</v>
      </c>
    </row>
    <row r="11" spans="1:7" x14ac:dyDescent="0.25">
      <c r="A11" t="s">
        <v>16</v>
      </c>
      <c r="B11">
        <v>0</v>
      </c>
      <c r="C11">
        <v>7153</v>
      </c>
      <c r="D11">
        <v>0.80321428571428577</v>
      </c>
      <c r="E11">
        <v>1</v>
      </c>
      <c r="F11">
        <v>0.29756570458533688</v>
      </c>
      <c r="G11">
        <v>0.28634362469612679</v>
      </c>
    </row>
    <row r="12" spans="1:7" x14ac:dyDescent="0.25">
      <c r="A12" t="s">
        <v>15</v>
      </c>
      <c r="B12">
        <v>1</v>
      </c>
      <c r="C12">
        <v>7067</v>
      </c>
      <c r="D12">
        <v>0.64857142857142858</v>
      </c>
      <c r="E12">
        <v>0.9285714285714286</v>
      </c>
      <c r="F12">
        <v>0.27583878906126258</v>
      </c>
      <c r="G12">
        <v>0.31063974029907682</v>
      </c>
    </row>
    <row r="13" spans="1:7" x14ac:dyDescent="0.25">
      <c r="A13" t="s">
        <v>14</v>
      </c>
      <c r="B13">
        <v>1</v>
      </c>
      <c r="C13">
        <v>7043</v>
      </c>
      <c r="D13">
        <v>0.6657142857142857</v>
      </c>
      <c r="E13">
        <v>0.9285714285714286</v>
      </c>
      <c r="F13">
        <v>0.27903678415239042</v>
      </c>
      <c r="G13">
        <v>0.3099746968212897</v>
      </c>
    </row>
    <row r="14" spans="1:7" x14ac:dyDescent="0.25">
      <c r="A14" t="s">
        <v>18</v>
      </c>
      <c r="B14">
        <v>9</v>
      </c>
      <c r="C14">
        <v>6254.5</v>
      </c>
      <c r="D14">
        <v>0.35249999999999998</v>
      </c>
      <c r="E14">
        <v>0.35714285714285721</v>
      </c>
      <c r="F14">
        <v>0.13480319766133031</v>
      </c>
      <c r="G14">
        <v>-9.2834567115527046E-3</v>
      </c>
    </row>
    <row r="15" spans="1:7" x14ac:dyDescent="0.25">
      <c r="A15" t="s">
        <v>21</v>
      </c>
      <c r="B15">
        <v>13</v>
      </c>
      <c r="C15">
        <v>6232</v>
      </c>
      <c r="D15">
        <v>0</v>
      </c>
      <c r="E15">
        <v>7.1428571428571425E-2</v>
      </c>
      <c r="F15">
        <v>0</v>
      </c>
      <c r="G15">
        <v>-0.25722591313001542</v>
      </c>
    </row>
    <row r="16" spans="1:7" x14ac:dyDescent="0.25">
      <c r="A16" t="s">
        <v>20</v>
      </c>
      <c r="B16">
        <v>11</v>
      </c>
      <c r="C16">
        <v>5797</v>
      </c>
      <c r="D16">
        <v>0.24821428571428569</v>
      </c>
      <c r="E16">
        <v>0.2142857142857143</v>
      </c>
      <c r="F16">
        <v>9.3717623610077933E-2</v>
      </c>
      <c r="G16">
        <v>-9.3290131406588012E-2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>
        <v>0</v>
      </c>
      <c r="C2">
        <v>7915.5</v>
      </c>
      <c r="D2">
        <v>0.80178571428571432</v>
      </c>
      <c r="E2">
        <v>1</v>
      </c>
      <c r="F2">
        <v>0.30274501968007961</v>
      </c>
      <c r="G2">
        <v>0.2954359441511068</v>
      </c>
    </row>
    <row r="3" spans="1:7" x14ac:dyDescent="0.25">
      <c r="A3" t="s">
        <v>7</v>
      </c>
      <c r="B3">
        <v>1</v>
      </c>
      <c r="C3">
        <v>7744.5</v>
      </c>
      <c r="D3">
        <v>0.79392857142857143</v>
      </c>
      <c r="E3">
        <v>0.9285714285714286</v>
      </c>
      <c r="F3">
        <v>0.30630086919518879</v>
      </c>
      <c r="G3">
        <v>0.31962316833337889</v>
      </c>
    </row>
    <row r="4" spans="1:7" x14ac:dyDescent="0.25">
      <c r="A4" t="s">
        <v>9</v>
      </c>
      <c r="B4">
        <v>0</v>
      </c>
      <c r="C4">
        <v>7596</v>
      </c>
      <c r="D4">
        <v>0.90035714285714286</v>
      </c>
      <c r="E4">
        <v>1</v>
      </c>
      <c r="F4">
        <v>0.3197444529072675</v>
      </c>
      <c r="G4">
        <v>0.29267986513570282</v>
      </c>
    </row>
    <row r="5" spans="1:7" x14ac:dyDescent="0.25">
      <c r="A5" t="s">
        <v>13</v>
      </c>
      <c r="B5">
        <v>0</v>
      </c>
      <c r="C5">
        <v>7413</v>
      </c>
      <c r="D5">
        <v>0.71964285714285714</v>
      </c>
      <c r="E5">
        <v>1</v>
      </c>
      <c r="F5">
        <v>0.29287031894235538</v>
      </c>
      <c r="G5">
        <v>0.31506030342042241</v>
      </c>
    </row>
    <row r="6" spans="1:7" x14ac:dyDescent="0.25">
      <c r="A6" t="s">
        <v>10</v>
      </c>
      <c r="B6">
        <v>0</v>
      </c>
      <c r="C6">
        <v>7375.5</v>
      </c>
      <c r="D6">
        <v>0.84250000000000003</v>
      </c>
      <c r="E6">
        <v>1</v>
      </c>
      <c r="F6">
        <v>0.31666653198195888</v>
      </c>
      <c r="G6">
        <v>0.31979824829699122</v>
      </c>
    </row>
    <row r="7" spans="1:7" x14ac:dyDescent="0.25">
      <c r="A7" t="s">
        <v>12</v>
      </c>
      <c r="B7">
        <v>0</v>
      </c>
      <c r="C7">
        <v>7371</v>
      </c>
      <c r="D7">
        <v>1</v>
      </c>
      <c r="E7">
        <v>1</v>
      </c>
      <c r="F7">
        <v>0.32702660431676639</v>
      </c>
      <c r="G7">
        <v>0.25111178361698427</v>
      </c>
    </row>
    <row r="8" spans="1:7" x14ac:dyDescent="0.25">
      <c r="A8" t="s">
        <v>19</v>
      </c>
      <c r="B8">
        <v>7</v>
      </c>
      <c r="C8">
        <v>7200.5</v>
      </c>
      <c r="D8">
        <v>0.49571428571428572</v>
      </c>
      <c r="E8">
        <v>0.5</v>
      </c>
      <c r="F8">
        <v>0.1603782084624843</v>
      </c>
      <c r="G8">
        <v>-7.6542428093602198E-3</v>
      </c>
    </row>
    <row r="9" spans="1:7" x14ac:dyDescent="0.25">
      <c r="A9" t="s">
        <v>11</v>
      </c>
      <c r="B9">
        <v>0</v>
      </c>
      <c r="C9">
        <v>7160.5</v>
      </c>
      <c r="D9">
        <v>0.76178571428571429</v>
      </c>
      <c r="E9">
        <v>1</v>
      </c>
      <c r="F9">
        <v>0.30239832896684532</v>
      </c>
      <c r="G9">
        <v>0.3221952812197923</v>
      </c>
    </row>
    <row r="10" spans="1:7" x14ac:dyDescent="0.25">
      <c r="A10" t="s">
        <v>16</v>
      </c>
      <c r="B10">
        <v>0</v>
      </c>
      <c r="C10">
        <v>7116.5</v>
      </c>
      <c r="D10">
        <v>0.80785714285714283</v>
      </c>
      <c r="E10">
        <v>1</v>
      </c>
      <c r="F10">
        <v>0.30017505465456329</v>
      </c>
      <c r="G10">
        <v>0.28244707401157459</v>
      </c>
    </row>
    <row r="11" spans="1:7" x14ac:dyDescent="0.25">
      <c r="A11" t="s">
        <v>17</v>
      </c>
      <c r="B11">
        <v>7</v>
      </c>
      <c r="C11">
        <v>7089</v>
      </c>
      <c r="D11">
        <v>0.46500000000000002</v>
      </c>
      <c r="E11">
        <v>0.5</v>
      </c>
      <c r="F11">
        <v>0.1775098333837373</v>
      </c>
      <c r="G11">
        <v>8.1118196918281663E-2</v>
      </c>
    </row>
    <row r="12" spans="1:7" x14ac:dyDescent="0.25">
      <c r="A12" t="s">
        <v>14</v>
      </c>
      <c r="B12">
        <v>1</v>
      </c>
      <c r="C12">
        <v>7069</v>
      </c>
      <c r="D12">
        <v>0.66392857142857142</v>
      </c>
      <c r="E12">
        <v>0.9285714285714286</v>
      </c>
      <c r="F12">
        <v>0.28073492738771721</v>
      </c>
      <c r="G12">
        <v>0.30807133668061393</v>
      </c>
    </row>
    <row r="13" spans="1:7" x14ac:dyDescent="0.25">
      <c r="A13" t="s">
        <v>15</v>
      </c>
      <c r="B13">
        <v>2</v>
      </c>
      <c r="C13">
        <v>7062</v>
      </c>
      <c r="D13">
        <v>0.65</v>
      </c>
      <c r="E13">
        <v>0.8571428571428571</v>
      </c>
      <c r="F13">
        <v>0.27784190774330919</v>
      </c>
      <c r="G13">
        <v>0.30796364257001729</v>
      </c>
    </row>
    <row r="14" spans="1:7" x14ac:dyDescent="0.25">
      <c r="A14" t="s">
        <v>18</v>
      </c>
      <c r="B14">
        <v>9</v>
      </c>
      <c r="C14">
        <v>6359</v>
      </c>
      <c r="D14">
        <v>0.36464285714285721</v>
      </c>
      <c r="E14">
        <v>0.35714285714285721</v>
      </c>
      <c r="F14">
        <v>0.13891582581790349</v>
      </c>
      <c r="G14">
        <v>-3.0450261457911579E-3</v>
      </c>
    </row>
    <row r="15" spans="1:7" x14ac:dyDescent="0.25">
      <c r="A15" t="s">
        <v>21</v>
      </c>
      <c r="B15">
        <v>13</v>
      </c>
      <c r="C15">
        <v>6108.5</v>
      </c>
      <c r="D15">
        <v>0</v>
      </c>
      <c r="E15">
        <v>7.1428571428571425E-2</v>
      </c>
      <c r="F15">
        <v>0</v>
      </c>
      <c r="G15">
        <v>-0.25111178361698427</v>
      </c>
    </row>
    <row r="16" spans="1:7" x14ac:dyDescent="0.25">
      <c r="A16" t="s">
        <v>20</v>
      </c>
      <c r="B16">
        <v>10</v>
      </c>
      <c r="C16">
        <v>5250.5</v>
      </c>
      <c r="D16">
        <v>0.19</v>
      </c>
      <c r="E16">
        <v>0.2857142857142857</v>
      </c>
      <c r="F16">
        <v>7.2145990779197505E-2</v>
      </c>
      <c r="G16">
        <v>-0.13139724345953349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8094</v>
      </c>
      <c r="D2">
        <v>0.85357142857142854</v>
      </c>
      <c r="E2">
        <v>0.9285714285714286</v>
      </c>
      <c r="F2">
        <v>0.31006774629123751</v>
      </c>
      <c r="G2">
        <v>0.30683168821239271</v>
      </c>
    </row>
    <row r="3" spans="1:7" x14ac:dyDescent="0.25">
      <c r="A3" t="s">
        <v>8</v>
      </c>
      <c r="B3">
        <v>0</v>
      </c>
      <c r="C3">
        <v>7798</v>
      </c>
      <c r="D3">
        <v>0.79714285714285715</v>
      </c>
      <c r="E3">
        <v>1</v>
      </c>
      <c r="F3">
        <v>0.2976397993674576</v>
      </c>
      <c r="G3">
        <v>0.29641177750101699</v>
      </c>
    </row>
    <row r="4" spans="1:7" x14ac:dyDescent="0.25">
      <c r="A4" t="s">
        <v>9</v>
      </c>
      <c r="B4">
        <v>0</v>
      </c>
      <c r="C4">
        <v>7588</v>
      </c>
      <c r="D4">
        <v>0.88178571428571428</v>
      </c>
      <c r="E4">
        <v>1</v>
      </c>
      <c r="F4">
        <v>0.31415517519390929</v>
      </c>
      <c r="G4">
        <v>0.2997182314926205</v>
      </c>
    </row>
    <row r="5" spans="1:7" x14ac:dyDescent="0.25">
      <c r="A5" t="s">
        <v>17</v>
      </c>
      <c r="B5">
        <v>7</v>
      </c>
      <c r="C5">
        <v>7492.5</v>
      </c>
      <c r="D5">
        <v>0.52321428571428574</v>
      </c>
      <c r="E5">
        <v>0.5</v>
      </c>
      <c r="F5">
        <v>0.18150138382856151</v>
      </c>
      <c r="G5">
        <v>5.9884631565213571E-2</v>
      </c>
    </row>
    <row r="6" spans="1:7" x14ac:dyDescent="0.25">
      <c r="A6" t="s">
        <v>11</v>
      </c>
      <c r="B6">
        <v>0</v>
      </c>
      <c r="C6">
        <v>7455</v>
      </c>
      <c r="D6">
        <v>0.83750000000000002</v>
      </c>
      <c r="E6">
        <v>1</v>
      </c>
      <c r="F6">
        <v>0.31215300542480678</v>
      </c>
      <c r="G6">
        <v>0.32483875587557198</v>
      </c>
    </row>
    <row r="7" spans="1:7" x14ac:dyDescent="0.25">
      <c r="A7" t="s">
        <v>13</v>
      </c>
      <c r="B7">
        <v>0</v>
      </c>
      <c r="C7">
        <v>7393</v>
      </c>
      <c r="D7">
        <v>0.72178571428571425</v>
      </c>
      <c r="E7">
        <v>1</v>
      </c>
      <c r="F7">
        <v>0.28820385409114002</v>
      </c>
      <c r="G7">
        <v>0.31312697640013543</v>
      </c>
    </row>
    <row r="8" spans="1:7" x14ac:dyDescent="0.25">
      <c r="A8" t="s">
        <v>10</v>
      </c>
      <c r="B8">
        <v>0</v>
      </c>
      <c r="C8">
        <v>7387</v>
      </c>
      <c r="D8">
        <v>0.84392857142857147</v>
      </c>
      <c r="E8">
        <v>1</v>
      </c>
      <c r="F8">
        <v>0.31356383478276473</v>
      </c>
      <c r="G8">
        <v>0.32491888418661069</v>
      </c>
    </row>
    <row r="9" spans="1:7" x14ac:dyDescent="0.25">
      <c r="A9" t="s">
        <v>12</v>
      </c>
      <c r="B9">
        <v>0</v>
      </c>
      <c r="C9">
        <v>7350</v>
      </c>
      <c r="D9">
        <v>1</v>
      </c>
      <c r="E9">
        <v>1</v>
      </c>
      <c r="F9">
        <v>0.32566608703832178</v>
      </c>
      <c r="G9">
        <v>0.25924288443995258</v>
      </c>
    </row>
    <row r="10" spans="1:7" x14ac:dyDescent="0.25">
      <c r="A10" t="s">
        <v>16</v>
      </c>
      <c r="B10">
        <v>0</v>
      </c>
      <c r="C10">
        <v>7138.5</v>
      </c>
      <c r="D10">
        <v>0.80785714285714283</v>
      </c>
      <c r="E10">
        <v>1</v>
      </c>
      <c r="F10">
        <v>0.29611673575755948</v>
      </c>
      <c r="G10">
        <v>0.28359710916867908</v>
      </c>
    </row>
    <row r="11" spans="1:7" x14ac:dyDescent="0.25">
      <c r="A11" t="s">
        <v>14</v>
      </c>
      <c r="B11">
        <v>1</v>
      </c>
      <c r="C11">
        <v>7104</v>
      </c>
      <c r="D11">
        <v>0.66357142857142859</v>
      </c>
      <c r="E11">
        <v>0.9285714285714286</v>
      </c>
      <c r="F11">
        <v>0.27530950235162421</v>
      </c>
      <c r="G11">
        <v>0.30761938394437449</v>
      </c>
    </row>
    <row r="12" spans="1:7" x14ac:dyDescent="0.25">
      <c r="A12" t="s">
        <v>19</v>
      </c>
      <c r="B12">
        <v>6</v>
      </c>
      <c r="C12">
        <v>7101.5</v>
      </c>
      <c r="D12">
        <v>0.50249999999999995</v>
      </c>
      <c r="E12">
        <v>0.5714285714285714</v>
      </c>
      <c r="F12">
        <v>0.16428087590061641</v>
      </c>
      <c r="G12">
        <v>2.9717331503236639E-3</v>
      </c>
    </row>
    <row r="13" spans="1:7" x14ac:dyDescent="0.25">
      <c r="A13" t="s">
        <v>15</v>
      </c>
      <c r="B13">
        <v>1</v>
      </c>
      <c r="C13">
        <v>7022.5</v>
      </c>
      <c r="D13">
        <v>0.64642857142857146</v>
      </c>
      <c r="E13">
        <v>0.9285714285714286</v>
      </c>
      <c r="F13">
        <v>0.27191468409607289</v>
      </c>
      <c r="G13">
        <v>0.3074147387816013</v>
      </c>
    </row>
    <row r="14" spans="1:7" x14ac:dyDescent="0.25">
      <c r="A14" t="s">
        <v>18</v>
      </c>
      <c r="B14">
        <v>9</v>
      </c>
      <c r="C14">
        <v>6651.5</v>
      </c>
      <c r="D14">
        <v>0.41714285714285709</v>
      </c>
      <c r="E14">
        <v>0.35714285714285721</v>
      </c>
      <c r="F14">
        <v>0.15655123271166951</v>
      </c>
      <c r="G14">
        <v>3.7358482089430919E-2</v>
      </c>
    </row>
    <row r="15" spans="1:7" x14ac:dyDescent="0.25">
      <c r="A15" t="s">
        <v>20</v>
      </c>
      <c r="B15">
        <v>12</v>
      </c>
      <c r="C15">
        <v>6313</v>
      </c>
      <c r="D15">
        <v>0.29392857142857137</v>
      </c>
      <c r="E15">
        <v>0.14285714285714279</v>
      </c>
      <c r="F15">
        <v>9.9177334669907025E-2</v>
      </c>
      <c r="G15">
        <v>-0.1002852079648746</v>
      </c>
    </row>
    <row r="16" spans="1:7" x14ac:dyDescent="0.25">
      <c r="A16" t="s">
        <v>21</v>
      </c>
      <c r="B16">
        <v>13</v>
      </c>
      <c r="C16">
        <v>6141</v>
      </c>
      <c r="D16">
        <v>0</v>
      </c>
      <c r="E16">
        <v>7.1428571428571425E-2</v>
      </c>
      <c r="F16">
        <v>0</v>
      </c>
      <c r="G16">
        <v>-0.25924288443995258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8227</v>
      </c>
      <c r="D2">
        <v>0.85464285714285715</v>
      </c>
      <c r="E2">
        <v>0.9285714285714286</v>
      </c>
      <c r="F2">
        <v>0.31044422556910822</v>
      </c>
      <c r="G2">
        <v>0.30869421891444121</v>
      </c>
    </row>
    <row r="3" spans="1:7" x14ac:dyDescent="0.25">
      <c r="A3" t="s">
        <v>8</v>
      </c>
      <c r="B3">
        <v>0</v>
      </c>
      <c r="C3">
        <v>8134</v>
      </c>
      <c r="D3">
        <v>0.80428571428571427</v>
      </c>
      <c r="E3">
        <v>1</v>
      </c>
      <c r="F3">
        <v>0.29995106506434221</v>
      </c>
      <c r="G3">
        <v>0.30137949980572881</v>
      </c>
    </row>
    <row r="4" spans="1:7" x14ac:dyDescent="0.25">
      <c r="A4" t="s">
        <v>9</v>
      </c>
      <c r="B4">
        <v>0</v>
      </c>
      <c r="C4">
        <v>7710</v>
      </c>
      <c r="D4">
        <v>0.90214285714285714</v>
      </c>
      <c r="E4">
        <v>1</v>
      </c>
      <c r="F4">
        <v>0.31700046812092308</v>
      </c>
      <c r="G4">
        <v>0.29685052908165149</v>
      </c>
    </row>
    <row r="5" spans="1:7" x14ac:dyDescent="0.25">
      <c r="A5" t="s">
        <v>19</v>
      </c>
      <c r="B5">
        <v>8</v>
      </c>
      <c r="C5">
        <v>7672</v>
      </c>
      <c r="D5">
        <v>0.51500000000000001</v>
      </c>
      <c r="E5">
        <v>0.42857142857142849</v>
      </c>
      <c r="F5">
        <v>0.16973379396917249</v>
      </c>
      <c r="G5">
        <v>1.42841261000624E-2</v>
      </c>
    </row>
    <row r="6" spans="1:7" x14ac:dyDescent="0.25">
      <c r="A6" t="s">
        <v>13</v>
      </c>
      <c r="B6">
        <v>0</v>
      </c>
      <c r="C6">
        <v>7492</v>
      </c>
      <c r="D6">
        <v>0.72785714285714287</v>
      </c>
      <c r="E6">
        <v>1</v>
      </c>
      <c r="F6">
        <v>0.28941742074452798</v>
      </c>
      <c r="G6">
        <v>0.31543825158142708</v>
      </c>
    </row>
    <row r="7" spans="1:7" x14ac:dyDescent="0.25">
      <c r="A7" t="s">
        <v>10</v>
      </c>
      <c r="B7">
        <v>0</v>
      </c>
      <c r="C7">
        <v>7444</v>
      </c>
      <c r="D7">
        <v>0.85392857142857148</v>
      </c>
      <c r="E7">
        <v>1</v>
      </c>
      <c r="F7">
        <v>0.31435356044092477</v>
      </c>
      <c r="G7">
        <v>0.32090421524762042</v>
      </c>
    </row>
    <row r="8" spans="1:7" x14ac:dyDescent="0.25">
      <c r="A8" t="s">
        <v>17</v>
      </c>
      <c r="B8">
        <v>6</v>
      </c>
      <c r="C8">
        <v>7390</v>
      </c>
      <c r="D8">
        <v>0.54</v>
      </c>
      <c r="E8">
        <v>0.5714285714285714</v>
      </c>
      <c r="F8">
        <v>0.18629173886855899</v>
      </c>
      <c r="G8">
        <v>6.6088695259731073E-2</v>
      </c>
    </row>
    <row r="9" spans="1:7" x14ac:dyDescent="0.25">
      <c r="A9" t="s">
        <v>12</v>
      </c>
      <c r="B9">
        <v>0</v>
      </c>
      <c r="C9">
        <v>7350</v>
      </c>
      <c r="D9">
        <v>1</v>
      </c>
      <c r="E9">
        <v>1</v>
      </c>
      <c r="F9">
        <v>0.32632159853562059</v>
      </c>
      <c r="G9">
        <v>0.26228616164383772</v>
      </c>
    </row>
    <row r="10" spans="1:7" x14ac:dyDescent="0.25">
      <c r="A10" t="s">
        <v>11</v>
      </c>
      <c r="B10">
        <v>0</v>
      </c>
      <c r="C10">
        <v>7265</v>
      </c>
      <c r="D10">
        <v>0.77857142857142858</v>
      </c>
      <c r="E10">
        <v>1</v>
      </c>
      <c r="F10">
        <v>0.3010102259770176</v>
      </c>
      <c r="G10">
        <v>0.32262670919684849</v>
      </c>
    </row>
    <row r="11" spans="1:7" x14ac:dyDescent="0.25">
      <c r="A11" t="s">
        <v>15</v>
      </c>
      <c r="B11">
        <v>2</v>
      </c>
      <c r="C11">
        <v>7226</v>
      </c>
      <c r="D11">
        <v>0.65678571428571431</v>
      </c>
      <c r="E11">
        <v>0.8571428571428571</v>
      </c>
      <c r="F11">
        <v>0.27341106516374569</v>
      </c>
      <c r="G11">
        <v>0.30753043686104992</v>
      </c>
    </row>
    <row r="12" spans="1:7" x14ac:dyDescent="0.25">
      <c r="A12" t="s">
        <v>16</v>
      </c>
      <c r="B12">
        <v>0</v>
      </c>
      <c r="C12">
        <v>7201</v>
      </c>
      <c r="D12">
        <v>0.80428571428571427</v>
      </c>
      <c r="E12">
        <v>1</v>
      </c>
      <c r="F12">
        <v>0.29613992222300362</v>
      </c>
      <c r="G12">
        <v>0.28744180206172659</v>
      </c>
    </row>
    <row r="13" spans="1:7" x14ac:dyDescent="0.25">
      <c r="A13" t="s">
        <v>14</v>
      </c>
      <c r="B13">
        <v>1</v>
      </c>
      <c r="C13">
        <v>7069</v>
      </c>
      <c r="D13">
        <v>0.65892857142857142</v>
      </c>
      <c r="E13">
        <v>0.9285714285714286</v>
      </c>
      <c r="F13">
        <v>0.27438578878471948</v>
      </c>
      <c r="G13">
        <v>0.30930125601186148</v>
      </c>
    </row>
    <row r="14" spans="1:7" x14ac:dyDescent="0.25">
      <c r="A14" t="s">
        <v>20</v>
      </c>
      <c r="B14">
        <v>11</v>
      </c>
      <c r="C14">
        <v>6745</v>
      </c>
      <c r="D14">
        <v>0.32571428571428568</v>
      </c>
      <c r="E14">
        <v>0.2142857142857143</v>
      </c>
      <c r="F14">
        <v>0.11436350251835781</v>
      </c>
      <c r="G14">
        <v>-6.4485408214215986E-2</v>
      </c>
    </row>
    <row r="15" spans="1:7" x14ac:dyDescent="0.25">
      <c r="A15" t="s">
        <v>18</v>
      </c>
      <c r="B15">
        <v>9</v>
      </c>
      <c r="C15">
        <v>6524</v>
      </c>
      <c r="D15">
        <v>0.36678571428571433</v>
      </c>
      <c r="E15">
        <v>0.35714285714285721</v>
      </c>
      <c r="F15">
        <v>0.13841130630645479</v>
      </c>
      <c r="G15">
        <v>-2.4562547033409568E-3</v>
      </c>
    </row>
    <row r="16" spans="1:7" x14ac:dyDescent="0.25">
      <c r="A16" t="s">
        <v>21</v>
      </c>
      <c r="B16">
        <v>13</v>
      </c>
      <c r="C16">
        <v>6349</v>
      </c>
      <c r="D16">
        <v>0</v>
      </c>
      <c r="E16">
        <v>7.1428571428571425E-2</v>
      </c>
      <c r="F16">
        <v>0</v>
      </c>
      <c r="G16">
        <v>-0.26228616164383772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>
        <v>0</v>
      </c>
      <c r="C2">
        <v>8018</v>
      </c>
      <c r="D2">
        <v>0.8035714285714286</v>
      </c>
      <c r="E2">
        <v>1</v>
      </c>
      <c r="F2">
        <v>0.30269347270332569</v>
      </c>
      <c r="G2">
        <v>0.2922813407943114</v>
      </c>
    </row>
    <row r="3" spans="1:7" x14ac:dyDescent="0.25">
      <c r="A3" t="s">
        <v>7</v>
      </c>
      <c r="B3">
        <v>1</v>
      </c>
      <c r="C3">
        <v>7765</v>
      </c>
      <c r="D3">
        <v>0.78535714285714286</v>
      </c>
      <c r="E3">
        <v>0.9285714285714286</v>
      </c>
      <c r="F3">
        <v>0.30594359812910871</v>
      </c>
      <c r="G3">
        <v>0.32192483262150279</v>
      </c>
    </row>
    <row r="4" spans="1:7" x14ac:dyDescent="0.25">
      <c r="A4" t="s">
        <v>9</v>
      </c>
      <c r="B4">
        <v>0</v>
      </c>
      <c r="C4">
        <v>7718</v>
      </c>
      <c r="D4">
        <v>0.89642857142857146</v>
      </c>
      <c r="E4">
        <v>1</v>
      </c>
      <c r="F4">
        <v>0.31777334068498442</v>
      </c>
      <c r="G4">
        <v>0.28649214830927688</v>
      </c>
    </row>
    <row r="5" spans="1:7" x14ac:dyDescent="0.25">
      <c r="A5" t="s">
        <v>13</v>
      </c>
      <c r="B5">
        <v>0</v>
      </c>
      <c r="C5">
        <v>7468</v>
      </c>
      <c r="D5">
        <v>0.7221428571428572</v>
      </c>
      <c r="E5">
        <v>1</v>
      </c>
      <c r="F5">
        <v>0.29431968274425041</v>
      </c>
      <c r="G5">
        <v>0.31631323285257262</v>
      </c>
    </row>
    <row r="6" spans="1:7" x14ac:dyDescent="0.25">
      <c r="A6" t="s">
        <v>19</v>
      </c>
      <c r="B6">
        <v>7</v>
      </c>
      <c r="C6">
        <v>7429</v>
      </c>
      <c r="D6">
        <v>0.48749999999999999</v>
      </c>
      <c r="E6">
        <v>0.5</v>
      </c>
      <c r="F6">
        <v>0.1610739589222247</v>
      </c>
      <c r="G6">
        <v>-2.677523026831238E-3</v>
      </c>
    </row>
    <row r="7" spans="1:7" x14ac:dyDescent="0.25">
      <c r="A7" t="s">
        <v>10</v>
      </c>
      <c r="B7">
        <v>0</v>
      </c>
      <c r="C7">
        <v>7367</v>
      </c>
      <c r="D7">
        <v>0.84178571428571425</v>
      </c>
      <c r="E7">
        <v>1</v>
      </c>
      <c r="F7">
        <v>0.31727004718135221</v>
      </c>
      <c r="G7">
        <v>0.32087928680041178</v>
      </c>
    </row>
    <row r="8" spans="1:7" x14ac:dyDescent="0.25">
      <c r="A8" t="s">
        <v>16</v>
      </c>
      <c r="B8">
        <v>1</v>
      </c>
      <c r="C8">
        <v>7313</v>
      </c>
      <c r="D8">
        <v>0.80178571428571432</v>
      </c>
      <c r="E8">
        <v>0.9285714285714286</v>
      </c>
      <c r="F8">
        <v>0.29952705057717183</v>
      </c>
      <c r="G8">
        <v>0.28290224176240059</v>
      </c>
    </row>
    <row r="9" spans="1:7" x14ac:dyDescent="0.25">
      <c r="A9" t="s">
        <v>12</v>
      </c>
      <c r="B9">
        <v>0</v>
      </c>
      <c r="C9">
        <v>7284</v>
      </c>
      <c r="D9">
        <v>1</v>
      </c>
      <c r="E9">
        <v>1</v>
      </c>
      <c r="F9">
        <v>0.32735417837813757</v>
      </c>
      <c r="G9">
        <v>0.25041628003535438</v>
      </c>
    </row>
    <row r="10" spans="1:7" x14ac:dyDescent="0.25">
      <c r="A10" t="s">
        <v>15</v>
      </c>
      <c r="B10">
        <v>1</v>
      </c>
      <c r="C10">
        <v>7229</v>
      </c>
      <c r="D10">
        <v>0.65357142857142858</v>
      </c>
      <c r="E10">
        <v>0.9285714285714286</v>
      </c>
      <c r="F10">
        <v>0.27927924837047807</v>
      </c>
      <c r="G10">
        <v>0.30892924243516451</v>
      </c>
    </row>
    <row r="11" spans="1:7" x14ac:dyDescent="0.25">
      <c r="A11" t="s">
        <v>11</v>
      </c>
      <c r="B11">
        <v>0</v>
      </c>
      <c r="C11">
        <v>7218</v>
      </c>
      <c r="D11">
        <v>0.7678571428571429</v>
      </c>
      <c r="E11">
        <v>1</v>
      </c>
      <c r="F11">
        <v>0.30415187605712252</v>
      </c>
      <c r="G11">
        <v>0.3223371858214667</v>
      </c>
    </row>
    <row r="12" spans="1:7" x14ac:dyDescent="0.25">
      <c r="A12" t="s">
        <v>17</v>
      </c>
      <c r="B12">
        <v>6</v>
      </c>
      <c r="C12">
        <v>7168</v>
      </c>
      <c r="D12">
        <v>0.46714285714285708</v>
      </c>
      <c r="E12">
        <v>0.5714285714285714</v>
      </c>
      <c r="F12">
        <v>0.17829893012822251</v>
      </c>
      <c r="G12">
        <v>8.0834182128594403E-2</v>
      </c>
    </row>
    <row r="13" spans="1:7" x14ac:dyDescent="0.25">
      <c r="A13" t="s">
        <v>14</v>
      </c>
      <c r="B13">
        <v>1</v>
      </c>
      <c r="C13">
        <v>6998</v>
      </c>
      <c r="D13">
        <v>0.65785714285714281</v>
      </c>
      <c r="E13">
        <v>0.9285714285714286</v>
      </c>
      <c r="F13">
        <v>0.28020945878344372</v>
      </c>
      <c r="G13">
        <v>0.30849807418963882</v>
      </c>
    </row>
    <row r="14" spans="1:7" x14ac:dyDescent="0.25">
      <c r="A14" t="s">
        <v>18</v>
      </c>
      <c r="B14">
        <v>9</v>
      </c>
      <c r="C14">
        <v>6501</v>
      </c>
      <c r="D14">
        <v>0.35428571428571431</v>
      </c>
      <c r="E14">
        <v>0.35714285714285721</v>
      </c>
      <c r="F14">
        <v>0.1349003987708472</v>
      </c>
      <c r="G14">
        <v>-9.1739431112808616E-3</v>
      </c>
    </row>
    <row r="15" spans="1:7" x14ac:dyDescent="0.25">
      <c r="A15" t="s">
        <v>21</v>
      </c>
      <c r="B15">
        <v>13</v>
      </c>
      <c r="C15">
        <v>6468</v>
      </c>
      <c r="D15">
        <v>0</v>
      </c>
      <c r="E15">
        <v>7.1428571428571425E-2</v>
      </c>
      <c r="F15">
        <v>0</v>
      </c>
      <c r="G15">
        <v>-0.25041628003535438</v>
      </c>
    </row>
    <row r="16" spans="1:7" x14ac:dyDescent="0.25">
      <c r="A16" t="s">
        <v>20</v>
      </c>
      <c r="B16">
        <v>11</v>
      </c>
      <c r="C16">
        <v>5570</v>
      </c>
      <c r="D16">
        <v>0.18321428571428569</v>
      </c>
      <c r="E16">
        <v>0.2142857142857143</v>
      </c>
      <c r="F16">
        <v>6.83934228626112E-2</v>
      </c>
      <c r="G16">
        <v>-0.13876343395726939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>
        <v>0</v>
      </c>
      <c r="C2">
        <v>7993</v>
      </c>
      <c r="D2">
        <v>0.7985714285714286</v>
      </c>
      <c r="E2">
        <v>1</v>
      </c>
      <c r="F2">
        <v>0.29961180980396818</v>
      </c>
      <c r="G2">
        <v>0.29257246242549739</v>
      </c>
    </row>
    <row r="3" spans="1:7" x14ac:dyDescent="0.25">
      <c r="A3" t="s">
        <v>7</v>
      </c>
      <c r="B3">
        <v>2</v>
      </c>
      <c r="C3">
        <v>7857</v>
      </c>
      <c r="D3">
        <v>0.79321428571428576</v>
      </c>
      <c r="E3">
        <v>0.8571428571428571</v>
      </c>
      <c r="F3">
        <v>0.30588774871646901</v>
      </c>
      <c r="G3">
        <v>0.32607732352850882</v>
      </c>
    </row>
    <row r="4" spans="1:7" x14ac:dyDescent="0.25">
      <c r="A4" t="s">
        <v>9</v>
      </c>
      <c r="B4">
        <v>0</v>
      </c>
      <c r="C4">
        <v>7518</v>
      </c>
      <c r="D4">
        <v>0.89571428571428569</v>
      </c>
      <c r="E4">
        <v>1</v>
      </c>
      <c r="F4">
        <v>0.31686075069761332</v>
      </c>
      <c r="G4">
        <v>0.29374260749984021</v>
      </c>
    </row>
    <row r="5" spans="1:7" x14ac:dyDescent="0.25">
      <c r="A5" t="s">
        <v>13</v>
      </c>
      <c r="B5">
        <v>0</v>
      </c>
      <c r="C5">
        <v>7511</v>
      </c>
      <c r="D5">
        <v>0.7221428571428572</v>
      </c>
      <c r="E5">
        <v>1</v>
      </c>
      <c r="F5">
        <v>0.29068894367508769</v>
      </c>
      <c r="G5">
        <v>0.31074850591497921</v>
      </c>
    </row>
    <row r="6" spans="1:7" x14ac:dyDescent="0.25">
      <c r="A6" t="s">
        <v>11</v>
      </c>
      <c r="B6">
        <v>0</v>
      </c>
      <c r="C6">
        <v>7483</v>
      </c>
      <c r="D6">
        <v>0.83285714285714285</v>
      </c>
      <c r="E6">
        <v>1</v>
      </c>
      <c r="F6">
        <v>0.31374047458906817</v>
      </c>
      <c r="G6">
        <v>0.3256182696103882</v>
      </c>
    </row>
    <row r="7" spans="1:7" x14ac:dyDescent="0.25">
      <c r="A7" t="s">
        <v>10</v>
      </c>
      <c r="B7">
        <v>0</v>
      </c>
      <c r="C7">
        <v>7466</v>
      </c>
      <c r="D7">
        <v>0.86142857142857143</v>
      </c>
      <c r="E7">
        <v>1</v>
      </c>
      <c r="F7">
        <v>0.31745259866619951</v>
      </c>
      <c r="G7">
        <v>0.31908176476167938</v>
      </c>
    </row>
    <row r="8" spans="1:7" x14ac:dyDescent="0.25">
      <c r="A8" t="s">
        <v>17</v>
      </c>
      <c r="B8">
        <v>7</v>
      </c>
      <c r="C8">
        <v>7423</v>
      </c>
      <c r="D8">
        <v>0.43071428571428572</v>
      </c>
      <c r="E8">
        <v>0.5</v>
      </c>
      <c r="F8">
        <v>0.1700066321460233</v>
      </c>
      <c r="G8">
        <v>8.017611325787731E-2</v>
      </c>
    </row>
    <row r="9" spans="1:7" x14ac:dyDescent="0.25">
      <c r="A9" t="s">
        <v>16</v>
      </c>
      <c r="B9">
        <v>1</v>
      </c>
      <c r="C9">
        <v>7306</v>
      </c>
      <c r="D9">
        <v>0.80821428571428566</v>
      </c>
      <c r="E9">
        <v>0.9285714285714286</v>
      </c>
      <c r="F9">
        <v>0.29773099248882301</v>
      </c>
      <c r="G9">
        <v>0.2794860628736584</v>
      </c>
    </row>
    <row r="10" spans="1:7" x14ac:dyDescent="0.25">
      <c r="A10" t="s">
        <v>12</v>
      </c>
      <c r="B10">
        <v>0</v>
      </c>
      <c r="C10">
        <v>7296</v>
      </c>
      <c r="D10">
        <v>1</v>
      </c>
      <c r="E10">
        <v>1</v>
      </c>
      <c r="F10">
        <v>0.32582116122860061</v>
      </c>
      <c r="G10">
        <v>0.25526538987411779</v>
      </c>
    </row>
    <row r="11" spans="1:7" x14ac:dyDescent="0.25">
      <c r="A11" t="s">
        <v>15</v>
      </c>
      <c r="B11">
        <v>1</v>
      </c>
      <c r="C11">
        <v>7171</v>
      </c>
      <c r="D11">
        <v>0.65071428571428569</v>
      </c>
      <c r="E11">
        <v>0.9285714285714286</v>
      </c>
      <c r="F11">
        <v>0.27581607212193737</v>
      </c>
      <c r="G11">
        <v>0.30370367084753058</v>
      </c>
    </row>
    <row r="12" spans="1:7" x14ac:dyDescent="0.25">
      <c r="A12" t="s">
        <v>19</v>
      </c>
      <c r="B12">
        <v>5</v>
      </c>
      <c r="C12">
        <v>7106</v>
      </c>
      <c r="D12">
        <v>0.48749999999999999</v>
      </c>
      <c r="E12">
        <v>0.6428571428571429</v>
      </c>
      <c r="F12">
        <v>0.1586910749174312</v>
      </c>
      <c r="G12">
        <v>-4.7936590301308323E-3</v>
      </c>
    </row>
    <row r="13" spans="1:7" x14ac:dyDescent="0.25">
      <c r="A13" t="s">
        <v>14</v>
      </c>
      <c r="B13">
        <v>1</v>
      </c>
      <c r="C13">
        <v>7081</v>
      </c>
      <c r="D13">
        <v>0.65392857142857141</v>
      </c>
      <c r="E13">
        <v>0.9285714285714286</v>
      </c>
      <c r="F13">
        <v>0.27642220622002461</v>
      </c>
      <c r="G13">
        <v>0.30323333622269771</v>
      </c>
    </row>
    <row r="14" spans="1:7" x14ac:dyDescent="0.25">
      <c r="A14" t="s">
        <v>18</v>
      </c>
      <c r="B14">
        <v>9</v>
      </c>
      <c r="C14">
        <v>6782</v>
      </c>
      <c r="D14">
        <v>0.4210714285714286</v>
      </c>
      <c r="E14">
        <v>0.35714285714285721</v>
      </c>
      <c r="F14">
        <v>0.15998999325615229</v>
      </c>
      <c r="G14">
        <v>4.3447924824177357E-2</v>
      </c>
    </row>
    <row r="15" spans="1:7" x14ac:dyDescent="0.25">
      <c r="A15" t="s">
        <v>21</v>
      </c>
      <c r="B15">
        <v>13</v>
      </c>
      <c r="C15">
        <v>6468</v>
      </c>
      <c r="D15">
        <v>0</v>
      </c>
      <c r="E15">
        <v>7.1428571428571425E-2</v>
      </c>
      <c r="F15">
        <v>0</v>
      </c>
      <c r="G15">
        <v>-0.25526538987411779</v>
      </c>
    </row>
    <row r="16" spans="1:7" x14ac:dyDescent="0.25">
      <c r="A16" t="s">
        <v>20</v>
      </c>
      <c r="B16">
        <v>9</v>
      </c>
      <c r="C16">
        <v>5503</v>
      </c>
      <c r="D16">
        <v>0.20178571428571429</v>
      </c>
      <c r="E16">
        <v>0.35714285714285721</v>
      </c>
      <c r="F16">
        <v>7.4743485395259573E-2</v>
      </c>
      <c r="G16">
        <v>-0.1281661639424008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8123</v>
      </c>
      <c r="D2">
        <v>0.85392857142857148</v>
      </c>
      <c r="E2">
        <v>0.9285714285714286</v>
      </c>
      <c r="F2">
        <v>0.31206742042554708</v>
      </c>
      <c r="G2">
        <v>0.30468966394054792</v>
      </c>
    </row>
    <row r="3" spans="1:7" x14ac:dyDescent="0.25">
      <c r="A3" t="s">
        <v>8</v>
      </c>
      <c r="B3">
        <v>0</v>
      </c>
      <c r="C3">
        <v>7975</v>
      </c>
      <c r="D3">
        <v>0.79892857142857143</v>
      </c>
      <c r="E3">
        <v>1</v>
      </c>
      <c r="F3">
        <v>0.3006239435033275</v>
      </c>
      <c r="G3">
        <v>0.29930452084004638</v>
      </c>
    </row>
    <row r="4" spans="1:7" x14ac:dyDescent="0.25">
      <c r="A4" t="s">
        <v>19</v>
      </c>
      <c r="B4">
        <v>7</v>
      </c>
      <c r="C4">
        <v>7882</v>
      </c>
      <c r="D4">
        <v>0.5</v>
      </c>
      <c r="E4">
        <v>0.5</v>
      </c>
      <c r="F4">
        <v>0.16266493465921469</v>
      </c>
      <c r="G4">
        <v>-3.4315928701484739E-3</v>
      </c>
    </row>
    <row r="5" spans="1:7" x14ac:dyDescent="0.25">
      <c r="A5" t="s">
        <v>9</v>
      </c>
      <c r="B5">
        <v>0</v>
      </c>
      <c r="C5">
        <v>7757</v>
      </c>
      <c r="D5">
        <v>0.8967857142857143</v>
      </c>
      <c r="E5">
        <v>1</v>
      </c>
      <c r="F5">
        <v>0.31786077915479721</v>
      </c>
      <c r="G5">
        <v>0.29321438122903859</v>
      </c>
    </row>
    <row r="6" spans="1:7" x14ac:dyDescent="0.25">
      <c r="A6" t="s">
        <v>13</v>
      </c>
      <c r="B6">
        <v>0</v>
      </c>
      <c r="C6">
        <v>7441</v>
      </c>
      <c r="D6">
        <v>0.72535714285714281</v>
      </c>
      <c r="E6">
        <v>1</v>
      </c>
      <c r="F6">
        <v>0.29200100167321469</v>
      </c>
      <c r="G6">
        <v>0.31850816852902009</v>
      </c>
    </row>
    <row r="7" spans="1:7" x14ac:dyDescent="0.25">
      <c r="A7" t="s">
        <v>12</v>
      </c>
      <c r="B7">
        <v>0</v>
      </c>
      <c r="C7">
        <v>7368</v>
      </c>
      <c r="D7">
        <v>1</v>
      </c>
      <c r="E7">
        <v>1</v>
      </c>
      <c r="F7">
        <v>0.32756706278426279</v>
      </c>
      <c r="G7">
        <v>0.25617562026701213</v>
      </c>
    </row>
    <row r="8" spans="1:7" x14ac:dyDescent="0.25">
      <c r="A8" t="s">
        <v>17</v>
      </c>
      <c r="B8">
        <v>6</v>
      </c>
      <c r="C8">
        <v>7247</v>
      </c>
      <c r="D8">
        <v>0.56178571428571433</v>
      </c>
      <c r="E8">
        <v>0.5714285714285714</v>
      </c>
      <c r="F8">
        <v>0.19178945179501461</v>
      </c>
      <c r="G8">
        <v>6.6740095022383442E-2</v>
      </c>
    </row>
    <row r="9" spans="1:7" x14ac:dyDescent="0.25">
      <c r="A9" t="s">
        <v>11</v>
      </c>
      <c r="B9">
        <v>0</v>
      </c>
      <c r="C9">
        <v>7215</v>
      </c>
      <c r="D9">
        <v>0.78107142857142853</v>
      </c>
      <c r="E9">
        <v>1</v>
      </c>
      <c r="F9">
        <v>0.30432058760625752</v>
      </c>
      <c r="G9">
        <v>0.32348475330139609</v>
      </c>
    </row>
    <row r="10" spans="1:7" x14ac:dyDescent="0.25">
      <c r="A10" t="s">
        <v>16</v>
      </c>
      <c r="B10">
        <v>0</v>
      </c>
      <c r="C10">
        <v>7201</v>
      </c>
      <c r="D10">
        <v>0.80785714285714283</v>
      </c>
      <c r="E10">
        <v>1</v>
      </c>
      <c r="F10">
        <v>0.29900852211382462</v>
      </c>
      <c r="G10">
        <v>0.28753057015281558</v>
      </c>
    </row>
    <row r="11" spans="1:7" x14ac:dyDescent="0.25">
      <c r="A11" t="s">
        <v>15</v>
      </c>
      <c r="B11">
        <v>1</v>
      </c>
      <c r="C11">
        <v>7180</v>
      </c>
      <c r="D11">
        <v>0.66107142857142853</v>
      </c>
      <c r="E11">
        <v>0.9285714285714286</v>
      </c>
      <c r="F11">
        <v>0.27699959794566448</v>
      </c>
      <c r="G11">
        <v>0.31149951174938112</v>
      </c>
    </row>
    <row r="12" spans="1:7" x14ac:dyDescent="0.25">
      <c r="A12" t="s">
        <v>10</v>
      </c>
      <c r="B12">
        <v>0</v>
      </c>
      <c r="C12">
        <v>7158</v>
      </c>
      <c r="D12">
        <v>0.78928571428571426</v>
      </c>
      <c r="E12">
        <v>1</v>
      </c>
      <c r="F12">
        <v>0.30577938713042457</v>
      </c>
      <c r="G12">
        <v>0.32289970503961252</v>
      </c>
    </row>
    <row r="13" spans="1:7" x14ac:dyDescent="0.25">
      <c r="A13" t="s">
        <v>14</v>
      </c>
      <c r="B13">
        <v>1</v>
      </c>
      <c r="C13">
        <v>7022</v>
      </c>
      <c r="D13">
        <v>0.65607142857142853</v>
      </c>
      <c r="E13">
        <v>0.9285714285714286</v>
      </c>
      <c r="F13">
        <v>0.27674283214482631</v>
      </c>
      <c r="G13">
        <v>0.31367939284020091</v>
      </c>
    </row>
    <row r="14" spans="1:7" x14ac:dyDescent="0.25">
      <c r="A14" t="s">
        <v>20</v>
      </c>
      <c r="B14">
        <v>13</v>
      </c>
      <c r="C14">
        <v>6570</v>
      </c>
      <c r="D14">
        <v>0.31571428571428573</v>
      </c>
      <c r="E14">
        <v>7.1428571428571425E-2</v>
      </c>
      <c r="F14">
        <v>0.1112133950961488</v>
      </c>
      <c r="G14">
        <v>-7.4055398992944999E-2</v>
      </c>
    </row>
    <row r="15" spans="1:7" x14ac:dyDescent="0.25">
      <c r="A15" t="s">
        <v>21</v>
      </c>
      <c r="B15">
        <v>13</v>
      </c>
      <c r="C15">
        <v>6524</v>
      </c>
      <c r="D15">
        <v>0</v>
      </c>
      <c r="E15">
        <v>7.1428571428571425E-2</v>
      </c>
      <c r="F15">
        <v>0</v>
      </c>
      <c r="G15">
        <v>-0.25617562026701213</v>
      </c>
    </row>
    <row r="16" spans="1:7" x14ac:dyDescent="0.25">
      <c r="A16" t="s">
        <v>18</v>
      </c>
      <c r="B16">
        <v>9</v>
      </c>
      <c r="C16">
        <v>6119</v>
      </c>
      <c r="D16">
        <v>0.31678571428571428</v>
      </c>
      <c r="E16">
        <v>0.35714285714285721</v>
      </c>
      <c r="F16">
        <v>0.1191382088323827</v>
      </c>
      <c r="G16">
        <v>-4.4154608178831573E-2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8157</v>
      </c>
      <c r="D2">
        <v>0.85357142857142854</v>
      </c>
      <c r="E2">
        <v>0.9285714285714286</v>
      </c>
      <c r="F2">
        <v>0.31086178985618129</v>
      </c>
      <c r="G2">
        <v>0.30700306801205518</v>
      </c>
    </row>
    <row r="3" spans="1:7" x14ac:dyDescent="0.25">
      <c r="A3" t="s">
        <v>8</v>
      </c>
      <c r="B3">
        <v>0</v>
      </c>
      <c r="C3">
        <v>8008</v>
      </c>
      <c r="D3">
        <v>0.79892857142857143</v>
      </c>
      <c r="E3">
        <v>1</v>
      </c>
      <c r="F3">
        <v>0.30014644417509678</v>
      </c>
      <c r="G3">
        <v>0.29949641340344479</v>
      </c>
    </row>
    <row r="4" spans="1:7" x14ac:dyDescent="0.25">
      <c r="A4" t="s">
        <v>19</v>
      </c>
      <c r="B4">
        <v>7</v>
      </c>
      <c r="C4">
        <v>7924</v>
      </c>
      <c r="D4">
        <v>0.50535714285714284</v>
      </c>
      <c r="E4">
        <v>0.5</v>
      </c>
      <c r="F4">
        <v>0.16392651746273421</v>
      </c>
      <c r="G4">
        <v>2.1191057631130038E-3</v>
      </c>
    </row>
    <row r="5" spans="1:7" x14ac:dyDescent="0.25">
      <c r="A5" t="s">
        <v>9</v>
      </c>
      <c r="B5">
        <v>0</v>
      </c>
      <c r="C5">
        <v>7597</v>
      </c>
      <c r="D5">
        <v>0.89607142857142852</v>
      </c>
      <c r="E5">
        <v>1</v>
      </c>
      <c r="F5">
        <v>0.31660359262177812</v>
      </c>
      <c r="G5">
        <v>0.29540895633043368</v>
      </c>
    </row>
    <row r="6" spans="1:7" x14ac:dyDescent="0.25">
      <c r="A6" t="s">
        <v>13</v>
      </c>
      <c r="B6">
        <v>0</v>
      </c>
      <c r="C6">
        <v>7424</v>
      </c>
      <c r="D6">
        <v>0.72</v>
      </c>
      <c r="E6">
        <v>1</v>
      </c>
      <c r="F6">
        <v>0.29013026899058131</v>
      </c>
      <c r="G6">
        <v>0.31585885738640551</v>
      </c>
    </row>
    <row r="7" spans="1:7" x14ac:dyDescent="0.25">
      <c r="A7" t="s">
        <v>10</v>
      </c>
      <c r="B7">
        <v>0</v>
      </c>
      <c r="C7">
        <v>7392</v>
      </c>
      <c r="D7">
        <v>0.84071428571428575</v>
      </c>
      <c r="E7">
        <v>1</v>
      </c>
      <c r="F7">
        <v>0.31437342297636939</v>
      </c>
      <c r="G7">
        <v>0.32453599489581358</v>
      </c>
    </row>
    <row r="8" spans="1:7" x14ac:dyDescent="0.25">
      <c r="A8" t="s">
        <v>16</v>
      </c>
      <c r="B8">
        <v>1</v>
      </c>
      <c r="C8">
        <v>7351</v>
      </c>
      <c r="D8">
        <v>0.8</v>
      </c>
      <c r="E8">
        <v>0.9285714285714286</v>
      </c>
      <c r="F8">
        <v>0.29646433136060119</v>
      </c>
      <c r="G8">
        <v>0.28574574106581557</v>
      </c>
    </row>
    <row r="9" spans="1:7" x14ac:dyDescent="0.25">
      <c r="A9" t="s">
        <v>12</v>
      </c>
      <c r="B9">
        <v>0</v>
      </c>
      <c r="C9">
        <v>7317</v>
      </c>
      <c r="D9">
        <v>1</v>
      </c>
      <c r="E9">
        <v>1</v>
      </c>
      <c r="F9">
        <v>0.32648663393551403</v>
      </c>
      <c r="G9">
        <v>0.25914570522772501</v>
      </c>
    </row>
    <row r="10" spans="1:7" x14ac:dyDescent="0.25">
      <c r="A10" t="s">
        <v>11</v>
      </c>
      <c r="B10">
        <v>0</v>
      </c>
      <c r="C10">
        <v>7294</v>
      </c>
      <c r="D10">
        <v>0.80035714285714288</v>
      </c>
      <c r="E10">
        <v>1</v>
      </c>
      <c r="F10">
        <v>0.30590169898986852</v>
      </c>
      <c r="G10">
        <v>0.31995675203643381</v>
      </c>
    </row>
    <row r="11" spans="1:7" x14ac:dyDescent="0.25">
      <c r="A11" t="s">
        <v>15</v>
      </c>
      <c r="B11">
        <v>1</v>
      </c>
      <c r="C11">
        <v>7160</v>
      </c>
      <c r="D11">
        <v>0.65249999999999997</v>
      </c>
      <c r="E11">
        <v>0.9285714285714286</v>
      </c>
      <c r="F11">
        <v>0.2751291155671553</v>
      </c>
      <c r="G11">
        <v>0.30839064720394582</v>
      </c>
    </row>
    <row r="12" spans="1:7" x14ac:dyDescent="0.25">
      <c r="A12" t="s">
        <v>14</v>
      </c>
      <c r="B12">
        <v>1</v>
      </c>
      <c r="C12">
        <v>7112</v>
      </c>
      <c r="D12">
        <v>0.66642857142857148</v>
      </c>
      <c r="E12">
        <v>0.9285714285714286</v>
      </c>
      <c r="F12">
        <v>0.27792666945388977</v>
      </c>
      <c r="G12">
        <v>0.30829825376174652</v>
      </c>
    </row>
    <row r="13" spans="1:7" x14ac:dyDescent="0.25">
      <c r="A13" t="s">
        <v>17</v>
      </c>
      <c r="B13">
        <v>6</v>
      </c>
      <c r="C13">
        <v>6943</v>
      </c>
      <c r="D13">
        <v>0.4975</v>
      </c>
      <c r="E13">
        <v>0.5714285714285714</v>
      </c>
      <c r="F13">
        <v>0.18298858439151</v>
      </c>
      <c r="G13">
        <v>7.8170901618857036E-2</v>
      </c>
    </row>
    <row r="14" spans="1:7" x14ac:dyDescent="0.25">
      <c r="A14" t="s">
        <v>18</v>
      </c>
      <c r="B14">
        <v>9</v>
      </c>
      <c r="C14">
        <v>6520</v>
      </c>
      <c r="D14">
        <v>0.37571428571428572</v>
      </c>
      <c r="E14">
        <v>0.35714285714285721</v>
      </c>
      <c r="F14">
        <v>0.1421806450746621</v>
      </c>
      <c r="G14">
        <v>5.1114383608875406E-3</v>
      </c>
    </row>
    <row r="15" spans="1:7" x14ac:dyDescent="0.25">
      <c r="A15" t="s">
        <v>21</v>
      </c>
      <c r="B15">
        <v>13</v>
      </c>
      <c r="C15">
        <v>6468</v>
      </c>
      <c r="D15">
        <v>0</v>
      </c>
      <c r="E15">
        <v>7.1428571428571425E-2</v>
      </c>
      <c r="F15">
        <v>0</v>
      </c>
      <c r="G15">
        <v>-0.25914570522772501</v>
      </c>
    </row>
    <row r="16" spans="1:7" x14ac:dyDescent="0.25">
      <c r="A16" t="s">
        <v>20</v>
      </c>
      <c r="B16">
        <v>10</v>
      </c>
      <c r="C16">
        <v>6149</v>
      </c>
      <c r="D16">
        <v>0.24571428571428569</v>
      </c>
      <c r="E16">
        <v>0.2857142857142857</v>
      </c>
      <c r="F16">
        <v>9.198481711175055E-2</v>
      </c>
      <c r="G16">
        <v>-9.5206495174366398E-2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8140</v>
      </c>
      <c r="D2">
        <v>0.85285714285714287</v>
      </c>
      <c r="E2">
        <v>0.9285714285714286</v>
      </c>
      <c r="F2">
        <v>0.31178694424573727</v>
      </c>
      <c r="G2">
        <v>0.30397951198594242</v>
      </c>
    </row>
    <row r="3" spans="1:7" x14ac:dyDescent="0.25">
      <c r="A3" t="s">
        <v>8</v>
      </c>
      <c r="B3">
        <v>0</v>
      </c>
      <c r="C3">
        <v>8008.5</v>
      </c>
      <c r="D3">
        <v>0.79321428571428576</v>
      </c>
      <c r="E3">
        <v>1</v>
      </c>
      <c r="F3">
        <v>0.30139096104473312</v>
      </c>
      <c r="G3">
        <v>0.29969754671575821</v>
      </c>
    </row>
    <row r="4" spans="1:7" x14ac:dyDescent="0.25">
      <c r="A4" t="s">
        <v>9</v>
      </c>
      <c r="B4">
        <v>0</v>
      </c>
      <c r="C4">
        <v>7690.5</v>
      </c>
      <c r="D4">
        <v>0.89821428571428574</v>
      </c>
      <c r="E4">
        <v>1</v>
      </c>
      <c r="F4">
        <v>0.31880455970127769</v>
      </c>
      <c r="G4">
        <v>0.29454577389945102</v>
      </c>
    </row>
    <row r="5" spans="1:7" x14ac:dyDescent="0.25">
      <c r="A5" t="s">
        <v>17</v>
      </c>
      <c r="B5">
        <v>7</v>
      </c>
      <c r="C5">
        <v>7677</v>
      </c>
      <c r="D5">
        <v>0.42678571428571432</v>
      </c>
      <c r="E5">
        <v>0.5</v>
      </c>
      <c r="F5">
        <v>0.1696039591583248</v>
      </c>
      <c r="G5">
        <v>7.9046116223587121E-2</v>
      </c>
    </row>
    <row r="6" spans="1:7" x14ac:dyDescent="0.25">
      <c r="A6" t="s">
        <v>13</v>
      </c>
      <c r="B6">
        <v>0</v>
      </c>
      <c r="C6">
        <v>7657</v>
      </c>
      <c r="D6">
        <v>0.7371428571428571</v>
      </c>
      <c r="E6">
        <v>1</v>
      </c>
      <c r="F6">
        <v>0.29556349868102538</v>
      </c>
      <c r="G6">
        <v>0.31672377902989329</v>
      </c>
    </row>
    <row r="7" spans="1:7" x14ac:dyDescent="0.25">
      <c r="A7" t="s">
        <v>11</v>
      </c>
      <c r="B7">
        <v>0</v>
      </c>
      <c r="C7">
        <v>7418</v>
      </c>
      <c r="D7">
        <v>0.81392857142857145</v>
      </c>
      <c r="E7">
        <v>1</v>
      </c>
      <c r="F7">
        <v>0.31018334808140929</v>
      </c>
      <c r="G7">
        <v>0.32147004009067698</v>
      </c>
    </row>
    <row r="8" spans="1:7" x14ac:dyDescent="0.25">
      <c r="A8" t="s">
        <v>12</v>
      </c>
      <c r="B8">
        <v>0</v>
      </c>
      <c r="C8">
        <v>7374</v>
      </c>
      <c r="D8">
        <v>1</v>
      </c>
      <c r="E8">
        <v>1</v>
      </c>
      <c r="F8">
        <v>0.32774187703818503</v>
      </c>
      <c r="G8">
        <v>0.256791938346071</v>
      </c>
    </row>
    <row r="9" spans="1:7" x14ac:dyDescent="0.25">
      <c r="A9" t="s">
        <v>16</v>
      </c>
      <c r="B9">
        <v>0</v>
      </c>
      <c r="C9">
        <v>7302.5</v>
      </c>
      <c r="D9">
        <v>0.80428571428571427</v>
      </c>
      <c r="E9">
        <v>1</v>
      </c>
      <c r="F9">
        <v>0.29970846146803243</v>
      </c>
      <c r="G9">
        <v>0.28657840534788331</v>
      </c>
    </row>
    <row r="10" spans="1:7" x14ac:dyDescent="0.25">
      <c r="A10" t="s">
        <v>15</v>
      </c>
      <c r="B10">
        <v>2</v>
      </c>
      <c r="C10">
        <v>7282</v>
      </c>
      <c r="D10">
        <v>0.65035714285714286</v>
      </c>
      <c r="E10">
        <v>0.8571428571428571</v>
      </c>
      <c r="F10">
        <v>0.27772703918618802</v>
      </c>
      <c r="G10">
        <v>0.31023436998837323</v>
      </c>
    </row>
    <row r="11" spans="1:7" x14ac:dyDescent="0.25">
      <c r="A11" t="s">
        <v>19</v>
      </c>
      <c r="B11">
        <v>6</v>
      </c>
      <c r="C11">
        <v>7262.5</v>
      </c>
      <c r="D11">
        <v>0.50571428571428567</v>
      </c>
      <c r="E11">
        <v>0.5714285714285714</v>
      </c>
      <c r="F11">
        <v>0.16602584020280131</v>
      </c>
      <c r="G11">
        <v>4.6184673364333016E-3</v>
      </c>
    </row>
    <row r="12" spans="1:7" x14ac:dyDescent="0.25">
      <c r="A12" t="s">
        <v>14</v>
      </c>
      <c r="B12">
        <v>1</v>
      </c>
      <c r="C12">
        <v>7119</v>
      </c>
      <c r="D12">
        <v>0.65500000000000003</v>
      </c>
      <c r="E12">
        <v>0.9285714285714286</v>
      </c>
      <c r="F12">
        <v>0.27892456727345077</v>
      </c>
      <c r="G12">
        <v>0.31082089412435648</v>
      </c>
    </row>
    <row r="13" spans="1:7" x14ac:dyDescent="0.25">
      <c r="A13" t="s">
        <v>10</v>
      </c>
      <c r="B13">
        <v>0</v>
      </c>
      <c r="C13">
        <v>7104.5</v>
      </c>
      <c r="D13">
        <v>0.77749999999999997</v>
      </c>
      <c r="E13">
        <v>1</v>
      </c>
      <c r="F13">
        <v>0.30475499235577053</v>
      </c>
      <c r="G13">
        <v>0.32493988088389192</v>
      </c>
    </row>
    <row r="14" spans="1:7" x14ac:dyDescent="0.25">
      <c r="A14" t="s">
        <v>21</v>
      </c>
      <c r="B14">
        <v>13</v>
      </c>
      <c r="C14">
        <v>6580</v>
      </c>
      <c r="D14">
        <v>0</v>
      </c>
      <c r="E14">
        <v>7.1428571428571425E-2</v>
      </c>
      <c r="F14">
        <v>0</v>
      </c>
      <c r="G14">
        <v>-0.256791938346071</v>
      </c>
    </row>
    <row r="15" spans="1:7" x14ac:dyDescent="0.25">
      <c r="A15" t="s">
        <v>18</v>
      </c>
      <c r="B15">
        <v>9</v>
      </c>
      <c r="C15">
        <v>6393</v>
      </c>
      <c r="D15">
        <v>0.33142857142857141</v>
      </c>
      <c r="E15">
        <v>0.35714285714285721</v>
      </c>
      <c r="F15">
        <v>0.1264717600657892</v>
      </c>
      <c r="G15">
        <v>-2.6965311674435999E-2</v>
      </c>
    </row>
    <row r="16" spans="1:7" x14ac:dyDescent="0.25">
      <c r="A16" t="s">
        <v>20</v>
      </c>
      <c r="B16">
        <v>9</v>
      </c>
      <c r="C16">
        <v>6119</v>
      </c>
      <c r="D16">
        <v>0.25678571428571428</v>
      </c>
      <c r="E16">
        <v>0.35714285714285721</v>
      </c>
      <c r="F16">
        <v>9.6812370756870492E-2</v>
      </c>
      <c r="G16">
        <v>-8.8964250540224901E-2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>
        <v>6</v>
      </c>
      <c r="C2">
        <v>8151.5</v>
      </c>
      <c r="D2">
        <v>0.50857142857142856</v>
      </c>
      <c r="E2">
        <v>0.5714285714285714</v>
      </c>
      <c r="F2">
        <v>0.1634920238069015</v>
      </c>
      <c r="G2">
        <v>-4.9611675704396754E-3</v>
      </c>
    </row>
    <row r="3" spans="1:7" x14ac:dyDescent="0.25">
      <c r="A3" t="s">
        <v>7</v>
      </c>
      <c r="B3">
        <v>1</v>
      </c>
      <c r="C3">
        <v>8130.5</v>
      </c>
      <c r="D3">
        <v>0.85357142857142854</v>
      </c>
      <c r="E3">
        <v>0.9285714285714286</v>
      </c>
      <c r="F3">
        <v>0.31112928599963557</v>
      </c>
      <c r="G3">
        <v>0.30446643546528401</v>
      </c>
    </row>
    <row r="4" spans="1:7" x14ac:dyDescent="0.25">
      <c r="A4" t="s">
        <v>8</v>
      </c>
      <c r="B4">
        <v>0</v>
      </c>
      <c r="C4">
        <v>8059.5</v>
      </c>
      <c r="D4">
        <v>0.79642857142857137</v>
      </c>
      <c r="E4">
        <v>1</v>
      </c>
      <c r="F4">
        <v>0.30092669450028608</v>
      </c>
      <c r="G4">
        <v>0.30002585763398648</v>
      </c>
    </row>
    <row r="5" spans="1:7" x14ac:dyDescent="0.25">
      <c r="A5" t="s">
        <v>9</v>
      </c>
      <c r="B5">
        <v>0</v>
      </c>
      <c r="C5">
        <v>7669</v>
      </c>
      <c r="D5">
        <v>0.89464285714285718</v>
      </c>
      <c r="E5">
        <v>1</v>
      </c>
      <c r="F5">
        <v>0.31764512415010682</v>
      </c>
      <c r="G5">
        <v>0.29579448924453261</v>
      </c>
    </row>
    <row r="6" spans="1:7" x14ac:dyDescent="0.25">
      <c r="A6" t="s">
        <v>13</v>
      </c>
      <c r="B6">
        <v>0</v>
      </c>
      <c r="C6">
        <v>7507</v>
      </c>
      <c r="D6">
        <v>0.72</v>
      </c>
      <c r="E6">
        <v>1</v>
      </c>
      <c r="F6">
        <v>0.29122984875624802</v>
      </c>
      <c r="G6">
        <v>0.31666396875845459</v>
      </c>
    </row>
    <row r="7" spans="1:7" x14ac:dyDescent="0.25">
      <c r="A7" t="s">
        <v>10</v>
      </c>
      <c r="B7">
        <v>0</v>
      </c>
      <c r="C7">
        <v>7459.5</v>
      </c>
      <c r="D7">
        <v>0.85642857142857143</v>
      </c>
      <c r="E7">
        <v>1</v>
      </c>
      <c r="F7">
        <v>0.31723548346916303</v>
      </c>
      <c r="G7">
        <v>0.31971951771167478</v>
      </c>
    </row>
    <row r="8" spans="1:7" x14ac:dyDescent="0.25">
      <c r="A8" t="s">
        <v>17</v>
      </c>
      <c r="B8">
        <v>6</v>
      </c>
      <c r="C8">
        <v>7326.5</v>
      </c>
      <c r="D8">
        <v>0.48392857142857137</v>
      </c>
      <c r="E8">
        <v>0.5714285714285714</v>
      </c>
      <c r="F8">
        <v>0.18082203888025941</v>
      </c>
      <c r="G8">
        <v>7.9252981017250354E-2</v>
      </c>
    </row>
    <row r="9" spans="1:7" x14ac:dyDescent="0.25">
      <c r="A9" t="s">
        <v>12</v>
      </c>
      <c r="B9">
        <v>0</v>
      </c>
      <c r="C9">
        <v>7314</v>
      </c>
      <c r="D9">
        <v>1</v>
      </c>
      <c r="E9">
        <v>1</v>
      </c>
      <c r="F9">
        <v>0.32673967576474983</v>
      </c>
      <c r="G9">
        <v>0.25588584502392359</v>
      </c>
    </row>
    <row r="10" spans="1:7" x14ac:dyDescent="0.25">
      <c r="A10" t="s">
        <v>16</v>
      </c>
      <c r="B10">
        <v>1</v>
      </c>
      <c r="C10">
        <v>7289</v>
      </c>
      <c r="D10">
        <v>0.80857142857142861</v>
      </c>
      <c r="E10">
        <v>0.9285714285714286</v>
      </c>
      <c r="F10">
        <v>0.2990376253335949</v>
      </c>
      <c r="G10">
        <v>0.28523418565657771</v>
      </c>
    </row>
    <row r="11" spans="1:7" x14ac:dyDescent="0.25">
      <c r="A11" t="s">
        <v>11</v>
      </c>
      <c r="B11">
        <v>0</v>
      </c>
      <c r="C11">
        <v>7263</v>
      </c>
      <c r="D11">
        <v>0.76857142857142857</v>
      </c>
      <c r="E11">
        <v>1</v>
      </c>
      <c r="F11">
        <v>0.30198826444762739</v>
      </c>
      <c r="G11">
        <v>0.32412427230145258</v>
      </c>
    </row>
    <row r="12" spans="1:7" x14ac:dyDescent="0.25">
      <c r="A12" t="s">
        <v>15</v>
      </c>
      <c r="B12">
        <v>1</v>
      </c>
      <c r="C12">
        <v>7211.5</v>
      </c>
      <c r="D12">
        <v>0.64714285714285713</v>
      </c>
      <c r="E12">
        <v>0.9285714285714286</v>
      </c>
      <c r="F12">
        <v>0.27554469608090693</v>
      </c>
      <c r="G12">
        <v>0.3103908840534545</v>
      </c>
    </row>
    <row r="13" spans="1:7" x14ac:dyDescent="0.25">
      <c r="A13" t="s">
        <v>14</v>
      </c>
      <c r="B13">
        <v>1</v>
      </c>
      <c r="C13">
        <v>7025.5</v>
      </c>
      <c r="D13">
        <v>0.65785714285714281</v>
      </c>
      <c r="E13">
        <v>0.9285714285714286</v>
      </c>
      <c r="F13">
        <v>0.27763762613655019</v>
      </c>
      <c r="G13">
        <v>0.3099650044194604</v>
      </c>
    </row>
    <row r="14" spans="1:7" x14ac:dyDescent="0.25">
      <c r="A14" t="s">
        <v>21</v>
      </c>
      <c r="B14">
        <v>13</v>
      </c>
      <c r="C14">
        <v>6827.5</v>
      </c>
      <c r="D14">
        <v>0</v>
      </c>
      <c r="E14">
        <v>7.1428571428571425E-2</v>
      </c>
      <c r="F14">
        <v>0</v>
      </c>
      <c r="G14">
        <v>-0.25588584502392359</v>
      </c>
    </row>
    <row r="15" spans="1:7" x14ac:dyDescent="0.25">
      <c r="A15" t="s">
        <v>18</v>
      </c>
      <c r="B15">
        <v>9</v>
      </c>
      <c r="C15">
        <v>6656</v>
      </c>
      <c r="D15">
        <v>0.36499999999999999</v>
      </c>
      <c r="E15">
        <v>0.35714285714285721</v>
      </c>
      <c r="F15">
        <v>0.13784690032651489</v>
      </c>
      <c r="G15">
        <v>-5.5794331943129216E-3</v>
      </c>
    </row>
    <row r="16" spans="1:7" x14ac:dyDescent="0.25">
      <c r="A16" t="s">
        <v>20</v>
      </c>
      <c r="B16">
        <v>11</v>
      </c>
      <c r="C16">
        <v>6152.5</v>
      </c>
      <c r="D16">
        <v>0.23035714285714279</v>
      </c>
      <c r="E16">
        <v>0.2142857142857143</v>
      </c>
      <c r="F16">
        <v>8.645987971062026E-2</v>
      </c>
      <c r="G16">
        <v>-0.10566861590299099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>
        <v>0</v>
      </c>
      <c r="C2">
        <v>8054.5</v>
      </c>
      <c r="D2">
        <v>0.79500000000000004</v>
      </c>
      <c r="E2">
        <v>1</v>
      </c>
      <c r="F2">
        <v>0.30157657056972692</v>
      </c>
      <c r="G2">
        <v>0.29648214924602961</v>
      </c>
    </row>
    <row r="3" spans="1:7" x14ac:dyDescent="0.25">
      <c r="A3" t="s">
        <v>7</v>
      </c>
      <c r="B3">
        <v>2</v>
      </c>
      <c r="C3">
        <v>7945</v>
      </c>
      <c r="D3">
        <v>0.78428571428571425</v>
      </c>
      <c r="E3">
        <v>0.8571428571428571</v>
      </c>
      <c r="F3">
        <v>0.30482554080734092</v>
      </c>
      <c r="G3">
        <v>0.32162323303589391</v>
      </c>
    </row>
    <row r="4" spans="1:7" x14ac:dyDescent="0.25">
      <c r="A4" t="s">
        <v>19</v>
      </c>
      <c r="B4">
        <v>6</v>
      </c>
      <c r="C4">
        <v>7837.5</v>
      </c>
      <c r="D4">
        <v>0.50178571428571428</v>
      </c>
      <c r="E4">
        <v>0.5714285714285714</v>
      </c>
      <c r="F4">
        <v>0.16543063703276689</v>
      </c>
      <c r="G4">
        <v>7.8908059075301507E-3</v>
      </c>
    </row>
    <row r="5" spans="1:7" x14ac:dyDescent="0.25">
      <c r="A5" t="s">
        <v>9</v>
      </c>
      <c r="B5">
        <v>0</v>
      </c>
      <c r="C5">
        <v>7692.5</v>
      </c>
      <c r="D5">
        <v>0.9017857142857143</v>
      </c>
      <c r="E5">
        <v>1</v>
      </c>
      <c r="F5">
        <v>0.31873009296041033</v>
      </c>
      <c r="G5">
        <v>0.2895177315603889</v>
      </c>
    </row>
    <row r="6" spans="1:7" x14ac:dyDescent="0.25">
      <c r="A6" t="s">
        <v>13</v>
      </c>
      <c r="B6">
        <v>0</v>
      </c>
      <c r="C6">
        <v>7554.5</v>
      </c>
      <c r="D6">
        <v>0.72607142857142859</v>
      </c>
      <c r="E6">
        <v>1</v>
      </c>
      <c r="F6">
        <v>0.29378882831448561</v>
      </c>
      <c r="G6">
        <v>0.31406083887873459</v>
      </c>
    </row>
    <row r="7" spans="1:7" x14ac:dyDescent="0.25">
      <c r="A7" t="s">
        <v>17</v>
      </c>
      <c r="B7">
        <v>7</v>
      </c>
      <c r="C7">
        <v>7426</v>
      </c>
      <c r="D7">
        <v>0.45857142857142857</v>
      </c>
      <c r="E7">
        <v>0.5</v>
      </c>
      <c r="F7">
        <v>0.17637300690676511</v>
      </c>
      <c r="G7">
        <v>8.2164924536018966E-2</v>
      </c>
    </row>
    <row r="8" spans="1:7" x14ac:dyDescent="0.25">
      <c r="A8" t="s">
        <v>11</v>
      </c>
      <c r="B8">
        <v>0</v>
      </c>
      <c r="C8">
        <v>7406</v>
      </c>
      <c r="D8">
        <v>0.83964285714285714</v>
      </c>
      <c r="E8">
        <v>1</v>
      </c>
      <c r="F8">
        <v>0.31640917395798729</v>
      </c>
      <c r="G8">
        <v>0.32278259217310867</v>
      </c>
    </row>
    <row r="9" spans="1:7" x14ac:dyDescent="0.25">
      <c r="A9" t="s">
        <v>12</v>
      </c>
      <c r="B9">
        <v>0</v>
      </c>
      <c r="C9">
        <v>7374</v>
      </c>
      <c r="D9">
        <v>1</v>
      </c>
      <c r="E9">
        <v>1</v>
      </c>
      <c r="F9">
        <v>0.32626261234947801</v>
      </c>
      <c r="G9">
        <v>0.25035451119785801</v>
      </c>
    </row>
    <row r="10" spans="1:7" x14ac:dyDescent="0.25">
      <c r="A10" t="s">
        <v>15</v>
      </c>
      <c r="B10">
        <v>2</v>
      </c>
      <c r="C10">
        <v>7190.5</v>
      </c>
      <c r="D10">
        <v>0.64607142857142852</v>
      </c>
      <c r="E10">
        <v>0.8571428571428571</v>
      </c>
      <c r="F10">
        <v>0.27672346299932921</v>
      </c>
      <c r="G10">
        <v>0.30591605877533318</v>
      </c>
    </row>
    <row r="11" spans="1:7" x14ac:dyDescent="0.25">
      <c r="A11" t="s">
        <v>10</v>
      </c>
      <c r="B11">
        <v>0</v>
      </c>
      <c r="C11">
        <v>7175</v>
      </c>
      <c r="D11">
        <v>0.79142857142857148</v>
      </c>
      <c r="E11">
        <v>1</v>
      </c>
      <c r="F11">
        <v>0.30742312217999568</v>
      </c>
      <c r="G11">
        <v>0.32100661685298332</v>
      </c>
    </row>
    <row r="12" spans="1:7" x14ac:dyDescent="0.25">
      <c r="A12" t="s">
        <v>16</v>
      </c>
      <c r="B12">
        <v>0</v>
      </c>
      <c r="C12">
        <v>7150</v>
      </c>
      <c r="D12">
        <v>0.81535714285714289</v>
      </c>
      <c r="E12">
        <v>1</v>
      </c>
      <c r="F12">
        <v>0.30042254014024922</v>
      </c>
      <c r="G12">
        <v>0.27882961068785828</v>
      </c>
    </row>
    <row r="13" spans="1:7" x14ac:dyDescent="0.25">
      <c r="A13" t="s">
        <v>14</v>
      </c>
      <c r="B13">
        <v>1</v>
      </c>
      <c r="C13">
        <v>7137.5</v>
      </c>
      <c r="D13">
        <v>0.65642857142857147</v>
      </c>
      <c r="E13">
        <v>0.9285714285714286</v>
      </c>
      <c r="F13">
        <v>0.27863916568327329</v>
      </c>
      <c r="G13">
        <v>0.30539734358175868</v>
      </c>
    </row>
    <row r="14" spans="1:7" x14ac:dyDescent="0.25">
      <c r="A14" t="s">
        <v>18</v>
      </c>
      <c r="B14">
        <v>10</v>
      </c>
      <c r="C14">
        <v>6677</v>
      </c>
      <c r="D14">
        <v>0.37035714285714288</v>
      </c>
      <c r="E14">
        <v>0.2857142857142857</v>
      </c>
      <c r="F14">
        <v>0.142037151384696</v>
      </c>
      <c r="G14">
        <v>5.9262987526687563E-3</v>
      </c>
    </row>
    <row r="15" spans="1:7" x14ac:dyDescent="0.25">
      <c r="A15" t="s">
        <v>21</v>
      </c>
      <c r="B15">
        <v>13</v>
      </c>
      <c r="C15">
        <v>6662.5</v>
      </c>
      <c r="D15">
        <v>0</v>
      </c>
      <c r="E15">
        <v>7.1428571428571425E-2</v>
      </c>
      <c r="F15">
        <v>0</v>
      </c>
      <c r="G15">
        <v>-0.25035451119785801</v>
      </c>
    </row>
    <row r="16" spans="1:7" x14ac:dyDescent="0.25">
      <c r="A16" t="s">
        <v>20</v>
      </c>
      <c r="B16">
        <v>9</v>
      </c>
      <c r="C16">
        <v>5452.5</v>
      </c>
      <c r="D16">
        <v>0.16964285714285721</v>
      </c>
      <c r="E16">
        <v>0.35714285714285721</v>
      </c>
      <c r="F16">
        <v>6.3580912717380408E-2</v>
      </c>
      <c r="G16">
        <v>-0.14888554791759881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8202</v>
      </c>
      <c r="D2">
        <v>0.85428571428571431</v>
      </c>
      <c r="E2">
        <v>0.9285714285714286</v>
      </c>
      <c r="F2">
        <v>0.31115616739580942</v>
      </c>
      <c r="G2">
        <v>0.30394249316661209</v>
      </c>
    </row>
    <row r="3" spans="1:7" x14ac:dyDescent="0.25">
      <c r="A3" t="s">
        <v>8</v>
      </c>
      <c r="B3">
        <v>0</v>
      </c>
      <c r="C3">
        <v>8051.5</v>
      </c>
      <c r="D3">
        <v>0.79500000000000004</v>
      </c>
      <c r="E3">
        <v>1</v>
      </c>
      <c r="F3">
        <v>0.30108094784480988</v>
      </c>
      <c r="G3">
        <v>0.30095039474798613</v>
      </c>
    </row>
    <row r="4" spans="1:7" x14ac:dyDescent="0.25">
      <c r="A4" t="s">
        <v>9</v>
      </c>
      <c r="B4">
        <v>0</v>
      </c>
      <c r="C4">
        <v>7670</v>
      </c>
      <c r="D4">
        <v>0.875</v>
      </c>
      <c r="E4">
        <v>1</v>
      </c>
      <c r="F4">
        <v>0.31463116311973532</v>
      </c>
      <c r="G4">
        <v>0.29947231706294453</v>
      </c>
    </row>
    <row r="5" spans="1:7" x14ac:dyDescent="0.25">
      <c r="A5" t="s">
        <v>13</v>
      </c>
      <c r="B5">
        <v>0</v>
      </c>
      <c r="C5">
        <v>7539.5</v>
      </c>
      <c r="D5">
        <v>0.72714285714285709</v>
      </c>
      <c r="E5">
        <v>1</v>
      </c>
      <c r="F5">
        <v>0.29316209995981302</v>
      </c>
      <c r="G5">
        <v>0.31735129996191841</v>
      </c>
    </row>
    <row r="6" spans="1:7" x14ac:dyDescent="0.25">
      <c r="A6" t="s">
        <v>19</v>
      </c>
      <c r="B6">
        <v>7</v>
      </c>
      <c r="C6">
        <v>7525</v>
      </c>
      <c r="D6">
        <v>0.49607142857142861</v>
      </c>
      <c r="E6">
        <v>0.5</v>
      </c>
      <c r="F6">
        <v>0.1658508716924853</v>
      </c>
      <c r="G6">
        <v>1.284352227287276E-2</v>
      </c>
    </row>
    <row r="7" spans="1:7" x14ac:dyDescent="0.25">
      <c r="A7" t="s">
        <v>17</v>
      </c>
      <c r="B7">
        <v>7</v>
      </c>
      <c r="C7">
        <v>7468.5</v>
      </c>
      <c r="D7">
        <v>0.44821428571428568</v>
      </c>
      <c r="E7">
        <v>0.5</v>
      </c>
      <c r="F7">
        <v>0.1737055517445234</v>
      </c>
      <c r="G7">
        <v>7.9054490395173801E-2</v>
      </c>
    </row>
    <row r="8" spans="1:7" x14ac:dyDescent="0.25">
      <c r="A8" t="s">
        <v>10</v>
      </c>
      <c r="B8">
        <v>0</v>
      </c>
      <c r="C8">
        <v>7457</v>
      </c>
      <c r="D8">
        <v>0.85142857142857142</v>
      </c>
      <c r="E8">
        <v>1</v>
      </c>
      <c r="F8">
        <v>0.31635810543504972</v>
      </c>
      <c r="G8">
        <v>0.32135315051306229</v>
      </c>
    </row>
    <row r="9" spans="1:7" x14ac:dyDescent="0.25">
      <c r="A9" t="s">
        <v>11</v>
      </c>
      <c r="B9">
        <v>0</v>
      </c>
      <c r="C9">
        <v>7350.5</v>
      </c>
      <c r="D9">
        <v>0.79357142857142859</v>
      </c>
      <c r="E9">
        <v>1</v>
      </c>
      <c r="F9">
        <v>0.30571359627906608</v>
      </c>
      <c r="G9">
        <v>0.32068240515319862</v>
      </c>
    </row>
    <row r="10" spans="1:7" x14ac:dyDescent="0.25">
      <c r="A10" t="s">
        <v>12</v>
      </c>
      <c r="B10">
        <v>0</v>
      </c>
      <c r="C10">
        <v>7320</v>
      </c>
      <c r="D10">
        <v>1</v>
      </c>
      <c r="E10">
        <v>1</v>
      </c>
      <c r="F10">
        <v>0.32682086496236828</v>
      </c>
      <c r="G10">
        <v>0.25828531831586199</v>
      </c>
    </row>
    <row r="11" spans="1:7" x14ac:dyDescent="0.25">
      <c r="A11" t="s">
        <v>16</v>
      </c>
      <c r="B11">
        <v>0</v>
      </c>
      <c r="C11">
        <v>7269.5</v>
      </c>
      <c r="D11">
        <v>0.81285714285714283</v>
      </c>
      <c r="E11">
        <v>1</v>
      </c>
      <c r="F11">
        <v>0.2996709191906497</v>
      </c>
      <c r="G11">
        <v>0.28398495983271171</v>
      </c>
    </row>
    <row r="12" spans="1:7" x14ac:dyDescent="0.25">
      <c r="A12" t="s">
        <v>15</v>
      </c>
      <c r="B12">
        <v>2</v>
      </c>
      <c r="C12">
        <v>7231</v>
      </c>
      <c r="D12">
        <v>0.64928571428571424</v>
      </c>
      <c r="E12">
        <v>0.8571428571428571</v>
      </c>
      <c r="F12">
        <v>0.27639694173859441</v>
      </c>
      <c r="G12">
        <v>0.308295078086751</v>
      </c>
    </row>
    <row r="13" spans="1:7" x14ac:dyDescent="0.25">
      <c r="A13" t="s">
        <v>14</v>
      </c>
      <c r="B13">
        <v>1</v>
      </c>
      <c r="C13">
        <v>7112.5</v>
      </c>
      <c r="D13">
        <v>0.65678571428571431</v>
      </c>
      <c r="E13">
        <v>0.9285714285714286</v>
      </c>
      <c r="F13">
        <v>0.27805356700227452</v>
      </c>
      <c r="G13">
        <v>0.30875611947333009</v>
      </c>
    </row>
    <row r="14" spans="1:7" x14ac:dyDescent="0.25">
      <c r="A14" t="s">
        <v>18</v>
      </c>
      <c r="B14">
        <v>11</v>
      </c>
      <c r="C14">
        <v>6647.5</v>
      </c>
      <c r="D14">
        <v>0.35142857142857142</v>
      </c>
      <c r="E14">
        <v>0.2142857142857143</v>
      </c>
      <c r="F14">
        <v>0.13480333379257159</v>
      </c>
      <c r="G14">
        <v>-8.3972359099052877E-3</v>
      </c>
    </row>
    <row r="15" spans="1:7" x14ac:dyDescent="0.25">
      <c r="A15" t="s">
        <v>21</v>
      </c>
      <c r="B15">
        <v>13</v>
      </c>
      <c r="C15">
        <v>6542.5</v>
      </c>
      <c r="D15">
        <v>0</v>
      </c>
      <c r="E15">
        <v>7.1428571428571425E-2</v>
      </c>
      <c r="F15">
        <v>0</v>
      </c>
      <c r="G15">
        <v>-0.25828531831586199</v>
      </c>
    </row>
    <row r="16" spans="1:7" x14ac:dyDescent="0.25">
      <c r="A16" t="s">
        <v>20</v>
      </c>
      <c r="B16">
        <v>9</v>
      </c>
      <c r="C16">
        <v>6250</v>
      </c>
      <c r="D16">
        <v>0.23250000000000001</v>
      </c>
      <c r="E16">
        <v>0.35714285714285721</v>
      </c>
      <c r="F16">
        <v>8.8749087854972541E-2</v>
      </c>
      <c r="G16">
        <v>-9.806072025378243E-2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>
        <v>8</v>
      </c>
      <c r="C2">
        <v>9170.5</v>
      </c>
      <c r="D2">
        <v>0.49714285714285722</v>
      </c>
      <c r="E2">
        <v>0.42857142857142849</v>
      </c>
      <c r="F2">
        <v>0.16259365102156409</v>
      </c>
      <c r="G2">
        <v>-3.2447309100423809E-4</v>
      </c>
    </row>
    <row r="3" spans="1:7" x14ac:dyDescent="0.25">
      <c r="A3" t="s">
        <v>8</v>
      </c>
      <c r="B3">
        <v>0</v>
      </c>
      <c r="C3">
        <v>8096</v>
      </c>
      <c r="D3">
        <v>0.79357142857142859</v>
      </c>
      <c r="E3">
        <v>1</v>
      </c>
      <c r="F3">
        <v>0.30137022965918991</v>
      </c>
      <c r="G3">
        <v>0.29666403957492921</v>
      </c>
    </row>
    <row r="4" spans="1:7" x14ac:dyDescent="0.25">
      <c r="A4" t="s">
        <v>9</v>
      </c>
      <c r="B4">
        <v>0</v>
      </c>
      <c r="C4">
        <v>7690</v>
      </c>
      <c r="D4">
        <v>0.88928571428571423</v>
      </c>
      <c r="E4">
        <v>1</v>
      </c>
      <c r="F4">
        <v>0.31643204284659382</v>
      </c>
      <c r="G4">
        <v>0.28830135149583319</v>
      </c>
    </row>
    <row r="5" spans="1:7" x14ac:dyDescent="0.25">
      <c r="A5" t="s">
        <v>13</v>
      </c>
      <c r="B5">
        <v>0</v>
      </c>
      <c r="C5">
        <v>7495.5</v>
      </c>
      <c r="D5">
        <v>0.72035714285714281</v>
      </c>
      <c r="E5">
        <v>1</v>
      </c>
      <c r="F5">
        <v>0.29375320558785678</v>
      </c>
      <c r="G5">
        <v>0.31769724073232247</v>
      </c>
    </row>
    <row r="6" spans="1:7" x14ac:dyDescent="0.25">
      <c r="A6" t="s">
        <v>11</v>
      </c>
      <c r="B6">
        <v>0</v>
      </c>
      <c r="C6">
        <v>7348.5</v>
      </c>
      <c r="D6">
        <v>0.78249999999999997</v>
      </c>
      <c r="E6">
        <v>1</v>
      </c>
      <c r="F6">
        <v>0.30573216824716343</v>
      </c>
      <c r="G6">
        <v>0.32024933221950169</v>
      </c>
    </row>
    <row r="7" spans="1:7" x14ac:dyDescent="0.25">
      <c r="A7" t="s">
        <v>16</v>
      </c>
      <c r="B7">
        <v>0</v>
      </c>
      <c r="C7">
        <v>7282</v>
      </c>
      <c r="D7">
        <v>0.80678571428571433</v>
      </c>
      <c r="E7">
        <v>1</v>
      </c>
      <c r="F7">
        <v>0.3000185898744025</v>
      </c>
      <c r="G7">
        <v>0.28342663294440051</v>
      </c>
    </row>
    <row r="8" spans="1:7" x14ac:dyDescent="0.25">
      <c r="A8" t="s">
        <v>12</v>
      </c>
      <c r="B8">
        <v>0</v>
      </c>
      <c r="C8">
        <v>7275</v>
      </c>
      <c r="D8">
        <v>1</v>
      </c>
      <c r="E8">
        <v>1</v>
      </c>
      <c r="F8">
        <v>0.32610317008758821</v>
      </c>
      <c r="G8">
        <v>0.24828182644907151</v>
      </c>
    </row>
    <row r="9" spans="1:7" x14ac:dyDescent="0.25">
      <c r="A9" t="s">
        <v>7</v>
      </c>
      <c r="B9">
        <v>0</v>
      </c>
      <c r="C9">
        <v>7271.5</v>
      </c>
      <c r="D9">
        <v>0.8571428571428571</v>
      </c>
      <c r="E9">
        <v>1</v>
      </c>
      <c r="F9">
        <v>0.31922005898459122</v>
      </c>
      <c r="G9">
        <v>0.31712130294425339</v>
      </c>
    </row>
    <row r="10" spans="1:7" x14ac:dyDescent="0.25">
      <c r="A10" t="s">
        <v>15</v>
      </c>
      <c r="B10">
        <v>2</v>
      </c>
      <c r="C10">
        <v>7217</v>
      </c>
      <c r="D10">
        <v>0.65749999999999997</v>
      </c>
      <c r="E10">
        <v>0.8571428571428571</v>
      </c>
      <c r="F10">
        <v>0.27894843894075427</v>
      </c>
      <c r="G10">
        <v>0.30810244726951869</v>
      </c>
    </row>
    <row r="11" spans="1:7" x14ac:dyDescent="0.25">
      <c r="A11" t="s">
        <v>17</v>
      </c>
      <c r="B11">
        <v>6</v>
      </c>
      <c r="C11">
        <v>7185</v>
      </c>
      <c r="D11">
        <v>0.49321428571428572</v>
      </c>
      <c r="E11">
        <v>0.5714285714285714</v>
      </c>
      <c r="F11">
        <v>0.18347151110113699</v>
      </c>
      <c r="G11">
        <v>8.2355496677356171E-2</v>
      </c>
    </row>
    <row r="12" spans="1:7" x14ac:dyDescent="0.25">
      <c r="A12" t="s">
        <v>10</v>
      </c>
      <c r="B12">
        <v>0</v>
      </c>
      <c r="C12">
        <v>7160.5</v>
      </c>
      <c r="D12">
        <v>0.79285714285714282</v>
      </c>
      <c r="E12">
        <v>1</v>
      </c>
      <c r="F12">
        <v>0.30860034890164673</v>
      </c>
      <c r="G12">
        <v>0.32251477207142148</v>
      </c>
    </row>
    <row r="13" spans="1:7" x14ac:dyDescent="0.25">
      <c r="A13" t="s">
        <v>14</v>
      </c>
      <c r="B13">
        <v>1</v>
      </c>
      <c r="C13">
        <v>7106.5</v>
      </c>
      <c r="D13">
        <v>0.66428571428571426</v>
      </c>
      <c r="E13">
        <v>0.9285714285714286</v>
      </c>
      <c r="F13">
        <v>0.28101880599443801</v>
      </c>
      <c r="G13">
        <v>0.31010012241008078</v>
      </c>
    </row>
    <row r="14" spans="1:7" x14ac:dyDescent="0.25">
      <c r="A14" t="s">
        <v>21</v>
      </c>
      <c r="B14">
        <v>13</v>
      </c>
      <c r="C14">
        <v>6662.5</v>
      </c>
      <c r="D14">
        <v>0</v>
      </c>
      <c r="E14">
        <v>7.1428571428571425E-2</v>
      </c>
      <c r="F14">
        <v>0</v>
      </c>
      <c r="G14">
        <v>-0.24828182644907151</v>
      </c>
    </row>
    <row r="15" spans="1:7" x14ac:dyDescent="0.25">
      <c r="A15" t="s">
        <v>18</v>
      </c>
      <c r="B15">
        <v>10</v>
      </c>
      <c r="C15">
        <v>6453</v>
      </c>
      <c r="D15">
        <v>0.3175</v>
      </c>
      <c r="E15">
        <v>0.2857142857142857</v>
      </c>
      <c r="F15">
        <v>0.1193936661904971</v>
      </c>
      <c r="G15">
        <v>-4.0085452978004733E-2</v>
      </c>
    </row>
    <row r="16" spans="1:7" x14ac:dyDescent="0.25">
      <c r="A16" t="s">
        <v>20</v>
      </c>
      <c r="B16">
        <v>9</v>
      </c>
      <c r="C16">
        <v>5735</v>
      </c>
      <c r="D16">
        <v>0.1817857142857143</v>
      </c>
      <c r="E16">
        <v>0.35714285714285721</v>
      </c>
      <c r="F16">
        <v>6.823818618935934E-2</v>
      </c>
      <c r="G16">
        <v>-0.13305239669788341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>
        <v>0</v>
      </c>
      <c r="C2">
        <v>8256</v>
      </c>
      <c r="D2">
        <v>0.79321428571428576</v>
      </c>
      <c r="E2">
        <v>1</v>
      </c>
      <c r="F2">
        <v>0.30028986475383163</v>
      </c>
      <c r="G2">
        <v>0.3012464309019211</v>
      </c>
    </row>
    <row r="3" spans="1:7" x14ac:dyDescent="0.25">
      <c r="A3" t="s">
        <v>19</v>
      </c>
      <c r="B3">
        <v>6</v>
      </c>
      <c r="C3">
        <v>8176</v>
      </c>
      <c r="D3">
        <v>0.47714285714285709</v>
      </c>
      <c r="E3">
        <v>0.5714285714285714</v>
      </c>
      <c r="F3">
        <v>0.1560247946223971</v>
      </c>
      <c r="G3">
        <v>-1.160676355497019E-2</v>
      </c>
    </row>
    <row r="4" spans="1:7" x14ac:dyDescent="0.25">
      <c r="A4" t="s">
        <v>7</v>
      </c>
      <c r="B4">
        <v>1</v>
      </c>
      <c r="C4">
        <v>8131</v>
      </c>
      <c r="D4">
        <v>0.85464285714285715</v>
      </c>
      <c r="E4">
        <v>0.9285714285714286</v>
      </c>
      <c r="F4">
        <v>0.31192134415328049</v>
      </c>
      <c r="G4">
        <v>0.30833818552382269</v>
      </c>
    </row>
    <row r="5" spans="1:7" x14ac:dyDescent="0.25">
      <c r="A5" t="s">
        <v>9</v>
      </c>
      <c r="B5">
        <v>0</v>
      </c>
      <c r="C5">
        <v>7796</v>
      </c>
      <c r="D5">
        <v>0.89214285714285713</v>
      </c>
      <c r="E5">
        <v>1</v>
      </c>
      <c r="F5">
        <v>0.31558033833084909</v>
      </c>
      <c r="G5">
        <v>0.29242476946267759</v>
      </c>
    </row>
    <row r="6" spans="1:7" x14ac:dyDescent="0.25">
      <c r="A6" t="s">
        <v>13</v>
      </c>
      <c r="B6">
        <v>0</v>
      </c>
      <c r="C6">
        <v>7732</v>
      </c>
      <c r="D6">
        <v>0.72964285714285715</v>
      </c>
      <c r="E6">
        <v>1</v>
      </c>
      <c r="F6">
        <v>0.29244209966159213</v>
      </c>
      <c r="G6">
        <v>0.31482989984327531</v>
      </c>
    </row>
    <row r="7" spans="1:7" x14ac:dyDescent="0.25">
      <c r="A7" t="s">
        <v>17</v>
      </c>
      <c r="B7">
        <v>6</v>
      </c>
      <c r="C7">
        <v>7585</v>
      </c>
      <c r="D7">
        <v>0.46714285714285708</v>
      </c>
      <c r="E7">
        <v>0.5714285714285714</v>
      </c>
      <c r="F7">
        <v>0.17673001839039579</v>
      </c>
      <c r="G7">
        <v>7.6891635197331804E-2</v>
      </c>
    </row>
    <row r="8" spans="1:7" x14ac:dyDescent="0.25">
      <c r="A8" t="s">
        <v>10</v>
      </c>
      <c r="B8">
        <v>0</v>
      </c>
      <c r="C8">
        <v>7453</v>
      </c>
      <c r="D8">
        <v>0.84250000000000003</v>
      </c>
      <c r="E8">
        <v>1</v>
      </c>
      <c r="F8">
        <v>0.31478539375835612</v>
      </c>
      <c r="G8">
        <v>0.32332025387597269</v>
      </c>
    </row>
    <row r="9" spans="1:7" x14ac:dyDescent="0.25">
      <c r="A9" t="s">
        <v>16</v>
      </c>
      <c r="B9">
        <v>1</v>
      </c>
      <c r="C9">
        <v>7375</v>
      </c>
      <c r="D9">
        <v>0.80071428571428571</v>
      </c>
      <c r="E9">
        <v>0.9285714285714286</v>
      </c>
      <c r="F9">
        <v>0.29717655505911711</v>
      </c>
      <c r="G9">
        <v>0.28511821645564678</v>
      </c>
    </row>
    <row r="10" spans="1:7" x14ac:dyDescent="0.25">
      <c r="A10" t="s">
        <v>12</v>
      </c>
      <c r="B10">
        <v>0</v>
      </c>
      <c r="C10">
        <v>7326</v>
      </c>
      <c r="D10">
        <v>1</v>
      </c>
      <c r="E10">
        <v>1</v>
      </c>
      <c r="F10">
        <v>0.32663163695599479</v>
      </c>
      <c r="G10">
        <v>0.25822509934918381</v>
      </c>
    </row>
    <row r="11" spans="1:7" x14ac:dyDescent="0.25">
      <c r="A11" t="s">
        <v>11</v>
      </c>
      <c r="B11">
        <v>0</v>
      </c>
      <c r="C11">
        <v>7299</v>
      </c>
      <c r="D11">
        <v>0.79535714285714287</v>
      </c>
      <c r="E11">
        <v>1</v>
      </c>
      <c r="F11">
        <v>0.30617018684781699</v>
      </c>
      <c r="G11">
        <v>0.32299033503190361</v>
      </c>
    </row>
    <row r="12" spans="1:7" x14ac:dyDescent="0.25">
      <c r="A12" t="s">
        <v>14</v>
      </c>
      <c r="B12">
        <v>1</v>
      </c>
      <c r="C12">
        <v>7215</v>
      </c>
      <c r="D12">
        <v>0.66928571428571426</v>
      </c>
      <c r="E12">
        <v>0.9285714285714286</v>
      </c>
      <c r="F12">
        <v>0.27947841415265701</v>
      </c>
      <c r="G12">
        <v>0.30913525471811842</v>
      </c>
    </row>
    <row r="13" spans="1:7" x14ac:dyDescent="0.25">
      <c r="A13" t="s">
        <v>18</v>
      </c>
      <c r="B13">
        <v>9</v>
      </c>
      <c r="C13">
        <v>7184</v>
      </c>
      <c r="D13">
        <v>0.38678571428571429</v>
      </c>
      <c r="E13">
        <v>0.35714285714285721</v>
      </c>
      <c r="F13">
        <v>0.14671222342754189</v>
      </c>
      <c r="G13">
        <v>1.5349088001741149E-2</v>
      </c>
    </row>
    <row r="14" spans="1:7" x14ac:dyDescent="0.25">
      <c r="A14" t="s">
        <v>15</v>
      </c>
      <c r="B14">
        <v>1</v>
      </c>
      <c r="C14">
        <v>7155</v>
      </c>
      <c r="D14">
        <v>0.65035714285714286</v>
      </c>
      <c r="E14">
        <v>0.9285714285714286</v>
      </c>
      <c r="F14">
        <v>0.27568391856606439</v>
      </c>
      <c r="G14">
        <v>0.30810885141770172</v>
      </c>
    </row>
    <row r="15" spans="1:7" x14ac:dyDescent="0.25">
      <c r="A15" t="s">
        <v>21</v>
      </c>
      <c r="B15">
        <v>13</v>
      </c>
      <c r="C15">
        <v>6944</v>
      </c>
      <c r="D15">
        <v>0</v>
      </c>
      <c r="E15">
        <v>7.1428571428571425E-2</v>
      </c>
      <c r="F15">
        <v>0</v>
      </c>
      <c r="G15">
        <v>-0.25822509934918381</v>
      </c>
    </row>
    <row r="16" spans="1:7" x14ac:dyDescent="0.25">
      <c r="A16" t="s">
        <v>20</v>
      </c>
      <c r="B16">
        <v>12</v>
      </c>
      <c r="C16">
        <v>6262</v>
      </c>
      <c r="D16">
        <v>0.24357142857142861</v>
      </c>
      <c r="E16">
        <v>0.14285714285714279</v>
      </c>
      <c r="F16">
        <v>9.1509904618824245E-2</v>
      </c>
      <c r="G16">
        <v>-9.6219489789861362E-2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>
        <v>7</v>
      </c>
      <c r="C2">
        <v>8623</v>
      </c>
      <c r="D2">
        <v>0.49607142857142861</v>
      </c>
      <c r="E2">
        <v>0.5</v>
      </c>
      <c r="F2">
        <v>0.16297590715114421</v>
      </c>
      <c r="G2">
        <v>2.373256414144338E-3</v>
      </c>
    </row>
    <row r="3" spans="1:7" x14ac:dyDescent="0.25">
      <c r="A3" t="s">
        <v>8</v>
      </c>
      <c r="B3">
        <v>0</v>
      </c>
      <c r="C3">
        <v>8284</v>
      </c>
      <c r="D3">
        <v>0.79642857142857137</v>
      </c>
      <c r="E3">
        <v>1</v>
      </c>
      <c r="F3">
        <v>0.30033986170037169</v>
      </c>
      <c r="G3">
        <v>0.3016851984692247</v>
      </c>
    </row>
    <row r="4" spans="1:7" x14ac:dyDescent="0.25">
      <c r="A4" t="s">
        <v>17</v>
      </c>
      <c r="B4">
        <v>7</v>
      </c>
      <c r="C4">
        <v>7792</v>
      </c>
      <c r="D4">
        <v>0.43035714285714288</v>
      </c>
      <c r="E4">
        <v>0.5</v>
      </c>
      <c r="F4">
        <v>0.16986015559446729</v>
      </c>
      <c r="G4">
        <v>7.8160799526335631E-2</v>
      </c>
    </row>
    <row r="5" spans="1:7" x14ac:dyDescent="0.25">
      <c r="A5" t="s">
        <v>13</v>
      </c>
      <c r="B5">
        <v>0</v>
      </c>
      <c r="C5">
        <v>7764</v>
      </c>
      <c r="D5">
        <v>0.72642857142857142</v>
      </c>
      <c r="E5">
        <v>1</v>
      </c>
      <c r="F5">
        <v>0.29175889643869762</v>
      </c>
      <c r="G5">
        <v>0.31741985666153888</v>
      </c>
    </row>
    <row r="6" spans="1:7" x14ac:dyDescent="0.25">
      <c r="A6" t="s">
        <v>9</v>
      </c>
      <c r="B6">
        <v>0</v>
      </c>
      <c r="C6">
        <v>7609</v>
      </c>
      <c r="D6">
        <v>0.88071428571428567</v>
      </c>
      <c r="E6">
        <v>1</v>
      </c>
      <c r="F6">
        <v>0.31357664173712141</v>
      </c>
      <c r="G6">
        <v>0.29630413851225379</v>
      </c>
    </row>
    <row r="7" spans="1:7" x14ac:dyDescent="0.25">
      <c r="A7" t="s">
        <v>7</v>
      </c>
      <c r="B7">
        <v>0</v>
      </c>
      <c r="C7">
        <v>7524</v>
      </c>
      <c r="D7">
        <v>0.92285714285714282</v>
      </c>
      <c r="E7">
        <v>1</v>
      </c>
      <c r="F7">
        <v>0.3243361660128809</v>
      </c>
      <c r="G7">
        <v>0.30580781134952773</v>
      </c>
    </row>
    <row r="8" spans="1:7" x14ac:dyDescent="0.25">
      <c r="A8" t="s">
        <v>10</v>
      </c>
      <c r="B8">
        <v>0</v>
      </c>
      <c r="C8">
        <v>7469</v>
      </c>
      <c r="D8">
        <v>0.85285714285714287</v>
      </c>
      <c r="E8">
        <v>1</v>
      </c>
      <c r="F8">
        <v>0.31500457442350688</v>
      </c>
      <c r="G8">
        <v>0.32011256955765371</v>
      </c>
    </row>
    <row r="9" spans="1:7" x14ac:dyDescent="0.25">
      <c r="A9" t="s">
        <v>16</v>
      </c>
      <c r="B9">
        <v>0</v>
      </c>
      <c r="C9">
        <v>7423</v>
      </c>
      <c r="D9">
        <v>0.8035714285714286</v>
      </c>
      <c r="E9">
        <v>1</v>
      </c>
      <c r="F9">
        <v>0.29755343821992603</v>
      </c>
      <c r="G9">
        <v>0.28657818468427831</v>
      </c>
    </row>
    <row r="10" spans="1:7" x14ac:dyDescent="0.25">
      <c r="A10" t="s">
        <v>11</v>
      </c>
      <c r="B10">
        <v>0</v>
      </c>
      <c r="C10">
        <v>7420</v>
      </c>
      <c r="D10">
        <v>0.79535714285714287</v>
      </c>
      <c r="E10">
        <v>1</v>
      </c>
      <c r="F10">
        <v>0.30447964505300218</v>
      </c>
      <c r="G10">
        <v>0.3196207583125224</v>
      </c>
    </row>
    <row r="11" spans="1:7" x14ac:dyDescent="0.25">
      <c r="A11" t="s">
        <v>12</v>
      </c>
      <c r="B11">
        <v>0</v>
      </c>
      <c r="C11">
        <v>7329</v>
      </c>
      <c r="D11">
        <v>1</v>
      </c>
      <c r="E11">
        <v>1</v>
      </c>
      <c r="F11">
        <v>0.32547739211512611</v>
      </c>
      <c r="G11">
        <v>0.25775171453581969</v>
      </c>
    </row>
    <row r="12" spans="1:7" x14ac:dyDescent="0.25">
      <c r="A12" t="s">
        <v>15</v>
      </c>
      <c r="B12">
        <v>1</v>
      </c>
      <c r="C12">
        <v>7275</v>
      </c>
      <c r="D12">
        <v>0.64892857142857141</v>
      </c>
      <c r="E12">
        <v>0.9285714285714286</v>
      </c>
      <c r="F12">
        <v>0.27568638269345602</v>
      </c>
      <c r="G12">
        <v>0.31017279669092768</v>
      </c>
    </row>
    <row r="13" spans="1:7" x14ac:dyDescent="0.25">
      <c r="A13" t="s">
        <v>14</v>
      </c>
      <c r="B13">
        <v>1</v>
      </c>
      <c r="C13">
        <v>7093</v>
      </c>
      <c r="D13">
        <v>0.65678571428571431</v>
      </c>
      <c r="E13">
        <v>0.9285714285714286</v>
      </c>
      <c r="F13">
        <v>0.27721305710594241</v>
      </c>
      <c r="G13">
        <v>0.30982026312488731</v>
      </c>
    </row>
    <row r="14" spans="1:7" x14ac:dyDescent="0.25">
      <c r="A14" t="s">
        <v>18</v>
      </c>
      <c r="B14">
        <v>9</v>
      </c>
      <c r="C14">
        <v>6959</v>
      </c>
      <c r="D14">
        <v>0.35535714285714293</v>
      </c>
      <c r="E14">
        <v>0.35714285714285721</v>
      </c>
      <c r="F14">
        <v>0.13507118249175309</v>
      </c>
      <c r="G14">
        <v>-8.8485994443266366E-3</v>
      </c>
    </row>
    <row r="15" spans="1:7" x14ac:dyDescent="0.25">
      <c r="A15" t="s">
        <v>21</v>
      </c>
      <c r="B15">
        <v>13</v>
      </c>
      <c r="C15">
        <v>6824</v>
      </c>
      <c r="D15">
        <v>0</v>
      </c>
      <c r="E15">
        <v>7.1428571428571425E-2</v>
      </c>
      <c r="F15">
        <v>0</v>
      </c>
      <c r="G15">
        <v>-0.25775171453581969</v>
      </c>
    </row>
    <row r="16" spans="1:7" x14ac:dyDescent="0.25">
      <c r="A16" t="s">
        <v>20</v>
      </c>
      <c r="B16">
        <v>10</v>
      </c>
      <c r="C16">
        <v>6679</v>
      </c>
      <c r="D16">
        <v>0.23821428571428571</v>
      </c>
      <c r="E16">
        <v>0.2857142857142857</v>
      </c>
      <c r="F16">
        <v>9.0726146832368904E-2</v>
      </c>
      <c r="G16">
        <v>-9.433387931585667E-2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>
        <v>7</v>
      </c>
      <c r="C2">
        <v>8931</v>
      </c>
      <c r="D2">
        <v>0.49964285714285722</v>
      </c>
      <c r="E2">
        <v>0.5</v>
      </c>
      <c r="F2">
        <v>0.16241849184210119</v>
      </c>
      <c r="G2">
        <v>1.528633995461373E-3</v>
      </c>
    </row>
    <row r="3" spans="1:7" x14ac:dyDescent="0.25">
      <c r="A3" t="s">
        <v>8</v>
      </c>
      <c r="B3">
        <v>0</v>
      </c>
      <c r="C3">
        <v>8200</v>
      </c>
      <c r="D3">
        <v>0.8035714285714286</v>
      </c>
      <c r="E3">
        <v>1</v>
      </c>
      <c r="F3">
        <v>0.29972994159252042</v>
      </c>
      <c r="G3">
        <v>0.30083114850435599</v>
      </c>
    </row>
    <row r="4" spans="1:7" x14ac:dyDescent="0.25">
      <c r="A4" t="s">
        <v>9</v>
      </c>
      <c r="B4">
        <v>0</v>
      </c>
      <c r="C4">
        <v>7797</v>
      </c>
      <c r="D4">
        <v>0.88535714285714284</v>
      </c>
      <c r="E4">
        <v>1</v>
      </c>
      <c r="F4">
        <v>0.31307694025019073</v>
      </c>
      <c r="G4">
        <v>0.2972974615480401</v>
      </c>
    </row>
    <row r="5" spans="1:7" x14ac:dyDescent="0.25">
      <c r="A5" t="s">
        <v>13</v>
      </c>
      <c r="B5">
        <v>0</v>
      </c>
      <c r="C5">
        <v>7735</v>
      </c>
      <c r="D5">
        <v>0.72750000000000004</v>
      </c>
      <c r="E5">
        <v>1</v>
      </c>
      <c r="F5">
        <v>0.28941412733029959</v>
      </c>
      <c r="G5">
        <v>0.31309469691327518</v>
      </c>
    </row>
    <row r="6" spans="1:7" x14ac:dyDescent="0.25">
      <c r="A6" t="s">
        <v>17</v>
      </c>
      <c r="B6">
        <v>7</v>
      </c>
      <c r="C6">
        <v>7664</v>
      </c>
      <c r="D6">
        <v>0.45107142857142862</v>
      </c>
      <c r="E6">
        <v>0.5</v>
      </c>
      <c r="F6">
        <v>0.17301442449069809</v>
      </c>
      <c r="G6">
        <v>7.800809558192022E-2</v>
      </c>
    </row>
    <row r="7" spans="1:7" x14ac:dyDescent="0.25">
      <c r="A7" t="s">
        <v>11</v>
      </c>
      <c r="B7">
        <v>0</v>
      </c>
      <c r="C7">
        <v>7507</v>
      </c>
      <c r="D7">
        <v>0.8214285714285714</v>
      </c>
      <c r="E7">
        <v>1</v>
      </c>
      <c r="F7">
        <v>0.30808146540713549</v>
      </c>
      <c r="G7">
        <v>0.32315746834568881</v>
      </c>
    </row>
    <row r="8" spans="1:7" x14ac:dyDescent="0.25">
      <c r="A8" t="s">
        <v>7</v>
      </c>
      <c r="B8">
        <v>0</v>
      </c>
      <c r="C8">
        <v>7479</v>
      </c>
      <c r="D8">
        <v>0.92178571428571432</v>
      </c>
      <c r="E8">
        <v>1</v>
      </c>
      <c r="F8">
        <v>0.32279336629339939</v>
      </c>
      <c r="G8">
        <v>0.30770465888168802</v>
      </c>
    </row>
    <row r="9" spans="1:7" x14ac:dyDescent="0.25">
      <c r="A9" t="s">
        <v>10</v>
      </c>
      <c r="B9">
        <v>0</v>
      </c>
      <c r="C9">
        <v>7463</v>
      </c>
      <c r="D9">
        <v>0.84928571428571431</v>
      </c>
      <c r="E9">
        <v>1</v>
      </c>
      <c r="F9">
        <v>0.31351201855469291</v>
      </c>
      <c r="G9">
        <v>0.32369688189293661</v>
      </c>
    </row>
    <row r="10" spans="1:7" x14ac:dyDescent="0.25">
      <c r="A10" t="s">
        <v>12</v>
      </c>
      <c r="B10">
        <v>0</v>
      </c>
      <c r="C10">
        <v>7317</v>
      </c>
      <c r="D10">
        <v>1</v>
      </c>
      <c r="E10">
        <v>1</v>
      </c>
      <c r="F10">
        <v>0.32417348803653723</v>
      </c>
      <c r="G10">
        <v>0.25959660185168532</v>
      </c>
    </row>
    <row r="11" spans="1:7" x14ac:dyDescent="0.25">
      <c r="A11" t="s">
        <v>16</v>
      </c>
      <c r="B11">
        <v>0</v>
      </c>
      <c r="C11">
        <v>7302</v>
      </c>
      <c r="D11">
        <v>0.80785714285714283</v>
      </c>
      <c r="E11">
        <v>1</v>
      </c>
      <c r="F11">
        <v>0.29627326049917202</v>
      </c>
      <c r="G11">
        <v>0.28439881963954128</v>
      </c>
    </row>
    <row r="12" spans="1:7" x14ac:dyDescent="0.25">
      <c r="A12" t="s">
        <v>15</v>
      </c>
      <c r="B12">
        <v>1</v>
      </c>
      <c r="C12">
        <v>7255</v>
      </c>
      <c r="D12">
        <v>0.6467857142857143</v>
      </c>
      <c r="E12">
        <v>0.9285714285714286</v>
      </c>
      <c r="F12">
        <v>0.2727823680923594</v>
      </c>
      <c r="G12">
        <v>0.30589511751051751</v>
      </c>
    </row>
    <row r="13" spans="1:7" x14ac:dyDescent="0.25">
      <c r="A13" t="s">
        <v>18</v>
      </c>
      <c r="B13">
        <v>9</v>
      </c>
      <c r="C13">
        <v>7238</v>
      </c>
      <c r="D13">
        <v>0.40035714285714291</v>
      </c>
      <c r="E13">
        <v>0.35714285714285721</v>
      </c>
      <c r="F13">
        <v>0.15139675510030831</v>
      </c>
      <c r="G13">
        <v>2.897964294240039E-2</v>
      </c>
    </row>
    <row r="14" spans="1:7" x14ac:dyDescent="0.25">
      <c r="A14" t="s">
        <v>14</v>
      </c>
      <c r="B14">
        <v>1</v>
      </c>
      <c r="C14">
        <v>7181</v>
      </c>
      <c r="D14">
        <v>0.66928571428571426</v>
      </c>
      <c r="E14">
        <v>0.9285714285714286</v>
      </c>
      <c r="F14">
        <v>0.27689230870148052</v>
      </c>
      <c r="G14">
        <v>0.30486073485903098</v>
      </c>
    </row>
    <row r="15" spans="1:7" x14ac:dyDescent="0.25">
      <c r="A15" t="s">
        <v>21</v>
      </c>
      <c r="B15">
        <v>13</v>
      </c>
      <c r="C15">
        <v>6912</v>
      </c>
      <c r="D15">
        <v>0</v>
      </c>
      <c r="E15">
        <v>7.1428571428571425E-2</v>
      </c>
      <c r="F15">
        <v>0</v>
      </c>
      <c r="G15">
        <v>-0.25959660185168532</v>
      </c>
    </row>
    <row r="16" spans="1:7" x14ac:dyDescent="0.25">
      <c r="A16" t="s">
        <v>20</v>
      </c>
      <c r="B16">
        <v>9</v>
      </c>
      <c r="C16">
        <v>6477</v>
      </c>
      <c r="D16">
        <v>0.23535714285714279</v>
      </c>
      <c r="E16">
        <v>0.35714285714285721</v>
      </c>
      <c r="F16">
        <v>8.8340935289273295E-2</v>
      </c>
      <c r="G16">
        <v>-0.10045487764183229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>
        <v>6</v>
      </c>
      <c r="C2">
        <v>8615</v>
      </c>
      <c r="D2">
        <v>0.49678571428571427</v>
      </c>
      <c r="E2">
        <v>0.5714285714285714</v>
      </c>
      <c r="F2">
        <v>0.1623226001062005</v>
      </c>
      <c r="G2">
        <v>3.1341730844299919E-4</v>
      </c>
    </row>
    <row r="3" spans="1:7" x14ac:dyDescent="0.25">
      <c r="A3" t="s">
        <v>8</v>
      </c>
      <c r="B3">
        <v>0</v>
      </c>
      <c r="C3">
        <v>8337</v>
      </c>
      <c r="D3">
        <v>0.78749999999999998</v>
      </c>
      <c r="E3">
        <v>1</v>
      </c>
      <c r="F3">
        <v>0.29770300102335012</v>
      </c>
      <c r="G3">
        <v>0.30136283056723279</v>
      </c>
    </row>
    <row r="4" spans="1:7" x14ac:dyDescent="0.25">
      <c r="A4" t="s">
        <v>17</v>
      </c>
      <c r="B4">
        <v>7</v>
      </c>
      <c r="C4">
        <v>7867</v>
      </c>
      <c r="D4">
        <v>0.42714285714285721</v>
      </c>
      <c r="E4">
        <v>0.5</v>
      </c>
      <c r="F4">
        <v>0.16855296689454349</v>
      </c>
      <c r="G4">
        <v>7.7557822296000764E-2</v>
      </c>
    </row>
    <row r="5" spans="1:7" x14ac:dyDescent="0.25">
      <c r="A5" t="s">
        <v>9</v>
      </c>
      <c r="B5">
        <v>0</v>
      </c>
      <c r="C5">
        <v>7793</v>
      </c>
      <c r="D5">
        <v>0.90357142857142858</v>
      </c>
      <c r="E5">
        <v>1</v>
      </c>
      <c r="F5">
        <v>0.31631188415239969</v>
      </c>
      <c r="G5">
        <v>0.29412493576601378</v>
      </c>
    </row>
    <row r="6" spans="1:7" x14ac:dyDescent="0.25">
      <c r="A6" t="s">
        <v>13</v>
      </c>
      <c r="B6">
        <v>0</v>
      </c>
      <c r="C6">
        <v>7586</v>
      </c>
      <c r="D6">
        <v>0.7232142857142857</v>
      </c>
      <c r="E6">
        <v>1</v>
      </c>
      <c r="F6">
        <v>0.28994316375582341</v>
      </c>
      <c r="G6">
        <v>0.31541364323889909</v>
      </c>
    </row>
    <row r="7" spans="1:7" x14ac:dyDescent="0.25">
      <c r="A7" t="s">
        <v>7</v>
      </c>
      <c r="B7">
        <v>0</v>
      </c>
      <c r="C7">
        <v>7532</v>
      </c>
      <c r="D7">
        <v>0.92285714285714282</v>
      </c>
      <c r="E7">
        <v>1</v>
      </c>
      <c r="F7">
        <v>0.32416608743348918</v>
      </c>
      <c r="G7">
        <v>0.30831705320067598</v>
      </c>
    </row>
    <row r="8" spans="1:7" x14ac:dyDescent="0.25">
      <c r="A8" t="s">
        <v>10</v>
      </c>
      <c r="B8">
        <v>0</v>
      </c>
      <c r="C8">
        <v>7476</v>
      </c>
      <c r="D8">
        <v>0.84535714285714281</v>
      </c>
      <c r="E8">
        <v>1</v>
      </c>
      <c r="F8">
        <v>0.31298720809521929</v>
      </c>
      <c r="G8">
        <v>0.32223228583594321</v>
      </c>
    </row>
    <row r="9" spans="1:7" x14ac:dyDescent="0.25">
      <c r="A9" t="s">
        <v>16</v>
      </c>
      <c r="B9">
        <v>1</v>
      </c>
      <c r="C9">
        <v>7431</v>
      </c>
      <c r="D9">
        <v>0.80571428571428572</v>
      </c>
      <c r="E9">
        <v>0.9285714285714286</v>
      </c>
      <c r="F9">
        <v>0.29697308446423321</v>
      </c>
      <c r="G9">
        <v>0.28594712362705182</v>
      </c>
    </row>
    <row r="10" spans="1:7" x14ac:dyDescent="0.25">
      <c r="A10" t="s">
        <v>11</v>
      </c>
      <c r="B10">
        <v>0</v>
      </c>
      <c r="C10">
        <v>7364</v>
      </c>
      <c r="D10">
        <v>0.79392857142857143</v>
      </c>
      <c r="E10">
        <v>1</v>
      </c>
      <c r="F10">
        <v>0.30386253589662671</v>
      </c>
      <c r="G10">
        <v>0.32208272454575082</v>
      </c>
    </row>
    <row r="11" spans="1:7" x14ac:dyDescent="0.25">
      <c r="A11" t="s">
        <v>12</v>
      </c>
      <c r="B11">
        <v>0</v>
      </c>
      <c r="C11">
        <v>7347</v>
      </c>
      <c r="D11">
        <v>1</v>
      </c>
      <c r="E11">
        <v>1</v>
      </c>
      <c r="F11">
        <v>0.32532075446168351</v>
      </c>
      <c r="G11">
        <v>0.25996897980771477</v>
      </c>
    </row>
    <row r="12" spans="1:7" x14ac:dyDescent="0.25">
      <c r="A12" t="s">
        <v>15</v>
      </c>
      <c r="B12">
        <v>1</v>
      </c>
      <c r="C12">
        <v>7319</v>
      </c>
      <c r="D12">
        <v>0.66107142857142853</v>
      </c>
      <c r="E12">
        <v>0.9285714285714286</v>
      </c>
      <c r="F12">
        <v>0.27637519980009301</v>
      </c>
      <c r="G12">
        <v>0.30752814470977008</v>
      </c>
    </row>
    <row r="13" spans="1:7" x14ac:dyDescent="0.25">
      <c r="A13" t="s">
        <v>14</v>
      </c>
      <c r="B13">
        <v>1</v>
      </c>
      <c r="C13">
        <v>7165</v>
      </c>
      <c r="D13">
        <v>0.65857142857142859</v>
      </c>
      <c r="E13">
        <v>0.9285714285714286</v>
      </c>
      <c r="F13">
        <v>0.27638616441092662</v>
      </c>
      <c r="G13">
        <v>0.30844255885986432</v>
      </c>
    </row>
    <row r="14" spans="1:7" x14ac:dyDescent="0.25">
      <c r="A14" t="s">
        <v>21</v>
      </c>
      <c r="B14">
        <v>13</v>
      </c>
      <c r="C14">
        <v>6968</v>
      </c>
      <c r="D14">
        <v>0</v>
      </c>
      <c r="E14">
        <v>7.1428571428571425E-2</v>
      </c>
      <c r="F14">
        <v>0</v>
      </c>
      <c r="G14">
        <v>-0.25996897980771477</v>
      </c>
    </row>
    <row r="15" spans="1:7" x14ac:dyDescent="0.25">
      <c r="A15" t="s">
        <v>18</v>
      </c>
      <c r="B15">
        <v>9</v>
      </c>
      <c r="C15">
        <v>6913</v>
      </c>
      <c r="D15">
        <v>0.37892857142857139</v>
      </c>
      <c r="E15">
        <v>0.35714285714285721</v>
      </c>
      <c r="F15">
        <v>0.14407984359286741</v>
      </c>
      <c r="G15">
        <v>9.4350377290994946E-3</v>
      </c>
    </row>
    <row r="16" spans="1:7" x14ac:dyDescent="0.25">
      <c r="A16" t="s">
        <v>20</v>
      </c>
      <c r="B16">
        <v>10</v>
      </c>
      <c r="C16">
        <v>6259</v>
      </c>
      <c r="D16">
        <v>0.25821428571428567</v>
      </c>
      <c r="E16">
        <v>0.2857142857142857</v>
      </c>
      <c r="F16">
        <v>9.7768563026301714E-2</v>
      </c>
      <c r="G16">
        <v>-8.8355322902840525E-2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>
        <v>0</v>
      </c>
      <c r="C2">
        <v>8292</v>
      </c>
      <c r="D2">
        <v>0.79285714285714282</v>
      </c>
      <c r="E2">
        <v>1</v>
      </c>
      <c r="F2">
        <v>0.29932279384959021</v>
      </c>
      <c r="G2">
        <v>0.30248912728340621</v>
      </c>
    </row>
    <row r="3" spans="1:7" x14ac:dyDescent="0.25">
      <c r="A3" t="s">
        <v>7</v>
      </c>
      <c r="B3">
        <v>1</v>
      </c>
      <c r="C3">
        <v>8222</v>
      </c>
      <c r="D3">
        <v>0.85392857142857148</v>
      </c>
      <c r="E3">
        <v>0.9285714285714286</v>
      </c>
      <c r="F3">
        <v>0.31078943269088111</v>
      </c>
      <c r="G3">
        <v>0.30993925696146968</v>
      </c>
    </row>
    <row r="4" spans="1:7" x14ac:dyDescent="0.25">
      <c r="A4" t="s">
        <v>19</v>
      </c>
      <c r="B4">
        <v>5</v>
      </c>
      <c r="C4">
        <v>8153</v>
      </c>
      <c r="D4">
        <v>0.50071428571428567</v>
      </c>
      <c r="E4">
        <v>0.6428571428571429</v>
      </c>
      <c r="F4">
        <v>0.16497619543179531</v>
      </c>
      <c r="G4">
        <v>7.8234831094419546E-3</v>
      </c>
    </row>
    <row r="5" spans="1:7" x14ac:dyDescent="0.25">
      <c r="A5" t="s">
        <v>9</v>
      </c>
      <c r="B5">
        <v>0</v>
      </c>
      <c r="C5">
        <v>7777</v>
      </c>
      <c r="D5">
        <v>0.89214285714285713</v>
      </c>
      <c r="E5">
        <v>1</v>
      </c>
      <c r="F5">
        <v>0.31646552859708837</v>
      </c>
      <c r="G5">
        <v>0.30057384713665941</v>
      </c>
    </row>
    <row r="6" spans="1:7" x14ac:dyDescent="0.25">
      <c r="A6" t="s">
        <v>17</v>
      </c>
      <c r="B6">
        <v>7</v>
      </c>
      <c r="C6">
        <v>7642</v>
      </c>
      <c r="D6">
        <v>0.45857142857142857</v>
      </c>
      <c r="E6">
        <v>0.5</v>
      </c>
      <c r="F6">
        <v>0.17494800244612821</v>
      </c>
      <c r="G6">
        <v>7.6610505596715048E-2</v>
      </c>
    </row>
    <row r="7" spans="1:7" x14ac:dyDescent="0.25">
      <c r="A7" t="s">
        <v>13</v>
      </c>
      <c r="B7">
        <v>0</v>
      </c>
      <c r="C7">
        <v>7636</v>
      </c>
      <c r="D7">
        <v>0.72499999999999998</v>
      </c>
      <c r="E7">
        <v>1</v>
      </c>
      <c r="F7">
        <v>0.29085966298536581</v>
      </c>
      <c r="G7">
        <v>0.31637972078204529</v>
      </c>
    </row>
    <row r="8" spans="1:7" x14ac:dyDescent="0.25">
      <c r="A8" t="s">
        <v>11</v>
      </c>
      <c r="B8">
        <v>0</v>
      </c>
      <c r="C8">
        <v>7580</v>
      </c>
      <c r="D8">
        <v>0.84321428571428569</v>
      </c>
      <c r="E8">
        <v>1</v>
      </c>
      <c r="F8">
        <v>0.31280684496414413</v>
      </c>
      <c r="G8">
        <v>0.32056249044850438</v>
      </c>
    </row>
    <row r="9" spans="1:7" x14ac:dyDescent="0.25">
      <c r="A9" t="s">
        <v>16</v>
      </c>
      <c r="B9">
        <v>1</v>
      </c>
      <c r="C9">
        <v>7457</v>
      </c>
      <c r="D9">
        <v>0.80285714285714282</v>
      </c>
      <c r="E9">
        <v>0.9285714285714286</v>
      </c>
      <c r="F9">
        <v>0.29708823477001878</v>
      </c>
      <c r="G9">
        <v>0.28734224209807507</v>
      </c>
    </row>
    <row r="10" spans="1:7" x14ac:dyDescent="0.25">
      <c r="A10" t="s">
        <v>10</v>
      </c>
      <c r="B10">
        <v>0</v>
      </c>
      <c r="C10">
        <v>7428</v>
      </c>
      <c r="D10">
        <v>0.83821428571428569</v>
      </c>
      <c r="E10">
        <v>1</v>
      </c>
      <c r="F10">
        <v>0.31034221399061318</v>
      </c>
      <c r="G10">
        <v>0.31386597211348211</v>
      </c>
    </row>
    <row r="11" spans="1:7" x14ac:dyDescent="0.25">
      <c r="A11" t="s">
        <v>12</v>
      </c>
      <c r="B11">
        <v>0</v>
      </c>
      <c r="C11">
        <v>7251</v>
      </c>
      <c r="D11">
        <v>1</v>
      </c>
      <c r="E11">
        <v>1</v>
      </c>
      <c r="F11">
        <v>0.32640563276375251</v>
      </c>
      <c r="G11">
        <v>0.26244059361476391</v>
      </c>
    </row>
    <row r="12" spans="1:7" x14ac:dyDescent="0.25">
      <c r="A12" t="s">
        <v>15</v>
      </c>
      <c r="B12">
        <v>1</v>
      </c>
      <c r="C12">
        <v>7247</v>
      </c>
      <c r="D12">
        <v>0.65249999999999997</v>
      </c>
      <c r="E12">
        <v>0.9285714285714286</v>
      </c>
      <c r="F12">
        <v>0.27510608782258622</v>
      </c>
      <c r="G12">
        <v>0.30814870150152018</v>
      </c>
    </row>
    <row r="13" spans="1:7" x14ac:dyDescent="0.25">
      <c r="A13" t="s">
        <v>14</v>
      </c>
      <c r="B13">
        <v>1</v>
      </c>
      <c r="C13">
        <v>7133</v>
      </c>
      <c r="D13">
        <v>0.66249999999999998</v>
      </c>
      <c r="E13">
        <v>0.9285714285714286</v>
      </c>
      <c r="F13">
        <v>0.27739313215090883</v>
      </c>
      <c r="G13">
        <v>0.3089364297250759</v>
      </c>
    </row>
    <row r="14" spans="1:7" x14ac:dyDescent="0.25">
      <c r="A14" t="s">
        <v>20</v>
      </c>
      <c r="B14">
        <v>10</v>
      </c>
      <c r="C14">
        <v>6911</v>
      </c>
      <c r="D14">
        <v>0.27821428571428569</v>
      </c>
      <c r="E14">
        <v>0.2857142857142857</v>
      </c>
      <c r="F14">
        <v>0.105237605758551</v>
      </c>
      <c r="G14">
        <v>-6.3393073168783662E-2</v>
      </c>
    </row>
    <row r="15" spans="1:7" x14ac:dyDescent="0.25">
      <c r="A15" t="s">
        <v>21</v>
      </c>
      <c r="B15">
        <v>13</v>
      </c>
      <c r="C15">
        <v>6856</v>
      </c>
      <c r="D15">
        <v>0</v>
      </c>
      <c r="E15">
        <v>7.1428571428571425E-2</v>
      </c>
      <c r="F15">
        <v>0</v>
      </c>
      <c r="G15">
        <v>-0.26244059361476391</v>
      </c>
    </row>
    <row r="16" spans="1:7" x14ac:dyDescent="0.25">
      <c r="A16" t="s">
        <v>18</v>
      </c>
      <c r="B16">
        <v>10</v>
      </c>
      <c r="C16">
        <v>6747</v>
      </c>
      <c r="D16">
        <v>0.36214285714285721</v>
      </c>
      <c r="E16">
        <v>0.2857142857142857</v>
      </c>
      <c r="F16">
        <v>0.13628770774174409</v>
      </c>
      <c r="G16">
        <v>-7.9352601709920759E-3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>
        <v>0</v>
      </c>
      <c r="C2">
        <v>8389</v>
      </c>
      <c r="D2">
        <v>0.79142857142857148</v>
      </c>
      <c r="E2">
        <v>1</v>
      </c>
      <c r="F2">
        <v>0.30032455614792652</v>
      </c>
      <c r="G2">
        <v>0.30331868181004679</v>
      </c>
    </row>
    <row r="3" spans="1:7" x14ac:dyDescent="0.25">
      <c r="A3" t="s">
        <v>7</v>
      </c>
      <c r="B3">
        <v>1</v>
      </c>
      <c r="C3">
        <v>8288.5</v>
      </c>
      <c r="D3">
        <v>0.85357142857142854</v>
      </c>
      <c r="E3">
        <v>0.9285714285714286</v>
      </c>
      <c r="F3">
        <v>0.31119323235449342</v>
      </c>
      <c r="G3">
        <v>0.30819221305560879</v>
      </c>
    </row>
    <row r="4" spans="1:7" x14ac:dyDescent="0.25">
      <c r="A4" t="s">
        <v>17</v>
      </c>
      <c r="B4">
        <v>7</v>
      </c>
      <c r="C4">
        <v>8147.5</v>
      </c>
      <c r="D4">
        <v>0.43357142857142861</v>
      </c>
      <c r="E4">
        <v>0.5</v>
      </c>
      <c r="F4">
        <v>0.17029412789379719</v>
      </c>
      <c r="G4">
        <v>7.8056285367951284E-2</v>
      </c>
    </row>
    <row r="5" spans="1:7" x14ac:dyDescent="0.25">
      <c r="A5" t="s">
        <v>19</v>
      </c>
      <c r="B5">
        <v>6</v>
      </c>
      <c r="C5">
        <v>7809</v>
      </c>
      <c r="D5">
        <v>0.50178571428571428</v>
      </c>
      <c r="E5">
        <v>0.5714285714285714</v>
      </c>
      <c r="F5">
        <v>0.16424905191444161</v>
      </c>
      <c r="G5">
        <v>-1.3032329095489359E-4</v>
      </c>
    </row>
    <row r="6" spans="1:7" x14ac:dyDescent="0.25">
      <c r="A6" t="s">
        <v>9</v>
      </c>
      <c r="B6">
        <v>0</v>
      </c>
      <c r="C6">
        <v>7767.5</v>
      </c>
      <c r="D6">
        <v>0.89214285714285713</v>
      </c>
      <c r="E6">
        <v>1</v>
      </c>
      <c r="F6">
        <v>0.31667970284514091</v>
      </c>
      <c r="G6">
        <v>0.2977453990615252</v>
      </c>
    </row>
    <row r="7" spans="1:7" x14ac:dyDescent="0.25">
      <c r="A7" t="s">
        <v>10</v>
      </c>
      <c r="B7">
        <v>0</v>
      </c>
      <c r="C7">
        <v>7669</v>
      </c>
      <c r="D7">
        <v>0.88964285714285718</v>
      </c>
      <c r="E7">
        <v>1</v>
      </c>
      <c r="F7">
        <v>0.32028345758981802</v>
      </c>
      <c r="G7">
        <v>0.31254378478135109</v>
      </c>
    </row>
    <row r="8" spans="1:7" x14ac:dyDescent="0.25">
      <c r="A8" t="s">
        <v>13</v>
      </c>
      <c r="B8">
        <v>0</v>
      </c>
      <c r="C8">
        <v>7661.5</v>
      </c>
      <c r="D8">
        <v>0.72142857142857142</v>
      </c>
      <c r="E8">
        <v>1</v>
      </c>
      <c r="F8">
        <v>0.29099482397734799</v>
      </c>
      <c r="G8">
        <v>0.31687899073279152</v>
      </c>
    </row>
    <row r="9" spans="1:7" x14ac:dyDescent="0.25">
      <c r="A9" t="s">
        <v>16</v>
      </c>
      <c r="B9">
        <v>0</v>
      </c>
      <c r="C9">
        <v>7373.5</v>
      </c>
      <c r="D9">
        <v>0.80821428571428566</v>
      </c>
      <c r="E9">
        <v>1</v>
      </c>
      <c r="F9">
        <v>0.29883828071288798</v>
      </c>
      <c r="G9">
        <v>0.28653477289340917</v>
      </c>
    </row>
    <row r="10" spans="1:7" x14ac:dyDescent="0.25">
      <c r="A10" t="s">
        <v>12</v>
      </c>
      <c r="B10">
        <v>0</v>
      </c>
      <c r="C10">
        <v>7308</v>
      </c>
      <c r="D10">
        <v>1</v>
      </c>
      <c r="E10">
        <v>1</v>
      </c>
      <c r="F10">
        <v>0.32684560733097462</v>
      </c>
      <c r="G10">
        <v>0.25966723360004512</v>
      </c>
    </row>
    <row r="11" spans="1:7" x14ac:dyDescent="0.25">
      <c r="A11" t="s">
        <v>11</v>
      </c>
      <c r="B11">
        <v>0</v>
      </c>
      <c r="C11">
        <v>7266</v>
      </c>
      <c r="D11">
        <v>0.77642857142857147</v>
      </c>
      <c r="E11">
        <v>1</v>
      </c>
      <c r="F11">
        <v>0.30240301251028218</v>
      </c>
      <c r="G11">
        <v>0.32353689251065809</v>
      </c>
    </row>
    <row r="12" spans="1:7" x14ac:dyDescent="0.25">
      <c r="A12" t="s">
        <v>15</v>
      </c>
      <c r="B12">
        <v>1</v>
      </c>
      <c r="C12">
        <v>7262</v>
      </c>
      <c r="D12">
        <v>0.65071428571428569</v>
      </c>
      <c r="E12">
        <v>0.9285714285714286</v>
      </c>
      <c r="F12">
        <v>0.27607523034921361</v>
      </c>
      <c r="G12">
        <v>0.31008416242319969</v>
      </c>
    </row>
    <row r="13" spans="1:7" x14ac:dyDescent="0.25">
      <c r="A13" t="s">
        <v>14</v>
      </c>
      <c r="B13">
        <v>1</v>
      </c>
      <c r="C13">
        <v>7224</v>
      </c>
      <c r="D13">
        <v>0.65535714285714286</v>
      </c>
      <c r="E13">
        <v>0.9285714285714286</v>
      </c>
      <c r="F13">
        <v>0.27695833250618052</v>
      </c>
      <c r="G13">
        <v>0.30961946805032481</v>
      </c>
    </row>
    <row r="14" spans="1:7" x14ac:dyDescent="0.25">
      <c r="A14" t="s">
        <v>21</v>
      </c>
      <c r="B14">
        <v>13</v>
      </c>
      <c r="C14">
        <v>7194.5</v>
      </c>
      <c r="D14">
        <v>0</v>
      </c>
      <c r="E14">
        <v>7.1428571428571425E-2</v>
      </c>
      <c r="F14">
        <v>0</v>
      </c>
      <c r="G14">
        <v>-0.25966723360004512</v>
      </c>
    </row>
    <row r="15" spans="1:7" x14ac:dyDescent="0.25">
      <c r="A15" t="s">
        <v>18</v>
      </c>
      <c r="B15">
        <v>9</v>
      </c>
      <c r="C15">
        <v>7047.5</v>
      </c>
      <c r="D15">
        <v>0.36428571428571432</v>
      </c>
      <c r="E15">
        <v>0.35714285714285721</v>
      </c>
      <c r="F15">
        <v>0.13804589462947781</v>
      </c>
      <c r="G15">
        <v>-7.0870346013577447E-3</v>
      </c>
    </row>
    <row r="16" spans="1:7" x14ac:dyDescent="0.25">
      <c r="A16" t="s">
        <v>20</v>
      </c>
      <c r="B16">
        <v>10</v>
      </c>
      <c r="C16">
        <v>6920.5</v>
      </c>
      <c r="D16">
        <v>0.26357142857142862</v>
      </c>
      <c r="E16">
        <v>0.2857142857142857</v>
      </c>
      <c r="F16">
        <v>9.940073577553353E-2</v>
      </c>
      <c r="G16">
        <v>-8.0468822703405191E-2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>
        <v>0</v>
      </c>
      <c r="C2">
        <v>8426.5</v>
      </c>
      <c r="D2">
        <v>0.79642857142857137</v>
      </c>
      <c r="E2">
        <v>1</v>
      </c>
      <c r="F2">
        <v>0.30038496472677312</v>
      </c>
      <c r="G2">
        <v>0.30157436059757858</v>
      </c>
    </row>
    <row r="3" spans="1:7" x14ac:dyDescent="0.25">
      <c r="A3" t="s">
        <v>7</v>
      </c>
      <c r="B3">
        <v>1</v>
      </c>
      <c r="C3">
        <v>8215</v>
      </c>
      <c r="D3">
        <v>0.85357142857142854</v>
      </c>
      <c r="E3">
        <v>0.9285714285714286</v>
      </c>
      <c r="F3">
        <v>0.31137400514513169</v>
      </c>
      <c r="G3">
        <v>0.30955988713700788</v>
      </c>
    </row>
    <row r="4" spans="1:7" x14ac:dyDescent="0.25">
      <c r="A4" t="s">
        <v>19</v>
      </c>
      <c r="B4">
        <v>6</v>
      </c>
      <c r="C4">
        <v>8070</v>
      </c>
      <c r="D4">
        <v>0.49107142857142849</v>
      </c>
      <c r="E4">
        <v>0.5714285714285714</v>
      </c>
      <c r="F4">
        <v>0.16175760263839001</v>
      </c>
      <c r="G4">
        <v>-1.5141544255127049E-3</v>
      </c>
    </row>
    <row r="5" spans="1:7" x14ac:dyDescent="0.25">
      <c r="A5" t="s">
        <v>17</v>
      </c>
      <c r="B5">
        <v>7</v>
      </c>
      <c r="C5">
        <v>7872.5</v>
      </c>
      <c r="D5">
        <v>0.4592857142857143</v>
      </c>
      <c r="E5">
        <v>0.5</v>
      </c>
      <c r="F5">
        <v>0.17565795042155549</v>
      </c>
      <c r="G5">
        <v>7.7818182898070146E-2</v>
      </c>
    </row>
    <row r="6" spans="1:7" x14ac:dyDescent="0.25">
      <c r="A6" t="s">
        <v>9</v>
      </c>
      <c r="B6">
        <v>0</v>
      </c>
      <c r="C6">
        <v>7788.5</v>
      </c>
      <c r="D6">
        <v>0.90035714285714286</v>
      </c>
      <c r="E6">
        <v>1</v>
      </c>
      <c r="F6">
        <v>0.31789408300136562</v>
      </c>
      <c r="G6">
        <v>0.29725449216350841</v>
      </c>
    </row>
    <row r="7" spans="1:7" x14ac:dyDescent="0.25">
      <c r="A7" t="s">
        <v>13</v>
      </c>
      <c r="B7">
        <v>0</v>
      </c>
      <c r="C7">
        <v>7661.5</v>
      </c>
      <c r="D7">
        <v>0.72392857142857148</v>
      </c>
      <c r="E7">
        <v>1</v>
      </c>
      <c r="F7">
        <v>0.29119122603810071</v>
      </c>
      <c r="G7">
        <v>0.31658656878166852</v>
      </c>
    </row>
    <row r="8" spans="1:7" x14ac:dyDescent="0.25">
      <c r="A8" t="s">
        <v>16</v>
      </c>
      <c r="B8">
        <v>1</v>
      </c>
      <c r="C8">
        <v>7589</v>
      </c>
      <c r="D8">
        <v>0.80142857142857138</v>
      </c>
      <c r="E8">
        <v>0.9285714285714286</v>
      </c>
      <c r="F8">
        <v>0.29729142718667079</v>
      </c>
      <c r="G8">
        <v>0.28696775274359249</v>
      </c>
    </row>
    <row r="9" spans="1:7" x14ac:dyDescent="0.25">
      <c r="A9" t="s">
        <v>10</v>
      </c>
      <c r="B9">
        <v>0</v>
      </c>
      <c r="C9">
        <v>7513.5</v>
      </c>
      <c r="D9">
        <v>0.85071428571428576</v>
      </c>
      <c r="E9">
        <v>1</v>
      </c>
      <c r="F9">
        <v>0.31392080525524002</v>
      </c>
      <c r="G9">
        <v>0.31654523291699721</v>
      </c>
    </row>
    <row r="10" spans="1:7" x14ac:dyDescent="0.25">
      <c r="A10" t="s">
        <v>11</v>
      </c>
      <c r="B10">
        <v>0</v>
      </c>
      <c r="C10">
        <v>7452.5</v>
      </c>
      <c r="D10">
        <v>0.81214285714285717</v>
      </c>
      <c r="E10">
        <v>1</v>
      </c>
      <c r="F10">
        <v>0.30822070763251203</v>
      </c>
      <c r="G10">
        <v>0.32096377541920479</v>
      </c>
    </row>
    <row r="11" spans="1:7" x14ac:dyDescent="0.25">
      <c r="A11" t="s">
        <v>12</v>
      </c>
      <c r="B11">
        <v>0</v>
      </c>
      <c r="C11">
        <v>7359</v>
      </c>
      <c r="D11">
        <v>1</v>
      </c>
      <c r="E11">
        <v>1</v>
      </c>
      <c r="F11">
        <v>0.32680527274039739</v>
      </c>
      <c r="G11">
        <v>0.2606004477288289</v>
      </c>
    </row>
    <row r="12" spans="1:7" x14ac:dyDescent="0.25">
      <c r="A12" t="s">
        <v>15</v>
      </c>
      <c r="B12">
        <v>1</v>
      </c>
      <c r="C12">
        <v>7225</v>
      </c>
      <c r="D12">
        <v>0.64714285714285713</v>
      </c>
      <c r="E12">
        <v>0.9285714285714286</v>
      </c>
      <c r="F12">
        <v>0.2749757554514522</v>
      </c>
      <c r="G12">
        <v>0.30989084120871319</v>
      </c>
    </row>
    <row r="13" spans="1:7" x14ac:dyDescent="0.25">
      <c r="A13" t="s">
        <v>21</v>
      </c>
      <c r="B13">
        <v>13</v>
      </c>
      <c r="C13">
        <v>7211.5</v>
      </c>
      <c r="D13">
        <v>0</v>
      </c>
      <c r="E13">
        <v>7.1428571428571425E-2</v>
      </c>
      <c r="F13">
        <v>0</v>
      </c>
      <c r="G13">
        <v>-0.2606004477288289</v>
      </c>
    </row>
    <row r="14" spans="1:7" x14ac:dyDescent="0.25">
      <c r="A14" t="s">
        <v>14</v>
      </c>
      <c r="B14">
        <v>1</v>
      </c>
      <c r="C14">
        <v>7149.5</v>
      </c>
      <c r="D14">
        <v>0.65321428571428575</v>
      </c>
      <c r="E14">
        <v>0.9285714285714286</v>
      </c>
      <c r="F14">
        <v>0.27619010753406048</v>
      </c>
      <c r="G14">
        <v>0.30968376205836068</v>
      </c>
    </row>
    <row r="15" spans="1:7" x14ac:dyDescent="0.25">
      <c r="A15" t="s">
        <v>18</v>
      </c>
      <c r="B15">
        <v>10</v>
      </c>
      <c r="C15">
        <v>6944.5</v>
      </c>
      <c r="D15">
        <v>0.35964285714285721</v>
      </c>
      <c r="E15">
        <v>0.2857142857142857</v>
      </c>
      <c r="F15">
        <v>0.1368130891107526</v>
      </c>
      <c r="G15">
        <v>-5.9978391477236393E-3</v>
      </c>
    </row>
    <row r="16" spans="1:7" x14ac:dyDescent="0.25">
      <c r="A16" t="s">
        <v>20</v>
      </c>
      <c r="B16">
        <v>10</v>
      </c>
      <c r="C16">
        <v>6879</v>
      </c>
      <c r="D16">
        <v>0.26928571428571429</v>
      </c>
      <c r="E16">
        <v>0.2857142857142857</v>
      </c>
      <c r="F16">
        <v>0.10297702513913</v>
      </c>
      <c r="G16">
        <v>-7.220583733187004E-2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>
        <v>0</v>
      </c>
      <c r="C2">
        <v>8410.5</v>
      </c>
      <c r="D2">
        <v>0.79714285714285715</v>
      </c>
      <c r="E2">
        <v>1</v>
      </c>
      <c r="F2">
        <v>0.3020572886329006</v>
      </c>
      <c r="G2">
        <v>0.29976453408851439</v>
      </c>
    </row>
    <row r="3" spans="1:7" x14ac:dyDescent="0.25">
      <c r="A3" t="s">
        <v>19</v>
      </c>
      <c r="B3">
        <v>7</v>
      </c>
      <c r="C3">
        <v>8376</v>
      </c>
      <c r="D3">
        <v>0.48714285714285721</v>
      </c>
      <c r="E3">
        <v>0.5</v>
      </c>
      <c r="F3">
        <v>0.16030965796287039</v>
      </c>
      <c r="G3">
        <v>-5.7075524668660123E-3</v>
      </c>
    </row>
    <row r="4" spans="1:7" x14ac:dyDescent="0.25">
      <c r="A4" t="s">
        <v>7</v>
      </c>
      <c r="B4">
        <v>1</v>
      </c>
      <c r="C4">
        <v>8212</v>
      </c>
      <c r="D4">
        <v>0.85392857142857148</v>
      </c>
      <c r="E4">
        <v>0.9285714285714286</v>
      </c>
      <c r="F4">
        <v>0.31267276500427249</v>
      </c>
      <c r="G4">
        <v>0.30544931255533331</v>
      </c>
    </row>
    <row r="5" spans="1:7" x14ac:dyDescent="0.25">
      <c r="A5" t="s">
        <v>9</v>
      </c>
      <c r="B5">
        <v>0</v>
      </c>
      <c r="C5">
        <v>7913.5</v>
      </c>
      <c r="D5">
        <v>0.89142857142857146</v>
      </c>
      <c r="E5">
        <v>1</v>
      </c>
      <c r="F5">
        <v>0.31774339291470588</v>
      </c>
      <c r="G5">
        <v>0.29456247250496448</v>
      </c>
    </row>
    <row r="6" spans="1:7" x14ac:dyDescent="0.25">
      <c r="A6" t="s">
        <v>17</v>
      </c>
      <c r="B6">
        <v>6</v>
      </c>
      <c r="C6">
        <v>7744</v>
      </c>
      <c r="D6">
        <v>0.46214285714285708</v>
      </c>
      <c r="E6">
        <v>0.5714285714285714</v>
      </c>
      <c r="F6">
        <v>0.1764869958297661</v>
      </c>
      <c r="G6">
        <v>7.7213491326979869E-2</v>
      </c>
    </row>
    <row r="7" spans="1:7" x14ac:dyDescent="0.25">
      <c r="A7" t="s">
        <v>13</v>
      </c>
      <c r="B7">
        <v>0</v>
      </c>
      <c r="C7">
        <v>7731.5</v>
      </c>
      <c r="D7">
        <v>0.7221428571428572</v>
      </c>
      <c r="E7">
        <v>1</v>
      </c>
      <c r="F7">
        <v>0.29319533203504461</v>
      </c>
      <c r="G7">
        <v>0.31857960765385779</v>
      </c>
    </row>
    <row r="8" spans="1:7" x14ac:dyDescent="0.25">
      <c r="A8" t="s">
        <v>11</v>
      </c>
      <c r="B8">
        <v>0</v>
      </c>
      <c r="C8">
        <v>7412</v>
      </c>
      <c r="D8">
        <v>0.78785714285714281</v>
      </c>
      <c r="E8">
        <v>1</v>
      </c>
      <c r="F8">
        <v>0.30625189833595878</v>
      </c>
      <c r="G8">
        <v>0.32272382317842813</v>
      </c>
    </row>
    <row r="9" spans="1:7" x14ac:dyDescent="0.25">
      <c r="A9" t="s">
        <v>16</v>
      </c>
      <c r="B9">
        <v>0</v>
      </c>
      <c r="C9">
        <v>7408</v>
      </c>
      <c r="D9">
        <v>0.80678571428571433</v>
      </c>
      <c r="E9">
        <v>1</v>
      </c>
      <c r="F9">
        <v>0.30036334449414881</v>
      </c>
      <c r="G9">
        <v>0.28730296386111259</v>
      </c>
    </row>
    <row r="10" spans="1:7" x14ac:dyDescent="0.25">
      <c r="A10" t="s">
        <v>12</v>
      </c>
      <c r="B10">
        <v>0</v>
      </c>
      <c r="C10">
        <v>7329</v>
      </c>
      <c r="D10">
        <v>1</v>
      </c>
      <c r="E10">
        <v>1</v>
      </c>
      <c r="F10">
        <v>0.32797375855838701</v>
      </c>
      <c r="G10">
        <v>0.25645904698699062</v>
      </c>
    </row>
    <row r="11" spans="1:7" x14ac:dyDescent="0.25">
      <c r="A11" t="s">
        <v>10</v>
      </c>
      <c r="B11">
        <v>0</v>
      </c>
      <c r="C11">
        <v>7277</v>
      </c>
      <c r="D11">
        <v>0.80964285714285711</v>
      </c>
      <c r="E11">
        <v>1</v>
      </c>
      <c r="F11">
        <v>0.30963407005350241</v>
      </c>
      <c r="G11">
        <v>0.31973207814974047</v>
      </c>
    </row>
    <row r="12" spans="1:7" x14ac:dyDescent="0.25">
      <c r="A12" t="s">
        <v>15</v>
      </c>
      <c r="B12">
        <v>1</v>
      </c>
      <c r="C12">
        <v>7262</v>
      </c>
      <c r="D12">
        <v>0.65071428571428569</v>
      </c>
      <c r="E12">
        <v>0.9285714285714286</v>
      </c>
      <c r="F12">
        <v>0.2778820035312245</v>
      </c>
      <c r="G12">
        <v>0.31208365644376662</v>
      </c>
    </row>
    <row r="13" spans="1:7" x14ac:dyDescent="0.25">
      <c r="A13" t="s">
        <v>21</v>
      </c>
      <c r="B13">
        <v>13</v>
      </c>
      <c r="C13">
        <v>7186</v>
      </c>
      <c r="D13">
        <v>0</v>
      </c>
      <c r="E13">
        <v>7.1428571428571425E-2</v>
      </c>
      <c r="F13">
        <v>0</v>
      </c>
      <c r="G13">
        <v>-0.25645904698699062</v>
      </c>
    </row>
    <row r="14" spans="1:7" x14ac:dyDescent="0.25">
      <c r="A14" t="s">
        <v>14</v>
      </c>
      <c r="B14">
        <v>1</v>
      </c>
      <c r="C14">
        <v>7173.5</v>
      </c>
      <c r="D14">
        <v>0.65392857142857141</v>
      </c>
      <c r="E14">
        <v>0.9285714285714286</v>
      </c>
      <c r="F14">
        <v>0.27881170535054639</v>
      </c>
      <c r="G14">
        <v>0.31266112528641732</v>
      </c>
    </row>
    <row r="15" spans="1:7" x14ac:dyDescent="0.25">
      <c r="A15" t="s">
        <v>18</v>
      </c>
      <c r="B15">
        <v>9</v>
      </c>
      <c r="C15">
        <v>6697.5</v>
      </c>
      <c r="D15">
        <v>0.31321428571428572</v>
      </c>
      <c r="E15">
        <v>0.35714285714285721</v>
      </c>
      <c r="F15">
        <v>0.1171995697099123</v>
      </c>
      <c r="G15">
        <v>-4.8900719559436541E-2</v>
      </c>
    </row>
    <row r="16" spans="1:7" x14ac:dyDescent="0.25">
      <c r="A16" t="s">
        <v>20</v>
      </c>
      <c r="B16">
        <v>10</v>
      </c>
      <c r="C16">
        <v>6585.5</v>
      </c>
      <c r="D16">
        <v>0.2767857142857143</v>
      </c>
      <c r="E16">
        <v>0.2857142857142857</v>
      </c>
      <c r="F16">
        <v>0.1052967338000013</v>
      </c>
      <c r="G16">
        <v>-6.7662477294940598E-2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>
        <v>8</v>
      </c>
      <c r="C2">
        <v>8509</v>
      </c>
      <c r="D2">
        <v>0.51142857142857145</v>
      </c>
      <c r="E2">
        <v>0.42857142857142849</v>
      </c>
      <c r="F2">
        <v>0.16749425002770041</v>
      </c>
      <c r="G2">
        <v>1.1289539122458409E-2</v>
      </c>
    </row>
    <row r="3" spans="1:7" x14ac:dyDescent="0.25">
      <c r="A3" t="s">
        <v>8</v>
      </c>
      <c r="B3">
        <v>0</v>
      </c>
      <c r="C3">
        <v>8329.5</v>
      </c>
      <c r="D3">
        <v>0.79321428571428576</v>
      </c>
      <c r="E3">
        <v>1</v>
      </c>
      <c r="F3">
        <v>0.29805254735637698</v>
      </c>
      <c r="G3">
        <v>0.30190433786088222</v>
      </c>
    </row>
    <row r="4" spans="1:7" x14ac:dyDescent="0.25">
      <c r="A4" t="s">
        <v>7</v>
      </c>
      <c r="B4">
        <v>1</v>
      </c>
      <c r="C4">
        <v>8318.5</v>
      </c>
      <c r="D4">
        <v>0.85392857142857148</v>
      </c>
      <c r="E4">
        <v>0.9285714285714286</v>
      </c>
      <c r="F4">
        <v>0.30941877676893809</v>
      </c>
      <c r="G4">
        <v>0.30909800524405112</v>
      </c>
    </row>
    <row r="5" spans="1:7" x14ac:dyDescent="0.25">
      <c r="A5" t="s">
        <v>9</v>
      </c>
      <c r="B5">
        <v>0</v>
      </c>
      <c r="C5">
        <v>7834</v>
      </c>
      <c r="D5">
        <v>0.9028571428571428</v>
      </c>
      <c r="E5">
        <v>1</v>
      </c>
      <c r="F5">
        <v>0.31604307076114119</v>
      </c>
      <c r="G5">
        <v>0.29616908662942287</v>
      </c>
    </row>
    <row r="6" spans="1:7" x14ac:dyDescent="0.25">
      <c r="A6" t="s">
        <v>17</v>
      </c>
      <c r="B6">
        <v>6</v>
      </c>
      <c r="C6">
        <v>7728.5</v>
      </c>
      <c r="D6">
        <v>0.46785714285714292</v>
      </c>
      <c r="E6">
        <v>0.5714285714285714</v>
      </c>
      <c r="F6">
        <v>0.17613872828809679</v>
      </c>
      <c r="G6">
        <v>7.7222765779620131E-2</v>
      </c>
    </row>
    <row r="7" spans="1:7" x14ac:dyDescent="0.25">
      <c r="A7" t="s">
        <v>13</v>
      </c>
      <c r="B7">
        <v>0</v>
      </c>
      <c r="C7">
        <v>7715</v>
      </c>
      <c r="D7">
        <v>0.72071428571428575</v>
      </c>
      <c r="E7">
        <v>1</v>
      </c>
      <c r="F7">
        <v>0.28778781376353169</v>
      </c>
      <c r="G7">
        <v>0.31223553610952531</v>
      </c>
    </row>
    <row r="8" spans="1:7" x14ac:dyDescent="0.25">
      <c r="A8" t="s">
        <v>11</v>
      </c>
      <c r="B8">
        <v>0</v>
      </c>
      <c r="C8">
        <v>7576</v>
      </c>
      <c r="D8">
        <v>0.84142857142857141</v>
      </c>
      <c r="E8">
        <v>1</v>
      </c>
      <c r="F8">
        <v>0.31217309647418601</v>
      </c>
      <c r="G8">
        <v>0.3247247230497487</v>
      </c>
    </row>
    <row r="9" spans="1:7" x14ac:dyDescent="0.25">
      <c r="A9" t="s">
        <v>10</v>
      </c>
      <c r="B9">
        <v>0</v>
      </c>
      <c r="C9">
        <v>7493.5</v>
      </c>
      <c r="D9">
        <v>0.85821428571428571</v>
      </c>
      <c r="E9">
        <v>1</v>
      </c>
      <c r="F9">
        <v>0.31515136099986968</v>
      </c>
      <c r="G9">
        <v>0.32356811993080142</v>
      </c>
    </row>
    <row r="10" spans="1:7" x14ac:dyDescent="0.25">
      <c r="A10" t="s">
        <v>15</v>
      </c>
      <c r="B10">
        <v>1</v>
      </c>
      <c r="C10">
        <v>7400.5</v>
      </c>
      <c r="D10">
        <v>0.64964285714285719</v>
      </c>
      <c r="E10">
        <v>0.9285714285714286</v>
      </c>
      <c r="F10">
        <v>0.27228332988736931</v>
      </c>
      <c r="G10">
        <v>0.30362878398728332</v>
      </c>
    </row>
    <row r="11" spans="1:7" x14ac:dyDescent="0.25">
      <c r="A11" t="s">
        <v>16</v>
      </c>
      <c r="B11">
        <v>0</v>
      </c>
      <c r="C11">
        <v>7390.5</v>
      </c>
      <c r="D11">
        <v>0.81107142857142855</v>
      </c>
      <c r="E11">
        <v>1</v>
      </c>
      <c r="F11">
        <v>0.29653228103041301</v>
      </c>
      <c r="G11">
        <v>0.28340144834968778</v>
      </c>
    </row>
    <row r="12" spans="1:7" x14ac:dyDescent="0.25">
      <c r="A12" t="s">
        <v>12</v>
      </c>
      <c r="B12">
        <v>0</v>
      </c>
      <c r="C12">
        <v>7386</v>
      </c>
      <c r="D12">
        <v>1</v>
      </c>
      <c r="E12">
        <v>1</v>
      </c>
      <c r="F12">
        <v>0.32519594918959033</v>
      </c>
      <c r="G12">
        <v>0.26248943775074168</v>
      </c>
    </row>
    <row r="13" spans="1:7" x14ac:dyDescent="0.25">
      <c r="A13" t="s">
        <v>18</v>
      </c>
      <c r="B13">
        <v>10</v>
      </c>
      <c r="C13">
        <v>7383</v>
      </c>
      <c r="D13">
        <v>0.41857142857142859</v>
      </c>
      <c r="E13">
        <v>0.2857142857142857</v>
      </c>
      <c r="F13">
        <v>0.15759455097465419</v>
      </c>
      <c r="G13">
        <v>3.9930123654929733E-2</v>
      </c>
    </row>
    <row r="14" spans="1:7" x14ac:dyDescent="0.25">
      <c r="A14" t="s">
        <v>14</v>
      </c>
      <c r="B14">
        <v>1</v>
      </c>
      <c r="C14">
        <v>7236</v>
      </c>
      <c r="D14">
        <v>0.65500000000000003</v>
      </c>
      <c r="E14">
        <v>0.9285714285714286</v>
      </c>
      <c r="F14">
        <v>0.27354762797160231</v>
      </c>
      <c r="G14">
        <v>0.30412850301980449</v>
      </c>
    </row>
    <row r="15" spans="1:7" x14ac:dyDescent="0.25">
      <c r="A15" t="s">
        <v>21</v>
      </c>
      <c r="B15">
        <v>13</v>
      </c>
      <c r="C15">
        <v>7177.5</v>
      </c>
      <c r="D15">
        <v>0</v>
      </c>
      <c r="E15">
        <v>7.1428571428571425E-2</v>
      </c>
      <c r="F15">
        <v>0</v>
      </c>
      <c r="G15">
        <v>-0.26248943775074168</v>
      </c>
    </row>
    <row r="16" spans="1:7" x14ac:dyDescent="0.25">
      <c r="A16" t="s">
        <v>20</v>
      </c>
      <c r="B16">
        <v>11</v>
      </c>
      <c r="C16">
        <v>6392.5</v>
      </c>
      <c r="D16">
        <v>0.25821428571428567</v>
      </c>
      <c r="E16">
        <v>0.2142857142857143</v>
      </c>
      <c r="F16">
        <v>9.6859151915845473E-2</v>
      </c>
      <c r="G16">
        <v>-8.6457865050077604E-2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>
        <v>8</v>
      </c>
      <c r="C2">
        <v>8567.5</v>
      </c>
      <c r="D2">
        <v>0.5</v>
      </c>
      <c r="E2">
        <v>0.42857142857142849</v>
      </c>
      <c r="F2">
        <v>0.1622826222436595</v>
      </c>
      <c r="G2">
        <v>-3.1241045518677888E-3</v>
      </c>
    </row>
    <row r="3" spans="1:7" x14ac:dyDescent="0.25">
      <c r="A3" t="s">
        <v>7</v>
      </c>
      <c r="B3">
        <v>1</v>
      </c>
      <c r="C3">
        <v>8297.5</v>
      </c>
      <c r="D3">
        <v>0.85357142857142854</v>
      </c>
      <c r="E3">
        <v>0.9285714285714286</v>
      </c>
      <c r="F3">
        <v>0.31106728648489529</v>
      </c>
      <c r="G3">
        <v>0.30766627938832181</v>
      </c>
    </row>
    <row r="4" spans="1:7" x14ac:dyDescent="0.25">
      <c r="A4" t="s">
        <v>8</v>
      </c>
      <c r="B4">
        <v>0</v>
      </c>
      <c r="C4">
        <v>8296.5</v>
      </c>
      <c r="D4">
        <v>0.78964285714285709</v>
      </c>
      <c r="E4">
        <v>1</v>
      </c>
      <c r="F4">
        <v>0.29908906708222821</v>
      </c>
      <c r="G4">
        <v>0.30089803517269209</v>
      </c>
    </row>
    <row r="5" spans="1:7" x14ac:dyDescent="0.25">
      <c r="A5" t="s">
        <v>9</v>
      </c>
      <c r="B5">
        <v>0</v>
      </c>
      <c r="C5">
        <v>7861.5</v>
      </c>
      <c r="D5">
        <v>0.89464285714285718</v>
      </c>
      <c r="E5">
        <v>1</v>
      </c>
      <c r="F5">
        <v>0.31692688126636498</v>
      </c>
      <c r="G5">
        <v>0.29700979617269718</v>
      </c>
    </row>
    <row r="6" spans="1:7" x14ac:dyDescent="0.25">
      <c r="A6" t="s">
        <v>17</v>
      </c>
      <c r="B6">
        <v>6</v>
      </c>
      <c r="C6">
        <v>7714.5</v>
      </c>
      <c r="D6">
        <v>0.47678571428571431</v>
      </c>
      <c r="E6">
        <v>0.5714285714285714</v>
      </c>
      <c r="F6">
        <v>0.17892769690283081</v>
      </c>
      <c r="G6">
        <v>7.8021080507564081E-2</v>
      </c>
    </row>
    <row r="7" spans="1:7" x14ac:dyDescent="0.25">
      <c r="A7" t="s">
        <v>13</v>
      </c>
      <c r="B7">
        <v>0</v>
      </c>
      <c r="C7">
        <v>7675</v>
      </c>
      <c r="D7">
        <v>0.71750000000000003</v>
      </c>
      <c r="E7">
        <v>1</v>
      </c>
      <c r="F7">
        <v>0.28971850634937307</v>
      </c>
      <c r="G7">
        <v>0.31525160507354688</v>
      </c>
    </row>
    <row r="8" spans="1:7" x14ac:dyDescent="0.25">
      <c r="A8" t="s">
        <v>10</v>
      </c>
      <c r="B8">
        <v>0</v>
      </c>
      <c r="C8">
        <v>7478.5</v>
      </c>
      <c r="D8">
        <v>0.85464285714285715</v>
      </c>
      <c r="E8">
        <v>1</v>
      </c>
      <c r="F8">
        <v>0.31582068734889301</v>
      </c>
      <c r="G8">
        <v>0.3201627809032091</v>
      </c>
    </row>
    <row r="9" spans="1:7" x14ac:dyDescent="0.25">
      <c r="A9" t="s">
        <v>16</v>
      </c>
      <c r="B9">
        <v>0</v>
      </c>
      <c r="C9">
        <v>7467</v>
      </c>
      <c r="D9">
        <v>0.8075</v>
      </c>
      <c r="E9">
        <v>1</v>
      </c>
      <c r="F9">
        <v>0.29825201483143982</v>
      </c>
      <c r="G9">
        <v>0.28593646437210463</v>
      </c>
    </row>
    <row r="10" spans="1:7" x14ac:dyDescent="0.25">
      <c r="A10" t="s">
        <v>11</v>
      </c>
      <c r="B10">
        <v>0</v>
      </c>
      <c r="C10">
        <v>7403</v>
      </c>
      <c r="D10">
        <v>0.79928571428571427</v>
      </c>
      <c r="E10">
        <v>1</v>
      </c>
      <c r="F10">
        <v>0.30643091253808308</v>
      </c>
      <c r="G10">
        <v>0.32224210639571388</v>
      </c>
    </row>
    <row r="11" spans="1:7" x14ac:dyDescent="0.25">
      <c r="A11" t="s">
        <v>12</v>
      </c>
      <c r="B11">
        <v>0</v>
      </c>
      <c r="C11">
        <v>7353</v>
      </c>
      <c r="D11">
        <v>1</v>
      </c>
      <c r="E11">
        <v>1</v>
      </c>
      <c r="F11">
        <v>0.3265428503508741</v>
      </c>
      <c r="G11">
        <v>0.25894920871910471</v>
      </c>
    </row>
    <row r="12" spans="1:7" x14ac:dyDescent="0.25">
      <c r="A12" t="s">
        <v>15</v>
      </c>
      <c r="B12">
        <v>1</v>
      </c>
      <c r="C12">
        <v>7280.5</v>
      </c>
      <c r="D12">
        <v>0.64642857142857146</v>
      </c>
      <c r="E12">
        <v>0.9285714285714286</v>
      </c>
      <c r="F12">
        <v>0.27456612058278718</v>
      </c>
      <c r="G12">
        <v>0.30888531198017888</v>
      </c>
    </row>
    <row r="13" spans="1:7" x14ac:dyDescent="0.25">
      <c r="A13" t="s">
        <v>21</v>
      </c>
      <c r="B13">
        <v>13</v>
      </c>
      <c r="C13">
        <v>7254</v>
      </c>
      <c r="D13">
        <v>0</v>
      </c>
      <c r="E13">
        <v>7.1428571428571425E-2</v>
      </c>
      <c r="F13">
        <v>0</v>
      </c>
      <c r="G13">
        <v>-0.25894920871910471</v>
      </c>
    </row>
    <row r="14" spans="1:7" x14ac:dyDescent="0.25">
      <c r="A14" t="s">
        <v>14</v>
      </c>
      <c r="B14">
        <v>1</v>
      </c>
      <c r="C14">
        <v>7230.5</v>
      </c>
      <c r="D14">
        <v>0.66464285714285709</v>
      </c>
      <c r="E14">
        <v>0.9285714285714286</v>
      </c>
      <c r="F14">
        <v>0.27783676709514932</v>
      </c>
      <c r="G14">
        <v>0.30821939923967118</v>
      </c>
    </row>
    <row r="15" spans="1:7" x14ac:dyDescent="0.25">
      <c r="A15" t="s">
        <v>18</v>
      </c>
      <c r="B15">
        <v>9</v>
      </c>
      <c r="C15">
        <v>7067</v>
      </c>
      <c r="D15">
        <v>0.37821428571428573</v>
      </c>
      <c r="E15">
        <v>0.35714285714285721</v>
      </c>
      <c r="F15">
        <v>0.14279461324440099</v>
      </c>
      <c r="G15">
        <v>6.6602032893367264E-3</v>
      </c>
    </row>
    <row r="16" spans="1:7" x14ac:dyDescent="0.25">
      <c r="A16" t="s">
        <v>20</v>
      </c>
      <c r="B16">
        <v>10</v>
      </c>
      <c r="C16">
        <v>6525</v>
      </c>
      <c r="D16">
        <v>0.25071428571428572</v>
      </c>
      <c r="E16">
        <v>0.2857142857142857</v>
      </c>
      <c r="F16">
        <v>9.4103180408104961E-2</v>
      </c>
      <c r="G16">
        <v>-9.1866585911264981E-2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>
        <v>0</v>
      </c>
      <c r="C2">
        <v>8384</v>
      </c>
      <c r="D2">
        <v>0.78821428571428576</v>
      </c>
      <c r="E2">
        <v>1</v>
      </c>
      <c r="F2">
        <v>0.29830601239457649</v>
      </c>
      <c r="G2">
        <v>0.30063338902997272</v>
      </c>
    </row>
    <row r="3" spans="1:7" x14ac:dyDescent="0.25">
      <c r="A3" t="s">
        <v>7</v>
      </c>
      <c r="B3">
        <v>1</v>
      </c>
      <c r="C3">
        <v>8318</v>
      </c>
      <c r="D3">
        <v>0.85357142857142854</v>
      </c>
      <c r="E3">
        <v>0.9285714285714286</v>
      </c>
      <c r="F3">
        <v>0.31091639736436483</v>
      </c>
      <c r="G3">
        <v>0.31066178237571951</v>
      </c>
    </row>
    <row r="4" spans="1:7" x14ac:dyDescent="0.25">
      <c r="A4" t="s">
        <v>19</v>
      </c>
      <c r="B4">
        <v>6</v>
      </c>
      <c r="C4">
        <v>8279</v>
      </c>
      <c r="D4">
        <v>0.49249999999999999</v>
      </c>
      <c r="E4">
        <v>0.5714285714285714</v>
      </c>
      <c r="F4">
        <v>0.15912380390209341</v>
      </c>
      <c r="G4">
        <v>-8.5010426386661758E-3</v>
      </c>
    </row>
    <row r="5" spans="1:7" x14ac:dyDescent="0.25">
      <c r="A5" t="s">
        <v>17</v>
      </c>
      <c r="B5">
        <v>7</v>
      </c>
      <c r="C5">
        <v>8250</v>
      </c>
      <c r="D5">
        <v>0.42892857142857138</v>
      </c>
      <c r="E5">
        <v>0.5</v>
      </c>
      <c r="F5">
        <v>0.16866513304813979</v>
      </c>
      <c r="G5">
        <v>7.7650342846436543E-2</v>
      </c>
    </row>
    <row r="6" spans="1:7" x14ac:dyDescent="0.25">
      <c r="A6" t="s">
        <v>13</v>
      </c>
      <c r="B6">
        <v>0</v>
      </c>
      <c r="C6">
        <v>8235</v>
      </c>
      <c r="D6">
        <v>0.75035714285714283</v>
      </c>
      <c r="E6">
        <v>1</v>
      </c>
      <c r="F6">
        <v>0.29513006919414497</v>
      </c>
      <c r="G6">
        <v>0.31524246068064898</v>
      </c>
    </row>
    <row r="7" spans="1:7" x14ac:dyDescent="0.25">
      <c r="A7" t="s">
        <v>9</v>
      </c>
      <c r="B7">
        <v>0</v>
      </c>
      <c r="C7">
        <v>7822</v>
      </c>
      <c r="D7">
        <v>0.89785714285714291</v>
      </c>
      <c r="E7">
        <v>1</v>
      </c>
      <c r="F7">
        <v>0.31598458593756978</v>
      </c>
      <c r="G7">
        <v>0.29479289918182539</v>
      </c>
    </row>
    <row r="8" spans="1:7" x14ac:dyDescent="0.25">
      <c r="A8" t="s">
        <v>18</v>
      </c>
      <c r="B8">
        <v>9</v>
      </c>
      <c r="C8">
        <v>7689</v>
      </c>
      <c r="D8">
        <v>0.4107142857142857</v>
      </c>
      <c r="E8">
        <v>0.35714285714285721</v>
      </c>
      <c r="F8">
        <v>0.15425164833360969</v>
      </c>
      <c r="G8">
        <v>3.0698603897288481E-2</v>
      </c>
    </row>
    <row r="9" spans="1:7" x14ac:dyDescent="0.25">
      <c r="A9" t="s">
        <v>21</v>
      </c>
      <c r="B9">
        <v>13</v>
      </c>
      <c r="C9">
        <v>7534</v>
      </c>
      <c r="D9">
        <v>0</v>
      </c>
      <c r="E9">
        <v>7.1428571428571425E-2</v>
      </c>
      <c r="F9">
        <v>0</v>
      </c>
      <c r="G9">
        <v>-0.26069707566644429</v>
      </c>
    </row>
    <row r="10" spans="1:7" x14ac:dyDescent="0.25">
      <c r="A10" t="s">
        <v>16</v>
      </c>
      <c r="B10">
        <v>0</v>
      </c>
      <c r="C10">
        <v>7495</v>
      </c>
      <c r="D10">
        <v>0.81</v>
      </c>
      <c r="E10">
        <v>1</v>
      </c>
      <c r="F10">
        <v>0.29792046295261182</v>
      </c>
      <c r="G10">
        <v>0.28396438743614938</v>
      </c>
    </row>
    <row r="11" spans="1:7" x14ac:dyDescent="0.25">
      <c r="A11" t="s">
        <v>10</v>
      </c>
      <c r="B11">
        <v>0</v>
      </c>
      <c r="C11">
        <v>7461</v>
      </c>
      <c r="D11">
        <v>0.84678571428571425</v>
      </c>
      <c r="E11">
        <v>1</v>
      </c>
      <c r="F11">
        <v>0.31461166617063652</v>
      </c>
      <c r="G11">
        <v>0.32442640370163739</v>
      </c>
    </row>
    <row r="12" spans="1:7" x14ac:dyDescent="0.25">
      <c r="A12" t="s">
        <v>11</v>
      </c>
      <c r="B12">
        <v>0</v>
      </c>
      <c r="C12">
        <v>7409</v>
      </c>
      <c r="D12">
        <v>0.80214285714285716</v>
      </c>
      <c r="E12">
        <v>1</v>
      </c>
      <c r="F12">
        <v>0.30549232536816778</v>
      </c>
      <c r="G12">
        <v>0.32105753656156871</v>
      </c>
    </row>
    <row r="13" spans="1:7" x14ac:dyDescent="0.25">
      <c r="A13" t="s">
        <v>15</v>
      </c>
      <c r="B13">
        <v>1</v>
      </c>
      <c r="C13">
        <v>7354</v>
      </c>
      <c r="D13">
        <v>0.65357142857142858</v>
      </c>
      <c r="E13">
        <v>0.9285714285714286</v>
      </c>
      <c r="F13">
        <v>0.27511189133113922</v>
      </c>
      <c r="G13">
        <v>0.3055158619613379</v>
      </c>
    </row>
    <row r="14" spans="1:7" x14ac:dyDescent="0.25">
      <c r="A14" t="s">
        <v>12</v>
      </c>
      <c r="B14">
        <v>0</v>
      </c>
      <c r="C14">
        <v>7323</v>
      </c>
      <c r="D14">
        <v>1</v>
      </c>
      <c r="E14">
        <v>1</v>
      </c>
      <c r="F14">
        <v>0.32606584247183412</v>
      </c>
      <c r="G14">
        <v>0.26069707566644429</v>
      </c>
    </row>
    <row r="15" spans="1:7" x14ac:dyDescent="0.25">
      <c r="A15" t="s">
        <v>14</v>
      </c>
      <c r="B15">
        <v>1</v>
      </c>
      <c r="C15">
        <v>7203</v>
      </c>
      <c r="D15">
        <v>0.66678571428571431</v>
      </c>
      <c r="E15">
        <v>0.9285714285714286</v>
      </c>
      <c r="F15">
        <v>0.27815185751682059</v>
      </c>
      <c r="G15">
        <v>0.30661646020950423</v>
      </c>
    </row>
    <row r="16" spans="1:7" x14ac:dyDescent="0.25">
      <c r="A16" t="s">
        <v>20</v>
      </c>
      <c r="B16">
        <v>10</v>
      </c>
      <c r="C16">
        <v>6672</v>
      </c>
      <c r="D16">
        <v>0.26071428571428568</v>
      </c>
      <c r="E16">
        <v>0.2857142857142857</v>
      </c>
      <c r="F16">
        <v>9.6943342341517247E-2</v>
      </c>
      <c r="G16">
        <v>-8.6822690345990369E-2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>
        <v>6</v>
      </c>
      <c r="C2">
        <v>9106</v>
      </c>
      <c r="D2">
        <v>0.52500000000000002</v>
      </c>
      <c r="E2">
        <v>0.5714285714285714</v>
      </c>
      <c r="F2">
        <v>0.17084628683292799</v>
      </c>
      <c r="G2">
        <v>1.1001362871757559E-2</v>
      </c>
    </row>
    <row r="3" spans="1:7" x14ac:dyDescent="0.25">
      <c r="A3" t="s">
        <v>8</v>
      </c>
      <c r="B3">
        <v>0</v>
      </c>
      <c r="C3">
        <v>8606</v>
      </c>
      <c r="D3">
        <v>0.79571428571428571</v>
      </c>
      <c r="E3">
        <v>1</v>
      </c>
      <c r="F3">
        <v>0.3002577642181477</v>
      </c>
      <c r="G3">
        <v>0.3011379327984624</v>
      </c>
    </row>
    <row r="4" spans="1:7" x14ac:dyDescent="0.25">
      <c r="A4" t="s">
        <v>7</v>
      </c>
      <c r="B4">
        <v>1</v>
      </c>
      <c r="C4">
        <v>8371</v>
      </c>
      <c r="D4">
        <v>0.85392857142857148</v>
      </c>
      <c r="E4">
        <v>0.9285714285714286</v>
      </c>
      <c r="F4">
        <v>0.31050016782929352</v>
      </c>
      <c r="G4">
        <v>0.30509613793181217</v>
      </c>
    </row>
    <row r="5" spans="1:7" x14ac:dyDescent="0.25">
      <c r="A5" t="s">
        <v>13</v>
      </c>
      <c r="B5">
        <v>0</v>
      </c>
      <c r="C5">
        <v>7823</v>
      </c>
      <c r="D5">
        <v>0.72071428571428575</v>
      </c>
      <c r="E5">
        <v>1</v>
      </c>
      <c r="F5">
        <v>0.29073229140068713</v>
      </c>
      <c r="G5">
        <v>0.31695506576874333</v>
      </c>
    </row>
    <row r="6" spans="1:7" x14ac:dyDescent="0.25">
      <c r="A6" t="s">
        <v>17</v>
      </c>
      <c r="B6">
        <v>6</v>
      </c>
      <c r="C6">
        <v>7774</v>
      </c>
      <c r="D6">
        <v>0.48214285714285721</v>
      </c>
      <c r="E6">
        <v>0.5714285714285714</v>
      </c>
      <c r="F6">
        <v>0.180293761990588</v>
      </c>
      <c r="G6">
        <v>7.9345478258598084E-2</v>
      </c>
    </row>
    <row r="7" spans="1:7" x14ac:dyDescent="0.25">
      <c r="A7" t="s">
        <v>9</v>
      </c>
      <c r="B7">
        <v>0</v>
      </c>
      <c r="C7">
        <v>7751</v>
      </c>
      <c r="D7">
        <v>0.89</v>
      </c>
      <c r="E7">
        <v>1</v>
      </c>
      <c r="F7">
        <v>0.31582548838624669</v>
      </c>
      <c r="G7">
        <v>0.29549710058652529</v>
      </c>
    </row>
    <row r="8" spans="1:7" x14ac:dyDescent="0.25">
      <c r="A8" t="s">
        <v>16</v>
      </c>
      <c r="B8">
        <v>1</v>
      </c>
      <c r="C8">
        <v>7670</v>
      </c>
      <c r="D8">
        <v>0.8</v>
      </c>
      <c r="E8">
        <v>0.9285714285714286</v>
      </c>
      <c r="F8">
        <v>0.29681257273971551</v>
      </c>
      <c r="G8">
        <v>0.2860310388254253</v>
      </c>
    </row>
    <row r="9" spans="1:7" x14ac:dyDescent="0.25">
      <c r="A9" t="s">
        <v>21</v>
      </c>
      <c r="B9">
        <v>13</v>
      </c>
      <c r="C9">
        <v>7624</v>
      </c>
      <c r="D9">
        <v>0</v>
      </c>
      <c r="E9">
        <v>7.1428571428571425E-2</v>
      </c>
      <c r="F9">
        <v>0</v>
      </c>
      <c r="G9">
        <v>-0.25895273077409953</v>
      </c>
    </row>
    <row r="10" spans="1:7" x14ac:dyDescent="0.25">
      <c r="A10" t="s">
        <v>10</v>
      </c>
      <c r="B10">
        <v>0</v>
      </c>
      <c r="C10">
        <v>7513</v>
      </c>
      <c r="D10">
        <v>0.85821428571428571</v>
      </c>
      <c r="E10">
        <v>1</v>
      </c>
      <c r="F10">
        <v>0.31701354413795613</v>
      </c>
      <c r="G10">
        <v>0.32107246408006401</v>
      </c>
    </row>
    <row r="11" spans="1:7" x14ac:dyDescent="0.25">
      <c r="A11" t="s">
        <v>15</v>
      </c>
      <c r="B11">
        <v>1</v>
      </c>
      <c r="C11">
        <v>7406</v>
      </c>
      <c r="D11">
        <v>0.6596428571428572</v>
      </c>
      <c r="E11">
        <v>0.9285714285714286</v>
      </c>
      <c r="F11">
        <v>0.2761224858245328</v>
      </c>
      <c r="G11">
        <v>0.30612634023001423</v>
      </c>
    </row>
    <row r="12" spans="1:7" x14ac:dyDescent="0.25">
      <c r="A12" t="s">
        <v>12</v>
      </c>
      <c r="B12">
        <v>0</v>
      </c>
      <c r="C12">
        <v>7383</v>
      </c>
      <c r="D12">
        <v>1</v>
      </c>
      <c r="E12">
        <v>1</v>
      </c>
      <c r="F12">
        <v>0.32667032475931879</v>
      </c>
      <c r="G12">
        <v>0.25895273077409953</v>
      </c>
    </row>
    <row r="13" spans="1:7" x14ac:dyDescent="0.25">
      <c r="A13" t="s">
        <v>11</v>
      </c>
      <c r="B13">
        <v>0</v>
      </c>
      <c r="C13">
        <v>7301</v>
      </c>
      <c r="D13">
        <v>0.77535714285714286</v>
      </c>
      <c r="E13">
        <v>1</v>
      </c>
      <c r="F13">
        <v>0.30277670816066671</v>
      </c>
      <c r="G13">
        <v>0.32461067835661478</v>
      </c>
    </row>
    <row r="14" spans="1:7" x14ac:dyDescent="0.25">
      <c r="A14" t="s">
        <v>14</v>
      </c>
      <c r="B14">
        <v>1</v>
      </c>
      <c r="C14">
        <v>7299</v>
      </c>
      <c r="D14">
        <v>0.66142857142857148</v>
      </c>
      <c r="E14">
        <v>0.9285714285714286</v>
      </c>
      <c r="F14">
        <v>0.27731175517982332</v>
      </c>
      <c r="G14">
        <v>0.308240737214941</v>
      </c>
    </row>
    <row r="15" spans="1:7" x14ac:dyDescent="0.25">
      <c r="A15" t="s">
        <v>18</v>
      </c>
      <c r="B15">
        <v>11</v>
      </c>
      <c r="C15">
        <v>7194</v>
      </c>
      <c r="D15">
        <v>0.36035714285714288</v>
      </c>
      <c r="E15">
        <v>0.2142857142857143</v>
      </c>
      <c r="F15">
        <v>0.13704773861310721</v>
      </c>
      <c r="G15">
        <v>-5.8161734193056102E-3</v>
      </c>
    </row>
    <row r="16" spans="1:7" x14ac:dyDescent="0.25">
      <c r="A16" t="s">
        <v>20</v>
      </c>
      <c r="B16">
        <v>10</v>
      </c>
      <c r="C16">
        <v>6635</v>
      </c>
      <c r="D16">
        <v>0.24714285714285711</v>
      </c>
      <c r="E16">
        <v>0.2857142857142857</v>
      </c>
      <c r="F16">
        <v>9.2517977203523047E-2</v>
      </c>
      <c r="G16">
        <v>-9.4289885044941207E-2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>
        <v>7</v>
      </c>
      <c r="C2">
        <v>8893</v>
      </c>
      <c r="D2">
        <v>0.49714285714285722</v>
      </c>
      <c r="E2">
        <v>0.5</v>
      </c>
      <c r="F2">
        <v>0.16101007036350359</v>
      </c>
      <c r="G2">
        <v>-5.5845504876120824E-3</v>
      </c>
    </row>
    <row r="3" spans="1:7" x14ac:dyDescent="0.25">
      <c r="A3" t="s">
        <v>8</v>
      </c>
      <c r="B3">
        <v>0</v>
      </c>
      <c r="C3">
        <v>8495</v>
      </c>
      <c r="D3">
        <v>0.79892857142857143</v>
      </c>
      <c r="E3">
        <v>1</v>
      </c>
      <c r="F3">
        <v>0.29942957471300702</v>
      </c>
      <c r="G3">
        <v>0.29957089112851398</v>
      </c>
    </row>
    <row r="4" spans="1:7" x14ac:dyDescent="0.25">
      <c r="A4" t="s">
        <v>7</v>
      </c>
      <c r="B4">
        <v>1</v>
      </c>
      <c r="C4">
        <v>8327</v>
      </c>
      <c r="D4">
        <v>0.85357142857142854</v>
      </c>
      <c r="E4">
        <v>0.9285714285714286</v>
      </c>
      <c r="F4">
        <v>0.31032801342121602</v>
      </c>
      <c r="G4">
        <v>0.30860276259293601</v>
      </c>
    </row>
    <row r="5" spans="1:7" x14ac:dyDescent="0.25">
      <c r="A5" t="s">
        <v>9</v>
      </c>
      <c r="B5">
        <v>0</v>
      </c>
      <c r="C5">
        <v>7916</v>
      </c>
      <c r="D5">
        <v>0.88571428571428568</v>
      </c>
      <c r="E5">
        <v>1</v>
      </c>
      <c r="F5">
        <v>0.31500998039689848</v>
      </c>
      <c r="G5">
        <v>0.29947947533291391</v>
      </c>
    </row>
    <row r="6" spans="1:7" x14ac:dyDescent="0.25">
      <c r="A6" t="s">
        <v>17</v>
      </c>
      <c r="B6">
        <v>6</v>
      </c>
      <c r="C6">
        <v>7872</v>
      </c>
      <c r="D6">
        <v>0.47714285714285709</v>
      </c>
      <c r="E6">
        <v>0.5714285714285714</v>
      </c>
      <c r="F6">
        <v>0.17834584538417311</v>
      </c>
      <c r="G6">
        <v>7.722422381613861E-2</v>
      </c>
    </row>
    <row r="7" spans="1:7" x14ac:dyDescent="0.25">
      <c r="A7" t="s">
        <v>13</v>
      </c>
      <c r="B7">
        <v>0</v>
      </c>
      <c r="C7">
        <v>7716</v>
      </c>
      <c r="D7">
        <v>0.71928571428571431</v>
      </c>
      <c r="E7">
        <v>1</v>
      </c>
      <c r="F7">
        <v>0.28831766324687358</v>
      </c>
      <c r="G7">
        <v>0.31204225874814168</v>
      </c>
    </row>
    <row r="8" spans="1:7" x14ac:dyDescent="0.25">
      <c r="A8" t="s">
        <v>18</v>
      </c>
      <c r="B8">
        <v>9</v>
      </c>
      <c r="C8">
        <v>7617</v>
      </c>
      <c r="D8">
        <v>0.41392857142857142</v>
      </c>
      <c r="E8">
        <v>0.35714285714285721</v>
      </c>
      <c r="F8">
        <v>0.1564334405150081</v>
      </c>
      <c r="G8">
        <v>3.5043176141978598E-2</v>
      </c>
    </row>
    <row r="9" spans="1:7" x14ac:dyDescent="0.25">
      <c r="A9" t="s">
        <v>16</v>
      </c>
      <c r="B9">
        <v>1</v>
      </c>
      <c r="C9">
        <v>7577</v>
      </c>
      <c r="D9">
        <v>0.80214285714285716</v>
      </c>
      <c r="E9">
        <v>0.9285714285714286</v>
      </c>
      <c r="F9">
        <v>0.2957254050402407</v>
      </c>
      <c r="G9">
        <v>0.28402354637840183</v>
      </c>
    </row>
    <row r="10" spans="1:7" x14ac:dyDescent="0.25">
      <c r="A10" t="s">
        <v>11</v>
      </c>
      <c r="B10">
        <v>0</v>
      </c>
      <c r="C10">
        <v>7566</v>
      </c>
      <c r="D10">
        <v>0.83499999999999996</v>
      </c>
      <c r="E10">
        <v>1</v>
      </c>
      <c r="F10">
        <v>0.31214093486472377</v>
      </c>
      <c r="G10">
        <v>0.32480846843017641</v>
      </c>
    </row>
    <row r="11" spans="1:7" x14ac:dyDescent="0.25">
      <c r="A11" t="s">
        <v>10</v>
      </c>
      <c r="B11">
        <v>0</v>
      </c>
      <c r="C11">
        <v>7496</v>
      </c>
      <c r="D11">
        <v>0.85571428571428576</v>
      </c>
      <c r="E11">
        <v>1</v>
      </c>
      <c r="F11">
        <v>0.31553794324097689</v>
      </c>
      <c r="G11">
        <v>0.32221201960634888</v>
      </c>
    </row>
    <row r="12" spans="1:7" x14ac:dyDescent="0.25">
      <c r="A12" t="s">
        <v>12</v>
      </c>
      <c r="B12">
        <v>0</v>
      </c>
      <c r="C12">
        <v>7353</v>
      </c>
      <c r="D12">
        <v>1</v>
      </c>
      <c r="E12">
        <v>1</v>
      </c>
      <c r="F12">
        <v>0.32564058709514171</v>
      </c>
      <c r="G12">
        <v>0.25953355443514581</v>
      </c>
    </row>
    <row r="13" spans="1:7" x14ac:dyDescent="0.25">
      <c r="A13" t="s">
        <v>21</v>
      </c>
      <c r="B13">
        <v>13</v>
      </c>
      <c r="C13">
        <v>7309</v>
      </c>
      <c r="D13">
        <v>0</v>
      </c>
      <c r="E13">
        <v>7.1428571428571425E-2</v>
      </c>
      <c r="F13">
        <v>0</v>
      </c>
      <c r="G13">
        <v>-0.25953355443514581</v>
      </c>
    </row>
    <row r="14" spans="1:7" x14ac:dyDescent="0.25">
      <c r="A14" t="s">
        <v>15</v>
      </c>
      <c r="B14">
        <v>1</v>
      </c>
      <c r="C14">
        <v>7282</v>
      </c>
      <c r="D14">
        <v>0.64714285714285713</v>
      </c>
      <c r="E14">
        <v>0.9285714285714286</v>
      </c>
      <c r="F14">
        <v>0.27292830137421598</v>
      </c>
      <c r="G14">
        <v>0.30533784356045679</v>
      </c>
    </row>
    <row r="15" spans="1:7" x14ac:dyDescent="0.25">
      <c r="A15" t="s">
        <v>14</v>
      </c>
      <c r="B15">
        <v>1</v>
      </c>
      <c r="C15">
        <v>7162</v>
      </c>
      <c r="D15">
        <v>0.65892857142857142</v>
      </c>
      <c r="E15">
        <v>0.9285714285714286</v>
      </c>
      <c r="F15">
        <v>0.27533811186063673</v>
      </c>
      <c r="G15">
        <v>0.3057105964625258</v>
      </c>
    </row>
    <row r="16" spans="1:7" x14ac:dyDescent="0.25">
      <c r="A16" t="s">
        <v>20</v>
      </c>
      <c r="B16">
        <v>11</v>
      </c>
      <c r="C16">
        <v>6703</v>
      </c>
      <c r="D16">
        <v>0.25071428571428572</v>
      </c>
      <c r="E16">
        <v>0.2142857142857143</v>
      </c>
      <c r="F16">
        <v>9.3192215452638852E-2</v>
      </c>
      <c r="G16">
        <v>-9.6666931681196527E-2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>
        <v>8</v>
      </c>
      <c r="C2">
        <v>9548</v>
      </c>
      <c r="D2">
        <v>0.48714285714285721</v>
      </c>
      <c r="E2">
        <v>0.42857142857142849</v>
      </c>
      <c r="F2">
        <v>0.15894460595897261</v>
      </c>
      <c r="G2">
        <v>-2.998028124996617E-3</v>
      </c>
    </row>
    <row r="3" spans="1:7" x14ac:dyDescent="0.25">
      <c r="A3" t="s">
        <v>8</v>
      </c>
      <c r="B3">
        <v>0</v>
      </c>
      <c r="C3">
        <v>8482</v>
      </c>
      <c r="D3">
        <v>0.78749999999999998</v>
      </c>
      <c r="E3">
        <v>1</v>
      </c>
      <c r="F3">
        <v>0.29899358529270192</v>
      </c>
      <c r="G3">
        <v>0.30210377295999019</v>
      </c>
    </row>
    <row r="4" spans="1:7" x14ac:dyDescent="0.25">
      <c r="A4" t="s">
        <v>17</v>
      </c>
      <c r="B4">
        <v>7</v>
      </c>
      <c r="C4">
        <v>8262</v>
      </c>
      <c r="D4">
        <v>0.43428571428571427</v>
      </c>
      <c r="E4">
        <v>0.5</v>
      </c>
      <c r="F4">
        <v>0.17033800034350821</v>
      </c>
      <c r="G4">
        <v>7.802867958176575E-2</v>
      </c>
    </row>
    <row r="5" spans="1:7" x14ac:dyDescent="0.25">
      <c r="A5" t="s">
        <v>9</v>
      </c>
      <c r="B5">
        <v>0</v>
      </c>
      <c r="C5">
        <v>7845</v>
      </c>
      <c r="D5">
        <v>0.89821428571428574</v>
      </c>
      <c r="E5">
        <v>1</v>
      </c>
      <c r="F5">
        <v>0.31583340079339872</v>
      </c>
      <c r="G5">
        <v>0.29142522081109817</v>
      </c>
    </row>
    <row r="6" spans="1:7" x14ac:dyDescent="0.25">
      <c r="A6" t="s">
        <v>13</v>
      </c>
      <c r="B6">
        <v>0</v>
      </c>
      <c r="C6">
        <v>7824</v>
      </c>
      <c r="D6">
        <v>0.72678571428571426</v>
      </c>
      <c r="E6">
        <v>1</v>
      </c>
      <c r="F6">
        <v>0.29194884040611568</v>
      </c>
      <c r="G6">
        <v>0.31715866398454301</v>
      </c>
    </row>
    <row r="7" spans="1:7" x14ac:dyDescent="0.25">
      <c r="A7" t="s">
        <v>16</v>
      </c>
      <c r="B7">
        <v>0</v>
      </c>
      <c r="C7">
        <v>7555</v>
      </c>
      <c r="D7">
        <v>0.81321428571428567</v>
      </c>
      <c r="E7">
        <v>1</v>
      </c>
      <c r="F7">
        <v>0.29911132504011723</v>
      </c>
      <c r="G7">
        <v>0.28502440115349992</v>
      </c>
    </row>
    <row r="8" spans="1:7" x14ac:dyDescent="0.25">
      <c r="A8" t="s">
        <v>7</v>
      </c>
      <c r="B8">
        <v>0</v>
      </c>
      <c r="C8">
        <v>7550</v>
      </c>
      <c r="D8">
        <v>0.92214285714285715</v>
      </c>
      <c r="E8">
        <v>1</v>
      </c>
      <c r="F8">
        <v>0.32439193224286789</v>
      </c>
      <c r="G8">
        <v>0.30503733777732001</v>
      </c>
    </row>
    <row r="9" spans="1:7" x14ac:dyDescent="0.25">
      <c r="A9" t="s">
        <v>21</v>
      </c>
      <c r="B9">
        <v>13</v>
      </c>
      <c r="C9">
        <v>7507</v>
      </c>
      <c r="D9">
        <v>0</v>
      </c>
      <c r="E9">
        <v>7.1428571428571425E-2</v>
      </c>
      <c r="F9">
        <v>0</v>
      </c>
      <c r="G9">
        <v>-0.25703653453011271</v>
      </c>
    </row>
    <row r="10" spans="1:7" x14ac:dyDescent="0.25">
      <c r="A10" t="s">
        <v>10</v>
      </c>
      <c r="B10">
        <v>0</v>
      </c>
      <c r="C10">
        <v>7431</v>
      </c>
      <c r="D10">
        <v>0.84357142857142853</v>
      </c>
      <c r="E10">
        <v>1</v>
      </c>
      <c r="F10">
        <v>0.3142860499761157</v>
      </c>
      <c r="G10">
        <v>0.32242452688064238</v>
      </c>
    </row>
    <row r="11" spans="1:7" x14ac:dyDescent="0.25">
      <c r="A11" t="s">
        <v>11</v>
      </c>
      <c r="B11">
        <v>0</v>
      </c>
      <c r="C11">
        <v>7397</v>
      </c>
      <c r="D11">
        <v>0.77857142857142858</v>
      </c>
      <c r="E11">
        <v>1</v>
      </c>
      <c r="F11">
        <v>0.30262445124393789</v>
      </c>
      <c r="G11">
        <v>0.32358091244246551</v>
      </c>
    </row>
    <row r="12" spans="1:7" x14ac:dyDescent="0.25">
      <c r="A12" t="s">
        <v>18</v>
      </c>
      <c r="B12">
        <v>9</v>
      </c>
      <c r="C12">
        <v>7393</v>
      </c>
      <c r="D12">
        <v>0.35678571428571432</v>
      </c>
      <c r="E12">
        <v>0.35714285714285721</v>
      </c>
      <c r="F12">
        <v>0.13418722274954531</v>
      </c>
      <c r="G12">
        <v>-1.3870219888379869E-2</v>
      </c>
    </row>
    <row r="13" spans="1:7" x14ac:dyDescent="0.25">
      <c r="A13" t="s">
        <v>12</v>
      </c>
      <c r="B13">
        <v>0</v>
      </c>
      <c r="C13">
        <v>7293</v>
      </c>
      <c r="D13">
        <v>1</v>
      </c>
      <c r="E13">
        <v>1</v>
      </c>
      <c r="F13">
        <v>0.32567184992258902</v>
      </c>
      <c r="G13">
        <v>0.25703653453011271</v>
      </c>
    </row>
    <row r="14" spans="1:7" x14ac:dyDescent="0.25">
      <c r="A14" t="s">
        <v>15</v>
      </c>
      <c r="B14">
        <v>1</v>
      </c>
      <c r="C14">
        <v>7239</v>
      </c>
      <c r="D14">
        <v>0.65071428571428569</v>
      </c>
      <c r="E14">
        <v>0.9285714285714286</v>
      </c>
      <c r="F14">
        <v>0.27615263509918092</v>
      </c>
      <c r="G14">
        <v>0.31022830149212038</v>
      </c>
    </row>
    <row r="15" spans="1:7" x14ac:dyDescent="0.25">
      <c r="A15" t="s">
        <v>14</v>
      </c>
      <c r="B15">
        <v>1</v>
      </c>
      <c r="C15">
        <v>7227</v>
      </c>
      <c r="D15">
        <v>0.65928571428571425</v>
      </c>
      <c r="E15">
        <v>0.9285714285714286</v>
      </c>
      <c r="F15">
        <v>0.27820541827218948</v>
      </c>
      <c r="G15">
        <v>0.31109269653368687</v>
      </c>
    </row>
    <row r="16" spans="1:7" x14ac:dyDescent="0.25">
      <c r="A16" t="s">
        <v>20</v>
      </c>
      <c r="B16">
        <v>11</v>
      </c>
      <c r="C16">
        <v>6623</v>
      </c>
      <c r="D16">
        <v>0.24392857142857141</v>
      </c>
      <c r="E16">
        <v>0.2142857142857143</v>
      </c>
      <c r="F16">
        <v>9.2507642802504508E-2</v>
      </c>
      <c r="G16">
        <v>-9.3917478224983655E-2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1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>
        <v>8</v>
      </c>
      <c r="C2">
        <v>8975</v>
      </c>
      <c r="D2">
        <v>0.48821428571428571</v>
      </c>
      <c r="E2">
        <v>0.42857142857142849</v>
      </c>
      <c r="F2">
        <v>0.15665665998712899</v>
      </c>
      <c r="G2">
        <v>-1.3172281468803001E-2</v>
      </c>
    </row>
    <row r="3" spans="1:7" x14ac:dyDescent="0.25">
      <c r="A3" t="s">
        <v>8</v>
      </c>
      <c r="B3">
        <v>0</v>
      </c>
      <c r="C3">
        <v>8439</v>
      </c>
      <c r="D3">
        <v>0.79</v>
      </c>
      <c r="E3">
        <v>1</v>
      </c>
      <c r="F3">
        <v>0.29704020539189518</v>
      </c>
      <c r="G3">
        <v>0.30138337719256048</v>
      </c>
    </row>
    <row r="4" spans="1:7" x14ac:dyDescent="0.25">
      <c r="A4" t="s">
        <v>7</v>
      </c>
      <c r="B4">
        <v>1</v>
      </c>
      <c r="C4">
        <v>8357</v>
      </c>
      <c r="D4">
        <v>0.85357142857142854</v>
      </c>
      <c r="E4">
        <v>0.9285714285714286</v>
      </c>
      <c r="F4">
        <v>0.31065665058605341</v>
      </c>
      <c r="G4">
        <v>0.31594418267925739</v>
      </c>
    </row>
    <row r="5" spans="1:7" x14ac:dyDescent="0.25">
      <c r="A5" t="s">
        <v>17</v>
      </c>
      <c r="B5">
        <v>6</v>
      </c>
      <c r="C5">
        <v>7945</v>
      </c>
      <c r="D5">
        <v>0.47357142857142859</v>
      </c>
      <c r="E5">
        <v>0.5714285714285714</v>
      </c>
      <c r="F5">
        <v>0.17613973521489409</v>
      </c>
      <c r="G5">
        <v>7.2040553252842088E-2</v>
      </c>
    </row>
    <row r="6" spans="1:7" x14ac:dyDescent="0.25">
      <c r="A6" t="s">
        <v>9</v>
      </c>
      <c r="B6">
        <v>0</v>
      </c>
      <c r="C6">
        <v>7831</v>
      </c>
      <c r="D6">
        <v>0.8839285714285714</v>
      </c>
      <c r="E6">
        <v>1</v>
      </c>
      <c r="F6">
        <v>0.31356154283943422</v>
      </c>
      <c r="G6">
        <v>0.30086841522300589</v>
      </c>
    </row>
    <row r="7" spans="1:7" x14ac:dyDescent="0.25">
      <c r="A7" t="s">
        <v>13</v>
      </c>
      <c r="B7">
        <v>0</v>
      </c>
      <c r="C7">
        <v>7750</v>
      </c>
      <c r="D7">
        <v>0.71892857142857147</v>
      </c>
      <c r="E7">
        <v>1</v>
      </c>
      <c r="F7">
        <v>0.28712506207013211</v>
      </c>
      <c r="G7">
        <v>0.31284703679631859</v>
      </c>
    </row>
    <row r="8" spans="1:7" x14ac:dyDescent="0.25">
      <c r="A8" t="s">
        <v>11</v>
      </c>
      <c r="B8">
        <v>0</v>
      </c>
      <c r="C8">
        <v>7744</v>
      </c>
      <c r="D8">
        <v>0.85392857142857148</v>
      </c>
      <c r="E8">
        <v>1</v>
      </c>
      <c r="F8">
        <v>0.31259949736158771</v>
      </c>
      <c r="G8">
        <v>0.31854668105904971</v>
      </c>
    </row>
    <row r="9" spans="1:7" x14ac:dyDescent="0.25">
      <c r="A9" t="s">
        <v>10</v>
      </c>
      <c r="B9">
        <v>0</v>
      </c>
      <c r="C9">
        <v>7680</v>
      </c>
      <c r="D9">
        <v>0.88428571428571423</v>
      </c>
      <c r="E9">
        <v>1</v>
      </c>
      <c r="F9">
        <v>0.31807668445673393</v>
      </c>
      <c r="G9">
        <v>0.31766251062304779</v>
      </c>
    </row>
    <row r="10" spans="1:7" x14ac:dyDescent="0.25">
      <c r="A10" t="s">
        <v>18</v>
      </c>
      <c r="B10">
        <v>9</v>
      </c>
      <c r="C10">
        <v>7540</v>
      </c>
      <c r="D10">
        <v>0.41249999999999998</v>
      </c>
      <c r="E10">
        <v>0.35714285714285721</v>
      </c>
      <c r="F10">
        <v>0.15525854640090761</v>
      </c>
      <c r="G10">
        <v>3.1483166763682589E-2</v>
      </c>
    </row>
    <row r="11" spans="1:7" x14ac:dyDescent="0.25">
      <c r="A11" t="s">
        <v>21</v>
      </c>
      <c r="B11">
        <v>13</v>
      </c>
      <c r="C11">
        <v>7462</v>
      </c>
      <c r="D11">
        <v>0</v>
      </c>
      <c r="E11">
        <v>7.1428571428571425E-2</v>
      </c>
      <c r="F11">
        <v>0</v>
      </c>
      <c r="G11">
        <v>-0.26423311190262821</v>
      </c>
    </row>
    <row r="12" spans="1:7" x14ac:dyDescent="0.25">
      <c r="A12" t="s">
        <v>16</v>
      </c>
      <c r="B12">
        <v>0</v>
      </c>
      <c r="C12">
        <v>7457</v>
      </c>
      <c r="D12">
        <v>0.8075</v>
      </c>
      <c r="E12">
        <v>1</v>
      </c>
      <c r="F12">
        <v>0.29608371500645048</v>
      </c>
      <c r="G12">
        <v>0.28562850254268252</v>
      </c>
    </row>
    <row r="13" spans="1:7" x14ac:dyDescent="0.25">
      <c r="A13" t="s">
        <v>12</v>
      </c>
      <c r="B13">
        <v>0</v>
      </c>
      <c r="C13">
        <v>7377</v>
      </c>
      <c r="D13">
        <v>1</v>
      </c>
      <c r="E13">
        <v>1</v>
      </c>
      <c r="F13">
        <v>0.32555341512691599</v>
      </c>
      <c r="G13">
        <v>0.26423311190262821</v>
      </c>
    </row>
    <row r="14" spans="1:7" x14ac:dyDescent="0.25">
      <c r="A14" t="s">
        <v>15</v>
      </c>
      <c r="B14">
        <v>1</v>
      </c>
      <c r="C14">
        <v>7284</v>
      </c>
      <c r="D14">
        <v>0.65071428571428569</v>
      </c>
      <c r="E14">
        <v>0.9285714285714286</v>
      </c>
      <c r="F14">
        <v>0.2726916405594853</v>
      </c>
      <c r="G14">
        <v>0.30697768498230249</v>
      </c>
    </row>
    <row r="15" spans="1:7" x14ac:dyDescent="0.25">
      <c r="A15" t="s">
        <v>14</v>
      </c>
      <c r="B15">
        <v>1</v>
      </c>
      <c r="C15">
        <v>7208</v>
      </c>
      <c r="D15">
        <v>0.65857142857142859</v>
      </c>
      <c r="E15">
        <v>0.9285714285714286</v>
      </c>
      <c r="F15">
        <v>0.27430631118067278</v>
      </c>
      <c r="G15">
        <v>0.30668982675811118</v>
      </c>
    </row>
    <row r="16" spans="1:7" x14ac:dyDescent="0.25">
      <c r="A16" t="s">
        <v>20</v>
      </c>
      <c r="B16">
        <v>11</v>
      </c>
      <c r="C16">
        <v>7019</v>
      </c>
      <c r="D16">
        <v>0.29749999999999999</v>
      </c>
      <c r="E16">
        <v>0.2142857142857143</v>
      </c>
      <c r="F16">
        <v>0.11260412611115431</v>
      </c>
      <c r="G16">
        <v>-5.1965350679149667E-2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FINAL</vt:lpstr>
      <vt:lpstr>T = 5</vt:lpstr>
      <vt:lpstr>T = 5.5</vt:lpstr>
      <vt:lpstr>T = 6</vt:lpstr>
      <vt:lpstr>T = 6.5</vt:lpstr>
      <vt:lpstr>T = 7</vt:lpstr>
      <vt:lpstr>T = 7.5</vt:lpstr>
      <vt:lpstr>T = 8</vt:lpstr>
      <vt:lpstr>T = 8.5</vt:lpstr>
      <vt:lpstr>T = 9</vt:lpstr>
      <vt:lpstr>T = 9.5</vt:lpstr>
      <vt:lpstr>T = 10</vt:lpstr>
      <vt:lpstr>5 (0)</vt:lpstr>
      <vt:lpstr>5 (1)</vt:lpstr>
      <vt:lpstr>5 (2)</vt:lpstr>
      <vt:lpstr>5 (3)</vt:lpstr>
      <vt:lpstr>5 (4)</vt:lpstr>
      <vt:lpstr>5.5 (0)</vt:lpstr>
      <vt:lpstr>5.5 (1)</vt:lpstr>
      <vt:lpstr>5.5 (2)</vt:lpstr>
      <vt:lpstr>5.5 (3)</vt:lpstr>
      <vt:lpstr>5.5 (4)</vt:lpstr>
      <vt:lpstr>6 (0)</vt:lpstr>
      <vt:lpstr>6 (1)</vt:lpstr>
      <vt:lpstr>6 (2)</vt:lpstr>
      <vt:lpstr>6 (3)</vt:lpstr>
      <vt:lpstr>6 (4)</vt:lpstr>
      <vt:lpstr>6.5 (0)</vt:lpstr>
      <vt:lpstr>6.5 (1)</vt:lpstr>
      <vt:lpstr>6.5 (2)</vt:lpstr>
      <vt:lpstr>6.5 (3)</vt:lpstr>
      <vt:lpstr>6.5 (4)</vt:lpstr>
      <vt:lpstr>7 (0)</vt:lpstr>
      <vt:lpstr>7 (1)</vt:lpstr>
      <vt:lpstr>7 (2)</vt:lpstr>
      <vt:lpstr>7 (3)</vt:lpstr>
      <vt:lpstr>7 (4)</vt:lpstr>
      <vt:lpstr>7.5 (0)</vt:lpstr>
      <vt:lpstr>7.5 (1)</vt:lpstr>
      <vt:lpstr>7.5 (2)</vt:lpstr>
      <vt:lpstr>7.5 (3)</vt:lpstr>
      <vt:lpstr>7.5 (4)</vt:lpstr>
      <vt:lpstr>8 (0)</vt:lpstr>
      <vt:lpstr>8 (1)</vt:lpstr>
      <vt:lpstr>8 (2)</vt:lpstr>
      <vt:lpstr>8 (3)</vt:lpstr>
      <vt:lpstr>8 (4)</vt:lpstr>
      <vt:lpstr>8.5 (0)</vt:lpstr>
      <vt:lpstr>8.5 (1)</vt:lpstr>
      <vt:lpstr>8.5 (2)</vt:lpstr>
      <vt:lpstr>8.5 (3)</vt:lpstr>
      <vt:lpstr>8.5 (4)</vt:lpstr>
      <vt:lpstr>9 (0)</vt:lpstr>
      <vt:lpstr>9 (1)</vt:lpstr>
      <vt:lpstr>9 (2)</vt:lpstr>
      <vt:lpstr>9 (3)</vt:lpstr>
      <vt:lpstr>9 (4)</vt:lpstr>
      <vt:lpstr>9.5 (0)</vt:lpstr>
      <vt:lpstr>9.5 (1)</vt:lpstr>
      <vt:lpstr>9.5 (2)</vt:lpstr>
      <vt:lpstr>9.5 (3)</vt:lpstr>
      <vt:lpstr>9.5 (4)</vt:lpstr>
      <vt:lpstr>10 (0)</vt:lpstr>
      <vt:lpstr>10 (1)</vt:lpstr>
      <vt:lpstr>10 (2)</vt:lpstr>
      <vt:lpstr>10 (3)</vt:lpstr>
      <vt:lpstr>10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Ognjen S. Nikolić</cp:lastModifiedBy>
  <dcterms:created xsi:type="dcterms:W3CDTF">2026-02-04T12:31:57Z</dcterms:created>
  <dcterms:modified xsi:type="dcterms:W3CDTF">2026-02-04T14:16:50Z</dcterms:modified>
</cp:coreProperties>
</file>