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Noise\All 0.1\"/>
    </mc:Choice>
  </mc:AlternateContent>
  <xr:revisionPtr revIDLastSave="0" documentId="13_ncr:1_{8B30C34F-1D86-4564-87C7-4F3383D506F8}" xr6:coauthVersionLast="47" xr6:coauthVersionMax="47" xr10:uidLastSave="{00000000-0000-0000-0000-000000000000}"/>
  <bookViews>
    <workbookView xWindow="-23148" yWindow="10980" windowWidth="23256" windowHeight="12456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definedNames>
    <definedName name="_xlnm._FilterDatabase" localSheetId="0" hidden="1">'FINAL FINAL'!$B$3:$H$230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2" l="1"/>
  <c r="BK156" i="2"/>
  <c r="X221" i="2"/>
  <c r="AH14" i="2"/>
  <c r="X34" i="2"/>
  <c r="X70" i="2"/>
  <c r="AF161" i="2"/>
  <c r="X116" i="2"/>
  <c r="BV118" i="2"/>
  <c r="W27" i="2"/>
  <c r="AE209" i="2"/>
  <c r="Y75" i="2"/>
  <c r="BB36" i="2"/>
  <c r="AF106" i="2"/>
  <c r="BV100" i="2"/>
  <c r="U108" i="2"/>
  <c r="AH56" i="2"/>
  <c r="Y196" i="2"/>
  <c r="AD58" i="2"/>
  <c r="BU154" i="2"/>
  <c r="BR30" i="2"/>
  <c r="U208" i="2"/>
  <c r="BT103" i="2"/>
  <c r="U10" i="2"/>
  <c r="AF186" i="2"/>
  <c r="V182" i="2"/>
  <c r="W223" i="2"/>
  <c r="AZ203" i="2"/>
  <c r="AX58" i="2"/>
  <c r="BK129" i="2"/>
  <c r="BL188" i="2"/>
  <c r="BB83" i="2"/>
  <c r="X163" i="2"/>
  <c r="Y174" i="2"/>
  <c r="AD131" i="2"/>
  <c r="V42" i="2"/>
  <c r="U192" i="2"/>
  <c r="AD115" i="2"/>
  <c r="V226" i="2"/>
  <c r="X131" i="2"/>
  <c r="Y48" i="2"/>
  <c r="AG152" i="2"/>
  <c r="AF145" i="2"/>
  <c r="BT202" i="2"/>
  <c r="AY67" i="2"/>
  <c r="V40" i="2"/>
  <c r="AE78" i="2"/>
  <c r="U227" i="2"/>
  <c r="BR72" i="2"/>
  <c r="V27" i="2"/>
  <c r="X142" i="2"/>
  <c r="X229" i="2"/>
  <c r="W147" i="2"/>
  <c r="V113" i="2"/>
  <c r="U195" i="2"/>
  <c r="AD154" i="2"/>
  <c r="AF204" i="2"/>
  <c r="Y44" i="2"/>
  <c r="AG52" i="2"/>
  <c r="AF177" i="2"/>
  <c r="AH166" i="2"/>
  <c r="BB192" i="2"/>
  <c r="Y74" i="2"/>
  <c r="U56" i="2"/>
  <c r="X186" i="2"/>
  <c r="W118" i="2"/>
  <c r="Y119" i="2"/>
  <c r="AE115" i="2"/>
  <c r="X197" i="2"/>
  <c r="Y195" i="2"/>
  <c r="AH195" i="2"/>
  <c r="W6" i="2"/>
  <c r="BH81" i="2"/>
  <c r="BU83" i="2"/>
  <c r="X73" i="2"/>
  <c r="U54" i="2"/>
  <c r="U104" i="2"/>
  <c r="Y186" i="2"/>
  <c r="U71" i="2"/>
  <c r="X170" i="2"/>
  <c r="AF67" i="2"/>
  <c r="U136" i="2"/>
  <c r="AD88" i="2"/>
  <c r="V53" i="2"/>
  <c r="BH175" i="2"/>
  <c r="AE151" i="2"/>
  <c r="BV29" i="2"/>
  <c r="U124" i="2"/>
  <c r="AG77" i="2"/>
  <c r="X203" i="2"/>
  <c r="BK92" i="2"/>
  <c r="BK209" i="2"/>
  <c r="BR51" i="2"/>
  <c r="W79" i="2"/>
  <c r="V184" i="2"/>
  <c r="W157" i="2"/>
  <c r="Y179" i="2"/>
  <c r="AH28" i="2"/>
  <c r="AH91" i="2"/>
  <c r="V72" i="2"/>
  <c r="BK208" i="2"/>
  <c r="BS107" i="2"/>
  <c r="AF47" i="2"/>
  <c r="W184" i="2"/>
  <c r="AH118" i="2"/>
  <c r="X117" i="2"/>
  <c r="AD7" i="2"/>
  <c r="W77" i="2"/>
  <c r="X162" i="2"/>
  <c r="W129" i="2"/>
  <c r="V138" i="2"/>
  <c r="AX87" i="2"/>
  <c r="BR163" i="2"/>
  <c r="BS179" i="2"/>
  <c r="AH90" i="2"/>
  <c r="BH74" i="2"/>
  <c r="BV109" i="2"/>
  <c r="X16" i="2"/>
  <c r="BR138" i="2"/>
  <c r="BT188" i="2"/>
  <c r="V94" i="2"/>
  <c r="BR109" i="2"/>
  <c r="AG197" i="2"/>
  <c r="X180" i="2"/>
  <c r="V222" i="2"/>
  <c r="BI174" i="2"/>
  <c r="AD16" i="2"/>
  <c r="V150" i="2"/>
  <c r="U210" i="2"/>
  <c r="W20" i="2"/>
  <c r="X27" i="2"/>
  <c r="U16" i="2"/>
  <c r="V209" i="2"/>
  <c r="V178" i="2"/>
  <c r="AG30" i="2"/>
  <c r="W185" i="2"/>
  <c r="V120" i="2"/>
  <c r="AE11" i="2"/>
  <c r="AF29" i="2"/>
  <c r="AF225" i="2"/>
  <c r="X108" i="2"/>
  <c r="X167" i="2"/>
  <c r="Y94" i="2"/>
  <c r="AG196" i="2"/>
  <c r="BV82" i="2"/>
  <c r="V190" i="2"/>
  <c r="X92" i="2"/>
  <c r="X149" i="2"/>
  <c r="U50" i="2"/>
  <c r="AD142" i="2"/>
  <c r="U123" i="2"/>
  <c r="X89" i="2"/>
  <c r="U196" i="2"/>
  <c r="AH114" i="2"/>
  <c r="BU66" i="2"/>
  <c r="AO42" i="2"/>
  <c r="BI222" i="2"/>
  <c r="W73" i="2"/>
  <c r="Y33" i="2"/>
  <c r="X187" i="2"/>
  <c r="U4" i="2"/>
  <c r="U209" i="2"/>
  <c r="V199" i="2"/>
  <c r="V64" i="2"/>
  <c r="X151" i="2"/>
  <c r="AE150" i="2"/>
  <c r="Y160" i="2"/>
  <c r="V114" i="2"/>
  <c r="Y149" i="2"/>
  <c r="V176" i="2"/>
  <c r="W211" i="2"/>
  <c r="X127" i="2"/>
  <c r="W96" i="2"/>
  <c r="Y49" i="2"/>
  <c r="BS62" i="2"/>
  <c r="AE4" i="2"/>
  <c r="BV229" i="2"/>
  <c r="W135" i="2"/>
  <c r="X67" i="2"/>
  <c r="U215" i="2"/>
  <c r="W216" i="2"/>
  <c r="Y115" i="2"/>
  <c r="W81" i="2"/>
  <c r="V201" i="2"/>
  <c r="W67" i="2"/>
  <c r="W30" i="2"/>
  <c r="BS227" i="2"/>
  <c r="AH112" i="2"/>
  <c r="U48" i="2"/>
  <c r="U92" i="2"/>
  <c r="X174" i="2"/>
  <c r="X4" i="2"/>
  <c r="AG217" i="2"/>
  <c r="AH48" i="2"/>
  <c r="X175" i="2"/>
  <c r="W213" i="2"/>
  <c r="AF157" i="2"/>
  <c r="BB69" i="2"/>
  <c r="Y124" i="2"/>
  <c r="U105" i="2"/>
  <c r="X199" i="2"/>
  <c r="W111" i="2"/>
  <c r="Y23" i="2"/>
  <c r="AH101" i="2"/>
  <c r="Y177" i="2"/>
  <c r="U180" i="2"/>
  <c r="AE153" i="2"/>
  <c r="V155" i="2"/>
  <c r="X137" i="2"/>
  <c r="BT71" i="2"/>
  <c r="X136" i="2"/>
  <c r="AE91" i="2"/>
  <c r="U62" i="2"/>
  <c r="V133" i="2"/>
  <c r="Y129" i="2"/>
  <c r="W74" i="2"/>
  <c r="AD27" i="2"/>
  <c r="V203" i="2"/>
  <c r="V99" i="2"/>
  <c r="W50" i="2"/>
  <c r="AD134" i="2"/>
  <c r="X168" i="2"/>
  <c r="X87" i="2"/>
  <c r="U204" i="2"/>
  <c r="V134" i="2"/>
  <c r="Y229" i="2"/>
  <c r="W169" i="2"/>
  <c r="BS59" i="2"/>
  <c r="AH129" i="2"/>
  <c r="W43" i="2"/>
  <c r="V110" i="2"/>
  <c r="W168" i="2"/>
  <c r="U109" i="2"/>
  <c r="AF38" i="2"/>
  <c r="V161" i="2"/>
  <c r="X36" i="2"/>
  <c r="X26" i="2"/>
  <c r="AH19" i="2"/>
  <c r="BR40" i="2"/>
  <c r="AH201" i="2"/>
  <c r="BJ159" i="2"/>
  <c r="BS154" i="2"/>
  <c r="V17" i="2"/>
  <c r="W70" i="2"/>
  <c r="BH84" i="2"/>
  <c r="V180" i="2"/>
  <c r="BU227" i="2"/>
  <c r="W212" i="2"/>
  <c r="X31" i="2"/>
  <c r="W104" i="2"/>
  <c r="W227" i="2"/>
  <c r="U126" i="2"/>
  <c r="AH37" i="2"/>
  <c r="Y34" i="2"/>
  <c r="AH64" i="2"/>
  <c r="BV48" i="2"/>
  <c r="AY19" i="2"/>
  <c r="BR180" i="2"/>
  <c r="AN188" i="2"/>
  <c r="AF208" i="2"/>
  <c r="AH13" i="2"/>
  <c r="V191" i="2"/>
  <c r="BR82" i="2"/>
  <c r="AE99" i="2"/>
  <c r="BH126" i="2"/>
  <c r="AD188" i="2"/>
  <c r="AZ87" i="2"/>
  <c r="AY77" i="2"/>
  <c r="BL52" i="2"/>
  <c r="Y19" i="2"/>
  <c r="AD213" i="2"/>
  <c r="AF88" i="2"/>
  <c r="AE202" i="2"/>
  <c r="X72" i="2"/>
  <c r="AH79" i="2"/>
  <c r="AG207" i="2"/>
  <c r="AD81" i="2"/>
  <c r="AD21" i="2"/>
  <c r="X24" i="2"/>
  <c r="AD121" i="2"/>
  <c r="AD60" i="2"/>
  <c r="BV14" i="2"/>
  <c r="V224" i="2"/>
  <c r="BT75" i="2"/>
  <c r="BR194" i="2"/>
  <c r="AO109" i="2"/>
  <c r="AD94" i="2"/>
  <c r="Y40" i="2"/>
  <c r="AY51" i="2"/>
  <c r="Y105" i="2"/>
  <c r="BJ212" i="2"/>
  <c r="Y28" i="2"/>
  <c r="U80" i="2"/>
  <c r="BU113" i="2"/>
  <c r="AD151" i="2"/>
  <c r="X205" i="2"/>
  <c r="U114" i="2"/>
  <c r="X33" i="2"/>
  <c r="V193" i="2"/>
  <c r="BS22" i="2"/>
  <c r="U121" i="2"/>
  <c r="AG64" i="2"/>
  <c r="BR50" i="2"/>
  <c r="BJ156" i="2"/>
  <c r="AD163" i="2"/>
  <c r="BL27" i="2"/>
  <c r="BS123" i="2"/>
  <c r="BJ189" i="2"/>
  <c r="W125" i="2"/>
  <c r="W159" i="2"/>
  <c r="U9" i="2"/>
  <c r="Y95" i="2"/>
  <c r="X53" i="2"/>
  <c r="AG92" i="2"/>
  <c r="W39" i="2"/>
  <c r="U223" i="2"/>
  <c r="X68" i="2"/>
  <c r="V10" i="2"/>
  <c r="AH82" i="2"/>
  <c r="BU67" i="2"/>
  <c r="U164" i="2"/>
  <c r="Y151" i="2"/>
  <c r="X185" i="2"/>
  <c r="X181" i="2"/>
  <c r="AE55" i="2"/>
  <c r="X207" i="2"/>
  <c r="W199" i="2"/>
  <c r="AD40" i="2"/>
  <c r="V157" i="2"/>
  <c r="X176" i="2"/>
  <c r="AE132" i="2"/>
  <c r="U30" i="2"/>
  <c r="W208" i="2"/>
  <c r="AG201" i="2"/>
  <c r="U89" i="2"/>
  <c r="Y211" i="2"/>
  <c r="X129" i="2"/>
  <c r="AE65" i="2"/>
  <c r="U181" i="2"/>
  <c r="U40" i="2"/>
  <c r="BH141" i="2"/>
  <c r="Y31" i="2"/>
  <c r="W182" i="2"/>
  <c r="AH88" i="2"/>
  <c r="V87" i="2"/>
  <c r="Y148" i="2"/>
  <c r="AE137" i="2"/>
  <c r="Y43" i="2"/>
  <c r="BS118" i="2"/>
  <c r="X96" i="2"/>
  <c r="BV159" i="2"/>
  <c r="X35" i="2"/>
  <c r="AG19" i="2"/>
  <c r="BR111" i="2"/>
  <c r="W83" i="2"/>
  <c r="AE216" i="2"/>
  <c r="BS60" i="2"/>
  <c r="AE27" i="2"/>
  <c r="U197" i="2"/>
  <c r="Y92" i="2"/>
  <c r="BL96" i="2"/>
  <c r="X161" i="2"/>
  <c r="BR114" i="2"/>
  <c r="Y99" i="2"/>
  <c r="V169" i="2"/>
  <c r="BV28" i="2"/>
  <c r="BR104" i="2"/>
  <c r="AH141" i="2"/>
  <c r="V127" i="2"/>
  <c r="BS36" i="2"/>
  <c r="BS210" i="2"/>
  <c r="X128" i="2"/>
  <c r="AD201" i="2"/>
  <c r="BT69" i="2"/>
  <c r="BU36" i="2"/>
  <c r="W98" i="2"/>
  <c r="AE114" i="2"/>
  <c r="U160" i="2"/>
  <c r="BS185" i="2"/>
  <c r="AF185" i="2"/>
  <c r="AZ114" i="2"/>
  <c r="AO189" i="2"/>
  <c r="AG117" i="2"/>
  <c r="N123" i="2"/>
  <c r="BS219" i="2"/>
  <c r="Y91" i="2"/>
  <c r="AG100" i="2"/>
  <c r="AE101" i="2"/>
  <c r="BS7" i="2"/>
  <c r="X40" i="2"/>
  <c r="X218" i="2"/>
  <c r="BR83" i="2"/>
  <c r="AD67" i="2"/>
  <c r="W88" i="2"/>
  <c r="V215" i="2"/>
  <c r="AZ171" i="2"/>
  <c r="AY210" i="2"/>
  <c r="AG107" i="2"/>
  <c r="Y29" i="2"/>
  <c r="Y8" i="2"/>
  <c r="U176" i="2"/>
  <c r="AE31" i="2"/>
  <c r="U6" i="2"/>
  <c r="BT27" i="2"/>
  <c r="U82" i="2"/>
  <c r="W198" i="2"/>
  <c r="AP55" i="2"/>
  <c r="AO43" i="2"/>
  <c r="V204" i="2"/>
  <c r="BR43" i="2"/>
  <c r="X17" i="2"/>
  <c r="AE5" i="2"/>
  <c r="Y140" i="2"/>
  <c r="AH23" i="2"/>
  <c r="W229" i="2"/>
  <c r="BV116" i="2"/>
  <c r="Y10" i="2"/>
  <c r="AG127" i="2"/>
  <c r="W18" i="2"/>
  <c r="V33" i="2"/>
  <c r="AF211" i="2"/>
  <c r="BV107" i="2"/>
  <c r="V148" i="2"/>
  <c r="U156" i="2"/>
  <c r="AD217" i="2"/>
  <c r="AH75" i="2"/>
  <c r="BV65" i="2"/>
  <c r="Y104" i="2"/>
  <c r="BB110" i="2"/>
  <c r="W108" i="2"/>
  <c r="BT127" i="2"/>
  <c r="V12" i="2"/>
  <c r="W53" i="2"/>
  <c r="X63" i="2"/>
  <c r="BS73" i="2"/>
  <c r="Y89" i="2"/>
  <c r="BU132" i="2"/>
  <c r="U66" i="2"/>
  <c r="W214" i="2"/>
  <c r="Y169" i="2"/>
  <c r="AH191" i="2"/>
  <c r="U31" i="2"/>
  <c r="AH32" i="2"/>
  <c r="AD49" i="2"/>
  <c r="V31" i="2"/>
  <c r="AE109" i="2"/>
  <c r="W99" i="2"/>
  <c r="W80" i="2"/>
  <c r="AD55" i="2"/>
  <c r="AG66" i="2"/>
  <c r="BV123" i="2"/>
  <c r="AG97" i="2"/>
  <c r="U112" i="2"/>
  <c r="W189" i="2"/>
  <c r="X155" i="2"/>
  <c r="BS37" i="2"/>
  <c r="X150" i="2"/>
  <c r="BU24" i="2"/>
  <c r="U72" i="2"/>
  <c r="AF135" i="2"/>
  <c r="BU51" i="2"/>
  <c r="AG65" i="2"/>
  <c r="AD30" i="2"/>
  <c r="BL123" i="2"/>
  <c r="W145" i="2"/>
  <c r="AE58" i="2"/>
  <c r="BK44" i="2"/>
  <c r="Y225" i="2"/>
  <c r="BT167" i="2"/>
  <c r="V89" i="2"/>
  <c r="AE173" i="2"/>
  <c r="AF87" i="2"/>
  <c r="V165" i="2"/>
  <c r="V135" i="2"/>
  <c r="AH59" i="2"/>
  <c r="V24" i="2"/>
  <c r="U96" i="2"/>
  <c r="AD78" i="2"/>
  <c r="U24" i="2"/>
  <c r="W8" i="2"/>
  <c r="X112" i="2"/>
  <c r="U91" i="2"/>
  <c r="V56" i="2"/>
  <c r="BJ228" i="2"/>
  <c r="AF171" i="2"/>
  <c r="Y101" i="2"/>
  <c r="Y134" i="2"/>
  <c r="U14" i="2"/>
  <c r="Y166" i="2"/>
  <c r="U93" i="2"/>
  <c r="W91" i="2"/>
  <c r="AH131" i="2"/>
  <c r="U87" i="2"/>
  <c r="AF11" i="2"/>
  <c r="U69" i="2"/>
  <c r="BT109" i="2"/>
  <c r="AD214" i="2"/>
  <c r="BR191" i="2"/>
  <c r="AO59" i="2"/>
  <c r="BR183" i="2"/>
  <c r="BV136" i="2"/>
  <c r="V84" i="2"/>
  <c r="W58" i="2"/>
  <c r="X115" i="2"/>
  <c r="W75" i="2"/>
  <c r="AH144" i="2"/>
  <c r="V172" i="2"/>
  <c r="AX185" i="2"/>
  <c r="X46" i="2"/>
  <c r="BU79" i="2"/>
  <c r="BS159" i="2"/>
  <c r="AD207" i="2"/>
  <c r="Y112" i="2"/>
  <c r="X200" i="2"/>
  <c r="X222" i="2"/>
  <c r="BU180" i="2"/>
  <c r="W102" i="2"/>
  <c r="X18" i="2"/>
  <c r="V73" i="2"/>
  <c r="X104" i="2"/>
  <c r="BH198" i="2"/>
  <c r="X55" i="2"/>
  <c r="AE26" i="2"/>
  <c r="AD54" i="2"/>
  <c r="BU137" i="2"/>
  <c r="AD104" i="2"/>
  <c r="BU101" i="2"/>
  <c r="V139" i="2"/>
  <c r="AH29" i="2"/>
  <c r="V221" i="2"/>
  <c r="X110" i="2"/>
  <c r="U161" i="2"/>
  <c r="BT179" i="2"/>
  <c r="BA157" i="2"/>
  <c r="BL79" i="2"/>
  <c r="Y5" i="2"/>
  <c r="X12" i="2"/>
  <c r="U135" i="2"/>
  <c r="AH80" i="2"/>
  <c r="Y216" i="2"/>
  <c r="AX164" i="2"/>
  <c r="BT80" i="2"/>
  <c r="BV133" i="2"/>
  <c r="BL105" i="2"/>
  <c r="V171" i="2"/>
  <c r="AD102" i="2"/>
  <c r="BT97" i="2"/>
  <c r="U148" i="2"/>
  <c r="BA37" i="2"/>
  <c r="Y157" i="2"/>
  <c r="Y87" i="2"/>
  <c r="Y209" i="2"/>
  <c r="W165" i="2"/>
  <c r="BT21" i="2"/>
  <c r="Y146" i="2"/>
  <c r="AD118" i="2"/>
  <c r="BU163" i="2"/>
  <c r="BK193" i="2"/>
  <c r="U115" i="2"/>
  <c r="BH113" i="2"/>
  <c r="BT90" i="2"/>
  <c r="BV55" i="2"/>
  <c r="BB165" i="2"/>
  <c r="BI214" i="2"/>
  <c r="V44" i="2"/>
  <c r="AE71" i="2"/>
  <c r="X206" i="2"/>
  <c r="U183" i="2"/>
  <c r="AG41" i="2"/>
  <c r="W84" i="2"/>
  <c r="BT79" i="2"/>
  <c r="X60" i="2"/>
  <c r="BU100" i="2"/>
  <c r="W141" i="2"/>
  <c r="BU206" i="2"/>
  <c r="AE51" i="2"/>
  <c r="W162" i="2"/>
  <c r="U125" i="2"/>
  <c r="W156" i="2"/>
  <c r="W41" i="2"/>
  <c r="W131" i="2"/>
  <c r="Y122" i="2"/>
  <c r="BR37" i="2"/>
  <c r="V174" i="2"/>
  <c r="BJ172" i="2"/>
  <c r="V142" i="2"/>
  <c r="X139" i="2"/>
  <c r="AF17" i="2"/>
  <c r="W29" i="2"/>
  <c r="AH45" i="2"/>
  <c r="X107" i="2"/>
  <c r="U182" i="2"/>
  <c r="BU99" i="2"/>
  <c r="AF133" i="2"/>
  <c r="BR149" i="2"/>
  <c r="W57" i="2"/>
  <c r="AX105" i="2"/>
  <c r="V86" i="2"/>
  <c r="X28" i="2"/>
  <c r="AF35" i="2"/>
  <c r="BT93" i="2"/>
  <c r="BT215" i="2"/>
  <c r="BV13" i="2"/>
  <c r="V39" i="2"/>
  <c r="Y197" i="2"/>
  <c r="Y86" i="2"/>
  <c r="W146" i="2"/>
  <c r="AH113" i="2"/>
  <c r="BT145" i="2"/>
  <c r="AE104" i="2"/>
  <c r="AE82" i="2"/>
  <c r="AF134" i="2"/>
  <c r="W86" i="2"/>
  <c r="AD194" i="2"/>
  <c r="U73" i="2"/>
  <c r="W49" i="2"/>
  <c r="U221" i="2"/>
  <c r="W93" i="2"/>
  <c r="W117" i="2"/>
  <c r="W78" i="2"/>
  <c r="V141" i="2"/>
  <c r="Y215" i="2"/>
  <c r="Y38" i="2"/>
  <c r="U226" i="2"/>
  <c r="V136" i="2"/>
  <c r="U99" i="2"/>
  <c r="Y53" i="2"/>
  <c r="AG143" i="2"/>
  <c r="BV114" i="2"/>
  <c r="AD187" i="2"/>
  <c r="V146" i="2"/>
  <c r="BH64" i="2"/>
  <c r="AF121" i="2"/>
  <c r="AY11" i="2"/>
  <c r="AZ7" i="2"/>
  <c r="AY111" i="2"/>
  <c r="BR24" i="2"/>
  <c r="AH227" i="2"/>
  <c r="AE204" i="2"/>
  <c r="AG139" i="2"/>
  <c r="U137" i="2"/>
  <c r="X48" i="2"/>
  <c r="U168" i="2"/>
  <c r="Y79" i="2"/>
  <c r="U90" i="2"/>
  <c r="V13" i="2"/>
  <c r="V217" i="2"/>
  <c r="V177" i="2"/>
  <c r="BU195" i="2"/>
  <c r="U97" i="2"/>
  <c r="U207" i="2"/>
  <c r="BA46" i="2"/>
  <c r="AD139" i="2"/>
  <c r="Y26" i="2"/>
  <c r="V36" i="2"/>
  <c r="W176" i="2"/>
  <c r="Y143" i="2"/>
  <c r="Y83" i="2"/>
  <c r="AE135" i="2"/>
  <c r="BR67" i="2"/>
  <c r="W150" i="2"/>
  <c r="AF144" i="2"/>
  <c r="AG191" i="2"/>
  <c r="U41" i="2"/>
  <c r="Y175" i="2"/>
  <c r="V124" i="2"/>
  <c r="BR218" i="2"/>
  <c r="V46" i="2"/>
  <c r="U110" i="2"/>
  <c r="X84" i="2"/>
  <c r="V163" i="2"/>
  <c r="X75" i="2"/>
  <c r="AD38" i="2"/>
  <c r="X119" i="2"/>
  <c r="AG131" i="2"/>
  <c r="X140" i="2"/>
  <c r="AF155" i="2"/>
  <c r="W180" i="2"/>
  <c r="W46" i="2"/>
  <c r="BT62" i="2"/>
  <c r="AZ195" i="2"/>
  <c r="BT133" i="2"/>
  <c r="BH50" i="2"/>
  <c r="BA139" i="2"/>
  <c r="AD145" i="2"/>
  <c r="BI190" i="2"/>
  <c r="V208" i="2"/>
  <c r="BJ35" i="2"/>
  <c r="AD126" i="2"/>
  <c r="AF97" i="2"/>
  <c r="BR199" i="2"/>
  <c r="AG182" i="2"/>
  <c r="AZ202" i="2"/>
  <c r="BV195" i="2"/>
  <c r="AX151" i="2"/>
  <c r="U159" i="2"/>
  <c r="AF72" i="2"/>
  <c r="V228" i="2"/>
  <c r="BJ134" i="2"/>
  <c r="W45" i="2"/>
  <c r="BU219" i="2"/>
  <c r="X30" i="2"/>
  <c r="BU93" i="2"/>
  <c r="BU147" i="2"/>
  <c r="W113" i="2"/>
  <c r="W112" i="2"/>
  <c r="W171" i="2"/>
  <c r="BT185" i="2"/>
  <c r="AH180" i="2"/>
  <c r="Y9" i="2"/>
  <c r="AF115" i="2"/>
  <c r="BI66" i="2"/>
  <c r="W161" i="2"/>
  <c r="AE206" i="2"/>
  <c r="AD72" i="2"/>
  <c r="U166" i="2"/>
  <c r="AG7" i="2"/>
  <c r="W63" i="2"/>
  <c r="V8" i="2"/>
  <c r="AF163" i="2"/>
  <c r="W167" i="2"/>
  <c r="V132" i="2"/>
  <c r="AE22" i="2"/>
  <c r="AF5" i="2"/>
  <c r="BT227" i="2"/>
  <c r="U55" i="2"/>
  <c r="AG187" i="2"/>
  <c r="AF64" i="2"/>
  <c r="U17" i="2"/>
  <c r="BI158" i="2"/>
  <c r="AH33" i="2"/>
  <c r="BH185" i="2"/>
  <c r="U28" i="2"/>
  <c r="AH193" i="2"/>
  <c r="AE40" i="2"/>
  <c r="BI97" i="2"/>
  <c r="BU34" i="2"/>
  <c r="V145" i="2"/>
  <c r="BV97" i="2"/>
  <c r="V109" i="2"/>
  <c r="X109" i="2"/>
  <c r="AH203" i="2"/>
  <c r="X62" i="2"/>
  <c r="AH73" i="2"/>
  <c r="U131" i="2"/>
  <c r="BB229" i="2"/>
  <c r="AG23" i="2"/>
  <c r="Y113" i="2"/>
  <c r="BT82" i="2"/>
  <c r="AF197" i="2"/>
  <c r="AG44" i="2"/>
  <c r="BK77" i="2"/>
  <c r="BI227" i="2"/>
  <c r="V192" i="2"/>
  <c r="AH152" i="2"/>
  <c r="BL183" i="2"/>
  <c r="AF132" i="2"/>
  <c r="W148" i="2"/>
  <c r="AD57" i="2"/>
  <c r="BS51" i="2"/>
  <c r="U5" i="2"/>
  <c r="BV54" i="2"/>
  <c r="BJ20" i="2"/>
  <c r="BT177" i="2"/>
  <c r="BH139" i="2"/>
  <c r="W13" i="2"/>
  <c r="Y51" i="2"/>
  <c r="U129" i="2"/>
  <c r="U203" i="2"/>
  <c r="W178" i="2"/>
  <c r="BT84" i="2"/>
  <c r="U26" i="2"/>
  <c r="Y226" i="2"/>
  <c r="BV77" i="2"/>
  <c r="AE119" i="2"/>
  <c r="BS48" i="2"/>
  <c r="BU221" i="2"/>
  <c r="BJ131" i="2"/>
  <c r="BT224" i="2"/>
  <c r="AH83" i="2"/>
  <c r="AY60" i="2"/>
  <c r="AG133" i="2"/>
  <c r="V81" i="2"/>
  <c r="Y184" i="2"/>
  <c r="AF142" i="2"/>
  <c r="AH6" i="2"/>
  <c r="AN222" i="2"/>
  <c r="Y218" i="2"/>
  <c r="U102" i="2"/>
  <c r="AD122" i="2"/>
  <c r="AX214" i="2"/>
  <c r="W35" i="2"/>
  <c r="Y165" i="2"/>
  <c r="Y121" i="2"/>
  <c r="AD46" i="2"/>
  <c r="AY95" i="2"/>
  <c r="BV165" i="2"/>
  <c r="AE205" i="2"/>
  <c r="BJ142" i="2"/>
  <c r="BS89" i="2"/>
  <c r="X173" i="2"/>
  <c r="BH165" i="2"/>
  <c r="AE42" i="2"/>
  <c r="AX109" i="2"/>
  <c r="AD52" i="2"/>
  <c r="AD127" i="2"/>
  <c r="AF68" i="2"/>
  <c r="X215" i="2"/>
  <c r="BT205" i="2"/>
  <c r="AY47" i="2"/>
  <c r="AE130" i="2"/>
  <c r="BT25" i="2"/>
  <c r="AG188" i="2"/>
  <c r="BA165" i="2"/>
  <c r="BB224" i="2"/>
  <c r="BS155" i="2"/>
  <c r="AF196" i="2"/>
  <c r="AZ103" i="2"/>
  <c r="BA174" i="2"/>
  <c r="BH45" i="2"/>
  <c r="AD135" i="2"/>
  <c r="BA51" i="2"/>
  <c r="BR108" i="2"/>
  <c r="X202" i="2"/>
  <c r="BK99" i="2"/>
  <c r="X25" i="2"/>
  <c r="AY153" i="2"/>
  <c r="BL82" i="2"/>
  <c r="AH169" i="2"/>
  <c r="BV102" i="2"/>
  <c r="AF62" i="2"/>
  <c r="AY84" i="2"/>
  <c r="Y198" i="2"/>
  <c r="X160" i="2"/>
  <c r="BL171" i="2"/>
  <c r="U170" i="2"/>
  <c r="BH147" i="2"/>
  <c r="AH4" i="2"/>
  <c r="AX92" i="2"/>
  <c r="X77" i="2"/>
  <c r="AF195" i="2"/>
  <c r="W206" i="2"/>
  <c r="BJ5" i="2"/>
  <c r="U117" i="2"/>
  <c r="BJ53" i="2"/>
  <c r="V210" i="2"/>
  <c r="AF93" i="2"/>
  <c r="X80" i="2"/>
  <c r="BU168" i="2"/>
  <c r="BT191" i="2"/>
  <c r="AH198" i="2"/>
  <c r="BU14" i="2"/>
  <c r="AG206" i="2"/>
  <c r="Y220" i="2"/>
  <c r="W66" i="2"/>
  <c r="X169" i="2"/>
  <c r="W143" i="2"/>
  <c r="BT99" i="2"/>
  <c r="AH72" i="2"/>
  <c r="Y217" i="2"/>
  <c r="Y224" i="2"/>
  <c r="Y114" i="2"/>
  <c r="AH157" i="2"/>
  <c r="AD136" i="2"/>
  <c r="X58" i="2"/>
  <c r="Y56" i="2"/>
  <c r="BL43" i="2"/>
  <c r="U75" i="2"/>
  <c r="X135" i="2"/>
  <c r="BT176" i="2"/>
  <c r="V38" i="2"/>
  <c r="BS204" i="2"/>
  <c r="V107" i="2"/>
  <c r="BS172" i="2"/>
  <c r="W203" i="2"/>
  <c r="BT125" i="2"/>
  <c r="BS130" i="2"/>
  <c r="BB26" i="2"/>
  <c r="Y137" i="2"/>
  <c r="BU134" i="2"/>
  <c r="BS31" i="2"/>
  <c r="AG141" i="2"/>
  <c r="BB78" i="2"/>
  <c r="BU52" i="2"/>
  <c r="Y191" i="2"/>
  <c r="Y130" i="2"/>
  <c r="AE98" i="2"/>
  <c r="AH103" i="2"/>
  <c r="V183" i="2"/>
  <c r="BV61" i="2"/>
  <c r="BV35" i="2"/>
  <c r="BS199" i="2"/>
  <c r="BV58" i="2"/>
  <c r="BJ218" i="2"/>
  <c r="X52" i="2"/>
  <c r="W222" i="2"/>
  <c r="BR136" i="2"/>
  <c r="Y155" i="2"/>
  <c r="BU22" i="2"/>
  <c r="Y22" i="2"/>
  <c r="BT182" i="2"/>
  <c r="AE172" i="2"/>
  <c r="W164" i="2"/>
  <c r="BT112" i="2"/>
  <c r="BI157" i="2"/>
  <c r="AF91" i="2"/>
  <c r="AH228" i="2"/>
  <c r="BK76" i="2"/>
  <c r="BS81" i="2"/>
  <c r="AF84" i="2"/>
  <c r="V128" i="2"/>
  <c r="Y73" i="2"/>
  <c r="BK131" i="2"/>
  <c r="V76" i="2"/>
  <c r="U191" i="2"/>
  <c r="AF94" i="2"/>
  <c r="W65" i="2"/>
  <c r="BJ113" i="2"/>
  <c r="AD130" i="2"/>
  <c r="X83" i="2"/>
  <c r="W28" i="2"/>
  <c r="AH184" i="2"/>
  <c r="V227" i="2"/>
  <c r="BB54" i="2"/>
  <c r="BU122" i="2"/>
  <c r="BR107" i="2"/>
  <c r="AG154" i="2"/>
  <c r="BU167" i="2"/>
  <c r="AF137" i="2"/>
  <c r="BA91" i="2"/>
  <c r="BS94" i="2"/>
  <c r="K103" i="2"/>
  <c r="BI76" i="2"/>
  <c r="AH105" i="2"/>
  <c r="AF183" i="2"/>
  <c r="AD119" i="2"/>
  <c r="V118" i="2"/>
  <c r="BU18" i="2"/>
  <c r="BV142" i="2"/>
  <c r="AZ20" i="2"/>
  <c r="BK182" i="2"/>
  <c r="AD138" i="2"/>
  <c r="BI7" i="2"/>
  <c r="AG56" i="2"/>
  <c r="BV170" i="2"/>
  <c r="BL55" i="2"/>
  <c r="BK110" i="2"/>
  <c r="AD24" i="2"/>
  <c r="AF71" i="2"/>
  <c r="AG167" i="2"/>
  <c r="AH38" i="2"/>
  <c r="U138" i="2"/>
  <c r="AD147" i="2"/>
  <c r="BJ119" i="2"/>
  <c r="AF125" i="2"/>
  <c r="AD223" i="2"/>
  <c r="AF138" i="2"/>
  <c r="BK136" i="2"/>
  <c r="BK67" i="2"/>
  <c r="BR210" i="2"/>
  <c r="BS190" i="2"/>
  <c r="BJ221" i="2"/>
  <c r="AH74" i="2"/>
  <c r="BV106" i="2"/>
  <c r="BI196" i="2"/>
  <c r="AG25" i="2"/>
  <c r="AY223" i="2"/>
  <c r="BR227" i="2"/>
  <c r="AD195" i="2"/>
  <c r="V32" i="2"/>
  <c r="BR131" i="2"/>
  <c r="AG115" i="2"/>
  <c r="Y138" i="2"/>
  <c r="U154" i="2"/>
  <c r="W15" i="2"/>
  <c r="BK137" i="2"/>
  <c r="V126" i="2"/>
  <c r="Y156" i="2"/>
  <c r="AD185" i="2"/>
  <c r="Y221" i="2"/>
  <c r="X14" i="2"/>
  <c r="V220" i="2"/>
  <c r="V223" i="2"/>
  <c r="AF34" i="2"/>
  <c r="U57" i="2"/>
  <c r="V35" i="2"/>
  <c r="BK171" i="2"/>
  <c r="V30" i="2"/>
  <c r="V197" i="2"/>
  <c r="AE111" i="2"/>
  <c r="BL77" i="2"/>
  <c r="Y182" i="2"/>
  <c r="AH120" i="2"/>
  <c r="V147" i="2"/>
  <c r="AF139" i="2"/>
  <c r="AF170" i="2"/>
  <c r="BL74" i="2"/>
  <c r="U228" i="2"/>
  <c r="AE43" i="2"/>
  <c r="BI113" i="2"/>
  <c r="AZ52" i="2"/>
  <c r="AF14" i="2"/>
  <c r="Y141" i="2"/>
  <c r="BI152" i="2"/>
  <c r="V103" i="2"/>
  <c r="BH158" i="2"/>
  <c r="W218" i="2"/>
  <c r="BK104" i="2"/>
  <c r="V49" i="2"/>
  <c r="AY159" i="2"/>
  <c r="Y212" i="2"/>
  <c r="X19" i="2"/>
  <c r="W10" i="2"/>
  <c r="BI112" i="2"/>
  <c r="BU120" i="2"/>
  <c r="AE136" i="2"/>
  <c r="M79" i="2"/>
  <c r="AH108" i="2"/>
  <c r="BT72" i="2"/>
  <c r="BH90" i="2"/>
  <c r="AD37" i="2"/>
  <c r="AH93" i="2"/>
  <c r="U184" i="2"/>
  <c r="W21" i="2"/>
  <c r="BT40" i="2"/>
  <c r="AE148" i="2"/>
  <c r="AH18" i="2"/>
  <c r="AZ41" i="2"/>
  <c r="AH155" i="2"/>
  <c r="BB222" i="2"/>
  <c r="Y14" i="2"/>
  <c r="V37" i="2"/>
  <c r="BA27" i="2"/>
  <c r="BL193" i="2"/>
  <c r="BJ206" i="2"/>
  <c r="AD79" i="2"/>
  <c r="BH144" i="2"/>
  <c r="Y136" i="2"/>
  <c r="AE152" i="2"/>
  <c r="BK37" i="2"/>
  <c r="AX153" i="2"/>
  <c r="W163" i="2"/>
  <c r="AF108" i="2"/>
  <c r="BU53" i="2"/>
  <c r="BA15" i="2"/>
  <c r="U167" i="2"/>
  <c r="U19" i="2"/>
  <c r="Y52" i="2"/>
  <c r="BS44" i="2"/>
  <c r="BL145" i="2"/>
  <c r="AO143" i="2"/>
  <c r="AG93" i="2"/>
  <c r="AZ168" i="2"/>
  <c r="V125" i="2"/>
  <c r="AF140" i="2"/>
  <c r="AG190" i="2"/>
  <c r="AE83" i="2"/>
  <c r="BJ7" i="2"/>
  <c r="BI199" i="2"/>
  <c r="BV169" i="2"/>
  <c r="AZ105" i="2"/>
  <c r="BT31" i="2"/>
  <c r="U118" i="2"/>
  <c r="W71" i="2"/>
  <c r="V23" i="2"/>
  <c r="BS77" i="2"/>
  <c r="BV176" i="2"/>
  <c r="AF146" i="2"/>
  <c r="AP209" i="2"/>
  <c r="AE32" i="2"/>
  <c r="Y35" i="2"/>
  <c r="AF119" i="2"/>
  <c r="Y125" i="2"/>
  <c r="BI155" i="2"/>
  <c r="Y213" i="2"/>
  <c r="BL172" i="2"/>
  <c r="BR11" i="2"/>
  <c r="AX103" i="2"/>
  <c r="AH96" i="2"/>
  <c r="U94" i="2"/>
  <c r="V143" i="2"/>
  <c r="X157" i="2"/>
  <c r="AF162" i="2"/>
  <c r="U116" i="2"/>
  <c r="BI156" i="2"/>
  <c r="V213" i="2"/>
  <c r="W196" i="2"/>
  <c r="BI27" i="2"/>
  <c r="U229" i="2"/>
  <c r="AF99" i="2"/>
  <c r="X59" i="2"/>
  <c r="BT66" i="2"/>
  <c r="V61" i="2"/>
  <c r="AD19" i="2"/>
  <c r="AE59" i="2"/>
  <c r="U214" i="2"/>
  <c r="W69" i="2"/>
  <c r="V67" i="2"/>
  <c r="Y60" i="2"/>
  <c r="BS136" i="2"/>
  <c r="V198" i="2"/>
  <c r="W122" i="2"/>
  <c r="BK83" i="2"/>
  <c r="AZ107" i="2"/>
  <c r="BK191" i="2"/>
  <c r="BI206" i="2"/>
  <c r="AD229" i="2"/>
  <c r="V63" i="2"/>
  <c r="AQ9" i="2"/>
  <c r="BT54" i="2"/>
  <c r="BV9" i="2"/>
  <c r="V112" i="2"/>
  <c r="BT219" i="2"/>
  <c r="BS126" i="2"/>
  <c r="AE75" i="2"/>
  <c r="Y228" i="2"/>
  <c r="BR7" i="2"/>
  <c r="V159" i="2"/>
  <c r="AG57" i="2"/>
  <c r="AG15" i="2"/>
  <c r="AF28" i="2"/>
  <c r="AE229" i="2"/>
  <c r="AZ40" i="2"/>
  <c r="BT13" i="2"/>
  <c r="V216" i="2"/>
  <c r="BI117" i="2"/>
  <c r="AF151" i="2"/>
  <c r="AY201" i="2"/>
  <c r="AG157" i="2"/>
  <c r="W133" i="2"/>
  <c r="AD87" i="2"/>
  <c r="W136" i="2"/>
  <c r="Y84" i="2"/>
  <c r="AG75" i="2"/>
  <c r="Y93" i="2"/>
  <c r="AN34" i="2"/>
  <c r="AH149" i="2"/>
  <c r="BS214" i="2"/>
  <c r="AF58" i="2"/>
  <c r="BU103" i="2"/>
  <c r="AD183" i="2"/>
  <c r="V90" i="2"/>
  <c r="V188" i="2"/>
  <c r="X147" i="2"/>
  <c r="BH212" i="2"/>
  <c r="AH222" i="2"/>
  <c r="Y199" i="2"/>
  <c r="U212" i="2"/>
  <c r="AE146" i="2"/>
  <c r="AF131" i="2"/>
  <c r="Y55" i="2"/>
  <c r="AE96" i="2"/>
  <c r="U37" i="2"/>
  <c r="BB41" i="2"/>
  <c r="BK42" i="2"/>
  <c r="AD86" i="2"/>
  <c r="W62" i="2"/>
  <c r="BS41" i="2"/>
  <c r="AG148" i="2"/>
  <c r="X134" i="2"/>
  <c r="BL91" i="2"/>
  <c r="BI47" i="2"/>
  <c r="BI98" i="2"/>
  <c r="AE53" i="2"/>
  <c r="BV81" i="2"/>
  <c r="X130" i="2"/>
  <c r="BR74" i="2"/>
  <c r="BK163" i="2"/>
  <c r="BL108" i="2"/>
  <c r="AX162" i="2"/>
  <c r="BB132" i="2"/>
  <c r="BS112" i="2"/>
  <c r="AE121" i="2"/>
  <c r="BT228" i="2"/>
  <c r="AG91" i="2"/>
  <c r="BT70" i="2"/>
  <c r="AH41" i="2"/>
  <c r="BV188" i="2"/>
  <c r="AY125" i="2"/>
  <c r="BS10" i="2"/>
  <c r="AF57" i="2"/>
  <c r="BI93" i="2"/>
  <c r="AY184" i="2"/>
  <c r="AD169" i="2"/>
  <c r="AE185" i="2"/>
  <c r="BV139" i="2"/>
  <c r="BJ19" i="2"/>
  <c r="U139" i="2"/>
  <c r="W191" i="2"/>
  <c r="V19" i="2"/>
  <c r="AH49" i="2"/>
  <c r="Y168" i="2"/>
  <c r="BU222" i="2"/>
  <c r="BU228" i="2"/>
  <c r="BI150" i="2"/>
  <c r="BL182" i="2"/>
  <c r="AZ81" i="2"/>
  <c r="AH179" i="2"/>
  <c r="BL117" i="2"/>
  <c r="BA59" i="2"/>
  <c r="AG42" i="2"/>
  <c r="V151" i="2"/>
  <c r="Y178" i="2"/>
  <c r="BV66" i="2"/>
  <c r="BU131" i="2"/>
  <c r="X106" i="2"/>
  <c r="V102" i="2"/>
  <c r="BR168" i="2"/>
  <c r="W14" i="2"/>
  <c r="V51" i="2"/>
  <c r="BS98" i="2"/>
  <c r="AH219" i="2"/>
  <c r="Y90" i="2"/>
  <c r="W195" i="2"/>
  <c r="BT203" i="2"/>
  <c r="AH225" i="2"/>
  <c r="Y45" i="2"/>
  <c r="BT217" i="2"/>
  <c r="AF124" i="2"/>
  <c r="AD45" i="2"/>
  <c r="AG94" i="2"/>
  <c r="BJ180" i="2"/>
  <c r="W48" i="2"/>
  <c r="BU35" i="2"/>
  <c r="X126" i="2"/>
  <c r="BT33" i="2"/>
  <c r="BU111" i="2"/>
  <c r="BV212" i="2"/>
  <c r="BS122" i="2"/>
  <c r="Y102" i="2"/>
  <c r="BU39" i="2"/>
  <c r="AF104" i="2"/>
  <c r="BT138" i="2"/>
  <c r="X182" i="2"/>
  <c r="AO155" i="2"/>
  <c r="AE220" i="2"/>
  <c r="BI51" i="2"/>
  <c r="AD226" i="2"/>
  <c r="AF175" i="2"/>
  <c r="AH192" i="2"/>
  <c r="AF168" i="2"/>
  <c r="AF154" i="2"/>
  <c r="X146" i="2"/>
  <c r="BU25" i="2"/>
  <c r="BT81" i="2"/>
  <c r="BV203" i="2"/>
  <c r="AY92" i="2"/>
  <c r="W181" i="2"/>
  <c r="BR48" i="2"/>
  <c r="Y135" i="2"/>
  <c r="W194" i="2"/>
  <c r="BV76" i="2"/>
  <c r="BS137" i="2"/>
  <c r="W23" i="2"/>
  <c r="AG55" i="2"/>
  <c r="AH134" i="2"/>
  <c r="Y32" i="2"/>
  <c r="W139" i="2"/>
  <c r="BS134" i="2"/>
  <c r="BH86" i="2"/>
  <c r="Y25" i="2"/>
  <c r="W127" i="2"/>
  <c r="V173" i="2"/>
  <c r="BK178" i="2"/>
  <c r="BT29" i="2"/>
  <c r="BI162" i="2"/>
  <c r="BJ84" i="2"/>
  <c r="BK214" i="2"/>
  <c r="Y50" i="2"/>
  <c r="AG122" i="2"/>
  <c r="BT210" i="2"/>
  <c r="AH205" i="2"/>
  <c r="AH161" i="2"/>
  <c r="BB81" i="2"/>
  <c r="AH68" i="2"/>
  <c r="AE124" i="2"/>
  <c r="BU139" i="2"/>
  <c r="AY187" i="2"/>
  <c r="BR170" i="2"/>
  <c r="U120" i="2"/>
  <c r="AH15" i="2"/>
  <c r="BS9" i="2"/>
  <c r="AH50" i="2"/>
  <c r="BT100" i="2"/>
  <c r="Y108" i="2"/>
  <c r="AX49" i="2"/>
  <c r="AQ203" i="2"/>
  <c r="Y41" i="2"/>
  <c r="Y161" i="2"/>
  <c r="BV31" i="2"/>
  <c r="AF217" i="2"/>
  <c r="AZ208" i="2"/>
  <c r="AZ201" i="2"/>
  <c r="BJ207" i="2"/>
  <c r="BV221" i="2"/>
  <c r="AE127" i="2"/>
  <c r="BR184" i="2"/>
  <c r="BL225" i="2"/>
  <c r="AF59" i="2"/>
  <c r="BV103" i="2"/>
  <c r="Y126" i="2"/>
  <c r="BB187" i="2"/>
  <c r="BT190" i="2"/>
  <c r="BT146" i="2"/>
  <c r="AE100" i="2"/>
  <c r="BH138" i="2"/>
  <c r="BR78" i="2"/>
  <c r="AO205" i="2"/>
  <c r="AG108" i="2"/>
  <c r="BS182" i="2"/>
  <c r="BS135" i="2"/>
  <c r="BU88" i="2"/>
  <c r="BV91" i="2"/>
  <c r="W120" i="2"/>
  <c r="X212" i="2"/>
  <c r="BT157" i="2"/>
  <c r="V74" i="2"/>
  <c r="AF27" i="2"/>
  <c r="BS103" i="2"/>
  <c r="W172" i="2"/>
  <c r="BR127" i="2"/>
  <c r="X42" i="2"/>
  <c r="BK43" i="2"/>
  <c r="BT149" i="2"/>
  <c r="BU54" i="2"/>
  <c r="BL174" i="2"/>
  <c r="BB216" i="2"/>
  <c r="BR61" i="2"/>
  <c r="BL120" i="2"/>
  <c r="BI88" i="2"/>
  <c r="AH224" i="2"/>
  <c r="AX68" i="2"/>
  <c r="BI143" i="2"/>
  <c r="BH91" i="2"/>
  <c r="W209" i="2"/>
  <c r="BU166" i="2"/>
  <c r="W151" i="2"/>
  <c r="BH85" i="2"/>
  <c r="BL141" i="2"/>
  <c r="AX47" i="2"/>
  <c r="AF30" i="2"/>
  <c r="X159" i="2"/>
  <c r="X97" i="2"/>
  <c r="AH94" i="2"/>
  <c r="X111" i="2"/>
  <c r="BS111" i="2"/>
  <c r="BA123" i="2"/>
  <c r="AD91" i="2"/>
  <c r="X209" i="2"/>
  <c r="U49" i="2"/>
  <c r="AH109" i="2"/>
  <c r="W138" i="2"/>
  <c r="BA107" i="2"/>
  <c r="X154" i="2"/>
  <c r="AP119" i="2"/>
  <c r="BV115" i="2"/>
  <c r="AE16" i="2"/>
  <c r="W123" i="2"/>
  <c r="U178" i="2"/>
  <c r="V140" i="2"/>
  <c r="AX36" i="2"/>
  <c r="X220" i="2"/>
  <c r="U132" i="2"/>
  <c r="AG119" i="2"/>
  <c r="AG53" i="2"/>
  <c r="BT116" i="2"/>
  <c r="BR119" i="2"/>
  <c r="AE225" i="2"/>
  <c r="X100" i="2"/>
  <c r="BR14" i="2"/>
  <c r="U134" i="2"/>
  <c r="X144" i="2"/>
  <c r="AG134" i="2"/>
  <c r="U39" i="2"/>
  <c r="BR59" i="2"/>
  <c r="X133" i="2"/>
  <c r="AF160" i="2"/>
  <c r="AD174" i="2"/>
  <c r="AD70" i="2"/>
  <c r="V149" i="2"/>
  <c r="AE177" i="2"/>
  <c r="AH168" i="2"/>
  <c r="Y142" i="2"/>
  <c r="AE164" i="2"/>
  <c r="AE28" i="2"/>
  <c r="AD64" i="2"/>
  <c r="BR166" i="2"/>
  <c r="AE56" i="2"/>
  <c r="BR176" i="2"/>
  <c r="BU71" i="2"/>
  <c r="BU58" i="2"/>
  <c r="BJ102" i="2"/>
  <c r="BL93" i="2"/>
  <c r="W82" i="2"/>
  <c r="U185" i="2"/>
  <c r="Y88" i="2"/>
  <c r="BJ21" i="2"/>
  <c r="X124" i="2"/>
  <c r="AF25" i="2"/>
  <c r="AH99" i="2"/>
  <c r="BS151" i="2"/>
  <c r="V144" i="2"/>
  <c r="BV75" i="2"/>
  <c r="Y18" i="2"/>
  <c r="AZ71" i="2"/>
  <c r="BB124" i="2"/>
  <c r="BU171" i="2"/>
  <c r="W51" i="2"/>
  <c r="AP23" i="2"/>
  <c r="BJ209" i="2"/>
  <c r="Y78" i="2"/>
  <c r="AH24" i="2"/>
  <c r="BS216" i="2"/>
  <c r="BU149" i="2"/>
  <c r="BU107" i="2"/>
  <c r="U211" i="2"/>
  <c r="AO92" i="2"/>
  <c r="Y164" i="2"/>
  <c r="K84" i="2"/>
  <c r="AG168" i="2"/>
  <c r="AE107" i="2"/>
  <c r="M48" i="2"/>
  <c r="BL180" i="2"/>
  <c r="V106" i="2"/>
  <c r="BR5" i="2"/>
  <c r="BL227" i="2"/>
  <c r="AH215" i="2"/>
  <c r="AZ17" i="2"/>
  <c r="AR44" i="2"/>
  <c r="V123" i="2"/>
  <c r="AG81" i="2"/>
  <c r="BR132" i="2"/>
  <c r="BJ151" i="2"/>
  <c r="AE200" i="2"/>
  <c r="AE166" i="2"/>
  <c r="BS200" i="2"/>
  <c r="BS54" i="2"/>
  <c r="BI23" i="2"/>
  <c r="AZ8" i="2"/>
  <c r="AF26" i="2"/>
  <c r="Y170" i="2"/>
  <c r="X22" i="2"/>
  <c r="BJ69" i="2"/>
  <c r="AG193" i="2"/>
  <c r="BI29" i="2"/>
  <c r="Y81" i="2"/>
  <c r="AD6" i="2"/>
  <c r="BH208" i="2"/>
  <c r="BU157" i="2"/>
  <c r="AH100" i="2"/>
  <c r="BH167" i="2"/>
  <c r="AF191" i="2"/>
  <c r="AF164" i="2"/>
  <c r="BT23" i="2"/>
  <c r="BR113" i="2"/>
  <c r="AD189" i="2"/>
  <c r="BT11" i="2"/>
  <c r="AH27" i="2"/>
  <c r="X214" i="2"/>
  <c r="V58" i="2"/>
  <c r="BS6" i="2"/>
  <c r="AG16" i="2"/>
  <c r="U43" i="2"/>
  <c r="AX130" i="2"/>
  <c r="V57" i="2"/>
  <c r="AY171" i="2"/>
  <c r="BU9" i="2"/>
  <c r="BT24" i="2"/>
  <c r="BI165" i="2"/>
  <c r="X65" i="2"/>
  <c r="BR98" i="2"/>
  <c r="BA31" i="2"/>
  <c r="U42" i="2"/>
  <c r="AD47" i="2"/>
  <c r="BV25" i="2"/>
  <c r="V65" i="2"/>
  <c r="BV50" i="2"/>
  <c r="AG221" i="2"/>
  <c r="X121" i="2"/>
  <c r="V14" i="2"/>
  <c r="BL177" i="2"/>
  <c r="W94" i="2"/>
  <c r="BK213" i="2"/>
  <c r="AX213" i="2"/>
  <c r="BI85" i="2"/>
  <c r="U155" i="2"/>
  <c r="AD9" i="2"/>
  <c r="AG222" i="2"/>
  <c r="AY116" i="2"/>
  <c r="U78" i="2"/>
  <c r="AH21" i="2"/>
  <c r="Y57" i="2"/>
  <c r="AG169" i="2"/>
  <c r="AZ62" i="2"/>
  <c r="AH70" i="2"/>
  <c r="W87" i="2"/>
  <c r="BH49" i="2"/>
  <c r="AF76" i="2"/>
  <c r="BS178" i="2"/>
  <c r="AY203" i="2"/>
  <c r="BT34" i="2"/>
  <c r="U119" i="2"/>
  <c r="AD100" i="2"/>
  <c r="AG28" i="2"/>
  <c r="W202" i="2"/>
  <c r="AH158" i="2"/>
  <c r="X41" i="2"/>
  <c r="AG50" i="2"/>
  <c r="AG175" i="2"/>
  <c r="BR110" i="2"/>
  <c r="U141" i="2"/>
  <c r="BR47" i="2"/>
  <c r="BS53" i="2"/>
  <c r="X21" i="2"/>
  <c r="AF56" i="2"/>
  <c r="Y96" i="2"/>
  <c r="AD75" i="2"/>
  <c r="W38" i="2"/>
  <c r="BJ57" i="2"/>
  <c r="BH166" i="2"/>
  <c r="BI87" i="2"/>
  <c r="BU109" i="2"/>
  <c r="BJ215" i="2"/>
  <c r="AG67" i="2"/>
  <c r="AF206" i="2"/>
  <c r="U187" i="2"/>
  <c r="Y11" i="2"/>
  <c r="U189" i="2"/>
  <c r="BI96" i="2"/>
  <c r="BS205" i="2"/>
  <c r="AY29" i="2"/>
  <c r="BT225" i="2"/>
  <c r="BS72" i="2"/>
  <c r="BH179" i="2"/>
  <c r="AZ169" i="2"/>
  <c r="AG210" i="2"/>
  <c r="W116" i="2"/>
  <c r="V34" i="2"/>
  <c r="V164" i="2"/>
  <c r="BL70" i="2"/>
  <c r="AD22" i="2"/>
  <c r="AO82" i="2"/>
  <c r="BL202" i="2"/>
  <c r="K157" i="2"/>
  <c r="BJ117" i="2"/>
  <c r="AF190" i="2"/>
  <c r="BL170" i="2"/>
  <c r="BJ94" i="2"/>
  <c r="AD39" i="2"/>
  <c r="BT160" i="2"/>
  <c r="BJ176" i="2"/>
  <c r="Y145" i="2"/>
  <c r="BV141" i="2"/>
  <c r="AD165" i="2"/>
  <c r="V131" i="2"/>
  <c r="AD106" i="2"/>
  <c r="BR165" i="2"/>
  <c r="Y82" i="2"/>
  <c r="AG82" i="2"/>
  <c r="BU114" i="2"/>
  <c r="BT19" i="2"/>
  <c r="BL20" i="2"/>
  <c r="AH151" i="2"/>
  <c r="BH162" i="2"/>
  <c r="W54" i="2"/>
  <c r="BT170" i="2"/>
  <c r="AD218" i="2"/>
  <c r="AF103" i="2"/>
  <c r="BT43" i="2"/>
  <c r="AH146" i="2"/>
  <c r="BB135" i="2"/>
  <c r="AY83" i="2"/>
  <c r="AD225" i="2"/>
  <c r="V100" i="2"/>
  <c r="BJ45" i="2"/>
  <c r="AG211" i="2"/>
  <c r="V229" i="2"/>
  <c r="AG164" i="2"/>
  <c r="X195" i="2"/>
  <c r="AY33" i="2"/>
  <c r="AG26" i="2"/>
  <c r="AO159" i="2"/>
  <c r="BI114" i="2"/>
  <c r="AD113" i="2"/>
  <c r="BI225" i="2"/>
  <c r="BV45" i="2"/>
  <c r="AD93" i="2"/>
  <c r="BK225" i="2"/>
  <c r="Y187" i="2"/>
  <c r="BA79" i="2"/>
  <c r="BK100" i="2"/>
  <c r="BT49" i="2"/>
  <c r="U100" i="2"/>
  <c r="AE126" i="2"/>
  <c r="AG156" i="2"/>
  <c r="BR89" i="2"/>
  <c r="BH195" i="2"/>
  <c r="AP177" i="2"/>
  <c r="X125" i="2"/>
  <c r="AF43" i="2"/>
  <c r="AF96" i="2"/>
  <c r="Y176" i="2"/>
  <c r="X43" i="2"/>
  <c r="Y27" i="2"/>
  <c r="W60" i="2"/>
  <c r="AF16" i="2"/>
  <c r="AD33" i="2"/>
  <c r="Y208" i="2"/>
  <c r="AD200" i="2"/>
  <c r="AG126" i="2"/>
  <c r="AH167" i="2"/>
  <c r="AX66" i="2"/>
  <c r="W42" i="2"/>
  <c r="V175" i="2"/>
  <c r="AY35" i="2"/>
  <c r="AF82" i="2"/>
  <c r="AD215" i="2"/>
  <c r="Y107" i="2"/>
  <c r="AH97" i="2"/>
  <c r="X79" i="2"/>
  <c r="W115" i="2"/>
  <c r="AG17" i="2"/>
  <c r="U60" i="2"/>
  <c r="AD35" i="2"/>
  <c r="BR196" i="2"/>
  <c r="AF152" i="2"/>
  <c r="AD10" i="2"/>
  <c r="BS76" i="2"/>
  <c r="AY212" i="2"/>
  <c r="V91" i="2"/>
  <c r="BU115" i="2"/>
  <c r="V59" i="2"/>
  <c r="AE116" i="2"/>
  <c r="BJ125" i="2"/>
  <c r="BU126" i="2"/>
  <c r="Y158" i="2"/>
  <c r="AH36" i="2"/>
  <c r="BR115" i="2"/>
  <c r="BT102" i="2"/>
  <c r="AE141" i="2"/>
  <c r="BR213" i="2"/>
  <c r="BI138" i="2"/>
  <c r="BI164" i="2"/>
  <c r="U23" i="2"/>
  <c r="W170" i="2"/>
  <c r="X105" i="2"/>
  <c r="BT10" i="2"/>
  <c r="BR146" i="2"/>
  <c r="AE117" i="2"/>
  <c r="BJ169" i="2"/>
  <c r="AX211" i="2"/>
  <c r="X201" i="2"/>
  <c r="AG215" i="2"/>
  <c r="Y7" i="2"/>
  <c r="W109" i="2"/>
  <c r="W217" i="2"/>
  <c r="AE6" i="2"/>
  <c r="BS42" i="2"/>
  <c r="BK68" i="2"/>
  <c r="AD43" i="2"/>
  <c r="AE69" i="2"/>
  <c r="V50" i="2"/>
  <c r="W44" i="2"/>
  <c r="BU156" i="2"/>
  <c r="BV228" i="2"/>
  <c r="W190" i="2"/>
  <c r="AE9" i="2"/>
  <c r="BK19" i="2"/>
  <c r="BI54" i="2"/>
  <c r="AE140" i="2"/>
  <c r="M137" i="2"/>
  <c r="AG103" i="2"/>
  <c r="BS198" i="2"/>
  <c r="BS225" i="2"/>
  <c r="AF143" i="2"/>
  <c r="BU29" i="2"/>
  <c r="BU70" i="2"/>
  <c r="AF229" i="2"/>
  <c r="AE50" i="2"/>
  <c r="AD161" i="2"/>
  <c r="BK5" i="2"/>
  <c r="BJ88" i="2"/>
  <c r="AX41" i="2"/>
  <c r="BS149" i="2"/>
  <c r="BT18" i="2"/>
  <c r="AE60" i="2"/>
  <c r="X118" i="2"/>
  <c r="BJ38" i="2"/>
  <c r="AX123" i="2"/>
  <c r="AE47" i="2"/>
  <c r="BH18" i="2"/>
  <c r="BI89" i="2"/>
  <c r="BS97" i="2"/>
  <c r="AG21" i="2"/>
  <c r="AF128" i="2"/>
  <c r="BR120" i="2"/>
  <c r="AD89" i="2"/>
  <c r="AX11" i="2"/>
  <c r="U163" i="2"/>
  <c r="BR87" i="2"/>
  <c r="BJ95" i="2"/>
  <c r="AE48" i="2"/>
  <c r="AD219" i="2"/>
  <c r="AH135" i="2"/>
  <c r="W137" i="2"/>
  <c r="BT136" i="2"/>
  <c r="BR188" i="2"/>
  <c r="BS127" i="2"/>
  <c r="BV220" i="2"/>
  <c r="BU211" i="2"/>
  <c r="AG76" i="2"/>
  <c r="BT137" i="2"/>
  <c r="V11" i="2"/>
  <c r="U77" i="2"/>
  <c r="Y192" i="2"/>
  <c r="AR53" i="2"/>
  <c r="BJ188" i="2"/>
  <c r="BK35" i="2"/>
  <c r="BK199" i="2"/>
  <c r="AZ177" i="2"/>
  <c r="BJ66" i="2"/>
  <c r="AH154" i="2"/>
  <c r="BB33" i="2"/>
  <c r="BA7" i="2"/>
  <c r="AG151" i="2"/>
  <c r="BL83" i="2"/>
  <c r="AD177" i="2"/>
  <c r="U198" i="2"/>
  <c r="Y154" i="2"/>
  <c r="BT85" i="2"/>
  <c r="W59" i="2"/>
  <c r="Y37" i="2"/>
  <c r="U46" i="2"/>
  <c r="AY109" i="2"/>
  <c r="W200" i="2"/>
  <c r="Y46" i="2"/>
  <c r="BA133" i="2"/>
  <c r="BU191" i="2"/>
  <c r="AF109" i="2"/>
  <c r="X113" i="2"/>
  <c r="AE212" i="2"/>
  <c r="V70" i="2"/>
  <c r="AE63" i="2"/>
  <c r="AE186" i="2"/>
  <c r="AE35" i="2"/>
  <c r="X29" i="2"/>
  <c r="AG158" i="2"/>
  <c r="AY63" i="2"/>
  <c r="W25" i="2"/>
  <c r="U88" i="2"/>
  <c r="BV60" i="2"/>
  <c r="BH92" i="2"/>
  <c r="BT39" i="2"/>
  <c r="Y97" i="2"/>
  <c r="Y202" i="2"/>
  <c r="BL217" i="2"/>
  <c r="BJ225" i="2"/>
  <c r="AD110" i="2"/>
  <c r="Y173" i="2"/>
  <c r="AH31" i="2"/>
  <c r="V77" i="2"/>
  <c r="AF214" i="2"/>
  <c r="X177" i="2"/>
  <c r="X82" i="2"/>
  <c r="BV153" i="2"/>
  <c r="Y12" i="2"/>
  <c r="BR62" i="2"/>
  <c r="BA53" i="2"/>
  <c r="BU69" i="2"/>
  <c r="BI56" i="2"/>
  <c r="W142" i="2"/>
  <c r="X164" i="2"/>
  <c r="W204" i="2"/>
  <c r="AH107" i="2"/>
  <c r="BK176" i="2"/>
  <c r="BR77" i="2"/>
  <c r="BL138" i="2"/>
  <c r="AX76" i="2"/>
  <c r="AE79" i="2"/>
  <c r="AY219" i="2"/>
  <c r="V218" i="2"/>
  <c r="BK188" i="2"/>
  <c r="AE123" i="2"/>
  <c r="AE139" i="2"/>
  <c r="W225" i="2"/>
  <c r="BU205" i="2"/>
  <c r="BK162" i="2"/>
  <c r="AD62" i="2"/>
  <c r="U45" i="2"/>
  <c r="X94" i="2"/>
  <c r="AZ120" i="2"/>
  <c r="BI119" i="2"/>
  <c r="X93" i="2"/>
  <c r="BJ224" i="2"/>
  <c r="AY68" i="2"/>
  <c r="AF70" i="2"/>
  <c r="BK69" i="2"/>
  <c r="W52" i="2"/>
  <c r="BT86" i="2"/>
  <c r="AX194" i="2"/>
  <c r="AH212" i="2"/>
  <c r="AQ197" i="2"/>
  <c r="AH11" i="2"/>
  <c r="BR228" i="2"/>
  <c r="X123" i="2"/>
  <c r="AF180" i="2"/>
  <c r="BJ24" i="2"/>
  <c r="BL24" i="2"/>
  <c r="U143" i="2"/>
  <c r="BI118" i="2"/>
  <c r="AZ194" i="2"/>
  <c r="BU212" i="2"/>
  <c r="AZ96" i="2"/>
  <c r="AZ137" i="2"/>
  <c r="BH79" i="2"/>
  <c r="BB200" i="2"/>
  <c r="AO27" i="2"/>
  <c r="BV186" i="2"/>
  <c r="BK17" i="2"/>
  <c r="BK159" i="2"/>
  <c r="AG39" i="2"/>
  <c r="AD69" i="2"/>
  <c r="AP129" i="2"/>
  <c r="BU116" i="2"/>
  <c r="AG186" i="2"/>
  <c r="Y65" i="2"/>
  <c r="AG31" i="2"/>
  <c r="BV138" i="2"/>
  <c r="AD74" i="2"/>
  <c r="AG228" i="2"/>
  <c r="AP161" i="2"/>
  <c r="AO123" i="2"/>
  <c r="BS139" i="2"/>
  <c r="BJ166" i="2"/>
  <c r="BV90" i="2"/>
  <c r="AY81" i="2"/>
  <c r="X219" i="2"/>
  <c r="BV27" i="2"/>
  <c r="AE180" i="2"/>
  <c r="W36" i="2"/>
  <c r="BH163" i="2"/>
  <c r="BK29" i="2"/>
  <c r="BU129" i="2"/>
  <c r="BA118" i="2"/>
  <c r="BT120" i="2"/>
  <c r="U18" i="2"/>
  <c r="U162" i="2"/>
  <c r="U58" i="2"/>
  <c r="AF18" i="2"/>
  <c r="Y66" i="2"/>
  <c r="BI102" i="2"/>
  <c r="AE57" i="2"/>
  <c r="BH105" i="2"/>
  <c r="M60" i="2"/>
  <c r="W95" i="2"/>
  <c r="Y162" i="2"/>
  <c r="AF172" i="2"/>
  <c r="BR75" i="2"/>
  <c r="AF51" i="2"/>
  <c r="BU225" i="2"/>
  <c r="BR23" i="2"/>
  <c r="BR141" i="2"/>
  <c r="AF130" i="2"/>
  <c r="AF173" i="2"/>
  <c r="BI219" i="2"/>
  <c r="BH99" i="2"/>
  <c r="BR57" i="2"/>
  <c r="BV131" i="2"/>
  <c r="AD112" i="2"/>
  <c r="AX136" i="2"/>
  <c r="AX220" i="2"/>
  <c r="BU43" i="2"/>
  <c r="V71" i="2"/>
  <c r="X190" i="2"/>
  <c r="AH133" i="2"/>
  <c r="V21" i="2"/>
  <c r="BS35" i="2"/>
  <c r="AD206" i="2"/>
  <c r="U225" i="2"/>
  <c r="AD149" i="2"/>
  <c r="BU173" i="2"/>
  <c r="AF207" i="2"/>
  <c r="V160" i="2"/>
  <c r="AF166" i="2"/>
  <c r="AE85" i="2"/>
  <c r="BJ55" i="2"/>
  <c r="W110" i="2"/>
  <c r="BV146" i="2"/>
  <c r="AX69" i="2"/>
  <c r="X88" i="2"/>
  <c r="AH156" i="2"/>
  <c r="V185" i="2"/>
  <c r="BL209" i="2"/>
  <c r="BI207" i="2"/>
  <c r="BR64" i="2"/>
  <c r="AG132" i="2"/>
  <c r="BB18" i="2"/>
  <c r="L118" i="2"/>
  <c r="AO91" i="2"/>
  <c r="AD148" i="2"/>
  <c r="AE193" i="2"/>
  <c r="W89" i="2"/>
  <c r="W221" i="2"/>
  <c r="AZ10" i="2"/>
  <c r="BI200" i="2"/>
  <c r="BT197" i="2"/>
  <c r="BR16" i="2"/>
  <c r="BV120" i="2"/>
  <c r="AX188" i="2"/>
  <c r="BB209" i="2"/>
  <c r="AH43" i="2"/>
  <c r="AN92" i="2"/>
  <c r="AH54" i="2"/>
  <c r="BV94" i="2"/>
  <c r="AN138" i="2"/>
  <c r="BK227" i="2"/>
  <c r="U65" i="2"/>
  <c r="BK140" i="2"/>
  <c r="AF222" i="2"/>
  <c r="BL68" i="2"/>
  <c r="Y72" i="2"/>
  <c r="BI209" i="2"/>
  <c r="BT183" i="2"/>
  <c r="BA170" i="2"/>
  <c r="AX55" i="2"/>
  <c r="AP159" i="2"/>
  <c r="AG110" i="2"/>
  <c r="N71" i="2"/>
  <c r="BB108" i="2"/>
  <c r="BK158" i="2"/>
  <c r="BB196" i="2"/>
  <c r="AY224" i="2"/>
  <c r="W19" i="2"/>
  <c r="X208" i="2"/>
  <c r="AO61" i="2"/>
  <c r="AH69" i="2"/>
  <c r="Y62" i="2"/>
  <c r="BS170" i="2"/>
  <c r="BT226" i="2"/>
  <c r="AG161" i="2"/>
  <c r="BA140" i="2"/>
  <c r="BJ42" i="2"/>
  <c r="BU28" i="2"/>
  <c r="BT68" i="2"/>
  <c r="X143" i="2"/>
  <c r="N187" i="2"/>
  <c r="AO183" i="2"/>
  <c r="AR154" i="2"/>
  <c r="BL17" i="2"/>
  <c r="U217" i="2"/>
  <c r="BT47" i="2"/>
  <c r="BA33" i="2"/>
  <c r="U194" i="2"/>
  <c r="BL15" i="2"/>
  <c r="AH81" i="2"/>
  <c r="AE170" i="2"/>
  <c r="AG79" i="2"/>
  <c r="AF6" i="2"/>
  <c r="AY65" i="2"/>
  <c r="AF120" i="2"/>
  <c r="BK189" i="2"/>
  <c r="Y64" i="2"/>
  <c r="L157" i="2"/>
  <c r="AD128" i="2"/>
  <c r="BU19" i="2"/>
  <c r="BR13" i="2"/>
  <c r="W72" i="2"/>
  <c r="X165" i="2"/>
  <c r="AG13" i="2"/>
  <c r="BU77" i="2"/>
  <c r="AH25" i="2"/>
  <c r="BV218" i="2"/>
  <c r="BI197" i="2"/>
  <c r="BB225" i="2"/>
  <c r="AR56" i="2"/>
  <c r="AN48" i="2"/>
  <c r="W155" i="2"/>
  <c r="U32" i="2"/>
  <c r="BA101" i="2"/>
  <c r="V122" i="2"/>
  <c r="AZ218" i="2"/>
  <c r="V41" i="2"/>
  <c r="W215" i="2"/>
  <c r="U142" i="2"/>
  <c r="X15" i="2"/>
  <c r="V206" i="2"/>
  <c r="Y171" i="2"/>
  <c r="U51" i="2"/>
  <c r="BA61" i="2"/>
  <c r="BR21" i="2"/>
  <c r="V79" i="2"/>
  <c r="X49" i="2"/>
  <c r="AE214" i="2"/>
  <c r="BU17" i="2"/>
  <c r="AD42" i="2"/>
  <c r="AG185" i="2"/>
  <c r="AG220" i="2"/>
  <c r="BT140" i="2"/>
  <c r="BJ192" i="2"/>
  <c r="AE66" i="2"/>
  <c r="AN66" i="2"/>
  <c r="AD77" i="2"/>
  <c r="BT213" i="2"/>
  <c r="X8" i="2"/>
  <c r="AY175" i="2"/>
  <c r="U22" i="2"/>
  <c r="BV16" i="2"/>
  <c r="BB175" i="2"/>
  <c r="BL214" i="2"/>
  <c r="AE87" i="2"/>
  <c r="AX121" i="2"/>
  <c r="AE80" i="2"/>
  <c r="U44" i="2"/>
  <c r="AZ190" i="2"/>
  <c r="BU41" i="2"/>
  <c r="N209" i="2"/>
  <c r="W207" i="2"/>
  <c r="AG125" i="2"/>
  <c r="BL124" i="2"/>
  <c r="AP134" i="2"/>
  <c r="BS124" i="2"/>
  <c r="BK59" i="2"/>
  <c r="BA43" i="2"/>
  <c r="AE211" i="2"/>
  <c r="BA194" i="2"/>
  <c r="BS105" i="2"/>
  <c r="AQ69" i="2"/>
  <c r="BR186" i="2"/>
  <c r="AR86" i="2"/>
  <c r="BI211" i="2"/>
  <c r="Y152" i="2"/>
  <c r="AH229" i="2"/>
  <c r="L131" i="2"/>
  <c r="AF220" i="2"/>
  <c r="AY89" i="2"/>
  <c r="AE76" i="2"/>
  <c r="AE159" i="2"/>
  <c r="AH177" i="2"/>
  <c r="AY161" i="2"/>
  <c r="BL103" i="2"/>
  <c r="BU207" i="2"/>
  <c r="AX4" i="2"/>
  <c r="V47" i="2"/>
  <c r="AY147" i="2"/>
  <c r="BI120" i="2"/>
  <c r="AO31" i="2"/>
  <c r="AX84" i="2"/>
  <c r="AH61" i="2"/>
  <c r="AG194" i="2"/>
  <c r="BA66" i="2"/>
  <c r="W173" i="2"/>
  <c r="AN82" i="2"/>
  <c r="BR68" i="2"/>
  <c r="AR193" i="2"/>
  <c r="AO219" i="2"/>
  <c r="L154" i="2"/>
  <c r="W144" i="2"/>
  <c r="BA26" i="2"/>
  <c r="AX20" i="2"/>
  <c r="BH184" i="2"/>
  <c r="AX61" i="2"/>
  <c r="AO48" i="2"/>
  <c r="AE147" i="2"/>
  <c r="BB206" i="2"/>
  <c r="BK94" i="2"/>
  <c r="BH29" i="2"/>
  <c r="AQ68" i="2"/>
  <c r="AY30" i="2"/>
  <c r="AO214" i="2"/>
  <c r="AO45" i="2"/>
  <c r="K85" i="2"/>
  <c r="AZ138" i="2"/>
  <c r="BR185" i="2"/>
  <c r="U179" i="2"/>
  <c r="AX15" i="2"/>
  <c r="AE156" i="2"/>
  <c r="BU125" i="2"/>
  <c r="BT61" i="2"/>
  <c r="BA115" i="2"/>
  <c r="AH26" i="2"/>
  <c r="BL140" i="2"/>
  <c r="AH132" i="2"/>
  <c r="BS217" i="2"/>
  <c r="AE163" i="2"/>
  <c r="BH40" i="2"/>
  <c r="AG95" i="2"/>
  <c r="AR152" i="2"/>
  <c r="BK8" i="2"/>
  <c r="BK41" i="2"/>
  <c r="AD84" i="2"/>
  <c r="BI187" i="2"/>
  <c r="BB63" i="2"/>
  <c r="Y131" i="2"/>
  <c r="BV145" i="2"/>
  <c r="BR54" i="2"/>
  <c r="BT46" i="2"/>
  <c r="AZ224" i="2"/>
  <c r="BK32" i="2"/>
  <c r="AE15" i="2"/>
  <c r="BU209" i="2"/>
  <c r="BB210" i="2"/>
  <c r="AY13" i="2"/>
  <c r="AO113" i="2"/>
  <c r="BH225" i="2"/>
  <c r="BA94" i="2"/>
  <c r="AP9" i="2"/>
  <c r="BR73" i="2"/>
  <c r="AZ73" i="2"/>
  <c r="D28" i="2"/>
  <c r="X90" i="2"/>
  <c r="V225" i="2"/>
  <c r="U219" i="2"/>
  <c r="V93" i="2"/>
  <c r="U25" i="2"/>
  <c r="AG160" i="2"/>
  <c r="AF92" i="2"/>
  <c r="AF111" i="2"/>
  <c r="BL71" i="2"/>
  <c r="V211" i="2"/>
  <c r="AH153" i="2"/>
  <c r="AF32" i="2"/>
  <c r="AH42" i="2"/>
  <c r="BI125" i="2"/>
  <c r="BS80" i="2"/>
  <c r="BV4" i="2"/>
  <c r="K180" i="2"/>
  <c r="AF209" i="2"/>
  <c r="AE179" i="2"/>
  <c r="U21" i="2"/>
  <c r="AH226" i="2"/>
  <c r="V54" i="2"/>
  <c r="AO29" i="2"/>
  <c r="W34" i="2"/>
  <c r="BL95" i="2"/>
  <c r="AY9" i="2"/>
  <c r="AF212" i="2"/>
  <c r="BJ214" i="2"/>
  <c r="BV119" i="2"/>
  <c r="AG172" i="2"/>
  <c r="BB154" i="2"/>
  <c r="BS145" i="2"/>
  <c r="U101" i="2"/>
  <c r="BL152" i="2"/>
  <c r="BT221" i="2"/>
  <c r="AD184" i="2"/>
  <c r="V162" i="2"/>
  <c r="AG18" i="2"/>
  <c r="Y185" i="2"/>
  <c r="BU45" i="2"/>
  <c r="Y106" i="2"/>
  <c r="Y42" i="2"/>
  <c r="BR121" i="2"/>
  <c r="X37" i="2"/>
  <c r="AY191" i="2"/>
  <c r="BA98" i="2"/>
  <c r="AZ124" i="2"/>
  <c r="BS220" i="2"/>
  <c r="BU199" i="2"/>
  <c r="X179" i="2"/>
  <c r="BT55" i="2"/>
  <c r="BU64" i="2"/>
  <c r="BB93" i="2"/>
  <c r="U151" i="2"/>
  <c r="AZ35" i="2"/>
  <c r="X227" i="2"/>
  <c r="BL9" i="2"/>
  <c r="V92" i="2"/>
  <c r="BH153" i="2"/>
  <c r="BU90" i="2"/>
  <c r="BS20" i="2"/>
  <c r="BV154" i="2"/>
  <c r="Y183" i="2"/>
  <c r="AE36" i="2"/>
  <c r="Y71" i="2"/>
  <c r="BR226" i="2"/>
  <c r="AO203" i="2"/>
  <c r="BS45" i="2"/>
  <c r="BS197" i="2"/>
  <c r="X64" i="2"/>
  <c r="AQ153" i="2"/>
  <c r="Y118" i="2"/>
  <c r="Y116" i="2"/>
  <c r="AH111" i="2"/>
  <c r="BJ170" i="2"/>
  <c r="BH128" i="2"/>
  <c r="BK145" i="2"/>
  <c r="AR52" i="2"/>
  <c r="BU47" i="2"/>
  <c r="AH117" i="2"/>
  <c r="V28" i="2"/>
  <c r="V55" i="2"/>
  <c r="AG204" i="2"/>
  <c r="BK228" i="2"/>
  <c r="AP92" i="2"/>
  <c r="AY113" i="2"/>
  <c r="K93" i="2"/>
  <c r="BT57" i="2"/>
  <c r="L25" i="2"/>
  <c r="BT159" i="2"/>
  <c r="AY131" i="2"/>
  <c r="BV184" i="2"/>
  <c r="BJ58" i="2"/>
  <c r="AY87" i="2"/>
  <c r="AD221" i="2"/>
  <c r="V5" i="2"/>
  <c r="V22" i="2"/>
  <c r="BK138" i="2"/>
  <c r="BU98" i="2"/>
  <c r="BI92" i="2"/>
  <c r="BJ229" i="2"/>
  <c r="AZ90" i="2"/>
  <c r="W47" i="2"/>
  <c r="K49" i="2"/>
  <c r="BH10" i="2"/>
  <c r="K171" i="2"/>
  <c r="BT180" i="2"/>
  <c r="AH214" i="2"/>
  <c r="AO200" i="2"/>
  <c r="U175" i="2"/>
  <c r="AQ116" i="2"/>
  <c r="BJ200" i="2"/>
  <c r="BU190" i="2"/>
  <c r="M73" i="2"/>
  <c r="AY99" i="2"/>
  <c r="AF36" i="2"/>
  <c r="BA18" i="2"/>
  <c r="BS17" i="2"/>
  <c r="BI101" i="2"/>
  <c r="BI145" i="2"/>
  <c r="AE118" i="2"/>
  <c r="AZ68" i="2"/>
  <c r="BJ111" i="2"/>
  <c r="AE29" i="2"/>
  <c r="AE154" i="2"/>
  <c r="BH71" i="2"/>
  <c r="AQ173" i="2"/>
  <c r="BK51" i="2"/>
  <c r="BJ201" i="2"/>
  <c r="AE94" i="2"/>
  <c r="W187" i="2"/>
  <c r="AH220" i="2"/>
  <c r="AE12" i="2"/>
  <c r="X192" i="2"/>
  <c r="AG38" i="2"/>
  <c r="V207" i="2"/>
  <c r="AG10" i="2"/>
  <c r="V29" i="2"/>
  <c r="BR217" i="2"/>
  <c r="BI223" i="2"/>
  <c r="BT131" i="2"/>
  <c r="AG68" i="2"/>
  <c r="V82" i="2"/>
  <c r="BH131" i="2"/>
  <c r="W24" i="2"/>
  <c r="U11" i="2"/>
  <c r="BI12" i="2"/>
  <c r="AD17" i="2"/>
  <c r="BT220" i="2"/>
  <c r="BH66" i="2"/>
  <c r="BJ211" i="2"/>
  <c r="Y6" i="2"/>
  <c r="AF60" i="2"/>
  <c r="AE194" i="2"/>
  <c r="AY227" i="2"/>
  <c r="BI100" i="2"/>
  <c r="BR209" i="2"/>
  <c r="AH176" i="2"/>
  <c r="V119" i="2"/>
  <c r="W76" i="2"/>
  <c r="BU89" i="2"/>
  <c r="L86" i="2"/>
  <c r="AX212" i="2"/>
  <c r="X23" i="2"/>
  <c r="BJ112" i="2"/>
  <c r="U33" i="2"/>
  <c r="BU78" i="2"/>
  <c r="AG58" i="2"/>
  <c r="AE86" i="2"/>
  <c r="U216" i="2"/>
  <c r="BH171" i="2"/>
  <c r="BR198" i="2"/>
  <c r="AX157" i="2"/>
  <c r="AO7" i="2"/>
  <c r="BV38" i="2"/>
  <c r="AF22" i="2"/>
  <c r="BJ22" i="2"/>
  <c r="BB12" i="2"/>
  <c r="BI122" i="2"/>
  <c r="AD83" i="2"/>
  <c r="AF179" i="2"/>
  <c r="AH86" i="2"/>
  <c r="BU175" i="2"/>
  <c r="BH219" i="2"/>
  <c r="AX173" i="2"/>
  <c r="AO51" i="2"/>
  <c r="AD5" i="2"/>
  <c r="V153" i="2"/>
  <c r="AZ26" i="2"/>
  <c r="BK181" i="2"/>
  <c r="BI26" i="2"/>
  <c r="BB74" i="2"/>
  <c r="BH129" i="2"/>
  <c r="BI83" i="2"/>
  <c r="AZ99" i="2"/>
  <c r="AG138" i="2"/>
  <c r="U74" i="2"/>
  <c r="BI70" i="2"/>
  <c r="AX131" i="2"/>
  <c r="BL12" i="2"/>
  <c r="AE165" i="2"/>
  <c r="BI8" i="2"/>
  <c r="BH112" i="2"/>
  <c r="AH140" i="2"/>
  <c r="AX44" i="2"/>
  <c r="BJ177" i="2"/>
  <c r="AO127" i="2"/>
  <c r="BT196" i="2"/>
  <c r="BI216" i="2"/>
  <c r="BI139" i="2"/>
  <c r="BT117" i="2"/>
  <c r="AO88" i="2"/>
  <c r="AY128" i="2"/>
  <c r="BJ44" i="2"/>
  <c r="O158" i="2"/>
  <c r="BV200" i="2"/>
  <c r="BS19" i="2"/>
  <c r="BT104" i="2"/>
  <c r="BU165" i="2"/>
  <c r="AX202" i="2"/>
  <c r="AD61" i="2"/>
  <c r="BU104" i="2"/>
  <c r="AG83" i="2"/>
  <c r="AD216" i="2"/>
  <c r="BJ80" i="2"/>
  <c r="BR76" i="2"/>
  <c r="AH194" i="2"/>
  <c r="BV180" i="2"/>
  <c r="X5" i="2"/>
  <c r="BL86" i="2"/>
  <c r="BV201" i="2"/>
  <c r="AG29" i="2"/>
  <c r="AE157" i="2"/>
  <c r="BL226" i="2"/>
  <c r="AO58" i="2"/>
  <c r="AP80" i="2"/>
  <c r="AN173" i="2"/>
  <c r="BR71" i="2"/>
  <c r="AZ131" i="2"/>
  <c r="BS25" i="2"/>
  <c r="V111" i="2"/>
  <c r="L143" i="2"/>
  <c r="BJ10" i="2"/>
  <c r="BL29" i="2"/>
  <c r="BK39" i="2"/>
  <c r="AZ49" i="2"/>
  <c r="BK187" i="2"/>
  <c r="AR36" i="2"/>
  <c r="AG174" i="2"/>
  <c r="AE191" i="2"/>
  <c r="BR19" i="2"/>
  <c r="BB76" i="2"/>
  <c r="BA82" i="2"/>
  <c r="AP151" i="2"/>
  <c r="E67" i="2"/>
  <c r="BR139" i="2"/>
  <c r="AG102" i="2"/>
  <c r="Y147" i="2"/>
  <c r="BV125" i="2"/>
  <c r="BS58" i="2"/>
  <c r="AR198" i="2"/>
  <c r="BV197" i="2"/>
  <c r="BU23" i="2"/>
  <c r="V196" i="2"/>
  <c r="BS156" i="2"/>
  <c r="AD90" i="2"/>
  <c r="V95" i="2"/>
  <c r="U201" i="2"/>
  <c r="AG183" i="2"/>
  <c r="BH93" i="2"/>
  <c r="BR60" i="2"/>
  <c r="U122" i="2"/>
  <c r="BT96" i="2"/>
  <c r="AX219" i="2"/>
  <c r="Y180" i="2"/>
  <c r="AX140" i="2"/>
  <c r="BS67" i="2"/>
  <c r="AP214" i="2"/>
  <c r="Y69" i="2"/>
  <c r="AD36" i="2"/>
  <c r="AQ89" i="2"/>
  <c r="BL62" i="2"/>
  <c r="BU30" i="2"/>
  <c r="BK47" i="2"/>
  <c r="AE25" i="2"/>
  <c r="V181" i="2"/>
  <c r="AP71" i="2"/>
  <c r="BJ62" i="2"/>
  <c r="W201" i="2"/>
  <c r="BK10" i="2"/>
  <c r="BU60" i="2"/>
  <c r="AE131" i="2"/>
  <c r="U86" i="2"/>
  <c r="BU15" i="2"/>
  <c r="AF189" i="2"/>
  <c r="BR214" i="2"/>
  <c r="X153" i="2"/>
  <c r="BS164" i="2"/>
  <c r="BT166" i="2"/>
  <c r="BR88" i="2"/>
  <c r="BS174" i="2"/>
  <c r="U20" i="2"/>
  <c r="AE72" i="2"/>
  <c r="AO77" i="2"/>
  <c r="BK149" i="2"/>
  <c r="AD48" i="2"/>
  <c r="BR35" i="2"/>
  <c r="Y17" i="2"/>
  <c r="AE228" i="2"/>
  <c r="BV12" i="2"/>
  <c r="BT64" i="2"/>
  <c r="BJ194" i="2"/>
  <c r="Y13" i="2"/>
  <c r="X141" i="2"/>
  <c r="BV113" i="2"/>
  <c r="AP227" i="2"/>
  <c r="AZ126" i="2"/>
  <c r="BB23" i="2"/>
  <c r="BB197" i="2"/>
  <c r="AZ135" i="2"/>
  <c r="BR79" i="2"/>
  <c r="U107" i="2"/>
  <c r="BT83" i="2"/>
  <c r="BV57" i="2"/>
  <c r="BV164" i="2"/>
  <c r="BS101" i="2"/>
  <c r="AQ103" i="2"/>
  <c r="AF123" i="2"/>
  <c r="BS4" i="2"/>
  <c r="AH137" i="2"/>
  <c r="BS86" i="2"/>
  <c r="BV39" i="2"/>
  <c r="W130" i="2"/>
  <c r="AY163" i="2"/>
  <c r="BR130" i="2"/>
  <c r="AF24" i="2"/>
  <c r="BA143" i="2"/>
  <c r="AZ210" i="2"/>
  <c r="BL114" i="2"/>
  <c r="AX32" i="2"/>
  <c r="BK75" i="2"/>
  <c r="AN118" i="2"/>
  <c r="BB113" i="2"/>
  <c r="AP199" i="2"/>
  <c r="BV215" i="2"/>
  <c r="BS57" i="2"/>
  <c r="AO221" i="2"/>
  <c r="BH68" i="2"/>
  <c r="BI13" i="2"/>
  <c r="BA166" i="2"/>
  <c r="AF61" i="2"/>
  <c r="AR84" i="2"/>
  <c r="AZ212" i="2"/>
  <c r="BS30" i="2"/>
  <c r="AD101" i="2"/>
  <c r="V129" i="2"/>
  <c r="M53" i="2"/>
  <c r="BV155" i="2"/>
  <c r="Y194" i="2"/>
  <c r="BL228" i="2"/>
  <c r="X78" i="2"/>
  <c r="BR8" i="2"/>
  <c r="BR29" i="2"/>
  <c r="AP83" i="2"/>
  <c r="AN229" i="2"/>
  <c r="BA52" i="2"/>
  <c r="AD41" i="2"/>
  <c r="BS173" i="2"/>
  <c r="AH171" i="2"/>
  <c r="AY91" i="2"/>
  <c r="BS11" i="2"/>
  <c r="AO135" i="2"/>
  <c r="AG84" i="2"/>
  <c r="BI79" i="2"/>
  <c r="BH173" i="2"/>
  <c r="AG142" i="2"/>
  <c r="Y201" i="2"/>
  <c r="BU46" i="2"/>
  <c r="BH229" i="2"/>
  <c r="AO28" i="2"/>
  <c r="AX98" i="2"/>
  <c r="O68" i="2"/>
  <c r="Y163" i="2"/>
  <c r="BH203" i="2"/>
  <c r="U152" i="2"/>
  <c r="BV226" i="2"/>
  <c r="AH53" i="2"/>
  <c r="AG136" i="2"/>
  <c r="BL109" i="2"/>
  <c r="V88" i="2"/>
  <c r="BL203" i="2"/>
  <c r="AX102" i="2"/>
  <c r="V7" i="2"/>
  <c r="Y4" i="2"/>
  <c r="AF201" i="2"/>
  <c r="AO125" i="2"/>
  <c r="BB136" i="2"/>
  <c r="BH143" i="2"/>
  <c r="BJ120" i="2"/>
  <c r="BJ182" i="2"/>
  <c r="X194" i="2"/>
  <c r="BJ152" i="2"/>
  <c r="BU183" i="2"/>
  <c r="AG46" i="2"/>
  <c r="BR135" i="2"/>
  <c r="BT45" i="2"/>
  <c r="AZ32" i="2"/>
  <c r="BS221" i="2"/>
  <c r="BT5" i="2"/>
  <c r="K57" i="2"/>
  <c r="BR22" i="2"/>
  <c r="BI130" i="2"/>
  <c r="X66" i="2"/>
  <c r="AD171" i="2"/>
  <c r="W97" i="2"/>
  <c r="BK9" i="2"/>
  <c r="AO70" i="2"/>
  <c r="BS100" i="2"/>
  <c r="BI137" i="2"/>
  <c r="AF37" i="2"/>
  <c r="BI161" i="2"/>
  <c r="AG146" i="2"/>
  <c r="BS46" i="2"/>
  <c r="U186" i="2"/>
  <c r="AG32" i="2"/>
  <c r="Y36" i="2"/>
  <c r="BS93" i="2"/>
  <c r="AG87" i="2"/>
  <c r="AX204" i="2"/>
  <c r="BR105" i="2"/>
  <c r="U53" i="2"/>
  <c r="W140" i="2"/>
  <c r="AG51" i="2"/>
  <c r="BV202" i="2"/>
  <c r="AF73" i="2"/>
  <c r="V98" i="2"/>
  <c r="BH27" i="2"/>
  <c r="BR201" i="2"/>
  <c r="BT161" i="2"/>
  <c r="BR20" i="2"/>
  <c r="AZ76" i="2"/>
  <c r="AF98" i="2"/>
  <c r="BL218" i="2"/>
  <c r="BK215" i="2"/>
  <c r="BU140" i="2"/>
  <c r="BJ82" i="2"/>
  <c r="AF136" i="2"/>
  <c r="BT163" i="2"/>
  <c r="AN28" i="2"/>
  <c r="U177" i="2"/>
  <c r="AE49" i="2"/>
  <c r="AQ97" i="2"/>
  <c r="AQ149" i="2"/>
  <c r="Y210" i="2"/>
  <c r="AN223" i="2"/>
  <c r="AZ222" i="2"/>
  <c r="BU194" i="2"/>
  <c r="BK21" i="2"/>
  <c r="AP219" i="2"/>
  <c r="AD224" i="2"/>
  <c r="AR83" i="2"/>
  <c r="BR162" i="2"/>
  <c r="BI45" i="2"/>
  <c r="AY114" i="2"/>
  <c r="N179" i="2"/>
  <c r="AX8" i="2"/>
  <c r="AP48" i="2"/>
  <c r="D59" i="2"/>
  <c r="E72" i="2"/>
  <c r="BH125" i="2"/>
  <c r="AD11" i="2"/>
  <c r="BI43" i="2"/>
  <c r="BK206" i="2"/>
  <c r="BT143" i="2"/>
  <c r="AP191" i="2"/>
  <c r="AE44" i="2"/>
  <c r="AO147" i="2"/>
  <c r="E42" i="2"/>
  <c r="V60" i="2"/>
  <c r="Y20" i="2"/>
  <c r="AX31" i="2"/>
  <c r="U202" i="2"/>
  <c r="BH174" i="2"/>
  <c r="AY221" i="2"/>
  <c r="BA197" i="2"/>
  <c r="BV196" i="2"/>
  <c r="BJ197" i="2"/>
  <c r="BV193" i="2"/>
  <c r="AD120" i="2"/>
  <c r="BV51" i="2"/>
  <c r="BJ25" i="2"/>
  <c r="W5" i="2"/>
  <c r="BB127" i="2"/>
  <c r="BA134" i="2"/>
  <c r="BA214" i="2"/>
  <c r="AO95" i="2"/>
  <c r="N33" i="2"/>
  <c r="BI68" i="2"/>
  <c r="BA65" i="2"/>
  <c r="AP31" i="2"/>
  <c r="BR205" i="2"/>
  <c r="AO204" i="2"/>
  <c r="BK218" i="2"/>
  <c r="AN103" i="2"/>
  <c r="AE197" i="2"/>
  <c r="AX73" i="2"/>
  <c r="BB20" i="2"/>
  <c r="BV224" i="2"/>
  <c r="BI75" i="2"/>
  <c r="AE23" i="2"/>
  <c r="AF112" i="2"/>
  <c r="BJ183" i="2"/>
  <c r="W56" i="2"/>
  <c r="AD59" i="2"/>
  <c r="BV210" i="2"/>
  <c r="AD228" i="2"/>
  <c r="AH65" i="2"/>
  <c r="AY94" i="2"/>
  <c r="AD107" i="2"/>
  <c r="BV227" i="2"/>
  <c r="AE174" i="2"/>
  <c r="AF83" i="2"/>
  <c r="AQ23" i="2"/>
  <c r="Y103" i="2"/>
  <c r="BH35" i="2"/>
  <c r="BI185" i="2"/>
  <c r="BK109" i="2"/>
  <c r="AD133" i="2"/>
  <c r="W11" i="2"/>
  <c r="BI15" i="2"/>
  <c r="AG61" i="2"/>
  <c r="BV46" i="2"/>
  <c r="BR171" i="2"/>
  <c r="BK6" i="2"/>
  <c r="BU84" i="2"/>
  <c r="BI126" i="2"/>
  <c r="BK157" i="2"/>
  <c r="BR211" i="2"/>
  <c r="AQ40" i="2"/>
  <c r="BR182" i="2"/>
  <c r="AD96" i="2"/>
  <c r="BK217" i="2"/>
  <c r="BJ103" i="2"/>
  <c r="AQ200" i="2"/>
  <c r="BH14" i="2"/>
  <c r="BJ100" i="2"/>
  <c r="BU33" i="2"/>
  <c r="AZ153" i="2"/>
  <c r="BT12" i="2"/>
  <c r="AF110" i="2"/>
  <c r="AO90" i="2"/>
  <c r="BA119" i="2"/>
  <c r="W106" i="2"/>
  <c r="AP99" i="2"/>
  <c r="BA81" i="2"/>
  <c r="AZ227" i="2"/>
  <c r="AD23" i="2"/>
  <c r="AX77" i="2"/>
  <c r="BT98" i="2"/>
  <c r="AE95" i="2"/>
  <c r="V48" i="2"/>
  <c r="BT199" i="2"/>
  <c r="W193" i="2"/>
  <c r="BT174" i="2"/>
  <c r="BR169" i="2"/>
  <c r="BU210" i="2"/>
  <c r="BB64" i="2"/>
  <c r="BK201" i="2"/>
  <c r="Y54" i="2"/>
  <c r="AF45" i="2"/>
  <c r="BS78" i="2"/>
  <c r="BH72" i="2"/>
  <c r="AE84" i="2"/>
  <c r="AP203" i="2"/>
  <c r="AH136" i="2"/>
  <c r="BL28" i="2"/>
  <c r="BV132" i="2"/>
  <c r="Y193" i="2"/>
  <c r="AY132" i="2"/>
  <c r="AX155" i="2"/>
  <c r="BJ136" i="2"/>
  <c r="AE21" i="2"/>
  <c r="BS52" i="2"/>
  <c r="BV59" i="2"/>
  <c r="N51" i="2"/>
  <c r="BJ153" i="2"/>
  <c r="W121" i="2"/>
  <c r="BH116" i="2"/>
  <c r="BB179" i="2"/>
  <c r="AZ104" i="2"/>
  <c r="AN125" i="2"/>
  <c r="BT8" i="2"/>
  <c r="C148" i="2"/>
  <c r="AZ33" i="2"/>
  <c r="BJ187" i="2"/>
  <c r="AF8" i="2"/>
  <c r="L188" i="2"/>
  <c r="AD123" i="2"/>
  <c r="AE168" i="2"/>
  <c r="AG184" i="2"/>
  <c r="Y190" i="2"/>
  <c r="AN49" i="2"/>
  <c r="X103" i="2"/>
  <c r="BJ185" i="2"/>
  <c r="BJ124" i="2"/>
  <c r="B213" i="2"/>
  <c r="AE162" i="2"/>
  <c r="BJ135" i="2"/>
  <c r="BJ93" i="2"/>
  <c r="AR127" i="2"/>
  <c r="BS207" i="2"/>
  <c r="BH25" i="2"/>
  <c r="BT44" i="2"/>
  <c r="BL66" i="2"/>
  <c r="BS115" i="2"/>
  <c r="AR174" i="2"/>
  <c r="M178" i="2"/>
  <c r="BT189" i="2"/>
  <c r="AO130" i="2"/>
  <c r="BK102" i="2"/>
  <c r="BA159" i="2"/>
  <c r="BK124" i="2"/>
  <c r="BS84" i="2"/>
  <c r="BK111" i="2"/>
  <c r="BH155" i="2"/>
  <c r="BS27" i="2"/>
  <c r="AO97" i="2"/>
  <c r="BR173" i="2"/>
  <c r="AH67" i="2"/>
  <c r="AG219" i="2"/>
  <c r="M170" i="2"/>
  <c r="BV68" i="2"/>
  <c r="AE196" i="2"/>
  <c r="AR80" i="2"/>
  <c r="AR209" i="2"/>
  <c r="AH77" i="2"/>
  <c r="BT60" i="2"/>
  <c r="AF156" i="2"/>
  <c r="U59" i="2"/>
  <c r="Y70" i="2"/>
  <c r="BJ56" i="2"/>
  <c r="AG214" i="2"/>
  <c r="W4" i="2"/>
  <c r="AY8" i="2"/>
  <c r="AZ144" i="2"/>
  <c r="AE176" i="2"/>
  <c r="AZ57" i="2"/>
  <c r="AY45" i="2"/>
  <c r="Y98" i="2"/>
  <c r="BU135" i="2"/>
  <c r="BR195" i="2"/>
  <c r="X148" i="2"/>
  <c r="BS187" i="2"/>
  <c r="BI183" i="2"/>
  <c r="BT169" i="2"/>
  <c r="BH201" i="2"/>
  <c r="AZ193" i="2"/>
  <c r="BK143" i="2"/>
  <c r="AD4" i="2"/>
  <c r="BH13" i="2"/>
  <c r="AG118" i="2"/>
  <c r="AR78" i="2"/>
  <c r="AO5" i="2"/>
  <c r="AZ191" i="2"/>
  <c r="AD63" i="2"/>
  <c r="BR101" i="2"/>
  <c r="BT115" i="2"/>
  <c r="BT28" i="2"/>
  <c r="BJ68" i="2"/>
  <c r="AF158" i="2"/>
  <c r="AE46" i="2"/>
  <c r="AX197" i="2"/>
  <c r="V52" i="2"/>
  <c r="AX24" i="2"/>
  <c r="BL19" i="2"/>
  <c r="Y127" i="2"/>
  <c r="F25" i="2"/>
  <c r="BU75" i="2"/>
  <c r="BT108" i="2"/>
  <c r="U15" i="2"/>
  <c r="AY23" i="2"/>
  <c r="AX166" i="2"/>
  <c r="B116" i="2"/>
  <c r="AE30" i="2"/>
  <c r="Y139" i="2"/>
  <c r="AH16" i="2"/>
  <c r="Y219" i="2"/>
  <c r="AY145" i="2"/>
  <c r="AY154" i="2"/>
  <c r="AO173" i="2"/>
  <c r="O162" i="2"/>
  <c r="AN10" i="2"/>
  <c r="BB191" i="2"/>
  <c r="K27" i="2"/>
  <c r="AH110" i="2"/>
  <c r="AY190" i="2"/>
  <c r="BA229" i="2"/>
  <c r="BJ165" i="2"/>
  <c r="BI134" i="2"/>
  <c r="AH47" i="2"/>
  <c r="AH223" i="2"/>
  <c r="AE144" i="2"/>
  <c r="AD51" i="2"/>
  <c r="Y133" i="2"/>
  <c r="Y207" i="2"/>
  <c r="AG89" i="2"/>
  <c r="AD26" i="2"/>
  <c r="BR174" i="2"/>
  <c r="L46" i="2"/>
  <c r="BA111" i="2"/>
  <c r="AZ19" i="2"/>
  <c r="BB205" i="2"/>
  <c r="L90" i="2"/>
  <c r="BK134" i="2"/>
  <c r="BS194" i="2"/>
  <c r="B39" i="2"/>
  <c r="BB82" i="2"/>
  <c r="BV42" i="2"/>
  <c r="BV26" i="2"/>
  <c r="AR110" i="2"/>
  <c r="AZ163" i="2"/>
  <c r="BS14" i="2"/>
  <c r="AH206" i="2"/>
  <c r="AN100" i="2"/>
  <c r="D19" i="2"/>
  <c r="BH6" i="2"/>
  <c r="AO154" i="2"/>
  <c r="AQ198" i="2"/>
  <c r="BH95" i="2"/>
  <c r="BH157" i="2"/>
  <c r="BT89" i="2"/>
  <c r="BU106" i="2"/>
  <c r="AG212" i="2"/>
  <c r="BL132" i="2"/>
  <c r="AR159" i="2"/>
  <c r="BV189" i="2"/>
  <c r="AX168" i="2"/>
  <c r="BB59" i="2"/>
  <c r="BU223" i="2"/>
  <c r="X44" i="2"/>
  <c r="BS114" i="2"/>
  <c r="BS16" i="2"/>
  <c r="BK64" i="2"/>
  <c r="AD56" i="2"/>
  <c r="AY162" i="2"/>
  <c r="BK84" i="2"/>
  <c r="X57" i="2"/>
  <c r="AY69" i="2"/>
  <c r="AG177" i="2"/>
  <c r="AP156" i="2"/>
  <c r="BA92" i="2"/>
  <c r="Y100" i="2"/>
  <c r="BA198" i="2"/>
  <c r="M67" i="2"/>
  <c r="BK142" i="2"/>
  <c r="AN65" i="2"/>
  <c r="BJ130" i="2"/>
  <c r="L33" i="2"/>
  <c r="K152" i="2"/>
  <c r="AF90" i="2"/>
  <c r="BV52" i="2"/>
  <c r="BH181" i="2"/>
  <c r="AD97" i="2"/>
  <c r="U79" i="2"/>
  <c r="U174" i="2"/>
  <c r="W103" i="2"/>
  <c r="BR151" i="2"/>
  <c r="AE81" i="2"/>
  <c r="BA63" i="2"/>
  <c r="X184" i="2"/>
  <c r="AX14" i="2"/>
  <c r="X224" i="2"/>
  <c r="AG205" i="2"/>
  <c r="V43" i="2"/>
  <c r="BT208" i="2"/>
  <c r="U61" i="2"/>
  <c r="BL162" i="2"/>
  <c r="BL72" i="2"/>
  <c r="BS208" i="2"/>
  <c r="BH192" i="2"/>
  <c r="AH92" i="2"/>
  <c r="BJ128" i="2"/>
  <c r="AY183" i="2"/>
  <c r="BH46" i="2"/>
  <c r="BU95" i="2"/>
  <c r="AG159" i="2"/>
  <c r="V62" i="2"/>
  <c r="U35" i="2"/>
  <c r="V97" i="2"/>
  <c r="V78" i="2"/>
  <c r="AE215" i="2"/>
  <c r="BU92" i="2"/>
  <c r="AY12" i="2"/>
  <c r="BJ160" i="2"/>
  <c r="BT37" i="2"/>
  <c r="AE169" i="2"/>
  <c r="AX114" i="2"/>
  <c r="Y15" i="2"/>
  <c r="Y30" i="2"/>
  <c r="BJ48" i="2"/>
  <c r="BK160" i="2"/>
  <c r="B58" i="2"/>
  <c r="AY15" i="2"/>
  <c r="AR43" i="2"/>
  <c r="BH5" i="2"/>
  <c r="AD143" i="2"/>
  <c r="K69" i="2"/>
  <c r="BB38" i="2"/>
  <c r="X61" i="2"/>
  <c r="AG63" i="2"/>
  <c r="U67" i="2"/>
  <c r="AX181" i="2"/>
  <c r="BB221" i="2"/>
  <c r="BS191" i="2"/>
  <c r="BT192" i="2"/>
  <c r="AH52" i="2"/>
  <c r="AO157" i="2"/>
  <c r="BU184" i="2"/>
  <c r="BK192" i="2"/>
  <c r="BB198" i="2"/>
  <c r="BK210" i="2"/>
  <c r="AR166" i="2"/>
  <c r="M82" i="2"/>
  <c r="AE64" i="2"/>
  <c r="BL57" i="2"/>
  <c r="BT95" i="2"/>
  <c r="X171" i="2"/>
  <c r="BU143" i="2"/>
  <c r="X172" i="2"/>
  <c r="BJ108" i="2"/>
  <c r="AY169" i="2"/>
  <c r="AH174" i="2"/>
  <c r="BU197" i="2"/>
  <c r="BK11" i="2"/>
  <c r="AN69" i="2"/>
  <c r="AY27" i="2"/>
  <c r="AF226" i="2"/>
  <c r="BR147" i="2"/>
  <c r="AF21" i="2"/>
  <c r="W37" i="2"/>
  <c r="V20" i="2"/>
  <c r="BJ217" i="2"/>
  <c r="AH186" i="2"/>
  <c r="BV211" i="2"/>
  <c r="L141" i="2"/>
  <c r="AN75" i="2"/>
  <c r="BS99" i="2"/>
  <c r="BV129" i="2"/>
  <c r="AO171" i="2"/>
  <c r="BS79" i="2"/>
  <c r="AG129" i="2"/>
  <c r="BV21" i="2"/>
  <c r="AX112" i="2"/>
  <c r="BS108" i="2"/>
  <c r="BH62" i="2"/>
  <c r="AR207" i="2"/>
  <c r="BB189" i="2"/>
  <c r="BI176" i="2"/>
  <c r="AR64" i="2"/>
  <c r="K116" i="2"/>
  <c r="AN45" i="2"/>
  <c r="BA210" i="2"/>
  <c r="AZ160" i="2"/>
  <c r="AG12" i="2"/>
  <c r="AQ57" i="2"/>
  <c r="D30" i="2"/>
  <c r="AN4" i="2"/>
  <c r="BT20" i="2"/>
  <c r="BK87" i="2"/>
  <c r="AP44" i="2"/>
  <c r="BA188" i="2"/>
  <c r="BL101" i="2"/>
  <c r="AO65" i="2"/>
  <c r="N201" i="2"/>
  <c r="AZ159" i="2"/>
  <c r="BR95" i="2"/>
  <c r="AX38" i="2"/>
  <c r="AX78" i="2"/>
  <c r="BV128" i="2"/>
  <c r="AF141" i="2"/>
  <c r="AX18" i="2"/>
  <c r="BS69" i="2"/>
  <c r="M22" i="2"/>
  <c r="AG4" i="2"/>
  <c r="AZ176" i="2"/>
  <c r="AH182" i="2"/>
  <c r="V15" i="2"/>
  <c r="AY170" i="2"/>
  <c r="BV105" i="2"/>
  <c r="BI178" i="2"/>
  <c r="BT144" i="2"/>
  <c r="BK220" i="2"/>
  <c r="BH187" i="2"/>
  <c r="BH7" i="2"/>
  <c r="BS161" i="2"/>
  <c r="AH85" i="2"/>
  <c r="BS92" i="2"/>
  <c r="V121" i="2"/>
  <c r="BV99" i="2"/>
  <c r="Y67" i="2"/>
  <c r="K91" i="2"/>
  <c r="BH8" i="2"/>
  <c r="AE34" i="2"/>
  <c r="AD124" i="2"/>
  <c r="BI115" i="2"/>
  <c r="BA146" i="2"/>
  <c r="AY143" i="2"/>
  <c r="BT193" i="2"/>
  <c r="BL31" i="2"/>
  <c r="AN19" i="2"/>
  <c r="AN58" i="2"/>
  <c r="AG74" i="2"/>
  <c r="E55" i="2"/>
  <c r="BI105" i="2"/>
  <c r="BS140" i="2"/>
  <c r="AY74" i="2"/>
  <c r="BT211" i="2"/>
  <c r="BT173" i="2"/>
  <c r="AD132" i="2"/>
  <c r="BB129" i="2"/>
  <c r="AN53" i="2"/>
  <c r="BK185" i="2"/>
  <c r="AD173" i="2"/>
  <c r="AR148" i="2"/>
  <c r="BA76" i="2"/>
  <c r="BI22" i="2"/>
  <c r="AD157" i="2"/>
  <c r="Y63" i="2"/>
  <c r="AX133" i="2"/>
  <c r="AX229" i="2"/>
  <c r="AZ209" i="2"/>
  <c r="AR73" i="2"/>
  <c r="X188" i="2"/>
  <c r="BL126" i="2"/>
  <c r="AD220" i="2"/>
  <c r="AD175" i="2"/>
  <c r="BR123" i="2"/>
  <c r="BT91" i="2"/>
  <c r="BU138" i="2"/>
  <c r="AY213" i="2"/>
  <c r="BS201" i="2"/>
  <c r="W107" i="2"/>
  <c r="AH8" i="2"/>
  <c r="AF77" i="2"/>
  <c r="BB143" i="2"/>
  <c r="BH78" i="2"/>
  <c r="BA83" i="2"/>
  <c r="BB114" i="2"/>
  <c r="BB28" i="2"/>
  <c r="BR142" i="2"/>
  <c r="BL87" i="2"/>
  <c r="BS85" i="2"/>
  <c r="AD66" i="2"/>
  <c r="E51" i="2"/>
  <c r="BL197" i="2"/>
  <c r="AH78" i="2"/>
  <c r="AN50" i="2"/>
  <c r="BA84" i="2"/>
  <c r="K123" i="2"/>
  <c r="BR58" i="2"/>
  <c r="BB169" i="2"/>
  <c r="AP193" i="2"/>
  <c r="BU16" i="2"/>
  <c r="BH101" i="2"/>
  <c r="BH202" i="2"/>
  <c r="O131" i="2"/>
  <c r="BK127" i="2"/>
  <c r="M50" i="2"/>
  <c r="AQ14" i="2"/>
  <c r="K9" i="2"/>
  <c r="BU178" i="2"/>
  <c r="K125" i="2"/>
  <c r="BT48" i="2"/>
  <c r="AH211" i="2"/>
  <c r="AO13" i="2"/>
  <c r="BS64" i="2"/>
  <c r="BA186" i="2"/>
  <c r="AQ60" i="2"/>
  <c r="BR118" i="2"/>
  <c r="BU10" i="2"/>
  <c r="X213" i="2"/>
  <c r="U140" i="2"/>
  <c r="AR126" i="2"/>
  <c r="BI91" i="2"/>
  <c r="BR134" i="2"/>
  <c r="AG43" i="2"/>
  <c r="B87" i="2"/>
  <c r="BH226" i="2"/>
  <c r="BR15" i="2"/>
  <c r="AN154" i="2"/>
  <c r="L174" i="2"/>
  <c r="BU40" i="2"/>
  <c r="AD53" i="2"/>
  <c r="M26" i="2"/>
  <c r="BV56" i="2"/>
  <c r="AG114" i="2"/>
  <c r="AZ219" i="2"/>
  <c r="AY146" i="2"/>
  <c r="AR200" i="2"/>
  <c r="AG11" i="2"/>
  <c r="AF210" i="2"/>
  <c r="BL88" i="2"/>
  <c r="AG180" i="2"/>
  <c r="BU181" i="2"/>
  <c r="AR8" i="2"/>
  <c r="AZ74" i="2"/>
  <c r="BJ16" i="2"/>
  <c r="AQ73" i="2"/>
  <c r="BU38" i="2"/>
  <c r="BK38" i="2"/>
  <c r="BK90" i="2"/>
  <c r="X183" i="2"/>
  <c r="AG70" i="2"/>
  <c r="BL181" i="2"/>
  <c r="X102" i="2"/>
  <c r="W197" i="2"/>
  <c r="V85" i="2"/>
  <c r="AH130" i="2"/>
  <c r="BR179" i="2"/>
  <c r="BL192" i="2"/>
  <c r="AQ156" i="2"/>
  <c r="AZ211" i="2"/>
  <c r="AF48" i="2"/>
  <c r="AZ78" i="2"/>
  <c r="BJ208" i="2"/>
  <c r="BR204" i="2"/>
  <c r="W224" i="2"/>
  <c r="AE184" i="2"/>
  <c r="AD155" i="2"/>
  <c r="BH127" i="2"/>
  <c r="AX180" i="2"/>
  <c r="BI218" i="2"/>
  <c r="BV161" i="2"/>
  <c r="AX89" i="2"/>
  <c r="U98" i="2"/>
  <c r="BJ203" i="2"/>
  <c r="BJ46" i="2"/>
  <c r="BI6" i="2"/>
  <c r="AP179" i="2"/>
  <c r="BS116" i="2"/>
  <c r="AY185" i="2"/>
  <c r="AP176" i="2"/>
  <c r="AZ31" i="2"/>
  <c r="AR183" i="2"/>
  <c r="BA175" i="2"/>
  <c r="N113" i="2"/>
  <c r="K162" i="2"/>
  <c r="BH19" i="2"/>
  <c r="X189" i="2"/>
  <c r="BR152" i="2"/>
  <c r="BB14" i="2"/>
  <c r="BT41" i="2"/>
  <c r="V195" i="2"/>
  <c r="V104" i="2"/>
  <c r="AX215" i="2"/>
  <c r="AR229" i="2"/>
  <c r="L51" i="2"/>
  <c r="BA99" i="2"/>
  <c r="AF184" i="2"/>
  <c r="K79" i="2"/>
  <c r="AX182" i="2"/>
  <c r="BR85" i="2"/>
  <c r="AP103" i="2"/>
  <c r="O61" i="2"/>
  <c r="AF10" i="2"/>
  <c r="BR18" i="2"/>
  <c r="BL195" i="2"/>
  <c r="AE90" i="2"/>
  <c r="Y58" i="2"/>
  <c r="B33" i="2"/>
  <c r="O20" i="2"/>
  <c r="BI191" i="2"/>
  <c r="AQ10" i="2"/>
  <c r="B212" i="2"/>
  <c r="U150" i="2"/>
  <c r="BL196" i="2"/>
  <c r="AZ189" i="2"/>
  <c r="AZ82" i="2"/>
  <c r="AZ183" i="2"/>
  <c r="AQ83" i="2"/>
  <c r="N47" i="2"/>
  <c r="AZ69" i="2"/>
  <c r="AY82" i="2"/>
  <c r="AZ127" i="2"/>
  <c r="AO32" i="2"/>
  <c r="BS181" i="2"/>
  <c r="BI73" i="2"/>
  <c r="AH104" i="2"/>
  <c r="BR63" i="2"/>
  <c r="BL13" i="2"/>
  <c r="BJ97" i="2"/>
  <c r="BI49" i="2"/>
  <c r="W105" i="2"/>
  <c r="B183" i="2"/>
  <c r="BK150" i="2"/>
  <c r="BB86" i="2"/>
  <c r="AQ194" i="2"/>
  <c r="F54" i="2"/>
  <c r="N88" i="2"/>
  <c r="AQ180" i="2"/>
  <c r="N214" i="2"/>
  <c r="BS15" i="2"/>
  <c r="AD159" i="2"/>
  <c r="AP20" i="2"/>
  <c r="AQ133" i="2"/>
  <c r="BT51" i="2"/>
  <c r="BK121" i="2"/>
  <c r="AR34" i="2"/>
  <c r="AP189" i="2"/>
  <c r="AR227" i="2"/>
  <c r="X122" i="2"/>
  <c r="BI169" i="2"/>
  <c r="AN136" i="2"/>
  <c r="AX60" i="2"/>
  <c r="W61" i="2"/>
  <c r="AG116" i="2"/>
  <c r="AD117" i="2"/>
  <c r="AF101" i="2"/>
  <c r="K211" i="2"/>
  <c r="BT17" i="2"/>
  <c r="AY168" i="2"/>
  <c r="AF202" i="2"/>
  <c r="M112" i="2"/>
  <c r="AD108" i="2"/>
  <c r="AN71" i="2"/>
  <c r="AX28" i="2"/>
  <c r="BA228" i="2"/>
  <c r="D124" i="2"/>
  <c r="AP204" i="2"/>
  <c r="AN177" i="2"/>
  <c r="BT139" i="2"/>
  <c r="O209" i="2"/>
  <c r="AG9" i="2"/>
  <c r="AZ46" i="2"/>
  <c r="AH71" i="2"/>
  <c r="BR125" i="2"/>
  <c r="AZ165" i="2"/>
  <c r="BA64" i="2"/>
  <c r="AO151" i="2"/>
  <c r="BJ167" i="2"/>
  <c r="BJ47" i="2"/>
  <c r="M23" i="2"/>
  <c r="AR146" i="2"/>
  <c r="BR45" i="2"/>
  <c r="BU119" i="2"/>
  <c r="V4" i="2"/>
  <c r="BT129" i="2"/>
  <c r="AH216" i="2"/>
  <c r="BL50" i="2"/>
  <c r="BH83" i="2"/>
  <c r="AD28" i="2"/>
  <c r="AQ75" i="2"/>
  <c r="BA9" i="2"/>
  <c r="AG198" i="2"/>
  <c r="K68" i="2"/>
  <c r="D92" i="2"/>
  <c r="O51" i="2"/>
  <c r="AR77" i="2"/>
  <c r="K174" i="2"/>
  <c r="BJ141" i="2"/>
  <c r="AH221" i="2"/>
  <c r="E213" i="2"/>
  <c r="BT172" i="2"/>
  <c r="AX70" i="2"/>
  <c r="AQ140" i="2"/>
  <c r="E5" i="2"/>
  <c r="BT178" i="2"/>
  <c r="AQ35" i="2"/>
  <c r="AP217" i="2"/>
  <c r="C161" i="2"/>
  <c r="AG78" i="2"/>
  <c r="E90" i="2"/>
  <c r="C100" i="2"/>
  <c r="BJ173" i="2"/>
  <c r="AR206" i="2"/>
  <c r="BU57" i="2"/>
  <c r="AH125" i="2"/>
  <c r="K221" i="2"/>
  <c r="AG20" i="2"/>
  <c r="N110" i="2"/>
  <c r="AY195" i="2"/>
  <c r="C119" i="2"/>
  <c r="K138" i="2"/>
  <c r="AQ49" i="2"/>
  <c r="BA68" i="2"/>
  <c r="AX135" i="2"/>
  <c r="BJ81" i="2"/>
  <c r="M229" i="2"/>
  <c r="BL222" i="2"/>
  <c r="AR196" i="2"/>
  <c r="AG73" i="2"/>
  <c r="BB223" i="2"/>
  <c r="K147" i="2"/>
  <c r="AX80" i="2"/>
  <c r="BB53" i="2"/>
  <c r="AO167" i="2"/>
  <c r="N121" i="2"/>
  <c r="M81" i="2"/>
  <c r="BK52" i="2"/>
  <c r="N72" i="2"/>
  <c r="B141" i="2"/>
  <c r="N111" i="2"/>
  <c r="BA24" i="2"/>
  <c r="K210" i="2"/>
  <c r="BT3" i="2"/>
  <c r="BB181" i="2"/>
  <c r="BA60" i="2"/>
  <c r="BS96" i="2"/>
  <c r="BB107" i="2"/>
  <c r="AY121" i="2"/>
  <c r="BI95" i="2"/>
  <c r="Y76" i="2"/>
  <c r="AR140" i="2"/>
  <c r="BS133" i="2"/>
  <c r="V45" i="2"/>
  <c r="V80" i="2"/>
  <c r="M189" i="2"/>
  <c r="F78" i="2"/>
  <c r="BI212" i="2"/>
  <c r="AH181" i="2"/>
  <c r="AO181" i="2"/>
  <c r="L204" i="2"/>
  <c r="AF223" i="2"/>
  <c r="C111" i="2"/>
  <c r="BL168" i="2"/>
  <c r="AR123" i="2"/>
  <c r="F124" i="2"/>
  <c r="K86" i="2"/>
  <c r="BH133" i="2"/>
  <c r="AE190" i="2"/>
  <c r="O195" i="2"/>
  <c r="AQ148" i="2"/>
  <c r="BL78" i="2"/>
  <c r="BB27" i="2"/>
  <c r="F46" i="2"/>
  <c r="D72" i="2"/>
  <c r="BR4" i="2"/>
  <c r="BH76" i="2"/>
  <c r="L30" i="2"/>
  <c r="AD191" i="2"/>
  <c r="BU74" i="2"/>
  <c r="BL157" i="2"/>
  <c r="BH54" i="2"/>
  <c r="BA114" i="2"/>
  <c r="BU62" i="2"/>
  <c r="BK151" i="2"/>
  <c r="Y68" i="2"/>
  <c r="AX107" i="2"/>
  <c r="AR90" i="2"/>
  <c r="BB115" i="2"/>
  <c r="L79" i="2"/>
  <c r="AX186" i="2"/>
  <c r="AQ162" i="2"/>
  <c r="BU86" i="2"/>
  <c r="AO73" i="2"/>
  <c r="C83" i="2"/>
  <c r="F86" i="2"/>
  <c r="AQ185" i="2"/>
  <c r="M181" i="2"/>
  <c r="D69" i="2"/>
  <c r="BK48" i="2"/>
  <c r="M217" i="2"/>
  <c r="O157" i="2"/>
  <c r="AF81" i="2"/>
  <c r="BA20" i="2"/>
  <c r="BH107" i="2"/>
  <c r="AF118" i="2"/>
  <c r="AD166" i="2"/>
  <c r="AR221" i="2"/>
  <c r="V115" i="2"/>
  <c r="U8" i="2"/>
  <c r="W85" i="2"/>
  <c r="BK115" i="2"/>
  <c r="BH38" i="2"/>
  <c r="AP81" i="2"/>
  <c r="AO224" i="2"/>
  <c r="BR44" i="2"/>
  <c r="BK108" i="2"/>
  <c r="K29" i="2"/>
  <c r="AY148" i="2"/>
  <c r="AD68" i="2"/>
  <c r="AZ13" i="2"/>
  <c r="X95" i="2"/>
  <c r="BH36" i="2"/>
  <c r="AH51" i="2"/>
  <c r="AR76" i="2"/>
  <c r="BB11" i="2"/>
  <c r="M65" i="2"/>
  <c r="BV78" i="2"/>
  <c r="L101" i="2"/>
  <c r="O135" i="2"/>
  <c r="AH208" i="2"/>
  <c r="C31" i="2"/>
  <c r="BK95" i="2"/>
  <c r="AQ160" i="2"/>
  <c r="AY211" i="2"/>
  <c r="AD137" i="2"/>
  <c r="BJ70" i="2"/>
  <c r="O226" i="2"/>
  <c r="F13" i="2"/>
  <c r="AQ176" i="2"/>
  <c r="BK221" i="2"/>
  <c r="BS193" i="2"/>
  <c r="BI116" i="2"/>
  <c r="BI147" i="2"/>
  <c r="AO104" i="2"/>
  <c r="BI163" i="2"/>
  <c r="AX170" i="2"/>
  <c r="L59" i="2"/>
  <c r="BJ163" i="2"/>
  <c r="AH58" i="2"/>
  <c r="F227" i="2"/>
  <c r="BB91" i="2"/>
  <c r="AZ38" i="2"/>
  <c r="BS158" i="2"/>
  <c r="BL107" i="2"/>
  <c r="AG130" i="2"/>
  <c r="BK118" i="2"/>
  <c r="AG202" i="2"/>
  <c r="U12" i="2"/>
  <c r="AQ43" i="2"/>
  <c r="AX108" i="2"/>
  <c r="BH160" i="2"/>
  <c r="AZ180" i="2"/>
  <c r="BA216" i="2"/>
  <c r="AP170" i="2"/>
  <c r="BH48" i="2"/>
  <c r="BU31" i="2"/>
  <c r="M30" i="2"/>
  <c r="BJ216" i="2"/>
  <c r="W68" i="2"/>
  <c r="BS176" i="2"/>
  <c r="AZ51" i="2"/>
  <c r="BU65" i="2"/>
  <c r="BU87" i="2"/>
  <c r="BS32" i="2"/>
  <c r="AX7" i="2"/>
  <c r="BT130" i="2"/>
  <c r="U218" i="2"/>
  <c r="AR171" i="2"/>
  <c r="AH66" i="2"/>
  <c r="AZ215" i="2"/>
  <c r="X145" i="2"/>
  <c r="AR108" i="2"/>
  <c r="U153" i="2"/>
  <c r="BU144" i="2"/>
  <c r="BJ67" i="2"/>
  <c r="BT181" i="2"/>
  <c r="AZ80" i="2"/>
  <c r="C61" i="2"/>
  <c r="BH26" i="2"/>
  <c r="BI136" i="2"/>
  <c r="BA224" i="2"/>
  <c r="B84" i="2"/>
  <c r="AG218" i="2"/>
  <c r="AR170" i="2"/>
  <c r="N213" i="2"/>
  <c r="AX139" i="2"/>
  <c r="BT58" i="2"/>
  <c r="AH76" i="2"/>
  <c r="AN205" i="2"/>
  <c r="AD25" i="2"/>
  <c r="BH217" i="2"/>
  <c r="AY167" i="2"/>
  <c r="AF107" i="2"/>
  <c r="BA226" i="2"/>
  <c r="BS206" i="2"/>
  <c r="AX143" i="2"/>
  <c r="BV199" i="2"/>
  <c r="AN54" i="2"/>
  <c r="BU68" i="2"/>
  <c r="BA180" i="2"/>
  <c r="AD205" i="2"/>
  <c r="AD29" i="2"/>
  <c r="Y85" i="2"/>
  <c r="BA173" i="2"/>
  <c r="BB184" i="2"/>
  <c r="BA212" i="2"/>
  <c r="BJ29" i="2"/>
  <c r="BJ202" i="2"/>
  <c r="W132" i="2"/>
  <c r="V189" i="2"/>
  <c r="BS218" i="2"/>
  <c r="V156" i="2"/>
  <c r="AP17" i="2"/>
  <c r="AX126" i="2"/>
  <c r="BL80" i="2"/>
  <c r="AF9" i="2"/>
  <c r="BA72" i="2"/>
  <c r="AQ4" i="2"/>
  <c r="U29" i="2"/>
  <c r="BA171" i="2"/>
  <c r="K154" i="2"/>
  <c r="BB56" i="2"/>
  <c r="BH31" i="2"/>
  <c r="AP136" i="2"/>
  <c r="E40" i="2"/>
  <c r="M221" i="2"/>
  <c r="AH20" i="2"/>
  <c r="BA137" i="2"/>
  <c r="AD227" i="2"/>
  <c r="AY24" i="2"/>
  <c r="AP111" i="2"/>
  <c r="AY90" i="2"/>
  <c r="AG98" i="2"/>
  <c r="BS192" i="2"/>
  <c r="AN108" i="2"/>
  <c r="BV110" i="2"/>
  <c r="BI11" i="2"/>
  <c r="BT32" i="2"/>
  <c r="E73" i="2"/>
  <c r="AO228" i="2"/>
  <c r="AN196" i="2"/>
  <c r="BL175" i="2"/>
  <c r="BA105" i="2"/>
  <c r="AD109" i="2"/>
  <c r="AZ122" i="2"/>
  <c r="N24" i="2"/>
  <c r="M213" i="2"/>
  <c r="BV8" i="2"/>
  <c r="BA203" i="2"/>
  <c r="N156" i="2"/>
  <c r="N153" i="2"/>
  <c r="BU44" i="2"/>
  <c r="AY7" i="2"/>
  <c r="AF53" i="2"/>
  <c r="E25" i="2"/>
  <c r="AH95" i="2"/>
  <c r="V83" i="2"/>
  <c r="BH75" i="2"/>
  <c r="AG85" i="2"/>
  <c r="BS146" i="2"/>
  <c r="AP126" i="2"/>
  <c r="BK212" i="2"/>
  <c r="BB161" i="2"/>
  <c r="O150" i="2"/>
  <c r="AE14" i="2"/>
  <c r="BA23" i="2"/>
  <c r="AG36" i="2"/>
  <c r="C64" i="2"/>
  <c r="O42" i="2"/>
  <c r="BL156" i="2"/>
  <c r="F212" i="2"/>
  <c r="BK33" i="2"/>
  <c r="AQ181" i="2"/>
  <c r="BI173" i="2"/>
  <c r="K109" i="2"/>
  <c r="AY31" i="2"/>
  <c r="AN224" i="2"/>
  <c r="BL122" i="2"/>
  <c r="M205" i="2"/>
  <c r="BA110" i="2"/>
  <c r="AP12" i="2"/>
  <c r="AR228" i="2"/>
  <c r="AN96" i="2"/>
  <c r="AE110" i="2"/>
  <c r="AD212" i="2"/>
  <c r="AQ26" i="2"/>
  <c r="O176" i="2"/>
  <c r="X39" i="2"/>
  <c r="AO126" i="2"/>
  <c r="AD14" i="2"/>
  <c r="AD20" i="2"/>
  <c r="M34" i="2"/>
  <c r="BV171" i="2"/>
  <c r="K114" i="2"/>
  <c r="BV174" i="2"/>
  <c r="M8" i="2"/>
  <c r="BI172" i="2"/>
  <c r="AP167" i="2"/>
  <c r="BI72" i="2"/>
  <c r="BV150" i="2"/>
  <c r="U81" i="2"/>
  <c r="AH207" i="2"/>
  <c r="BI111" i="2"/>
  <c r="AO115" i="2"/>
  <c r="AR214" i="2"/>
  <c r="BR34" i="2"/>
  <c r="N49" i="2"/>
  <c r="AP57" i="2"/>
  <c r="L130" i="2"/>
  <c r="AR125" i="2"/>
  <c r="D166" i="2"/>
  <c r="BA108" i="2"/>
  <c r="AP150" i="2"/>
  <c r="F119" i="2"/>
  <c r="N208" i="2"/>
  <c r="AR55" i="2"/>
  <c r="N186" i="2"/>
  <c r="AG163" i="2"/>
  <c r="C71" i="2"/>
  <c r="BH51" i="2"/>
  <c r="BL45" i="2"/>
  <c r="BR172" i="2"/>
  <c r="AY176" i="2"/>
  <c r="AX94" i="2"/>
  <c r="O137" i="2"/>
  <c r="AN33" i="2"/>
  <c r="AQ92" i="2"/>
  <c r="AP100" i="2"/>
  <c r="AQ210" i="2"/>
  <c r="AN111" i="2"/>
  <c r="AQ71" i="2"/>
  <c r="BL25" i="2"/>
  <c r="L120" i="2"/>
  <c r="BL137" i="2"/>
  <c r="BI175" i="2"/>
  <c r="BH89" i="2"/>
  <c r="AQ118" i="2"/>
  <c r="BH146" i="2"/>
  <c r="AX222" i="2"/>
  <c r="BB162" i="2"/>
  <c r="E37" i="2"/>
  <c r="BL131" i="2"/>
  <c r="AE201" i="2"/>
  <c r="AR96" i="2"/>
  <c r="M36" i="2"/>
  <c r="BJ196" i="2"/>
  <c r="AZ27" i="2"/>
  <c r="BI107" i="2"/>
  <c r="L18" i="2"/>
  <c r="AG111" i="2"/>
  <c r="V214" i="2"/>
  <c r="BS184" i="2"/>
  <c r="U70" i="2"/>
  <c r="AH63" i="2"/>
  <c r="AD18" i="2"/>
  <c r="AD152" i="2"/>
  <c r="BB178" i="2"/>
  <c r="AY135" i="2"/>
  <c r="BH98" i="2"/>
  <c r="BA132" i="2"/>
  <c r="BV40" i="2"/>
  <c r="BA42" i="2"/>
  <c r="AH123" i="2"/>
  <c r="BA21" i="2"/>
  <c r="AZ72" i="2"/>
  <c r="BL4" i="2"/>
  <c r="BR156" i="2"/>
  <c r="AY196" i="2"/>
  <c r="BS88" i="2"/>
  <c r="BS223" i="2"/>
  <c r="BI193" i="2"/>
  <c r="BH88" i="2"/>
  <c r="AE158" i="2"/>
  <c r="W226" i="2"/>
  <c r="U213" i="2"/>
  <c r="E87" i="2"/>
  <c r="AY134" i="2"/>
  <c r="BH4" i="2"/>
  <c r="BL69" i="2"/>
  <c r="AH128" i="2"/>
  <c r="BA96" i="2"/>
  <c r="M169" i="2"/>
  <c r="C74" i="2"/>
  <c r="BJ205" i="2"/>
  <c r="U224" i="2"/>
  <c r="BJ33" i="2"/>
  <c r="BU177" i="2"/>
  <c r="F68" i="2"/>
  <c r="K53" i="2"/>
  <c r="W17" i="2"/>
  <c r="BR97" i="2"/>
  <c r="K66" i="2"/>
  <c r="BJ114" i="2"/>
  <c r="AF122" i="2"/>
  <c r="AE41" i="2"/>
  <c r="BH30" i="2"/>
  <c r="BI154" i="2"/>
  <c r="BJ164" i="2"/>
  <c r="BR223" i="2"/>
  <c r="BH118" i="2"/>
  <c r="AP73" i="2"/>
  <c r="AH172" i="2"/>
  <c r="Y120" i="2"/>
  <c r="N80" i="2"/>
  <c r="D71" i="2"/>
  <c r="BV207" i="2"/>
  <c r="AP187" i="2"/>
  <c r="BI140" i="2"/>
  <c r="L114" i="2"/>
  <c r="BV187" i="2"/>
  <c r="M40" i="2"/>
  <c r="AY16" i="2"/>
  <c r="AF224" i="2"/>
  <c r="BH186" i="2"/>
  <c r="BB61" i="2"/>
  <c r="AP115" i="2"/>
  <c r="BL148" i="2"/>
  <c r="AQ61" i="2"/>
  <c r="N36" i="2"/>
  <c r="BK120" i="2"/>
  <c r="BS203" i="2"/>
  <c r="BA75" i="2"/>
  <c r="C96" i="2"/>
  <c r="AF126" i="2"/>
  <c r="B100" i="2"/>
  <c r="U172" i="2"/>
  <c r="U188" i="2"/>
  <c r="BR175" i="2"/>
  <c r="BS65" i="2"/>
  <c r="BK4" i="2"/>
  <c r="BK122" i="2"/>
  <c r="O97" i="2"/>
  <c r="BA176" i="2"/>
  <c r="BJ9" i="2"/>
  <c r="AO161" i="2"/>
  <c r="BB131" i="2"/>
  <c r="K188" i="2"/>
  <c r="M70" i="2"/>
  <c r="O48" i="2"/>
  <c r="BR99" i="2"/>
  <c r="BV157" i="2"/>
  <c r="AX57" i="2"/>
  <c r="N91" i="2"/>
  <c r="AZ48" i="2"/>
  <c r="BB68" i="2"/>
  <c r="BR200" i="2"/>
  <c r="O85" i="2"/>
  <c r="AX192" i="2"/>
  <c r="AZ146" i="2"/>
  <c r="BS186" i="2"/>
  <c r="K42" i="2"/>
  <c r="BU146" i="2"/>
  <c r="B41" i="2"/>
  <c r="BK139" i="2"/>
  <c r="BL33" i="2"/>
  <c r="BJ18" i="2"/>
  <c r="BA156" i="2"/>
  <c r="BI86" i="2"/>
  <c r="AE92" i="2"/>
  <c r="BL155" i="2"/>
  <c r="BH142" i="2"/>
  <c r="AQ96" i="2"/>
  <c r="W126" i="2"/>
  <c r="AE213" i="2"/>
  <c r="AD34" i="2"/>
  <c r="AG72" i="2"/>
  <c r="AH178" i="2"/>
  <c r="BV135" i="2"/>
  <c r="BB100" i="2"/>
  <c r="BT154" i="2"/>
  <c r="AX72" i="2"/>
  <c r="M41" i="2"/>
  <c r="BA41" i="2"/>
  <c r="AX208" i="2"/>
  <c r="O201" i="2"/>
  <c r="AE38" i="2"/>
  <c r="O227" i="2"/>
  <c r="AO99" i="2"/>
  <c r="C58" i="2"/>
  <c r="AD153" i="2"/>
  <c r="BA125" i="2"/>
  <c r="BS121" i="2"/>
  <c r="AO158" i="2"/>
  <c r="W31" i="2"/>
  <c r="AP221" i="2"/>
  <c r="N211" i="2"/>
  <c r="BA97" i="2"/>
  <c r="AP110" i="2"/>
  <c r="BL149" i="2"/>
  <c r="BV17" i="2"/>
  <c r="AH190" i="2"/>
  <c r="AG60" i="2"/>
  <c r="BB118" i="2"/>
  <c r="AZ22" i="2"/>
  <c r="L151" i="2"/>
  <c r="BA217" i="2"/>
  <c r="BB151" i="2"/>
  <c r="BA208" i="2"/>
  <c r="BH221" i="2"/>
  <c r="AX82" i="2"/>
  <c r="BA90" i="2"/>
  <c r="E169" i="2"/>
  <c r="AF218" i="2"/>
  <c r="L113" i="2"/>
  <c r="K35" i="2"/>
  <c r="B107" i="2"/>
  <c r="BV5" i="2"/>
  <c r="AP43" i="2"/>
  <c r="C63" i="2"/>
  <c r="BA36" i="2"/>
  <c r="U171" i="2"/>
  <c r="O31" i="2"/>
  <c r="AN98" i="2"/>
  <c r="BL153" i="2"/>
  <c r="BK56" i="2"/>
  <c r="BV15" i="2"/>
  <c r="B97" i="2"/>
  <c r="AN130" i="2"/>
  <c r="K208" i="2"/>
  <c r="BL201" i="2"/>
  <c r="AR42" i="2"/>
  <c r="AO187" i="2"/>
  <c r="Y39" i="2"/>
  <c r="X132" i="2"/>
  <c r="AG48" i="2"/>
  <c r="AN60" i="2"/>
  <c r="AO80" i="2"/>
  <c r="K44" i="2"/>
  <c r="O33" i="2"/>
  <c r="N183" i="2"/>
  <c r="AO213" i="2"/>
  <c r="M176" i="2"/>
  <c r="N171" i="2"/>
  <c r="AN167" i="2"/>
  <c r="BH188" i="2"/>
  <c r="F120" i="2"/>
  <c r="AR131" i="2"/>
  <c r="B206" i="2"/>
  <c r="AQ65" i="2"/>
  <c r="BH111" i="2"/>
  <c r="D156" i="2"/>
  <c r="B226" i="2"/>
  <c r="AZ185" i="2"/>
  <c r="AP102" i="2"/>
  <c r="BI108" i="2"/>
  <c r="BI57" i="2"/>
  <c r="AH209" i="2"/>
  <c r="BJ132" i="2"/>
  <c r="U200" i="2"/>
  <c r="AX90" i="2"/>
  <c r="BR69" i="2"/>
  <c r="BT195" i="2"/>
  <c r="K46" i="2"/>
  <c r="AF176" i="2"/>
  <c r="BV148" i="2"/>
  <c r="AE224" i="2"/>
  <c r="AR93" i="2"/>
  <c r="AY208" i="2"/>
  <c r="AG6" i="2"/>
  <c r="W152" i="2"/>
  <c r="BV85" i="2"/>
  <c r="AO93" i="2"/>
  <c r="AX46" i="2"/>
  <c r="AN3" i="2"/>
  <c r="Y150" i="2"/>
  <c r="BS226" i="2"/>
  <c r="AQ28" i="2"/>
  <c r="AQ29" i="2"/>
  <c r="BL39" i="2"/>
  <c r="AG47" i="2"/>
  <c r="AF15" i="2"/>
  <c r="AO66" i="2"/>
  <c r="AY80" i="2"/>
  <c r="BU97" i="2"/>
  <c r="BV178" i="2"/>
  <c r="BK195" i="2"/>
  <c r="AX124" i="2"/>
  <c r="BL36" i="2"/>
  <c r="E202" i="2"/>
  <c r="BI198" i="2"/>
  <c r="X166" i="2"/>
  <c r="AZ25" i="2"/>
  <c r="AP67" i="2"/>
  <c r="BA44" i="2"/>
  <c r="AQ134" i="2"/>
  <c r="BB85" i="2"/>
  <c r="AQ82" i="2"/>
  <c r="AG99" i="2"/>
  <c r="BI128" i="2"/>
  <c r="N109" i="2"/>
  <c r="BU73" i="2"/>
  <c r="M209" i="2"/>
  <c r="AN149" i="2"/>
  <c r="BL112" i="2"/>
  <c r="AO18" i="2"/>
  <c r="D127" i="2"/>
  <c r="U85" i="2"/>
  <c r="AP174" i="2"/>
  <c r="AP114" i="2"/>
  <c r="B173" i="2"/>
  <c r="BT124" i="2"/>
  <c r="BV111" i="2"/>
  <c r="BA145" i="2"/>
  <c r="D56" i="2"/>
  <c r="BT7" i="2"/>
  <c r="AH196" i="2"/>
  <c r="BS23" i="2"/>
  <c r="BR145" i="2"/>
  <c r="BH148" i="2"/>
  <c r="Y24" i="2"/>
  <c r="V166" i="2"/>
  <c r="V202" i="2"/>
  <c r="AF216" i="2"/>
  <c r="Y227" i="2"/>
  <c r="BU76" i="2"/>
  <c r="AF147" i="2"/>
  <c r="BK71" i="2"/>
  <c r="X211" i="2"/>
  <c r="AQ135" i="2"/>
  <c r="AZ34" i="2"/>
  <c r="AR145" i="2"/>
  <c r="U145" i="2"/>
  <c r="AF7" i="2"/>
  <c r="BS71" i="2"/>
  <c r="AY220" i="2"/>
  <c r="AN90" i="2"/>
  <c r="Y223" i="2"/>
  <c r="V26" i="2"/>
  <c r="BJ96" i="2"/>
  <c r="AG123" i="2"/>
  <c r="AQ170" i="2"/>
  <c r="AN197" i="2"/>
  <c r="AE77" i="2"/>
  <c r="BU150" i="2"/>
  <c r="BJ63" i="2"/>
  <c r="AR186" i="2"/>
  <c r="AZ225" i="2"/>
  <c r="BJ226" i="2"/>
  <c r="BB177" i="2"/>
  <c r="AO177" i="2"/>
  <c r="BS129" i="2"/>
  <c r="M166" i="2"/>
  <c r="AH102" i="2"/>
  <c r="BB65" i="2"/>
  <c r="BS153" i="2"/>
  <c r="O83" i="2"/>
  <c r="BT135" i="2"/>
  <c r="AP78" i="2"/>
  <c r="BK141" i="2"/>
  <c r="AH142" i="2"/>
  <c r="N225" i="2"/>
  <c r="AN201" i="2"/>
  <c r="X101" i="2"/>
  <c r="BB171" i="2"/>
  <c r="V179" i="2"/>
  <c r="BR224" i="2"/>
  <c r="AX100" i="2"/>
  <c r="BI104" i="2"/>
  <c r="AZ179" i="2"/>
  <c r="BR66" i="2"/>
  <c r="BK24" i="2"/>
  <c r="AQ187" i="2"/>
  <c r="BV122" i="2"/>
  <c r="BL41" i="2"/>
  <c r="AO108" i="2"/>
  <c r="BS91" i="2"/>
  <c r="AN36" i="2"/>
  <c r="BI94" i="2"/>
  <c r="AG173" i="2"/>
  <c r="M76" i="2"/>
  <c r="C90" i="2"/>
  <c r="AF219" i="2"/>
  <c r="AO180" i="2"/>
  <c r="K142" i="2"/>
  <c r="BH41" i="2"/>
  <c r="AY36" i="2"/>
  <c r="BH216" i="2"/>
  <c r="N43" i="2"/>
  <c r="BJ4" i="2"/>
  <c r="AR46" i="2"/>
  <c r="BR124" i="2"/>
  <c r="AD144" i="2"/>
  <c r="BT36" i="2"/>
  <c r="AE105" i="2"/>
  <c r="BA178" i="2"/>
  <c r="BU55" i="2"/>
  <c r="BR206" i="2"/>
  <c r="BK164" i="2"/>
  <c r="AQ38" i="2"/>
  <c r="BK3" i="2"/>
  <c r="AX144" i="2"/>
  <c r="BR229" i="2"/>
  <c r="AQ215" i="2"/>
  <c r="L175" i="2"/>
  <c r="BI39" i="2"/>
  <c r="K24" i="2"/>
  <c r="AY10" i="2"/>
  <c r="L194" i="2"/>
  <c r="BH33" i="2"/>
  <c r="BV225" i="2"/>
  <c r="AH210" i="2"/>
  <c r="AN11" i="2"/>
  <c r="L40" i="2"/>
  <c r="U133" i="2"/>
  <c r="BJ138" i="2"/>
  <c r="L208" i="2"/>
  <c r="BV183" i="2"/>
  <c r="BJ51" i="2"/>
  <c r="AF181" i="2"/>
  <c r="AR165" i="2"/>
  <c r="BU203" i="2"/>
  <c r="AQ136" i="2"/>
  <c r="AE226" i="2"/>
  <c r="BJ71" i="2"/>
  <c r="AZ164" i="2"/>
  <c r="AR100" i="2"/>
  <c r="BR178" i="2"/>
  <c r="BU20" i="2"/>
  <c r="AH98" i="2"/>
  <c r="BK135" i="2"/>
  <c r="BI135" i="2"/>
  <c r="AF193" i="2"/>
  <c r="AP141" i="2"/>
  <c r="BH200" i="2"/>
  <c r="BR159" i="2"/>
  <c r="AG149" i="2"/>
  <c r="BL184" i="2"/>
  <c r="BR41" i="2"/>
  <c r="BI106" i="2"/>
  <c r="BI71" i="2"/>
  <c r="BK96" i="2"/>
  <c r="BU161" i="2"/>
  <c r="U63" i="2"/>
  <c r="BA56" i="2"/>
  <c r="M127" i="2"/>
  <c r="BS196" i="2"/>
  <c r="AO39" i="2"/>
  <c r="AY98" i="2"/>
  <c r="BI124" i="2"/>
  <c r="BA22" i="2"/>
  <c r="AR25" i="2"/>
  <c r="BL47" i="2"/>
  <c r="AX101" i="2"/>
  <c r="AN183" i="2"/>
  <c r="BT200" i="2"/>
  <c r="U193" i="2"/>
  <c r="BS55" i="2"/>
  <c r="BV172" i="2"/>
  <c r="BB89" i="2"/>
  <c r="BK179" i="2"/>
  <c r="BT187" i="2"/>
  <c r="BA5" i="2"/>
  <c r="BR153" i="2"/>
  <c r="AG135" i="2"/>
  <c r="AR197" i="2"/>
  <c r="N58" i="2"/>
  <c r="U127" i="2"/>
  <c r="AY158" i="2"/>
  <c r="N59" i="2"/>
  <c r="AF52" i="2"/>
  <c r="BI184" i="2"/>
  <c r="AE203" i="2"/>
  <c r="L62" i="2"/>
  <c r="W149" i="2"/>
  <c r="BA54" i="2"/>
  <c r="BJ28" i="2"/>
  <c r="M44" i="2"/>
  <c r="BT121" i="2"/>
  <c r="BL154" i="2"/>
  <c r="AQ7" i="2"/>
  <c r="BI31" i="2"/>
  <c r="AO139" i="2"/>
  <c r="X54" i="2"/>
  <c r="BR216" i="2"/>
  <c r="BB72" i="2"/>
  <c r="B91" i="2"/>
  <c r="BV152" i="2"/>
  <c r="AP45" i="2"/>
  <c r="AP137" i="2"/>
  <c r="AZ97" i="2"/>
  <c r="L57" i="2"/>
  <c r="L82" i="2"/>
  <c r="AZ151" i="2"/>
  <c r="L106" i="2"/>
  <c r="BK175" i="2"/>
  <c r="AX137" i="2"/>
  <c r="F184" i="2"/>
  <c r="BK88" i="2"/>
  <c r="AP127" i="2"/>
  <c r="AD32" i="2"/>
  <c r="D151" i="2"/>
  <c r="AN124" i="2"/>
  <c r="BI35" i="2"/>
  <c r="BS160" i="2"/>
  <c r="F16" i="2"/>
  <c r="X85" i="2"/>
  <c r="AH183" i="2"/>
  <c r="BR106" i="2"/>
  <c r="M59" i="2"/>
  <c r="AF69" i="2"/>
  <c r="AY165" i="2"/>
  <c r="BJ222" i="2"/>
  <c r="O74" i="2"/>
  <c r="BV151" i="2"/>
  <c r="V137" i="2"/>
  <c r="K182" i="2"/>
  <c r="AX165" i="2"/>
  <c r="B225" i="2"/>
  <c r="Y181" i="2"/>
  <c r="AP200" i="2"/>
  <c r="F37" i="2"/>
  <c r="BH87" i="2"/>
  <c r="BU21" i="2"/>
  <c r="BB163" i="2"/>
  <c r="AZ23" i="2"/>
  <c r="BA131" i="2"/>
  <c r="BK130" i="2"/>
  <c r="AZ158" i="2"/>
  <c r="K191" i="2"/>
  <c r="BI14" i="2"/>
  <c r="BI38" i="2"/>
  <c r="AO222" i="2"/>
  <c r="Y3" i="2"/>
  <c r="AN157" i="2"/>
  <c r="AZ175" i="2"/>
  <c r="BA223" i="2"/>
  <c r="N169" i="2"/>
  <c r="AQ72" i="2"/>
  <c r="AD198" i="2"/>
  <c r="AE128" i="2"/>
  <c r="BR161" i="2"/>
  <c r="AO146" i="2"/>
  <c r="BI180" i="2"/>
  <c r="BV175" i="2"/>
  <c r="AZ36" i="2"/>
  <c r="L5" i="2"/>
  <c r="U206" i="2"/>
  <c r="BS162" i="2"/>
  <c r="BH220" i="2"/>
  <c r="BA205" i="2"/>
  <c r="K165" i="2"/>
  <c r="BV43" i="2"/>
  <c r="BH197" i="2"/>
  <c r="BS34" i="2"/>
  <c r="AO137" i="2"/>
  <c r="AZ28" i="2"/>
  <c r="AX86" i="2"/>
  <c r="AN22" i="2"/>
  <c r="E70" i="2"/>
  <c r="E197" i="2"/>
  <c r="F84" i="2"/>
  <c r="BL23" i="2"/>
  <c r="AX227" i="2"/>
  <c r="AQ17" i="2"/>
  <c r="AP220" i="2"/>
  <c r="Y153" i="2"/>
  <c r="U158" i="2"/>
  <c r="AE218" i="2"/>
  <c r="AH189" i="2"/>
  <c r="BJ191" i="2"/>
  <c r="BI123" i="2"/>
  <c r="BV36" i="2"/>
  <c r="V130" i="2"/>
  <c r="AX26" i="2"/>
  <c r="BV70" i="2"/>
  <c r="U84" i="2"/>
  <c r="AD105" i="2"/>
  <c r="BT218" i="2"/>
  <c r="AG199" i="2"/>
  <c r="AP39" i="2"/>
  <c r="BS95" i="2"/>
  <c r="W100" i="2"/>
  <c r="AX132" i="2"/>
  <c r="BL67" i="2"/>
  <c r="AO107" i="2"/>
  <c r="L125" i="2"/>
  <c r="BA93" i="2"/>
  <c r="BI33" i="2"/>
  <c r="AG37" i="2"/>
  <c r="AP120" i="2"/>
  <c r="AY207" i="2"/>
  <c r="AF127" i="2"/>
  <c r="BL179" i="2"/>
  <c r="AP72" i="2"/>
  <c r="AG140" i="2"/>
  <c r="AH217" i="2"/>
  <c r="X216" i="2"/>
  <c r="BA172" i="2"/>
  <c r="BV191" i="2"/>
  <c r="AD71" i="2"/>
  <c r="AO46" i="2"/>
  <c r="AY173" i="2"/>
  <c r="AD193" i="2"/>
  <c r="AQ102" i="2"/>
  <c r="AR21" i="2"/>
  <c r="BS177" i="2"/>
  <c r="AD176" i="2"/>
  <c r="AY215" i="2"/>
  <c r="BS120" i="2"/>
  <c r="AO160" i="2"/>
  <c r="AD15" i="2"/>
  <c r="AQ199" i="2"/>
  <c r="Y16" i="2"/>
  <c r="BL173" i="2"/>
  <c r="BH47" i="2"/>
  <c r="M101" i="2"/>
  <c r="AE61" i="2"/>
  <c r="BS24" i="2"/>
  <c r="BL178" i="2"/>
  <c r="BU127" i="2"/>
  <c r="BK190" i="2"/>
  <c r="M25" i="2"/>
  <c r="AD146" i="2"/>
  <c r="BK58" i="2"/>
  <c r="AD222" i="2"/>
  <c r="AE188" i="2"/>
  <c r="BS63" i="2"/>
  <c r="BV95" i="2"/>
  <c r="AD178" i="2"/>
  <c r="AH145" i="2"/>
  <c r="BK79" i="2"/>
  <c r="N83" i="2"/>
  <c r="BL187" i="2"/>
  <c r="BI205" i="2"/>
  <c r="AX39" i="2"/>
  <c r="BA163" i="2"/>
  <c r="BV20" i="2"/>
  <c r="O19" i="2"/>
  <c r="AE198" i="2"/>
  <c r="B70" i="2"/>
  <c r="X152" i="2"/>
  <c r="N117" i="2"/>
  <c r="BL142" i="2"/>
  <c r="BH149" i="2"/>
  <c r="BK204" i="2"/>
  <c r="BT9" i="2"/>
  <c r="AZ47" i="2"/>
  <c r="BV149" i="2"/>
  <c r="BU152" i="2"/>
  <c r="Y188" i="2"/>
  <c r="BA130" i="2"/>
  <c r="BL30" i="2"/>
  <c r="AG181" i="2"/>
  <c r="AE134" i="2"/>
  <c r="BL6" i="2"/>
  <c r="AN172" i="2"/>
  <c r="BB43" i="2"/>
  <c r="AE97" i="2"/>
  <c r="BA71" i="2"/>
  <c r="BL11" i="2"/>
  <c r="AX104" i="2"/>
  <c r="AX146" i="2"/>
  <c r="AE189" i="2"/>
  <c r="O72" i="2"/>
  <c r="AQ211" i="2"/>
  <c r="AN217" i="2"/>
  <c r="AG144" i="2"/>
  <c r="F72" i="2"/>
  <c r="BH69" i="2"/>
  <c r="N65" i="2"/>
  <c r="AO20" i="2"/>
  <c r="O9" i="2"/>
  <c r="AX45" i="2"/>
  <c r="O96" i="2"/>
  <c r="M154" i="2"/>
  <c r="AO100" i="2"/>
  <c r="B68" i="2"/>
  <c r="W177" i="2"/>
  <c r="AZ121" i="2"/>
  <c r="BU5" i="2"/>
  <c r="BA128" i="2"/>
  <c r="AO71" i="2"/>
  <c r="AH40" i="2"/>
  <c r="BS82" i="2"/>
  <c r="AY133" i="2"/>
  <c r="O62" i="2"/>
  <c r="BJ126" i="2"/>
  <c r="AQ191" i="2"/>
  <c r="BV74" i="2"/>
  <c r="X196" i="2"/>
  <c r="AH10" i="2"/>
  <c r="AF65" i="2"/>
  <c r="AX174" i="2"/>
  <c r="BU56" i="2"/>
  <c r="BB141" i="2"/>
  <c r="BB30" i="2"/>
  <c r="AD164" i="2"/>
  <c r="BI167" i="2"/>
  <c r="BV87" i="2"/>
  <c r="AO184" i="2"/>
  <c r="X158" i="2"/>
  <c r="AE68" i="2"/>
  <c r="AO102" i="2"/>
  <c r="BI109" i="2"/>
  <c r="BR92" i="2"/>
  <c r="AF165" i="2"/>
  <c r="AN56" i="2"/>
  <c r="AP182" i="2"/>
  <c r="L23" i="2"/>
  <c r="N195" i="2"/>
  <c r="BB117" i="2"/>
  <c r="BV108" i="2"/>
  <c r="AQ190" i="2"/>
  <c r="BH60" i="2"/>
  <c r="AD12" i="2"/>
  <c r="AX37" i="2"/>
  <c r="BA88" i="2"/>
  <c r="AP210" i="2"/>
  <c r="BR144" i="2"/>
  <c r="C193" i="2"/>
  <c r="AY5" i="2"/>
  <c r="AQ53" i="2"/>
  <c r="BJ146" i="2"/>
  <c r="C18" i="2"/>
  <c r="L38" i="2"/>
  <c r="K7" i="2"/>
  <c r="BS229" i="2"/>
  <c r="E219" i="2"/>
  <c r="BL210" i="2"/>
  <c r="K39" i="2"/>
  <c r="BJ174" i="2"/>
  <c r="B21" i="2"/>
  <c r="AE103" i="2"/>
  <c r="BU185" i="2"/>
  <c r="AY102" i="2"/>
  <c r="AN20" i="2"/>
  <c r="BV134" i="2"/>
  <c r="AX85" i="2"/>
  <c r="O160" i="2"/>
  <c r="BU124" i="2"/>
  <c r="D140" i="2"/>
  <c r="BH24" i="2"/>
  <c r="BL144" i="2"/>
  <c r="AQ13" i="2"/>
  <c r="AQ174" i="2"/>
  <c r="U13" i="2"/>
  <c r="AD167" i="2"/>
  <c r="X210" i="2"/>
  <c r="AE192" i="2"/>
  <c r="E44" i="2"/>
  <c r="BL190" i="2"/>
  <c r="N6" i="2"/>
  <c r="L64" i="2"/>
  <c r="V168" i="2"/>
  <c r="AP106" i="2"/>
  <c r="K195" i="2"/>
  <c r="AP76" i="2"/>
  <c r="BL161" i="2"/>
  <c r="AG121" i="2"/>
  <c r="AR168" i="2"/>
  <c r="K8" i="2"/>
  <c r="AP196" i="2"/>
  <c r="AN7" i="2"/>
  <c r="D49" i="2"/>
  <c r="AH162" i="2"/>
  <c r="AN123" i="2"/>
  <c r="AQ130" i="2"/>
  <c r="BB106" i="2"/>
  <c r="K181" i="2"/>
  <c r="BV162" i="2"/>
  <c r="BJ101" i="2"/>
  <c r="AQ214" i="2"/>
  <c r="BL129" i="2"/>
  <c r="AF182" i="2"/>
  <c r="BT67" i="2"/>
  <c r="AN155" i="2"/>
  <c r="BJ122" i="2"/>
  <c r="AZ29" i="2"/>
  <c r="O189" i="2"/>
  <c r="AH148" i="2"/>
  <c r="L187" i="2"/>
  <c r="BK169" i="2"/>
  <c r="BS224" i="2"/>
  <c r="AR188" i="2"/>
  <c r="AQ12" i="2"/>
  <c r="AR132" i="2"/>
  <c r="L74" i="2"/>
  <c r="AD196" i="2"/>
  <c r="K227" i="2"/>
  <c r="BK125" i="2"/>
  <c r="O184" i="2"/>
  <c r="BJ91" i="2"/>
  <c r="BA109" i="2"/>
  <c r="BH177" i="2"/>
  <c r="BV190" i="2"/>
  <c r="BK194" i="2"/>
  <c r="C27" i="2"/>
  <c r="AP33" i="2"/>
  <c r="BL204" i="2"/>
  <c r="AY34" i="2"/>
  <c r="AX74" i="2"/>
  <c r="BB159" i="2"/>
  <c r="AN18" i="2"/>
  <c r="AX145" i="2"/>
  <c r="AX223" i="2"/>
  <c r="AZ173" i="2"/>
  <c r="BL21" i="2"/>
  <c r="K196" i="2"/>
  <c r="BU218" i="2"/>
  <c r="AX29" i="2"/>
  <c r="BA73" i="2"/>
  <c r="AP125" i="2"/>
  <c r="X10" i="2"/>
  <c r="E172" i="2"/>
  <c r="AQ177" i="2"/>
  <c r="BH53" i="2"/>
  <c r="BL89" i="2"/>
  <c r="B192" i="2"/>
  <c r="AF203" i="2"/>
  <c r="BA69" i="2"/>
  <c r="BH193" i="2"/>
  <c r="AF31" i="2"/>
  <c r="K97" i="2"/>
  <c r="L85" i="2"/>
  <c r="U146" i="2"/>
  <c r="AQ55" i="2"/>
  <c r="BV104" i="2"/>
  <c r="AG49" i="2"/>
  <c r="BJ204" i="2"/>
  <c r="BL223" i="2"/>
  <c r="W186" i="2"/>
  <c r="BR6" i="2"/>
  <c r="BL116" i="2"/>
  <c r="AH115" i="2"/>
  <c r="AP154" i="2"/>
  <c r="BR143" i="2"/>
  <c r="AO223" i="2"/>
  <c r="AX203" i="2"/>
  <c r="BS8" i="2"/>
  <c r="L95" i="2"/>
  <c r="BU198" i="2"/>
  <c r="M100" i="2"/>
  <c r="AG189" i="2"/>
  <c r="BK113" i="2"/>
  <c r="AR79" i="2"/>
  <c r="Y47" i="2"/>
  <c r="BB152" i="2"/>
  <c r="AX117" i="2"/>
  <c r="BJ76" i="2"/>
  <c r="L102" i="2"/>
  <c r="AQ169" i="2"/>
  <c r="BT114" i="2"/>
  <c r="AD98" i="2"/>
  <c r="M146" i="2"/>
  <c r="BL146" i="2"/>
  <c r="AN203" i="2"/>
  <c r="O79" i="2"/>
  <c r="BJ49" i="2"/>
  <c r="AZ200" i="2"/>
  <c r="BB201" i="2"/>
  <c r="BT14" i="2"/>
  <c r="V25" i="2"/>
  <c r="C41" i="2"/>
  <c r="AG59" i="2"/>
  <c r="AO140" i="2"/>
  <c r="BS144" i="2"/>
  <c r="BT122" i="2"/>
  <c r="AX16" i="2"/>
  <c r="AP173" i="2"/>
  <c r="AF169" i="2"/>
  <c r="BT142" i="2"/>
  <c r="AN25" i="2"/>
  <c r="BL113" i="2"/>
  <c r="BT63" i="2"/>
  <c r="BL215" i="2"/>
  <c r="AR68" i="2"/>
  <c r="AZ167" i="2"/>
  <c r="AH12" i="2"/>
  <c r="BB67" i="2"/>
  <c r="AF75" i="2"/>
  <c r="AN78" i="2"/>
  <c r="BL7" i="2"/>
  <c r="N37" i="2"/>
  <c r="O17" i="2"/>
  <c r="BJ26" i="2"/>
  <c r="F73" i="2"/>
  <c r="K38" i="2"/>
  <c r="BK126" i="2"/>
  <c r="BU136" i="2"/>
  <c r="AF20" i="2"/>
  <c r="AG104" i="2"/>
  <c r="BB138" i="2"/>
  <c r="K13" i="2"/>
  <c r="U7" i="2"/>
  <c r="C85" i="2"/>
  <c r="L20" i="2"/>
  <c r="BH23" i="2"/>
  <c r="K224" i="2"/>
  <c r="AH89" i="2"/>
  <c r="BR203" i="2"/>
  <c r="AH139" i="2"/>
  <c r="C82" i="2"/>
  <c r="BB120" i="2"/>
  <c r="M105" i="2"/>
  <c r="K19" i="2"/>
  <c r="AZ37" i="2"/>
  <c r="BA55" i="2"/>
  <c r="N215" i="2"/>
  <c r="BT6" i="2"/>
  <c r="BB104" i="2"/>
  <c r="AE89" i="2"/>
  <c r="BU215" i="2"/>
  <c r="BK147" i="2"/>
  <c r="BJ107" i="2"/>
  <c r="BK170" i="2"/>
  <c r="AX163" i="2"/>
  <c r="AO68" i="2"/>
  <c r="C186" i="2"/>
  <c r="M143" i="2"/>
  <c r="BL194" i="2"/>
  <c r="BA225" i="2"/>
  <c r="BB137" i="2"/>
  <c r="AN77" i="2"/>
  <c r="O126" i="2"/>
  <c r="BA104" i="2"/>
  <c r="BS125" i="2"/>
  <c r="BS50" i="2"/>
  <c r="AY166" i="2"/>
  <c r="BJ220" i="2"/>
  <c r="AZ113" i="2"/>
  <c r="O218" i="2"/>
  <c r="BH109" i="2"/>
  <c r="BH218" i="2"/>
  <c r="U27" i="2"/>
  <c r="AP185" i="2"/>
  <c r="BB101" i="2"/>
  <c r="O39" i="2"/>
  <c r="AG109" i="2"/>
  <c r="BV49" i="2"/>
  <c r="BS106" i="2"/>
  <c r="BR177" i="2"/>
  <c r="N95" i="2"/>
  <c r="L152" i="2"/>
  <c r="M116" i="2"/>
  <c r="AP216" i="2"/>
  <c r="O106" i="2"/>
  <c r="L97" i="2"/>
  <c r="F196" i="2"/>
  <c r="AH22" i="2"/>
  <c r="E142" i="2"/>
  <c r="BL100" i="2"/>
  <c r="D67" i="2"/>
  <c r="BH121" i="2"/>
  <c r="AO149" i="2"/>
  <c r="BL59" i="2"/>
  <c r="AY26" i="2"/>
  <c r="AY122" i="2"/>
  <c r="K133" i="2"/>
  <c r="L127" i="2"/>
  <c r="V101" i="2"/>
  <c r="K54" i="2"/>
  <c r="BR9" i="2"/>
  <c r="BA87" i="2"/>
  <c r="BJ83" i="2"/>
  <c r="F221" i="2"/>
  <c r="AO22" i="2"/>
  <c r="D195" i="2"/>
  <c r="BB188" i="2"/>
  <c r="AQ105" i="2"/>
  <c r="N144" i="2"/>
  <c r="C124" i="2"/>
  <c r="BK161" i="2"/>
  <c r="BA121" i="2"/>
  <c r="F101" i="2"/>
  <c r="F63" i="2"/>
  <c r="O37" i="2"/>
  <c r="D194" i="2"/>
  <c r="C40" i="2"/>
  <c r="E134" i="2"/>
  <c r="N143" i="2"/>
  <c r="E10" i="2"/>
  <c r="C105" i="2"/>
  <c r="O207" i="2"/>
  <c r="K169" i="2"/>
  <c r="AX53" i="2"/>
  <c r="BH58" i="2"/>
  <c r="BU63" i="2"/>
  <c r="O66" i="2"/>
  <c r="AQ145" i="2"/>
  <c r="AZ148" i="2"/>
  <c r="M45" i="2"/>
  <c r="O156" i="2"/>
  <c r="BH123" i="2"/>
  <c r="AP226" i="2"/>
  <c r="BU3" i="2"/>
  <c r="AO190" i="2"/>
  <c r="BU82" i="2"/>
  <c r="AO118" i="2"/>
  <c r="D178" i="2"/>
  <c r="AX205" i="2"/>
  <c r="BJ168" i="2"/>
  <c r="BR93" i="2"/>
  <c r="BR36" i="2"/>
  <c r="BL200" i="2"/>
  <c r="BR49" i="2"/>
  <c r="BJ106" i="2"/>
  <c r="BH132" i="2"/>
  <c r="BA57" i="2"/>
  <c r="BU151" i="2"/>
  <c r="BB213" i="2"/>
  <c r="AR62" i="2"/>
  <c r="N42" i="2"/>
  <c r="W158" i="2"/>
  <c r="AN38" i="2"/>
  <c r="BH117" i="2"/>
  <c r="F29" i="2"/>
  <c r="B177" i="2"/>
  <c r="V219" i="2"/>
  <c r="AP158" i="2"/>
  <c r="AZ102" i="2"/>
  <c r="AX160" i="2"/>
  <c r="BS132" i="2"/>
  <c r="BT198" i="2"/>
  <c r="AZ54" i="2"/>
  <c r="AQ58" i="2"/>
  <c r="BK180" i="2"/>
  <c r="AR202" i="2"/>
  <c r="BK55" i="2"/>
  <c r="BH67" i="2"/>
  <c r="AE112" i="2"/>
  <c r="W40" i="2"/>
  <c r="AP206" i="2"/>
  <c r="BH145" i="2"/>
  <c r="BB99" i="2"/>
  <c r="AR216" i="2"/>
  <c r="AF85" i="2"/>
  <c r="BL5" i="2"/>
  <c r="O92" i="2"/>
  <c r="BU32" i="2"/>
  <c r="BB71" i="2"/>
  <c r="AD65" i="2"/>
  <c r="V158" i="2"/>
  <c r="AO14" i="2"/>
  <c r="BL164" i="2"/>
  <c r="AX40" i="2"/>
  <c r="BJ12" i="2"/>
  <c r="AX88" i="2"/>
  <c r="BI217" i="2"/>
  <c r="AY157" i="2"/>
  <c r="BH120" i="2"/>
  <c r="AH138" i="2"/>
  <c r="AE207" i="2"/>
  <c r="C76" i="2"/>
  <c r="BU118" i="2"/>
  <c r="BK85" i="2"/>
  <c r="N222" i="2"/>
  <c r="BT162" i="2"/>
  <c r="N148" i="2"/>
  <c r="AF80" i="2"/>
  <c r="AQ88" i="2"/>
  <c r="AE93" i="2"/>
  <c r="AO63" i="2"/>
  <c r="BJ223" i="2"/>
  <c r="AR153" i="2"/>
  <c r="BA207" i="2"/>
  <c r="BB92" i="2"/>
  <c r="V6" i="2"/>
  <c r="L169" i="2"/>
  <c r="AF167" i="2"/>
  <c r="O191" i="2"/>
  <c r="F91" i="2"/>
  <c r="AQ225" i="2"/>
  <c r="BB218" i="2"/>
  <c r="BT53" i="2"/>
  <c r="BB194" i="2"/>
  <c r="BA29" i="2"/>
  <c r="AR75" i="2"/>
  <c r="AX10" i="2"/>
  <c r="C70" i="2"/>
  <c r="BT50" i="2"/>
  <c r="M165" i="2"/>
  <c r="N4" i="2"/>
  <c r="AO75" i="2"/>
  <c r="AY204" i="2"/>
  <c r="AP162" i="2"/>
  <c r="AH44" i="2"/>
  <c r="N63" i="2"/>
  <c r="N129" i="2"/>
  <c r="Y111" i="2"/>
  <c r="AH199" i="2"/>
  <c r="BJ127" i="2"/>
  <c r="E66" i="2"/>
  <c r="BR86" i="2"/>
  <c r="BR96" i="2"/>
  <c r="AZ130" i="2"/>
  <c r="AR104" i="2"/>
  <c r="N87" i="2"/>
  <c r="W92" i="2"/>
  <c r="AO166" i="2"/>
  <c r="K81" i="2"/>
  <c r="AP61" i="2"/>
  <c r="BL42" i="2"/>
  <c r="AY129" i="2"/>
  <c r="AQ226" i="2"/>
  <c r="BK61" i="2"/>
  <c r="AF199" i="2"/>
  <c r="AX217" i="2"/>
  <c r="AG192" i="2"/>
  <c r="X223" i="2"/>
  <c r="AE129" i="2"/>
  <c r="BR103" i="2"/>
  <c r="BV41" i="2"/>
  <c r="AP47" i="2"/>
  <c r="AR117" i="2"/>
  <c r="BB34" i="2"/>
  <c r="BA219" i="2"/>
  <c r="W134" i="2"/>
  <c r="U144" i="2"/>
  <c r="BB9" i="2"/>
  <c r="U36" i="2"/>
  <c r="O199" i="2"/>
  <c r="BI146" i="2"/>
  <c r="AF23" i="2"/>
  <c r="BK60" i="2"/>
  <c r="BS47" i="2"/>
  <c r="X69" i="2"/>
  <c r="E175" i="2"/>
  <c r="W153" i="2"/>
  <c r="AF215" i="2"/>
  <c r="AG216" i="2"/>
  <c r="BU121" i="2"/>
  <c r="M210" i="2"/>
  <c r="Y144" i="2"/>
  <c r="AP41" i="2"/>
  <c r="BS163" i="2"/>
  <c r="AN190" i="2"/>
  <c r="BI42" i="2"/>
  <c r="AN148" i="2"/>
  <c r="BK65" i="2"/>
  <c r="X86" i="2"/>
  <c r="BS110" i="2"/>
  <c r="L54" i="2"/>
  <c r="AF174" i="2"/>
  <c r="BK66" i="2"/>
  <c r="BH43" i="2"/>
  <c r="AZ145" i="2"/>
  <c r="AE149" i="2"/>
  <c r="BS150" i="2"/>
  <c r="BB51" i="2"/>
  <c r="AH147" i="2"/>
  <c r="BL16" i="2"/>
  <c r="BL65" i="2"/>
  <c r="AD162" i="2"/>
  <c r="BA135" i="2"/>
  <c r="BL64" i="2"/>
  <c r="AY106" i="2"/>
  <c r="BJ23" i="2"/>
  <c r="BU105" i="2"/>
  <c r="AR47" i="2"/>
  <c r="O113" i="2"/>
  <c r="Y80" i="2"/>
  <c r="BR84" i="2"/>
  <c r="AG34" i="2"/>
  <c r="BI77" i="2"/>
  <c r="BU85" i="2"/>
  <c r="BH77" i="2"/>
  <c r="BT153" i="2"/>
  <c r="AZ21" i="2"/>
  <c r="AD140" i="2"/>
  <c r="BJ37" i="2"/>
  <c r="U95" i="2"/>
  <c r="BB140" i="2"/>
  <c r="AQ62" i="2"/>
  <c r="AX134" i="2"/>
  <c r="AO153" i="2"/>
  <c r="AN81" i="2"/>
  <c r="B154" i="2"/>
  <c r="BV158" i="2"/>
  <c r="AY155" i="2"/>
  <c r="BA80" i="2"/>
  <c r="BA204" i="2"/>
  <c r="AD82" i="2"/>
  <c r="BK186" i="2"/>
  <c r="N188" i="2"/>
  <c r="BJ54" i="2"/>
  <c r="AR67" i="2"/>
  <c r="M68" i="2"/>
  <c r="BJ30" i="2"/>
  <c r="F156" i="2"/>
  <c r="AP157" i="2"/>
  <c r="X56" i="2"/>
  <c r="BB193" i="2"/>
  <c r="AQ120" i="2"/>
  <c r="AX83" i="2"/>
  <c r="BH63" i="2"/>
  <c r="AX95" i="2"/>
  <c r="M183" i="2"/>
  <c r="M222" i="2"/>
  <c r="X178" i="2"/>
  <c r="L219" i="2"/>
  <c r="AE145" i="2"/>
  <c r="AQ80" i="2"/>
  <c r="BS87" i="2"/>
  <c r="AZ214" i="2"/>
  <c r="AF228" i="2"/>
  <c r="AG8" i="2"/>
  <c r="BU112" i="2"/>
  <c r="BT155" i="2"/>
  <c r="BL163" i="2"/>
  <c r="AZ132" i="2"/>
  <c r="BA89" i="2"/>
  <c r="AZ95" i="2"/>
  <c r="BU81" i="2"/>
  <c r="N108" i="2"/>
  <c r="O215" i="2"/>
  <c r="AG150" i="2"/>
  <c r="E28" i="2"/>
  <c r="AD190" i="2"/>
  <c r="W174" i="2"/>
  <c r="AZ60" i="2"/>
  <c r="BH70" i="2"/>
  <c r="BK146" i="2"/>
  <c r="Y203" i="2"/>
  <c r="BH97" i="2"/>
  <c r="BA50" i="2"/>
  <c r="BV32" i="2"/>
  <c r="E48" i="2"/>
  <c r="BH9" i="2"/>
  <c r="N53" i="2"/>
  <c r="AR226" i="2"/>
  <c r="BI133" i="2"/>
  <c r="BB16" i="2"/>
  <c r="BL110" i="2"/>
  <c r="BT88" i="2"/>
  <c r="BS209" i="2"/>
  <c r="AP207" i="2"/>
  <c r="AG165" i="2"/>
  <c r="AP184" i="2"/>
  <c r="BT165" i="2"/>
  <c r="BJ115" i="2"/>
  <c r="BK117" i="2"/>
  <c r="C126" i="2"/>
  <c r="AP84" i="2"/>
  <c r="AX196" i="2"/>
  <c r="BV185" i="2"/>
  <c r="BT201" i="2"/>
  <c r="BA116" i="2"/>
  <c r="O104" i="2"/>
  <c r="AX172" i="2"/>
  <c r="AP11" i="2"/>
  <c r="AR27" i="2"/>
  <c r="L17" i="2"/>
  <c r="E102" i="2"/>
  <c r="AQ220" i="2"/>
  <c r="D143" i="2"/>
  <c r="AZ88" i="2"/>
  <c r="N138" i="2"/>
  <c r="BU72" i="2"/>
  <c r="AF150" i="2"/>
  <c r="BL32" i="2"/>
  <c r="BA16" i="2"/>
  <c r="AZ188" i="2"/>
  <c r="AG124" i="2"/>
  <c r="W33" i="2"/>
  <c r="AR94" i="2"/>
  <c r="N181" i="2"/>
  <c r="BK103" i="2"/>
  <c r="F52" i="2"/>
  <c r="L197" i="2"/>
  <c r="AX54" i="2"/>
  <c r="F34" i="2"/>
  <c r="N150" i="2"/>
  <c r="K144" i="2"/>
  <c r="L6" i="2"/>
  <c r="AZ197" i="2"/>
  <c r="N68" i="2"/>
  <c r="D128" i="2"/>
  <c r="U165" i="2"/>
  <c r="AO119" i="2"/>
  <c r="BA190" i="2"/>
  <c r="BT52" i="2"/>
  <c r="V117" i="2"/>
  <c r="AX167" i="2"/>
  <c r="AD197" i="2"/>
  <c r="AO152" i="2"/>
  <c r="BL128" i="2"/>
  <c r="BR129" i="2"/>
  <c r="BA127" i="2"/>
  <c r="BA28" i="2"/>
  <c r="BB203" i="2"/>
  <c r="AG35" i="2"/>
  <c r="AE217" i="2"/>
  <c r="Y200" i="2"/>
  <c r="AQ229" i="2"/>
  <c r="V66" i="2"/>
  <c r="AZ111" i="2"/>
  <c r="L80" i="2"/>
  <c r="BV47" i="2"/>
  <c r="AG225" i="2"/>
  <c r="AY217" i="2"/>
  <c r="BL18" i="2"/>
  <c r="BV93" i="2"/>
  <c r="AG147" i="2"/>
  <c r="BH21" i="2"/>
  <c r="AP88" i="2"/>
  <c r="BL212" i="2"/>
  <c r="AD92" i="2"/>
  <c r="O112" i="2"/>
  <c r="BA147" i="2"/>
  <c r="BI229" i="2"/>
  <c r="AZ198" i="2"/>
  <c r="BR100" i="2"/>
  <c r="BK49" i="2"/>
  <c r="BH136" i="2"/>
  <c r="BS117" i="2"/>
  <c r="BH161" i="2"/>
  <c r="BT35" i="2"/>
  <c r="AP24" i="2"/>
  <c r="BU94" i="2"/>
  <c r="AQ207" i="2"/>
  <c r="W154" i="2"/>
  <c r="N175" i="2"/>
  <c r="C47" i="2"/>
  <c r="BI10" i="2"/>
  <c r="BI28" i="2"/>
  <c r="BL40" i="2"/>
  <c r="AR39" i="2"/>
  <c r="BU189" i="2"/>
  <c r="BV127" i="2"/>
  <c r="AQ171" i="2"/>
  <c r="BT107" i="2"/>
  <c r="AZ12" i="2"/>
  <c r="BT126" i="2"/>
  <c r="F93" i="2"/>
  <c r="BR25" i="2"/>
  <c r="AR40" i="2"/>
  <c r="X47" i="2"/>
  <c r="BL166" i="2"/>
  <c r="AP86" i="2"/>
  <c r="N23" i="2"/>
  <c r="BT134" i="2"/>
  <c r="AP218" i="2"/>
  <c r="AD76" i="2"/>
  <c r="AZ154" i="2"/>
  <c r="BS138" i="2"/>
  <c r="AQ128" i="2"/>
  <c r="M114" i="2"/>
  <c r="K126" i="2"/>
  <c r="M151" i="2"/>
  <c r="AN87" i="2"/>
  <c r="BI55" i="2"/>
  <c r="AO227" i="2"/>
  <c r="BU141" i="2"/>
  <c r="AD111" i="2"/>
  <c r="BL48" i="2"/>
  <c r="AR120" i="2"/>
  <c r="AZ50" i="2"/>
  <c r="AP223" i="2"/>
  <c r="BH82" i="2"/>
  <c r="AQ193" i="2"/>
  <c r="BH94" i="2"/>
  <c r="AP40" i="2"/>
  <c r="AX116" i="2"/>
  <c r="AH204" i="2"/>
  <c r="E68" i="2"/>
  <c r="X198" i="2"/>
  <c r="AF159" i="2"/>
  <c r="AP229" i="2"/>
  <c r="BS168" i="2"/>
  <c r="AF39" i="2"/>
  <c r="AQ186" i="2"/>
  <c r="L81" i="2"/>
  <c r="F36" i="2"/>
  <c r="V69" i="2"/>
  <c r="AN24" i="2"/>
  <c r="D100" i="2"/>
  <c r="BB173" i="2"/>
  <c r="AR122" i="2"/>
  <c r="BR27" i="2"/>
  <c r="AR89" i="2"/>
  <c r="BB70" i="2"/>
  <c r="BR17" i="2"/>
  <c r="X81" i="2"/>
  <c r="BV92" i="2"/>
  <c r="BV64" i="2"/>
  <c r="X98" i="2"/>
  <c r="AN133" i="2"/>
  <c r="AG179" i="2"/>
  <c r="BS68" i="2"/>
  <c r="AO202" i="2"/>
  <c r="BL216" i="2"/>
  <c r="AF44" i="2"/>
  <c r="AF105" i="2"/>
  <c r="O35" i="2"/>
  <c r="BU48" i="2"/>
  <c r="AF200" i="2"/>
  <c r="BS39" i="2"/>
  <c r="BL46" i="2"/>
  <c r="AY48" i="2"/>
  <c r="AG176" i="2"/>
  <c r="AE24" i="2"/>
  <c r="BV124" i="2"/>
  <c r="Y117" i="2"/>
  <c r="N28" i="2"/>
  <c r="BH189" i="2"/>
  <c r="BU208" i="2"/>
  <c r="U38" i="2"/>
  <c r="N54" i="2"/>
  <c r="BR192" i="2"/>
  <c r="W166" i="2"/>
  <c r="AN120" i="2"/>
  <c r="U128" i="2"/>
  <c r="AX206" i="2"/>
  <c r="AR151" i="2"/>
  <c r="BB186" i="2"/>
  <c r="BA189" i="2"/>
  <c r="AY56" i="2"/>
  <c r="O5" i="2"/>
  <c r="L21" i="2"/>
  <c r="BA4" i="2"/>
  <c r="BL115" i="2"/>
  <c r="W219" i="2"/>
  <c r="Y61" i="2"/>
  <c r="Y109" i="2"/>
  <c r="K189" i="2"/>
  <c r="U173" i="2"/>
  <c r="U76" i="2"/>
  <c r="BB112" i="2"/>
  <c r="BJ43" i="2"/>
  <c r="AY150" i="2"/>
  <c r="AQ78" i="2"/>
  <c r="BB183" i="2"/>
  <c r="BS61" i="2"/>
  <c r="BV156" i="2"/>
  <c r="N99" i="2"/>
  <c r="BA206" i="2"/>
  <c r="AG69" i="2"/>
  <c r="AZ216" i="2"/>
  <c r="AQ95" i="2"/>
  <c r="L58" i="2"/>
  <c r="K205" i="2"/>
  <c r="BR94" i="2"/>
  <c r="N78" i="2"/>
  <c r="L15" i="2"/>
  <c r="AZ61" i="2"/>
  <c r="AF12" i="2"/>
  <c r="AN166" i="2"/>
  <c r="AN42" i="2"/>
  <c r="BH103" i="2"/>
  <c r="BK153" i="2"/>
  <c r="AE62" i="2"/>
  <c r="BH194" i="2"/>
  <c r="BS188" i="2"/>
  <c r="V167" i="2"/>
  <c r="AY71" i="2"/>
  <c r="AE37" i="2"/>
  <c r="BT141" i="2"/>
  <c r="L63" i="2"/>
  <c r="AP143" i="2"/>
  <c r="BH56" i="2"/>
  <c r="AN121" i="2"/>
  <c r="BB5" i="2"/>
  <c r="BK98" i="2"/>
  <c r="BR197" i="2"/>
  <c r="L115" i="2"/>
  <c r="AG62" i="2"/>
  <c r="AH173" i="2"/>
  <c r="AO47" i="2"/>
  <c r="AR184" i="2"/>
  <c r="BR148" i="2"/>
  <c r="AY76" i="2"/>
  <c r="AO9" i="2"/>
  <c r="BB95" i="2"/>
  <c r="AN198" i="2"/>
  <c r="M57" i="2"/>
  <c r="BL119" i="2"/>
  <c r="BV63" i="2"/>
  <c r="AZ4" i="2"/>
  <c r="BK50" i="2"/>
  <c r="AG90" i="2"/>
  <c r="BB62" i="2"/>
  <c r="C43" i="2"/>
  <c r="AO101" i="2"/>
  <c r="AZ11" i="2"/>
  <c r="C25" i="2"/>
  <c r="BK97" i="2"/>
  <c r="AY93" i="2"/>
  <c r="AD13" i="2"/>
  <c r="AY139" i="2"/>
  <c r="BH215" i="2"/>
  <c r="AO67" i="2"/>
  <c r="AR32" i="2"/>
  <c r="AQ158" i="2"/>
  <c r="BJ143" i="2"/>
  <c r="BK80" i="2"/>
  <c r="AX96" i="2"/>
  <c r="BT214" i="2"/>
  <c r="BV11" i="2"/>
  <c r="BJ77" i="2"/>
  <c r="BS74" i="2"/>
  <c r="BB145" i="2"/>
  <c r="BL185" i="2"/>
  <c r="AF187" i="2"/>
  <c r="BA161" i="2"/>
  <c r="M119" i="2"/>
  <c r="BT42" i="2"/>
  <c r="AN158" i="2"/>
  <c r="D16" i="2"/>
  <c r="AE18" i="2"/>
  <c r="BH42" i="2"/>
  <c r="AQ124" i="2"/>
  <c r="AF42" i="2"/>
  <c r="BR122" i="2"/>
  <c r="AG213" i="2"/>
  <c r="O161" i="2"/>
  <c r="AR163" i="2"/>
  <c r="L76" i="2"/>
  <c r="AQ16" i="2"/>
  <c r="E131" i="2"/>
  <c r="K51" i="2"/>
  <c r="BB190" i="2"/>
  <c r="AZ199" i="2"/>
  <c r="AG106" i="2"/>
  <c r="C133" i="2"/>
  <c r="BJ79" i="2"/>
  <c r="BJ40" i="2"/>
  <c r="AQ27" i="2"/>
  <c r="D226" i="2"/>
  <c r="AH213" i="2"/>
  <c r="L123" i="2"/>
  <c r="F164" i="2"/>
  <c r="BK93" i="2"/>
  <c r="BJ157" i="2"/>
  <c r="K25" i="2"/>
  <c r="AH127" i="2"/>
  <c r="AO37" i="2"/>
  <c r="BH227" i="2"/>
  <c r="AN74" i="2"/>
  <c r="AP51" i="2"/>
  <c r="AE120" i="2"/>
  <c r="O187" i="2"/>
  <c r="BV173" i="2"/>
  <c r="AF86" i="2"/>
  <c r="BV18" i="2"/>
  <c r="BJ144" i="2"/>
  <c r="BV6" i="2"/>
  <c r="BI18" i="2"/>
  <c r="AQ228" i="2"/>
  <c r="BV84" i="2"/>
  <c r="U106" i="2"/>
  <c r="BB79" i="2"/>
  <c r="AY49" i="2"/>
  <c r="AN171" i="2"/>
  <c r="K148" i="2"/>
  <c r="AY177" i="2"/>
  <c r="BB90" i="2"/>
  <c r="BL206" i="2"/>
  <c r="AY229" i="2"/>
  <c r="E83" i="2"/>
  <c r="C86" i="2"/>
  <c r="AE13" i="2"/>
  <c r="BI16" i="2"/>
  <c r="AR158" i="2"/>
  <c r="AF198" i="2"/>
  <c r="L66" i="2"/>
  <c r="BU4" i="2"/>
  <c r="K37" i="2"/>
  <c r="AP36" i="2"/>
  <c r="O180" i="2"/>
  <c r="M197" i="2"/>
  <c r="AY112" i="2"/>
  <c r="AR63" i="2"/>
  <c r="AZ207" i="2"/>
  <c r="F229" i="2"/>
  <c r="X13" i="2"/>
  <c r="AY75" i="2"/>
  <c r="V96" i="2"/>
  <c r="AZ128" i="2"/>
  <c r="AQ41" i="2"/>
  <c r="BV130" i="2"/>
  <c r="BI62" i="2"/>
  <c r="BR31" i="2"/>
  <c r="BB119" i="2"/>
  <c r="U103" i="2"/>
  <c r="N218" i="2"/>
  <c r="N106" i="2"/>
  <c r="AR30" i="2"/>
  <c r="M131" i="2"/>
  <c r="K41" i="2"/>
  <c r="BR215" i="2"/>
  <c r="F224" i="2"/>
  <c r="BA112" i="2"/>
  <c r="AG170" i="2"/>
  <c r="AP225" i="2"/>
  <c r="AN44" i="2"/>
  <c r="AF4" i="2"/>
  <c r="BR126" i="2"/>
  <c r="AO198" i="2"/>
  <c r="BA19" i="2"/>
  <c r="BK26" i="2"/>
  <c r="K89" i="2"/>
  <c r="BV163" i="2"/>
  <c r="BH115" i="2"/>
  <c r="AO185" i="2"/>
  <c r="BB97" i="2"/>
  <c r="BI63" i="2"/>
  <c r="BV209" i="2"/>
  <c r="L8" i="2"/>
  <c r="AY226" i="2"/>
  <c r="AR119" i="2"/>
  <c r="AR129" i="2"/>
  <c r="AP69" i="2"/>
  <c r="AP160" i="2"/>
  <c r="B110" i="2"/>
  <c r="N118" i="2"/>
  <c r="AP85" i="2"/>
  <c r="AR149" i="2"/>
  <c r="AN152" i="2"/>
  <c r="F159" i="2"/>
  <c r="Y189" i="2"/>
  <c r="BH159" i="2"/>
  <c r="BV198" i="2"/>
  <c r="BJ104" i="2"/>
  <c r="BK207" i="2"/>
  <c r="B26" i="2"/>
  <c r="F176" i="2"/>
  <c r="BK105" i="2"/>
  <c r="X217" i="2"/>
  <c r="E8" i="2"/>
  <c r="AZ98" i="2"/>
  <c r="M206" i="2"/>
  <c r="BR212" i="2"/>
  <c r="N27" i="2"/>
  <c r="L214" i="2"/>
  <c r="AN135" i="2"/>
  <c r="X11" i="2"/>
  <c r="F118" i="2"/>
  <c r="O11" i="2"/>
  <c r="BB29" i="2"/>
  <c r="BL221" i="2"/>
  <c r="N75" i="2"/>
  <c r="BL198" i="2"/>
  <c r="D224" i="2"/>
  <c r="AG128" i="2"/>
  <c r="X99" i="2"/>
  <c r="BA17" i="2"/>
  <c r="BT212" i="2"/>
  <c r="AY4" i="2"/>
  <c r="C138" i="2"/>
  <c r="L72" i="2"/>
  <c r="AY189" i="2"/>
  <c r="L105" i="2"/>
  <c r="AP183" i="2"/>
  <c r="AO217" i="2"/>
  <c r="BU117" i="2"/>
  <c r="AQ141" i="2"/>
  <c r="BJ198" i="2"/>
  <c r="AR134" i="2"/>
  <c r="E20" i="2"/>
  <c r="U64" i="2"/>
  <c r="BV112" i="2"/>
  <c r="BA181" i="2"/>
  <c r="K136" i="2"/>
  <c r="AP46" i="2"/>
  <c r="M80" i="2"/>
  <c r="C144" i="2"/>
  <c r="AQ196" i="2"/>
  <c r="BS119" i="2"/>
  <c r="E43" i="2"/>
  <c r="B22" i="2"/>
  <c r="M130" i="2"/>
  <c r="BT74" i="2"/>
  <c r="B98" i="2"/>
  <c r="AO12" i="2"/>
  <c r="BK62" i="2"/>
  <c r="V187" i="2"/>
  <c r="N86" i="2"/>
  <c r="BA74" i="2"/>
  <c r="L196" i="2"/>
  <c r="AF3" i="2"/>
  <c r="AN70" i="2"/>
  <c r="K194" i="2"/>
  <c r="L77" i="2"/>
  <c r="F174" i="2"/>
  <c r="M118" i="2"/>
  <c r="AP163" i="2"/>
  <c r="B17" i="2"/>
  <c r="BK28" i="2"/>
  <c r="BA95" i="2"/>
  <c r="AY202" i="2"/>
  <c r="O86" i="2"/>
  <c r="BU169" i="2"/>
  <c r="O167" i="2"/>
  <c r="BA154" i="2"/>
  <c r="AQ54" i="2"/>
  <c r="M47" i="2"/>
  <c r="AN215" i="2"/>
  <c r="B7" i="2"/>
  <c r="BB57" i="2"/>
  <c r="L44" i="2"/>
  <c r="B19" i="2"/>
  <c r="E143" i="2"/>
  <c r="BT204" i="2"/>
  <c r="AE125" i="2"/>
  <c r="U199" i="2"/>
  <c r="M24" i="2"/>
  <c r="N74" i="2"/>
  <c r="BV208" i="2"/>
  <c r="AD156" i="2"/>
  <c r="BR80" i="2"/>
  <c r="BL98" i="2"/>
  <c r="BI210" i="2"/>
  <c r="U130" i="2"/>
  <c r="AR215" i="2"/>
  <c r="AX224" i="2"/>
  <c r="L200" i="2"/>
  <c r="BS18" i="2"/>
  <c r="BB148" i="2"/>
  <c r="K88" i="2"/>
  <c r="AZ205" i="2"/>
  <c r="E38" i="2"/>
  <c r="BJ90" i="2"/>
  <c r="O102" i="2"/>
  <c r="AZ65" i="2"/>
  <c r="BL94" i="2"/>
  <c r="BK57" i="2"/>
  <c r="AY43" i="2"/>
  <c r="BT209" i="2"/>
  <c r="E148" i="2"/>
  <c r="BA32" i="2"/>
  <c r="AN195" i="2"/>
  <c r="AX13" i="2"/>
  <c r="AY216" i="2"/>
  <c r="AX201" i="2"/>
  <c r="AY181" i="2"/>
  <c r="AY123" i="2"/>
  <c r="BI9" i="2"/>
  <c r="AH30" i="2"/>
  <c r="BJ86" i="2"/>
  <c r="AZ9" i="2"/>
  <c r="AR181" i="2"/>
  <c r="AR102" i="2"/>
  <c r="BU182" i="2"/>
  <c r="BH134" i="2"/>
  <c r="AY164" i="2"/>
  <c r="E49" i="2"/>
  <c r="B52" i="2"/>
  <c r="BI64" i="2"/>
  <c r="AD160" i="2"/>
  <c r="BJ133" i="2"/>
  <c r="AO178" i="2"/>
  <c r="N229" i="2"/>
  <c r="AX56" i="2"/>
  <c r="BK12" i="2"/>
  <c r="BU220" i="2"/>
  <c r="AY178" i="2"/>
  <c r="BB153" i="2"/>
  <c r="BT22" i="2"/>
  <c r="O41" i="2"/>
  <c r="AP35" i="2"/>
  <c r="AQ117" i="2"/>
  <c r="AY104" i="2"/>
  <c r="K28" i="2"/>
  <c r="BR52" i="2"/>
  <c r="BT175" i="2"/>
  <c r="N119" i="2"/>
  <c r="E22" i="2"/>
  <c r="AN105" i="2"/>
  <c r="AO182" i="2"/>
  <c r="AZ44" i="2"/>
  <c r="B36" i="2"/>
  <c r="BI59" i="2"/>
  <c r="Y132" i="2"/>
  <c r="AD99" i="2"/>
  <c r="N137" i="2"/>
  <c r="AY118" i="2"/>
  <c r="AN193" i="2"/>
  <c r="AD116" i="2"/>
  <c r="BJ110" i="2"/>
  <c r="AR26" i="2"/>
  <c r="AP53" i="2"/>
  <c r="BR32" i="2"/>
  <c r="N13" i="2"/>
  <c r="BB208" i="2"/>
  <c r="O91" i="2"/>
  <c r="B111" i="2"/>
  <c r="AO133" i="2"/>
  <c r="BT4" i="2"/>
  <c r="AR150" i="2"/>
  <c r="L14" i="2"/>
  <c r="K18" i="2"/>
  <c r="BA138" i="2"/>
  <c r="F27" i="2"/>
  <c r="AR10" i="2"/>
  <c r="N203" i="2"/>
  <c r="B210" i="2"/>
  <c r="AR35" i="2"/>
  <c r="AR37" i="2"/>
  <c r="K141" i="2"/>
  <c r="D227" i="2"/>
  <c r="B224" i="2"/>
  <c r="BB147" i="2"/>
  <c r="AO206" i="2"/>
  <c r="BI153" i="2"/>
  <c r="BS29" i="2"/>
  <c r="BU80" i="2"/>
  <c r="M62" i="2"/>
  <c r="BA77" i="2"/>
  <c r="E29" i="2"/>
  <c r="AZ123" i="2"/>
  <c r="AY105" i="2"/>
  <c r="AR224" i="2"/>
  <c r="AO211" i="2"/>
  <c r="AQ31" i="2"/>
  <c r="AO89" i="2"/>
  <c r="AD172" i="2"/>
  <c r="BH190" i="2"/>
  <c r="AR101" i="2"/>
  <c r="K113" i="2"/>
  <c r="BR102" i="2"/>
  <c r="M33" i="2"/>
  <c r="B134" i="2"/>
  <c r="D33" i="2"/>
  <c r="D14" i="2"/>
  <c r="C212" i="2"/>
  <c r="X138" i="2"/>
  <c r="AQ19" i="2"/>
  <c r="F102" i="2"/>
  <c r="L36" i="2"/>
  <c r="M193" i="2"/>
  <c r="AF102" i="2"/>
  <c r="BK34" i="2"/>
  <c r="AN102" i="2"/>
  <c r="Y222" i="2"/>
  <c r="AF117" i="2"/>
  <c r="N107" i="2"/>
  <c r="BK53" i="2"/>
  <c r="BT101" i="2"/>
  <c r="Y204" i="2"/>
  <c r="BH180" i="2"/>
  <c r="BB166" i="2"/>
  <c r="AY160" i="2"/>
  <c r="BS141" i="2"/>
  <c r="K172" i="2"/>
  <c r="AO52" i="2"/>
  <c r="BB102" i="2"/>
  <c r="BS202" i="2"/>
  <c r="BH152" i="2"/>
  <c r="AD141" i="2"/>
  <c r="AN225" i="2"/>
  <c r="AO106" i="2"/>
  <c r="BV67" i="2"/>
  <c r="L198" i="2"/>
  <c r="BV71" i="2"/>
  <c r="L50" i="2"/>
  <c r="AX63" i="2"/>
  <c r="E191" i="2"/>
  <c r="AF227" i="2"/>
  <c r="AY79" i="2"/>
  <c r="BV205" i="2"/>
  <c r="BA155" i="2"/>
  <c r="AD210" i="2"/>
  <c r="AO121" i="2"/>
  <c r="AR6" i="2"/>
  <c r="L22" i="2"/>
  <c r="O77" i="2"/>
  <c r="BU11" i="2"/>
  <c r="AY85" i="2"/>
  <c r="BR10" i="2"/>
  <c r="AY115" i="2"/>
  <c r="O109" i="2"/>
  <c r="D70" i="2"/>
  <c r="M220" i="2"/>
  <c r="K36" i="2"/>
  <c r="C55" i="2"/>
  <c r="BK25" i="2"/>
  <c r="AN178" i="2"/>
  <c r="AN116" i="2"/>
  <c r="BJ186" i="2"/>
  <c r="AP105" i="2"/>
  <c r="BJ105" i="2"/>
  <c r="BB174" i="2"/>
  <c r="B208" i="2"/>
  <c r="AR144" i="2"/>
  <c r="BR112" i="2"/>
  <c r="AO85" i="2"/>
  <c r="B189" i="2"/>
  <c r="X51" i="2"/>
  <c r="AY6" i="2"/>
  <c r="W90" i="2"/>
  <c r="BL63" i="2"/>
  <c r="W101" i="2"/>
  <c r="E41" i="2"/>
  <c r="O116" i="2"/>
  <c r="E167" i="2"/>
  <c r="F223" i="2"/>
  <c r="F48" i="2"/>
  <c r="BB195" i="2"/>
  <c r="AQ112" i="2"/>
  <c r="BT216" i="2"/>
  <c r="AG200" i="2"/>
  <c r="BI160" i="2"/>
  <c r="M21" i="2"/>
  <c r="K159" i="2"/>
  <c r="BJ139" i="2"/>
  <c r="AO6" i="2"/>
  <c r="D117" i="2"/>
  <c r="L201" i="2"/>
  <c r="AP77" i="2"/>
  <c r="M123" i="2"/>
  <c r="O117" i="2"/>
  <c r="BT59" i="2"/>
  <c r="AP202" i="2"/>
  <c r="AR190" i="2"/>
  <c r="E17" i="2"/>
  <c r="AX64" i="2"/>
  <c r="AQ79" i="2"/>
  <c r="BB88" i="2"/>
  <c r="AN159" i="2"/>
  <c r="AO145" i="2"/>
  <c r="AH185" i="2"/>
  <c r="C227" i="2"/>
  <c r="N7" i="2"/>
  <c r="K213" i="2"/>
  <c r="F24" i="2"/>
  <c r="AZ55" i="2"/>
  <c r="O80" i="2"/>
  <c r="BV204" i="2"/>
  <c r="AQ66" i="2"/>
  <c r="O179" i="2"/>
  <c r="AF95" i="2"/>
  <c r="X6" i="2"/>
  <c r="D214" i="2"/>
  <c r="AQ142" i="2"/>
  <c r="E133" i="2"/>
  <c r="F132" i="2"/>
  <c r="AY86" i="2"/>
  <c r="AX148" i="2"/>
  <c r="N136" i="2"/>
  <c r="AN29" i="2"/>
  <c r="BA6" i="2"/>
  <c r="AR105" i="2"/>
  <c r="BA158" i="2"/>
  <c r="AP153" i="2"/>
  <c r="L223" i="2"/>
  <c r="C189" i="2"/>
  <c r="C16" i="2"/>
  <c r="BJ6" i="2"/>
  <c r="K31" i="2"/>
  <c r="O129" i="2"/>
  <c r="M226" i="2"/>
  <c r="E218" i="2"/>
  <c r="AZ63" i="2"/>
  <c r="BU160" i="2"/>
  <c r="AE20" i="2"/>
  <c r="BS211" i="2"/>
  <c r="BJ210" i="2"/>
  <c r="AX154" i="2"/>
  <c r="W183" i="2"/>
  <c r="AD170" i="2"/>
  <c r="BT73" i="2"/>
  <c r="AZ140" i="2"/>
  <c r="AY88" i="2"/>
  <c r="BT194" i="2"/>
  <c r="AQ139" i="2"/>
  <c r="AD203" i="2"/>
  <c r="N31" i="2"/>
  <c r="O132" i="2"/>
  <c r="AR9" i="2"/>
  <c r="BH182" i="2"/>
  <c r="AN165" i="2"/>
  <c r="L119" i="2"/>
  <c r="AR111" i="2"/>
  <c r="AR173" i="2"/>
  <c r="BH191" i="2"/>
  <c r="BB217" i="2"/>
  <c r="B90" i="2"/>
  <c r="AF89" i="2"/>
  <c r="BJ149" i="2"/>
  <c r="AO105" i="2"/>
  <c r="Y110" i="2"/>
  <c r="AQ129" i="2"/>
  <c r="BI32" i="2"/>
  <c r="AP79" i="2"/>
  <c r="AZ89" i="2"/>
  <c r="N217" i="2"/>
  <c r="BH34" i="2"/>
  <c r="V152" i="2"/>
  <c r="N105" i="2"/>
  <c r="AZ43" i="2"/>
  <c r="BA14" i="2"/>
  <c r="AN147" i="2"/>
  <c r="AZ139" i="2"/>
  <c r="AZ58" i="2"/>
  <c r="AX159" i="2"/>
  <c r="AX152" i="2"/>
  <c r="AR59" i="2"/>
  <c r="AD168" i="2"/>
  <c r="AH106" i="2"/>
  <c r="BI188" i="2"/>
  <c r="BR189" i="2"/>
  <c r="AN192" i="2"/>
  <c r="C149" i="2"/>
  <c r="M85" i="2"/>
  <c r="E78" i="2"/>
  <c r="K173" i="2"/>
  <c r="AP91" i="2"/>
  <c r="B146" i="2"/>
  <c r="L78" i="2"/>
  <c r="BH39" i="2"/>
  <c r="U111" i="2"/>
  <c r="K164" i="2"/>
  <c r="O22" i="2"/>
  <c r="AX210" i="2"/>
  <c r="F187" i="2"/>
  <c r="BK101" i="2"/>
  <c r="BA201" i="2"/>
  <c r="AZ141" i="2"/>
  <c r="AZ174" i="2"/>
  <c r="BB228" i="2"/>
  <c r="N185" i="2"/>
  <c r="C108" i="2"/>
  <c r="AR28" i="2"/>
  <c r="AE45" i="2"/>
  <c r="AD114" i="2"/>
  <c r="BS171" i="2"/>
  <c r="BK155" i="2"/>
  <c r="F142" i="2"/>
  <c r="BB130" i="2"/>
  <c r="AN26" i="2"/>
  <c r="D218" i="2"/>
  <c r="BI148" i="2"/>
  <c r="K163" i="2"/>
  <c r="AR182" i="2"/>
  <c r="BS147" i="2"/>
  <c r="E109" i="2"/>
  <c r="BU130" i="2"/>
  <c r="AX27" i="2"/>
  <c r="BA100" i="2"/>
  <c r="C79" i="2"/>
  <c r="AP123" i="2"/>
  <c r="BT94" i="2"/>
  <c r="N104" i="2"/>
  <c r="E122" i="2"/>
  <c r="O154" i="2"/>
  <c r="AY50" i="2"/>
  <c r="E140" i="2"/>
  <c r="E113" i="2"/>
  <c r="M153" i="2"/>
  <c r="AN174" i="2"/>
  <c r="AE133" i="2"/>
  <c r="E92" i="2"/>
  <c r="BU213" i="2"/>
  <c r="Y77" i="2"/>
  <c r="AX141" i="2"/>
  <c r="AP208" i="2"/>
  <c r="X120" i="2"/>
  <c r="BS104" i="2"/>
  <c r="BK198" i="2"/>
  <c r="AH60" i="2"/>
  <c r="BL84" i="2"/>
  <c r="BT128" i="2"/>
  <c r="L203" i="2"/>
  <c r="M92" i="2"/>
  <c r="V205" i="2"/>
  <c r="O55" i="2"/>
  <c r="BL76" i="2"/>
  <c r="K222" i="2"/>
  <c r="M182" i="2"/>
  <c r="AE199" i="2"/>
  <c r="BJ39" i="2"/>
  <c r="F143" i="2"/>
  <c r="BR128" i="2"/>
  <c r="AP168" i="2"/>
  <c r="BK183" i="2"/>
  <c r="BL189" i="2"/>
  <c r="L110" i="2"/>
  <c r="AZ228" i="2"/>
  <c r="N125" i="2"/>
  <c r="AN114" i="2"/>
  <c r="F57" i="2"/>
  <c r="AG101" i="2"/>
  <c r="U34" i="2"/>
  <c r="B27" i="2"/>
  <c r="B23" i="2"/>
  <c r="AG171" i="2"/>
  <c r="AZ221" i="2"/>
  <c r="BK172" i="2"/>
  <c r="BV140" i="2"/>
  <c r="AG45" i="2"/>
  <c r="AR45" i="2"/>
  <c r="X32" i="2"/>
  <c r="BH114" i="2"/>
  <c r="AD95" i="2"/>
  <c r="F60" i="2"/>
  <c r="O203" i="2"/>
  <c r="AP8" i="2"/>
  <c r="AP205" i="2"/>
  <c r="AQ59" i="2"/>
  <c r="E204" i="2"/>
  <c r="BL14" i="2"/>
  <c r="AQ42" i="2"/>
  <c r="F4" i="2"/>
  <c r="AO74" i="2"/>
  <c r="AG223" i="2"/>
  <c r="AO191" i="2"/>
  <c r="E58" i="2"/>
  <c r="N198" i="2"/>
  <c r="BI131" i="2"/>
  <c r="D36" i="2"/>
  <c r="BI213" i="2"/>
  <c r="BK223" i="2"/>
  <c r="AX191" i="2"/>
  <c r="BL106" i="2"/>
  <c r="AY37" i="2"/>
  <c r="BU96" i="2"/>
  <c r="AR201" i="2"/>
  <c r="L225" i="2"/>
  <c r="AX175" i="2"/>
  <c r="BL54" i="2"/>
  <c r="E71" i="2"/>
  <c r="O110" i="2"/>
  <c r="AY182" i="2"/>
  <c r="BK174" i="2"/>
  <c r="C53" i="2"/>
  <c r="L56" i="2"/>
  <c r="U190" i="2"/>
  <c r="X76" i="2"/>
  <c r="AR13" i="2"/>
  <c r="BK196" i="2"/>
  <c r="N147" i="2"/>
  <c r="BB105" i="2"/>
  <c r="F98" i="2"/>
  <c r="BA11" i="2"/>
  <c r="BU12" i="2"/>
  <c r="AO16" i="2"/>
  <c r="BK114" i="2"/>
  <c r="AP38" i="2"/>
  <c r="K170" i="2"/>
  <c r="BK119" i="2"/>
  <c r="AN32" i="2"/>
  <c r="D98" i="2"/>
  <c r="F87" i="2"/>
  <c r="C122" i="2"/>
  <c r="BH52" i="2"/>
  <c r="F209" i="2"/>
  <c r="AN85" i="2"/>
  <c r="AQ179" i="2"/>
  <c r="B178" i="2"/>
  <c r="AQ101" i="2"/>
  <c r="AN9" i="2"/>
  <c r="AE187" i="2"/>
  <c r="BA47" i="2"/>
  <c r="BR220" i="2"/>
  <c r="BI186" i="2"/>
  <c r="AQ219" i="2"/>
  <c r="M106" i="2"/>
  <c r="AX125" i="2"/>
  <c r="L103" i="2"/>
  <c r="AO17" i="2"/>
  <c r="D137" i="2"/>
  <c r="BV79" i="2"/>
  <c r="M162" i="2"/>
  <c r="AN13" i="2"/>
  <c r="M185" i="2"/>
  <c r="K145" i="2"/>
  <c r="AD181" i="2"/>
  <c r="K156" i="2"/>
  <c r="E183" i="2"/>
  <c r="BK89" i="2"/>
  <c r="O89" i="2"/>
  <c r="K77" i="2"/>
  <c r="F79" i="2"/>
  <c r="BK216" i="2"/>
  <c r="O36" i="2"/>
  <c r="C132" i="2"/>
  <c r="AE113" i="2"/>
  <c r="N100" i="2"/>
  <c r="B201" i="2"/>
  <c r="D42" i="2"/>
  <c r="AZ93" i="2"/>
  <c r="BJ219" i="2"/>
  <c r="AR31" i="2"/>
  <c r="BT223" i="2"/>
  <c r="BH137" i="2"/>
  <c r="AR71" i="2"/>
  <c r="BU155" i="2"/>
  <c r="N45" i="2"/>
  <c r="AO168" i="2"/>
  <c r="C38" i="2"/>
  <c r="X74" i="2"/>
  <c r="N192" i="2"/>
  <c r="D198" i="2"/>
  <c r="AQ150" i="2"/>
  <c r="AN84" i="2"/>
  <c r="D51" i="2"/>
  <c r="AN79" i="2"/>
  <c r="BT56" i="2"/>
  <c r="M208" i="2"/>
  <c r="M225" i="2"/>
  <c r="E147" i="2"/>
  <c r="BK165" i="2"/>
  <c r="K212" i="2"/>
  <c r="F85" i="2"/>
  <c r="AO60" i="2"/>
  <c r="BT87" i="2"/>
  <c r="C162" i="2"/>
  <c r="N173" i="2"/>
  <c r="AQ227" i="2"/>
  <c r="AQ223" i="2"/>
  <c r="BA142" i="2"/>
  <c r="AX22" i="2"/>
  <c r="BL167" i="2"/>
  <c r="BK27" i="2"/>
  <c r="O27" i="2"/>
  <c r="BR133" i="2"/>
  <c r="K117" i="2"/>
  <c r="AY97" i="2"/>
  <c r="K43" i="2"/>
  <c r="X91" i="2"/>
  <c r="BB52" i="2"/>
  <c r="AZ229" i="2"/>
  <c r="BL73" i="2"/>
  <c r="AP63" i="2"/>
  <c r="AD192" i="2"/>
  <c r="AP87" i="2"/>
  <c r="BU192" i="2"/>
  <c r="F225" i="2"/>
  <c r="E185" i="2"/>
  <c r="M6" i="2"/>
  <c r="BV126" i="2"/>
  <c r="L159" i="2"/>
  <c r="E138" i="2"/>
  <c r="BK107" i="2"/>
  <c r="BB4" i="2"/>
  <c r="BR187" i="2"/>
  <c r="AZ24" i="2"/>
  <c r="B49" i="2"/>
  <c r="Y172" i="2"/>
  <c r="E7" i="2"/>
  <c r="AZ133" i="2"/>
  <c r="BV223" i="2"/>
  <c r="AE3" i="2"/>
  <c r="BL60" i="2"/>
  <c r="AR57" i="2"/>
  <c r="N70" i="2"/>
  <c r="BU193" i="2"/>
  <c r="AO112" i="2"/>
  <c r="AZ220" i="2"/>
  <c r="N202" i="2"/>
  <c r="N67" i="2"/>
  <c r="E76" i="2"/>
  <c r="AZ79" i="2"/>
  <c r="BU204" i="2"/>
  <c r="BL208" i="2"/>
  <c r="BB167" i="2"/>
  <c r="O111" i="2"/>
  <c r="K201" i="2"/>
  <c r="BB37" i="2"/>
  <c r="D111" i="2"/>
  <c r="AY117" i="2"/>
  <c r="AO210" i="2"/>
  <c r="AX161" i="2"/>
  <c r="BB75" i="2"/>
  <c r="AY55" i="2"/>
  <c r="BL169" i="2"/>
  <c r="O177" i="2"/>
  <c r="AH143" i="2"/>
  <c r="BK167" i="2"/>
  <c r="AN184" i="2"/>
  <c r="AQ50" i="2"/>
  <c r="AF46" i="2"/>
  <c r="AR135" i="2"/>
  <c r="K20" i="2"/>
  <c r="BJ60" i="2"/>
  <c r="AQ52" i="2"/>
  <c r="AY41" i="2"/>
  <c r="BV213" i="2"/>
  <c r="BK144" i="2"/>
  <c r="BH209" i="2"/>
  <c r="AN63" i="2"/>
  <c r="BR42" i="2"/>
  <c r="BH164" i="2"/>
  <c r="B6" i="2"/>
  <c r="D75" i="2"/>
  <c r="BA86" i="2"/>
  <c r="BA152" i="2"/>
  <c r="AX34" i="2"/>
  <c r="L180" i="2"/>
  <c r="Y123" i="2"/>
  <c r="AX169" i="2"/>
  <c r="N145" i="2"/>
  <c r="W9" i="2"/>
  <c r="BA221" i="2"/>
  <c r="AR74" i="2"/>
  <c r="K129" i="2"/>
  <c r="AP133" i="2"/>
  <c r="AY101" i="2"/>
  <c r="BH15" i="2"/>
  <c r="V108" i="2"/>
  <c r="O94" i="2"/>
  <c r="AO50" i="2"/>
  <c r="O205" i="2"/>
  <c r="AN119" i="2"/>
  <c r="W119" i="2"/>
  <c r="AG86" i="2"/>
  <c r="O204" i="2"/>
  <c r="BS165" i="2"/>
  <c r="AP18" i="2"/>
  <c r="F65" i="2"/>
  <c r="B5" i="2"/>
  <c r="BS128" i="2"/>
  <c r="AR143" i="2"/>
  <c r="AN40" i="2"/>
  <c r="D108" i="2"/>
  <c r="C185" i="2"/>
  <c r="O138" i="2"/>
  <c r="K32" i="2"/>
  <c r="BR56" i="2"/>
  <c r="AP32" i="2"/>
  <c r="N102" i="2"/>
  <c r="BK54" i="2"/>
  <c r="E60" i="2"/>
  <c r="AN187" i="2"/>
  <c r="BV23" i="2"/>
  <c r="AG5" i="2"/>
  <c r="BA151" i="2"/>
  <c r="L53" i="2"/>
  <c r="M96" i="2"/>
  <c r="AN52" i="2"/>
  <c r="C103" i="2"/>
  <c r="D219" i="2"/>
  <c r="O145" i="2"/>
  <c r="D112" i="2"/>
  <c r="B196" i="2"/>
  <c r="B105" i="2"/>
  <c r="AO148" i="2"/>
  <c r="D39" i="2"/>
  <c r="N73" i="2"/>
  <c r="K10" i="2"/>
  <c r="BA25" i="2"/>
  <c r="O24" i="2"/>
  <c r="D66" i="2"/>
  <c r="B14" i="2"/>
  <c r="M113" i="2"/>
  <c r="D96" i="2"/>
  <c r="AR4" i="2"/>
  <c r="BU164" i="2"/>
  <c r="B61" i="2"/>
  <c r="K175" i="2"/>
  <c r="BI192" i="2"/>
  <c r="O143" i="2"/>
  <c r="AN200" i="2"/>
  <c r="BL38" i="2"/>
  <c r="AP138" i="2"/>
  <c r="BJ193" i="2"/>
  <c r="BJ13" i="2"/>
  <c r="AX35" i="2"/>
  <c r="BH110" i="2"/>
  <c r="B48" i="2"/>
  <c r="D90" i="2"/>
  <c r="AQ137" i="2"/>
  <c r="D10" i="2"/>
  <c r="AY96" i="2"/>
  <c r="BI142" i="2"/>
  <c r="M141" i="2"/>
  <c r="F105" i="2"/>
  <c r="N60" i="2"/>
  <c r="AY39" i="2"/>
  <c r="O49" i="2"/>
  <c r="AR164" i="2"/>
  <c r="K65" i="2"/>
  <c r="AN168" i="2"/>
  <c r="N131" i="2"/>
  <c r="AP116" i="2"/>
  <c r="B207" i="2"/>
  <c r="F115" i="2"/>
  <c r="E65" i="2"/>
  <c r="AY179" i="2"/>
  <c r="B45" i="2"/>
  <c r="K87" i="2"/>
  <c r="F123" i="2"/>
  <c r="BV53" i="2"/>
  <c r="BL22" i="2"/>
  <c r="C139" i="2"/>
  <c r="F14" i="2"/>
  <c r="E121" i="2"/>
  <c r="BT118" i="2"/>
  <c r="BA215" i="2"/>
  <c r="BL121" i="2"/>
  <c r="M93" i="2"/>
  <c r="B67" i="2"/>
  <c r="F207" i="2"/>
  <c r="AP113" i="2"/>
  <c r="BL176" i="2"/>
  <c r="AH5" i="2"/>
  <c r="BH108" i="2"/>
  <c r="D93" i="2"/>
  <c r="L139" i="2"/>
  <c r="O170" i="2"/>
  <c r="BI53" i="2"/>
  <c r="M186" i="2"/>
  <c r="B102" i="2"/>
  <c r="C206" i="2"/>
  <c r="AP139" i="2"/>
  <c r="AN175" i="2"/>
  <c r="N114" i="2"/>
  <c r="BT15" i="2"/>
  <c r="BA193" i="2"/>
  <c r="U157" i="2"/>
  <c r="AQ192" i="2"/>
  <c r="F10" i="2"/>
  <c r="E226" i="2"/>
  <c r="BR65" i="2"/>
  <c r="BK219" i="2"/>
  <c r="K99" i="2"/>
  <c r="C220" i="2"/>
  <c r="D114" i="2"/>
  <c r="AN91" i="2"/>
  <c r="BI3" i="2"/>
  <c r="BJ137" i="2"/>
  <c r="AP19" i="2"/>
  <c r="D223" i="2"/>
  <c r="E89" i="2"/>
  <c r="W22" i="2"/>
  <c r="B118" i="2"/>
  <c r="AR191" i="2"/>
  <c r="O103" i="2"/>
  <c r="BL3" i="2"/>
  <c r="N167" i="2"/>
  <c r="BR81" i="2"/>
  <c r="BS5" i="2"/>
  <c r="K26" i="2"/>
  <c r="AE52" i="2"/>
  <c r="AZ116" i="2"/>
  <c r="AX99" i="2"/>
  <c r="L45" i="2"/>
  <c r="B153" i="2"/>
  <c r="AQ216" i="2"/>
  <c r="C183" i="2"/>
  <c r="AP98" i="2"/>
  <c r="C146" i="2"/>
  <c r="BR222" i="2"/>
  <c r="L37" i="2"/>
  <c r="L211" i="2"/>
  <c r="O71" i="2"/>
  <c r="AN137" i="2"/>
  <c r="K30" i="2"/>
  <c r="AH165" i="2"/>
  <c r="V154" i="2"/>
  <c r="AR124" i="2"/>
  <c r="AQ48" i="2"/>
  <c r="D46" i="2"/>
  <c r="E132" i="2"/>
  <c r="BV143" i="2"/>
  <c r="C188" i="2"/>
  <c r="D4" i="2"/>
  <c r="AY174" i="2"/>
  <c r="AH126" i="2"/>
  <c r="N17" i="2"/>
  <c r="O122" i="2"/>
  <c r="F151" i="2"/>
  <c r="C150" i="2"/>
  <c r="AN129" i="2"/>
  <c r="O73" i="2"/>
  <c r="BB8" i="2"/>
  <c r="BV160" i="2"/>
  <c r="L173" i="2"/>
  <c r="V194" i="2"/>
  <c r="BL26" i="2"/>
  <c r="K55" i="2"/>
  <c r="BH22" i="2"/>
  <c r="BK154" i="2"/>
  <c r="AF55" i="2"/>
  <c r="AH170" i="2"/>
  <c r="AE181" i="2"/>
  <c r="AO141" i="2"/>
  <c r="AY73" i="2"/>
  <c r="AZ59" i="2"/>
  <c r="D78" i="2"/>
  <c r="AQ221" i="2"/>
  <c r="M71" i="2"/>
  <c r="AX147" i="2"/>
  <c r="K48" i="2"/>
  <c r="K158" i="2"/>
  <c r="X204" i="2"/>
  <c r="C219" i="2"/>
  <c r="F169" i="2"/>
  <c r="E163" i="2"/>
  <c r="AF50" i="2"/>
  <c r="O54" i="2"/>
  <c r="BB116" i="2"/>
  <c r="M138" i="2"/>
  <c r="BA160" i="2"/>
  <c r="BI228" i="2"/>
  <c r="D20" i="2"/>
  <c r="L170" i="2"/>
  <c r="AN144" i="2"/>
  <c r="AO209" i="2"/>
  <c r="N219" i="2"/>
  <c r="B220" i="2"/>
  <c r="BL143" i="2"/>
  <c r="BU26" i="2"/>
  <c r="M104" i="2"/>
  <c r="BB19" i="2"/>
  <c r="BS109" i="2"/>
  <c r="AO216" i="2"/>
  <c r="AZ192" i="2"/>
  <c r="C198" i="2"/>
  <c r="L49" i="2"/>
  <c r="M38" i="2"/>
  <c r="E136" i="2"/>
  <c r="BH28" i="2"/>
  <c r="F127" i="2"/>
  <c r="X9" i="2"/>
  <c r="B112" i="2"/>
  <c r="BT105" i="2"/>
  <c r="O84" i="2"/>
  <c r="BA136" i="2"/>
  <c r="AP145" i="2"/>
  <c r="L61" i="2"/>
  <c r="AX120" i="2"/>
  <c r="E171" i="2"/>
  <c r="BI204" i="2"/>
  <c r="BH214" i="2"/>
  <c r="B10" i="2"/>
  <c r="BB133" i="2"/>
  <c r="AY58" i="2"/>
  <c r="L156" i="2"/>
  <c r="BT186" i="2"/>
  <c r="BA126" i="2"/>
  <c r="B18" i="2"/>
  <c r="M194" i="2"/>
  <c r="AO136" i="2"/>
  <c r="BK22" i="2"/>
  <c r="AO34" i="2"/>
  <c r="AH116" i="2"/>
  <c r="BB204" i="2"/>
  <c r="E190" i="2"/>
  <c r="AX128" i="2"/>
  <c r="AQ155" i="2"/>
  <c r="BL90" i="2"/>
  <c r="E96" i="2"/>
  <c r="AP52" i="2"/>
  <c r="BB6" i="2"/>
  <c r="BL160" i="2"/>
  <c r="AN15" i="2"/>
  <c r="C187" i="2"/>
  <c r="AN199" i="2"/>
  <c r="BJ199" i="2"/>
  <c r="AR203" i="2"/>
  <c r="AH62" i="2"/>
  <c r="AY20" i="2"/>
  <c r="AQ22" i="2"/>
  <c r="AZ6" i="2"/>
  <c r="C229" i="2"/>
  <c r="BS38" i="2"/>
  <c r="F208" i="2"/>
  <c r="BJ74" i="2"/>
  <c r="K102" i="2"/>
  <c r="BB142" i="2"/>
  <c r="AR87" i="2"/>
  <c r="AQ175" i="2"/>
  <c r="AQ146" i="2"/>
  <c r="O186" i="2"/>
  <c r="AO11" i="2"/>
  <c r="E86" i="2"/>
  <c r="AR176" i="2"/>
  <c r="L99" i="2"/>
  <c r="E223" i="2"/>
  <c r="BU202" i="2"/>
  <c r="F42" i="2"/>
  <c r="BS13" i="2"/>
  <c r="F99" i="2"/>
  <c r="BU170" i="2"/>
  <c r="BI181" i="2"/>
  <c r="B96" i="2"/>
  <c r="M83" i="2"/>
  <c r="AY21" i="2"/>
  <c r="BK73" i="2"/>
  <c r="L19" i="2"/>
  <c r="E212" i="2"/>
  <c r="L153" i="2"/>
  <c r="BB128" i="2"/>
  <c r="AQ204" i="2"/>
  <c r="BU49" i="2"/>
  <c r="AY127" i="2"/>
  <c r="C91" i="2"/>
  <c r="E39" i="2"/>
  <c r="F163" i="2"/>
  <c r="O188" i="2"/>
  <c r="L9" i="2"/>
  <c r="C42" i="2"/>
  <c r="E54" i="2"/>
  <c r="D13" i="2"/>
  <c r="AZ136" i="2"/>
  <c r="F11" i="2"/>
  <c r="C125" i="2"/>
  <c r="F147" i="2"/>
  <c r="L164" i="2"/>
  <c r="BI194" i="2"/>
  <c r="C34" i="2"/>
  <c r="M102" i="2"/>
  <c r="AH160" i="2"/>
  <c r="D221" i="2"/>
  <c r="L83" i="2"/>
  <c r="BU174" i="2"/>
  <c r="BK132" i="2"/>
  <c r="BV167" i="2"/>
  <c r="BA185" i="2"/>
  <c r="C134" i="2"/>
  <c r="AP49" i="2"/>
  <c r="F204" i="2"/>
  <c r="BV216" i="2"/>
  <c r="C98" i="2"/>
  <c r="O171" i="2"/>
  <c r="BL151" i="2"/>
  <c r="AE106" i="2"/>
  <c r="AY119" i="2"/>
  <c r="L47" i="2"/>
  <c r="F134" i="2"/>
  <c r="K96" i="2"/>
  <c r="AQ163" i="2"/>
  <c r="AO57" i="2"/>
  <c r="O87" i="2"/>
  <c r="AZ64" i="2"/>
  <c r="C65" i="2"/>
  <c r="BI58" i="2"/>
  <c r="C56" i="2"/>
  <c r="BB123" i="2"/>
  <c r="N89" i="2"/>
  <c r="AX171" i="2"/>
  <c r="C160" i="2"/>
  <c r="E159" i="2"/>
  <c r="BH224" i="2"/>
  <c r="AN46" i="2"/>
  <c r="E220" i="2"/>
  <c r="B32" i="2"/>
  <c r="AQ15" i="2"/>
  <c r="AY200" i="2"/>
  <c r="N193" i="2"/>
  <c r="F158" i="2"/>
  <c r="AP171" i="2"/>
  <c r="AR179" i="2"/>
  <c r="O64" i="2"/>
  <c r="AQ63" i="2"/>
  <c r="D191" i="2"/>
  <c r="M179" i="2"/>
  <c r="C73" i="2"/>
  <c r="BV10" i="2"/>
  <c r="BK7" i="2"/>
  <c r="AR222" i="2"/>
  <c r="BI179" i="2"/>
  <c r="BB149" i="2"/>
  <c r="AR97" i="2"/>
  <c r="BA169" i="2"/>
  <c r="AN95" i="2"/>
  <c r="B20" i="2"/>
  <c r="BH178" i="2"/>
  <c r="AN6" i="2"/>
  <c r="AG71" i="2"/>
  <c r="AQ122" i="2"/>
  <c r="BJ195" i="2"/>
  <c r="O29" i="2"/>
  <c r="D217" i="2"/>
  <c r="BI24" i="2"/>
  <c r="L176" i="2"/>
  <c r="F217" i="2"/>
  <c r="F190" i="2"/>
  <c r="W114" i="2"/>
  <c r="D202" i="2"/>
  <c r="C120" i="2"/>
  <c r="K63" i="2"/>
  <c r="BT171" i="2"/>
  <c r="D160" i="2"/>
  <c r="AZ178" i="2"/>
  <c r="E199" i="2"/>
  <c r="L28" i="2"/>
  <c r="AN228" i="2"/>
  <c r="BI52" i="2"/>
  <c r="BK46" i="2"/>
  <c r="C157" i="2"/>
  <c r="AO142" i="2"/>
  <c r="BS102" i="2"/>
  <c r="X7" i="2"/>
  <c r="W220" i="2"/>
  <c r="K128" i="2"/>
  <c r="L13" i="2"/>
  <c r="AO76" i="2"/>
  <c r="BS215" i="2"/>
  <c r="BH122" i="2"/>
  <c r="E117" i="2"/>
  <c r="BR157" i="2"/>
  <c r="BL158" i="2"/>
  <c r="AN189" i="2"/>
  <c r="K14" i="2"/>
  <c r="AP7" i="2"/>
  <c r="F88" i="2"/>
  <c r="BU13" i="2"/>
  <c r="N176" i="2"/>
  <c r="C107" i="2"/>
  <c r="AD73" i="2"/>
  <c r="L43" i="2"/>
  <c r="AD44" i="2"/>
  <c r="N34" i="2"/>
  <c r="D43" i="2"/>
  <c r="BS12" i="2"/>
  <c r="BL99" i="2"/>
  <c r="D158" i="2"/>
  <c r="L179" i="2"/>
  <c r="E173" i="2"/>
  <c r="BL135" i="2"/>
  <c r="AR18" i="2"/>
  <c r="AQ212" i="2"/>
  <c r="N38" i="2"/>
  <c r="N18" i="2"/>
  <c r="BI4" i="2"/>
  <c r="E6" i="2"/>
  <c r="M49" i="2"/>
  <c r="AG40" i="2"/>
  <c r="AY141" i="2"/>
  <c r="BH102" i="2"/>
  <c r="AZ196" i="2"/>
  <c r="BI208" i="2"/>
  <c r="B62" i="2"/>
  <c r="AE175" i="2"/>
  <c r="D203" i="2"/>
  <c r="AQ87" i="2"/>
  <c r="BS131" i="2"/>
  <c r="BJ155" i="2"/>
  <c r="AX59" i="2"/>
  <c r="BB60" i="2"/>
  <c r="AH164" i="2"/>
  <c r="AN210" i="2"/>
  <c r="N20" i="2"/>
  <c r="AQ24" i="2"/>
  <c r="Y159" i="2"/>
  <c r="BH223" i="2"/>
  <c r="BU110" i="2"/>
  <c r="C9" i="2"/>
  <c r="AR109" i="2"/>
  <c r="BB24" i="2"/>
  <c r="C155" i="2"/>
  <c r="AZ157" i="2"/>
  <c r="F166" i="2"/>
  <c r="BB121" i="2"/>
  <c r="AP70" i="2"/>
  <c r="BV181" i="2"/>
  <c r="AO201" i="2"/>
  <c r="AO26" i="2"/>
  <c r="M224" i="2"/>
  <c r="M145" i="2"/>
  <c r="AY107" i="2"/>
  <c r="BS33" i="2"/>
  <c r="AO103" i="2"/>
  <c r="K58" i="2"/>
  <c r="BL10" i="2"/>
  <c r="BS143" i="2"/>
  <c r="BK40" i="2"/>
  <c r="AY44" i="2"/>
  <c r="L75" i="2"/>
  <c r="AR19" i="2"/>
  <c r="AN62" i="2"/>
  <c r="C170" i="2"/>
  <c r="AP131" i="2"/>
  <c r="AZ83" i="2"/>
  <c r="D129" i="2"/>
  <c r="AR213" i="2"/>
  <c r="AQ3" i="2"/>
  <c r="F144" i="2"/>
  <c r="E203" i="2"/>
  <c r="BL211" i="2"/>
  <c r="BV89" i="2"/>
  <c r="V18" i="2"/>
  <c r="AQ109" i="2"/>
  <c r="W210" i="2"/>
  <c r="C151" i="2"/>
  <c r="AP121" i="2"/>
  <c r="K101" i="2"/>
  <c r="E124" i="2"/>
  <c r="AZ184" i="2"/>
  <c r="BL159" i="2"/>
  <c r="L177" i="2"/>
  <c r="N168" i="2"/>
  <c r="AO35" i="2"/>
  <c r="AX177" i="2"/>
  <c r="BR117" i="2"/>
  <c r="AG54" i="2"/>
  <c r="L137" i="2"/>
  <c r="AP201" i="2"/>
  <c r="AR210" i="2"/>
  <c r="B167" i="2"/>
  <c r="O147" i="2"/>
  <c r="BI177" i="2"/>
  <c r="BA150" i="2"/>
  <c r="AQ172" i="2"/>
  <c r="AY156" i="2"/>
  <c r="AD180" i="2"/>
  <c r="C221" i="2"/>
  <c r="F155" i="2"/>
  <c r="AR99" i="2"/>
  <c r="B138" i="2"/>
  <c r="AQ126" i="2"/>
  <c r="AP82" i="2"/>
  <c r="BV80" i="2"/>
  <c r="BA48" i="2"/>
  <c r="BR39" i="2"/>
  <c r="BS169" i="2"/>
  <c r="AG209" i="2"/>
  <c r="BV30" i="2"/>
  <c r="AQ85" i="2"/>
  <c r="AX138" i="2"/>
  <c r="F74" i="2"/>
  <c r="O32" i="2"/>
  <c r="F113" i="2"/>
  <c r="BK91" i="2"/>
  <c r="O125" i="2"/>
  <c r="F40" i="2"/>
  <c r="C99" i="2"/>
  <c r="D44" i="2"/>
  <c r="BU7" i="2"/>
  <c r="K111" i="2"/>
  <c r="F213" i="2"/>
  <c r="B221" i="2"/>
  <c r="BI221" i="2"/>
  <c r="E207" i="2"/>
  <c r="C163" i="2"/>
  <c r="F59" i="2"/>
  <c r="K223" i="2"/>
  <c r="AE227" i="2"/>
  <c r="BJ72" i="2"/>
  <c r="BR28" i="2"/>
  <c r="M72" i="2"/>
  <c r="L42" i="2"/>
  <c r="L221" i="2"/>
  <c r="AZ147" i="2"/>
  <c r="BB7" i="2"/>
  <c r="BA141" i="2"/>
  <c r="W7" i="2"/>
  <c r="BB84" i="2"/>
  <c r="D62" i="2"/>
  <c r="AR133" i="2"/>
  <c r="BK133" i="2"/>
  <c r="F182" i="2"/>
  <c r="AX193" i="2"/>
  <c r="AP169" i="2"/>
  <c r="C201" i="2"/>
  <c r="AQ32" i="2"/>
  <c r="AN30" i="2"/>
  <c r="AO8" i="2"/>
  <c r="D12" i="2"/>
  <c r="AD158" i="2"/>
  <c r="AR54" i="2"/>
  <c r="BK13" i="2"/>
  <c r="N132" i="2"/>
  <c r="O181" i="2"/>
  <c r="BH222" i="2"/>
  <c r="BA106" i="2"/>
  <c r="M128" i="2"/>
  <c r="M212" i="2"/>
  <c r="K149" i="2"/>
  <c r="AZ18" i="2"/>
  <c r="M158" i="2"/>
  <c r="AN23" i="2"/>
  <c r="F170" i="2"/>
  <c r="BS167" i="2"/>
  <c r="C88" i="2"/>
  <c r="AR29" i="2"/>
  <c r="AZ129" i="2"/>
  <c r="B214" i="2"/>
  <c r="X191" i="2"/>
  <c r="AN126" i="2"/>
  <c r="AG120" i="2"/>
  <c r="B95" i="2"/>
  <c r="C156" i="2"/>
  <c r="BL35" i="2"/>
  <c r="C36" i="2"/>
  <c r="F162" i="2"/>
  <c r="C33" i="2"/>
  <c r="C17" i="2"/>
  <c r="AY140" i="2"/>
  <c r="F168" i="2"/>
  <c r="D77" i="2"/>
  <c r="BB215" i="2"/>
  <c r="D38" i="2"/>
  <c r="B103" i="2"/>
  <c r="K110" i="2"/>
  <c r="BA40" i="2"/>
  <c r="B128" i="2"/>
  <c r="BJ59" i="2"/>
  <c r="K107" i="2"/>
  <c r="L150" i="2"/>
  <c r="AX221" i="2"/>
  <c r="BI17" i="2"/>
  <c r="O70" i="2"/>
  <c r="AZ108" i="2"/>
  <c r="AY198" i="2"/>
  <c r="K72" i="2"/>
  <c r="AN145" i="2"/>
  <c r="AY194" i="2"/>
  <c r="M171" i="2"/>
  <c r="BL51" i="2"/>
  <c r="BI67" i="2"/>
  <c r="AN219" i="2"/>
  <c r="AP128" i="2"/>
  <c r="O16" i="2"/>
  <c r="AX50" i="2"/>
  <c r="AQ195" i="2"/>
  <c r="AR156" i="2"/>
  <c r="AN80" i="2"/>
  <c r="N30" i="2"/>
  <c r="E31" i="2"/>
  <c r="AN207" i="2"/>
  <c r="AP90" i="2"/>
  <c r="O128" i="2"/>
  <c r="AE221" i="2"/>
  <c r="D152" i="2"/>
  <c r="BT132" i="2"/>
  <c r="C129" i="2"/>
  <c r="BA164" i="2"/>
  <c r="AP65" i="2"/>
  <c r="M188" i="2"/>
  <c r="O59" i="2"/>
  <c r="L149" i="2"/>
  <c r="AE19" i="2"/>
  <c r="AQ100" i="2"/>
  <c r="C75" i="2"/>
  <c r="L124" i="2"/>
  <c r="AQ39" i="2"/>
  <c r="E184" i="2"/>
  <c r="AO98" i="2"/>
  <c r="AP30" i="2"/>
  <c r="K15" i="2"/>
  <c r="M15" i="2"/>
  <c r="AZ223" i="2"/>
  <c r="D138" i="2"/>
  <c r="AQ86" i="2"/>
  <c r="AO38" i="2"/>
  <c r="X50" i="2"/>
  <c r="AP178" i="2"/>
  <c r="E19" i="2"/>
  <c r="AQ183" i="2"/>
  <c r="F199" i="2"/>
  <c r="L158" i="2"/>
  <c r="W175" i="2"/>
  <c r="F216" i="2"/>
  <c r="AQ224" i="2"/>
  <c r="AN212" i="2"/>
  <c r="AY130" i="2"/>
  <c r="BB109" i="2"/>
  <c r="BI25" i="2"/>
  <c r="AP130" i="2"/>
  <c r="D125" i="2"/>
  <c r="BB31" i="2"/>
  <c r="L112" i="2"/>
  <c r="N146" i="2"/>
  <c r="BV182" i="2"/>
  <c r="BJ41" i="2"/>
  <c r="BA209" i="2"/>
  <c r="C173" i="2"/>
  <c r="M46" i="2"/>
  <c r="O98" i="2"/>
  <c r="K82" i="2"/>
  <c r="AX195" i="2"/>
  <c r="AO25" i="2"/>
  <c r="E99" i="2"/>
  <c r="N212" i="2"/>
  <c r="F149" i="2"/>
  <c r="D103" i="2"/>
  <c r="D142" i="2"/>
  <c r="BJ161" i="2"/>
  <c r="F5" i="2"/>
  <c r="BB47" i="2"/>
  <c r="AQ45" i="2"/>
  <c r="AX187" i="2"/>
  <c r="BI41" i="2"/>
  <c r="BH135" i="2"/>
  <c r="L94" i="2"/>
  <c r="BL81" i="2"/>
  <c r="BA62" i="2"/>
  <c r="E208" i="2"/>
  <c r="AN153" i="2"/>
  <c r="E30" i="2"/>
  <c r="C57" i="2"/>
  <c r="X38" i="2"/>
  <c r="BV73" i="2"/>
  <c r="AE10" i="2"/>
  <c r="AN220" i="2"/>
  <c r="BK15" i="2"/>
  <c r="B157" i="2"/>
  <c r="AG88" i="2"/>
  <c r="AD150" i="2"/>
  <c r="L146" i="2"/>
  <c r="BS222" i="2"/>
  <c r="BT113" i="2"/>
  <c r="AY186" i="2"/>
  <c r="AQ34" i="2"/>
  <c r="AG153" i="2"/>
  <c r="E229" i="2"/>
  <c r="B108" i="2"/>
  <c r="AX91" i="2"/>
  <c r="BH12" i="2"/>
  <c r="AP109" i="2"/>
  <c r="AY206" i="2"/>
  <c r="BB122" i="2"/>
  <c r="BL150" i="2"/>
  <c r="AP10" i="2"/>
  <c r="F219" i="2"/>
  <c r="AP194" i="2"/>
  <c r="E35" i="2"/>
  <c r="AN185" i="2"/>
  <c r="BB157" i="2"/>
  <c r="AE39" i="2"/>
  <c r="E166" i="2"/>
  <c r="O14" i="2"/>
  <c r="M14" i="2"/>
  <c r="AX216" i="2"/>
  <c r="BH44" i="2"/>
  <c r="BI48" i="2"/>
  <c r="N29" i="2"/>
  <c r="F181" i="2"/>
  <c r="AY42" i="2"/>
  <c r="V3" i="2"/>
  <c r="AF116" i="2"/>
  <c r="AO10" i="2"/>
  <c r="E112" i="2"/>
  <c r="O23" i="2"/>
  <c r="AZ187" i="2"/>
  <c r="AE161" i="2"/>
  <c r="AO94" i="2"/>
  <c r="AX184" i="2"/>
  <c r="AQ151" i="2"/>
  <c r="BI203" i="2"/>
  <c r="E74" i="2"/>
  <c r="AF188" i="2"/>
  <c r="O50" i="2"/>
  <c r="BL147" i="2"/>
  <c r="BV83" i="2"/>
  <c r="K219" i="2"/>
  <c r="AZ125" i="2"/>
  <c r="M218" i="2"/>
  <c r="AP195" i="2"/>
  <c r="C222" i="2"/>
  <c r="B78" i="2"/>
  <c r="M228" i="2"/>
  <c r="AP224" i="2"/>
  <c r="O175" i="2"/>
  <c r="AZ119" i="2"/>
  <c r="E14" i="2"/>
  <c r="AY64" i="2"/>
  <c r="L229" i="2"/>
  <c r="L4" i="2"/>
  <c r="N190" i="2"/>
  <c r="E196" i="2"/>
  <c r="AR223" i="2"/>
  <c r="BL58" i="2"/>
  <c r="B164" i="2"/>
  <c r="BH169" i="2"/>
  <c r="AR185" i="2"/>
  <c r="AH17" i="2"/>
  <c r="BB39" i="2"/>
  <c r="AF114" i="2"/>
  <c r="AG113" i="2"/>
  <c r="M69" i="2"/>
  <c r="BS49" i="2"/>
  <c r="BJ50" i="2"/>
  <c r="BK152" i="2"/>
  <c r="AF205" i="2"/>
  <c r="AO128" i="2"/>
  <c r="B65" i="2"/>
  <c r="N228" i="2"/>
  <c r="BU133" i="2"/>
  <c r="B168" i="2"/>
  <c r="AE8" i="2"/>
  <c r="AG137" i="2"/>
  <c r="AR195" i="2"/>
  <c r="M139" i="2"/>
  <c r="BB219" i="2"/>
  <c r="BT152" i="2"/>
  <c r="K75" i="2"/>
  <c r="AN106" i="2"/>
  <c r="BT151" i="2"/>
  <c r="AR189" i="2"/>
  <c r="E3" i="2"/>
  <c r="BT148" i="2"/>
  <c r="D40" i="2"/>
  <c r="AY214" i="2"/>
  <c r="F160" i="2"/>
  <c r="D123" i="2"/>
  <c r="AQ56" i="2"/>
  <c r="D163" i="2"/>
  <c r="L93" i="2"/>
  <c r="B130" i="2"/>
  <c r="AP118" i="2"/>
  <c r="C113" i="2"/>
  <c r="AR208" i="2"/>
  <c r="N16" i="2"/>
  <c r="L48" i="2"/>
  <c r="D110" i="2"/>
  <c r="AN94" i="2"/>
  <c r="AY193" i="2"/>
  <c r="AN164" i="2"/>
  <c r="C78" i="2"/>
  <c r="D94" i="2"/>
  <c r="O53" i="2"/>
  <c r="AP155" i="2"/>
  <c r="B217" i="2"/>
  <c r="BJ75" i="2"/>
  <c r="BA192" i="2"/>
  <c r="M97" i="2"/>
  <c r="E177" i="2"/>
  <c r="C218" i="2"/>
  <c r="BH16" i="2"/>
  <c r="N194" i="2"/>
  <c r="BR137" i="2"/>
  <c r="AQ119" i="2"/>
  <c r="U205" i="2"/>
  <c r="BR208" i="2"/>
  <c r="AR157" i="2"/>
  <c r="BR181" i="2"/>
  <c r="F133" i="2"/>
  <c r="AQ189" i="2"/>
  <c r="M52" i="2"/>
  <c r="BJ65" i="2"/>
  <c r="D169" i="2"/>
  <c r="M125" i="2"/>
  <c r="AR107" i="2"/>
  <c r="AN186" i="2"/>
  <c r="B144" i="2"/>
  <c r="AX119" i="2"/>
  <c r="O173" i="2"/>
  <c r="BJ181" i="2"/>
  <c r="D26" i="2"/>
  <c r="BI90" i="2"/>
  <c r="K134" i="2"/>
  <c r="N56" i="2"/>
  <c r="BL165" i="2"/>
  <c r="BV121" i="2"/>
  <c r="M144" i="2"/>
  <c r="BA167" i="2"/>
  <c r="AZ156" i="2"/>
  <c r="M117" i="2"/>
  <c r="E155" i="2"/>
  <c r="AE143" i="2"/>
  <c r="BT111" i="2"/>
  <c r="AQ106" i="2"/>
  <c r="B190" i="2"/>
  <c r="F145" i="2"/>
  <c r="AP166" i="2"/>
  <c r="BB164" i="2"/>
  <c r="O200" i="2"/>
  <c r="AP16" i="2"/>
  <c r="BJ61" i="2"/>
  <c r="B51" i="2"/>
  <c r="N39" i="2"/>
  <c r="K105" i="2"/>
  <c r="AR199" i="2"/>
  <c r="N85" i="2"/>
  <c r="BK200" i="2"/>
  <c r="BJ179" i="2"/>
  <c r="L216" i="2"/>
  <c r="BV168" i="2"/>
  <c r="AF79" i="2"/>
  <c r="AR175" i="2"/>
  <c r="O142" i="2"/>
  <c r="X225" i="2"/>
  <c r="AZ14" i="2"/>
  <c r="O222" i="2"/>
  <c r="L68" i="2"/>
  <c r="F210" i="2"/>
  <c r="AQ121" i="2"/>
  <c r="N177" i="2"/>
  <c r="BR38" i="2"/>
  <c r="K112" i="2"/>
  <c r="BU216" i="2"/>
  <c r="B123" i="2"/>
  <c r="K192" i="2"/>
  <c r="AQ131" i="2"/>
  <c r="BT123" i="2"/>
  <c r="N151" i="2"/>
  <c r="AQ90" i="2"/>
  <c r="BA195" i="2"/>
  <c r="AO111" i="2"/>
  <c r="B127" i="2"/>
  <c r="C23" i="2"/>
  <c r="BV214" i="2"/>
  <c r="AN140" i="2"/>
  <c r="AE167" i="2"/>
  <c r="N157" i="2"/>
  <c r="BI21" i="2"/>
  <c r="M201" i="2"/>
  <c r="N180" i="2"/>
  <c r="E120" i="2"/>
  <c r="O133" i="2"/>
  <c r="N93" i="2"/>
  <c r="AH122" i="2"/>
  <c r="AH150" i="2"/>
  <c r="N172" i="2"/>
  <c r="AP62" i="2"/>
  <c r="AE74" i="2"/>
  <c r="B56" i="2"/>
  <c r="N130" i="2"/>
  <c r="BA10" i="2"/>
  <c r="B150" i="2"/>
  <c r="BH211" i="2"/>
  <c r="K59" i="2"/>
  <c r="B216" i="2"/>
  <c r="N223" i="2"/>
  <c r="BJ118" i="2"/>
  <c r="C12" i="2"/>
  <c r="E77" i="2"/>
  <c r="AZ42" i="2"/>
  <c r="AO186" i="2"/>
  <c r="N41" i="2"/>
  <c r="BS83" i="2"/>
  <c r="AX207" i="2"/>
  <c r="BL139" i="2"/>
  <c r="AN104" i="2"/>
  <c r="N122" i="2"/>
  <c r="C208" i="2"/>
  <c r="N204" i="2"/>
  <c r="AP95" i="2"/>
  <c r="B59" i="2"/>
  <c r="AH9" i="2"/>
  <c r="D229" i="2"/>
  <c r="O212" i="2"/>
  <c r="AO162" i="2"/>
  <c r="AN89" i="2"/>
  <c r="B117" i="2"/>
  <c r="BH65" i="2"/>
  <c r="AH159" i="2"/>
  <c r="N162" i="2"/>
  <c r="AG24" i="2"/>
  <c r="AG145" i="2"/>
  <c r="AG178" i="2"/>
  <c r="K11" i="2"/>
  <c r="AR112" i="2"/>
  <c r="D208" i="2"/>
  <c r="D122" i="2"/>
  <c r="BV7" i="2"/>
  <c r="BS228" i="2"/>
  <c r="AN83" i="2"/>
  <c r="AQ5" i="2"/>
  <c r="BU42" i="2"/>
  <c r="E125" i="2"/>
  <c r="AY25" i="2"/>
  <c r="AR14" i="2"/>
  <c r="L184" i="2"/>
  <c r="N116" i="2"/>
  <c r="D32" i="2"/>
  <c r="AH175" i="2"/>
  <c r="F157" i="2"/>
  <c r="AZ56" i="2"/>
  <c r="M66" i="2"/>
  <c r="C143" i="2"/>
  <c r="BA103" i="2"/>
  <c r="L217" i="2"/>
  <c r="N139" i="2"/>
  <c r="M126" i="2"/>
  <c r="K187" i="2"/>
  <c r="BL130" i="2"/>
  <c r="AH187" i="2"/>
  <c r="AR51" i="2"/>
  <c r="K22" i="2"/>
  <c r="E187" i="2"/>
  <c r="AR17" i="2"/>
  <c r="E62" i="2"/>
  <c r="D85" i="2"/>
  <c r="N182" i="2"/>
  <c r="AQ20" i="2"/>
  <c r="L205" i="2"/>
  <c r="L147" i="2"/>
  <c r="AN206" i="2"/>
  <c r="D106" i="2"/>
  <c r="B136" i="2"/>
  <c r="F43" i="2"/>
  <c r="AQ81" i="2"/>
  <c r="AO110" i="2"/>
  <c r="BT206" i="2"/>
  <c r="M196" i="2"/>
  <c r="BS56" i="2"/>
  <c r="BJ99" i="2"/>
  <c r="C50" i="2"/>
  <c r="AZ30" i="2"/>
  <c r="BU145" i="2"/>
  <c r="AZ150" i="2"/>
  <c r="AO150" i="2"/>
  <c r="BH119" i="2"/>
  <c r="K155" i="2"/>
  <c r="BI224" i="2"/>
  <c r="L166" i="2"/>
  <c r="BH196" i="2"/>
  <c r="BS157" i="2"/>
  <c r="AE67" i="2"/>
  <c r="M37" i="2"/>
  <c r="AR219" i="2"/>
  <c r="AR205" i="2"/>
  <c r="AZ77" i="2"/>
  <c r="AQ110" i="2"/>
  <c r="AX3" i="2"/>
  <c r="BB66" i="2"/>
  <c r="AO53" i="2"/>
  <c r="AN35" i="2"/>
  <c r="AR162" i="2"/>
  <c r="AP59" i="2"/>
  <c r="B11" i="2"/>
  <c r="M20" i="2"/>
  <c r="D228" i="2"/>
  <c r="AR24" i="2"/>
  <c r="AD208" i="2"/>
  <c r="F22" i="2"/>
  <c r="C95" i="2"/>
  <c r="AY149" i="2"/>
  <c r="O141" i="2"/>
  <c r="W124" i="2"/>
  <c r="AE160" i="2"/>
  <c r="V9" i="2"/>
  <c r="BK123" i="2"/>
  <c r="BL134" i="2"/>
  <c r="AY14" i="2"/>
  <c r="AQ64" i="2"/>
  <c r="AE195" i="2"/>
  <c r="BU123" i="2"/>
  <c r="K5" i="2"/>
  <c r="AE178" i="2"/>
  <c r="AN221" i="2"/>
  <c r="K71" i="2"/>
  <c r="N55" i="2"/>
  <c r="BL97" i="2"/>
  <c r="O8" i="2"/>
  <c r="M187" i="2"/>
  <c r="C167" i="2"/>
  <c r="AR70" i="2"/>
  <c r="AR81" i="2"/>
  <c r="C59" i="2"/>
  <c r="D121" i="2"/>
  <c r="M215" i="2"/>
  <c r="AP181" i="2"/>
  <c r="F153" i="2"/>
  <c r="M64" i="2"/>
  <c r="AP56" i="2"/>
  <c r="AR128" i="2"/>
  <c r="B40" i="2"/>
  <c r="AX209" i="2"/>
  <c r="X193" i="2"/>
  <c r="AZ172" i="2"/>
  <c r="BA34" i="2"/>
  <c r="F214" i="2"/>
  <c r="E103" i="2"/>
  <c r="C182" i="2"/>
  <c r="D136" i="2"/>
  <c r="D183" i="2"/>
  <c r="K121" i="2"/>
  <c r="M142" i="2"/>
  <c r="E100" i="2"/>
  <c r="D172" i="2"/>
  <c r="BA177" i="2"/>
  <c r="BV177" i="2"/>
  <c r="AZ226" i="2"/>
  <c r="E91" i="2"/>
  <c r="BT38" i="2"/>
  <c r="O172" i="2"/>
  <c r="AN64" i="2"/>
  <c r="AO215" i="2"/>
  <c r="C174" i="2"/>
  <c r="D168" i="2"/>
  <c r="D118" i="2"/>
  <c r="L39" i="2"/>
  <c r="BK86" i="2"/>
  <c r="BA124" i="2"/>
  <c r="N21" i="2"/>
  <c r="K61" i="2"/>
  <c r="AO64" i="2"/>
  <c r="BU8" i="2"/>
  <c r="BB22" i="2"/>
  <c r="AN181" i="2"/>
  <c r="BI82" i="2"/>
  <c r="BR55" i="2"/>
  <c r="E221" i="2"/>
  <c r="E116" i="2"/>
  <c r="O105" i="2"/>
  <c r="M63" i="2"/>
  <c r="O101" i="2"/>
  <c r="D83" i="2"/>
  <c r="C45" i="2"/>
  <c r="N61" i="2"/>
  <c r="AO169" i="2"/>
  <c r="BI220" i="2"/>
  <c r="L98" i="2"/>
  <c r="U52" i="2"/>
  <c r="F18" i="2"/>
  <c r="AQ161" i="2"/>
  <c r="D170" i="2"/>
  <c r="D6" i="2"/>
  <c r="B63" i="2"/>
  <c r="E115" i="2"/>
  <c r="E152" i="2"/>
  <c r="B54" i="2"/>
  <c r="L100" i="2"/>
  <c r="BK78" i="2"/>
  <c r="W228" i="2"/>
  <c r="L7" i="2"/>
  <c r="AQ127" i="2"/>
  <c r="K52" i="2"/>
  <c r="BL92" i="2"/>
  <c r="M84" i="2"/>
  <c r="AQ107" i="2"/>
  <c r="B16" i="2"/>
  <c r="AH188" i="2"/>
  <c r="BI20" i="2"/>
  <c r="BV222" i="2"/>
  <c r="F114" i="2"/>
  <c r="AX65" i="2"/>
  <c r="E186" i="2"/>
  <c r="B76" i="2"/>
  <c r="N11" i="2"/>
  <c r="BB45" i="2"/>
  <c r="AP42" i="2"/>
  <c r="C87" i="2"/>
  <c r="AP25" i="2"/>
  <c r="N77" i="2"/>
  <c r="AX106" i="2"/>
  <c r="BB134" i="2"/>
  <c r="M110" i="2"/>
  <c r="AZ152" i="2"/>
  <c r="AF129" i="2"/>
  <c r="AZ5" i="2"/>
  <c r="B229" i="2"/>
  <c r="BI121" i="2"/>
  <c r="F66" i="2"/>
  <c r="O75" i="2"/>
  <c r="D109" i="2"/>
  <c r="N32" i="2"/>
  <c r="C4" i="2"/>
  <c r="C93" i="2"/>
  <c r="C197" i="2"/>
  <c r="E198" i="2"/>
  <c r="AZ39" i="2"/>
  <c r="AQ93" i="2"/>
  <c r="K179" i="2"/>
  <c r="BV219" i="2"/>
  <c r="AR15" i="2"/>
  <c r="M216" i="2"/>
  <c r="D199" i="2"/>
  <c r="L140" i="2"/>
  <c r="BK205" i="2"/>
  <c r="K45" i="2"/>
  <c r="K47" i="2"/>
  <c r="X20" i="2"/>
  <c r="AF213" i="2"/>
  <c r="E88" i="2"/>
  <c r="AD129" i="2"/>
  <c r="X71" i="2"/>
  <c r="AZ182" i="2"/>
  <c r="L218" i="2"/>
  <c r="N44" i="2"/>
  <c r="E107" i="2"/>
  <c r="BT156" i="2"/>
  <c r="F83" i="2"/>
  <c r="BB44" i="2"/>
  <c r="BI226" i="2"/>
  <c r="AF74" i="2"/>
  <c r="AP192" i="2"/>
  <c r="E32" i="2"/>
  <c r="BS70" i="2"/>
  <c r="L210" i="2"/>
  <c r="E26" i="2"/>
  <c r="AE102" i="2"/>
  <c r="L108" i="2"/>
  <c r="L60" i="2"/>
  <c r="AD179" i="2"/>
  <c r="M7" i="2"/>
  <c r="C104" i="2"/>
  <c r="M17" i="2"/>
  <c r="BH73" i="2"/>
  <c r="AN131" i="2"/>
  <c r="L11" i="2"/>
  <c r="K6" i="2"/>
  <c r="BA113" i="2"/>
  <c r="E164" i="2"/>
  <c r="AO41" i="2"/>
  <c r="AR118" i="2"/>
  <c r="C11" i="2"/>
  <c r="E168" i="2"/>
  <c r="AE7" i="2"/>
  <c r="AD80" i="2"/>
  <c r="BL133" i="2"/>
  <c r="BK74" i="2"/>
  <c r="AG155" i="2"/>
  <c r="AZ204" i="2"/>
  <c r="AP197" i="2"/>
  <c r="BL56" i="2"/>
  <c r="C226" i="2"/>
  <c r="F96" i="2"/>
  <c r="BJ123" i="2"/>
  <c r="AY52" i="2"/>
  <c r="BR26" i="2"/>
  <c r="K98" i="2"/>
  <c r="BB48" i="2"/>
  <c r="AN115" i="2"/>
  <c r="BU128" i="2"/>
  <c r="BJ52" i="2"/>
  <c r="BV19" i="2"/>
  <c r="E151" i="2"/>
  <c r="AR192" i="2"/>
  <c r="L92" i="2"/>
  <c r="O93" i="2"/>
  <c r="B187" i="2"/>
  <c r="AY72" i="2"/>
  <c r="AN134" i="2"/>
  <c r="BV166" i="2"/>
  <c r="F15" i="2"/>
  <c r="M207" i="2"/>
  <c r="N140" i="2"/>
  <c r="M39" i="2"/>
  <c r="AZ118" i="2"/>
  <c r="BJ184" i="2"/>
  <c r="AR138" i="2"/>
  <c r="AX127" i="2"/>
  <c r="AF148" i="2"/>
  <c r="AX179" i="2"/>
  <c r="AX113" i="2"/>
  <c r="AH35" i="2"/>
  <c r="E104" i="2"/>
  <c r="AG80" i="2"/>
  <c r="BI37" i="2"/>
  <c r="AO164" i="2"/>
  <c r="BA196" i="2"/>
  <c r="AZ142" i="2"/>
  <c r="B159" i="2"/>
  <c r="O130" i="2"/>
  <c r="BT16" i="2"/>
  <c r="O152" i="2"/>
  <c r="F108" i="2"/>
  <c r="M18" i="2"/>
  <c r="BI74" i="2"/>
  <c r="AZ101" i="2"/>
  <c r="B92" i="2"/>
  <c r="N112" i="2"/>
  <c r="L35" i="2"/>
  <c r="BH207" i="2"/>
  <c r="E153" i="2"/>
  <c r="C106" i="2"/>
  <c r="N19" i="2"/>
  <c r="U3" i="2"/>
  <c r="C172" i="2"/>
  <c r="BH168" i="2"/>
  <c r="K199" i="2"/>
  <c r="BI170" i="2"/>
  <c r="D120" i="2"/>
  <c r="L71" i="2"/>
  <c r="C213" i="2"/>
  <c r="AG166" i="2"/>
  <c r="O38" i="2"/>
  <c r="BR70" i="2"/>
  <c r="BT158" i="2"/>
  <c r="BA213" i="2"/>
  <c r="AZ100" i="2"/>
  <c r="AP74" i="2"/>
  <c r="AO138" i="2"/>
  <c r="M43" i="2"/>
  <c r="F103" i="2"/>
  <c r="BH37" i="2"/>
  <c r="N227" i="2"/>
  <c r="F218" i="2"/>
  <c r="K225" i="2"/>
  <c r="BR140" i="2"/>
  <c r="AX33" i="2"/>
  <c r="BU201" i="2"/>
  <c r="F107" i="2"/>
  <c r="B195" i="2"/>
  <c r="BT30" i="2"/>
  <c r="AD103" i="2"/>
  <c r="V105" i="2"/>
  <c r="BJ147" i="2"/>
  <c r="BK23" i="2"/>
  <c r="AQ111" i="2"/>
  <c r="BA117" i="2"/>
  <c r="O100" i="2"/>
  <c r="BI182" i="2"/>
  <c r="O139" i="2"/>
  <c r="K166" i="2"/>
  <c r="E178" i="2"/>
  <c r="M94" i="2"/>
  <c r="K153" i="2"/>
  <c r="BL49" i="2"/>
  <c r="AZ112" i="2"/>
  <c r="AQ202" i="2"/>
  <c r="E27" i="2"/>
  <c r="M90" i="2"/>
  <c r="E211" i="2"/>
  <c r="AQ37" i="2"/>
  <c r="E47" i="2"/>
  <c r="E80" i="2"/>
  <c r="D107" i="2"/>
  <c r="N170" i="2"/>
  <c r="N224" i="2"/>
  <c r="BA179" i="2"/>
  <c r="BS43" i="2"/>
  <c r="AD8" i="2"/>
  <c r="O18" i="2"/>
  <c r="BB87" i="2"/>
  <c r="B12" i="2"/>
  <c r="M77" i="2"/>
  <c r="AF40" i="2"/>
  <c r="F203" i="2"/>
  <c r="AX51" i="2"/>
  <c r="E13" i="2"/>
  <c r="M148" i="2"/>
  <c r="K185" i="2"/>
  <c r="N220" i="2"/>
  <c r="B199" i="2"/>
  <c r="BB49" i="2"/>
  <c r="M121" i="2"/>
  <c r="AH87" i="2"/>
  <c r="E53" i="2"/>
  <c r="AR212" i="2"/>
  <c r="AR204" i="2"/>
  <c r="AH57" i="2"/>
  <c r="BB226" i="2"/>
  <c r="O12" i="2"/>
  <c r="L171" i="2"/>
  <c r="M58" i="2"/>
  <c r="M122" i="2"/>
  <c r="W32" i="2"/>
  <c r="C10" i="2"/>
  <c r="O211" i="2"/>
  <c r="AQ115" i="2"/>
  <c r="BR12" i="2"/>
  <c r="F173" i="2"/>
  <c r="BA168" i="2"/>
  <c r="C209" i="2"/>
  <c r="K203" i="2"/>
  <c r="K67" i="2"/>
  <c r="M55" i="2"/>
  <c r="L195" i="2"/>
  <c r="F95" i="2"/>
  <c r="BB35" i="2"/>
  <c r="AR7" i="2"/>
  <c r="M198" i="2"/>
  <c r="AN161" i="2"/>
  <c r="C92" i="2"/>
  <c r="F136" i="2"/>
  <c r="F89" i="2"/>
  <c r="AE33" i="2"/>
  <c r="BV62" i="2"/>
  <c r="AX218" i="2"/>
  <c r="BL118" i="2"/>
  <c r="K119" i="2"/>
  <c r="BV69" i="2"/>
  <c r="C158" i="2"/>
  <c r="B191" i="2"/>
  <c r="E106" i="2"/>
  <c r="O82" i="2"/>
  <c r="AP165" i="2"/>
  <c r="B72" i="2"/>
  <c r="AO69" i="2"/>
  <c r="B172" i="2"/>
  <c r="D126" i="2"/>
  <c r="F44" i="2"/>
  <c r="D63" i="2"/>
  <c r="AH218" i="2"/>
  <c r="BI84" i="2"/>
  <c r="BU102" i="2"/>
  <c r="D95" i="2"/>
  <c r="AP89" i="2"/>
  <c r="AN142" i="2"/>
  <c r="AR137" i="2"/>
  <c r="B42" i="2"/>
  <c r="AE171" i="2"/>
  <c r="F47" i="2"/>
  <c r="BS66" i="2"/>
  <c r="B120" i="2"/>
  <c r="BU196" i="2"/>
  <c r="L26" i="2"/>
  <c r="AN93" i="2"/>
  <c r="AR85" i="2"/>
  <c r="C168" i="2"/>
  <c r="AO163" i="2"/>
  <c r="E129" i="2"/>
  <c r="N127" i="2"/>
  <c r="B171" i="2"/>
  <c r="D34" i="2"/>
  <c r="AP132" i="2"/>
  <c r="L111" i="2"/>
  <c r="AP175" i="2"/>
  <c r="M13" i="2"/>
  <c r="M202" i="2"/>
  <c r="O115" i="2"/>
  <c r="AE108" i="2"/>
  <c r="M87" i="2"/>
  <c r="M227" i="2"/>
  <c r="BJ8" i="2"/>
  <c r="F3" i="2"/>
  <c r="B131" i="2"/>
  <c r="D209" i="2"/>
  <c r="E188" i="2"/>
  <c r="BR167" i="2"/>
  <c r="B31" i="2"/>
  <c r="D153" i="2"/>
  <c r="BB103" i="2"/>
  <c r="N155" i="2"/>
  <c r="L89" i="2"/>
  <c r="L134" i="2"/>
  <c r="E81" i="2"/>
  <c r="AN43" i="2"/>
  <c r="B37" i="2"/>
  <c r="O76" i="2"/>
  <c r="BB15" i="2"/>
  <c r="K127" i="2"/>
  <c r="E182" i="2"/>
  <c r="AO19" i="2"/>
  <c r="AN169" i="2"/>
  <c r="AX228" i="2"/>
  <c r="AP117" i="2"/>
  <c r="BI60" i="2"/>
  <c r="M91" i="2"/>
  <c r="B137" i="2"/>
  <c r="AO33" i="2"/>
  <c r="AF66" i="2"/>
  <c r="AQ36" i="2"/>
  <c r="K120" i="2"/>
  <c r="AO24" i="2"/>
  <c r="D115" i="2"/>
  <c r="F122" i="2"/>
  <c r="C51" i="2"/>
  <c r="BR155" i="2"/>
  <c r="E141" i="2"/>
  <c r="K132" i="2"/>
  <c r="BK226" i="2"/>
  <c r="L135" i="2"/>
  <c r="K118" i="2"/>
  <c r="C136" i="2"/>
  <c r="E215" i="2"/>
  <c r="AO131" i="2"/>
  <c r="BV144" i="2"/>
  <c r="AX142" i="2"/>
  <c r="O220" i="2"/>
  <c r="BU148" i="2"/>
  <c r="AR136" i="2"/>
  <c r="BI202" i="2"/>
  <c r="BK14" i="2"/>
  <c r="AG105" i="2"/>
  <c r="AY199" i="2"/>
  <c r="BA184" i="2"/>
  <c r="E137" i="2"/>
  <c r="BB58" i="2"/>
  <c r="B35" i="2"/>
  <c r="BS152" i="2"/>
  <c r="BI129" i="2"/>
  <c r="BK197" i="2"/>
  <c r="V212" i="2"/>
  <c r="AY218" i="2"/>
  <c r="BV117" i="2"/>
  <c r="O121" i="2"/>
  <c r="K78" i="2"/>
  <c r="K198" i="2"/>
  <c r="BL136" i="2"/>
  <c r="BI69" i="2"/>
  <c r="K150" i="2"/>
  <c r="BH176" i="2"/>
  <c r="AQ165" i="2"/>
  <c r="BR164" i="2"/>
  <c r="X45" i="2"/>
  <c r="AR220" i="2"/>
  <c r="K190" i="2"/>
  <c r="AR98" i="2"/>
  <c r="L116" i="2"/>
  <c r="BB98" i="2"/>
  <c r="BS40" i="2"/>
  <c r="E217" i="2"/>
  <c r="M177" i="2"/>
  <c r="F226" i="2"/>
  <c r="BR158" i="2"/>
  <c r="BV88" i="2"/>
  <c r="AH119" i="2"/>
  <c r="AN88" i="2"/>
  <c r="L185" i="2"/>
  <c r="AO96" i="2"/>
  <c r="AO174" i="2"/>
  <c r="BA85" i="2"/>
  <c r="BL186" i="2"/>
  <c r="B3" i="2"/>
  <c r="C80" i="2"/>
  <c r="BS26" i="2"/>
  <c r="D139" i="2"/>
  <c r="K202" i="2"/>
  <c r="C184" i="2"/>
  <c r="AY151" i="2"/>
  <c r="BA30" i="2"/>
  <c r="K100" i="2"/>
  <c r="BH199" i="2"/>
  <c r="BA191" i="2"/>
  <c r="F183" i="2"/>
  <c r="AO220" i="2"/>
  <c r="N50" i="2"/>
  <c r="AF54" i="2"/>
  <c r="AR38" i="2"/>
  <c r="C32" i="2"/>
  <c r="AP149" i="2"/>
  <c r="AZ45" i="2"/>
  <c r="BR150" i="2"/>
  <c r="BA187" i="2"/>
  <c r="BT184" i="2"/>
  <c r="BB96" i="2"/>
  <c r="W64" i="2"/>
  <c r="E119" i="2"/>
  <c r="C147" i="2"/>
  <c r="BB111" i="2"/>
  <c r="L155" i="2"/>
  <c r="BB46" i="2"/>
  <c r="E52" i="2"/>
  <c r="O168" i="2"/>
  <c r="AY32" i="2"/>
  <c r="E50" i="2"/>
  <c r="F67" i="2"/>
  <c r="F76" i="2"/>
  <c r="AY180" i="2"/>
  <c r="K216" i="2"/>
  <c r="AR82" i="2"/>
  <c r="AE222" i="2"/>
  <c r="AR92" i="2"/>
  <c r="BA8" i="2"/>
  <c r="B50" i="2"/>
  <c r="C204" i="2"/>
  <c r="AN8" i="2"/>
  <c r="C200" i="2"/>
  <c r="BT78" i="2"/>
  <c r="AG224" i="2"/>
  <c r="K12" i="2"/>
  <c r="AP147" i="2"/>
  <c r="AY62" i="2"/>
  <c r="W26" i="2"/>
  <c r="BU37" i="2"/>
  <c r="BV194" i="2"/>
  <c r="AP180" i="2"/>
  <c r="BK81" i="2"/>
  <c r="AO124" i="2"/>
  <c r="E157" i="2"/>
  <c r="L29" i="2"/>
  <c r="BK224" i="2"/>
  <c r="D74" i="2"/>
  <c r="D101" i="2"/>
  <c r="B43" i="2"/>
  <c r="AN68" i="2"/>
  <c r="C175" i="2"/>
  <c r="O228" i="2"/>
  <c r="B219" i="2"/>
  <c r="AP186" i="2"/>
  <c r="D187" i="2"/>
  <c r="AO225" i="2"/>
  <c r="D186" i="2"/>
  <c r="D8" i="2"/>
  <c r="N159" i="2"/>
  <c r="O164" i="2"/>
  <c r="AG227" i="2"/>
  <c r="N163" i="2"/>
  <c r="C131" i="2"/>
  <c r="BR202" i="2"/>
  <c r="F138" i="2"/>
  <c r="AQ184" i="2"/>
  <c r="M129" i="2"/>
  <c r="BH205" i="2"/>
  <c r="E225" i="2"/>
  <c r="BK20" i="2"/>
  <c r="F197" i="2"/>
  <c r="BJ162" i="2"/>
  <c r="L91" i="2"/>
  <c r="BL34" i="2"/>
  <c r="BB40" i="2"/>
  <c r="F32" i="2"/>
  <c r="F186" i="2"/>
  <c r="AX43" i="2"/>
  <c r="L52" i="2"/>
  <c r="D222" i="2"/>
  <c r="AO78" i="2"/>
  <c r="F117" i="2"/>
  <c r="AP146" i="2"/>
  <c r="O182" i="2"/>
  <c r="L207" i="2"/>
  <c r="D84" i="2"/>
  <c r="AF100" i="2"/>
  <c r="K176" i="2"/>
  <c r="BK31" i="2"/>
  <c r="BH96" i="2"/>
  <c r="K95" i="2"/>
  <c r="C169" i="2"/>
  <c r="BV44" i="2"/>
  <c r="BU224" i="2"/>
  <c r="B25" i="2"/>
  <c r="AD199" i="2"/>
  <c r="E194" i="2"/>
  <c r="F26" i="2"/>
  <c r="AR20" i="2"/>
  <c r="E4" i="2"/>
  <c r="N66" i="2"/>
  <c r="BL207" i="2"/>
  <c r="K130" i="2"/>
  <c r="BH172" i="2"/>
  <c r="BU50" i="2"/>
  <c r="AF113" i="2"/>
  <c r="C166" i="2"/>
  <c r="B209" i="2"/>
  <c r="M150" i="2"/>
  <c r="BA199" i="2"/>
  <c r="AO208" i="2"/>
  <c r="U147" i="2"/>
  <c r="AR180" i="2"/>
  <c r="B147" i="2"/>
  <c r="K92" i="2"/>
  <c r="BK36" i="2"/>
  <c r="AN141" i="2"/>
  <c r="BI34" i="2"/>
  <c r="C179" i="2"/>
  <c r="AZ106" i="2"/>
  <c r="D174" i="2"/>
  <c r="B211" i="2"/>
  <c r="M10" i="2"/>
  <c r="BB126" i="2"/>
  <c r="O149" i="2"/>
  <c r="BV22" i="2"/>
  <c r="AQ144" i="2"/>
  <c r="AX190" i="2"/>
  <c r="W3" i="2"/>
  <c r="F180" i="2"/>
  <c r="C127" i="2"/>
  <c r="BR91" i="2"/>
  <c r="BU59" i="2"/>
  <c r="AY228" i="2"/>
  <c r="BV179" i="2"/>
  <c r="BI46" i="2"/>
  <c r="L202" i="2"/>
  <c r="AN5" i="2"/>
  <c r="AX62" i="2"/>
  <c r="AO192" i="2"/>
  <c r="AX71" i="2"/>
  <c r="N135" i="2"/>
  <c r="AO156" i="2"/>
  <c r="F152" i="2"/>
  <c r="E193" i="2"/>
  <c r="D135" i="2"/>
  <c r="AX23" i="2"/>
  <c r="AQ18" i="2"/>
  <c r="K108" i="2"/>
  <c r="L145" i="2"/>
  <c r="BK70" i="2"/>
  <c r="BB182" i="2"/>
  <c r="AN180" i="2"/>
  <c r="M149" i="2"/>
  <c r="E9" i="2"/>
  <c r="BI30" i="2"/>
  <c r="BA13" i="2"/>
  <c r="E82" i="2"/>
  <c r="AP101" i="2"/>
  <c r="C145" i="2"/>
  <c r="C44" i="2"/>
  <c r="W12" i="2"/>
  <c r="AR160" i="2"/>
  <c r="BA149" i="2"/>
  <c r="AP104" i="2"/>
  <c r="M172" i="2"/>
  <c r="AX111" i="2"/>
  <c r="F121" i="2"/>
  <c r="O178" i="2"/>
  <c r="O229" i="2"/>
  <c r="B202" i="2"/>
  <c r="N207" i="2"/>
  <c r="E160" i="2"/>
  <c r="M190" i="2"/>
  <c r="N191" i="2"/>
  <c r="B113" i="2"/>
  <c r="AN109" i="2"/>
  <c r="B185" i="2"/>
  <c r="B200" i="2"/>
  <c r="K177" i="2"/>
  <c r="M124" i="2"/>
  <c r="C190" i="2"/>
  <c r="AR177" i="2"/>
  <c r="AE17" i="2"/>
  <c r="AQ51" i="2"/>
  <c r="AX178" i="2"/>
  <c r="AN12" i="2"/>
  <c r="F141" i="2"/>
  <c r="N210" i="2"/>
  <c r="U68" i="2"/>
  <c r="AN227" i="2"/>
  <c r="AQ206" i="2"/>
  <c r="AN128" i="2"/>
  <c r="AP37" i="2"/>
  <c r="C177" i="2"/>
  <c r="BJ3" i="2"/>
  <c r="BB55" i="2"/>
  <c r="BL191" i="2"/>
  <c r="BS183" i="2"/>
  <c r="L212" i="2"/>
  <c r="BU108" i="2"/>
  <c r="AZ110" i="2"/>
  <c r="AP60" i="2"/>
  <c r="BT222" i="2"/>
  <c r="O99" i="2"/>
  <c r="AO81" i="2"/>
  <c r="AH34" i="2"/>
  <c r="BS3" i="2"/>
  <c r="AO55" i="2"/>
  <c r="AE54" i="2"/>
  <c r="Y205" i="2"/>
  <c r="AF192" i="2"/>
  <c r="AE210" i="2"/>
  <c r="BA70" i="2"/>
  <c r="BV96" i="2"/>
  <c r="C48" i="2"/>
  <c r="BI215" i="2"/>
  <c r="BK168" i="2"/>
  <c r="N52" i="2"/>
  <c r="X156" i="2"/>
  <c r="AQ8" i="2"/>
  <c r="F39" i="2"/>
  <c r="AG96" i="2"/>
  <c r="O88" i="2"/>
  <c r="AP22" i="2"/>
  <c r="L34" i="2"/>
  <c r="AY17" i="2"/>
  <c r="B205" i="2"/>
  <c r="AF13" i="2"/>
  <c r="BS142" i="2"/>
  <c r="AO196" i="2"/>
  <c r="AN170" i="2"/>
  <c r="AY225" i="2"/>
  <c r="AR88" i="2"/>
  <c r="AY18" i="2"/>
  <c r="B228" i="2"/>
  <c r="BB227" i="2"/>
  <c r="BJ85" i="2"/>
  <c r="AG208" i="2"/>
  <c r="F70" i="2"/>
  <c r="N184" i="2"/>
  <c r="BH104" i="2"/>
  <c r="AN101" i="2"/>
  <c r="AZ53" i="2"/>
  <c r="AN112" i="2"/>
  <c r="E145" i="2"/>
  <c r="AF78" i="2"/>
  <c r="BK30" i="2"/>
  <c r="BI36" i="2"/>
  <c r="L27" i="2"/>
  <c r="F61" i="2"/>
  <c r="AQ44" i="2"/>
  <c r="AN61" i="2"/>
  <c r="AN97" i="2"/>
  <c r="B151" i="2"/>
  <c r="C128" i="2"/>
  <c r="F125" i="2"/>
  <c r="L191" i="2"/>
  <c r="BL53" i="2"/>
  <c r="AQ108" i="2"/>
  <c r="BS75" i="2"/>
  <c r="Y214" i="2"/>
  <c r="D35" i="2"/>
  <c r="C178" i="2"/>
  <c r="B222" i="2"/>
  <c r="M107" i="2"/>
  <c r="M219" i="2"/>
  <c r="L88" i="2"/>
  <c r="D182" i="2"/>
  <c r="BU172" i="2"/>
  <c r="AO87" i="2"/>
  <c r="BV192" i="2"/>
  <c r="BA183" i="2"/>
  <c r="L161" i="2"/>
  <c r="AO212" i="2"/>
  <c r="AF49" i="2"/>
  <c r="AH55" i="2"/>
  <c r="E228" i="2"/>
  <c r="C67" i="2"/>
  <c r="O69" i="2"/>
  <c r="BA39" i="2"/>
  <c r="AN211" i="2"/>
  <c r="D154" i="2"/>
  <c r="BI61" i="2"/>
  <c r="F41" i="2"/>
  <c r="N35" i="2"/>
  <c r="C68" i="2"/>
  <c r="AX12" i="2"/>
  <c r="D45" i="2"/>
  <c r="C60" i="2"/>
  <c r="B186" i="2"/>
  <c r="AN59" i="2"/>
  <c r="AP142" i="2"/>
  <c r="BB214" i="2"/>
  <c r="BL61" i="2"/>
  <c r="D210" i="2"/>
  <c r="AE219" i="2"/>
  <c r="W128" i="2"/>
  <c r="B180" i="2"/>
  <c r="N152" i="2"/>
  <c r="O165" i="2"/>
  <c r="AR113" i="2"/>
  <c r="N115" i="2"/>
  <c r="E15" i="2"/>
  <c r="L213" i="2"/>
  <c r="AN73" i="2"/>
  <c r="N124" i="2"/>
  <c r="F9" i="2"/>
  <c r="E84" i="2"/>
  <c r="E11" i="2"/>
  <c r="BA218" i="2"/>
  <c r="AY152" i="2"/>
  <c r="AO79" i="2"/>
  <c r="AH121" i="2"/>
  <c r="BJ154" i="2"/>
  <c r="F55" i="2"/>
  <c r="BB125" i="2"/>
  <c r="BI81" i="2"/>
  <c r="L128" i="2"/>
  <c r="O148" i="2"/>
  <c r="AY61" i="2"/>
  <c r="AD209" i="2"/>
  <c r="AO62" i="2"/>
  <c r="D225" i="2"/>
  <c r="D141" i="2"/>
  <c r="AP222" i="2"/>
  <c r="B163" i="2"/>
  <c r="BL127" i="2"/>
  <c r="B101" i="2"/>
  <c r="BB207" i="2"/>
  <c r="AP112" i="2"/>
  <c r="F222" i="2"/>
  <c r="D215" i="2"/>
  <c r="B223" i="2"/>
  <c r="D179" i="2"/>
  <c r="M29" i="2"/>
  <c r="AX118" i="2"/>
  <c r="M32" i="2"/>
  <c r="N199" i="2"/>
  <c r="N206" i="2"/>
  <c r="E95" i="2"/>
  <c r="D150" i="2"/>
  <c r="N10" i="2"/>
  <c r="K146" i="2"/>
  <c r="AX199" i="2"/>
  <c r="BA222" i="2"/>
  <c r="BJ87" i="2"/>
  <c r="AP213" i="2"/>
  <c r="C97" i="2"/>
  <c r="D55" i="2"/>
  <c r="BH204" i="2"/>
  <c r="D76" i="2"/>
  <c r="D165" i="2"/>
  <c r="AR115" i="2"/>
  <c r="AQ21" i="2"/>
  <c r="AN202" i="2"/>
  <c r="K183" i="2"/>
  <c r="AY137" i="2"/>
  <c r="AN143" i="2"/>
  <c r="E150" i="2"/>
  <c r="M56" i="2"/>
  <c r="AZ3" i="2"/>
  <c r="AO193" i="2"/>
  <c r="O151" i="2"/>
  <c r="B161" i="2"/>
  <c r="E123" i="2"/>
  <c r="F171" i="2"/>
  <c r="BI99" i="2"/>
  <c r="U83" i="2"/>
  <c r="C89" i="2"/>
  <c r="M163" i="2"/>
  <c r="O174" i="2"/>
  <c r="N69" i="2"/>
  <c r="BU186" i="2"/>
  <c r="F8" i="2"/>
  <c r="K193" i="2"/>
  <c r="AN156" i="2"/>
  <c r="AN14" i="2"/>
  <c r="D176" i="2"/>
  <c r="AZ91" i="2"/>
  <c r="F17" i="2"/>
  <c r="F77" i="2"/>
  <c r="AP34" i="2"/>
  <c r="BI50" i="2"/>
  <c r="K206" i="2"/>
  <c r="N48" i="2"/>
  <c r="U169" i="2"/>
  <c r="AH202" i="2"/>
  <c r="F30" i="2"/>
  <c r="C224" i="2"/>
  <c r="D177" i="2"/>
  <c r="AY144" i="2"/>
  <c r="BR154" i="2"/>
  <c r="AO40" i="2"/>
  <c r="C112" i="2"/>
  <c r="B57" i="2"/>
  <c r="B85" i="2"/>
  <c r="C115" i="2"/>
  <c r="N84" i="2"/>
  <c r="F140" i="2"/>
  <c r="AP164" i="2"/>
  <c r="AY188" i="2"/>
  <c r="AX176" i="2"/>
  <c r="BI166" i="2"/>
  <c r="AP215" i="2"/>
  <c r="K33" i="2"/>
  <c r="O194" i="2"/>
  <c r="N79" i="2"/>
  <c r="BS148" i="2"/>
  <c r="C121" i="2"/>
  <c r="AE138" i="2"/>
  <c r="F220" i="2"/>
  <c r="E64" i="2"/>
  <c r="BV137" i="2"/>
  <c r="AN151" i="2"/>
  <c r="C216" i="2"/>
  <c r="K70" i="2"/>
  <c r="N25" i="2"/>
  <c r="BA35" i="2"/>
  <c r="AN47" i="2"/>
  <c r="AP28" i="2"/>
  <c r="F135" i="2"/>
  <c r="C199" i="2"/>
  <c r="C181" i="2"/>
  <c r="C6" i="2"/>
  <c r="B155" i="2"/>
  <c r="E224" i="2"/>
  <c r="AP135" i="2"/>
  <c r="B94" i="2"/>
  <c r="AN139" i="2"/>
  <c r="D196" i="2"/>
  <c r="K50" i="2"/>
  <c r="AP6" i="2"/>
  <c r="C62" i="2"/>
  <c r="C141" i="2"/>
  <c r="BH106" i="2"/>
  <c r="B80" i="2"/>
  <c r="AQ104" i="2"/>
  <c r="B133" i="2"/>
  <c r="D189" i="2"/>
  <c r="AQ70" i="2"/>
  <c r="BV37" i="2"/>
  <c r="BI151" i="2"/>
  <c r="C49" i="2"/>
  <c r="AX75" i="2"/>
  <c r="B8" i="2"/>
  <c r="BK82" i="2"/>
  <c r="O185" i="2"/>
  <c r="AN179" i="2"/>
  <c r="F75" i="2"/>
  <c r="K131" i="2"/>
  <c r="AR69" i="2"/>
  <c r="AY222" i="2"/>
  <c r="E179" i="2"/>
  <c r="L121" i="2"/>
  <c r="AH39" i="2"/>
  <c r="D29" i="2"/>
  <c r="BB170" i="2"/>
  <c r="BK128" i="2"/>
  <c r="F82" i="2"/>
  <c r="BL205" i="2"/>
  <c r="AR194" i="2"/>
  <c r="C54" i="2"/>
  <c r="BV33" i="2"/>
  <c r="AZ213" i="2"/>
  <c r="BU91" i="2"/>
  <c r="BA182" i="2"/>
  <c r="B29" i="2"/>
  <c r="BU200" i="2"/>
  <c r="E222" i="2"/>
  <c r="AN208" i="2"/>
  <c r="AQ98" i="2"/>
  <c r="AR72" i="2"/>
  <c r="AX189" i="2"/>
  <c r="D207" i="2"/>
  <c r="AP26" i="2"/>
  <c r="BK72" i="2"/>
  <c r="M61" i="2"/>
  <c r="AX67" i="2"/>
  <c r="E162" i="2"/>
  <c r="BH151" i="2"/>
  <c r="AP50" i="2"/>
  <c r="K217" i="2"/>
  <c r="BB168" i="2"/>
  <c r="AZ170" i="2"/>
  <c r="AY54" i="2"/>
  <c r="M42" i="2"/>
  <c r="O155" i="2"/>
  <c r="E18" i="2"/>
  <c r="N103" i="2"/>
  <c r="B106" i="2"/>
  <c r="O43" i="2"/>
  <c r="AF149" i="2"/>
  <c r="AR65" i="2"/>
  <c r="AP13" i="2"/>
  <c r="BV101" i="2"/>
  <c r="AF19" i="2"/>
  <c r="L182" i="2"/>
  <c r="F172" i="2"/>
  <c r="BL85" i="2"/>
  <c r="L227" i="2"/>
  <c r="AO49" i="2"/>
  <c r="M192" i="2"/>
  <c r="AR147" i="2"/>
  <c r="K229" i="2"/>
  <c r="C191" i="2"/>
  <c r="AY103" i="2"/>
  <c r="BH57" i="2"/>
  <c r="BJ190" i="2"/>
  <c r="BB176" i="2"/>
  <c r="E85" i="2"/>
  <c r="C207" i="2"/>
  <c r="C202" i="2"/>
  <c r="F185" i="2"/>
  <c r="M115" i="2"/>
  <c r="M120" i="2"/>
  <c r="O198" i="2"/>
  <c r="D220" i="2"/>
  <c r="E130" i="2"/>
  <c r="BS195" i="2"/>
  <c r="AX156" i="2"/>
  <c r="C154" i="2"/>
  <c r="B124" i="2"/>
  <c r="C94" i="2"/>
  <c r="D64" i="2"/>
  <c r="F201" i="2"/>
  <c r="C35" i="2"/>
  <c r="E161" i="2"/>
  <c r="C13" i="2"/>
  <c r="D58" i="2"/>
  <c r="F177" i="2"/>
  <c r="D216" i="2"/>
  <c r="BS212" i="2"/>
  <c r="O124" i="2"/>
  <c r="M161" i="2"/>
  <c r="BI159" i="2"/>
  <c r="AY53" i="2"/>
  <c r="AP228" i="2"/>
  <c r="F191" i="2"/>
  <c r="B203" i="2"/>
  <c r="BT207" i="2"/>
  <c r="B162" i="2"/>
  <c r="L32" i="2"/>
  <c r="AE122" i="2"/>
  <c r="K218" i="2"/>
  <c r="B73" i="2"/>
  <c r="K4" i="2"/>
  <c r="BL219" i="2"/>
  <c r="L183" i="2"/>
  <c r="BH130" i="2"/>
  <c r="BT164" i="2"/>
  <c r="M152" i="2"/>
  <c r="B176" i="2"/>
  <c r="C22" i="2"/>
  <c r="M164" i="2"/>
  <c r="AO114" i="2"/>
  <c r="F56" i="2"/>
  <c r="N128" i="2"/>
  <c r="K207" i="2"/>
  <c r="N76" i="2"/>
  <c r="C30" i="2"/>
  <c r="K137" i="2"/>
  <c r="L96" i="2"/>
  <c r="E34" i="2"/>
  <c r="BB211" i="2"/>
  <c r="K178" i="2"/>
  <c r="D171" i="2"/>
  <c r="D104" i="2"/>
  <c r="E23" i="2"/>
  <c r="D25" i="2"/>
  <c r="AQ94" i="2"/>
  <c r="F112" i="2"/>
  <c r="E156" i="2"/>
  <c r="BL75" i="2"/>
  <c r="E24" i="2"/>
  <c r="AQ154" i="2"/>
  <c r="AY126" i="2"/>
  <c r="BB50" i="2"/>
  <c r="M204" i="2"/>
  <c r="AD85" i="2"/>
  <c r="BB32" i="2"/>
  <c r="AY70" i="2"/>
  <c r="E110" i="2"/>
  <c r="AO30" i="2"/>
  <c r="BR219" i="2"/>
  <c r="AO134" i="2"/>
  <c r="D162" i="2"/>
  <c r="BV72" i="2"/>
  <c r="AZ16" i="2"/>
  <c r="AE208" i="2"/>
  <c r="F50" i="2"/>
  <c r="D130" i="2"/>
  <c r="B227" i="2"/>
  <c r="M167" i="2"/>
  <c r="AR61" i="2"/>
  <c r="M95" i="2"/>
  <c r="AP172" i="2"/>
  <c r="O3" i="2"/>
  <c r="K3" i="2"/>
  <c r="F71" i="2"/>
  <c r="D132" i="2"/>
  <c r="L209" i="2"/>
  <c r="B115" i="2"/>
  <c r="D86" i="2"/>
  <c r="AR50" i="2"/>
  <c r="B160" i="2"/>
  <c r="F38" i="2"/>
  <c r="AN72" i="2"/>
  <c r="AQ84" i="2"/>
  <c r="W192" i="2"/>
  <c r="D211" i="2"/>
  <c r="C159" i="2"/>
  <c r="BI110" i="2"/>
  <c r="O221" i="2"/>
  <c r="AR12" i="2"/>
  <c r="L3" i="2"/>
  <c r="N178" i="2"/>
  <c r="BB185" i="2"/>
  <c r="O225" i="2"/>
  <c r="E201" i="2"/>
  <c r="O108" i="2"/>
  <c r="L199" i="2"/>
  <c r="AN21" i="2"/>
  <c r="BJ31" i="2"/>
  <c r="AZ166" i="2"/>
  <c r="AD182" i="2"/>
  <c r="C142" i="2"/>
  <c r="AX110" i="2"/>
  <c r="AR58" i="2"/>
  <c r="F90" i="2"/>
  <c r="C24" i="2"/>
  <c r="K106" i="2"/>
  <c r="BK229" i="2"/>
  <c r="M27" i="2"/>
  <c r="BB139" i="2"/>
  <c r="N92" i="2"/>
  <c r="BL229" i="2"/>
  <c r="C205" i="2"/>
  <c r="E108" i="2"/>
  <c r="X226" i="2"/>
  <c r="AG162" i="2"/>
  <c r="AX183" i="2"/>
  <c r="D61" i="2"/>
  <c r="N26" i="2"/>
  <c r="AQ178" i="2"/>
  <c r="AO15" i="2"/>
  <c r="D27" i="2"/>
  <c r="C102" i="2"/>
  <c r="BK63" i="2"/>
  <c r="BL111" i="2"/>
  <c r="F154" i="2"/>
  <c r="N196" i="2"/>
  <c r="AX19" i="2"/>
  <c r="E135" i="2"/>
  <c r="AZ149" i="2"/>
  <c r="L126" i="2"/>
  <c r="F146" i="2"/>
  <c r="C196" i="2"/>
  <c r="AN110" i="2"/>
  <c r="AD3" i="2"/>
  <c r="D73" i="2"/>
  <c r="D22" i="2"/>
  <c r="F139" i="2"/>
  <c r="L136" i="2"/>
  <c r="C15" i="2"/>
  <c r="F62" i="2"/>
  <c r="D145" i="2"/>
  <c r="E36" i="2"/>
  <c r="BV3" i="2"/>
  <c r="M199" i="2"/>
  <c r="C137" i="2"/>
  <c r="M200" i="2"/>
  <c r="AO4" i="2"/>
  <c r="L186" i="2"/>
  <c r="AP188" i="2"/>
  <c r="D119" i="2"/>
  <c r="BA102" i="2"/>
  <c r="AN162" i="2"/>
  <c r="BH61" i="2"/>
  <c r="AR22" i="2"/>
  <c r="N166" i="2"/>
  <c r="L222" i="2"/>
  <c r="F200" i="2"/>
  <c r="M88" i="2"/>
  <c r="K80" i="2"/>
  <c r="BK203" i="2"/>
  <c r="M159" i="2"/>
  <c r="BB160" i="2"/>
  <c r="AY209" i="2"/>
  <c r="B74" i="2"/>
  <c r="C29" i="2"/>
  <c r="D205" i="2"/>
  <c r="E105" i="2"/>
  <c r="D181" i="2"/>
  <c r="BH3" i="2"/>
  <c r="AP5" i="2"/>
  <c r="BA153" i="2"/>
  <c r="M191" i="2"/>
  <c r="B104" i="2"/>
  <c r="AY205" i="2"/>
  <c r="B69" i="2"/>
  <c r="B86" i="2"/>
  <c r="AY28" i="2"/>
  <c r="O78" i="2"/>
  <c r="F94" i="2"/>
  <c r="C228" i="2"/>
  <c r="AO229" i="2"/>
  <c r="AP144" i="2"/>
  <c r="V116" i="2"/>
  <c r="L220" i="2"/>
  <c r="AP66" i="2"/>
  <c r="L129" i="2"/>
  <c r="N133" i="2"/>
  <c r="E114" i="2"/>
  <c r="AX17" i="2"/>
  <c r="V68" i="2"/>
  <c r="BT26" i="2"/>
  <c r="AG33" i="2"/>
  <c r="BV206" i="2"/>
  <c r="BR193" i="2"/>
  <c r="O166" i="2"/>
  <c r="BH206" i="2"/>
  <c r="AQ201" i="2"/>
  <c r="O136" i="2"/>
  <c r="X114" i="2"/>
  <c r="BH170" i="2"/>
  <c r="L189" i="2"/>
  <c r="E75" i="2"/>
  <c r="K62" i="2"/>
  <c r="AN55" i="2"/>
  <c r="L148" i="2"/>
  <c r="Y128" i="2"/>
  <c r="BU153" i="2"/>
  <c r="BL199" i="2"/>
  <c r="BK106" i="2"/>
  <c r="BU6" i="2"/>
  <c r="F192" i="2"/>
  <c r="AD204" i="2"/>
  <c r="E200" i="2"/>
  <c r="BI201" i="2"/>
  <c r="K90" i="2"/>
  <c r="AY192" i="2"/>
  <c r="N160" i="2"/>
  <c r="AR187" i="2"/>
  <c r="BU159" i="2"/>
  <c r="AQ46" i="2"/>
  <c r="L228" i="2"/>
  <c r="O219" i="2"/>
  <c r="AN191" i="2"/>
  <c r="F104" i="2"/>
  <c r="AO144" i="2"/>
  <c r="O118" i="2"/>
  <c r="N165" i="2"/>
  <c r="F19" i="2"/>
  <c r="AO195" i="2"/>
  <c r="BI19" i="2"/>
  <c r="AG27" i="2"/>
  <c r="D17" i="2"/>
  <c r="BJ109" i="2"/>
  <c r="D147" i="2"/>
  <c r="AN194" i="2"/>
  <c r="K64" i="2"/>
  <c r="AO86" i="2"/>
  <c r="F35" i="2"/>
  <c r="E205" i="2"/>
  <c r="BB10" i="2"/>
  <c r="AN76" i="2"/>
  <c r="BB212" i="2"/>
  <c r="C66" i="2"/>
  <c r="O210" i="2"/>
  <c r="AX226" i="2"/>
  <c r="BJ34" i="2"/>
  <c r="AG226" i="2"/>
  <c r="F137" i="2"/>
  <c r="BJ213" i="2"/>
  <c r="L144" i="2"/>
  <c r="B181" i="2"/>
  <c r="O95" i="2"/>
  <c r="B122" i="2"/>
  <c r="E94" i="2"/>
  <c r="C46" i="2"/>
  <c r="X3" i="2"/>
  <c r="E93" i="2"/>
  <c r="E214" i="2"/>
  <c r="B139" i="2"/>
  <c r="M174" i="2"/>
  <c r="AN17" i="2"/>
  <c r="C210" i="2"/>
  <c r="N189" i="2"/>
  <c r="L41" i="2"/>
  <c r="M133" i="2"/>
  <c r="AO170" i="2"/>
  <c r="O114" i="2"/>
  <c r="E170" i="2"/>
  <c r="E139" i="2"/>
  <c r="M134" i="2"/>
  <c r="F179" i="2"/>
  <c r="B218" i="2"/>
  <c r="BJ145" i="2"/>
  <c r="AO122" i="2"/>
  <c r="BB158" i="2"/>
  <c r="B28" i="2"/>
  <c r="N226" i="2"/>
  <c r="AF41" i="2"/>
  <c r="BL224" i="2"/>
  <c r="AZ75" i="2"/>
  <c r="AQ25" i="2"/>
  <c r="F23" i="2"/>
  <c r="D82" i="2"/>
  <c r="F188" i="2"/>
  <c r="BR221" i="2"/>
  <c r="B88" i="2"/>
  <c r="AE223" i="2"/>
  <c r="AR142" i="2"/>
  <c r="O65" i="2"/>
  <c r="L122" i="2"/>
  <c r="BR160" i="2"/>
  <c r="BL44" i="2"/>
  <c r="BI171" i="2"/>
  <c r="F206" i="2"/>
  <c r="AZ206" i="2"/>
  <c r="AY57" i="2"/>
  <c r="E128" i="2"/>
  <c r="BB220" i="2"/>
  <c r="AN209" i="2"/>
  <c r="F53" i="2"/>
  <c r="V186" i="2"/>
  <c r="AQ166" i="2"/>
  <c r="F211" i="2"/>
  <c r="AX42" i="2"/>
  <c r="L160" i="2"/>
  <c r="AZ161" i="2"/>
  <c r="AP3" i="2"/>
  <c r="AR103" i="2"/>
  <c r="BS90" i="2"/>
  <c r="BK148" i="2"/>
  <c r="AX150" i="2"/>
  <c r="BH156" i="2"/>
  <c r="F193" i="2"/>
  <c r="B143" i="2"/>
  <c r="F109" i="2"/>
  <c r="BR90" i="2"/>
  <c r="AR106" i="2"/>
  <c r="C81" i="2"/>
  <c r="AO188" i="2"/>
  <c r="AR172" i="2"/>
  <c r="L167" i="2"/>
  <c r="C215" i="2"/>
  <c r="O107" i="2"/>
  <c r="D80" i="2"/>
  <c r="C195" i="2"/>
  <c r="AN218" i="2"/>
  <c r="O13" i="2"/>
  <c r="C101" i="2"/>
  <c r="BI44" i="2"/>
  <c r="BH80" i="2"/>
  <c r="B194" i="2"/>
  <c r="D157" i="2"/>
  <c r="O60" i="2"/>
  <c r="AX48" i="2"/>
  <c r="N5" i="2"/>
  <c r="BV98" i="2"/>
  <c r="BU158" i="2"/>
  <c r="E174" i="2"/>
  <c r="BU162" i="2"/>
  <c r="AO120" i="2"/>
  <c r="O144" i="2"/>
  <c r="C192" i="2"/>
  <c r="AR130" i="2"/>
  <c r="O10" i="2"/>
  <c r="BR46" i="2"/>
  <c r="K139" i="2"/>
  <c r="B93" i="2"/>
  <c r="M173" i="2"/>
  <c r="M214" i="2"/>
  <c r="N57" i="2"/>
  <c r="C116" i="2"/>
  <c r="D5" i="2"/>
  <c r="E21" i="2"/>
  <c r="BJ15" i="2"/>
  <c r="D24" i="2"/>
  <c r="AX30" i="2"/>
  <c r="C110" i="2"/>
  <c r="BT150" i="2"/>
  <c r="N205" i="2"/>
  <c r="F69" i="2"/>
  <c r="M19" i="2"/>
  <c r="F161" i="2"/>
  <c r="F165" i="2"/>
  <c r="V75" i="2"/>
  <c r="BJ98" i="2"/>
  <c r="B66" i="2"/>
  <c r="M5" i="2"/>
  <c r="B175" i="2"/>
  <c r="AO23" i="2"/>
  <c r="AN226" i="2"/>
  <c r="AP27" i="2"/>
  <c r="L84" i="2"/>
  <c r="N120" i="2"/>
  <c r="U222" i="2"/>
  <c r="AE88" i="2"/>
  <c r="AG14" i="2"/>
  <c r="AO226" i="2"/>
  <c r="BA148" i="2"/>
  <c r="AE142" i="2"/>
  <c r="M74" i="2"/>
  <c r="AQ91" i="2"/>
  <c r="AE183" i="2"/>
  <c r="C140" i="2"/>
  <c r="BU188" i="2"/>
  <c r="C77" i="2"/>
  <c r="F215" i="2"/>
  <c r="AN150" i="2"/>
  <c r="BJ89" i="2"/>
  <c r="BB150" i="2"/>
  <c r="E45" i="2"/>
  <c r="AF33" i="2"/>
  <c r="B142" i="2"/>
  <c r="AN39" i="2"/>
  <c r="AF153" i="2"/>
  <c r="BV24" i="2"/>
  <c r="BK166" i="2"/>
  <c r="AX9" i="2"/>
  <c r="AP140" i="2"/>
  <c r="Y206" i="2"/>
  <c r="M51" i="2"/>
  <c r="C176" i="2"/>
  <c r="AQ157" i="2"/>
  <c r="AP64" i="2"/>
  <c r="F205" i="2"/>
  <c r="AZ84" i="2"/>
  <c r="B34" i="2"/>
  <c r="AP29" i="2"/>
  <c r="V170" i="2"/>
  <c r="AZ86" i="2"/>
  <c r="F228" i="2"/>
  <c r="AP93" i="2"/>
  <c r="AR60" i="2"/>
  <c r="BI132" i="2"/>
  <c r="B53" i="2"/>
  <c r="F126" i="2"/>
  <c r="AX158" i="2"/>
  <c r="B179" i="2"/>
  <c r="L224" i="2"/>
  <c r="AN57" i="2"/>
  <c r="F198" i="2"/>
  <c r="L109" i="2"/>
  <c r="AZ134" i="2"/>
  <c r="AQ6" i="2"/>
  <c r="O34" i="2"/>
  <c r="BJ27" i="2"/>
  <c r="F81" i="2"/>
  <c r="BS21" i="2"/>
  <c r="B13" i="2"/>
  <c r="BS189" i="2"/>
  <c r="AY66" i="2"/>
  <c r="C8" i="2"/>
  <c r="F194" i="2"/>
  <c r="U149" i="2"/>
  <c r="AN182" i="2"/>
  <c r="BA78" i="2"/>
  <c r="AP54" i="2"/>
  <c r="AZ186" i="2"/>
  <c r="E97" i="2"/>
  <c r="B204" i="2"/>
  <c r="L226" i="2"/>
  <c r="C217" i="2"/>
  <c r="D60" i="2"/>
  <c r="E59" i="2"/>
  <c r="F148" i="2"/>
  <c r="K168" i="2"/>
  <c r="B119" i="2"/>
  <c r="D159" i="2"/>
  <c r="N200" i="2"/>
  <c r="O25" i="2"/>
  <c r="C52" i="2"/>
  <c r="BI144" i="2"/>
  <c r="N62" i="2"/>
  <c r="C203" i="2"/>
  <c r="K204" i="2"/>
  <c r="L193" i="2"/>
  <c r="M132" i="2"/>
  <c r="BK116" i="2"/>
  <c r="AN127" i="2"/>
  <c r="B24" i="2"/>
  <c r="E144" i="2"/>
  <c r="K76" i="2"/>
  <c r="BU142" i="2"/>
  <c r="BV86" i="2"/>
  <c r="K228" i="2"/>
  <c r="D88" i="2"/>
  <c r="F130" i="2"/>
  <c r="AZ117" i="2"/>
  <c r="BU187" i="2"/>
  <c r="E189" i="2"/>
  <c r="AX149" i="2"/>
  <c r="D79" i="2"/>
  <c r="O193" i="2"/>
  <c r="D192" i="2"/>
  <c r="N64" i="2"/>
  <c r="C19" i="2"/>
  <c r="AY40" i="2"/>
  <c r="D180" i="2"/>
  <c r="BA3" i="2"/>
  <c r="O153" i="2"/>
  <c r="AR66" i="2"/>
  <c r="BJ36" i="2"/>
  <c r="F129" i="2"/>
  <c r="Y59" i="2"/>
  <c r="D200" i="2"/>
  <c r="BK173" i="2"/>
  <c r="K143" i="2"/>
  <c r="AR121" i="2"/>
  <c r="F202" i="2"/>
  <c r="M78" i="2"/>
  <c r="BS166" i="2"/>
  <c r="AR211" i="2"/>
  <c r="D144" i="2"/>
  <c r="AQ11" i="2"/>
  <c r="BR3" i="2"/>
  <c r="AH163" i="2"/>
  <c r="D146" i="2"/>
  <c r="BH55" i="2"/>
  <c r="BA129" i="2"/>
  <c r="L65" i="2"/>
  <c r="AD211" i="2"/>
  <c r="D47" i="2"/>
  <c r="AH200" i="2"/>
  <c r="E101" i="2"/>
  <c r="AD202" i="2"/>
  <c r="D41" i="2"/>
  <c r="D148" i="2"/>
  <c r="BJ150" i="2"/>
  <c r="F6" i="2"/>
  <c r="BA162" i="2"/>
  <c r="BT65" i="2"/>
  <c r="O21" i="2"/>
  <c r="AQ74" i="2"/>
  <c r="F7" i="2"/>
  <c r="AX129" i="2"/>
  <c r="F128" i="2"/>
  <c r="O196" i="2"/>
  <c r="D97" i="2"/>
  <c r="L165" i="2"/>
  <c r="AP212" i="2"/>
  <c r="K17" i="2"/>
  <c r="B15" i="2"/>
  <c r="C26" i="2"/>
  <c r="W205" i="2"/>
  <c r="BR190" i="2"/>
  <c r="O120" i="2"/>
  <c r="AN122" i="2"/>
  <c r="C69" i="2"/>
  <c r="E210" i="2"/>
  <c r="E33" i="2"/>
  <c r="AP68" i="2"/>
  <c r="B79" i="2"/>
  <c r="AY136" i="2"/>
  <c r="AN16" i="2"/>
  <c r="BA120" i="2"/>
  <c r="AQ30" i="2"/>
  <c r="AH46" i="2"/>
  <c r="N8" i="2"/>
  <c r="BA49" i="2"/>
  <c r="F64" i="2"/>
  <c r="BL102" i="2"/>
  <c r="AQ213" i="2"/>
  <c r="M28" i="2"/>
  <c r="O217" i="2"/>
  <c r="K186" i="2"/>
  <c r="BA211" i="2"/>
  <c r="L24" i="2"/>
  <c r="BR207" i="2"/>
  <c r="C214" i="2"/>
  <c r="BB172" i="2"/>
  <c r="AO83" i="2"/>
  <c r="BS213" i="2"/>
  <c r="D134" i="2"/>
  <c r="B149" i="2"/>
  <c r="L172" i="2"/>
  <c r="M16" i="2"/>
  <c r="M9" i="2"/>
  <c r="B60" i="2"/>
  <c r="BT77" i="2"/>
  <c r="AO3" i="2"/>
  <c r="BA45" i="2"/>
  <c r="K122" i="2"/>
  <c r="BI168" i="2"/>
  <c r="AY142" i="2"/>
  <c r="D37" i="2"/>
  <c r="D81" i="2"/>
  <c r="L104" i="2"/>
  <c r="D11" i="2"/>
  <c r="AN99" i="2"/>
  <c r="E126" i="2"/>
  <c r="BS175" i="2"/>
  <c r="AQ182" i="2"/>
  <c r="B129" i="2"/>
  <c r="BR225" i="2"/>
  <c r="K160" i="2"/>
  <c r="F116" i="2"/>
  <c r="F80" i="2"/>
  <c r="BA67" i="2"/>
  <c r="K74" i="2"/>
  <c r="AR116" i="2"/>
  <c r="AY138" i="2"/>
  <c r="BI189" i="2"/>
  <c r="E195" i="2"/>
  <c r="BJ78" i="2"/>
  <c r="L107" i="2"/>
  <c r="AP21" i="2"/>
  <c r="BB202" i="2"/>
  <c r="B170" i="2"/>
  <c r="O7" i="2"/>
  <c r="D23" i="2"/>
  <c r="C171" i="2"/>
  <c r="BH228" i="2"/>
  <c r="BJ64" i="2"/>
  <c r="AG229" i="2"/>
  <c r="AP152" i="2"/>
  <c r="L55" i="2"/>
  <c r="BA12" i="2"/>
  <c r="AY59" i="2"/>
  <c r="AN117" i="2"/>
  <c r="O4" i="2"/>
  <c r="E16" i="2"/>
  <c r="F111" i="2"/>
  <c r="BI149" i="2"/>
  <c r="BA200" i="2"/>
  <c r="E158" i="2"/>
  <c r="D164" i="2"/>
  <c r="M4" i="2"/>
  <c r="BB156" i="2"/>
  <c r="BJ14" i="2"/>
  <c r="AX200" i="2"/>
  <c r="AZ109" i="2"/>
  <c r="E79" i="2"/>
  <c r="B64" i="2"/>
  <c r="D99" i="2"/>
  <c r="AQ123" i="2"/>
  <c r="BJ32" i="2"/>
  <c r="M180" i="2"/>
  <c r="BB77" i="2"/>
  <c r="D7" i="2"/>
  <c r="D15" i="2"/>
  <c r="AZ70" i="2"/>
  <c r="AD50" i="2"/>
  <c r="AN67" i="2"/>
  <c r="C194" i="2"/>
  <c r="O81" i="2"/>
  <c r="M168" i="2"/>
  <c r="AQ188" i="2"/>
  <c r="AX115" i="2"/>
  <c r="L181" i="2"/>
  <c r="C39" i="2"/>
  <c r="F31" i="2"/>
  <c r="BI127" i="2"/>
  <c r="BH213" i="2"/>
  <c r="O224" i="2"/>
  <c r="AX93" i="2"/>
  <c r="AP4" i="2"/>
  <c r="BK16" i="2"/>
  <c r="AN160" i="2"/>
  <c r="AN31" i="2"/>
  <c r="O214" i="2"/>
  <c r="D212" i="2"/>
  <c r="BT147" i="2"/>
  <c r="B152" i="2"/>
  <c r="L67" i="2"/>
  <c r="AZ15" i="2"/>
  <c r="M136" i="2"/>
  <c r="AR41" i="2"/>
  <c r="O119" i="2"/>
  <c r="L215" i="2"/>
  <c r="C225" i="2"/>
  <c r="AY108" i="2"/>
  <c r="AX5" i="2"/>
  <c r="K167" i="2"/>
  <c r="AR178" i="2"/>
  <c r="AY46" i="2"/>
  <c r="K40" i="2"/>
  <c r="F58" i="2"/>
  <c r="BU27" i="2"/>
  <c r="D48" i="2"/>
  <c r="L12" i="2"/>
  <c r="V200" i="2"/>
  <c r="BB13" i="2"/>
  <c r="B140" i="2"/>
  <c r="BH140" i="2"/>
  <c r="BI103" i="2"/>
  <c r="D18" i="2"/>
  <c r="BJ158" i="2"/>
  <c r="D50" i="2"/>
  <c r="AO179" i="2"/>
  <c r="BK45" i="2"/>
  <c r="AH7" i="2"/>
  <c r="BI141" i="2"/>
  <c r="AO175" i="2"/>
  <c r="AP108" i="2"/>
  <c r="M135" i="2"/>
  <c r="L87" i="2"/>
  <c r="AQ132" i="2"/>
  <c r="M3" i="2"/>
  <c r="N216" i="2"/>
  <c r="BJ121" i="2"/>
  <c r="C72" i="2"/>
  <c r="AO56" i="2"/>
  <c r="B184" i="2"/>
  <c r="BB199" i="2"/>
  <c r="N141" i="2"/>
  <c r="U220" i="2"/>
  <c r="O90" i="2"/>
  <c r="K115" i="2"/>
  <c r="B83" i="2"/>
  <c r="K215" i="2"/>
  <c r="N98" i="2"/>
  <c r="E69" i="2"/>
  <c r="D149" i="2"/>
  <c r="AQ143" i="2"/>
  <c r="N134" i="2"/>
  <c r="W16" i="2"/>
  <c r="AR218" i="2"/>
  <c r="B38" i="2"/>
  <c r="D155" i="2"/>
  <c r="AR5" i="2"/>
  <c r="E206" i="2"/>
  <c r="N164" i="2"/>
  <c r="BK112" i="2"/>
  <c r="AY197" i="2"/>
  <c r="AY38" i="2"/>
  <c r="F49" i="2"/>
  <c r="AO172" i="2"/>
  <c r="E227" i="2"/>
  <c r="K197" i="2"/>
  <c r="AY172" i="2"/>
  <c r="BT106" i="2"/>
  <c r="L117" i="2"/>
  <c r="AR11" i="2"/>
  <c r="B99" i="2"/>
  <c r="AR49" i="2"/>
  <c r="M108" i="2"/>
  <c r="O6" i="2"/>
  <c r="N81" i="2"/>
  <c r="AZ155" i="2"/>
  <c r="AR155" i="2"/>
  <c r="L138" i="2"/>
  <c r="AN176" i="2"/>
  <c r="K83" i="2"/>
  <c r="C114" i="2"/>
  <c r="AH84" i="2"/>
  <c r="D175" i="2"/>
  <c r="AQ147" i="2"/>
  <c r="BB3" i="2"/>
  <c r="M211" i="2"/>
  <c r="O44" i="2"/>
  <c r="BB21" i="2"/>
  <c r="N46" i="2"/>
  <c r="E63" i="2"/>
  <c r="AO129" i="2"/>
  <c r="BT119" i="2"/>
  <c r="AO165" i="2"/>
  <c r="D190" i="2"/>
  <c r="BU229" i="2"/>
  <c r="M157" i="2"/>
  <c r="BA202" i="2"/>
  <c r="D197" i="2"/>
  <c r="C180" i="2"/>
  <c r="K200" i="2"/>
  <c r="B89" i="2"/>
  <c r="F97" i="2"/>
  <c r="L162" i="2"/>
  <c r="W160" i="2"/>
  <c r="O223" i="2"/>
  <c r="E12" i="2"/>
  <c r="C5" i="2"/>
  <c r="X228" i="2"/>
  <c r="K60" i="2"/>
  <c r="BU217" i="2"/>
  <c r="BA58" i="2"/>
  <c r="AP97" i="2"/>
  <c r="O58" i="2"/>
  <c r="AZ217" i="2"/>
  <c r="N14" i="2"/>
  <c r="AY120" i="2"/>
  <c r="C135" i="2"/>
  <c r="BV34" i="2"/>
  <c r="O197" i="2"/>
  <c r="AY100" i="2"/>
  <c r="AO116" i="2"/>
  <c r="AN41" i="2"/>
  <c r="BI40" i="2"/>
  <c r="AD125" i="2"/>
  <c r="O63" i="2"/>
  <c r="BL8" i="2"/>
  <c r="D206" i="2"/>
  <c r="O192" i="2"/>
  <c r="BH154" i="2"/>
  <c r="M155" i="2"/>
  <c r="N94" i="2"/>
  <c r="L132" i="2"/>
  <c r="M89" i="2"/>
  <c r="B193" i="2"/>
  <c r="AQ222" i="2"/>
  <c r="O47" i="2"/>
  <c r="BR33" i="2"/>
  <c r="K135" i="2"/>
  <c r="AQ168" i="2"/>
  <c r="B109" i="2"/>
  <c r="BK202" i="2"/>
  <c r="M175" i="2"/>
  <c r="K34" i="2"/>
  <c r="F51" i="2"/>
  <c r="AF221" i="2"/>
  <c r="B165" i="2"/>
  <c r="B132" i="2"/>
  <c r="AQ138" i="2"/>
  <c r="AO132" i="2"/>
  <c r="B30" i="2"/>
  <c r="B55" i="2"/>
  <c r="AN216" i="2"/>
  <c r="BT168" i="2"/>
  <c r="AP148" i="2"/>
  <c r="AR3" i="2"/>
  <c r="B71" i="2"/>
  <c r="K94" i="2"/>
  <c r="N22" i="2"/>
  <c r="AG195" i="2"/>
  <c r="O208" i="2"/>
  <c r="E209" i="2"/>
  <c r="L16" i="2"/>
  <c r="D53" i="2"/>
  <c r="E61" i="2"/>
  <c r="AR169" i="2"/>
  <c r="E127" i="2"/>
  <c r="BU61" i="2"/>
  <c r="BH32" i="2"/>
  <c r="AY110" i="2"/>
  <c r="AX52" i="2"/>
  <c r="AZ67" i="2"/>
  <c r="AZ66" i="2"/>
  <c r="BU226" i="2"/>
  <c r="C117" i="2"/>
  <c r="BJ171" i="2"/>
  <c r="B75" i="2"/>
  <c r="M184" i="2"/>
  <c r="B121" i="2"/>
  <c r="C211" i="2"/>
  <c r="AX6" i="2"/>
  <c r="D167" i="2"/>
  <c r="D52" i="2"/>
  <c r="D161" i="2"/>
  <c r="BB17" i="2"/>
  <c r="D133" i="2"/>
  <c r="BU176" i="2"/>
  <c r="B9" i="2"/>
  <c r="AQ33" i="2"/>
  <c r="AQ205" i="2"/>
  <c r="AR139" i="2"/>
  <c r="O30" i="2"/>
  <c r="AN214" i="2"/>
  <c r="BJ140" i="2"/>
  <c r="AN51" i="2"/>
  <c r="D188" i="2"/>
  <c r="B156" i="2"/>
  <c r="AZ94" i="2"/>
  <c r="N90" i="2"/>
  <c r="D57" i="2"/>
  <c r="B77" i="2"/>
  <c r="C152" i="2"/>
  <c r="O213" i="2"/>
  <c r="M147" i="2"/>
  <c r="M156" i="2"/>
  <c r="AR95" i="2"/>
  <c r="D87" i="2"/>
  <c r="AX225" i="2"/>
  <c r="F21" i="2"/>
  <c r="O190" i="2"/>
  <c r="BL220" i="2"/>
  <c r="AP124" i="2"/>
  <c r="D68" i="2"/>
  <c r="M223" i="2"/>
  <c r="D173" i="2"/>
  <c r="D91" i="2"/>
  <c r="F189" i="2"/>
  <c r="BH150" i="2"/>
  <c r="K21" i="2"/>
  <c r="BK222" i="2"/>
  <c r="K56" i="2"/>
  <c r="D131" i="2"/>
  <c r="C164" i="2"/>
  <c r="AD31" i="2"/>
  <c r="AP96" i="2"/>
  <c r="B135" i="2"/>
  <c r="AO72" i="2"/>
  <c r="N197" i="2"/>
  <c r="B47" i="2"/>
  <c r="AQ125" i="2"/>
  <c r="N96" i="2"/>
  <c r="N101" i="2"/>
  <c r="K184" i="2"/>
  <c r="B148" i="2"/>
  <c r="AX21" i="2"/>
  <c r="K220" i="2"/>
  <c r="D21" i="2"/>
  <c r="Y167" i="2"/>
  <c r="BH100" i="2"/>
  <c r="E146" i="2"/>
  <c r="AQ47" i="2"/>
  <c r="BL125" i="2"/>
  <c r="AN37" i="2"/>
  <c r="BJ129" i="2"/>
  <c r="AY124" i="2"/>
  <c r="B114" i="2"/>
  <c r="BR53" i="2"/>
  <c r="V16" i="2"/>
  <c r="E165" i="2"/>
  <c r="BJ73" i="2"/>
  <c r="BH59" i="2"/>
  <c r="AG3" i="2"/>
  <c r="B81" i="2"/>
  <c r="AQ218" i="2"/>
  <c r="AQ208" i="2"/>
  <c r="M160" i="2"/>
  <c r="M109" i="2"/>
  <c r="AR91" i="2"/>
  <c r="BB146" i="2"/>
  <c r="BL37" i="2"/>
  <c r="AP198" i="2"/>
  <c r="AX198" i="2"/>
  <c r="AO36" i="2"/>
  <c r="E57" i="2"/>
  <c r="BK211" i="2"/>
  <c r="O56" i="2"/>
  <c r="BH210" i="2"/>
  <c r="N97" i="2"/>
  <c r="U47" i="2"/>
  <c r="AN107" i="2"/>
  <c r="F100" i="2"/>
  <c r="AO176" i="2"/>
  <c r="F33" i="2"/>
  <c r="BA144" i="2"/>
  <c r="M86" i="2"/>
  <c r="AF63" i="2"/>
  <c r="D204" i="2"/>
  <c r="BH183" i="2"/>
  <c r="BT92" i="2"/>
  <c r="AE155" i="2"/>
  <c r="AD186" i="2"/>
  <c r="B126" i="2"/>
  <c r="BS113" i="2"/>
  <c r="E180" i="2"/>
  <c r="BH11" i="2"/>
  <c r="BK184" i="2"/>
  <c r="AQ159" i="2"/>
  <c r="D185" i="2"/>
  <c r="AY3" i="2"/>
  <c r="D193" i="2"/>
  <c r="N149" i="2"/>
  <c r="L178" i="2"/>
  <c r="AN132" i="2"/>
  <c r="K73" i="2"/>
  <c r="B44" i="2"/>
  <c r="BJ227" i="2"/>
  <c r="W55" i="2"/>
  <c r="M35" i="2"/>
  <c r="B169" i="2"/>
  <c r="E176" i="2"/>
  <c r="M140" i="2"/>
  <c r="O206" i="2"/>
  <c r="AO54" i="2"/>
  <c r="AX122" i="2"/>
  <c r="M75" i="2"/>
  <c r="O183" i="2"/>
  <c r="AQ77" i="2"/>
  <c r="AP15" i="2"/>
  <c r="BJ148" i="2"/>
  <c r="AH124" i="2"/>
  <c r="AZ115" i="2"/>
  <c r="AR16" i="2"/>
  <c r="BA38" i="2"/>
  <c r="B198" i="2"/>
  <c r="AO218" i="2"/>
  <c r="O46" i="2"/>
  <c r="BB180" i="2"/>
  <c r="N126" i="2"/>
  <c r="E118" i="2"/>
  <c r="BI65" i="2"/>
  <c r="D3" i="2"/>
  <c r="F45" i="2"/>
  <c r="N221" i="2"/>
  <c r="AF178" i="2"/>
  <c r="F12" i="2"/>
  <c r="L31" i="2"/>
  <c r="N40" i="2"/>
  <c r="AP122" i="2"/>
  <c r="O127" i="2"/>
  <c r="N15" i="2"/>
  <c r="AP190" i="2"/>
  <c r="AO84" i="2"/>
  <c r="E46" i="2"/>
  <c r="D54" i="2"/>
  <c r="AY22" i="2"/>
  <c r="D102" i="2"/>
  <c r="O140" i="2"/>
  <c r="B215" i="2"/>
  <c r="E149" i="2"/>
  <c r="BA122" i="2"/>
  <c r="C28" i="2"/>
  <c r="AZ92" i="2"/>
  <c r="AZ162" i="2"/>
  <c r="BB42" i="2"/>
  <c r="BJ17" i="2"/>
  <c r="O26" i="2"/>
  <c r="AO199" i="2"/>
  <c r="L70" i="2"/>
  <c r="AX79" i="2"/>
  <c r="AR225" i="2"/>
  <c r="AQ113" i="2"/>
  <c r="AF194" i="2"/>
  <c r="E98" i="2"/>
  <c r="C20" i="2"/>
  <c r="L133" i="2"/>
  <c r="B188" i="2"/>
  <c r="BU214" i="2"/>
  <c r="D9" i="2"/>
  <c r="C3" i="2"/>
  <c r="N82" i="2"/>
  <c r="D213" i="2"/>
  <c r="O28" i="2"/>
  <c r="F28" i="2"/>
  <c r="M54" i="2"/>
  <c r="W188" i="2"/>
  <c r="C7" i="2"/>
  <c r="N161" i="2"/>
  <c r="AQ164" i="2"/>
  <c r="BH17" i="2"/>
  <c r="O40" i="2"/>
  <c r="O169" i="2"/>
  <c r="O202" i="2"/>
  <c r="N154" i="2"/>
  <c r="O45" i="2"/>
  <c r="AX25" i="2"/>
  <c r="AN146" i="2"/>
  <c r="D201" i="2"/>
  <c r="E181" i="2"/>
  <c r="AP211" i="2"/>
  <c r="K140" i="2"/>
  <c r="AO117" i="2"/>
  <c r="AX81" i="2"/>
  <c r="AR23" i="2"/>
  <c r="D184" i="2"/>
  <c r="AQ76" i="2"/>
  <c r="M111" i="2"/>
  <c r="C37" i="2"/>
  <c r="E216" i="2"/>
  <c r="C153" i="2"/>
  <c r="BJ178" i="2"/>
  <c r="L192" i="2"/>
  <c r="AO207" i="2"/>
  <c r="AN27" i="2"/>
  <c r="BB80" i="2"/>
  <c r="AP58" i="2"/>
  <c r="E154" i="2"/>
  <c r="W179" i="2"/>
  <c r="BV217" i="2"/>
  <c r="AN213" i="2"/>
  <c r="BH124" i="2"/>
  <c r="C21" i="2"/>
  <c r="L206" i="2"/>
  <c r="AO21" i="2"/>
  <c r="B145" i="2"/>
  <c r="K161" i="2"/>
  <c r="K104" i="2"/>
  <c r="BJ92" i="2"/>
  <c r="F150" i="2"/>
  <c r="AQ209" i="2"/>
  <c r="C123" i="2"/>
  <c r="AG112" i="2"/>
  <c r="BV147" i="2"/>
  <c r="AR161" i="2"/>
  <c r="BI78" i="2"/>
  <c r="O146" i="2"/>
  <c r="BR116" i="2"/>
  <c r="D89" i="2"/>
  <c r="K23" i="2"/>
  <c r="D113" i="2"/>
  <c r="AR33" i="2"/>
  <c r="BT76" i="2"/>
  <c r="C109" i="2"/>
  <c r="K124" i="2"/>
  <c r="B4" i="2"/>
  <c r="BK18" i="2"/>
  <c r="L168" i="2"/>
  <c r="E111" i="2"/>
  <c r="AQ114" i="2"/>
  <c r="BJ11" i="2"/>
  <c r="C84" i="2"/>
  <c r="O123" i="2"/>
  <c r="AN113" i="2"/>
  <c r="AG22" i="2"/>
  <c r="B46" i="2"/>
  <c r="U113" i="2"/>
  <c r="C130" i="2"/>
  <c r="N158" i="2"/>
  <c r="F175" i="2"/>
  <c r="O57" i="2"/>
  <c r="M195" i="2"/>
  <c r="O134" i="2"/>
  <c r="BA227" i="2"/>
  <c r="BI195" i="2"/>
  <c r="D105" i="2"/>
  <c r="AQ152" i="2"/>
  <c r="BB25" i="2"/>
  <c r="C223" i="2"/>
  <c r="BL213" i="2"/>
  <c r="AR217" i="2"/>
  <c r="F106" i="2"/>
  <c r="C165" i="2"/>
  <c r="BB144" i="2"/>
  <c r="BB94" i="2"/>
  <c r="D116" i="2"/>
  <c r="AP75" i="2"/>
  <c r="E56" i="2"/>
  <c r="M12" i="2"/>
  <c r="B125" i="2"/>
  <c r="AN163" i="2"/>
  <c r="BA220" i="2"/>
  <c r="AR167" i="2"/>
  <c r="B174" i="2"/>
  <c r="AP107" i="2"/>
  <c r="AH3" i="2"/>
  <c r="AE70" i="2"/>
  <c r="AP14" i="2"/>
  <c r="L69" i="2"/>
  <c r="AQ167" i="2"/>
  <c r="BB155" i="2"/>
  <c r="AZ85" i="2"/>
  <c r="BH20" i="2"/>
  <c r="B182" i="2"/>
  <c r="K16" i="2"/>
  <c r="C118" i="2"/>
  <c r="L163" i="2"/>
  <c r="AE73" i="2"/>
  <c r="O216" i="2"/>
  <c r="O159" i="2"/>
  <c r="AQ67" i="2"/>
  <c r="F20" i="2"/>
  <c r="N142" i="2"/>
  <c r="K151" i="2"/>
  <c r="AO44" i="2"/>
  <c r="AR114" i="2"/>
  <c r="D31" i="2"/>
  <c r="M98" i="2"/>
  <c r="BS28" i="2"/>
  <c r="B158" i="2"/>
  <c r="E192" i="2"/>
  <c r="BB73" i="2"/>
  <c r="BL104" i="2"/>
  <c r="M103" i="2"/>
  <c r="F167" i="2"/>
  <c r="F110" i="2"/>
  <c r="O52" i="2"/>
  <c r="F131" i="2"/>
  <c r="AO194" i="2"/>
  <c r="BT229" i="2"/>
  <c r="O67" i="2"/>
  <c r="K209" i="2"/>
  <c r="F92" i="2"/>
  <c r="K226" i="2"/>
  <c r="B166" i="2"/>
  <c r="AE182" i="2"/>
  <c r="AX97" i="2"/>
  <c r="L73" i="2"/>
  <c r="L10" i="2"/>
  <c r="M203" i="2"/>
  <c r="AH197" i="2"/>
  <c r="AP94" i="2"/>
  <c r="BJ175" i="2"/>
  <c r="AG203" i="2"/>
  <c r="B82" i="2"/>
  <c r="N174" i="2"/>
  <c r="AQ217" i="2"/>
  <c r="N3" i="2"/>
  <c r="AY78" i="2"/>
  <c r="BK177" i="2"/>
  <c r="D65" i="2"/>
  <c r="BJ116" i="2"/>
  <c r="AR48" i="2"/>
  <c r="M99" i="2"/>
  <c r="K214" i="2"/>
  <c r="O163" i="2"/>
  <c r="BS180" i="2"/>
  <c r="F195" i="2"/>
  <c r="L190" i="2"/>
  <c r="AO197" i="2"/>
  <c r="L142" i="2"/>
  <c r="M31" i="2"/>
  <c r="AZ181" i="2"/>
  <c r="BI5" i="2"/>
  <c r="BI80" i="2"/>
  <c r="N9" i="2"/>
  <c r="M11" i="2"/>
  <c r="AR141" i="2"/>
  <c r="AN86" i="2"/>
  <c r="AZ143" i="2"/>
  <c r="F178" i="2"/>
  <c r="N12" i="2"/>
  <c r="BT110" i="2"/>
  <c r="O15" i="2"/>
  <c r="B197" i="2"/>
  <c r="BU179" i="2"/>
  <c r="C14" i="2"/>
  <c r="AN204" i="2"/>
  <c r="AQ99" i="2"/>
  <c r="AU204" i="2" l="1"/>
  <c r="AT204" i="2"/>
  <c r="G197" i="2"/>
  <c r="C166" i="4" s="1"/>
  <c r="AU86" i="2"/>
  <c r="AT86" i="2"/>
  <c r="P214" i="2"/>
  <c r="D134" i="5" s="1"/>
  <c r="Q214" i="2"/>
  <c r="F133" i="4" s="1"/>
  <c r="G82" i="2"/>
  <c r="C139" i="4" s="1"/>
  <c r="BE97" i="2"/>
  <c r="BD97" i="2"/>
  <c r="G166" i="2"/>
  <c r="C192" i="4" s="1"/>
  <c r="P226" i="2"/>
  <c r="D173" i="5" s="1"/>
  <c r="Q226" i="2"/>
  <c r="F172" i="4" s="1"/>
  <c r="P209" i="2"/>
  <c r="D189" i="5" s="1"/>
  <c r="Q209" i="2"/>
  <c r="F188" i="4" s="1"/>
  <c r="G158" i="2"/>
  <c r="C178" i="4" s="1"/>
  <c r="P151" i="2"/>
  <c r="D86" i="5" s="1"/>
  <c r="Q151" i="2"/>
  <c r="F85" i="4" s="1"/>
  <c r="P16" i="2"/>
  <c r="D43" i="5" s="1"/>
  <c r="Q16" i="2"/>
  <c r="F42" i="4" s="1"/>
  <c r="G182" i="2"/>
  <c r="C174" i="4" s="1"/>
  <c r="BO20" i="2"/>
  <c r="BN20" i="2"/>
  <c r="G174" i="2"/>
  <c r="C101" i="4" s="1"/>
  <c r="AU163" i="2"/>
  <c r="AT163" i="2"/>
  <c r="G125" i="2"/>
  <c r="C136" i="4" s="1"/>
  <c r="AA113" i="2"/>
  <c r="E201" i="4" s="1"/>
  <c r="D201" i="4" s="1"/>
  <c r="Z113" i="2"/>
  <c r="C202" i="5" s="1"/>
  <c r="G46" i="2"/>
  <c r="C60" i="4" s="1"/>
  <c r="AU113" i="2"/>
  <c r="AT113" i="2"/>
  <c r="G4" i="2"/>
  <c r="C4" i="4" s="1"/>
  <c r="Q124" i="2"/>
  <c r="F171" i="4" s="1"/>
  <c r="P124" i="2"/>
  <c r="D172" i="5" s="1"/>
  <c r="P23" i="2"/>
  <c r="D150" i="5" s="1"/>
  <c r="Q23" i="2"/>
  <c r="F149" i="4" s="1"/>
  <c r="BY116" i="2"/>
  <c r="BX116" i="2"/>
  <c r="P104" i="2"/>
  <c r="D133" i="5" s="1"/>
  <c r="Q104" i="2"/>
  <c r="F132" i="4" s="1"/>
  <c r="P161" i="2"/>
  <c r="D152" i="5" s="1"/>
  <c r="Q161" i="2"/>
  <c r="F151" i="4" s="1"/>
  <c r="G145" i="2"/>
  <c r="C69" i="4" s="1"/>
  <c r="BO124" i="2"/>
  <c r="BN124" i="2"/>
  <c r="AU213" i="2"/>
  <c r="AT213" i="2"/>
  <c r="AT27" i="2"/>
  <c r="AU27" i="2"/>
  <c r="BE81" i="2"/>
  <c r="BD81" i="2"/>
  <c r="Q140" i="2"/>
  <c r="F35" i="4" s="1"/>
  <c r="P140" i="2"/>
  <c r="D36" i="5" s="1"/>
  <c r="AT146" i="2"/>
  <c r="AU146" i="2"/>
  <c r="BE25" i="2"/>
  <c r="BD25" i="2"/>
  <c r="BO17" i="2"/>
  <c r="BN17" i="2"/>
  <c r="G188" i="2"/>
  <c r="C137" i="4" s="1"/>
  <c r="BE79" i="2"/>
  <c r="BD79" i="2"/>
  <c r="G215" i="2"/>
  <c r="C199" i="4" s="1"/>
  <c r="G198" i="2"/>
  <c r="C224" i="4" s="1"/>
  <c r="BE122" i="2"/>
  <c r="BD122" i="2"/>
  <c r="G169" i="2"/>
  <c r="C181" i="4" s="1"/>
  <c r="G44" i="2"/>
  <c r="C66" i="4" s="1"/>
  <c r="P73" i="2"/>
  <c r="D117" i="5" s="1"/>
  <c r="Q73" i="2"/>
  <c r="F116" i="4" s="1"/>
  <c r="AU132" i="2"/>
  <c r="AT132" i="2"/>
  <c r="BO11" i="2"/>
  <c r="BN11" i="2"/>
  <c r="G126" i="2"/>
  <c r="C109" i="4" s="1"/>
  <c r="AI186" i="2"/>
  <c r="G177" i="4" s="1"/>
  <c r="BO183" i="2"/>
  <c r="BN183" i="2"/>
  <c r="AU107" i="2"/>
  <c r="AT107" i="2"/>
  <c r="Z47" i="2"/>
  <c r="C145" i="5" s="1"/>
  <c r="AA47" i="2"/>
  <c r="E144" i="4" s="1"/>
  <c r="D144" i="4" s="1"/>
  <c r="BO210" i="2"/>
  <c r="BN210" i="2"/>
  <c r="BD198" i="2"/>
  <c r="BE198" i="2"/>
  <c r="G81" i="2"/>
  <c r="C32" i="4" s="1"/>
  <c r="BO59" i="2"/>
  <c r="BN59" i="2"/>
  <c r="BY53" i="2"/>
  <c r="BX53" i="2"/>
  <c r="G114" i="2"/>
  <c r="C98" i="4" s="1"/>
  <c r="AU37" i="2"/>
  <c r="AT37" i="2"/>
  <c r="BO100" i="2"/>
  <c r="BN100" i="2"/>
  <c r="Q220" i="2"/>
  <c r="F197" i="4" s="1"/>
  <c r="P220" i="2"/>
  <c r="D198" i="5" s="1"/>
  <c r="BE21" i="2"/>
  <c r="BD21" i="2"/>
  <c r="G148" i="2"/>
  <c r="C88" i="4" s="1"/>
  <c r="P184" i="2"/>
  <c r="D195" i="5" s="1"/>
  <c r="Q184" i="2"/>
  <c r="F194" i="4" s="1"/>
  <c r="G47" i="2"/>
  <c r="C144" i="4" s="1"/>
  <c r="G135" i="2"/>
  <c r="C112" i="4" s="1"/>
  <c r="AI31" i="2"/>
  <c r="G91" i="4" s="1"/>
  <c r="P56" i="2"/>
  <c r="D29" i="5" s="1"/>
  <c r="Q56" i="2"/>
  <c r="F28" i="4" s="1"/>
  <c r="Q21" i="2"/>
  <c r="F11" i="4" s="1"/>
  <c r="P21" i="2"/>
  <c r="D12" i="5" s="1"/>
  <c r="BO150" i="2"/>
  <c r="BN150" i="2"/>
  <c r="BE225" i="2"/>
  <c r="BD225" i="2"/>
  <c r="G77" i="2"/>
  <c r="C30" i="4" s="1"/>
  <c r="G156" i="2"/>
  <c r="C126" i="4" s="1"/>
  <c r="AU51" i="2"/>
  <c r="AT51" i="2"/>
  <c r="AU214" i="2"/>
  <c r="AT214" i="2"/>
  <c r="G9" i="2"/>
  <c r="C8" i="4" s="1"/>
  <c r="BE6" i="2"/>
  <c r="BD6" i="2"/>
  <c r="G121" i="2"/>
  <c r="C214" i="4" s="1"/>
  <c r="G75" i="2"/>
  <c r="C104" i="4" s="1"/>
  <c r="BE52" i="2"/>
  <c r="BD52" i="2"/>
  <c r="BN32" i="2"/>
  <c r="BO32" i="2"/>
  <c r="P94" i="2"/>
  <c r="D115" i="5" s="1"/>
  <c r="Q94" i="2"/>
  <c r="F114" i="4" s="1"/>
  <c r="G71" i="2"/>
  <c r="C39" i="4" s="1"/>
  <c r="AU216" i="2"/>
  <c r="AT216" i="2"/>
  <c r="G55" i="2"/>
  <c r="C63" i="4" s="1"/>
  <c r="G30" i="2"/>
  <c r="C5" i="4" s="1"/>
  <c r="G132" i="2"/>
  <c r="C159" i="4" s="1"/>
  <c r="G165" i="2"/>
  <c r="C152" i="4" s="1"/>
  <c r="Q34" i="2"/>
  <c r="F49" i="4" s="1"/>
  <c r="P34" i="2"/>
  <c r="D50" i="5" s="1"/>
  <c r="G109" i="2"/>
  <c r="C22" i="4" s="1"/>
  <c r="P135" i="2"/>
  <c r="D113" i="5" s="1"/>
  <c r="Q135" i="2"/>
  <c r="F112" i="4" s="1"/>
  <c r="BY33" i="2"/>
  <c r="BX33" i="2"/>
  <c r="G193" i="2"/>
  <c r="C75" i="4" s="1"/>
  <c r="BN154" i="2"/>
  <c r="BO154" i="2"/>
  <c r="AI125" i="2"/>
  <c r="G136" i="4" s="1"/>
  <c r="AT41" i="2"/>
  <c r="AU41" i="2"/>
  <c r="Q60" i="2"/>
  <c r="F58" i="4" s="1"/>
  <c r="P60" i="2"/>
  <c r="D59" i="5" s="1"/>
  <c r="G89" i="2"/>
  <c r="C41" i="4" s="1"/>
  <c r="P200" i="2"/>
  <c r="D196" i="5" s="1"/>
  <c r="Q200" i="2"/>
  <c r="F195" i="4" s="1"/>
  <c r="P83" i="2"/>
  <c r="D132" i="5" s="1"/>
  <c r="Q83" i="2"/>
  <c r="F131" i="4" s="1"/>
  <c r="AU176" i="2"/>
  <c r="AT176" i="2"/>
  <c r="G99" i="2"/>
  <c r="C106" i="4" s="1"/>
  <c r="P197" i="2"/>
  <c r="D167" i="5" s="1"/>
  <c r="Q197" i="2"/>
  <c r="F166" i="4" s="1"/>
  <c r="G38" i="2"/>
  <c r="C19" i="4" s="1"/>
  <c r="P215" i="2"/>
  <c r="D200" i="5" s="1"/>
  <c r="Q215" i="2"/>
  <c r="F199" i="4" s="1"/>
  <c r="G83" i="2"/>
  <c r="C131" i="4" s="1"/>
  <c r="P115" i="2"/>
  <c r="D45" i="5" s="1"/>
  <c r="Q115" i="2"/>
  <c r="F44" i="4" s="1"/>
  <c r="Z220" i="2"/>
  <c r="C198" i="5" s="1"/>
  <c r="AA220" i="2"/>
  <c r="E197" i="4" s="1"/>
  <c r="D197" i="4" s="1"/>
  <c r="G184" i="2"/>
  <c r="C194" i="4" s="1"/>
  <c r="BO140" i="2"/>
  <c r="BN140" i="2"/>
  <c r="G140" i="2"/>
  <c r="C35" i="4" s="1"/>
  <c r="P40" i="2"/>
  <c r="D87" i="5" s="1"/>
  <c r="Q40" i="2"/>
  <c r="F86" i="4" s="1"/>
  <c r="P167" i="2"/>
  <c r="D116" i="5" s="1"/>
  <c r="Q167" i="2"/>
  <c r="F115" i="4" s="1"/>
  <c r="BE5" i="2"/>
  <c r="BD5" i="2"/>
  <c r="G152" i="2"/>
  <c r="C207" i="4" s="1"/>
  <c r="AU31" i="2"/>
  <c r="AT31" i="2"/>
  <c r="AU160" i="2"/>
  <c r="AT160" i="2"/>
  <c r="BE93" i="2"/>
  <c r="BD93" i="2"/>
  <c r="BO213" i="2"/>
  <c r="BN213" i="2"/>
  <c r="BE115" i="2"/>
  <c r="BD115" i="2"/>
  <c r="AU67" i="2"/>
  <c r="AT67" i="2"/>
  <c r="AI50" i="2"/>
  <c r="G55" i="4" s="1"/>
  <c r="G64" i="2"/>
  <c r="C51" i="4" s="1"/>
  <c r="BE200" i="2"/>
  <c r="BD200" i="2"/>
  <c r="AT117" i="2"/>
  <c r="AU117" i="2"/>
  <c r="BN228" i="2"/>
  <c r="BO228" i="2"/>
  <c r="G170" i="2"/>
  <c r="C82" i="4" s="1"/>
  <c r="P74" i="2"/>
  <c r="D174" i="5" s="1"/>
  <c r="Q74" i="2"/>
  <c r="F173" i="4" s="1"/>
  <c r="P160" i="2"/>
  <c r="D213" i="5" s="1"/>
  <c r="Q160" i="2"/>
  <c r="F212" i="4" s="1"/>
  <c r="BY225" i="2"/>
  <c r="BX225" i="2"/>
  <c r="G129" i="2"/>
  <c r="C215" i="4" s="1"/>
  <c r="AU99" i="2"/>
  <c r="AT99" i="2"/>
  <c r="P122" i="2"/>
  <c r="D74" i="5" s="1"/>
  <c r="Q122" i="2"/>
  <c r="F73" i="4" s="1"/>
  <c r="G60" i="2"/>
  <c r="C58" i="4" s="1"/>
  <c r="G149" i="2"/>
  <c r="C105" i="4" s="1"/>
  <c r="BY207" i="2"/>
  <c r="BX207" i="2"/>
  <c r="P186" i="2"/>
  <c r="D178" i="5" s="1"/>
  <c r="Q186" i="2"/>
  <c r="F177" i="4" s="1"/>
  <c r="AU16" i="2"/>
  <c r="AT16" i="2"/>
  <c r="G79" i="2"/>
  <c r="C15" i="4" s="1"/>
  <c r="AU122" i="2"/>
  <c r="AT122" i="2"/>
  <c r="BX190" i="2"/>
  <c r="BY190" i="2"/>
  <c r="G15" i="2"/>
  <c r="C13" i="4" s="1"/>
  <c r="Q17" i="2"/>
  <c r="F62" i="4" s="1"/>
  <c r="P17" i="2"/>
  <c r="D63" i="5" s="1"/>
  <c r="BD129" i="2"/>
  <c r="BE129" i="2"/>
  <c r="AI202" i="2"/>
  <c r="G103" i="4" s="1"/>
  <c r="AI211" i="2"/>
  <c r="G182" i="4" s="1"/>
  <c r="BO55" i="2"/>
  <c r="BN55" i="2"/>
  <c r="BY3" i="2"/>
  <c r="BX3" i="2"/>
  <c r="P143" i="2"/>
  <c r="D8" i="5" s="1"/>
  <c r="Q143" i="2"/>
  <c r="F7" i="4" s="1"/>
  <c r="BE149" i="2"/>
  <c r="BD149" i="2"/>
  <c r="P228" i="2"/>
  <c r="D223" i="5" s="1"/>
  <c r="Q228" i="2"/>
  <c r="F222" i="4" s="1"/>
  <c r="P76" i="2"/>
  <c r="D101" i="5" s="1"/>
  <c r="Q76" i="2"/>
  <c r="F100" i="4" s="1"/>
  <c r="G24" i="2"/>
  <c r="C23" i="4" s="1"/>
  <c r="AT127" i="2"/>
  <c r="AU127" i="2"/>
  <c r="P204" i="2"/>
  <c r="D163" i="5" s="1"/>
  <c r="Q204" i="2"/>
  <c r="F162" i="4" s="1"/>
  <c r="G119" i="2"/>
  <c r="C161" i="4" s="1"/>
  <c r="Q168" i="2"/>
  <c r="F160" i="4" s="1"/>
  <c r="P168" i="2"/>
  <c r="D161" i="5" s="1"/>
  <c r="G204" i="2"/>
  <c r="C162" i="4" s="1"/>
  <c r="AU182" i="2"/>
  <c r="AT182" i="2"/>
  <c r="Z149" i="2"/>
  <c r="C106" i="5" s="1"/>
  <c r="AA149" i="2"/>
  <c r="E105" i="4" s="1"/>
  <c r="D105" i="4" s="1"/>
  <c r="G13" i="2"/>
  <c r="C134" i="4" s="1"/>
  <c r="AU57" i="2"/>
  <c r="AT57" i="2"/>
  <c r="G179" i="2"/>
  <c r="C226" i="4" s="1"/>
  <c r="BD158" i="2"/>
  <c r="BE158" i="2"/>
  <c r="G53" i="2"/>
  <c r="C21" i="4" s="1"/>
  <c r="G34" i="2"/>
  <c r="C49" i="4" s="1"/>
  <c r="BD9" i="2"/>
  <c r="BE9" i="2"/>
  <c r="AU39" i="2"/>
  <c r="AT39" i="2"/>
  <c r="G142" i="2"/>
  <c r="C185" i="4" s="1"/>
  <c r="AU150" i="2"/>
  <c r="AT150" i="2"/>
  <c r="AA222" i="2"/>
  <c r="E170" i="4" s="1"/>
  <c r="D170" i="4" s="1"/>
  <c r="Z222" i="2"/>
  <c r="C171" i="5" s="1"/>
  <c r="AU226" i="2"/>
  <c r="AT226" i="2"/>
  <c r="G175" i="2"/>
  <c r="C90" i="4" s="1"/>
  <c r="G66" i="2"/>
  <c r="C53" i="4" s="1"/>
  <c r="BD30" i="2"/>
  <c r="BE30" i="2"/>
  <c r="G93" i="2"/>
  <c r="C79" i="4" s="1"/>
  <c r="P139" i="2"/>
  <c r="D176" i="5" s="1"/>
  <c r="Q139" i="2"/>
  <c r="F175" i="4" s="1"/>
  <c r="BY46" i="2"/>
  <c r="BX46" i="2"/>
  <c r="BE48" i="2"/>
  <c r="BD48" i="2"/>
  <c r="G194" i="2"/>
  <c r="C200" i="4" s="1"/>
  <c r="BO80" i="2"/>
  <c r="BN80" i="2"/>
  <c r="AU218" i="2"/>
  <c r="AT218" i="2"/>
  <c r="BY90" i="2"/>
  <c r="BX90" i="2"/>
  <c r="G143" i="2"/>
  <c r="C7" i="4" s="1"/>
  <c r="BO156" i="2"/>
  <c r="BN156" i="2"/>
  <c r="BE150" i="2"/>
  <c r="BD150" i="2"/>
  <c r="BE42" i="2"/>
  <c r="BD42" i="2"/>
  <c r="AU209" i="2"/>
  <c r="AT209" i="2"/>
  <c r="BY160" i="2"/>
  <c r="BX160" i="2"/>
  <c r="G88" i="2"/>
  <c r="C89" i="4" s="1"/>
  <c r="BY221" i="2"/>
  <c r="BX221" i="2"/>
  <c r="G28" i="2"/>
  <c r="C16" i="4" s="1"/>
  <c r="G218" i="2"/>
  <c r="C206" i="4" s="1"/>
  <c r="AU17" i="2"/>
  <c r="AT17" i="2"/>
  <c r="G139" i="2"/>
  <c r="C175" i="4" s="1"/>
  <c r="G122" i="2"/>
  <c r="C73" i="4" s="1"/>
  <c r="G181" i="2"/>
  <c r="C164" i="4" s="1"/>
  <c r="BE226" i="2"/>
  <c r="BD226" i="2"/>
  <c r="AU76" i="2"/>
  <c r="AT76" i="2"/>
  <c r="P64" i="2"/>
  <c r="D52" i="5" s="1"/>
  <c r="Q64" i="2"/>
  <c r="F51" i="4" s="1"/>
  <c r="AT194" i="2"/>
  <c r="AU194" i="2"/>
  <c r="AU191" i="2"/>
  <c r="AT191" i="2"/>
  <c r="Q90" i="2"/>
  <c r="F135" i="4" s="1"/>
  <c r="P90" i="2"/>
  <c r="D136" i="5" s="1"/>
  <c r="AI204" i="2"/>
  <c r="G162" i="4" s="1"/>
  <c r="AU55" i="2"/>
  <c r="AT55" i="2"/>
  <c r="P62" i="2"/>
  <c r="D130" i="5" s="1"/>
  <c r="Q62" i="2"/>
  <c r="F129" i="4" s="1"/>
  <c r="BN170" i="2"/>
  <c r="BO170" i="2"/>
  <c r="BO206" i="2"/>
  <c r="BN206" i="2"/>
  <c r="BY193" i="2"/>
  <c r="BX193" i="2"/>
  <c r="BE17" i="2"/>
  <c r="BD17" i="2"/>
  <c r="G86" i="2"/>
  <c r="C87" i="4" s="1"/>
  <c r="G69" i="2"/>
  <c r="C45" i="4" s="1"/>
  <c r="G104" i="2"/>
  <c r="C132" i="4" s="1"/>
  <c r="BO3" i="2"/>
  <c r="BN3" i="2"/>
  <c r="G74" i="2"/>
  <c r="C173" i="4" s="1"/>
  <c r="P80" i="2"/>
  <c r="D121" i="5" s="1"/>
  <c r="Q80" i="2"/>
  <c r="F120" i="4" s="1"/>
  <c r="BO61" i="2"/>
  <c r="BN61" i="2"/>
  <c r="AT162" i="2"/>
  <c r="AU162" i="2"/>
  <c r="AI3" i="2"/>
  <c r="G25" i="4" s="1"/>
  <c r="AT110" i="2"/>
  <c r="AU110" i="2"/>
  <c r="BE19" i="2"/>
  <c r="BD19" i="2"/>
  <c r="BE183" i="2"/>
  <c r="BD183" i="2"/>
  <c r="P106" i="2"/>
  <c r="D77" i="5" s="1"/>
  <c r="Q106" i="2"/>
  <c r="F76" i="4" s="1"/>
  <c r="BE110" i="2"/>
  <c r="BD110" i="2"/>
  <c r="AI182" i="2"/>
  <c r="G174" i="4" s="1"/>
  <c r="AU21" i="2"/>
  <c r="AT21" i="2"/>
  <c r="AU72" i="2"/>
  <c r="AT72" i="2"/>
  <c r="G160" i="2"/>
  <c r="C212" i="4" s="1"/>
  <c r="G115" i="2"/>
  <c r="C44" i="4" s="1"/>
  <c r="P3" i="2"/>
  <c r="D26" i="5" s="1"/>
  <c r="Q3" i="2"/>
  <c r="F25" i="4" s="1"/>
  <c r="G227" i="2"/>
  <c r="C227" i="4" s="1"/>
  <c r="BY219" i="2"/>
  <c r="BX219" i="2"/>
  <c r="AI85" i="2"/>
  <c r="G187" i="4" s="1"/>
  <c r="P178" i="2"/>
  <c r="D158" i="5" s="1"/>
  <c r="Q178" i="2"/>
  <c r="F157" i="4" s="1"/>
  <c r="P137" i="2"/>
  <c r="D108" i="5" s="1"/>
  <c r="Q137" i="2"/>
  <c r="F107" i="4" s="1"/>
  <c r="P207" i="2"/>
  <c r="D143" i="5" s="1"/>
  <c r="Q207" i="2"/>
  <c r="F142" i="4" s="1"/>
  <c r="G176" i="2"/>
  <c r="C83" i="4" s="1"/>
  <c r="BO130" i="2"/>
  <c r="BN130" i="2"/>
  <c r="Q4" i="2"/>
  <c r="F4" i="4" s="1"/>
  <c r="P4" i="2"/>
  <c r="D5" i="5" s="1"/>
  <c r="G73" i="2"/>
  <c r="C116" i="4" s="1"/>
  <c r="P218" i="2"/>
  <c r="D207" i="5" s="1"/>
  <c r="Q218" i="2"/>
  <c r="F206" i="4" s="1"/>
  <c r="G162" i="2"/>
  <c r="C165" i="4" s="1"/>
  <c r="G203" i="2"/>
  <c r="C213" i="4" s="1"/>
  <c r="G124" i="2"/>
  <c r="C171" i="4" s="1"/>
  <c r="BE156" i="2"/>
  <c r="BD156" i="2"/>
  <c r="BN57" i="2"/>
  <c r="BO57" i="2"/>
  <c r="P229" i="2"/>
  <c r="D112" i="5" s="1"/>
  <c r="Q229" i="2"/>
  <c r="F111" i="4" s="1"/>
  <c r="G106" i="2"/>
  <c r="C76" i="4" s="1"/>
  <c r="Q217" i="2"/>
  <c r="F183" i="4" s="1"/>
  <c r="P217" i="2"/>
  <c r="D184" i="5" s="1"/>
  <c r="BO151" i="2"/>
  <c r="BN151" i="2"/>
  <c r="BE67" i="2"/>
  <c r="BD67" i="2"/>
  <c r="BE189" i="2"/>
  <c r="BD189" i="2"/>
  <c r="AU208" i="2"/>
  <c r="AT208" i="2"/>
  <c r="G29" i="2"/>
  <c r="C18" i="4" s="1"/>
  <c r="P131" i="2"/>
  <c r="D210" i="5" s="1"/>
  <c r="Q131" i="2"/>
  <c r="F209" i="4" s="1"/>
  <c r="AU179" i="2"/>
  <c r="AT179" i="2"/>
  <c r="G8" i="2"/>
  <c r="C124" i="4" s="1"/>
  <c r="BE75" i="2"/>
  <c r="BD75" i="2"/>
  <c r="G133" i="2"/>
  <c r="C150" i="4" s="1"/>
  <c r="G80" i="2"/>
  <c r="C120" i="4" s="1"/>
  <c r="BN106" i="2"/>
  <c r="BO106" i="2"/>
  <c r="P50" i="2"/>
  <c r="D56" i="5" s="1"/>
  <c r="Q50" i="2"/>
  <c r="F55" i="4" s="1"/>
  <c r="AU139" i="2"/>
  <c r="AT139" i="2"/>
  <c r="G94" i="2"/>
  <c r="C114" i="4" s="1"/>
  <c r="G155" i="2"/>
  <c r="C64" i="4" s="1"/>
  <c r="AU47" i="2"/>
  <c r="AT47" i="2"/>
  <c r="Q70" i="2"/>
  <c r="F52" i="4" s="1"/>
  <c r="P70" i="2"/>
  <c r="D53" i="5" s="1"/>
  <c r="AU151" i="2"/>
  <c r="AT151" i="2"/>
  <c r="Q33" i="2"/>
  <c r="F27" i="4" s="1"/>
  <c r="P33" i="2"/>
  <c r="D28" i="5" s="1"/>
  <c r="BE176" i="2"/>
  <c r="BD176" i="2"/>
  <c r="G85" i="2"/>
  <c r="C187" i="4" s="1"/>
  <c r="G57" i="2"/>
  <c r="C65" i="4" s="1"/>
  <c r="BY154" i="2"/>
  <c r="BX154" i="2"/>
  <c r="Z169" i="2"/>
  <c r="C182" i="5" s="1"/>
  <c r="AA169" i="2"/>
  <c r="E181" i="4" s="1"/>
  <c r="D181" i="4" s="1"/>
  <c r="P206" i="2"/>
  <c r="D146" i="5" s="1"/>
  <c r="Q206" i="2"/>
  <c r="F145" i="4" s="1"/>
  <c r="AU14" i="2"/>
  <c r="AT14" i="2"/>
  <c r="AU156" i="2"/>
  <c r="AT156" i="2"/>
  <c r="P193" i="2"/>
  <c r="D76" i="5" s="1"/>
  <c r="Q193" i="2"/>
  <c r="F75" i="4" s="1"/>
  <c r="Z83" i="2"/>
  <c r="C132" i="5" s="1"/>
  <c r="AA83" i="2"/>
  <c r="E131" i="4" s="1"/>
  <c r="D131" i="4" s="1"/>
  <c r="G161" i="2"/>
  <c r="C151" i="4" s="1"/>
  <c r="AU143" i="2"/>
  <c r="AT143" i="2"/>
  <c r="P183" i="2"/>
  <c r="D199" i="5" s="1"/>
  <c r="Q183" i="2"/>
  <c r="F198" i="4" s="1"/>
  <c r="AU202" i="2"/>
  <c r="AT202" i="2"/>
  <c r="BO204" i="2"/>
  <c r="BN204" i="2"/>
  <c r="BD199" i="2"/>
  <c r="BE199" i="2"/>
  <c r="P146" i="2"/>
  <c r="D85" i="5" s="1"/>
  <c r="Q146" i="2"/>
  <c r="F84" i="4" s="1"/>
  <c r="BE118" i="2"/>
  <c r="BD118" i="2"/>
  <c r="G223" i="2"/>
  <c r="C179" i="4" s="1"/>
  <c r="G101" i="2"/>
  <c r="C36" i="4" s="1"/>
  <c r="G163" i="2"/>
  <c r="C140" i="4" s="1"/>
  <c r="AI209" i="2"/>
  <c r="G188" i="4" s="1"/>
  <c r="AU73" i="2"/>
  <c r="AT73" i="2"/>
  <c r="G180" i="2"/>
  <c r="C186" i="4" s="1"/>
  <c r="AU59" i="2"/>
  <c r="AT59" i="2"/>
  <c r="G186" i="2"/>
  <c r="C177" i="4" s="1"/>
  <c r="BE12" i="2"/>
  <c r="BD12" i="2"/>
  <c r="AU211" i="2"/>
  <c r="AT211" i="2"/>
  <c r="G222" i="2"/>
  <c r="C170" i="4" s="1"/>
  <c r="G151" i="2"/>
  <c r="C85" i="4" s="1"/>
  <c r="AU97" i="2"/>
  <c r="AT97" i="2"/>
  <c r="AT61" i="2"/>
  <c r="AU61" i="2"/>
  <c r="AT112" i="2"/>
  <c r="AU112" i="2"/>
  <c r="AU101" i="2"/>
  <c r="AT101" i="2"/>
  <c r="BN104" i="2"/>
  <c r="BO104" i="2"/>
  <c r="G228" i="2"/>
  <c r="C222" i="4" s="1"/>
  <c r="AU170" i="2"/>
  <c r="AT170" i="2"/>
  <c r="G205" i="2"/>
  <c r="C228" i="4" s="1"/>
  <c r="AU128" i="2"/>
  <c r="AT128" i="2"/>
  <c r="AU227" i="2"/>
  <c r="AT227" i="2"/>
  <c r="Z68" i="2"/>
  <c r="C73" i="5" s="1"/>
  <c r="AA68" i="2"/>
  <c r="E72" i="4" s="1"/>
  <c r="D72" i="4" s="1"/>
  <c r="AU12" i="2"/>
  <c r="AT12" i="2"/>
  <c r="BE178" i="2"/>
  <c r="BD178" i="2"/>
  <c r="Q177" i="2"/>
  <c r="F156" i="4" s="1"/>
  <c r="P177" i="2"/>
  <c r="D157" i="5" s="1"/>
  <c r="G200" i="2"/>
  <c r="C195" i="4" s="1"/>
  <c r="G185" i="2"/>
  <c r="C193" i="4" s="1"/>
  <c r="AT109" i="2"/>
  <c r="AU109" i="2"/>
  <c r="G113" i="2"/>
  <c r="C201" i="4" s="1"/>
  <c r="G202" i="2"/>
  <c r="C103" i="4" s="1"/>
  <c r="BE111" i="2"/>
  <c r="BD111" i="2"/>
  <c r="AT180" i="2"/>
  <c r="AU180" i="2"/>
  <c r="Q108" i="2"/>
  <c r="F96" i="4" s="1"/>
  <c r="P108" i="2"/>
  <c r="D97" i="5" s="1"/>
  <c r="BE23" i="2"/>
  <c r="BD23" i="2"/>
  <c r="BE71" i="2"/>
  <c r="BD71" i="2"/>
  <c r="BE62" i="2"/>
  <c r="BD62" i="2"/>
  <c r="AU5" i="2"/>
  <c r="AT5" i="2"/>
  <c r="BX91" i="2"/>
  <c r="BY91" i="2"/>
  <c r="BE190" i="2"/>
  <c r="BD190" i="2"/>
  <c r="G211" i="2"/>
  <c r="C182" i="4" s="1"/>
  <c r="AU141" i="2"/>
  <c r="AT141" i="2"/>
  <c r="P92" i="2"/>
  <c r="D209" i="5" s="1"/>
  <c r="Q92" i="2"/>
  <c r="F208" i="4" s="1"/>
  <c r="G147" i="2"/>
  <c r="C203" i="4" s="1"/>
  <c r="Z147" i="2"/>
  <c r="C204" i="5" s="1"/>
  <c r="AA147" i="2"/>
  <c r="E203" i="4" s="1"/>
  <c r="D203" i="4" s="1"/>
  <c r="G209" i="2"/>
  <c r="C188" i="4" s="1"/>
  <c r="BO172" i="2"/>
  <c r="BN172" i="2"/>
  <c r="P130" i="2"/>
  <c r="D144" i="5" s="1"/>
  <c r="Q130" i="2"/>
  <c r="F143" i="4" s="1"/>
  <c r="AI199" i="2"/>
  <c r="G146" i="4" s="1"/>
  <c r="G25" i="2"/>
  <c r="C26" i="4" s="1"/>
  <c r="Q95" i="2"/>
  <c r="F141" i="4" s="1"/>
  <c r="P95" i="2"/>
  <c r="D142" i="5" s="1"/>
  <c r="BO96" i="2"/>
  <c r="BN96" i="2"/>
  <c r="P176" i="2"/>
  <c r="D84" i="5" s="1"/>
  <c r="Q176" i="2"/>
  <c r="F83" i="4" s="1"/>
  <c r="BE43" i="2"/>
  <c r="BD43" i="2"/>
  <c r="BO205" i="2"/>
  <c r="BN205" i="2"/>
  <c r="BY202" i="2"/>
  <c r="BX202" i="2"/>
  <c r="G219" i="2"/>
  <c r="C125" i="4" s="1"/>
  <c r="AU68" i="2"/>
  <c r="AT68" i="2"/>
  <c r="G43" i="2"/>
  <c r="C40" i="4" s="1"/>
  <c r="P12" i="2"/>
  <c r="D118" i="5" s="1"/>
  <c r="Q12" i="2"/>
  <c r="F117" i="4" s="1"/>
  <c r="AU8" i="2"/>
  <c r="AT8" i="2"/>
  <c r="G50" i="2"/>
  <c r="C55" i="4" s="1"/>
  <c r="P216" i="2"/>
  <c r="D169" i="5" s="1"/>
  <c r="Q216" i="2"/>
  <c r="F168" i="4" s="1"/>
  <c r="BY150" i="2"/>
  <c r="BX150" i="2"/>
  <c r="BO199" i="2"/>
  <c r="BN199" i="2"/>
  <c r="P100" i="2"/>
  <c r="D78" i="5" s="1"/>
  <c r="Q100" i="2"/>
  <c r="F77" i="4" s="1"/>
  <c r="P202" i="2"/>
  <c r="D104" i="5" s="1"/>
  <c r="Q202" i="2"/>
  <c r="F103" i="4" s="1"/>
  <c r="G3" i="2"/>
  <c r="C25" i="4" s="1"/>
  <c r="AU88" i="2"/>
  <c r="AT88" i="2"/>
  <c r="BY158" i="2"/>
  <c r="BX158" i="2"/>
  <c r="P190" i="2"/>
  <c r="D100" i="5" s="1"/>
  <c r="Q190" i="2"/>
  <c r="F99" i="4" s="1"/>
  <c r="BY164" i="2"/>
  <c r="BX164" i="2"/>
  <c r="BO176" i="2"/>
  <c r="BN176" i="2"/>
  <c r="P150" i="2"/>
  <c r="D205" i="5" s="1"/>
  <c r="Q150" i="2"/>
  <c r="F204" i="4" s="1"/>
  <c r="P198" i="2"/>
  <c r="D225" i="5" s="1"/>
  <c r="Q198" i="2"/>
  <c r="F224" i="4" s="1"/>
  <c r="P78" i="2"/>
  <c r="D18" i="5" s="1"/>
  <c r="Q78" i="2"/>
  <c r="F17" i="4" s="1"/>
  <c r="G35" i="2"/>
  <c r="C48" i="4" s="1"/>
  <c r="BE142" i="2"/>
  <c r="BD142" i="2"/>
  <c r="P118" i="2"/>
  <c r="D168" i="5" s="1"/>
  <c r="Q118" i="2"/>
  <c r="F167" i="4" s="1"/>
  <c r="P132" i="2"/>
  <c r="D160" i="5" s="1"/>
  <c r="Q132" i="2"/>
  <c r="F159" i="4" s="1"/>
  <c r="BY155" i="2"/>
  <c r="BX155" i="2"/>
  <c r="P120" i="2"/>
  <c r="D139" i="5" s="1"/>
  <c r="Q120" i="2"/>
  <c r="F138" i="4" s="1"/>
  <c r="G137" i="2"/>
  <c r="C107" i="4" s="1"/>
  <c r="BE228" i="2"/>
  <c r="BD228" i="2"/>
  <c r="AU169" i="2"/>
  <c r="AT169" i="2"/>
  <c r="Q127" i="2"/>
  <c r="F97" i="4" s="1"/>
  <c r="P127" i="2"/>
  <c r="D98" i="5" s="1"/>
  <c r="G37" i="2"/>
  <c r="C61" i="4" s="1"/>
  <c r="AU43" i="2"/>
  <c r="AT43" i="2"/>
  <c r="G31" i="2"/>
  <c r="C91" i="4" s="1"/>
  <c r="BY167" i="2"/>
  <c r="BX167" i="2"/>
  <c r="G131" i="2"/>
  <c r="C209" i="4" s="1"/>
  <c r="G171" i="2"/>
  <c r="C108" i="4" s="1"/>
  <c r="AU93" i="2"/>
  <c r="AT93" i="2"/>
  <c r="G120" i="2"/>
  <c r="C138" i="4" s="1"/>
  <c r="G42" i="2"/>
  <c r="C113" i="4" s="1"/>
  <c r="AU142" i="2"/>
  <c r="AT142" i="2"/>
  <c r="G172" i="2"/>
  <c r="C81" i="4" s="1"/>
  <c r="G72" i="2"/>
  <c r="C34" i="4" s="1"/>
  <c r="G191" i="2"/>
  <c r="C223" i="4" s="1"/>
  <c r="P119" i="2"/>
  <c r="D162" i="5" s="1"/>
  <c r="Q119" i="2"/>
  <c r="F161" i="4" s="1"/>
  <c r="BE218" i="2"/>
  <c r="BD218" i="2"/>
  <c r="AU161" i="2"/>
  <c r="AT161" i="2"/>
  <c r="Q67" i="2"/>
  <c r="F118" i="4" s="1"/>
  <c r="P67" i="2"/>
  <c r="D119" i="5" s="1"/>
  <c r="P203" i="2"/>
  <c r="D214" i="5" s="1"/>
  <c r="Q203" i="2"/>
  <c r="F213" i="4" s="1"/>
  <c r="BY12" i="2"/>
  <c r="BX12" i="2"/>
  <c r="G199" i="2"/>
  <c r="C146" i="4" s="1"/>
  <c r="P185" i="2"/>
  <c r="D194" i="5" s="1"/>
  <c r="Q185" i="2"/>
  <c r="F193" i="4" s="1"/>
  <c r="BE51" i="2"/>
  <c r="BD51" i="2"/>
  <c r="G12" i="2"/>
  <c r="C117" i="4" s="1"/>
  <c r="AI8" i="2"/>
  <c r="G124" i="4" s="1"/>
  <c r="P153" i="2"/>
  <c r="D68" i="5" s="1"/>
  <c r="Q153" i="2"/>
  <c r="F67" i="4" s="1"/>
  <c r="P166" i="2"/>
  <c r="D193" i="5" s="1"/>
  <c r="Q166" i="2"/>
  <c r="F192" i="4" s="1"/>
  <c r="AI103" i="2"/>
  <c r="G93" i="4" s="1"/>
  <c r="G195" i="2"/>
  <c r="C189" i="4" s="1"/>
  <c r="BE33" i="2"/>
  <c r="BD33" i="2"/>
  <c r="BY140" i="2"/>
  <c r="BX140" i="2"/>
  <c r="P225" i="2"/>
  <c r="D177" i="5" s="1"/>
  <c r="Q225" i="2"/>
  <c r="F176" i="4" s="1"/>
  <c r="BO37" i="2"/>
  <c r="BN37" i="2"/>
  <c r="BY70" i="2"/>
  <c r="BX70" i="2"/>
  <c r="P199" i="2"/>
  <c r="D147" i="5" s="1"/>
  <c r="Q199" i="2"/>
  <c r="F146" i="4" s="1"/>
  <c r="BO168" i="2"/>
  <c r="BN168" i="2"/>
  <c r="AA3" i="2"/>
  <c r="E25" i="4" s="1"/>
  <c r="D25" i="4" s="1"/>
  <c r="Z3" i="2"/>
  <c r="C26" i="5" s="1"/>
  <c r="BO207" i="2"/>
  <c r="BN207" i="2"/>
  <c r="G92" i="2"/>
  <c r="C208" i="4" s="1"/>
  <c r="G159" i="2"/>
  <c r="C102" i="4" s="1"/>
  <c r="BE113" i="2"/>
  <c r="BD113" i="2"/>
  <c r="BE179" i="2"/>
  <c r="BD179" i="2"/>
  <c r="BE127" i="2"/>
  <c r="BD127" i="2"/>
  <c r="AU134" i="2"/>
  <c r="AT134" i="2"/>
  <c r="G187" i="2"/>
  <c r="C169" i="4" s="1"/>
  <c r="AU115" i="2"/>
  <c r="AT115" i="2"/>
  <c r="P98" i="2"/>
  <c r="D155" i="5" s="1"/>
  <c r="Q98" i="2"/>
  <c r="F154" i="4" s="1"/>
  <c r="BY26" i="2"/>
  <c r="BX26" i="2"/>
  <c r="AI80" i="2"/>
  <c r="G120" i="4" s="1"/>
  <c r="P6" i="2"/>
  <c r="D72" i="5" s="1"/>
  <c r="Q6" i="2"/>
  <c r="F71" i="4" s="1"/>
  <c r="AU131" i="2"/>
  <c r="AT131" i="2"/>
  <c r="BN73" i="2"/>
  <c r="BO73" i="2"/>
  <c r="AI179" i="2"/>
  <c r="G226" i="4" s="1"/>
  <c r="AI129" i="2"/>
  <c r="G215" i="4" s="1"/>
  <c r="P47" i="2"/>
  <c r="D145" i="5" s="1"/>
  <c r="Q47" i="2"/>
  <c r="F144" i="4" s="1"/>
  <c r="P45" i="2"/>
  <c r="D128" i="5" s="1"/>
  <c r="Q45" i="2"/>
  <c r="F127" i="4" s="1"/>
  <c r="P179" i="2"/>
  <c r="D227" i="5" s="1"/>
  <c r="Q179" i="2"/>
  <c r="F226" i="4" s="1"/>
  <c r="G229" i="2"/>
  <c r="C111" i="4" s="1"/>
  <c r="BE106" i="2"/>
  <c r="BD106" i="2"/>
  <c r="G76" i="2"/>
  <c r="C100" i="4" s="1"/>
  <c r="BD65" i="2"/>
  <c r="BE65" i="2"/>
  <c r="G16" i="2"/>
  <c r="C42" i="4" s="1"/>
  <c r="P52" i="2"/>
  <c r="D156" i="5" s="1"/>
  <c r="Q52" i="2"/>
  <c r="F155" i="4" s="1"/>
  <c r="G54" i="2"/>
  <c r="C57" i="4" s="1"/>
  <c r="G63" i="2"/>
  <c r="C59" i="4" s="1"/>
  <c r="Z52" i="2"/>
  <c r="C156" i="5" s="1"/>
  <c r="AA52" i="2"/>
  <c r="E155" i="4" s="1"/>
  <c r="D155" i="4" s="1"/>
  <c r="BY55" i="2"/>
  <c r="BX55" i="2"/>
  <c r="AT181" i="2"/>
  <c r="AU181" i="2"/>
  <c r="P61" i="2"/>
  <c r="D57" i="5" s="1"/>
  <c r="Q61" i="2"/>
  <c r="F56" i="4" s="1"/>
  <c r="AU64" i="2"/>
  <c r="AT64" i="2"/>
  <c r="P121" i="2"/>
  <c r="D215" i="5" s="1"/>
  <c r="Q121" i="2"/>
  <c r="F214" i="4" s="1"/>
  <c r="BE209" i="2"/>
  <c r="BD209" i="2"/>
  <c r="G40" i="2"/>
  <c r="C86" i="4" s="1"/>
  <c r="P71" i="2"/>
  <c r="D40" i="5" s="1"/>
  <c r="Q71" i="2"/>
  <c r="F39" i="4" s="1"/>
  <c r="AU221" i="2"/>
  <c r="AT221" i="2"/>
  <c r="P5" i="2"/>
  <c r="D159" i="5" s="1"/>
  <c r="Q5" i="2"/>
  <c r="F158" i="4" s="1"/>
  <c r="AI208" i="2"/>
  <c r="G202" i="4" s="1"/>
  <c r="G11" i="2"/>
  <c r="C119" i="4" s="1"/>
  <c r="AT35" i="2"/>
  <c r="AU35" i="2"/>
  <c r="BE3" i="2"/>
  <c r="BD3" i="2"/>
  <c r="BO196" i="2"/>
  <c r="BN196" i="2"/>
  <c r="P155" i="2"/>
  <c r="D65" i="5" s="1"/>
  <c r="Q155" i="2"/>
  <c r="F64" i="4" s="1"/>
  <c r="BN119" i="2"/>
  <c r="BO119" i="2"/>
  <c r="G136" i="2"/>
  <c r="C190" i="4" s="1"/>
  <c r="AU206" i="2"/>
  <c r="AT206" i="2"/>
  <c r="P22" i="2"/>
  <c r="D13" i="5" s="1"/>
  <c r="Q22" i="2"/>
  <c r="F12" i="4" s="1"/>
  <c r="P187" i="2"/>
  <c r="D170" i="5" s="1"/>
  <c r="Q187" i="2"/>
  <c r="F169" i="4" s="1"/>
  <c r="AU83" i="2"/>
  <c r="AT83" i="2"/>
  <c r="P11" i="2"/>
  <c r="D120" i="5" s="1"/>
  <c r="Q11" i="2"/>
  <c r="F119" i="4" s="1"/>
  <c r="BO65" i="2"/>
  <c r="BN65" i="2"/>
  <c r="G117" i="2"/>
  <c r="C147" i="4" s="1"/>
  <c r="AU89" i="2"/>
  <c r="AT89" i="2"/>
  <c r="G59" i="2"/>
  <c r="C80" i="4" s="1"/>
  <c r="AU104" i="2"/>
  <c r="AT104" i="2"/>
  <c r="BD207" i="2"/>
  <c r="BE207" i="2"/>
  <c r="G216" i="2"/>
  <c r="C168" i="4" s="1"/>
  <c r="P59" i="2"/>
  <c r="D81" i="5" s="1"/>
  <c r="Q59" i="2"/>
  <c r="F80" i="4" s="1"/>
  <c r="BN211" i="2"/>
  <c r="BO211" i="2"/>
  <c r="G150" i="2"/>
  <c r="C204" i="4" s="1"/>
  <c r="G56" i="2"/>
  <c r="C28" i="4" s="1"/>
  <c r="AT140" i="2"/>
  <c r="AU140" i="2"/>
  <c r="G127" i="2"/>
  <c r="C97" i="4" s="1"/>
  <c r="P192" i="2"/>
  <c r="D185" i="5" s="1"/>
  <c r="Q192" i="2"/>
  <c r="F184" i="4" s="1"/>
  <c r="G123" i="2"/>
  <c r="C20" i="4" s="1"/>
  <c r="P112" i="2"/>
  <c r="D39" i="5" s="1"/>
  <c r="Q112" i="2"/>
  <c r="F38" i="4" s="1"/>
  <c r="BY38" i="2"/>
  <c r="BX38" i="2"/>
  <c r="Q105" i="2"/>
  <c r="F37" i="4" s="1"/>
  <c r="P105" i="2"/>
  <c r="D38" i="5" s="1"/>
  <c r="G51" i="2"/>
  <c r="C10" i="4" s="1"/>
  <c r="G190" i="2"/>
  <c r="C99" i="4" s="1"/>
  <c r="P134" i="2"/>
  <c r="D123" i="5" s="1"/>
  <c r="Q134" i="2"/>
  <c r="F122" i="4" s="1"/>
  <c r="BE119" i="2"/>
  <c r="BD119" i="2"/>
  <c r="G144" i="2"/>
  <c r="C70" i="4" s="1"/>
  <c r="AT186" i="2"/>
  <c r="AU186" i="2"/>
  <c r="BY181" i="2"/>
  <c r="BX181" i="2"/>
  <c r="BY208" i="2"/>
  <c r="BX208" i="2"/>
  <c r="AA205" i="2"/>
  <c r="E228" i="4" s="1"/>
  <c r="D228" i="4" s="1"/>
  <c r="Z205" i="2"/>
  <c r="C229" i="5" s="1"/>
  <c r="BY137" i="2"/>
  <c r="BX137" i="2"/>
  <c r="BO16" i="2"/>
  <c r="BN16" i="2"/>
  <c r="G217" i="2"/>
  <c r="C183" i="4" s="1"/>
  <c r="AT164" i="2"/>
  <c r="AU164" i="2"/>
  <c r="AU94" i="2"/>
  <c r="AT94" i="2"/>
  <c r="G130" i="2"/>
  <c r="C143" i="4" s="1"/>
  <c r="AU106" i="2"/>
  <c r="AT106" i="2"/>
  <c r="Q75" i="2"/>
  <c r="F104" i="4" s="1"/>
  <c r="P75" i="2"/>
  <c r="D105" i="5" s="1"/>
  <c r="G168" i="2"/>
  <c r="C160" i="4" s="1"/>
  <c r="G65" i="2"/>
  <c r="C29" i="4" s="1"/>
  <c r="BO169" i="2"/>
  <c r="BN169" i="2"/>
  <c r="G164" i="2"/>
  <c r="C74" i="4" s="1"/>
  <c r="G78" i="2"/>
  <c r="C17" i="4" s="1"/>
  <c r="P219" i="2"/>
  <c r="D126" i="5" s="1"/>
  <c r="Q219" i="2"/>
  <c r="F125" i="4" s="1"/>
  <c r="BE184" i="2"/>
  <c r="BD184" i="2"/>
  <c r="BO44" i="2"/>
  <c r="BN44" i="2"/>
  <c r="BD216" i="2"/>
  <c r="BE216" i="2"/>
  <c r="AU185" i="2"/>
  <c r="AT185" i="2"/>
  <c r="BO12" i="2"/>
  <c r="BN12" i="2"/>
  <c r="BD91" i="2"/>
  <c r="BE91" i="2"/>
  <c r="G108" i="2"/>
  <c r="C96" i="4" s="1"/>
  <c r="AI150" i="2"/>
  <c r="G204" i="4" s="1"/>
  <c r="G157" i="2"/>
  <c r="C229" i="4" s="1"/>
  <c r="AU220" i="2"/>
  <c r="AT220" i="2"/>
  <c r="AU153" i="2"/>
  <c r="AT153" i="2"/>
  <c r="BO135" i="2"/>
  <c r="BN135" i="2"/>
  <c r="BE187" i="2"/>
  <c r="BD187" i="2"/>
  <c r="BE195" i="2"/>
  <c r="BD195" i="2"/>
  <c r="P82" i="2"/>
  <c r="D140" i="5" s="1"/>
  <c r="Q82" i="2"/>
  <c r="F139" i="4" s="1"/>
  <c r="AU212" i="2"/>
  <c r="AT212" i="2"/>
  <c r="P15" i="2"/>
  <c r="D14" i="5" s="1"/>
  <c r="Q15" i="2"/>
  <c r="F13" i="4" s="1"/>
  <c r="AU207" i="2"/>
  <c r="AT207" i="2"/>
  <c r="AT80" i="2"/>
  <c r="AU80" i="2"/>
  <c r="BE50" i="2"/>
  <c r="BD50" i="2"/>
  <c r="AU219" i="2"/>
  <c r="AT219" i="2"/>
  <c r="AU145" i="2"/>
  <c r="AT145" i="2"/>
  <c r="Q72" i="2"/>
  <c r="F34" i="4" s="1"/>
  <c r="P72" i="2"/>
  <c r="D35" i="5" s="1"/>
  <c r="BD221" i="2"/>
  <c r="BE221" i="2"/>
  <c r="P107" i="2"/>
  <c r="D93" i="5" s="1"/>
  <c r="Q107" i="2"/>
  <c r="F92" i="4" s="1"/>
  <c r="G128" i="2"/>
  <c r="C216" i="4" s="1"/>
  <c r="P110" i="2"/>
  <c r="D149" i="5" s="1"/>
  <c r="Q110" i="2"/>
  <c r="F148" i="4" s="1"/>
  <c r="G103" i="2"/>
  <c r="C93" i="4" s="1"/>
  <c r="G95" i="2"/>
  <c r="C141" i="4" s="1"/>
  <c r="AT126" i="2"/>
  <c r="AU126" i="2"/>
  <c r="G214" i="2"/>
  <c r="C133" i="4" s="1"/>
  <c r="AU23" i="2"/>
  <c r="AT23" i="2"/>
  <c r="P149" i="2"/>
  <c r="D106" i="5" s="1"/>
  <c r="Q149" i="2"/>
  <c r="F105" i="4" s="1"/>
  <c r="BO222" i="2"/>
  <c r="BN222" i="2"/>
  <c r="AI158" i="2"/>
  <c r="G178" i="4" s="1"/>
  <c r="AU30" i="2"/>
  <c r="AT30" i="2"/>
  <c r="BE193" i="2"/>
  <c r="BD193" i="2"/>
  <c r="BX28" i="2"/>
  <c r="BY28" i="2"/>
  <c r="P223" i="2"/>
  <c r="D180" i="5" s="1"/>
  <c r="Q223" i="2"/>
  <c r="F179" i="4" s="1"/>
  <c r="G221" i="2"/>
  <c r="C219" i="4" s="1"/>
  <c r="P111" i="2"/>
  <c r="D197" i="5" s="1"/>
  <c r="Q111" i="2"/>
  <c r="F196" i="4" s="1"/>
  <c r="BE138" i="2"/>
  <c r="BD138" i="2"/>
  <c r="BX39" i="2"/>
  <c r="BY39" i="2"/>
  <c r="G138" i="2"/>
  <c r="C110" i="4" s="1"/>
  <c r="AI180" i="2"/>
  <c r="G186" i="4" s="1"/>
  <c r="G167" i="2"/>
  <c r="C115" i="4" s="1"/>
  <c r="BY117" i="2"/>
  <c r="BX117" i="2"/>
  <c r="BE177" i="2"/>
  <c r="BD177" i="2"/>
  <c r="P101" i="2"/>
  <c r="D37" i="5" s="1"/>
  <c r="Q101" i="2"/>
  <c r="F36" i="4" s="1"/>
  <c r="AU62" i="2"/>
  <c r="AT62" i="2"/>
  <c r="Q58" i="2"/>
  <c r="F153" i="4" s="1"/>
  <c r="P58" i="2"/>
  <c r="D154" i="5" s="1"/>
  <c r="BN223" i="2"/>
  <c r="BO223" i="2"/>
  <c r="AU210" i="2"/>
  <c r="AT210" i="2"/>
  <c r="BE59" i="2"/>
  <c r="BD59" i="2"/>
  <c r="G62" i="2"/>
  <c r="C129" i="4" s="1"/>
  <c r="BO102" i="2"/>
  <c r="BN102" i="2"/>
  <c r="AI44" i="2"/>
  <c r="G66" i="4" s="1"/>
  <c r="AI73" i="2"/>
  <c r="G116" i="4" s="1"/>
  <c r="P14" i="2"/>
  <c r="D129" i="5" s="1"/>
  <c r="Q14" i="2"/>
  <c r="F128" i="4" s="1"/>
  <c r="AU189" i="2"/>
  <c r="AT189" i="2"/>
  <c r="BX157" i="2"/>
  <c r="BY157" i="2"/>
  <c r="BO122" i="2"/>
  <c r="BN122" i="2"/>
  <c r="P128" i="2"/>
  <c r="D217" i="5" s="1"/>
  <c r="Q128" i="2"/>
  <c r="F216" i="4" s="1"/>
  <c r="AU228" i="2"/>
  <c r="AT228" i="2"/>
  <c r="P63" i="2"/>
  <c r="D60" i="5" s="1"/>
  <c r="Q63" i="2"/>
  <c r="F59" i="4" s="1"/>
  <c r="AU6" i="2"/>
  <c r="AT6" i="2"/>
  <c r="BN178" i="2"/>
  <c r="BO178" i="2"/>
  <c r="G20" i="2"/>
  <c r="C14" i="4" s="1"/>
  <c r="AU95" i="2"/>
  <c r="AT95" i="2"/>
  <c r="G32" i="2"/>
  <c r="C43" i="4" s="1"/>
  <c r="AU46" i="2"/>
  <c r="AT46" i="2"/>
  <c r="BN224" i="2"/>
  <c r="BO224" i="2"/>
  <c r="BD171" i="2"/>
  <c r="BE171" i="2"/>
  <c r="P96" i="2"/>
  <c r="D122" i="5" s="1"/>
  <c r="Q96" i="2"/>
  <c r="F121" i="4" s="1"/>
  <c r="G96" i="2"/>
  <c r="C121" i="4" s="1"/>
  <c r="P102" i="2"/>
  <c r="D164" i="5" s="1"/>
  <c r="Q102" i="2"/>
  <c r="F163" i="4" s="1"/>
  <c r="AU199" i="2"/>
  <c r="AT199" i="2"/>
  <c r="AT15" i="2"/>
  <c r="AU15" i="2"/>
  <c r="BD128" i="2"/>
  <c r="BE128" i="2"/>
  <c r="G18" i="2"/>
  <c r="C130" i="4" s="1"/>
  <c r="G10" i="2"/>
  <c r="C9" i="4" s="1"/>
  <c r="BN214" i="2"/>
  <c r="BO214" i="2"/>
  <c r="BE120" i="2"/>
  <c r="BD120" i="2"/>
  <c r="G112" i="2"/>
  <c r="C38" i="4" s="1"/>
  <c r="BO28" i="2"/>
  <c r="BN28" i="2"/>
  <c r="G220" i="2"/>
  <c r="C197" i="4" s="1"/>
  <c r="AU144" i="2"/>
  <c r="AT144" i="2"/>
  <c r="P158" i="2"/>
  <c r="D179" i="5" s="1"/>
  <c r="Q158" i="2"/>
  <c r="F178" i="4" s="1"/>
  <c r="P48" i="2"/>
  <c r="D55" i="5" s="1"/>
  <c r="Q48" i="2"/>
  <c r="F54" i="4" s="1"/>
  <c r="BE147" i="2"/>
  <c r="BD147" i="2"/>
  <c r="BO22" i="2"/>
  <c r="BN22" i="2"/>
  <c r="P55" i="2"/>
  <c r="D64" i="5" s="1"/>
  <c r="Q55" i="2"/>
  <c r="F63" i="4" s="1"/>
  <c r="AU129" i="2"/>
  <c r="AT129" i="2"/>
  <c r="P30" i="2"/>
  <c r="D6" i="5" s="1"/>
  <c r="Q30" i="2"/>
  <c r="F5" i="4" s="1"/>
  <c r="AT137" i="2"/>
  <c r="AU137" i="2"/>
  <c r="BX222" i="2"/>
  <c r="BY222" i="2"/>
  <c r="G153" i="2"/>
  <c r="C67" i="4" s="1"/>
  <c r="BE99" i="2"/>
  <c r="BD99" i="2"/>
  <c r="Q26" i="2"/>
  <c r="F46" i="4" s="1"/>
  <c r="P26" i="2"/>
  <c r="D47" i="5" s="1"/>
  <c r="BX81" i="2"/>
  <c r="BY81" i="2"/>
  <c r="G118" i="2"/>
  <c r="C167" i="4" s="1"/>
  <c r="AU91" i="2"/>
  <c r="AT91" i="2"/>
  <c r="P99" i="2"/>
  <c r="D107" i="5" s="1"/>
  <c r="Q99" i="2"/>
  <c r="F106" i="4" s="1"/>
  <c r="BY65" i="2"/>
  <c r="BX65" i="2"/>
  <c r="Z157" i="2"/>
  <c r="C230" i="5" s="1"/>
  <c r="AA157" i="2"/>
  <c r="E229" i="4" s="1"/>
  <c r="D229" i="4" s="1"/>
  <c r="AU175" i="2"/>
  <c r="AT175" i="2"/>
  <c r="G102" i="2"/>
  <c r="C163" i="4" s="1"/>
  <c r="BO108" i="2"/>
  <c r="BN108" i="2"/>
  <c r="G67" i="2"/>
  <c r="C118" i="4" s="1"/>
  <c r="P87" i="2"/>
  <c r="D79" i="5" s="1"/>
  <c r="Q87" i="2"/>
  <c r="F78" i="4" s="1"/>
  <c r="G45" i="2"/>
  <c r="C127" i="4" s="1"/>
  <c r="G207" i="2"/>
  <c r="C142" i="4" s="1"/>
  <c r="AU168" i="2"/>
  <c r="AT168" i="2"/>
  <c r="P65" i="2"/>
  <c r="D30" i="5" s="1"/>
  <c r="Q65" i="2"/>
  <c r="F29" i="4" s="1"/>
  <c r="G48" i="2"/>
  <c r="C54" i="4" s="1"/>
  <c r="BO110" i="2"/>
  <c r="BN110" i="2"/>
  <c r="BE35" i="2"/>
  <c r="BD35" i="2"/>
  <c r="AU200" i="2"/>
  <c r="AT200" i="2"/>
  <c r="P175" i="2"/>
  <c r="D91" i="5" s="1"/>
  <c r="Q175" i="2"/>
  <c r="F90" i="4" s="1"/>
  <c r="G61" i="2"/>
  <c r="C56" i="4" s="1"/>
  <c r="G14" i="2"/>
  <c r="C128" i="4" s="1"/>
  <c r="Q10" i="2"/>
  <c r="F9" i="4" s="1"/>
  <c r="P10" i="2"/>
  <c r="D10" i="5" s="1"/>
  <c r="G105" i="2"/>
  <c r="C37" i="4" s="1"/>
  <c r="G196" i="2"/>
  <c r="C211" i="4" s="1"/>
  <c r="AU52" i="2"/>
  <c r="AT52" i="2"/>
  <c r="AU187" i="2"/>
  <c r="AT187" i="2"/>
  <c r="BX56" i="2"/>
  <c r="BY56" i="2"/>
  <c r="P32" i="2"/>
  <c r="D44" i="5" s="1"/>
  <c r="Q32" i="2"/>
  <c r="F43" i="4" s="1"/>
  <c r="AU40" i="2"/>
  <c r="AT40" i="2"/>
  <c r="G5" i="2"/>
  <c r="C158" i="4" s="1"/>
  <c r="AU119" i="2"/>
  <c r="AT119" i="2"/>
  <c r="BO15" i="2"/>
  <c r="BN15" i="2"/>
  <c r="Q129" i="2"/>
  <c r="F215" i="4" s="1"/>
  <c r="P129" i="2"/>
  <c r="D216" i="5" s="1"/>
  <c r="BE169" i="2"/>
  <c r="BD169" i="2"/>
  <c r="BD34" i="2"/>
  <c r="BE34" i="2"/>
  <c r="G6" i="2"/>
  <c r="C71" i="4" s="1"/>
  <c r="BO164" i="2"/>
  <c r="BN164" i="2"/>
  <c r="BY42" i="2"/>
  <c r="BX42" i="2"/>
  <c r="AU63" i="2"/>
  <c r="AT63" i="2"/>
  <c r="BO209" i="2"/>
  <c r="BN209" i="2"/>
  <c r="Q20" i="2"/>
  <c r="F14" i="4" s="1"/>
  <c r="P20" i="2"/>
  <c r="D15" i="5" s="1"/>
  <c r="AU184" i="2"/>
  <c r="AT184" i="2"/>
  <c r="BE161" i="2"/>
  <c r="BD161" i="2"/>
  <c r="Q201" i="2"/>
  <c r="F225" i="4" s="1"/>
  <c r="P201" i="2"/>
  <c r="D226" i="5" s="1"/>
  <c r="G49" i="2"/>
  <c r="C6" i="4" s="1"/>
  <c r="BY187" i="2"/>
  <c r="BX187" i="2"/>
  <c r="AI192" i="2"/>
  <c r="G184" i="4" s="1"/>
  <c r="P43" i="2"/>
  <c r="D41" i="5" s="1"/>
  <c r="Q43" i="2"/>
  <c r="F40" i="4" s="1"/>
  <c r="P117" i="2"/>
  <c r="D148" i="5" s="1"/>
  <c r="Q117" i="2"/>
  <c r="F147" i="4" s="1"/>
  <c r="BX133" i="2"/>
  <c r="BY133" i="2"/>
  <c r="BE22" i="2"/>
  <c r="BD22" i="2"/>
  <c r="P212" i="2"/>
  <c r="D95" i="5" s="1"/>
  <c r="Q212" i="2"/>
  <c r="F94" i="4" s="1"/>
  <c r="AU79" i="2"/>
  <c r="AT79" i="2"/>
  <c r="AT84" i="2"/>
  <c r="AU84" i="2"/>
  <c r="BO137" i="2"/>
  <c r="BN137" i="2"/>
  <c r="G201" i="2"/>
  <c r="C225" i="4" s="1"/>
  <c r="P77" i="2"/>
  <c r="D31" i="5" s="1"/>
  <c r="Q77" i="2"/>
  <c r="F30" i="4" s="1"/>
  <c r="P156" i="2"/>
  <c r="D127" i="5" s="1"/>
  <c r="Q156" i="2"/>
  <c r="F126" i="4" s="1"/>
  <c r="AI181" i="2"/>
  <c r="G164" i="4" s="1"/>
  <c r="P145" i="2"/>
  <c r="D70" i="5" s="1"/>
  <c r="Q145" i="2"/>
  <c r="F69" i="4" s="1"/>
  <c r="AU13" i="2"/>
  <c r="AT13" i="2"/>
  <c r="BD125" i="2"/>
  <c r="BE125" i="2"/>
  <c r="BY220" i="2"/>
  <c r="BX220" i="2"/>
  <c r="AU9" i="2"/>
  <c r="AT9" i="2"/>
  <c r="G178" i="2"/>
  <c r="C157" i="4" s="1"/>
  <c r="AU85" i="2"/>
  <c r="AT85" i="2"/>
  <c r="BN52" i="2"/>
  <c r="BO52" i="2"/>
  <c r="AT32" i="2"/>
  <c r="AU32" i="2"/>
  <c r="P170" i="2"/>
  <c r="D83" i="5" s="1"/>
  <c r="Q170" i="2"/>
  <c r="F82" i="4" s="1"/>
  <c r="Z190" i="2"/>
  <c r="C100" i="5" s="1"/>
  <c r="AA190" i="2"/>
  <c r="E99" i="4" s="1"/>
  <c r="D99" i="4" s="1"/>
  <c r="BE175" i="2"/>
  <c r="BD175" i="2"/>
  <c r="BE191" i="2"/>
  <c r="BD191" i="2"/>
  <c r="AI95" i="2"/>
  <c r="G141" i="4" s="1"/>
  <c r="BO114" i="2"/>
  <c r="BN114" i="2"/>
  <c r="G23" i="2"/>
  <c r="C149" i="4" s="1"/>
  <c r="G27" i="2"/>
  <c r="C95" i="4" s="1"/>
  <c r="Z34" i="2"/>
  <c r="C50" i="5" s="1"/>
  <c r="AA34" i="2"/>
  <c r="E49" i="4" s="1"/>
  <c r="D49" i="4" s="1"/>
  <c r="AU114" i="2"/>
  <c r="AT114" i="2"/>
  <c r="BY128" i="2"/>
  <c r="BX128" i="2"/>
  <c r="P222" i="2"/>
  <c r="D171" i="5" s="1"/>
  <c r="Q222" i="2"/>
  <c r="F170" i="4" s="1"/>
  <c r="BE141" i="2"/>
  <c r="BD141" i="2"/>
  <c r="AU174" i="2"/>
  <c r="AT174" i="2"/>
  <c r="BD27" i="2"/>
  <c r="BE27" i="2"/>
  <c r="P163" i="2"/>
  <c r="D141" i="5" s="1"/>
  <c r="Q163" i="2"/>
  <c r="F140" i="4" s="1"/>
  <c r="AU26" i="2"/>
  <c r="AT26" i="2"/>
  <c r="AI114" i="2"/>
  <c r="G98" i="4" s="1"/>
  <c r="BE210" i="2"/>
  <c r="BD210" i="2"/>
  <c r="P164" i="2"/>
  <c r="D75" i="5" s="1"/>
  <c r="Q164" i="2"/>
  <c r="F74" i="4" s="1"/>
  <c r="Z111" i="2"/>
  <c r="C197" i="5" s="1"/>
  <c r="AA111" i="2"/>
  <c r="E196" i="4" s="1"/>
  <c r="D196" i="4" s="1"/>
  <c r="BO39" i="2"/>
  <c r="BN39" i="2"/>
  <c r="G146" i="2"/>
  <c r="C84" i="4" s="1"/>
  <c r="P173" i="2"/>
  <c r="D181" i="5" s="1"/>
  <c r="Q173" i="2"/>
  <c r="F180" i="4" s="1"/>
  <c r="AU192" i="2"/>
  <c r="AT192" i="2"/>
  <c r="BX189" i="2"/>
  <c r="BY189" i="2"/>
  <c r="AI168" i="2"/>
  <c r="G160" i="4" s="1"/>
  <c r="BE152" i="2"/>
  <c r="BD152" i="2"/>
  <c r="BE159" i="2"/>
  <c r="BD159" i="2"/>
  <c r="AU147" i="2"/>
  <c r="AT147" i="2"/>
  <c r="BO34" i="2"/>
  <c r="BN34" i="2"/>
  <c r="G90" i="2"/>
  <c r="C135" i="4" s="1"/>
  <c r="BO191" i="2"/>
  <c r="BN191" i="2"/>
  <c r="AU165" i="2"/>
  <c r="AT165" i="2"/>
  <c r="BO182" i="2"/>
  <c r="BN182" i="2"/>
  <c r="AI203" i="2"/>
  <c r="G213" i="4" s="1"/>
  <c r="AI170" i="2"/>
  <c r="G82" i="4" s="1"/>
  <c r="BE154" i="2"/>
  <c r="BD154" i="2"/>
  <c r="P31" i="2"/>
  <c r="D92" i="5" s="1"/>
  <c r="Q31" i="2"/>
  <c r="F91" i="4" s="1"/>
  <c r="AU29" i="2"/>
  <c r="AT29" i="2"/>
  <c r="BE148" i="2"/>
  <c r="BD148" i="2"/>
  <c r="P213" i="2"/>
  <c r="D219" i="5" s="1"/>
  <c r="Q213" i="2"/>
  <c r="F218" i="4" s="1"/>
  <c r="AU159" i="2"/>
  <c r="AT159" i="2"/>
  <c r="BE64" i="2"/>
  <c r="BD64" i="2"/>
  <c r="P159" i="2"/>
  <c r="D103" i="5" s="1"/>
  <c r="Q159" i="2"/>
  <c r="F102" i="4" s="1"/>
  <c r="G189" i="2"/>
  <c r="C210" i="4" s="1"/>
  <c r="BX112" i="2"/>
  <c r="BY112" i="2"/>
  <c r="G208" i="2"/>
  <c r="C202" i="4" s="1"/>
  <c r="AT116" i="2"/>
  <c r="AU116" i="2"/>
  <c r="AT178" i="2"/>
  <c r="AU178" i="2"/>
  <c r="P36" i="2"/>
  <c r="D4" i="5" s="1"/>
  <c r="Q36" i="2"/>
  <c r="F3" i="4" s="1"/>
  <c r="BY10" i="2"/>
  <c r="BX10" i="2"/>
  <c r="AI210" i="2"/>
  <c r="G217" i="4" s="1"/>
  <c r="BD63" i="2"/>
  <c r="BE63" i="2"/>
  <c r="AU225" i="2"/>
  <c r="AT225" i="2"/>
  <c r="AI141" i="2"/>
  <c r="G220" i="4" s="1"/>
  <c r="BN152" i="2"/>
  <c r="BO152" i="2"/>
  <c r="P172" i="2"/>
  <c r="D82" i="5" s="1"/>
  <c r="Q172" i="2"/>
  <c r="F81" i="4" s="1"/>
  <c r="BN180" i="2"/>
  <c r="BO180" i="2"/>
  <c r="AU102" i="2"/>
  <c r="AT102" i="2"/>
  <c r="G134" i="2"/>
  <c r="C122" i="4" s="1"/>
  <c r="BX102" i="2"/>
  <c r="BY102" i="2"/>
  <c r="P113" i="2"/>
  <c r="D202" i="5" s="1"/>
  <c r="Q113" i="2"/>
  <c r="F201" i="4" s="1"/>
  <c r="BN190" i="2"/>
  <c r="BO190" i="2"/>
  <c r="AI172" i="2"/>
  <c r="G81" i="4" s="1"/>
  <c r="G224" i="2"/>
  <c r="C221" i="4" s="1"/>
  <c r="P141" i="2"/>
  <c r="D221" i="5" s="1"/>
  <c r="Q141" i="2"/>
  <c r="F220" i="4" s="1"/>
  <c r="G210" i="2"/>
  <c r="C217" i="4" s="1"/>
  <c r="P18" i="2"/>
  <c r="D131" i="5" s="1"/>
  <c r="Q18" i="2"/>
  <c r="F130" i="4" s="1"/>
  <c r="G111" i="2"/>
  <c r="C196" i="4" s="1"/>
  <c r="BY32" i="2"/>
  <c r="BX32" i="2"/>
  <c r="AI116" i="2"/>
  <c r="G191" i="4" s="1"/>
  <c r="AU193" i="2"/>
  <c r="AT193" i="2"/>
  <c r="AI99" i="2"/>
  <c r="G106" i="4" s="1"/>
  <c r="G36" i="2"/>
  <c r="C3" i="4" s="1"/>
  <c r="AU105" i="2"/>
  <c r="AT105" i="2"/>
  <c r="BY52" i="2"/>
  <c r="BX52" i="2"/>
  <c r="Q28" i="2"/>
  <c r="F16" i="4" s="1"/>
  <c r="P28" i="2"/>
  <c r="D17" i="5" s="1"/>
  <c r="BE56" i="2"/>
  <c r="BD56" i="2"/>
  <c r="AI160" i="2"/>
  <c r="G212" i="4" s="1"/>
  <c r="G52" i="2"/>
  <c r="C155" i="4" s="1"/>
  <c r="BO134" i="2"/>
  <c r="BN134" i="2"/>
  <c r="BD201" i="2"/>
  <c r="BE201" i="2"/>
  <c r="BD13" i="2"/>
  <c r="BE13" i="2"/>
  <c r="AU195" i="2"/>
  <c r="AT195" i="2"/>
  <c r="P88" i="2"/>
  <c r="D90" i="5" s="1"/>
  <c r="Q88" i="2"/>
  <c r="F89" i="4" s="1"/>
  <c r="BD224" i="2"/>
  <c r="BE224" i="2"/>
  <c r="Z130" i="2"/>
  <c r="C144" i="5" s="1"/>
  <c r="AA130" i="2"/>
  <c r="E143" i="4" s="1"/>
  <c r="D143" i="4" s="1"/>
  <c r="BY80" i="2"/>
  <c r="BX80" i="2"/>
  <c r="AI156" i="2"/>
  <c r="G126" i="4" s="1"/>
  <c r="Z199" i="2"/>
  <c r="C147" i="5" s="1"/>
  <c r="AA199" i="2"/>
  <c r="E146" i="4" s="1"/>
  <c r="D146" i="4" s="1"/>
  <c r="G19" i="2"/>
  <c r="C31" i="4" s="1"/>
  <c r="G7" i="2"/>
  <c r="C123" i="4" s="1"/>
  <c r="AU215" i="2"/>
  <c r="AT215" i="2"/>
  <c r="G17" i="2"/>
  <c r="C62" i="4" s="1"/>
  <c r="Q194" i="2"/>
  <c r="F200" i="4" s="1"/>
  <c r="P194" i="2"/>
  <c r="D201" i="5" s="1"/>
  <c r="AT70" i="2"/>
  <c r="AU70" i="2"/>
  <c r="G98" i="2"/>
  <c r="C154" i="4" s="1"/>
  <c r="G22" i="2"/>
  <c r="C12" i="4" s="1"/>
  <c r="P136" i="2"/>
  <c r="D191" i="5" s="1"/>
  <c r="Q136" i="2"/>
  <c r="F190" i="4" s="1"/>
  <c r="Z64" i="2"/>
  <c r="C52" i="5" s="1"/>
  <c r="AA64" i="2"/>
  <c r="E51" i="4" s="1"/>
  <c r="D51" i="4" s="1"/>
  <c r="AU135" i="2"/>
  <c r="AT135" i="2"/>
  <c r="BY212" i="2"/>
  <c r="BX212" i="2"/>
  <c r="G26" i="2"/>
  <c r="C46" i="4" s="1"/>
  <c r="BO159" i="2"/>
  <c r="BN159" i="2"/>
  <c r="AU152" i="2"/>
  <c r="AT152" i="2"/>
  <c r="G110" i="2"/>
  <c r="C148" i="4" s="1"/>
  <c r="BO115" i="2"/>
  <c r="BN115" i="2"/>
  <c r="P89" i="2"/>
  <c r="D42" i="5" s="1"/>
  <c r="Q89" i="2"/>
  <c r="F41" i="4" s="1"/>
  <c r="BY126" i="2"/>
  <c r="BX126" i="2"/>
  <c r="AU44" i="2"/>
  <c r="AT44" i="2"/>
  <c r="BY215" i="2"/>
  <c r="BX215" i="2"/>
  <c r="P41" i="2"/>
  <c r="D69" i="5" s="1"/>
  <c r="Q41" i="2"/>
  <c r="F68" i="4" s="1"/>
  <c r="Z103" i="2"/>
  <c r="C94" i="5" s="1"/>
  <c r="AA103" i="2"/>
  <c r="E93" i="4" s="1"/>
  <c r="D93" i="4" s="1"/>
  <c r="BX31" i="2"/>
  <c r="BY31" i="2"/>
  <c r="P37" i="2"/>
  <c r="D62" i="5" s="1"/>
  <c r="Q37" i="2"/>
  <c r="F61" i="4" s="1"/>
  <c r="P148" i="2"/>
  <c r="D89" i="5" s="1"/>
  <c r="Q148" i="2"/>
  <c r="F88" i="4" s="1"/>
  <c r="AU171" i="2"/>
  <c r="AT171" i="2"/>
  <c r="Z106" i="2"/>
  <c r="C77" i="5" s="1"/>
  <c r="AA106" i="2"/>
  <c r="E76" i="4" s="1"/>
  <c r="D76" i="4" s="1"/>
  <c r="AU74" i="2"/>
  <c r="AT74" i="2"/>
  <c r="BN227" i="2"/>
  <c r="BO227" i="2"/>
  <c r="P25" i="2"/>
  <c r="D27" i="5" s="1"/>
  <c r="Q25" i="2"/>
  <c r="F26" i="4" s="1"/>
  <c r="Q51" i="2"/>
  <c r="F10" i="4" s="1"/>
  <c r="P51" i="2"/>
  <c r="D11" i="5" s="1"/>
  <c r="BY122" i="2"/>
  <c r="BX122" i="2"/>
  <c r="BO42" i="2"/>
  <c r="BN42" i="2"/>
  <c r="AU158" i="2"/>
  <c r="AT158" i="2"/>
  <c r="BE96" i="2"/>
  <c r="BD96" i="2"/>
  <c r="BO215" i="2"/>
  <c r="BN215" i="2"/>
  <c r="AI13" i="2"/>
  <c r="G134" i="4" s="1"/>
  <c r="AU198" i="2"/>
  <c r="AT198" i="2"/>
  <c r="BY148" i="2"/>
  <c r="BX148" i="2"/>
  <c r="BX197" i="2"/>
  <c r="BY197" i="2"/>
  <c r="AT121" i="2"/>
  <c r="AU121" i="2"/>
  <c r="BO56" i="2"/>
  <c r="BN56" i="2"/>
  <c r="BO194" i="2"/>
  <c r="BN194" i="2"/>
  <c r="BN103" i="2"/>
  <c r="BO103" i="2"/>
  <c r="AU42" i="2"/>
  <c r="AT42" i="2"/>
  <c r="AU166" i="2"/>
  <c r="AT166" i="2"/>
  <c r="BY94" i="2"/>
  <c r="BX94" i="2"/>
  <c r="P205" i="2"/>
  <c r="D229" i="5" s="1"/>
  <c r="Q205" i="2"/>
  <c r="F228" i="4" s="1"/>
  <c r="Z76" i="2"/>
  <c r="C101" i="5" s="1"/>
  <c r="AA76" i="2"/>
  <c r="E100" i="4" s="1"/>
  <c r="D100" i="4" s="1"/>
  <c r="Z173" i="2"/>
  <c r="C181" i="5" s="1"/>
  <c r="AA173" i="2"/>
  <c r="E180" i="4" s="1"/>
  <c r="D180" i="4" s="1"/>
  <c r="P189" i="2"/>
  <c r="D211" i="5" s="1"/>
  <c r="Q189" i="2"/>
  <c r="F210" i="4" s="1"/>
  <c r="BE206" i="2"/>
  <c r="BD206" i="2"/>
  <c r="Z128" i="2"/>
  <c r="C217" i="5" s="1"/>
  <c r="AA128" i="2"/>
  <c r="E216" i="4" s="1"/>
  <c r="D216" i="4" s="1"/>
  <c r="AU120" i="2"/>
  <c r="AT120" i="2"/>
  <c r="BY192" i="2"/>
  <c r="BX192" i="2"/>
  <c r="Z38" i="2"/>
  <c r="C20" i="5" s="1"/>
  <c r="AA38" i="2"/>
  <c r="E19" i="4" s="1"/>
  <c r="D19" i="4" s="1"/>
  <c r="BO189" i="2"/>
  <c r="BN189" i="2"/>
  <c r="AU133" i="2"/>
  <c r="AT133" i="2"/>
  <c r="BY17" i="2"/>
  <c r="BX17" i="2"/>
  <c r="BY27" i="2"/>
  <c r="BX27" i="2"/>
  <c r="AU24" i="2"/>
  <c r="AT24" i="2"/>
  <c r="BD116" i="2"/>
  <c r="BE116" i="2"/>
  <c r="BO94" i="2"/>
  <c r="BN94" i="2"/>
  <c r="BO82" i="2"/>
  <c r="BN82" i="2"/>
  <c r="AI111" i="2"/>
  <c r="G196" i="4" s="1"/>
  <c r="AT87" i="2"/>
  <c r="AU87" i="2"/>
  <c r="P126" i="2"/>
  <c r="D110" i="5" s="1"/>
  <c r="Q126" i="2"/>
  <c r="F109" i="4" s="1"/>
  <c r="AI76" i="2"/>
  <c r="G100" i="4" s="1"/>
  <c r="BY25" i="2"/>
  <c r="BX25" i="2"/>
  <c r="BO161" i="2"/>
  <c r="BN161" i="2"/>
  <c r="BO136" i="2"/>
  <c r="BN136" i="2"/>
  <c r="BY100" i="2"/>
  <c r="BX100" i="2"/>
  <c r="AI92" i="2"/>
  <c r="G208" i="4" s="1"/>
  <c r="BO21" i="2"/>
  <c r="BN21" i="2"/>
  <c r="BY129" i="2"/>
  <c r="BX129" i="2"/>
  <c r="AI197" i="2"/>
  <c r="G166" i="4" s="1"/>
  <c r="BD167" i="2"/>
  <c r="BE167" i="2"/>
  <c r="Z165" i="2"/>
  <c r="C153" i="5" s="1"/>
  <c r="AA165" i="2"/>
  <c r="E152" i="4" s="1"/>
  <c r="D152" i="4" s="1"/>
  <c r="Q144" i="2"/>
  <c r="F70" i="4" s="1"/>
  <c r="P144" i="2"/>
  <c r="D71" i="5" s="1"/>
  <c r="BE54" i="2"/>
  <c r="BD54" i="2"/>
  <c r="BD172" i="2"/>
  <c r="BE172" i="2"/>
  <c r="BE196" i="2"/>
  <c r="BD196" i="2"/>
  <c r="BO9" i="2"/>
  <c r="BN9" i="2"/>
  <c r="BO97" i="2"/>
  <c r="BN97" i="2"/>
  <c r="BN70" i="2"/>
  <c r="BO70" i="2"/>
  <c r="AI190" i="2"/>
  <c r="G99" i="4" s="1"/>
  <c r="BD95" i="2"/>
  <c r="BE95" i="2"/>
  <c r="BO63" i="2"/>
  <c r="BN63" i="2"/>
  <c r="BE83" i="2"/>
  <c r="BD83" i="2"/>
  <c r="AI82" i="2"/>
  <c r="G139" i="4" s="1"/>
  <c r="G154" i="2"/>
  <c r="C205" i="4" s="1"/>
  <c r="AU81" i="2"/>
  <c r="AT81" i="2"/>
  <c r="BD134" i="2"/>
  <c r="BE134" i="2"/>
  <c r="AA95" i="2"/>
  <c r="E141" i="4" s="1"/>
  <c r="D141" i="4" s="1"/>
  <c r="Z95" i="2"/>
  <c r="C142" i="5" s="1"/>
  <c r="AI140" i="2"/>
  <c r="G35" i="4" s="1"/>
  <c r="BO77" i="2"/>
  <c r="BN77" i="2"/>
  <c r="BY84" i="2"/>
  <c r="BX84" i="2"/>
  <c r="AI162" i="2"/>
  <c r="G165" i="4" s="1"/>
  <c r="BO43" i="2"/>
  <c r="BN43" i="2"/>
  <c r="AU148" i="2"/>
  <c r="AT148" i="2"/>
  <c r="AU190" i="2"/>
  <c r="AT190" i="2"/>
  <c r="AA36" i="2"/>
  <c r="E3" i="4" s="1"/>
  <c r="D3" i="4" s="1"/>
  <c r="Z36" i="2"/>
  <c r="C4" i="5" s="1"/>
  <c r="Z144" i="2"/>
  <c r="C71" i="5" s="1"/>
  <c r="AA144" i="2"/>
  <c r="E70" i="4" s="1"/>
  <c r="D70" i="4" s="1"/>
  <c r="BY103" i="2"/>
  <c r="BX103" i="2"/>
  <c r="BE217" i="2"/>
  <c r="BD217" i="2"/>
  <c r="P81" i="2"/>
  <c r="D33" i="5" s="1"/>
  <c r="Q81" i="2"/>
  <c r="F32" i="4" s="1"/>
  <c r="BY96" i="2"/>
  <c r="BX96" i="2"/>
  <c r="BY86" i="2"/>
  <c r="BX86" i="2"/>
  <c r="BD10" i="2"/>
  <c r="BE10" i="2"/>
  <c r="BO120" i="2"/>
  <c r="BN120" i="2"/>
  <c r="BD88" i="2"/>
  <c r="BE88" i="2"/>
  <c r="BE40" i="2"/>
  <c r="BD40" i="2"/>
  <c r="AI65" i="2"/>
  <c r="G29" i="4" s="1"/>
  <c r="BO145" i="2"/>
  <c r="BN145" i="2"/>
  <c r="BO67" i="2"/>
  <c r="BN67" i="2"/>
  <c r="BE160" i="2"/>
  <c r="BD160" i="2"/>
  <c r="G177" i="2"/>
  <c r="C156" i="4" s="1"/>
  <c r="BO117" i="2"/>
  <c r="BN117" i="2"/>
  <c r="AU38" i="2"/>
  <c r="AT38" i="2"/>
  <c r="BO132" i="2"/>
  <c r="BN132" i="2"/>
  <c r="BX49" i="2"/>
  <c r="BY49" i="2"/>
  <c r="BY36" i="2"/>
  <c r="BX36" i="2"/>
  <c r="BY93" i="2"/>
  <c r="BX93" i="2"/>
  <c r="BD205" i="2"/>
  <c r="BE205" i="2"/>
  <c r="BO123" i="2"/>
  <c r="BN123" i="2"/>
  <c r="BO58" i="2"/>
  <c r="BN58" i="2"/>
  <c r="BE53" i="2"/>
  <c r="BD53" i="2"/>
  <c r="P169" i="2"/>
  <c r="D182" i="5" s="1"/>
  <c r="Q169" i="2"/>
  <c r="F181" i="4" s="1"/>
  <c r="BY9" i="2"/>
  <c r="BX9" i="2"/>
  <c r="Q54" i="2"/>
  <c r="F57" i="4" s="1"/>
  <c r="P54" i="2"/>
  <c r="D58" i="5" s="1"/>
  <c r="P133" i="2"/>
  <c r="D151" i="5" s="1"/>
  <c r="Q133" i="2"/>
  <c r="F150" i="4" s="1"/>
  <c r="BO121" i="2"/>
  <c r="BN121" i="2"/>
  <c r="BY177" i="2"/>
  <c r="BX177" i="2"/>
  <c r="Z27" i="2"/>
  <c r="C96" i="5" s="1"/>
  <c r="AA27" i="2"/>
  <c r="E95" i="4" s="1"/>
  <c r="D95" i="4" s="1"/>
  <c r="BO218" i="2"/>
  <c r="BN218" i="2"/>
  <c r="BO109" i="2"/>
  <c r="BN109" i="2"/>
  <c r="AU77" i="2"/>
  <c r="AT77" i="2"/>
  <c r="BE163" i="2"/>
  <c r="BD163" i="2"/>
  <c r="P19" i="2"/>
  <c r="D32" i="5" s="1"/>
  <c r="Q19" i="2"/>
  <c r="F31" i="4" s="1"/>
  <c r="BY203" i="2"/>
  <c r="BX203" i="2"/>
  <c r="P224" i="2"/>
  <c r="D222" i="5" s="1"/>
  <c r="Q224" i="2"/>
  <c r="F221" i="4" s="1"/>
  <c r="BO23" i="2"/>
  <c r="BN23" i="2"/>
  <c r="Z7" i="2"/>
  <c r="C124" i="5" s="1"/>
  <c r="AA7" i="2"/>
  <c r="E123" i="4" s="1"/>
  <c r="D123" i="4" s="1"/>
  <c r="P13" i="2"/>
  <c r="D135" i="5" s="1"/>
  <c r="Q13" i="2"/>
  <c r="F134" i="4" s="1"/>
  <c r="P38" i="2"/>
  <c r="D20" i="5" s="1"/>
  <c r="Q38" i="2"/>
  <c r="F19" i="4" s="1"/>
  <c r="AU78" i="2"/>
  <c r="AT78" i="2"/>
  <c r="AU25" i="2"/>
  <c r="AT25" i="2"/>
  <c r="BE16" i="2"/>
  <c r="BD16" i="2"/>
  <c r="AU203" i="2"/>
  <c r="AT203" i="2"/>
  <c r="AI98" i="2"/>
  <c r="G154" i="4" s="1"/>
  <c r="BE117" i="2"/>
  <c r="BD117" i="2"/>
  <c r="BE203" i="2"/>
  <c r="BD203" i="2"/>
  <c r="BY143" i="2"/>
  <c r="BX143" i="2"/>
  <c r="BY6" i="2"/>
  <c r="BX6" i="2"/>
  <c r="Z146" i="2"/>
  <c r="C85" i="5" s="1"/>
  <c r="AA146" i="2"/>
  <c r="E84" i="4" s="1"/>
  <c r="D84" i="4" s="1"/>
  <c r="P97" i="2"/>
  <c r="D34" i="5" s="1"/>
  <c r="Q97" i="2"/>
  <c r="F33" i="4" s="1"/>
  <c r="BO193" i="2"/>
  <c r="BN193" i="2"/>
  <c r="G192" i="2"/>
  <c r="C184" i="4" s="1"/>
  <c r="BO53" i="2"/>
  <c r="BN53" i="2"/>
  <c r="BE29" i="2"/>
  <c r="BD29" i="2"/>
  <c r="P196" i="2"/>
  <c r="D212" i="5" s="1"/>
  <c r="Q196" i="2"/>
  <c r="F211" i="4" s="1"/>
  <c r="BE223" i="2"/>
  <c r="BD223" i="2"/>
  <c r="BE145" i="2"/>
  <c r="BD145" i="2"/>
  <c r="AU18" i="2"/>
  <c r="AT18" i="2"/>
  <c r="BE74" i="2"/>
  <c r="BD74" i="2"/>
  <c r="BO177" i="2"/>
  <c r="BN177" i="2"/>
  <c r="P227" i="2"/>
  <c r="D228" i="5" s="1"/>
  <c r="Q227" i="2"/>
  <c r="F227" i="4" s="1"/>
  <c r="AI196" i="2"/>
  <c r="G211" i="4" s="1"/>
  <c r="AU155" i="2"/>
  <c r="AT155" i="2"/>
  <c r="P181" i="2"/>
  <c r="D165" i="5" s="1"/>
  <c r="Q181" i="2"/>
  <c r="F164" i="4" s="1"/>
  <c r="AU123" i="2"/>
  <c r="AT123" i="2"/>
  <c r="AU7" i="2"/>
  <c r="AT7" i="2"/>
  <c r="Q8" i="2"/>
  <c r="F124" i="4" s="1"/>
  <c r="P8" i="2"/>
  <c r="D125" i="5" s="1"/>
  <c r="Q195" i="2"/>
  <c r="F189" i="4" s="1"/>
  <c r="P195" i="2"/>
  <c r="D190" i="5" s="1"/>
  <c r="AI167" i="2"/>
  <c r="G115" i="4" s="1"/>
  <c r="Z13" i="2"/>
  <c r="C135" i="5" s="1"/>
  <c r="AA13" i="2"/>
  <c r="E134" i="4" s="1"/>
  <c r="D134" i="4" s="1"/>
  <c r="BO24" i="2"/>
  <c r="BN24" i="2"/>
  <c r="BE85" i="2"/>
  <c r="BD85" i="2"/>
  <c r="AU20" i="2"/>
  <c r="AT20" i="2"/>
  <c r="G21" i="2"/>
  <c r="C11" i="4" s="1"/>
  <c r="Q39" i="2"/>
  <c r="F24" i="4" s="1"/>
  <c r="P39" i="2"/>
  <c r="D25" i="5" s="1"/>
  <c r="P7" i="2"/>
  <c r="D124" i="5" s="1"/>
  <c r="Q7" i="2"/>
  <c r="F123" i="4" s="1"/>
  <c r="BY144" i="2"/>
  <c r="BX144" i="2"/>
  <c r="BE37" i="2"/>
  <c r="BD37" i="2"/>
  <c r="AI12" i="2"/>
  <c r="G117" i="4" s="1"/>
  <c r="BO60" i="2"/>
  <c r="BN60" i="2"/>
  <c r="AU56" i="2"/>
  <c r="AT56" i="2"/>
  <c r="BY92" i="2"/>
  <c r="BX92" i="2"/>
  <c r="AI164" i="2"/>
  <c r="G74" i="4" s="1"/>
  <c r="BE174" i="2"/>
  <c r="BD174" i="2"/>
  <c r="G68" i="2"/>
  <c r="C72" i="4" s="1"/>
  <c r="BE45" i="2"/>
  <c r="BD45" i="2"/>
  <c r="BN69" i="2"/>
  <c r="BO69" i="2"/>
  <c r="AT217" i="2"/>
  <c r="AU217" i="2"/>
  <c r="BD146" i="2"/>
  <c r="BE146" i="2"/>
  <c r="BE104" i="2"/>
  <c r="BD104" i="2"/>
  <c r="AU172" i="2"/>
  <c r="AT172" i="2"/>
  <c r="BO149" i="2"/>
  <c r="BN149" i="2"/>
  <c r="G70" i="2"/>
  <c r="C52" i="4" s="1"/>
  <c r="BE39" i="2"/>
  <c r="BD39" i="2"/>
  <c r="AI178" i="2"/>
  <c r="G157" i="4" s="1"/>
  <c r="AI222" i="2"/>
  <c r="G170" i="4" s="1"/>
  <c r="AI146" i="2"/>
  <c r="G84" i="4" s="1"/>
  <c r="BO47" i="2"/>
  <c r="BN47" i="2"/>
  <c r="AI15" i="2"/>
  <c r="G13" i="4" s="1"/>
  <c r="AI176" i="2"/>
  <c r="G83" i="4" s="1"/>
  <c r="AI193" i="2"/>
  <c r="G75" i="4" s="1"/>
  <c r="AI71" i="2"/>
  <c r="G39" i="4" s="1"/>
  <c r="BE132" i="2"/>
  <c r="BD132" i="2"/>
  <c r="AI105" i="2"/>
  <c r="G37" i="4" s="1"/>
  <c r="Z84" i="2"/>
  <c r="C51" i="5" s="1"/>
  <c r="AA84" i="2"/>
  <c r="E50" i="4" s="1"/>
  <c r="D50" i="4" s="1"/>
  <c r="BE26" i="2"/>
  <c r="BD26" i="2"/>
  <c r="AA158" i="2"/>
  <c r="E178" i="4" s="1"/>
  <c r="D178" i="4" s="1"/>
  <c r="Z158" i="2"/>
  <c r="C179" i="5" s="1"/>
  <c r="BE227" i="2"/>
  <c r="BD227" i="2"/>
  <c r="AU22" i="2"/>
  <c r="AT22" i="2"/>
  <c r="BE86" i="2"/>
  <c r="BD86" i="2"/>
  <c r="BN197" i="2"/>
  <c r="BO197" i="2"/>
  <c r="Q165" i="2"/>
  <c r="F152" i="4" s="1"/>
  <c r="P165" i="2"/>
  <c r="D153" i="5" s="1"/>
  <c r="BO220" i="2"/>
  <c r="BN220" i="2"/>
  <c r="Z206" i="2"/>
  <c r="C146" i="5" s="1"/>
  <c r="AA206" i="2"/>
  <c r="E145" i="4" s="1"/>
  <c r="D145" i="4" s="1"/>
  <c r="BY161" i="2"/>
  <c r="BX161" i="2"/>
  <c r="AI198" i="2"/>
  <c r="G224" i="4" s="1"/>
  <c r="AT157" i="2"/>
  <c r="AU157" i="2"/>
  <c r="P191" i="2"/>
  <c r="D224" i="5" s="1"/>
  <c r="Q191" i="2"/>
  <c r="F223" i="4" s="1"/>
  <c r="BO87" i="2"/>
  <c r="BN87" i="2"/>
  <c r="G225" i="2"/>
  <c r="C176" i="4" s="1"/>
  <c r="BE165" i="2"/>
  <c r="BD165" i="2"/>
  <c r="P182" i="2"/>
  <c r="D175" i="5" s="1"/>
  <c r="Q182" i="2"/>
  <c r="F174" i="4" s="1"/>
  <c r="BX106" i="2"/>
  <c r="BY106" i="2"/>
  <c r="AU124" i="2"/>
  <c r="AT124" i="2"/>
  <c r="AI32" i="2"/>
  <c r="G43" i="4" s="1"/>
  <c r="BE137" i="2"/>
  <c r="BD137" i="2"/>
  <c r="G91" i="2"/>
  <c r="C47" i="4" s="1"/>
  <c r="BY216" i="2"/>
  <c r="BX216" i="2"/>
  <c r="Z127" i="2"/>
  <c r="C98" i="5" s="1"/>
  <c r="AA127" i="2"/>
  <c r="E97" i="4" s="1"/>
  <c r="D97" i="4" s="1"/>
  <c r="BY153" i="2"/>
  <c r="BX153" i="2"/>
  <c r="Z193" i="2"/>
  <c r="C76" i="5" s="1"/>
  <c r="AA193" i="2"/>
  <c r="E75" i="4" s="1"/>
  <c r="D75" i="4" s="1"/>
  <c r="AU183" i="2"/>
  <c r="AT183" i="2"/>
  <c r="BE101" i="2"/>
  <c r="BD101" i="2"/>
  <c r="Z63" i="2"/>
  <c r="C60" i="5" s="1"/>
  <c r="AA63" i="2"/>
  <c r="E59" i="4" s="1"/>
  <c r="D59" i="4" s="1"/>
  <c r="BY41" i="2"/>
  <c r="BX41" i="2"/>
  <c r="BY159" i="2"/>
  <c r="BX159" i="2"/>
  <c r="BO200" i="2"/>
  <c r="BN200" i="2"/>
  <c r="BX178" i="2"/>
  <c r="BY178" i="2"/>
  <c r="Z133" i="2"/>
  <c r="C151" i="5" s="1"/>
  <c r="AA133" i="2"/>
  <c r="E150" i="4" s="1"/>
  <c r="D150" i="4" s="1"/>
  <c r="AT11" i="2"/>
  <c r="AU11" i="2"/>
  <c r="BO33" i="2"/>
  <c r="BN33" i="2"/>
  <c r="P24" i="2"/>
  <c r="D24" i="5" s="1"/>
  <c r="Q24" i="2"/>
  <c r="F23" i="4" s="1"/>
  <c r="BY229" i="2"/>
  <c r="BX229" i="2"/>
  <c r="BE144" i="2"/>
  <c r="BD144" i="2"/>
  <c r="BY206" i="2"/>
  <c r="BX206" i="2"/>
  <c r="AI144" i="2"/>
  <c r="G70" i="4" s="1"/>
  <c r="BX124" i="2"/>
  <c r="BY124" i="2"/>
  <c r="BO216" i="2"/>
  <c r="BN216" i="2"/>
  <c r="BN41" i="2"/>
  <c r="BO41" i="2"/>
  <c r="Q142" i="2"/>
  <c r="F185" i="4" s="1"/>
  <c r="P142" i="2"/>
  <c r="D186" i="5" s="1"/>
  <c r="AU36" i="2"/>
  <c r="AT36" i="2"/>
  <c r="BY66" i="2"/>
  <c r="BX66" i="2"/>
  <c r="BE100" i="2"/>
  <c r="BD100" i="2"/>
  <c r="BY224" i="2"/>
  <c r="BX224" i="2"/>
  <c r="AU201" i="2"/>
  <c r="AT201" i="2"/>
  <c r="AU197" i="2"/>
  <c r="AT197" i="2"/>
  <c r="AU90" i="2"/>
  <c r="AT90" i="2"/>
  <c r="Z145" i="2"/>
  <c r="C70" i="5" s="1"/>
  <c r="AA145" i="2"/>
  <c r="E69" i="4" s="1"/>
  <c r="D69" i="4" s="1"/>
  <c r="BO148" i="2"/>
  <c r="BN148" i="2"/>
  <c r="BY145" i="2"/>
  <c r="BX145" i="2"/>
  <c r="G173" i="2"/>
  <c r="C180" i="4" s="1"/>
  <c r="AA85" i="2"/>
  <c r="E187" i="4" s="1"/>
  <c r="D187" i="4" s="1"/>
  <c r="Z85" i="2"/>
  <c r="C188" i="5" s="1"/>
  <c r="AU149" i="2"/>
  <c r="AT149" i="2"/>
  <c r="BE124" i="2"/>
  <c r="BD124" i="2"/>
  <c r="AU3" i="2"/>
  <c r="AT3" i="2"/>
  <c r="BE46" i="2"/>
  <c r="BD46" i="2"/>
  <c r="Q46" i="2"/>
  <c r="F60" i="4" s="1"/>
  <c r="P46" i="2"/>
  <c r="D61" i="5" s="1"/>
  <c r="BY69" i="2"/>
  <c r="BX69" i="2"/>
  <c r="BE90" i="2"/>
  <c r="BD90" i="2"/>
  <c r="Z200" i="2"/>
  <c r="C196" i="5" s="1"/>
  <c r="AA200" i="2"/>
  <c r="E195" i="4" s="1"/>
  <c r="D195" i="4" s="1"/>
  <c r="G226" i="2"/>
  <c r="C172" i="4" s="1"/>
  <c r="BO111" i="2"/>
  <c r="BN111" i="2"/>
  <c r="G206" i="2"/>
  <c r="C145" i="4" s="1"/>
  <c r="BN188" i="2"/>
  <c r="BO188" i="2"/>
  <c r="AU167" i="2"/>
  <c r="AT167" i="2"/>
  <c r="P44" i="2"/>
  <c r="D67" i="5" s="1"/>
  <c r="Q44" i="2"/>
  <c r="F66" i="4" s="1"/>
  <c r="AU60" i="2"/>
  <c r="AT60" i="2"/>
  <c r="P208" i="2"/>
  <c r="D203" i="5" s="1"/>
  <c r="Q208" i="2"/>
  <c r="F202" i="4" s="1"/>
  <c r="AT130" i="2"/>
  <c r="AU130" i="2"/>
  <c r="G97" i="2"/>
  <c r="C33" i="4" s="1"/>
  <c r="AU98" i="2"/>
  <c r="AT98" i="2"/>
  <c r="Z171" i="2"/>
  <c r="C109" i="5" s="1"/>
  <c r="AA171" i="2"/>
  <c r="E108" i="4" s="1"/>
  <c r="D108" i="4" s="1"/>
  <c r="G107" i="2"/>
  <c r="C92" i="4" s="1"/>
  <c r="P35" i="2"/>
  <c r="D49" i="5" s="1"/>
  <c r="Q35" i="2"/>
  <c r="F48" i="4" s="1"/>
  <c r="BE82" i="2"/>
  <c r="BD82" i="2"/>
  <c r="BO221" i="2"/>
  <c r="BN221" i="2"/>
  <c r="AI153" i="2"/>
  <c r="G67" i="4" s="1"/>
  <c r="BE208" i="2"/>
  <c r="BD208" i="2"/>
  <c r="BE72" i="2"/>
  <c r="BD72" i="2"/>
  <c r="AI34" i="2"/>
  <c r="G49" i="4" s="1"/>
  <c r="BN142" i="2"/>
  <c r="BO142" i="2"/>
  <c r="G41" i="2"/>
  <c r="C68" i="4" s="1"/>
  <c r="Q42" i="2"/>
  <c r="F113" i="4" s="1"/>
  <c r="P42" i="2"/>
  <c r="D114" i="5" s="1"/>
  <c r="BE192" i="2"/>
  <c r="BD192" i="2"/>
  <c r="BY200" i="2"/>
  <c r="BX200" i="2"/>
  <c r="BE57" i="2"/>
  <c r="BD57" i="2"/>
  <c r="BX99" i="2"/>
  <c r="BY99" i="2"/>
  <c r="P188" i="2"/>
  <c r="D138" i="5" s="1"/>
  <c r="Q188" i="2"/>
  <c r="F137" i="4" s="1"/>
  <c r="BY175" i="2"/>
  <c r="BX175" i="2"/>
  <c r="Z188" i="2"/>
  <c r="C138" i="5" s="1"/>
  <c r="AA188" i="2"/>
  <c r="E137" i="4" s="1"/>
  <c r="D137" i="4" s="1"/>
  <c r="Z172" i="2"/>
  <c r="C82" i="5" s="1"/>
  <c r="AA172" i="2"/>
  <c r="E81" i="4" s="1"/>
  <c r="D81" i="4" s="1"/>
  <c r="G100" i="2"/>
  <c r="C77" i="4" s="1"/>
  <c r="BN186" i="2"/>
  <c r="BO186" i="2"/>
  <c r="BO118" i="2"/>
  <c r="BN118" i="2"/>
  <c r="BX223" i="2"/>
  <c r="BY223" i="2"/>
  <c r="BO30" i="2"/>
  <c r="BN30" i="2"/>
  <c r="P66" i="2"/>
  <c r="D54" i="5" s="1"/>
  <c r="Q66" i="2"/>
  <c r="F53" i="4" s="1"/>
  <c r="BY97" i="2"/>
  <c r="BX97" i="2"/>
  <c r="P53" i="2"/>
  <c r="D22" i="5" s="1"/>
  <c r="Q53" i="2"/>
  <c r="F21" i="4" s="1"/>
  <c r="Z224" i="2"/>
  <c r="C222" i="5" s="1"/>
  <c r="AA224" i="2"/>
  <c r="E221" i="4" s="1"/>
  <c r="D221" i="4" s="1"/>
  <c r="BO4" i="2"/>
  <c r="BN4" i="2"/>
  <c r="Z213" i="2"/>
  <c r="C219" i="5" s="1"/>
  <c r="AA213" i="2"/>
  <c r="E218" i="4" s="1"/>
  <c r="D218" i="4" s="1"/>
  <c r="BN88" i="2"/>
  <c r="BO88" i="2"/>
  <c r="BY156" i="2"/>
  <c r="BX156" i="2"/>
  <c r="BO98" i="2"/>
  <c r="BN98" i="2"/>
  <c r="AI152" i="2"/>
  <c r="G207" i="4" s="1"/>
  <c r="AI18" i="2"/>
  <c r="G130" i="4" s="1"/>
  <c r="Z70" i="2"/>
  <c r="C53" i="5" s="1"/>
  <c r="AA70" i="2"/>
  <c r="E52" i="4" s="1"/>
  <c r="D52" i="4" s="1"/>
  <c r="BE222" i="2"/>
  <c r="BD222" i="2"/>
  <c r="BO146" i="2"/>
  <c r="BN146" i="2"/>
  <c r="BN89" i="2"/>
  <c r="BO89" i="2"/>
  <c r="AU111" i="2"/>
  <c r="AT111" i="2"/>
  <c r="AT33" i="2"/>
  <c r="AU33" i="2"/>
  <c r="BE94" i="2"/>
  <c r="BD94" i="2"/>
  <c r="BX172" i="2"/>
  <c r="BY172" i="2"/>
  <c r="BO51" i="2"/>
  <c r="BN51" i="2"/>
  <c r="BY34" i="2"/>
  <c r="BX34" i="2"/>
  <c r="Z81" i="2"/>
  <c r="C33" i="5" s="1"/>
  <c r="AA81" i="2"/>
  <c r="E32" i="4" s="1"/>
  <c r="D32" i="4" s="1"/>
  <c r="P114" i="2"/>
  <c r="D99" i="5" s="1"/>
  <c r="Q114" i="2"/>
  <c r="F98" i="4" s="1"/>
  <c r="AI20" i="2"/>
  <c r="G14" i="4" s="1"/>
  <c r="AI14" i="2"/>
  <c r="G128" i="4" s="1"/>
  <c r="AI212" i="2"/>
  <c r="G94" i="4" s="1"/>
  <c r="AT96" i="2"/>
  <c r="AU96" i="2"/>
  <c r="AU224" i="2"/>
  <c r="AT224" i="2"/>
  <c r="P109" i="2"/>
  <c r="D23" i="5" s="1"/>
  <c r="Q109" i="2"/>
  <c r="F22" i="4" s="1"/>
  <c r="BO75" i="2"/>
  <c r="BN75" i="2"/>
  <c r="AI109" i="2"/>
  <c r="G22" i="4" s="1"/>
  <c r="AU196" i="2"/>
  <c r="AT196" i="2"/>
  <c r="AU108" i="2"/>
  <c r="AT108" i="2"/>
  <c r="AI227" i="2"/>
  <c r="G227" i="4" s="1"/>
  <c r="BO31" i="2"/>
  <c r="BN31" i="2"/>
  <c r="P154" i="2"/>
  <c r="D206" i="5" s="1"/>
  <c r="Q154" i="2"/>
  <c r="F205" i="4" s="1"/>
  <c r="Z29" i="2"/>
  <c r="C19" i="5" s="1"/>
  <c r="AA29" i="2"/>
  <c r="E18" i="4" s="1"/>
  <c r="D18" i="4" s="1"/>
  <c r="BE126" i="2"/>
  <c r="BD126" i="2"/>
  <c r="AI29" i="2"/>
  <c r="G18" i="4" s="1"/>
  <c r="AI205" i="2"/>
  <c r="G228" i="4" s="1"/>
  <c r="AU54" i="2"/>
  <c r="AT54" i="2"/>
  <c r="BE143" i="2"/>
  <c r="BD143" i="2"/>
  <c r="BO217" i="2"/>
  <c r="BN217" i="2"/>
  <c r="AI25" i="2"/>
  <c r="G26" i="4" s="1"/>
  <c r="AT205" i="2"/>
  <c r="AU205" i="2"/>
  <c r="BD139" i="2"/>
  <c r="BE139" i="2"/>
  <c r="G84" i="2"/>
  <c r="C50" i="4" s="1"/>
  <c r="BO26" i="2"/>
  <c r="BN26" i="2"/>
  <c r="Z153" i="2"/>
  <c r="C68" i="5" s="1"/>
  <c r="AA153" i="2"/>
  <c r="E67" i="4" s="1"/>
  <c r="D67" i="4" s="1"/>
  <c r="Z218" i="2"/>
  <c r="C207" i="5" s="1"/>
  <c r="AA218" i="2"/>
  <c r="E206" i="4" s="1"/>
  <c r="D206" i="4" s="1"/>
  <c r="BE7" i="2"/>
  <c r="BD7" i="2"/>
  <c r="BN48" i="2"/>
  <c r="BO48" i="2"/>
  <c r="BO160" i="2"/>
  <c r="BN160" i="2"/>
  <c r="BD108" i="2"/>
  <c r="BE108" i="2"/>
  <c r="Z12" i="2"/>
  <c r="C118" i="5" s="1"/>
  <c r="AA12" i="2"/>
  <c r="E117" i="4" s="1"/>
  <c r="D117" i="4" s="1"/>
  <c r="BE170" i="2"/>
  <c r="BD170" i="2"/>
  <c r="AI137" i="2"/>
  <c r="G107" i="4" s="1"/>
  <c r="BN36" i="2"/>
  <c r="BO36" i="2"/>
  <c r="AI68" i="2"/>
  <c r="G72" i="4" s="1"/>
  <c r="P29" i="2"/>
  <c r="D19" i="5" s="1"/>
  <c r="Q29" i="2"/>
  <c r="F18" i="4" s="1"/>
  <c r="BY44" i="2"/>
  <c r="BX44" i="2"/>
  <c r="BO38" i="2"/>
  <c r="BN38" i="2"/>
  <c r="Z8" i="2"/>
  <c r="C125" i="5" s="1"/>
  <c r="AA8" i="2"/>
  <c r="E124" i="4" s="1"/>
  <c r="D124" i="4" s="1"/>
  <c r="AI166" i="2"/>
  <c r="G192" i="4" s="1"/>
  <c r="BO107" i="2"/>
  <c r="BN107" i="2"/>
  <c r="BE186" i="2"/>
  <c r="BD186" i="2"/>
  <c r="BE107" i="2"/>
  <c r="BD107" i="2"/>
  <c r="BO54" i="2"/>
  <c r="BN54" i="2"/>
  <c r="AI191" i="2"/>
  <c r="G223" i="4" s="1"/>
  <c r="BO76" i="2"/>
  <c r="BN76" i="2"/>
  <c r="BY4" i="2"/>
  <c r="BX4" i="2"/>
  <c r="BO133" i="2"/>
  <c r="BN133" i="2"/>
  <c r="P86" i="2"/>
  <c r="D88" i="5" s="1"/>
  <c r="Q86" i="2"/>
  <c r="F87" i="4" s="1"/>
  <c r="Q210" i="2"/>
  <c r="F217" i="4" s="1"/>
  <c r="P210" i="2"/>
  <c r="D218" i="5" s="1"/>
  <c r="G141" i="2"/>
  <c r="C220" i="4" s="1"/>
  <c r="BE80" i="2"/>
  <c r="BD80" i="2"/>
  <c r="P147" i="2"/>
  <c r="D204" i="5" s="1"/>
  <c r="Q147" i="2"/>
  <c r="F203" i="4" s="1"/>
  <c r="BE135" i="2"/>
  <c r="BD135" i="2"/>
  <c r="P138" i="2"/>
  <c r="D111" i="5" s="1"/>
  <c r="Q138" i="2"/>
  <c r="F110" i="4" s="1"/>
  <c r="Q221" i="2"/>
  <c r="F219" i="4" s="1"/>
  <c r="P221" i="2"/>
  <c r="D220" i="5" s="1"/>
  <c r="BE70" i="2"/>
  <c r="BD70" i="2"/>
  <c r="P174" i="2"/>
  <c r="D102" i="5" s="1"/>
  <c r="Q174" i="2"/>
  <c r="F101" i="4" s="1"/>
  <c r="P68" i="2"/>
  <c r="D73" i="5" s="1"/>
  <c r="Q68" i="2"/>
  <c r="F72" i="4" s="1"/>
  <c r="AI28" i="2"/>
  <c r="G16" i="4" s="1"/>
  <c r="BO83" i="2"/>
  <c r="BN83" i="2"/>
  <c r="BY45" i="2"/>
  <c r="BX45" i="2"/>
  <c r="BY125" i="2"/>
  <c r="BX125" i="2"/>
  <c r="AU177" i="2"/>
  <c r="AT177" i="2"/>
  <c r="BE28" i="2"/>
  <c r="BD28" i="2"/>
  <c r="AU71" i="2"/>
  <c r="AT71" i="2"/>
  <c r="AI108" i="2"/>
  <c r="G96" i="4" s="1"/>
  <c r="Q211" i="2"/>
  <c r="F182" i="4" s="1"/>
  <c r="P211" i="2"/>
  <c r="D183" i="5" s="1"/>
  <c r="AI117" i="2"/>
  <c r="G147" i="4" s="1"/>
  <c r="BE60" i="2"/>
  <c r="BD60" i="2"/>
  <c r="AT136" i="2"/>
  <c r="AU136" i="2"/>
  <c r="AI159" i="2"/>
  <c r="G102" i="4" s="1"/>
  <c r="G183" i="2"/>
  <c r="C198" i="4" s="1"/>
  <c r="BY63" i="2"/>
  <c r="BX63" i="2"/>
  <c r="Z150" i="2"/>
  <c r="C205" i="5" s="1"/>
  <c r="AA150" i="2"/>
  <c r="E204" i="4" s="1"/>
  <c r="D204" i="4" s="1"/>
  <c r="G212" i="2"/>
  <c r="C94" i="4" s="1"/>
  <c r="G33" i="2"/>
  <c r="C27" i="4" s="1"/>
  <c r="BY18" i="2"/>
  <c r="BX18" i="2"/>
  <c r="BX85" i="2"/>
  <c r="BY85" i="2"/>
  <c r="BE182" i="2"/>
  <c r="BD182" i="2"/>
  <c r="P79" i="2"/>
  <c r="D16" i="5" s="1"/>
  <c r="Q79" i="2"/>
  <c r="F15" i="4" s="1"/>
  <c r="BD215" i="2"/>
  <c r="BE215" i="2"/>
  <c r="BY152" i="2"/>
  <c r="BX152" i="2"/>
  <c r="BO19" i="2"/>
  <c r="BN19" i="2"/>
  <c r="Q162" i="2"/>
  <c r="F165" i="4" s="1"/>
  <c r="P162" i="2"/>
  <c r="D166" i="5" s="1"/>
  <c r="Z98" i="2"/>
  <c r="C155" i="5" s="1"/>
  <c r="AA98" i="2"/>
  <c r="E154" i="4" s="1"/>
  <c r="D154" i="4" s="1"/>
  <c r="BD89" i="2"/>
  <c r="BE89" i="2"/>
  <c r="BE180" i="2"/>
  <c r="BD180" i="2"/>
  <c r="BO127" i="2"/>
  <c r="BN127" i="2"/>
  <c r="AI155" i="2"/>
  <c r="G64" i="4" s="1"/>
  <c r="BY204" i="2"/>
  <c r="BX204" i="2"/>
  <c r="BX179" i="2"/>
  <c r="BY179" i="2"/>
  <c r="AI53" i="2"/>
  <c r="G21" i="4" s="1"/>
  <c r="AU154" i="2"/>
  <c r="AT154" i="2"/>
  <c r="BY15" i="2"/>
  <c r="BX15" i="2"/>
  <c r="BO226" i="2"/>
  <c r="BN226" i="2"/>
  <c r="G87" i="2"/>
  <c r="C78" i="4" s="1"/>
  <c r="BY134" i="2"/>
  <c r="BX134" i="2"/>
  <c r="Z140" i="2"/>
  <c r="C36" i="5" s="1"/>
  <c r="AA140" i="2"/>
  <c r="E35" i="4" s="1"/>
  <c r="D35" i="4" s="1"/>
  <c r="BY118" i="2"/>
  <c r="BX118" i="2"/>
  <c r="P125" i="2"/>
  <c r="D137" i="5" s="1"/>
  <c r="Q125" i="2"/>
  <c r="F136" i="4" s="1"/>
  <c r="P9" i="2"/>
  <c r="D9" i="5" s="1"/>
  <c r="Q9" i="2"/>
  <c r="F8" i="4" s="1"/>
  <c r="BO202" i="2"/>
  <c r="BN202" i="2"/>
  <c r="BO101" i="2"/>
  <c r="BN101" i="2"/>
  <c r="BY58" i="2"/>
  <c r="BX58" i="2"/>
  <c r="P123" i="2"/>
  <c r="D21" i="5" s="1"/>
  <c r="Q123" i="2"/>
  <c r="F20" i="4" s="1"/>
  <c r="AU50" i="2"/>
  <c r="AT50" i="2"/>
  <c r="AI66" i="2"/>
  <c r="G53" i="4" s="1"/>
  <c r="BY142" i="2"/>
  <c r="BX142" i="2"/>
  <c r="BO78" i="2"/>
  <c r="BN78" i="2"/>
  <c r="BY123" i="2"/>
  <c r="BX123" i="2"/>
  <c r="AI175" i="2"/>
  <c r="G90" i="4" s="1"/>
  <c r="AI220" i="2"/>
  <c r="G197" i="4" s="1"/>
  <c r="BD229" i="2"/>
  <c r="BE229" i="2"/>
  <c r="BE133" i="2"/>
  <c r="BD133" i="2"/>
  <c r="AI157" i="2"/>
  <c r="G229" i="4" s="1"/>
  <c r="AI173" i="2"/>
  <c r="G180" i="4" s="1"/>
  <c r="AT53" i="2"/>
  <c r="AU53" i="2"/>
  <c r="AI132" i="2"/>
  <c r="G159" i="4" s="1"/>
  <c r="AU58" i="2"/>
  <c r="AT58" i="2"/>
  <c r="AU19" i="2"/>
  <c r="AT19" i="2"/>
  <c r="AI124" i="2"/>
  <c r="G171" i="4" s="1"/>
  <c r="BN8" i="2"/>
  <c r="BO8" i="2"/>
  <c r="Q91" i="2"/>
  <c r="F47" i="4" s="1"/>
  <c r="P91" i="2"/>
  <c r="D48" i="5" s="1"/>
  <c r="BO7" i="2"/>
  <c r="BN7" i="2"/>
  <c r="BO187" i="2"/>
  <c r="BN187" i="2"/>
  <c r="BE18" i="2"/>
  <c r="BD18" i="2"/>
  <c r="BD78" i="2"/>
  <c r="BE78" i="2"/>
  <c r="BD38" i="2"/>
  <c r="BE38" i="2"/>
  <c r="BY95" i="2"/>
  <c r="BX95" i="2"/>
  <c r="AU4" i="2"/>
  <c r="AT4" i="2"/>
  <c r="AU45" i="2"/>
  <c r="AT45" i="2"/>
  <c r="P116" i="2"/>
  <c r="D192" i="5" s="1"/>
  <c r="Q116" i="2"/>
  <c r="F191" i="4" s="1"/>
  <c r="BO62" i="2"/>
  <c r="BN62" i="2"/>
  <c r="BE112" i="2"/>
  <c r="BD112" i="2"/>
  <c r="AU75" i="2"/>
  <c r="AT75" i="2"/>
  <c r="BY147" i="2"/>
  <c r="BX147" i="2"/>
  <c r="AU69" i="2"/>
  <c r="AT69" i="2"/>
  <c r="BE181" i="2"/>
  <c r="BD181" i="2"/>
  <c r="Z67" i="2"/>
  <c r="C119" i="5" s="1"/>
  <c r="AA67" i="2"/>
  <c r="E118" i="4" s="1"/>
  <c r="D118" i="4" s="1"/>
  <c r="Q69" i="2"/>
  <c r="F45" i="4" s="1"/>
  <c r="P69" i="2"/>
  <c r="D46" i="5" s="1"/>
  <c r="AI143" i="2"/>
  <c r="G7" i="4" s="1"/>
  <c r="BO5" i="2"/>
  <c r="BN5" i="2"/>
  <c r="G58" i="2"/>
  <c r="C153" i="4" s="1"/>
  <c r="BE114" i="2"/>
  <c r="BD114" i="2"/>
  <c r="Z35" i="2"/>
  <c r="C49" i="5" s="1"/>
  <c r="AA35" i="2"/>
  <c r="E48" i="4" s="1"/>
  <c r="D48" i="4" s="1"/>
  <c r="BN46" i="2"/>
  <c r="BO46" i="2"/>
  <c r="BO192" i="2"/>
  <c r="BN192" i="2"/>
  <c r="Z61" i="2"/>
  <c r="C57" i="5" s="1"/>
  <c r="AA61" i="2"/>
  <c r="E56" i="4" s="1"/>
  <c r="D56" i="4" s="1"/>
  <c r="BE14" i="2"/>
  <c r="BD14" i="2"/>
  <c r="BY151" i="2"/>
  <c r="BX151" i="2"/>
  <c r="AA174" i="2"/>
  <c r="E101" i="4" s="1"/>
  <c r="D101" i="4" s="1"/>
  <c r="Z174" i="2"/>
  <c r="C102" i="5" s="1"/>
  <c r="Z79" i="2"/>
  <c r="C16" i="5" s="1"/>
  <c r="AA79" i="2"/>
  <c r="E15" i="4" s="1"/>
  <c r="D15" i="4" s="1"/>
  <c r="AI97" i="2"/>
  <c r="G33" i="4" s="1"/>
  <c r="BN181" i="2"/>
  <c r="BO181" i="2"/>
  <c r="P152" i="2"/>
  <c r="D208" i="5" s="1"/>
  <c r="Q152" i="2"/>
  <c r="F207" i="4" s="1"/>
  <c r="AU65" i="2"/>
  <c r="AT65" i="2"/>
  <c r="AI56" i="2"/>
  <c r="G28" i="4" s="1"/>
  <c r="BE168" i="2"/>
  <c r="BD168" i="2"/>
  <c r="BO157" i="2"/>
  <c r="BN157" i="2"/>
  <c r="BN95" i="2"/>
  <c r="BO95" i="2"/>
  <c r="BO6" i="2"/>
  <c r="BN6" i="2"/>
  <c r="AU100" i="2"/>
  <c r="AT100" i="2"/>
  <c r="G39" i="2"/>
  <c r="C24" i="4" s="1"/>
  <c r="BX174" i="2"/>
  <c r="BY174" i="2"/>
  <c r="AI26" i="2"/>
  <c r="G46" i="4" s="1"/>
  <c r="AI51" i="2"/>
  <c r="G10" i="4" s="1"/>
  <c r="Q27" i="2"/>
  <c r="F95" i="4" s="1"/>
  <c r="P27" i="2"/>
  <c r="D96" i="5" s="1"/>
  <c r="AU10" i="2"/>
  <c r="AT10" i="2"/>
  <c r="G116" i="2"/>
  <c r="C191" i="4" s="1"/>
  <c r="BE166" i="2"/>
  <c r="BD166" i="2"/>
  <c r="Z15" i="2"/>
  <c r="C14" i="5" s="1"/>
  <c r="AA15" i="2"/>
  <c r="E13" i="4" s="1"/>
  <c r="D13" i="4" s="1"/>
  <c r="BE24" i="2"/>
  <c r="BD24" i="2"/>
  <c r="BE197" i="2"/>
  <c r="BD197" i="2"/>
  <c r="BY101" i="2"/>
  <c r="BX101" i="2"/>
  <c r="AI63" i="2"/>
  <c r="G59" i="4" s="1"/>
  <c r="BN13" i="2"/>
  <c r="BO13" i="2"/>
  <c r="AI4" i="2"/>
  <c r="G4" i="4" s="1"/>
  <c r="BO201" i="2"/>
  <c r="BN201" i="2"/>
  <c r="BY195" i="2"/>
  <c r="BX195" i="2"/>
  <c r="Z59" i="2"/>
  <c r="C81" i="5" s="1"/>
  <c r="AA59" i="2"/>
  <c r="E80" i="4" s="1"/>
  <c r="D80" i="4" s="1"/>
  <c r="BY173" i="2"/>
  <c r="BX173" i="2"/>
  <c r="BO155" i="2"/>
  <c r="BN155" i="2"/>
  <c r="BO25" i="2"/>
  <c r="BN25" i="2"/>
  <c r="G213" i="2"/>
  <c r="C218" i="4" s="1"/>
  <c r="AT49" i="2"/>
  <c r="AU49" i="2"/>
  <c r="AI123" i="2"/>
  <c r="G20" i="4" s="1"/>
  <c r="AU125" i="2"/>
  <c r="AT125" i="2"/>
  <c r="BO116" i="2"/>
  <c r="BN116" i="2"/>
  <c r="BE155" i="2"/>
  <c r="BD155" i="2"/>
  <c r="BN72" i="2"/>
  <c r="BO72" i="2"/>
  <c r="BY169" i="2"/>
  <c r="BX169" i="2"/>
  <c r="BE77" i="2"/>
  <c r="BD77" i="2"/>
  <c r="AI23" i="2"/>
  <c r="G149" i="4" s="1"/>
  <c r="BN14" i="2"/>
  <c r="BO14" i="2"/>
  <c r="AI96" i="2"/>
  <c r="G121" i="4" s="1"/>
  <c r="BY182" i="2"/>
  <c r="BX182" i="2"/>
  <c r="BX211" i="2"/>
  <c r="BY211" i="2"/>
  <c r="BY171" i="2"/>
  <c r="BX171" i="2"/>
  <c r="AI133" i="2"/>
  <c r="G150" i="4" s="1"/>
  <c r="BO35" i="2"/>
  <c r="BN35" i="2"/>
  <c r="AI107" i="2"/>
  <c r="G92" i="4" s="1"/>
  <c r="AI228" i="2"/>
  <c r="G222" i="4" s="1"/>
  <c r="AI59" i="2"/>
  <c r="G80" i="4" s="1"/>
  <c r="BE73" i="2"/>
  <c r="BD73" i="2"/>
  <c r="AU103" i="2"/>
  <c r="AT103" i="2"/>
  <c r="BY205" i="2"/>
  <c r="BX205" i="2"/>
  <c r="AI120" i="2"/>
  <c r="G138" i="4" s="1"/>
  <c r="BO174" i="2"/>
  <c r="BN174" i="2"/>
  <c r="Z202" i="2"/>
  <c r="C104" i="5" s="1"/>
  <c r="AA202" i="2"/>
  <c r="E103" i="4" s="1"/>
  <c r="D103" i="4" s="1"/>
  <c r="BE31" i="2"/>
  <c r="BD31" i="2"/>
  <c r="AI11" i="2"/>
  <c r="G119" i="4" s="1"/>
  <c r="BO125" i="2"/>
  <c r="BN125" i="2"/>
  <c r="BD8" i="2"/>
  <c r="BE8" i="2"/>
  <c r="BY162" i="2"/>
  <c r="BX162" i="2"/>
  <c r="AI224" i="2"/>
  <c r="G221" i="4" s="1"/>
  <c r="AU223" i="2"/>
  <c r="AT223" i="2"/>
  <c r="AA177" i="2"/>
  <c r="E156" i="4" s="1"/>
  <c r="D156" i="4" s="1"/>
  <c r="Z177" i="2"/>
  <c r="C157" i="5" s="1"/>
  <c r="AU28" i="2"/>
  <c r="AT28" i="2"/>
  <c r="BY20" i="2"/>
  <c r="BX20" i="2"/>
  <c r="BX201" i="2"/>
  <c r="BY201" i="2"/>
  <c r="BO27" i="2"/>
  <c r="BN27" i="2"/>
  <c r="Z53" i="2"/>
  <c r="C22" i="5" s="1"/>
  <c r="AA53" i="2"/>
  <c r="E21" i="4" s="1"/>
  <c r="D21" i="4" s="1"/>
  <c r="BY105" i="2"/>
  <c r="BX105" i="2"/>
  <c r="BE204" i="2"/>
  <c r="BD204" i="2"/>
  <c r="AA186" i="2"/>
  <c r="E177" i="4" s="1"/>
  <c r="D177" i="4" s="1"/>
  <c r="Z186" i="2"/>
  <c r="C178" i="5" s="1"/>
  <c r="AI171" i="2"/>
  <c r="G108" i="4" s="1"/>
  <c r="BY22" i="2"/>
  <c r="BX22" i="2"/>
  <c r="P57" i="2"/>
  <c r="D66" i="5" s="1"/>
  <c r="Q57" i="2"/>
  <c r="F65" i="4" s="1"/>
  <c r="BX135" i="2"/>
  <c r="BY135" i="2"/>
  <c r="BO143" i="2"/>
  <c r="BN143" i="2"/>
  <c r="BE102" i="2"/>
  <c r="BD102" i="2"/>
  <c r="Z152" i="2"/>
  <c r="C208" i="5" s="1"/>
  <c r="AA152" i="2"/>
  <c r="E207" i="4" s="1"/>
  <c r="D207" i="4" s="1"/>
  <c r="BN203" i="2"/>
  <c r="BO203" i="2"/>
  <c r="BD98" i="2"/>
  <c r="BE98" i="2"/>
  <c r="BO229" i="2"/>
  <c r="BN229" i="2"/>
  <c r="BO173" i="2"/>
  <c r="BN173" i="2"/>
  <c r="AI41" i="2"/>
  <c r="G68" i="4" s="1"/>
  <c r="AU229" i="2"/>
  <c r="AT229" i="2"/>
  <c r="BY29" i="2"/>
  <c r="BX29" i="2"/>
  <c r="BY8" i="2"/>
  <c r="BX8" i="2"/>
  <c r="AI101" i="2"/>
  <c r="G36" i="4" s="1"/>
  <c r="BO68" i="2"/>
  <c r="BN68" i="2"/>
  <c r="AU118" i="2"/>
  <c r="AT118" i="2"/>
  <c r="BD32" i="2"/>
  <c r="BE32" i="2"/>
  <c r="BY130" i="2"/>
  <c r="BX130" i="2"/>
  <c r="Z107" i="2"/>
  <c r="C93" i="5" s="1"/>
  <c r="AA107" i="2"/>
  <c r="E92" i="4" s="1"/>
  <c r="D92" i="4" s="1"/>
  <c r="BY79" i="2"/>
  <c r="BX79" i="2"/>
  <c r="BX35" i="2"/>
  <c r="BY35" i="2"/>
  <c r="AI48" i="2"/>
  <c r="G54" i="4" s="1"/>
  <c r="Z20" i="2"/>
  <c r="C15" i="5" s="1"/>
  <c r="AA20" i="2"/>
  <c r="E14" i="4" s="1"/>
  <c r="D14" i="4" s="1"/>
  <c r="BY88" i="2"/>
  <c r="BX88" i="2"/>
  <c r="BY214" i="2"/>
  <c r="BX214" i="2"/>
  <c r="Z86" i="2"/>
  <c r="C88" i="5" s="1"/>
  <c r="AA86" i="2"/>
  <c r="E87" i="4" s="1"/>
  <c r="D87" i="4" s="1"/>
  <c r="AI36" i="2"/>
  <c r="G3" i="4" s="1"/>
  <c r="BE140" i="2"/>
  <c r="BD140" i="2"/>
  <c r="BD219" i="2"/>
  <c r="BE219" i="2"/>
  <c r="Z122" i="2"/>
  <c r="C74" i="5" s="1"/>
  <c r="AA122" i="2"/>
  <c r="E73" i="4" s="1"/>
  <c r="D73" i="4" s="1"/>
  <c r="BY60" i="2"/>
  <c r="BX60" i="2"/>
  <c r="BN93" i="2"/>
  <c r="BO93" i="2"/>
  <c r="Z201" i="2"/>
  <c r="C226" i="5" s="1"/>
  <c r="AA201" i="2"/>
  <c r="E225" i="4" s="1"/>
  <c r="D225" i="4" s="1"/>
  <c r="AI90" i="2"/>
  <c r="G135" i="4" s="1"/>
  <c r="BY139" i="2"/>
  <c r="BX139" i="2"/>
  <c r="BX19" i="2"/>
  <c r="BY19" i="2"/>
  <c r="BY71" i="2"/>
  <c r="BX71" i="2"/>
  <c r="AU173" i="2"/>
  <c r="AT173" i="2"/>
  <c r="BY76" i="2"/>
  <c r="BX76" i="2"/>
  <c r="AI216" i="2"/>
  <c r="G168" i="4" s="1"/>
  <c r="AI61" i="2"/>
  <c r="G56" i="4" s="1"/>
  <c r="BD202" i="2"/>
  <c r="BE202" i="2"/>
  <c r="BE44" i="2"/>
  <c r="BD44" i="2"/>
  <c r="BO112" i="2"/>
  <c r="BN112" i="2"/>
  <c r="BE131" i="2"/>
  <c r="BD131" i="2"/>
  <c r="Z74" i="2"/>
  <c r="C174" i="5" s="1"/>
  <c r="AA74" i="2"/>
  <c r="E173" i="4" s="1"/>
  <c r="D173" i="4" s="1"/>
  <c r="BN129" i="2"/>
  <c r="BO129" i="2"/>
  <c r="AI5" i="2"/>
  <c r="G158" i="4" s="1"/>
  <c r="BE173" i="2"/>
  <c r="BD173" i="2"/>
  <c r="BO219" i="2"/>
  <c r="BN219" i="2"/>
  <c r="AI83" i="2"/>
  <c r="G131" i="4" s="1"/>
  <c r="BE157" i="2"/>
  <c r="BD157" i="2"/>
  <c r="BY198" i="2"/>
  <c r="BX198" i="2"/>
  <c r="BO171" i="2"/>
  <c r="BN171" i="2"/>
  <c r="Z216" i="2"/>
  <c r="C169" i="5" s="1"/>
  <c r="AA216" i="2"/>
  <c r="E168" i="4" s="1"/>
  <c r="D168" i="4" s="1"/>
  <c r="Z33" i="2"/>
  <c r="C28" i="5" s="1"/>
  <c r="AA33" i="2"/>
  <c r="E27" i="4" s="1"/>
  <c r="D27" i="4" s="1"/>
  <c r="BE212" i="2"/>
  <c r="BD212" i="2"/>
  <c r="BY209" i="2"/>
  <c r="BX209" i="2"/>
  <c r="BO66" i="2"/>
  <c r="BN66" i="2"/>
  <c r="AI17" i="2"/>
  <c r="G62" i="4" s="1"/>
  <c r="Z11" i="2"/>
  <c r="C120" i="5" s="1"/>
  <c r="AA11" i="2"/>
  <c r="E119" i="4" s="1"/>
  <c r="D119" i="4" s="1"/>
  <c r="BN131" i="2"/>
  <c r="BO131" i="2"/>
  <c r="BX217" i="2"/>
  <c r="BY217" i="2"/>
  <c r="BO71" i="2"/>
  <c r="BN71" i="2"/>
  <c r="Z175" i="2"/>
  <c r="C91" i="5" s="1"/>
  <c r="AA175" i="2"/>
  <c r="E90" i="4" s="1"/>
  <c r="D90" i="4" s="1"/>
  <c r="P171" i="2"/>
  <c r="D109" i="5" s="1"/>
  <c r="Q171" i="2"/>
  <c r="F108" i="4" s="1"/>
  <c r="BO10" i="2"/>
  <c r="BN10" i="2"/>
  <c r="P49" i="2"/>
  <c r="D7" i="5" s="1"/>
  <c r="Q49" i="2"/>
  <c r="F6" i="4" s="1"/>
  <c r="AI221" i="2"/>
  <c r="G219" i="4" s="1"/>
  <c r="P93" i="2"/>
  <c r="D80" i="5" s="1"/>
  <c r="Q93" i="2"/>
  <c r="F79" i="4" s="1"/>
  <c r="BO128" i="2"/>
  <c r="BN128" i="2"/>
  <c r="BY226" i="2"/>
  <c r="BX226" i="2"/>
  <c r="BO153" i="2"/>
  <c r="BN153" i="2"/>
  <c r="AA151" i="2"/>
  <c r="E85" i="4" s="1"/>
  <c r="D85" i="4" s="1"/>
  <c r="Z151" i="2"/>
  <c r="C86" i="5" s="1"/>
  <c r="BY121" i="2"/>
  <c r="BX121" i="2"/>
  <c r="AI184" i="2"/>
  <c r="G194" i="4" s="1"/>
  <c r="Z101" i="2"/>
  <c r="C37" i="5" s="1"/>
  <c r="AA101" i="2"/>
  <c r="E36" i="4" s="1"/>
  <c r="D36" i="4" s="1"/>
  <c r="AA21" i="2"/>
  <c r="E11" i="4" s="1"/>
  <c r="D11" i="4" s="1"/>
  <c r="Z21" i="2"/>
  <c r="C12" i="5" s="1"/>
  <c r="Q180" i="2"/>
  <c r="F186" i="4" s="1"/>
  <c r="P180" i="2"/>
  <c r="D187" i="5" s="1"/>
  <c r="Z25" i="2"/>
  <c r="C27" i="5" s="1"/>
  <c r="AA25" i="2"/>
  <c r="E26" i="4" s="1"/>
  <c r="D26" i="4" s="1"/>
  <c r="Z219" i="2"/>
  <c r="C126" i="5" s="1"/>
  <c r="AA219" i="2"/>
  <c r="E125" i="4" s="1"/>
  <c r="D125" i="4" s="1"/>
  <c r="BY73" i="2"/>
  <c r="BX73" i="2"/>
  <c r="BN225" i="2"/>
  <c r="BO225" i="2"/>
  <c r="BY54" i="2"/>
  <c r="BX54" i="2"/>
  <c r="AI84" i="2"/>
  <c r="G50" i="4" s="1"/>
  <c r="BO40" i="2"/>
  <c r="BN40" i="2"/>
  <c r="BE15" i="2"/>
  <c r="BD15" i="2"/>
  <c r="Z179" i="2"/>
  <c r="C227" i="5" s="1"/>
  <c r="AA179" i="2"/>
  <c r="E226" i="4" s="1"/>
  <c r="D226" i="4" s="1"/>
  <c r="BY185" i="2"/>
  <c r="BX185" i="2"/>
  <c r="P85" i="2"/>
  <c r="D188" i="5" s="1"/>
  <c r="Q85" i="2"/>
  <c r="F187" i="4" s="1"/>
  <c r="BN29" i="2"/>
  <c r="BO29" i="2"/>
  <c r="BE61" i="2"/>
  <c r="BD61" i="2"/>
  <c r="BO184" i="2"/>
  <c r="BN184" i="2"/>
  <c r="BE20" i="2"/>
  <c r="BD20" i="2"/>
  <c r="BY68" i="2"/>
  <c r="BX68" i="2"/>
  <c r="AU82" i="2"/>
  <c r="AT82" i="2"/>
  <c r="BD84" i="2"/>
  <c r="BE84" i="2"/>
  <c r="BD4" i="2"/>
  <c r="BE4" i="2"/>
  <c r="BY186" i="2"/>
  <c r="BX186" i="2"/>
  <c r="AA44" i="2"/>
  <c r="E66" i="4" s="1"/>
  <c r="D66" i="4" s="1"/>
  <c r="Z44" i="2"/>
  <c r="C67" i="5" s="1"/>
  <c r="BD121" i="2"/>
  <c r="BE121" i="2"/>
  <c r="Z22" i="2"/>
  <c r="C13" i="5" s="1"/>
  <c r="AA22" i="2"/>
  <c r="E12" i="4" s="1"/>
  <c r="D12" i="4" s="1"/>
  <c r="AI77" i="2"/>
  <c r="G30" i="4" s="1"/>
  <c r="AU66" i="2"/>
  <c r="AT66" i="2"/>
  <c r="AI42" i="2"/>
  <c r="G113" i="4" s="1"/>
  <c r="BY21" i="2"/>
  <c r="BX21" i="2"/>
  <c r="Z51" i="2"/>
  <c r="C11" i="5" s="1"/>
  <c r="AA51" i="2"/>
  <c r="E10" i="4" s="1"/>
  <c r="D10" i="4" s="1"/>
  <c r="AA142" i="2"/>
  <c r="E185" i="4" s="1"/>
  <c r="D185" i="4" s="1"/>
  <c r="Z142" i="2"/>
  <c r="C186" i="5" s="1"/>
  <c r="Z32" i="2"/>
  <c r="C44" i="5" s="1"/>
  <c r="AA32" i="2"/>
  <c r="E43" i="4" s="1"/>
  <c r="D43" i="4" s="1"/>
  <c r="AU48" i="2"/>
  <c r="AT48" i="2"/>
  <c r="BY13" i="2"/>
  <c r="BX13" i="2"/>
  <c r="AI128" i="2"/>
  <c r="G216" i="4" s="1"/>
  <c r="AA194" i="2"/>
  <c r="E200" i="4" s="1"/>
  <c r="D200" i="4" s="1"/>
  <c r="Z194" i="2"/>
  <c r="C201" i="5" s="1"/>
  <c r="Z217" i="2"/>
  <c r="C184" i="5" s="1"/>
  <c r="AA217" i="2"/>
  <c r="E183" i="4" s="1"/>
  <c r="D183" i="4" s="1"/>
  <c r="BE55" i="2"/>
  <c r="BD55" i="2"/>
  <c r="Z65" i="2"/>
  <c r="C30" i="5" s="1"/>
  <c r="AA65" i="2"/>
  <c r="E29" i="4" s="1"/>
  <c r="D29" i="4" s="1"/>
  <c r="AU138" i="2"/>
  <c r="AT138" i="2"/>
  <c r="AU92" i="2"/>
  <c r="AT92" i="2"/>
  <c r="BE188" i="2"/>
  <c r="BD188" i="2"/>
  <c r="BY16" i="2"/>
  <c r="BX16" i="2"/>
  <c r="AI148" i="2"/>
  <c r="G88" i="4" s="1"/>
  <c r="BY64" i="2"/>
  <c r="BX64" i="2"/>
  <c r="BD69" i="2"/>
  <c r="BE69" i="2"/>
  <c r="AI149" i="2"/>
  <c r="G105" i="4" s="1"/>
  <c r="Z225" i="2"/>
  <c r="C177" i="5" s="1"/>
  <c r="AA225" i="2"/>
  <c r="E176" i="4" s="1"/>
  <c r="D176" i="4" s="1"/>
  <c r="AI206" i="2"/>
  <c r="G145" i="4" s="1"/>
  <c r="BE220" i="2"/>
  <c r="BD220" i="2"/>
  <c r="BE136" i="2"/>
  <c r="BD136" i="2"/>
  <c r="AI112" i="2"/>
  <c r="G38" i="4" s="1"/>
  <c r="BY57" i="2"/>
  <c r="BX57" i="2"/>
  <c r="BO99" i="2"/>
  <c r="BN99" i="2"/>
  <c r="BY141" i="2"/>
  <c r="BX141" i="2"/>
  <c r="BY23" i="2"/>
  <c r="BX23" i="2"/>
  <c r="BY75" i="2"/>
  <c r="BX75" i="2"/>
  <c r="BO105" i="2"/>
  <c r="BN105" i="2"/>
  <c r="Z58" i="2"/>
  <c r="C154" i="5" s="1"/>
  <c r="AA58" i="2"/>
  <c r="E153" i="4" s="1"/>
  <c r="D153" i="4" s="1"/>
  <c r="Z162" i="2"/>
  <c r="C166" i="5" s="1"/>
  <c r="AA162" i="2"/>
  <c r="E165" i="4" s="1"/>
  <c r="D165" i="4" s="1"/>
  <c r="Z18" i="2"/>
  <c r="C131" i="5" s="1"/>
  <c r="AA18" i="2"/>
  <c r="E130" i="4" s="1"/>
  <c r="D130" i="4" s="1"/>
  <c r="BO163" i="2"/>
  <c r="BN163" i="2"/>
  <c r="AI74" i="2"/>
  <c r="G173" i="4" s="1"/>
  <c r="AI69" i="2"/>
  <c r="G45" i="4" s="1"/>
  <c r="BO79" i="2"/>
  <c r="BN79" i="2"/>
  <c r="Z143" i="2"/>
  <c r="C8" i="5" s="1"/>
  <c r="AA143" i="2"/>
  <c r="E7" i="4" s="1"/>
  <c r="D7" i="4" s="1"/>
  <c r="BY228" i="2"/>
  <c r="BX228" i="2"/>
  <c r="BD194" i="2"/>
  <c r="BE194" i="2"/>
  <c r="Z45" i="2"/>
  <c r="C128" i="5" s="1"/>
  <c r="AA45" i="2"/>
  <c r="E127" i="4" s="1"/>
  <c r="D127" i="4" s="1"/>
  <c r="AI62" i="2"/>
  <c r="G129" i="4" s="1"/>
  <c r="BE76" i="2"/>
  <c r="BD76" i="2"/>
  <c r="BX77" i="2"/>
  <c r="BY77" i="2"/>
  <c r="BY62" i="2"/>
  <c r="BX62" i="2"/>
  <c r="AI110" i="2"/>
  <c r="G148" i="4" s="1"/>
  <c r="BO92" i="2"/>
  <c r="BN92" i="2"/>
  <c r="Z88" i="2"/>
  <c r="C90" i="5" s="1"/>
  <c r="AA88" i="2"/>
  <c r="E89" i="4" s="1"/>
  <c r="D89" i="4" s="1"/>
  <c r="Z46" i="2"/>
  <c r="C61" i="5" s="1"/>
  <c r="AA46" i="2"/>
  <c r="E60" i="4" s="1"/>
  <c r="D60" i="4" s="1"/>
  <c r="Z198" i="2"/>
  <c r="C225" i="5" s="1"/>
  <c r="AA198" i="2"/>
  <c r="E224" i="4" s="1"/>
  <c r="D224" i="4" s="1"/>
  <c r="AI177" i="2"/>
  <c r="G156" i="4" s="1"/>
  <c r="Z77" i="2"/>
  <c r="C31" i="5" s="1"/>
  <c r="AA77" i="2"/>
  <c r="E30" i="4" s="1"/>
  <c r="D30" i="4" s="1"/>
  <c r="BY188" i="2"/>
  <c r="BX188" i="2"/>
  <c r="AI219" i="2"/>
  <c r="G125" i="4" s="1"/>
  <c r="BX87" i="2"/>
  <c r="BY87" i="2"/>
  <c r="AA163" i="2"/>
  <c r="E140" i="4" s="1"/>
  <c r="D140" i="4" s="1"/>
  <c r="Z163" i="2"/>
  <c r="C141" i="5" s="1"/>
  <c r="BE11" i="2"/>
  <c r="BD11" i="2"/>
  <c r="AI89" i="2"/>
  <c r="G41" i="4" s="1"/>
  <c r="BY120" i="2"/>
  <c r="BX120" i="2"/>
  <c r="BO18" i="2"/>
  <c r="BN18" i="2"/>
  <c r="BE123" i="2"/>
  <c r="BD123" i="2"/>
  <c r="BE41" i="2"/>
  <c r="BD41" i="2"/>
  <c r="AI161" i="2"/>
  <c r="G151" i="4" s="1"/>
  <c r="AI43" i="2"/>
  <c r="G40" i="4" s="1"/>
  <c r="BE211" i="2"/>
  <c r="BD211" i="2"/>
  <c r="BY146" i="2"/>
  <c r="BX146" i="2"/>
  <c r="Z23" i="2"/>
  <c r="C150" i="5" s="1"/>
  <c r="AA23" i="2"/>
  <c r="E149" i="4" s="1"/>
  <c r="D149" i="4" s="1"/>
  <c r="BX213" i="2"/>
  <c r="BY213" i="2"/>
  <c r="BY115" i="2"/>
  <c r="BX115" i="2"/>
  <c r="AI10" i="2"/>
  <c r="G9" i="4" s="1"/>
  <c r="BY196" i="2"/>
  <c r="BX196" i="2"/>
  <c r="AI35" i="2"/>
  <c r="G48" i="4" s="1"/>
  <c r="Z60" i="2"/>
  <c r="C59" i="5" s="1"/>
  <c r="AA60" i="2"/>
  <c r="E58" i="4" s="1"/>
  <c r="D58" i="4" s="1"/>
  <c r="AI215" i="2"/>
  <c r="G199" i="4" s="1"/>
  <c r="BE66" i="2"/>
  <c r="BD66" i="2"/>
  <c r="AI200" i="2"/>
  <c r="G195" i="4" s="1"/>
  <c r="AI33" i="2"/>
  <c r="G27" i="4" s="1"/>
  <c r="BO195" i="2"/>
  <c r="BN195" i="2"/>
  <c r="BY89" i="2"/>
  <c r="BX89" i="2"/>
  <c r="Z100" i="2"/>
  <c r="C78" i="5" s="1"/>
  <c r="AA100" i="2"/>
  <c r="E77" i="4" s="1"/>
  <c r="D77" i="4" s="1"/>
  <c r="AI93" i="2"/>
  <c r="G79" i="4" s="1"/>
  <c r="AI113" i="2"/>
  <c r="G201" i="4" s="1"/>
  <c r="AI225" i="2"/>
  <c r="G176" i="4" s="1"/>
  <c r="AI218" i="2"/>
  <c r="G206" i="4" s="1"/>
  <c r="BO162" i="2"/>
  <c r="BN162" i="2"/>
  <c r="BY165" i="2"/>
  <c r="BX165" i="2"/>
  <c r="AI106" i="2"/>
  <c r="G76" i="4" s="1"/>
  <c r="AI165" i="2"/>
  <c r="G152" i="4" s="1"/>
  <c r="AI39" i="2"/>
  <c r="G24" i="4" s="1"/>
  <c r="P157" i="2"/>
  <c r="D230" i="5" s="1"/>
  <c r="Q157" i="2"/>
  <c r="F229" i="4" s="1"/>
  <c r="AI22" i="2"/>
  <c r="G12" i="4" s="1"/>
  <c r="BN179" i="2"/>
  <c r="BO179" i="2"/>
  <c r="Z189" i="2"/>
  <c r="C211" i="5" s="1"/>
  <c r="AA189" i="2"/>
  <c r="E210" i="4" s="1"/>
  <c r="D210" i="4" s="1"/>
  <c r="Z187" i="2"/>
  <c r="C170" i="5" s="1"/>
  <c r="AA187" i="2"/>
  <c r="E169" i="4" s="1"/>
  <c r="D169" i="4" s="1"/>
  <c r="BO166" i="2"/>
  <c r="BN166" i="2"/>
  <c r="AI75" i="2"/>
  <c r="G104" i="4" s="1"/>
  <c r="BY47" i="2"/>
  <c r="BX47" i="2"/>
  <c r="Z141" i="2"/>
  <c r="C221" i="5" s="1"/>
  <c r="AA141" i="2"/>
  <c r="E220" i="4" s="1"/>
  <c r="D220" i="4" s="1"/>
  <c r="BY110" i="2"/>
  <c r="BX110" i="2"/>
  <c r="AI100" i="2"/>
  <c r="G77" i="4" s="1"/>
  <c r="AA119" i="2"/>
  <c r="E161" i="4" s="1"/>
  <c r="D161" i="4" s="1"/>
  <c r="Z119" i="2"/>
  <c r="C162" i="5" s="1"/>
  <c r="BO49" i="2"/>
  <c r="BN49" i="2"/>
  <c r="AA78" i="2"/>
  <c r="E17" i="4" s="1"/>
  <c r="D17" i="4" s="1"/>
  <c r="Z78" i="2"/>
  <c r="C18" i="5" s="1"/>
  <c r="AI9" i="2"/>
  <c r="G8" i="4" s="1"/>
  <c r="Z155" i="2"/>
  <c r="C65" i="5" s="1"/>
  <c r="AA155" i="2"/>
  <c r="E64" i="4" s="1"/>
  <c r="D64" i="4" s="1"/>
  <c r="BE213" i="2"/>
  <c r="BD213" i="2"/>
  <c r="AI47" i="2"/>
  <c r="G144" i="4" s="1"/>
  <c r="Z42" i="2"/>
  <c r="C114" i="5" s="1"/>
  <c r="AA42" i="2"/>
  <c r="E113" i="4" s="1"/>
  <c r="D113" i="4" s="1"/>
  <c r="BY98" i="2"/>
  <c r="BX98" i="2"/>
  <c r="BE130" i="2"/>
  <c r="BD130" i="2"/>
  <c r="Z43" i="2"/>
  <c r="C41" i="5" s="1"/>
  <c r="AA43" i="2"/>
  <c r="E40" i="4" s="1"/>
  <c r="D40" i="4" s="1"/>
  <c r="AI189" i="2"/>
  <c r="G210" i="4" s="1"/>
  <c r="BY113" i="2"/>
  <c r="BX113" i="2"/>
  <c r="BO167" i="2"/>
  <c r="BN167" i="2"/>
  <c r="BO208" i="2"/>
  <c r="BN208" i="2"/>
  <c r="AI6" i="2"/>
  <c r="G71" i="4" s="1"/>
  <c r="BY132" i="2"/>
  <c r="BX132" i="2"/>
  <c r="BY5" i="2"/>
  <c r="BX5" i="2"/>
  <c r="P84" i="2"/>
  <c r="D51" i="5" s="1"/>
  <c r="Q84" i="2"/>
  <c r="F50" i="4" s="1"/>
  <c r="Z211" i="2"/>
  <c r="C183" i="5" s="1"/>
  <c r="AA211" i="2"/>
  <c r="E182" i="4" s="1"/>
  <c r="D182" i="4" s="1"/>
  <c r="Z185" i="2"/>
  <c r="C194" i="5" s="1"/>
  <c r="AA185" i="2"/>
  <c r="E193" i="4" s="1"/>
  <c r="D193" i="4" s="1"/>
  <c r="BY176" i="2"/>
  <c r="BX176" i="2"/>
  <c r="BY166" i="2"/>
  <c r="BX166" i="2"/>
  <c r="AI64" i="2"/>
  <c r="G51" i="4" s="1"/>
  <c r="AI70" i="2"/>
  <c r="G52" i="4" s="1"/>
  <c r="AI174" i="2"/>
  <c r="G101" i="4" s="1"/>
  <c r="BX59" i="2"/>
  <c r="BY59" i="2"/>
  <c r="AA39" i="2"/>
  <c r="E24" i="4" s="1"/>
  <c r="D24" i="4" s="1"/>
  <c r="Z39" i="2"/>
  <c r="C25" i="5" s="1"/>
  <c r="Z134" i="2"/>
  <c r="C123" i="5" s="1"/>
  <c r="AA134" i="2"/>
  <c r="E122" i="4" s="1"/>
  <c r="D122" i="4" s="1"/>
  <c r="BY14" i="2"/>
  <c r="BX14" i="2"/>
  <c r="BY119" i="2"/>
  <c r="BX119" i="2"/>
  <c r="Z132" i="2"/>
  <c r="C160" i="5" s="1"/>
  <c r="AA132" i="2"/>
  <c r="E159" i="4" s="1"/>
  <c r="D159" i="4" s="1"/>
  <c r="BD36" i="2"/>
  <c r="BE36" i="2"/>
  <c r="Z178" i="2"/>
  <c r="C158" i="5" s="1"/>
  <c r="AA178" i="2"/>
  <c r="E157" i="4" s="1"/>
  <c r="D157" i="4" s="1"/>
  <c r="Z49" i="2"/>
  <c r="C7" i="5" s="1"/>
  <c r="AA49" i="2"/>
  <c r="E6" i="4" s="1"/>
  <c r="D6" i="4" s="1"/>
  <c r="AI91" i="2"/>
  <c r="G47" i="4" s="1"/>
  <c r="BE47" i="2"/>
  <c r="BD47" i="2"/>
  <c r="BN85" i="2"/>
  <c r="BO85" i="2"/>
  <c r="BO91" i="2"/>
  <c r="BN91" i="2"/>
  <c r="BE68" i="2"/>
  <c r="BD68" i="2"/>
  <c r="BY61" i="2"/>
  <c r="BX61" i="2"/>
  <c r="BX127" i="2"/>
  <c r="BY127" i="2"/>
  <c r="BY78" i="2"/>
  <c r="BX78" i="2"/>
  <c r="BO138" i="2"/>
  <c r="BN138" i="2"/>
  <c r="BY184" i="2"/>
  <c r="BX184" i="2"/>
  <c r="BE49" i="2"/>
  <c r="BD49" i="2"/>
  <c r="AA120" i="2"/>
  <c r="E138" i="4" s="1"/>
  <c r="D138" i="4" s="1"/>
  <c r="Z120" i="2"/>
  <c r="C139" i="5" s="1"/>
  <c r="BY170" i="2"/>
  <c r="BX170" i="2"/>
  <c r="BO86" i="2"/>
  <c r="BN86" i="2"/>
  <c r="BX48" i="2"/>
  <c r="BY48" i="2"/>
  <c r="AI226" i="2"/>
  <c r="G172" i="4" s="1"/>
  <c r="AI45" i="2"/>
  <c r="G127" i="4" s="1"/>
  <c r="BY168" i="2"/>
  <c r="BX168" i="2"/>
  <c r="Z139" i="2"/>
  <c r="C176" i="5" s="1"/>
  <c r="AA139" i="2"/>
  <c r="E175" i="4" s="1"/>
  <c r="D175" i="4" s="1"/>
  <c r="AI169" i="2"/>
  <c r="G181" i="4" s="1"/>
  <c r="BE162" i="2"/>
  <c r="BD162" i="2"/>
  <c r="BY74" i="2"/>
  <c r="BX74" i="2"/>
  <c r="AI86" i="2"/>
  <c r="G87" i="4" s="1"/>
  <c r="Z37" i="2"/>
  <c r="C62" i="5" s="1"/>
  <c r="AA37" i="2"/>
  <c r="E61" i="4" s="1"/>
  <c r="D61" i="4" s="1"/>
  <c r="Z212" i="2"/>
  <c r="C95" i="5" s="1"/>
  <c r="AA212" i="2"/>
  <c r="E94" i="4" s="1"/>
  <c r="D94" i="4" s="1"/>
  <c r="BO212" i="2"/>
  <c r="BN212" i="2"/>
  <c r="AI183" i="2"/>
  <c r="G198" i="4" s="1"/>
  <c r="AU34" i="2"/>
  <c r="AT34" i="2"/>
  <c r="AI87" i="2"/>
  <c r="G78" i="4" s="1"/>
  <c r="BX7" i="2"/>
  <c r="BY7" i="2"/>
  <c r="AI229" i="2"/>
  <c r="G111" i="4" s="1"/>
  <c r="AA214" i="2"/>
  <c r="E133" i="4" s="1"/>
  <c r="D133" i="4" s="1"/>
  <c r="Z214" i="2"/>
  <c r="C134" i="5" s="1"/>
  <c r="AI19" i="2"/>
  <c r="G31" i="4" s="1"/>
  <c r="Z229" i="2"/>
  <c r="C112" i="5" s="1"/>
  <c r="AA229" i="2"/>
  <c r="E111" i="4" s="1"/>
  <c r="D111" i="4" s="1"/>
  <c r="Z116" i="2"/>
  <c r="C192" i="5" s="1"/>
  <c r="AA116" i="2"/>
  <c r="E191" i="4" s="1"/>
  <c r="D191" i="4" s="1"/>
  <c r="Z94" i="2"/>
  <c r="C115" i="5" s="1"/>
  <c r="AA94" i="2"/>
  <c r="E114" i="4" s="1"/>
  <c r="D114" i="4" s="1"/>
  <c r="BE103" i="2"/>
  <c r="BD103" i="2"/>
  <c r="BX11" i="2"/>
  <c r="BY11" i="2"/>
  <c r="Z118" i="2"/>
  <c r="C168" i="5" s="1"/>
  <c r="AA118" i="2"/>
  <c r="E167" i="4" s="1"/>
  <c r="D167" i="4" s="1"/>
  <c r="Z19" i="2"/>
  <c r="C32" i="5" s="1"/>
  <c r="AA19" i="2"/>
  <c r="E31" i="4" s="1"/>
  <c r="D31" i="4" s="1"/>
  <c r="AA167" i="2"/>
  <c r="E115" i="4" s="1"/>
  <c r="D115" i="4" s="1"/>
  <c r="Z167" i="2"/>
  <c r="C116" i="5" s="1"/>
  <c r="BE153" i="2"/>
  <c r="BD153" i="2"/>
  <c r="BO144" i="2"/>
  <c r="BN144" i="2"/>
  <c r="AI79" i="2"/>
  <c r="G15" i="4" s="1"/>
  <c r="Z184" i="2"/>
  <c r="C195" i="5" s="1"/>
  <c r="AA184" i="2"/>
  <c r="E194" i="4" s="1"/>
  <c r="D194" i="4" s="1"/>
  <c r="AI37" i="2"/>
  <c r="G61" i="4" s="1"/>
  <c r="BO90" i="2"/>
  <c r="BN90" i="2"/>
  <c r="BN158" i="2"/>
  <c r="BO158" i="2"/>
  <c r="AA228" i="2"/>
  <c r="E222" i="4" s="1"/>
  <c r="D222" i="4" s="1"/>
  <c r="Z228" i="2"/>
  <c r="C223" i="5" s="1"/>
  <c r="Z57" i="2"/>
  <c r="C66" i="5" s="1"/>
  <c r="AA57" i="2"/>
  <c r="E65" i="4" s="1"/>
  <c r="D65" i="4" s="1"/>
  <c r="AI185" i="2"/>
  <c r="G193" i="4" s="1"/>
  <c r="AA154" i="2"/>
  <c r="E205" i="4" s="1"/>
  <c r="D205" i="4" s="1"/>
  <c r="Z154" i="2"/>
  <c r="C206" i="5" s="1"/>
  <c r="BY131" i="2"/>
  <c r="BX131" i="2"/>
  <c r="AI195" i="2"/>
  <c r="G189" i="4" s="1"/>
  <c r="BY227" i="2"/>
  <c r="BX227" i="2"/>
  <c r="BY210" i="2"/>
  <c r="BX210" i="2"/>
  <c r="AI223" i="2"/>
  <c r="G179" i="4" s="1"/>
  <c r="AI147" i="2"/>
  <c r="G203" i="4" s="1"/>
  <c r="AA138" i="2"/>
  <c r="E110" i="4" s="1"/>
  <c r="D110" i="4" s="1"/>
  <c r="Z138" i="2"/>
  <c r="C111" i="5" s="1"/>
  <c r="AI24" i="2"/>
  <c r="G23" i="4" s="1"/>
  <c r="AI138" i="2"/>
  <c r="G110" i="4" s="1"/>
  <c r="AI119" i="2"/>
  <c r="G161" i="4" s="1"/>
  <c r="Q103" i="2"/>
  <c r="F93" i="4" s="1"/>
  <c r="P103" i="2"/>
  <c r="D94" i="5" s="1"/>
  <c r="BY107" i="2"/>
  <c r="BX107" i="2"/>
  <c r="AI130" i="2"/>
  <c r="G143" i="4" s="1"/>
  <c r="Z191" i="2"/>
  <c r="C224" i="5" s="1"/>
  <c r="AA191" i="2"/>
  <c r="E223" i="4" s="1"/>
  <c r="D223" i="4" s="1"/>
  <c r="BY136" i="2"/>
  <c r="BX136" i="2"/>
  <c r="Z75" i="2"/>
  <c r="C105" i="5" s="1"/>
  <c r="AA75" i="2"/>
  <c r="E104" i="4" s="1"/>
  <c r="D104" i="4" s="1"/>
  <c r="AI136" i="2"/>
  <c r="G190" i="4" s="1"/>
  <c r="Z117" i="2"/>
  <c r="C148" i="5" s="1"/>
  <c r="AA117" i="2"/>
  <c r="E147" i="4" s="1"/>
  <c r="D147" i="4" s="1"/>
  <c r="BE92" i="2"/>
  <c r="BD92" i="2"/>
  <c r="BO147" i="2"/>
  <c r="BN147" i="2"/>
  <c r="Z170" i="2"/>
  <c r="C83" i="5" s="1"/>
  <c r="AA170" i="2"/>
  <c r="E82" i="4" s="1"/>
  <c r="D82" i="4" s="1"/>
  <c r="BY108" i="2"/>
  <c r="BX108" i="2"/>
  <c r="AI135" i="2"/>
  <c r="G112" i="4" s="1"/>
  <c r="BO45" i="2"/>
  <c r="BN45" i="2"/>
  <c r="AI127" i="2"/>
  <c r="G97" i="4" s="1"/>
  <c r="AI52" i="2"/>
  <c r="G155" i="4" s="1"/>
  <c r="BE109" i="2"/>
  <c r="BD109" i="2"/>
  <c r="BN165" i="2"/>
  <c r="BO165" i="2"/>
  <c r="AI46" i="2"/>
  <c r="G60" i="4" s="1"/>
  <c r="BE214" i="2"/>
  <c r="BD214" i="2"/>
  <c r="AI122" i="2"/>
  <c r="G73" i="4" s="1"/>
  <c r="Z102" i="2"/>
  <c r="C164" i="5" s="1"/>
  <c r="AA102" i="2"/>
  <c r="E163" i="4" s="1"/>
  <c r="D163" i="4" s="1"/>
  <c r="AU222" i="2"/>
  <c r="AT222" i="2"/>
  <c r="Z26" i="2"/>
  <c r="C47" i="5" s="1"/>
  <c r="AA26" i="2"/>
  <c r="E46" i="4" s="1"/>
  <c r="D46" i="4" s="1"/>
  <c r="Z203" i="2"/>
  <c r="C214" i="5" s="1"/>
  <c r="AA203" i="2"/>
  <c r="E213" i="4" s="1"/>
  <c r="D213" i="4" s="1"/>
  <c r="Z129" i="2"/>
  <c r="C216" i="5" s="1"/>
  <c r="AA129" i="2"/>
  <c r="E215" i="4" s="1"/>
  <c r="D215" i="4" s="1"/>
  <c r="BO139" i="2"/>
  <c r="BN139" i="2"/>
  <c r="Z5" i="2"/>
  <c r="C159" i="5" s="1"/>
  <c r="AA5" i="2"/>
  <c r="E158" i="4" s="1"/>
  <c r="D158" i="4" s="1"/>
  <c r="AI57" i="2"/>
  <c r="G65" i="4" s="1"/>
  <c r="Z131" i="2"/>
  <c r="C210" i="5" s="1"/>
  <c r="AA131" i="2"/>
  <c r="E209" i="4" s="1"/>
  <c r="D209" i="4" s="1"/>
  <c r="Z28" i="2"/>
  <c r="C17" i="5" s="1"/>
  <c r="AA28" i="2"/>
  <c r="E16" i="4" s="1"/>
  <c r="D16" i="4" s="1"/>
  <c r="BO185" i="2"/>
  <c r="BN185" i="2"/>
  <c r="Z17" i="2"/>
  <c r="C63" i="5" s="1"/>
  <c r="AA17" i="2"/>
  <c r="E62" i="4" s="1"/>
  <c r="D62" i="4" s="1"/>
  <c r="Z55" i="2"/>
  <c r="C64" i="5" s="1"/>
  <c r="AA55" i="2"/>
  <c r="E63" i="4" s="1"/>
  <c r="D63" i="4" s="1"/>
  <c r="Z166" i="2"/>
  <c r="C193" i="5" s="1"/>
  <c r="AA166" i="2"/>
  <c r="E192" i="4" s="1"/>
  <c r="D192" i="4" s="1"/>
  <c r="AI72" i="2"/>
  <c r="G34" i="4" s="1"/>
  <c r="AA159" i="2"/>
  <c r="E102" i="4" s="1"/>
  <c r="D102" i="4" s="1"/>
  <c r="Z159" i="2"/>
  <c r="C103" i="5" s="1"/>
  <c r="BE151" i="2"/>
  <c r="BD151" i="2"/>
  <c r="BX199" i="2"/>
  <c r="BY199" i="2"/>
  <c r="AI126" i="2"/>
  <c r="G109" i="4" s="1"/>
  <c r="AI145" i="2"/>
  <c r="G69" i="4" s="1"/>
  <c r="BO50" i="2"/>
  <c r="BN50" i="2"/>
  <c r="AI38" i="2"/>
  <c r="G19" i="4" s="1"/>
  <c r="Z110" i="2"/>
  <c r="C149" i="5" s="1"/>
  <c r="AA110" i="2"/>
  <c r="E148" i="4" s="1"/>
  <c r="D148" i="4" s="1"/>
  <c r="BY218" i="2"/>
  <c r="BX218" i="2"/>
  <c r="Z41" i="2"/>
  <c r="C69" i="5" s="1"/>
  <c r="AA41" i="2"/>
  <c r="E68" i="4" s="1"/>
  <c r="D68" i="4" s="1"/>
  <c r="BY67" i="2"/>
  <c r="BX67" i="2"/>
  <c r="AI139" i="2"/>
  <c r="G175" i="4" s="1"/>
  <c r="Z207" i="2"/>
  <c r="C143" i="5" s="1"/>
  <c r="AA207" i="2"/>
  <c r="E142" i="4" s="1"/>
  <c r="D142" i="4" s="1"/>
  <c r="Z97" i="2"/>
  <c r="C34" i="5" s="1"/>
  <c r="AA97" i="2"/>
  <c r="E33" i="4" s="1"/>
  <c r="D33" i="4" s="1"/>
  <c r="Z90" i="2"/>
  <c r="C136" i="5" s="1"/>
  <c r="AA90" i="2"/>
  <c r="E135" i="4" s="1"/>
  <c r="D135" i="4" s="1"/>
  <c r="AA168" i="2"/>
  <c r="E160" i="4" s="1"/>
  <c r="D160" i="4" s="1"/>
  <c r="Z168" i="2"/>
  <c r="C161" i="5" s="1"/>
  <c r="AA137" i="2"/>
  <c r="E107" i="4" s="1"/>
  <c r="D107" i="4" s="1"/>
  <c r="Z137" i="2"/>
  <c r="C108" i="5" s="1"/>
  <c r="BX24" i="2"/>
  <c r="BY24" i="2"/>
  <c r="BO64" i="2"/>
  <c r="BN64" i="2"/>
  <c r="AI187" i="2"/>
  <c r="G169" i="4" s="1"/>
  <c r="AA99" i="2"/>
  <c r="E106" i="4" s="1"/>
  <c r="D106" i="4" s="1"/>
  <c r="Z99" i="2"/>
  <c r="C107" i="5" s="1"/>
  <c r="Z226" i="2"/>
  <c r="C173" i="5" s="1"/>
  <c r="AA226" i="2"/>
  <c r="E172" i="4" s="1"/>
  <c r="D172" i="4" s="1"/>
  <c r="Z221" i="2"/>
  <c r="C220" i="5" s="1"/>
  <c r="AA221" i="2"/>
  <c r="E219" i="4" s="1"/>
  <c r="D219" i="4" s="1"/>
  <c r="Z73" i="2"/>
  <c r="C117" i="5" s="1"/>
  <c r="AA73" i="2"/>
  <c r="E116" i="4" s="1"/>
  <c r="D116" i="4" s="1"/>
  <c r="AI194" i="2"/>
  <c r="G200" i="4" s="1"/>
  <c r="BE105" i="2"/>
  <c r="BD105" i="2"/>
  <c r="BY149" i="2"/>
  <c r="BX149" i="2"/>
  <c r="Z182" i="2"/>
  <c r="C175" i="5" s="1"/>
  <c r="AA182" i="2"/>
  <c r="E174" i="4" s="1"/>
  <c r="D174" i="4" s="1"/>
  <c r="BX37" i="2"/>
  <c r="BY37" i="2"/>
  <c r="Z125" i="2"/>
  <c r="C137" i="5" s="1"/>
  <c r="AA125" i="2"/>
  <c r="E136" i="4" s="1"/>
  <c r="D136" i="4" s="1"/>
  <c r="Z183" i="2"/>
  <c r="C199" i="5" s="1"/>
  <c r="AA183" i="2"/>
  <c r="E198" i="4" s="1"/>
  <c r="D198" i="4" s="1"/>
  <c r="BO113" i="2"/>
  <c r="BN113" i="2"/>
  <c r="Z115" i="2"/>
  <c r="C45" i="5" s="1"/>
  <c r="AA115" i="2"/>
  <c r="E44" i="4" s="1"/>
  <c r="D44" i="4" s="1"/>
  <c r="AI118" i="2"/>
  <c r="G167" i="4" s="1"/>
  <c r="Z148" i="2"/>
  <c r="C89" i="5" s="1"/>
  <c r="AA148" i="2"/>
  <c r="E88" i="4" s="1"/>
  <c r="D88" i="4" s="1"/>
  <c r="AI102" i="2"/>
  <c r="G163" i="4" s="1"/>
  <c r="BD164" i="2"/>
  <c r="BE164" i="2"/>
  <c r="Z135" i="2"/>
  <c r="C113" i="5" s="1"/>
  <c r="AA135" i="2"/>
  <c r="E112" i="4" s="1"/>
  <c r="D112" i="4" s="1"/>
  <c r="Z161" i="2"/>
  <c r="C152" i="5" s="1"/>
  <c r="AA161" i="2"/>
  <c r="E151" i="4" s="1"/>
  <c r="D151" i="4" s="1"/>
  <c r="AI104" i="2"/>
  <c r="G132" i="4" s="1"/>
  <c r="AI54" i="2"/>
  <c r="G57" i="4" s="1"/>
  <c r="BO198" i="2"/>
  <c r="BN198" i="2"/>
  <c r="AI207" i="2"/>
  <c r="G142" i="4" s="1"/>
  <c r="BE185" i="2"/>
  <c r="BD185" i="2"/>
  <c r="BY183" i="2"/>
  <c r="BX183" i="2"/>
  <c r="BX191" i="2"/>
  <c r="BY191" i="2"/>
  <c r="AI214" i="2"/>
  <c r="G133" i="4" s="1"/>
  <c r="Z69" i="2"/>
  <c r="C46" i="5" s="1"/>
  <c r="AA69" i="2"/>
  <c r="E45" i="4" s="1"/>
  <c r="D45" i="4" s="1"/>
  <c r="Z87" i="2"/>
  <c r="C79" i="5" s="1"/>
  <c r="AA87" i="2"/>
  <c r="E78" i="4" s="1"/>
  <c r="D78" i="4" s="1"/>
  <c r="Z93" i="2"/>
  <c r="C80" i="5" s="1"/>
  <c r="AA93" i="2"/>
  <c r="E79" i="4" s="1"/>
  <c r="D79" i="4" s="1"/>
  <c r="AA14" i="2"/>
  <c r="E128" i="4" s="1"/>
  <c r="D128" i="4" s="1"/>
  <c r="Z14" i="2"/>
  <c r="C129" i="5" s="1"/>
  <c r="Z91" i="2"/>
  <c r="C48" i="5" s="1"/>
  <c r="AA91" i="2"/>
  <c r="E47" i="4" s="1"/>
  <c r="D47" i="4" s="1"/>
  <c r="Z24" i="2"/>
  <c r="C24" i="5" s="1"/>
  <c r="AA24" i="2"/>
  <c r="E23" i="4" s="1"/>
  <c r="D23" i="4" s="1"/>
  <c r="AI78" i="2"/>
  <c r="G17" i="4" s="1"/>
  <c r="Z96" i="2"/>
  <c r="C122" i="5" s="1"/>
  <c r="AA96" i="2"/>
  <c r="E121" i="4" s="1"/>
  <c r="D121" i="4" s="1"/>
  <c r="AI30" i="2"/>
  <c r="G5" i="4" s="1"/>
  <c r="Z72" i="2"/>
  <c r="C35" i="5" s="1"/>
  <c r="AA72" i="2"/>
  <c r="E34" i="4" s="1"/>
  <c r="D34" i="4" s="1"/>
  <c r="Z112" i="2"/>
  <c r="C39" i="5" s="1"/>
  <c r="AA112" i="2"/>
  <c r="E38" i="4" s="1"/>
  <c r="D38" i="4" s="1"/>
  <c r="AI55" i="2"/>
  <c r="G63" i="4" s="1"/>
  <c r="AI49" i="2"/>
  <c r="G6" i="4" s="1"/>
  <c r="AA31" i="2"/>
  <c r="E91" i="4" s="1"/>
  <c r="D91" i="4" s="1"/>
  <c r="Z31" i="2"/>
  <c r="C92" i="5" s="1"/>
  <c r="Z66" i="2"/>
  <c r="C54" i="5" s="1"/>
  <c r="AA66" i="2"/>
  <c r="E53" i="4" s="1"/>
  <c r="D53" i="4" s="1"/>
  <c r="AI217" i="2"/>
  <c r="G183" i="4" s="1"/>
  <c r="Z156" i="2"/>
  <c r="C127" i="5" s="1"/>
  <c r="AA156" i="2"/>
  <c r="E126" i="4" s="1"/>
  <c r="D126" i="4" s="1"/>
  <c r="BY43" i="2"/>
  <c r="BX43" i="2"/>
  <c r="Z82" i="2"/>
  <c r="C140" i="5" s="1"/>
  <c r="AA82" i="2"/>
  <c r="E139" i="4" s="1"/>
  <c r="D139" i="4" s="1"/>
  <c r="Z6" i="2"/>
  <c r="C72" i="5" s="1"/>
  <c r="AA6" i="2"/>
  <c r="E71" i="4" s="1"/>
  <c r="D71" i="4" s="1"/>
  <c r="Z176" i="2"/>
  <c r="C84" i="5" s="1"/>
  <c r="AA176" i="2"/>
  <c r="E83" i="4" s="1"/>
  <c r="D83" i="4" s="1"/>
  <c r="AI67" i="2"/>
  <c r="G118" i="4" s="1"/>
  <c r="BX83" i="2"/>
  <c r="BY83" i="2"/>
  <c r="Z160" i="2"/>
  <c r="C213" i="5" s="1"/>
  <c r="AA160" i="2"/>
  <c r="E212" i="4" s="1"/>
  <c r="D212" i="4" s="1"/>
  <c r="AI201" i="2"/>
  <c r="G225" i="4" s="1"/>
  <c r="BX104" i="2"/>
  <c r="BY104" i="2"/>
  <c r="BY114" i="2"/>
  <c r="BX114" i="2"/>
  <c r="Z197" i="2"/>
  <c r="C167" i="5" s="1"/>
  <c r="AA197" i="2"/>
  <c r="E166" i="4" s="1"/>
  <c r="D166" i="4" s="1"/>
  <c r="BY111" i="2"/>
  <c r="BX111" i="2"/>
  <c r="BO141" i="2"/>
  <c r="BN141" i="2"/>
  <c r="Z40" i="2"/>
  <c r="C87" i="5" s="1"/>
  <c r="AA40" i="2"/>
  <c r="E86" i="4" s="1"/>
  <c r="D86" i="4" s="1"/>
  <c r="AA181" i="2"/>
  <c r="E164" i="4" s="1"/>
  <c r="D164" i="4" s="1"/>
  <c r="Z181" i="2"/>
  <c r="C165" i="5" s="1"/>
  <c r="Z89" i="2"/>
  <c r="C42" i="5" s="1"/>
  <c r="AA89" i="2"/>
  <c r="E41" i="4" s="1"/>
  <c r="D41" i="4" s="1"/>
  <c r="Z30" i="2"/>
  <c r="C6" i="5" s="1"/>
  <c r="AA30" i="2"/>
  <c r="E5" i="4" s="1"/>
  <c r="D5" i="4" s="1"/>
  <c r="AI40" i="2"/>
  <c r="G86" i="4" s="1"/>
  <c r="Z164" i="2"/>
  <c r="C75" i="5" s="1"/>
  <c r="AA164" i="2"/>
  <c r="E74" i="4" s="1"/>
  <c r="D74" i="4" s="1"/>
  <c r="Z223" i="2"/>
  <c r="C180" i="5" s="1"/>
  <c r="AA223" i="2"/>
  <c r="E179" i="4" s="1"/>
  <c r="D179" i="4" s="1"/>
  <c r="Z9" i="2"/>
  <c r="C9" i="5" s="1"/>
  <c r="AA9" i="2"/>
  <c r="E8" i="4" s="1"/>
  <c r="D8" i="4" s="1"/>
  <c r="AI163" i="2"/>
  <c r="G140" i="4" s="1"/>
  <c r="BY50" i="2"/>
  <c r="BX50" i="2"/>
  <c r="Z121" i="2"/>
  <c r="C215" i="5" s="1"/>
  <c r="AA121" i="2"/>
  <c r="E214" i="4" s="1"/>
  <c r="D214" i="4" s="1"/>
  <c r="Z114" i="2"/>
  <c r="C99" i="5" s="1"/>
  <c r="AA114" i="2"/>
  <c r="E98" i="4" s="1"/>
  <c r="D98" i="4" s="1"/>
  <c r="AI151" i="2"/>
  <c r="G85" i="4" s="1"/>
  <c r="AA80" i="2"/>
  <c r="E120" i="4" s="1"/>
  <c r="D120" i="4" s="1"/>
  <c r="Z80" i="2"/>
  <c r="C121" i="5" s="1"/>
  <c r="AI94" i="2"/>
  <c r="G114" i="4" s="1"/>
  <c r="BY194" i="2"/>
  <c r="BX194" i="2"/>
  <c r="AI60" i="2"/>
  <c r="G58" i="4" s="1"/>
  <c r="AI121" i="2"/>
  <c r="G214" i="4" s="1"/>
  <c r="AI21" i="2"/>
  <c r="G11" i="4" s="1"/>
  <c r="AI81" i="2"/>
  <c r="G32" i="4" s="1"/>
  <c r="AI213" i="2"/>
  <c r="G218" i="4" s="1"/>
  <c r="AI188" i="2"/>
  <c r="G137" i="4" s="1"/>
  <c r="BO126" i="2"/>
  <c r="BN126" i="2"/>
  <c r="BY82" i="2"/>
  <c r="BX82" i="2"/>
  <c r="AU188" i="2"/>
  <c r="AT188" i="2"/>
  <c r="BY180" i="2"/>
  <c r="BX180" i="2"/>
  <c r="AA126" i="2"/>
  <c r="E109" i="4" s="1"/>
  <c r="D109" i="4" s="1"/>
  <c r="Z126" i="2"/>
  <c r="C110" i="5" s="1"/>
  <c r="BN84" i="2"/>
  <c r="BO84" i="2"/>
  <c r="BX40" i="2"/>
  <c r="BY40" i="2"/>
  <c r="Z109" i="2"/>
  <c r="C23" i="5" s="1"/>
  <c r="AA109" i="2"/>
  <c r="E22" i="4" s="1"/>
  <c r="D22" i="4" s="1"/>
  <c r="Z204" i="2"/>
  <c r="C163" i="5" s="1"/>
  <c r="AA204" i="2"/>
  <c r="E162" i="4" s="1"/>
  <c r="D162" i="4" s="1"/>
  <c r="AI134" i="2"/>
  <c r="G122" i="4" s="1"/>
  <c r="AI27" i="2"/>
  <c r="G95" i="4" s="1"/>
  <c r="Z62" i="2"/>
  <c r="C130" i="5" s="1"/>
  <c r="AA62" i="2"/>
  <c r="E129" i="4" s="1"/>
  <c r="D129" i="4" s="1"/>
  <c r="Z180" i="2"/>
  <c r="C187" i="5" s="1"/>
  <c r="AA180" i="2"/>
  <c r="E186" i="4" s="1"/>
  <c r="D186" i="4" s="1"/>
  <c r="Z105" i="2"/>
  <c r="C38" i="5" s="1"/>
  <c r="AA105" i="2"/>
  <c r="E37" i="4" s="1"/>
  <c r="D37" i="4" s="1"/>
  <c r="Z92" i="2"/>
  <c r="C209" i="5" s="1"/>
  <c r="AA92" i="2"/>
  <c r="E208" i="4" s="1"/>
  <c r="D208" i="4" s="1"/>
  <c r="AA48" i="2"/>
  <c r="E54" i="4" s="1"/>
  <c r="D54" i="4" s="1"/>
  <c r="Z48" i="2"/>
  <c r="C55" i="5" s="1"/>
  <c r="Z215" i="2"/>
  <c r="C200" i="5" s="1"/>
  <c r="AA215" i="2"/>
  <c r="E199" i="4" s="1"/>
  <c r="D199" i="4" s="1"/>
  <c r="Z209" i="2"/>
  <c r="C189" i="5" s="1"/>
  <c r="AA209" i="2"/>
  <c r="E188" i="4" s="1"/>
  <c r="D188" i="4" s="1"/>
  <c r="AA4" i="2"/>
  <c r="E4" i="4" s="1"/>
  <c r="D4" i="4" s="1"/>
  <c r="Z4" i="2"/>
  <c r="C5" i="5" s="1"/>
  <c r="Z196" i="2"/>
  <c r="C212" i="5" s="1"/>
  <c r="AA196" i="2"/>
  <c r="E211" i="4" s="1"/>
  <c r="D211" i="4" s="1"/>
  <c r="Z123" i="2"/>
  <c r="C21" i="5" s="1"/>
  <c r="AA123" i="2"/>
  <c r="E20" i="4" s="1"/>
  <c r="D20" i="4" s="1"/>
  <c r="AI142" i="2"/>
  <c r="G185" i="4" s="1"/>
  <c r="Z50" i="2"/>
  <c r="C56" i="5" s="1"/>
  <c r="AA50" i="2"/>
  <c r="E55" i="4" s="1"/>
  <c r="D55" i="4" s="1"/>
  <c r="Z16" i="2"/>
  <c r="C43" i="5" s="1"/>
  <c r="AA16" i="2"/>
  <c r="E42" i="4" s="1"/>
  <c r="D42" i="4" s="1"/>
  <c r="Z210" i="2"/>
  <c r="C218" i="5" s="1"/>
  <c r="AA210" i="2"/>
  <c r="E217" i="4" s="1"/>
  <c r="D217" i="4" s="1"/>
  <c r="AI16" i="2"/>
  <c r="G42" i="4" s="1"/>
  <c r="BY109" i="2"/>
  <c r="BX109" i="2"/>
  <c r="BY138" i="2"/>
  <c r="BX138" i="2"/>
  <c r="BO74" i="2"/>
  <c r="BN74" i="2"/>
  <c r="BY163" i="2"/>
  <c r="BX163" i="2"/>
  <c r="BE87" i="2"/>
  <c r="BD87" i="2"/>
  <c r="AI7" i="2"/>
  <c r="G123" i="4" s="1"/>
  <c r="BY51" i="2"/>
  <c r="BX51" i="2"/>
  <c r="Z124" i="2"/>
  <c r="C172" i="5" s="1"/>
  <c r="AA124" i="2"/>
  <c r="E171" i="4" s="1"/>
  <c r="D171" i="4" s="1"/>
  <c r="BO175" i="2"/>
  <c r="BN175" i="2"/>
  <c r="AI88" i="2"/>
  <c r="G89" i="4" s="1"/>
  <c r="Z136" i="2"/>
  <c r="C191" i="5" s="1"/>
  <c r="AA136" i="2"/>
  <c r="E190" i="4" s="1"/>
  <c r="D190" i="4" s="1"/>
  <c r="Z71" i="2"/>
  <c r="C40" i="5" s="1"/>
  <c r="AA71" i="2"/>
  <c r="E39" i="4" s="1"/>
  <c r="D39" i="4" s="1"/>
  <c r="Z104" i="2"/>
  <c r="C133" i="5" s="1"/>
  <c r="AA104" i="2"/>
  <c r="E132" i="4" s="1"/>
  <c r="D132" i="4" s="1"/>
  <c r="Z54" i="2"/>
  <c r="C58" i="5" s="1"/>
  <c r="AA54" i="2"/>
  <c r="E57" i="4" s="1"/>
  <c r="D57" i="4" s="1"/>
  <c r="BO81" i="2"/>
  <c r="BN81" i="2"/>
  <c r="Z56" i="2"/>
  <c r="C29" i="5" s="1"/>
  <c r="AA56" i="2"/>
  <c r="E28" i="4" s="1"/>
  <c r="D28" i="4" s="1"/>
  <c r="AI154" i="2"/>
  <c r="G205" i="4" s="1"/>
  <c r="Z195" i="2"/>
  <c r="C190" i="5" s="1"/>
  <c r="AA195" i="2"/>
  <c r="E189" i="4" s="1"/>
  <c r="D189" i="4" s="1"/>
  <c r="BY72" i="2"/>
  <c r="BX72" i="2"/>
  <c r="Z227" i="2"/>
  <c r="C228" i="5" s="1"/>
  <c r="AA227" i="2"/>
  <c r="E227" i="4" s="1"/>
  <c r="D227" i="4" s="1"/>
  <c r="AI115" i="2"/>
  <c r="G44" i="4" s="1"/>
  <c r="Z192" i="2"/>
  <c r="C185" i="5" s="1"/>
  <c r="AA192" i="2"/>
  <c r="E184" i="4" s="1"/>
  <c r="D184" i="4" s="1"/>
  <c r="AI131" i="2"/>
  <c r="G209" i="4" s="1"/>
  <c r="BE58" i="2"/>
  <c r="BD58" i="2"/>
  <c r="Z10" i="2"/>
  <c r="C10" i="5" s="1"/>
  <c r="AA10" i="2"/>
  <c r="E9" i="4" s="1"/>
  <c r="D9" i="4" s="1"/>
  <c r="Z208" i="2"/>
  <c r="C203" i="5" s="1"/>
  <c r="AA208" i="2"/>
  <c r="E202" i="4" s="1"/>
  <c r="D202" i="4" s="1"/>
  <c r="BX30" i="2"/>
  <c r="BY30" i="2"/>
  <c r="AI58" i="2"/>
  <c r="G153" i="4" s="1"/>
  <c r="Z108" i="2"/>
  <c r="C97" i="5" s="1"/>
  <c r="AA108" i="2"/>
  <c r="E96" i="4" s="1"/>
  <c r="D96" i="4" s="1"/>
  <c r="I78" i="4" l="1"/>
  <c r="BC87" i="2"/>
  <c r="F79" i="5" s="1"/>
  <c r="K118" i="4"/>
  <c r="BW67" i="2"/>
  <c r="H119" i="5" s="1"/>
  <c r="J38" i="4"/>
  <c r="BM112" i="2"/>
  <c r="G39" i="5" s="1"/>
  <c r="AS136" i="2"/>
  <c r="E191" i="5" s="1"/>
  <c r="H190" i="4"/>
  <c r="J57" i="4"/>
  <c r="BM54" i="2"/>
  <c r="G58" i="5" s="1"/>
  <c r="BC37" i="2"/>
  <c r="F62" i="5" s="1"/>
  <c r="I61" i="4"/>
  <c r="J49" i="4"/>
  <c r="BM34" i="2"/>
  <c r="G50" i="5" s="1"/>
  <c r="K32" i="4"/>
  <c r="BW81" i="2"/>
  <c r="H33" i="5" s="1"/>
  <c r="AS144" i="2"/>
  <c r="E71" i="5" s="1"/>
  <c r="H70" i="4"/>
  <c r="H146" i="4"/>
  <c r="AS199" i="2"/>
  <c r="E147" i="5" s="1"/>
  <c r="I108" i="4"/>
  <c r="BC171" i="2"/>
  <c r="F109" i="5" s="1"/>
  <c r="I80" i="4"/>
  <c r="BC59" i="2"/>
  <c r="F81" i="5" s="1"/>
  <c r="AS30" i="2"/>
  <c r="E6" i="5" s="1"/>
  <c r="H5" i="4"/>
  <c r="H193" i="4"/>
  <c r="AS185" i="2"/>
  <c r="E194" i="5" s="1"/>
  <c r="J76" i="4"/>
  <c r="BM106" i="2"/>
  <c r="G77" i="5" s="1"/>
  <c r="J224" i="4"/>
  <c r="BM198" i="2"/>
  <c r="G225" i="5" s="1"/>
  <c r="BM113" i="2"/>
  <c r="G202" i="5" s="1"/>
  <c r="J201" i="4"/>
  <c r="J51" i="4"/>
  <c r="BM64" i="2"/>
  <c r="G52" i="5" s="1"/>
  <c r="BM50" i="2"/>
  <c r="G56" i="5" s="1"/>
  <c r="J55" i="4"/>
  <c r="J127" i="4"/>
  <c r="BM45" i="2"/>
  <c r="G128" i="5" s="1"/>
  <c r="BW136" i="2"/>
  <c r="H191" i="5" s="1"/>
  <c r="K190" i="4"/>
  <c r="K217" i="4"/>
  <c r="BW210" i="2"/>
  <c r="H218" i="5" s="1"/>
  <c r="J135" i="4"/>
  <c r="BM90" i="2"/>
  <c r="G136" i="5" s="1"/>
  <c r="I67" i="4"/>
  <c r="BC153" i="2"/>
  <c r="F68" i="5" s="1"/>
  <c r="BM86" i="2"/>
  <c r="G88" i="5" s="1"/>
  <c r="J87" i="4"/>
  <c r="K194" i="4"/>
  <c r="BW184" i="2"/>
  <c r="H195" i="5" s="1"/>
  <c r="K56" i="4"/>
  <c r="BW61" i="2"/>
  <c r="H57" i="5" s="1"/>
  <c r="I144" i="4"/>
  <c r="BC47" i="2"/>
  <c r="F145" i="5" s="1"/>
  <c r="I3" i="4"/>
  <c r="BC36" i="2"/>
  <c r="F4" i="5" s="1"/>
  <c r="K192" i="4"/>
  <c r="BW166" i="2"/>
  <c r="H193" i="5" s="1"/>
  <c r="BC130" i="2"/>
  <c r="F144" i="5" s="1"/>
  <c r="I143" i="4"/>
  <c r="BW165" i="2"/>
  <c r="H153" i="5" s="1"/>
  <c r="K152" i="4"/>
  <c r="I53" i="4"/>
  <c r="BC66" i="2"/>
  <c r="F54" i="5" s="1"/>
  <c r="J208" i="4"/>
  <c r="BM92" i="2"/>
  <c r="G209" i="5" s="1"/>
  <c r="K104" i="4"/>
  <c r="BW75" i="2"/>
  <c r="H105" i="5" s="1"/>
  <c r="BW57" i="2"/>
  <c r="H66" i="5" s="1"/>
  <c r="K65" i="4"/>
  <c r="BW16" i="2"/>
  <c r="H43" i="5" s="1"/>
  <c r="K42" i="4"/>
  <c r="BM29" i="2"/>
  <c r="G19" i="5" s="1"/>
  <c r="J18" i="4"/>
  <c r="K116" i="4"/>
  <c r="BW73" i="2"/>
  <c r="H117" i="5" s="1"/>
  <c r="J111" i="4"/>
  <c r="BM229" i="2"/>
  <c r="G112" i="5" s="1"/>
  <c r="I163" i="4"/>
  <c r="BC102" i="2"/>
  <c r="F164" i="5" s="1"/>
  <c r="K12" i="4"/>
  <c r="BW22" i="2"/>
  <c r="H13" i="5" s="1"/>
  <c r="K165" i="4"/>
  <c r="BW162" i="2"/>
  <c r="H166" i="5" s="1"/>
  <c r="H93" i="4"/>
  <c r="AS103" i="2"/>
  <c r="E94" i="5" s="1"/>
  <c r="BW173" i="2"/>
  <c r="H181" i="5" s="1"/>
  <c r="K180" i="4"/>
  <c r="BC24" i="2"/>
  <c r="F24" i="5" s="1"/>
  <c r="I23" i="4"/>
  <c r="H77" i="4"/>
  <c r="AS100" i="2"/>
  <c r="E78" i="5" s="1"/>
  <c r="I160" i="4"/>
  <c r="BC168" i="2"/>
  <c r="F161" i="5" s="1"/>
  <c r="J164" i="4"/>
  <c r="BM181" i="2"/>
  <c r="G165" i="5" s="1"/>
  <c r="I128" i="4"/>
  <c r="BC14" i="2"/>
  <c r="F129" i="5" s="1"/>
  <c r="K203" i="4"/>
  <c r="BW147" i="2"/>
  <c r="H204" i="5" s="1"/>
  <c r="J123" i="4"/>
  <c r="BM7" i="2"/>
  <c r="G124" i="5" s="1"/>
  <c r="I150" i="4"/>
  <c r="BC133" i="2"/>
  <c r="F151" i="5" s="1"/>
  <c r="BM78" i="2"/>
  <c r="G18" i="5" s="1"/>
  <c r="J17" i="4"/>
  <c r="I186" i="4"/>
  <c r="BC180" i="2"/>
  <c r="F187" i="5" s="1"/>
  <c r="J31" i="4"/>
  <c r="BM19" i="2"/>
  <c r="G32" i="5" s="1"/>
  <c r="BC182" i="2"/>
  <c r="F175" i="5" s="1"/>
  <c r="I174" i="4"/>
  <c r="I58" i="4"/>
  <c r="BC60" i="2"/>
  <c r="F59" i="5" s="1"/>
  <c r="I16" i="4"/>
  <c r="BC28" i="2"/>
  <c r="F17" i="5" s="1"/>
  <c r="J131" i="4"/>
  <c r="BM83" i="2"/>
  <c r="G132" i="5" s="1"/>
  <c r="J150" i="4"/>
  <c r="BM133" i="2"/>
  <c r="G151" i="5" s="1"/>
  <c r="I175" i="4"/>
  <c r="BC139" i="2"/>
  <c r="F176" i="5" s="1"/>
  <c r="AS54" i="2"/>
  <c r="E58" i="5" s="1"/>
  <c r="H57" i="4"/>
  <c r="J177" i="4"/>
  <c r="BM186" i="2"/>
  <c r="G178" i="5" s="1"/>
  <c r="I184" i="4"/>
  <c r="BC192" i="2"/>
  <c r="F185" i="5" s="1"/>
  <c r="I34" i="4"/>
  <c r="BC72" i="2"/>
  <c r="F35" i="5" s="1"/>
  <c r="BW224" i="2"/>
  <c r="H222" i="5" s="1"/>
  <c r="K221" i="4"/>
  <c r="BW178" i="2"/>
  <c r="H158" i="5" s="1"/>
  <c r="K157" i="4"/>
  <c r="I159" i="4"/>
  <c r="BC132" i="2"/>
  <c r="F160" i="5" s="1"/>
  <c r="AS172" i="2"/>
  <c r="E82" i="5" s="1"/>
  <c r="H81" i="4"/>
  <c r="K208" i="4"/>
  <c r="BW92" i="2"/>
  <c r="H209" i="5" s="1"/>
  <c r="H14" i="4"/>
  <c r="AS20" i="2"/>
  <c r="E15" i="5" s="1"/>
  <c r="J156" i="4"/>
  <c r="BM177" i="2"/>
  <c r="G157" i="5" s="1"/>
  <c r="I179" i="4"/>
  <c r="BC223" i="2"/>
  <c r="F180" i="5" s="1"/>
  <c r="AS203" i="2"/>
  <c r="E214" i="5" s="1"/>
  <c r="H213" i="4"/>
  <c r="AS77" i="2"/>
  <c r="E31" i="5" s="1"/>
  <c r="H30" i="4"/>
  <c r="BW177" i="2"/>
  <c r="H157" i="5" s="1"/>
  <c r="K156" i="4"/>
  <c r="BW9" i="2"/>
  <c r="H9" i="5" s="1"/>
  <c r="K8" i="4"/>
  <c r="J20" i="4"/>
  <c r="BM123" i="2"/>
  <c r="G21" i="5" s="1"/>
  <c r="I86" i="4"/>
  <c r="BC40" i="2"/>
  <c r="F87" i="5" s="1"/>
  <c r="BW86" i="2"/>
  <c r="H88" i="5" s="1"/>
  <c r="K87" i="4"/>
  <c r="K93" i="4"/>
  <c r="BW103" i="2"/>
  <c r="H94" i="5" s="1"/>
  <c r="H88" i="4"/>
  <c r="AS148" i="2"/>
  <c r="E89" i="5" s="1"/>
  <c r="J93" i="4"/>
  <c r="BM103" i="2"/>
  <c r="G94" i="5" s="1"/>
  <c r="K166" i="4"/>
  <c r="BW197" i="2"/>
  <c r="H167" i="5" s="1"/>
  <c r="BC96" i="2"/>
  <c r="F122" i="5" s="1"/>
  <c r="I121" i="4"/>
  <c r="H66" i="4"/>
  <c r="AS44" i="2"/>
  <c r="E67" i="5" s="1"/>
  <c r="H112" i="4"/>
  <c r="AS135" i="2"/>
  <c r="E113" i="5" s="1"/>
  <c r="H75" i="4"/>
  <c r="AS193" i="2"/>
  <c r="E76" i="5" s="1"/>
  <c r="I59" i="4"/>
  <c r="BC63" i="2"/>
  <c r="F60" i="5" s="1"/>
  <c r="I51" i="4"/>
  <c r="BC64" i="2"/>
  <c r="F52" i="5" s="1"/>
  <c r="H18" i="4"/>
  <c r="AS29" i="2"/>
  <c r="E19" i="5" s="1"/>
  <c r="BM182" i="2"/>
  <c r="G175" i="5" s="1"/>
  <c r="J174" i="4"/>
  <c r="H46" i="4"/>
  <c r="AS26" i="2"/>
  <c r="E47" i="5" s="1"/>
  <c r="BC141" i="2"/>
  <c r="F221" i="5" s="1"/>
  <c r="I220" i="4"/>
  <c r="H43" i="4"/>
  <c r="AS32" i="2"/>
  <c r="E44" i="5" s="1"/>
  <c r="K197" i="4"/>
  <c r="BW220" i="2"/>
  <c r="H198" i="5" s="1"/>
  <c r="J74" i="4"/>
  <c r="BM164" i="2"/>
  <c r="G75" i="5" s="1"/>
  <c r="H195" i="4"/>
  <c r="AS200" i="2"/>
  <c r="E196" i="5" s="1"/>
  <c r="J96" i="4"/>
  <c r="BM108" i="2"/>
  <c r="G97" i="5" s="1"/>
  <c r="H107" i="4"/>
  <c r="AS137" i="2"/>
  <c r="E108" i="5" s="1"/>
  <c r="J133" i="4"/>
  <c r="BM214" i="2"/>
  <c r="G134" i="5" s="1"/>
  <c r="H125" i="4"/>
  <c r="AS219" i="2"/>
  <c r="E126" i="5" s="1"/>
  <c r="BC187" i="2"/>
  <c r="F170" i="5" s="1"/>
  <c r="I169" i="4"/>
  <c r="I142" i="4"/>
  <c r="BC207" i="2"/>
  <c r="F143" i="5" s="1"/>
  <c r="J211" i="4"/>
  <c r="BM196" i="2"/>
  <c r="G212" i="5" s="1"/>
  <c r="H164" i="4"/>
  <c r="AS181" i="2"/>
  <c r="E165" i="5" s="1"/>
  <c r="I97" i="4"/>
  <c r="BC127" i="2"/>
  <c r="F98" i="5" s="1"/>
  <c r="J142" i="4"/>
  <c r="BM207" i="2"/>
  <c r="G143" i="5" s="1"/>
  <c r="K52" i="4"/>
  <c r="BW70" i="2"/>
  <c r="H53" i="5" s="1"/>
  <c r="I27" i="4"/>
  <c r="BC33" i="2"/>
  <c r="F28" i="5" s="1"/>
  <c r="I222" i="4"/>
  <c r="BC228" i="2"/>
  <c r="F223" i="5" s="1"/>
  <c r="BW91" i="2"/>
  <c r="H48" i="5" s="1"/>
  <c r="K47" i="4"/>
  <c r="J85" i="4"/>
  <c r="BM151" i="2"/>
  <c r="G86" i="5" s="1"/>
  <c r="J65" i="4"/>
  <c r="BM57" i="2"/>
  <c r="G66" i="5" s="1"/>
  <c r="I62" i="4"/>
  <c r="BC17" i="2"/>
  <c r="F63" i="5" s="1"/>
  <c r="K219" i="4"/>
  <c r="BW221" i="2"/>
  <c r="H220" i="5" s="1"/>
  <c r="H206" i="4"/>
  <c r="AS218" i="2"/>
  <c r="E207" i="5" s="1"/>
  <c r="AS226" i="2"/>
  <c r="E173" i="5" s="1"/>
  <c r="H172" i="4"/>
  <c r="H65" i="4"/>
  <c r="AS57" i="2"/>
  <c r="E66" i="5" s="1"/>
  <c r="BW3" i="2"/>
  <c r="H26" i="5" s="1"/>
  <c r="K25" i="4"/>
  <c r="H42" i="4"/>
  <c r="AS16" i="2"/>
  <c r="E43" i="5" s="1"/>
  <c r="BC200" i="2"/>
  <c r="F196" i="5" s="1"/>
  <c r="I195" i="4"/>
  <c r="BM213" i="2"/>
  <c r="G219" i="5" s="1"/>
  <c r="J218" i="4"/>
  <c r="J35" i="4"/>
  <c r="BM140" i="2"/>
  <c r="G36" i="5" s="1"/>
  <c r="AS41" i="2"/>
  <c r="E69" i="5" s="1"/>
  <c r="H68" i="4"/>
  <c r="AS216" i="2"/>
  <c r="E169" i="5" s="1"/>
  <c r="H168" i="4"/>
  <c r="H10" i="4"/>
  <c r="AS51" i="2"/>
  <c r="E11" i="5" s="1"/>
  <c r="H61" i="4"/>
  <c r="AS37" i="2"/>
  <c r="E62" i="5" s="1"/>
  <c r="J198" i="4"/>
  <c r="BM183" i="2"/>
  <c r="G199" i="5" s="1"/>
  <c r="BC79" i="2"/>
  <c r="F16" i="5" s="1"/>
  <c r="I15" i="4"/>
  <c r="H84" i="4"/>
  <c r="AS146" i="2"/>
  <c r="E85" i="5" s="1"/>
  <c r="BW116" i="2"/>
  <c r="H192" i="5" s="1"/>
  <c r="K191" i="4"/>
  <c r="J14" i="4"/>
  <c r="BM20" i="2"/>
  <c r="G15" i="5" s="1"/>
  <c r="K200" i="4"/>
  <c r="BW194" i="2"/>
  <c r="H201" i="5" s="1"/>
  <c r="BM147" i="2"/>
  <c r="G204" i="5" s="1"/>
  <c r="J203" i="4"/>
  <c r="K14" i="4"/>
  <c r="BW20" i="2"/>
  <c r="H15" i="5" s="1"/>
  <c r="BC31" i="2"/>
  <c r="F92" i="5" s="1"/>
  <c r="I91" i="4"/>
  <c r="J48" i="4"/>
  <c r="BM35" i="2"/>
  <c r="G49" i="5" s="1"/>
  <c r="AS10" i="2"/>
  <c r="E10" i="5" s="1"/>
  <c r="H9" i="4"/>
  <c r="H31" i="4"/>
  <c r="AS19" i="2"/>
  <c r="E32" i="5" s="1"/>
  <c r="K122" i="4"/>
  <c r="BW134" i="2"/>
  <c r="H123" i="5" s="1"/>
  <c r="I52" i="4"/>
  <c r="BC70" i="2"/>
  <c r="F53" i="5" s="1"/>
  <c r="J84" i="4"/>
  <c r="BM146" i="2"/>
  <c r="G85" i="5" s="1"/>
  <c r="J4" i="4"/>
  <c r="BM4" i="2"/>
  <c r="G5" i="5" s="1"/>
  <c r="H229" i="4"/>
  <c r="AS157" i="2"/>
  <c r="E230" i="5" s="1"/>
  <c r="BM22" i="2"/>
  <c r="G13" i="5" s="1"/>
  <c r="J12" i="4"/>
  <c r="AS62" i="2"/>
  <c r="E130" i="5" s="1"/>
  <c r="H129" i="4"/>
  <c r="BC218" i="2"/>
  <c r="F207" i="5" s="1"/>
  <c r="I206" i="4"/>
  <c r="AS68" i="2"/>
  <c r="E73" i="5" s="1"/>
  <c r="H72" i="4"/>
  <c r="I149" i="4"/>
  <c r="BC23" i="2"/>
  <c r="F150" i="5" s="1"/>
  <c r="I157" i="4"/>
  <c r="BC178" i="2"/>
  <c r="F158" i="5" s="1"/>
  <c r="I167" i="4"/>
  <c r="BC118" i="2"/>
  <c r="F168" i="5" s="1"/>
  <c r="K140" i="4"/>
  <c r="BW163" i="2"/>
  <c r="H141" i="5" s="1"/>
  <c r="K186" i="4"/>
  <c r="BW180" i="2"/>
  <c r="H187" i="5" s="1"/>
  <c r="K55" i="4"/>
  <c r="BW50" i="2"/>
  <c r="H56" i="5" s="1"/>
  <c r="BW114" i="2"/>
  <c r="H99" i="5" s="1"/>
  <c r="K98" i="4"/>
  <c r="BW43" i="2"/>
  <c r="H41" i="5" s="1"/>
  <c r="K40" i="4"/>
  <c r="BC164" i="2"/>
  <c r="F75" i="5" s="1"/>
  <c r="I74" i="4"/>
  <c r="BM185" i="2"/>
  <c r="G194" i="5" s="1"/>
  <c r="J193" i="4"/>
  <c r="I208" i="4"/>
  <c r="BC92" i="2"/>
  <c r="F209" i="5" s="1"/>
  <c r="K119" i="4"/>
  <c r="BW11" i="2"/>
  <c r="H120" i="5" s="1"/>
  <c r="H49" i="4"/>
  <c r="AS34" i="2"/>
  <c r="E50" i="5" s="1"/>
  <c r="J115" i="4"/>
  <c r="BM167" i="2"/>
  <c r="G116" i="5" s="1"/>
  <c r="J226" i="4"/>
  <c r="BM179" i="2"/>
  <c r="G227" i="5" s="1"/>
  <c r="K44" i="4"/>
  <c r="BW115" i="2"/>
  <c r="H45" i="5" s="1"/>
  <c r="I182" i="4"/>
  <c r="BC211" i="2"/>
  <c r="F183" i="5" s="1"/>
  <c r="J130" i="4"/>
  <c r="BM18" i="2"/>
  <c r="G131" i="5" s="1"/>
  <c r="K134" i="4"/>
  <c r="BW13" i="2"/>
  <c r="H135" i="5" s="1"/>
  <c r="I14" i="4"/>
  <c r="BC20" i="2"/>
  <c r="F15" i="5" s="1"/>
  <c r="J86" i="4"/>
  <c r="BM40" i="2"/>
  <c r="G87" i="5" s="1"/>
  <c r="J67" i="4"/>
  <c r="BM153" i="2"/>
  <c r="G68" i="5" s="1"/>
  <c r="BC157" i="2"/>
  <c r="F230" i="5" s="1"/>
  <c r="I229" i="4"/>
  <c r="I66" i="4"/>
  <c r="BC44" i="2"/>
  <c r="F67" i="5" s="1"/>
  <c r="H180" i="4"/>
  <c r="AS173" i="2"/>
  <c r="E181" i="5" s="1"/>
  <c r="K133" i="4"/>
  <c r="BW214" i="2"/>
  <c r="H134" i="5" s="1"/>
  <c r="BW35" i="2"/>
  <c r="H49" i="5" s="1"/>
  <c r="K48" i="4"/>
  <c r="I43" i="4"/>
  <c r="BC32" i="2"/>
  <c r="F44" i="5" s="1"/>
  <c r="BW29" i="2"/>
  <c r="H19" i="5" s="1"/>
  <c r="K18" i="4"/>
  <c r="H16" i="4"/>
  <c r="AS28" i="2"/>
  <c r="E17" i="5" s="1"/>
  <c r="J34" i="4"/>
  <c r="BM72" i="2"/>
  <c r="G35" i="5" s="1"/>
  <c r="I19" i="4"/>
  <c r="BC38" i="2"/>
  <c r="F20" i="5" s="1"/>
  <c r="H153" i="4"/>
  <c r="AS58" i="2"/>
  <c r="E154" i="5" s="1"/>
  <c r="BW58" i="2"/>
  <c r="H154" i="5" s="1"/>
  <c r="K153" i="4"/>
  <c r="I120" i="4"/>
  <c r="BC80" i="2"/>
  <c r="F121" i="5" s="1"/>
  <c r="BC107" i="2"/>
  <c r="F93" i="5" s="1"/>
  <c r="I92" i="4"/>
  <c r="I96" i="4"/>
  <c r="BC108" i="2"/>
  <c r="F97" i="5" s="1"/>
  <c r="H121" i="4"/>
  <c r="AS96" i="2"/>
  <c r="E122" i="5" s="1"/>
  <c r="K49" i="4"/>
  <c r="BW34" i="2"/>
  <c r="H50" i="5" s="1"/>
  <c r="I170" i="4"/>
  <c r="BC222" i="2"/>
  <c r="F171" i="5" s="1"/>
  <c r="K126" i="4"/>
  <c r="BW156" i="2"/>
  <c r="H127" i="5" s="1"/>
  <c r="J5" i="4"/>
  <c r="BM30" i="2"/>
  <c r="G6" i="5" s="1"/>
  <c r="H115" i="4"/>
  <c r="AS167" i="2"/>
  <c r="E116" i="5" s="1"/>
  <c r="I60" i="4"/>
  <c r="BC46" i="2"/>
  <c r="F61" i="5" s="1"/>
  <c r="K145" i="4"/>
  <c r="BW206" i="2"/>
  <c r="H146" i="5" s="1"/>
  <c r="J27" i="4"/>
  <c r="BM33" i="2"/>
  <c r="G28" i="5" s="1"/>
  <c r="BM200" i="2"/>
  <c r="G196" i="5" s="1"/>
  <c r="J195" i="4"/>
  <c r="I36" i="4"/>
  <c r="BC101" i="2"/>
  <c r="F37" i="5" s="1"/>
  <c r="H171" i="4"/>
  <c r="AS124" i="2"/>
  <c r="E172" i="5" s="1"/>
  <c r="K151" i="4"/>
  <c r="BW161" i="2"/>
  <c r="H152" i="5" s="1"/>
  <c r="J45" i="4"/>
  <c r="BM69" i="2"/>
  <c r="G46" i="5" s="1"/>
  <c r="K70" i="4"/>
  <c r="BW144" i="2"/>
  <c r="H71" i="5" s="1"/>
  <c r="J75" i="4"/>
  <c r="BM193" i="2"/>
  <c r="G76" i="5" s="1"/>
  <c r="K7" i="4"/>
  <c r="BW143" i="2"/>
  <c r="H8" i="5" s="1"/>
  <c r="BW49" i="2"/>
  <c r="H7" i="5" s="1"/>
  <c r="K6" i="4"/>
  <c r="I212" i="4"/>
  <c r="BC160" i="2"/>
  <c r="F213" i="5" s="1"/>
  <c r="K77" i="4"/>
  <c r="BW100" i="2"/>
  <c r="H78" i="5" s="1"/>
  <c r="BM94" i="2"/>
  <c r="G115" i="5" s="1"/>
  <c r="J114" i="4"/>
  <c r="K62" i="4"/>
  <c r="BW17" i="2"/>
  <c r="H63" i="5" s="1"/>
  <c r="BW192" i="2"/>
  <c r="H185" i="5" s="1"/>
  <c r="K184" i="4"/>
  <c r="K114" i="4"/>
  <c r="BW94" i="2"/>
  <c r="H115" i="5" s="1"/>
  <c r="J200" i="4"/>
  <c r="BM194" i="2"/>
  <c r="G201" i="5" s="1"/>
  <c r="K88" i="4"/>
  <c r="BW148" i="2"/>
  <c r="H89" i="5" s="1"/>
  <c r="K91" i="4"/>
  <c r="BW31" i="2"/>
  <c r="H92" i="5" s="1"/>
  <c r="H207" i="4"/>
  <c r="AS152" i="2"/>
  <c r="E208" i="5" s="1"/>
  <c r="H52" i="4"/>
  <c r="AS70" i="2"/>
  <c r="E53" i="5" s="1"/>
  <c r="I221" i="4"/>
  <c r="BC224" i="2"/>
  <c r="F222" i="5" s="1"/>
  <c r="I225" i="4"/>
  <c r="BC201" i="2"/>
  <c r="F226" i="5" s="1"/>
  <c r="H191" i="4"/>
  <c r="AS116" i="2"/>
  <c r="E192" i="5" s="1"/>
  <c r="H203" i="4"/>
  <c r="AS147" i="2"/>
  <c r="E204" i="5" s="1"/>
  <c r="K210" i="4"/>
  <c r="BW189" i="2"/>
  <c r="H211" i="5" s="1"/>
  <c r="I90" i="4"/>
  <c r="BC175" i="2"/>
  <c r="F91" i="5" s="1"/>
  <c r="H50" i="4"/>
  <c r="AS84" i="2"/>
  <c r="E51" i="5" s="1"/>
  <c r="K150" i="4"/>
  <c r="BW133" i="2"/>
  <c r="H151" i="5" s="1"/>
  <c r="J13" i="4"/>
  <c r="BM15" i="2"/>
  <c r="G14" i="5" s="1"/>
  <c r="H160" i="4"/>
  <c r="AS168" i="2"/>
  <c r="E161" i="5" s="1"/>
  <c r="I203" i="4"/>
  <c r="BC147" i="2"/>
  <c r="F204" i="5" s="1"/>
  <c r="J221" i="4"/>
  <c r="BM224" i="2"/>
  <c r="G222" i="5" s="1"/>
  <c r="J157" i="4"/>
  <c r="BM178" i="2"/>
  <c r="G158" i="5" s="1"/>
  <c r="H217" i="4"/>
  <c r="AS210" i="2"/>
  <c r="E218" i="5" s="1"/>
  <c r="AS106" i="2"/>
  <c r="E77" i="5" s="1"/>
  <c r="H76" i="4"/>
  <c r="J42" i="4"/>
  <c r="BM16" i="2"/>
  <c r="G43" i="5" s="1"/>
  <c r="K164" i="4"/>
  <c r="BW181" i="2"/>
  <c r="H165" i="5" s="1"/>
  <c r="H132" i="4"/>
  <c r="AS104" i="2"/>
  <c r="E133" i="5" s="1"/>
  <c r="H145" i="4"/>
  <c r="AS206" i="2"/>
  <c r="E146" i="5" s="1"/>
  <c r="K63" i="4"/>
  <c r="BW55" i="2"/>
  <c r="H64" i="5" s="1"/>
  <c r="J116" i="4"/>
  <c r="BM73" i="2"/>
  <c r="G117" i="5" s="1"/>
  <c r="H40" i="4"/>
  <c r="AS43" i="2"/>
  <c r="E41" i="5" s="1"/>
  <c r="H158" i="4"/>
  <c r="AS5" i="2"/>
  <c r="E159" i="5" s="1"/>
  <c r="H117" i="4"/>
  <c r="AS12" i="2"/>
  <c r="E118" i="5" s="1"/>
  <c r="H182" i="4"/>
  <c r="AS211" i="2"/>
  <c r="E183" i="5" s="1"/>
  <c r="H116" i="4"/>
  <c r="AS73" i="2"/>
  <c r="E117" i="5" s="1"/>
  <c r="I126" i="4"/>
  <c r="BC156" i="2"/>
  <c r="F127" i="5" s="1"/>
  <c r="BC110" i="2"/>
  <c r="F149" i="5" s="1"/>
  <c r="I148" i="4"/>
  <c r="I204" i="4"/>
  <c r="BC150" i="2"/>
  <c r="F205" i="5" s="1"/>
  <c r="I158" i="4"/>
  <c r="BC5" i="2"/>
  <c r="F159" i="5" s="1"/>
  <c r="I224" i="4"/>
  <c r="BC198" i="2"/>
  <c r="F225" i="5" s="1"/>
  <c r="J171" i="4"/>
  <c r="BM124" i="2"/>
  <c r="G172" i="5" s="1"/>
  <c r="K61" i="4"/>
  <c r="BW37" i="2"/>
  <c r="H62" i="5" s="1"/>
  <c r="K123" i="4"/>
  <c r="BW7" i="2"/>
  <c r="H124" i="5" s="1"/>
  <c r="I218" i="4"/>
  <c r="BC213" i="2"/>
  <c r="F219" i="5" s="1"/>
  <c r="K144" i="4"/>
  <c r="BW47" i="2"/>
  <c r="H145" i="5" s="1"/>
  <c r="I211" i="4"/>
  <c r="BC196" i="2"/>
  <c r="F212" i="5" s="1"/>
  <c r="K26" i="4"/>
  <c r="BW25" i="2"/>
  <c r="H27" i="5" s="1"/>
  <c r="I145" i="4"/>
  <c r="BC206" i="2"/>
  <c r="F146" i="5" s="1"/>
  <c r="I31" i="4"/>
  <c r="BC19" i="2"/>
  <c r="F32" i="5" s="1"/>
  <c r="J82" i="4"/>
  <c r="BM170" i="2"/>
  <c r="G83" i="5" s="1"/>
  <c r="I155" i="4"/>
  <c r="BC52" i="2"/>
  <c r="F156" i="5" s="1"/>
  <c r="K5" i="4"/>
  <c r="BW30" i="2"/>
  <c r="H6" i="5" s="1"/>
  <c r="K131" i="4"/>
  <c r="BW83" i="2"/>
  <c r="H132" i="5" s="1"/>
  <c r="K223" i="4"/>
  <c r="BW191" i="2"/>
  <c r="H224" i="5" s="1"/>
  <c r="K105" i="4"/>
  <c r="BW149" i="2"/>
  <c r="H106" i="5" s="1"/>
  <c r="J175" i="4"/>
  <c r="BM139" i="2"/>
  <c r="G176" i="5" s="1"/>
  <c r="H170" i="4"/>
  <c r="AS222" i="2"/>
  <c r="E171" i="5" s="1"/>
  <c r="K227" i="4"/>
  <c r="BW227" i="2"/>
  <c r="H228" i="5" s="1"/>
  <c r="I93" i="4"/>
  <c r="BC103" i="2"/>
  <c r="F94" i="5" s="1"/>
  <c r="K160" i="4"/>
  <c r="BW168" i="2"/>
  <c r="H161" i="5" s="1"/>
  <c r="K82" i="4"/>
  <c r="BW170" i="2"/>
  <c r="H83" i="5" s="1"/>
  <c r="BM138" i="2"/>
  <c r="G111" i="5" s="1"/>
  <c r="J110" i="4"/>
  <c r="I72" i="4"/>
  <c r="BC68" i="2"/>
  <c r="F73" i="5" s="1"/>
  <c r="BW176" i="2"/>
  <c r="H84" i="5" s="1"/>
  <c r="K83" i="4"/>
  <c r="BW5" i="2"/>
  <c r="H159" i="5" s="1"/>
  <c r="K158" i="4"/>
  <c r="K154" i="4"/>
  <c r="BW98" i="2"/>
  <c r="H155" i="5" s="1"/>
  <c r="J192" i="4"/>
  <c r="BM166" i="2"/>
  <c r="G193" i="5" s="1"/>
  <c r="J165" i="4"/>
  <c r="BM162" i="2"/>
  <c r="G166" i="5" s="1"/>
  <c r="K41" i="4"/>
  <c r="BW89" i="2"/>
  <c r="H42" i="5" s="1"/>
  <c r="J15" i="4"/>
  <c r="BM79" i="2"/>
  <c r="G16" i="5" s="1"/>
  <c r="K149" i="4"/>
  <c r="BW23" i="2"/>
  <c r="H150" i="5" s="1"/>
  <c r="I137" i="4"/>
  <c r="BC188" i="2"/>
  <c r="F138" i="5" s="1"/>
  <c r="I63" i="4"/>
  <c r="BC55" i="2"/>
  <c r="F64" i="5" s="1"/>
  <c r="I4" i="4"/>
  <c r="BC4" i="2"/>
  <c r="F5" i="5" s="1"/>
  <c r="J39" i="4"/>
  <c r="BM71" i="2"/>
  <c r="G40" i="5" s="1"/>
  <c r="BM129" i="2"/>
  <c r="G216" i="5" s="1"/>
  <c r="J215" i="4"/>
  <c r="K15" i="4"/>
  <c r="BW79" i="2"/>
  <c r="H16" i="5" s="1"/>
  <c r="H167" i="4"/>
  <c r="AS118" i="2"/>
  <c r="E168" i="5" s="1"/>
  <c r="J7" i="4"/>
  <c r="BM143" i="2"/>
  <c r="G8" i="5" s="1"/>
  <c r="I116" i="4"/>
  <c r="BC73" i="2"/>
  <c r="F117" i="5" s="1"/>
  <c r="K108" i="4"/>
  <c r="BW171" i="2"/>
  <c r="H109" i="5" s="1"/>
  <c r="J128" i="4"/>
  <c r="BM14" i="2"/>
  <c r="G129" i="5" s="1"/>
  <c r="I64" i="4"/>
  <c r="BC155" i="2"/>
  <c r="F65" i="5" s="1"/>
  <c r="H6" i="4"/>
  <c r="AS49" i="2"/>
  <c r="E7" i="5" s="1"/>
  <c r="J134" i="4"/>
  <c r="BM13" i="2"/>
  <c r="G135" i="5" s="1"/>
  <c r="J71" i="4"/>
  <c r="BM6" i="2"/>
  <c r="G72" i="5" s="1"/>
  <c r="I98" i="4"/>
  <c r="BC114" i="2"/>
  <c r="F99" i="5" s="1"/>
  <c r="H104" i="4"/>
  <c r="AS75" i="2"/>
  <c r="E105" i="5" s="1"/>
  <c r="AS45" i="2"/>
  <c r="E128" i="5" s="1"/>
  <c r="H127" i="4"/>
  <c r="K185" i="4"/>
  <c r="BW142" i="2"/>
  <c r="H186" i="5" s="1"/>
  <c r="BM226" i="2"/>
  <c r="G173" i="5" s="1"/>
  <c r="J172" i="4"/>
  <c r="BW179" i="2"/>
  <c r="H227" i="5" s="1"/>
  <c r="K226" i="4"/>
  <c r="K207" i="4"/>
  <c r="BW152" i="2"/>
  <c r="H208" i="5" s="1"/>
  <c r="BW63" i="2"/>
  <c r="H60" i="5" s="1"/>
  <c r="K59" i="4"/>
  <c r="H156" i="4"/>
  <c r="AS177" i="2"/>
  <c r="E157" i="5" s="1"/>
  <c r="K4" i="4"/>
  <c r="BW4" i="2"/>
  <c r="H5" i="5" s="1"/>
  <c r="J19" i="4"/>
  <c r="BM38" i="2"/>
  <c r="G20" i="5" s="1"/>
  <c r="BM36" i="2"/>
  <c r="G4" i="5" s="1"/>
  <c r="J3" i="4"/>
  <c r="J212" i="4"/>
  <c r="BM160" i="2"/>
  <c r="G213" i="5" s="1"/>
  <c r="H228" i="4"/>
  <c r="AS205" i="2"/>
  <c r="E229" i="5" s="1"/>
  <c r="J91" i="4"/>
  <c r="BM31" i="2"/>
  <c r="G92" i="5" s="1"/>
  <c r="J104" i="4"/>
  <c r="BM75" i="2"/>
  <c r="G105" i="5" s="1"/>
  <c r="H27" i="4"/>
  <c r="AS33" i="2"/>
  <c r="E28" i="5" s="1"/>
  <c r="I202" i="4"/>
  <c r="BC208" i="2"/>
  <c r="F203" i="5" s="1"/>
  <c r="AS130" i="2"/>
  <c r="E144" i="5" s="1"/>
  <c r="H143" i="4"/>
  <c r="H135" i="4"/>
  <c r="AS90" i="2"/>
  <c r="E136" i="5" s="1"/>
  <c r="BC100" i="2"/>
  <c r="F78" i="5" s="1"/>
  <c r="I77" i="4"/>
  <c r="J78" i="4"/>
  <c r="BM87" i="2"/>
  <c r="G79" i="5" s="1"/>
  <c r="BM197" i="2"/>
  <c r="G167" i="5" s="1"/>
  <c r="J166" i="4"/>
  <c r="I132" i="4"/>
  <c r="BC104" i="2"/>
  <c r="F133" i="5" s="1"/>
  <c r="I127" i="4"/>
  <c r="BC45" i="2"/>
  <c r="F128" i="5" s="1"/>
  <c r="H28" i="4"/>
  <c r="AS56" i="2"/>
  <c r="E29" i="5" s="1"/>
  <c r="I187" i="4"/>
  <c r="BC85" i="2"/>
  <c r="F188" i="5" s="1"/>
  <c r="I173" i="4"/>
  <c r="BC74" i="2"/>
  <c r="F174" i="5" s="1"/>
  <c r="I42" i="4"/>
  <c r="BC16" i="2"/>
  <c r="F43" i="5" s="1"/>
  <c r="K213" i="4"/>
  <c r="BW203" i="2"/>
  <c r="H214" i="5" s="1"/>
  <c r="J22" i="4"/>
  <c r="BM109" i="2"/>
  <c r="G23" i="5" s="1"/>
  <c r="J214" i="4"/>
  <c r="BM121" i="2"/>
  <c r="G215" i="5" s="1"/>
  <c r="J159" i="4"/>
  <c r="BM132" i="2"/>
  <c r="G160" i="5" s="1"/>
  <c r="K121" i="4"/>
  <c r="BW96" i="2"/>
  <c r="H122" i="5" s="1"/>
  <c r="BM43" i="2"/>
  <c r="G41" i="5" s="1"/>
  <c r="J40" i="4"/>
  <c r="I131" i="4"/>
  <c r="BC83" i="2"/>
  <c r="F132" i="5" s="1"/>
  <c r="J52" i="4"/>
  <c r="BM70" i="2"/>
  <c r="G53" i="5" s="1"/>
  <c r="I81" i="4"/>
  <c r="BC172" i="2"/>
  <c r="F82" i="5" s="1"/>
  <c r="I115" i="4"/>
  <c r="BC167" i="2"/>
  <c r="F116" i="5" s="1"/>
  <c r="H178" i="4"/>
  <c r="AS158" i="2"/>
  <c r="E179" i="5" s="1"/>
  <c r="H108" i="4"/>
  <c r="AS171" i="2"/>
  <c r="E109" i="5" s="1"/>
  <c r="K109" i="4"/>
  <c r="BW126" i="2"/>
  <c r="H110" i="5" s="1"/>
  <c r="J122" i="4"/>
  <c r="BM134" i="2"/>
  <c r="G123" i="5" s="1"/>
  <c r="BW52" i="2"/>
  <c r="H156" i="5" s="1"/>
  <c r="K155" i="4"/>
  <c r="K163" i="4"/>
  <c r="BW102" i="2"/>
  <c r="H164" i="5" s="1"/>
  <c r="K9" i="4"/>
  <c r="BW10" i="2"/>
  <c r="H10" i="5" s="1"/>
  <c r="H102" i="4"/>
  <c r="AS159" i="2"/>
  <c r="E103" i="5" s="1"/>
  <c r="H152" i="4"/>
  <c r="AS165" i="2"/>
  <c r="E153" i="5" s="1"/>
  <c r="H184" i="4"/>
  <c r="AS192" i="2"/>
  <c r="E185" i="5" s="1"/>
  <c r="J155" i="4"/>
  <c r="BM52" i="2"/>
  <c r="G156" i="5" s="1"/>
  <c r="H15" i="4"/>
  <c r="AS79" i="2"/>
  <c r="E16" i="5" s="1"/>
  <c r="J188" i="4"/>
  <c r="BM209" i="2"/>
  <c r="G189" i="5" s="1"/>
  <c r="I48" i="4"/>
  <c r="BC35" i="2"/>
  <c r="F49" i="5" s="1"/>
  <c r="I106" i="4"/>
  <c r="BC99" i="2"/>
  <c r="F107" i="5" s="1"/>
  <c r="J16" i="4"/>
  <c r="BM28" i="2"/>
  <c r="G17" i="5" s="1"/>
  <c r="AS46" i="2"/>
  <c r="E61" i="5" s="1"/>
  <c r="H60" i="4"/>
  <c r="H71" i="4"/>
  <c r="AS6" i="2"/>
  <c r="E72" i="5" s="1"/>
  <c r="J73" i="4"/>
  <c r="BM122" i="2"/>
  <c r="G74" i="5" s="1"/>
  <c r="BM222" i="2"/>
  <c r="G171" i="5" s="1"/>
  <c r="J170" i="4"/>
  <c r="H109" i="4"/>
  <c r="AS126" i="2"/>
  <c r="E110" i="5" s="1"/>
  <c r="I55" i="4"/>
  <c r="BC50" i="2"/>
  <c r="F56" i="5" s="1"/>
  <c r="H94" i="4"/>
  <c r="AS212" i="2"/>
  <c r="E95" i="5" s="1"/>
  <c r="J112" i="4"/>
  <c r="BM135" i="2"/>
  <c r="G113" i="5" s="1"/>
  <c r="I168" i="4"/>
  <c r="BC216" i="2"/>
  <c r="F169" i="5" s="1"/>
  <c r="I25" i="4"/>
  <c r="BC3" i="2"/>
  <c r="F26" i="5" s="1"/>
  <c r="H219" i="4"/>
  <c r="AS221" i="2"/>
  <c r="E220" i="5" s="1"/>
  <c r="H209" i="4"/>
  <c r="AS131" i="2"/>
  <c r="E210" i="5" s="1"/>
  <c r="I226" i="4"/>
  <c r="BC179" i="2"/>
  <c r="F227" i="5" s="1"/>
  <c r="J61" i="4"/>
  <c r="BM37" i="2"/>
  <c r="G62" i="5" s="1"/>
  <c r="BC51" i="2"/>
  <c r="F11" i="5" s="1"/>
  <c r="I10" i="4"/>
  <c r="H79" i="4"/>
  <c r="AS93" i="2"/>
  <c r="E80" i="5" s="1"/>
  <c r="BW158" i="2"/>
  <c r="H179" i="5" s="1"/>
  <c r="K178" i="4"/>
  <c r="H124" i="4"/>
  <c r="AS8" i="2"/>
  <c r="E125" i="5" s="1"/>
  <c r="BW202" i="2"/>
  <c r="H104" i="5" s="1"/>
  <c r="K103" i="4"/>
  <c r="BM96" i="2"/>
  <c r="G122" i="5" s="1"/>
  <c r="J121" i="4"/>
  <c r="J81" i="4"/>
  <c r="BM172" i="2"/>
  <c r="G82" i="5" s="1"/>
  <c r="H220" i="4"/>
  <c r="AS141" i="2"/>
  <c r="E221" i="5" s="1"/>
  <c r="AS109" i="2"/>
  <c r="E23" i="5" s="1"/>
  <c r="H22" i="4"/>
  <c r="H82" i="4"/>
  <c r="AS170" i="2"/>
  <c r="E83" i="5" s="1"/>
  <c r="AS112" i="2"/>
  <c r="E39" i="5" s="1"/>
  <c r="H38" i="4"/>
  <c r="H126" i="4"/>
  <c r="AS156" i="2"/>
  <c r="E127" i="5" s="1"/>
  <c r="BW154" i="2"/>
  <c r="H206" i="5" s="1"/>
  <c r="K205" i="4"/>
  <c r="H85" i="4"/>
  <c r="AS151" i="2"/>
  <c r="E86" i="5" s="1"/>
  <c r="H175" i="4"/>
  <c r="AS139" i="2"/>
  <c r="E176" i="5" s="1"/>
  <c r="I104" i="4"/>
  <c r="BC75" i="2"/>
  <c r="F105" i="5" s="1"/>
  <c r="H202" i="4"/>
  <c r="AS208" i="2"/>
  <c r="E203" i="5" s="1"/>
  <c r="H148" i="4"/>
  <c r="AS110" i="2"/>
  <c r="E149" i="5" s="1"/>
  <c r="K75" i="4"/>
  <c r="BW193" i="2"/>
  <c r="H76" i="5" s="1"/>
  <c r="H63" i="4"/>
  <c r="AS55" i="2"/>
  <c r="E64" i="5" s="1"/>
  <c r="H200" i="4"/>
  <c r="AS194" i="2"/>
  <c r="E201" i="5" s="1"/>
  <c r="J120" i="4"/>
  <c r="BM80" i="2"/>
  <c r="G121" i="5" s="1"/>
  <c r="I8" i="4"/>
  <c r="BC9" i="2"/>
  <c r="F9" i="5" s="1"/>
  <c r="BM55" i="2"/>
  <c r="G64" i="5" s="1"/>
  <c r="J63" i="4"/>
  <c r="H106" i="4"/>
  <c r="AS99" i="2"/>
  <c r="E107" i="5" s="1"/>
  <c r="BC93" i="2"/>
  <c r="F80" i="5" s="1"/>
  <c r="I79" i="4"/>
  <c r="I11" i="4"/>
  <c r="BC21" i="2"/>
  <c r="F12" i="5" s="1"/>
  <c r="J217" i="4"/>
  <c r="BM210" i="2"/>
  <c r="G218" i="5" s="1"/>
  <c r="H87" i="4"/>
  <c r="AS86" i="2"/>
  <c r="E88" i="5" s="1"/>
  <c r="BM126" i="2"/>
  <c r="G110" i="5" s="1"/>
  <c r="J109" i="4"/>
  <c r="I133" i="4"/>
  <c r="BC214" i="2"/>
  <c r="F134" i="5" s="1"/>
  <c r="BW146" i="2"/>
  <c r="H85" i="5" s="1"/>
  <c r="K84" i="4"/>
  <c r="I20" i="4"/>
  <c r="BC123" i="2"/>
  <c r="F21" i="5" s="1"/>
  <c r="BC76" i="2"/>
  <c r="F101" i="5" s="1"/>
  <c r="I100" i="4"/>
  <c r="J176" i="4"/>
  <c r="BM225" i="2"/>
  <c r="G177" i="5" s="1"/>
  <c r="J60" i="4"/>
  <c r="BM46" i="2"/>
  <c r="G61" i="5" s="1"/>
  <c r="H223" i="4"/>
  <c r="AS191" i="2"/>
  <c r="E224" i="5" s="1"/>
  <c r="I215" i="4"/>
  <c r="BC129" i="2"/>
  <c r="F216" i="5" s="1"/>
  <c r="J90" i="4"/>
  <c r="BM175" i="2"/>
  <c r="G91" i="5" s="1"/>
  <c r="K23" i="4"/>
  <c r="BW24" i="2"/>
  <c r="H24" i="5" s="1"/>
  <c r="BW218" i="2"/>
  <c r="H207" i="5" s="1"/>
  <c r="K206" i="4"/>
  <c r="J152" i="4"/>
  <c r="BM165" i="2"/>
  <c r="G153" i="5" s="1"/>
  <c r="K96" i="4"/>
  <c r="BW108" i="2"/>
  <c r="H97" i="5" s="1"/>
  <c r="K173" i="4"/>
  <c r="BW74" i="2"/>
  <c r="H174" i="5" s="1"/>
  <c r="K161" i="4"/>
  <c r="BW119" i="2"/>
  <c r="H162" i="5" s="1"/>
  <c r="K201" i="4"/>
  <c r="BW113" i="2"/>
  <c r="H202" i="5" s="1"/>
  <c r="K148" i="4"/>
  <c r="BW110" i="2"/>
  <c r="H149" i="5" s="1"/>
  <c r="K138" i="4"/>
  <c r="BW120" i="2"/>
  <c r="H139" i="5" s="1"/>
  <c r="K78" i="4"/>
  <c r="BW87" i="2"/>
  <c r="H79" i="5" s="1"/>
  <c r="K129" i="4"/>
  <c r="BW62" i="2"/>
  <c r="H130" i="5" s="1"/>
  <c r="I190" i="4"/>
  <c r="BC136" i="2"/>
  <c r="F191" i="5" s="1"/>
  <c r="H54" i="4"/>
  <c r="AS48" i="2"/>
  <c r="E55" i="5" s="1"/>
  <c r="K11" i="4"/>
  <c r="BW21" i="2"/>
  <c r="H12" i="5" s="1"/>
  <c r="J194" i="4"/>
  <c r="BM184" i="2"/>
  <c r="G195" i="5" s="1"/>
  <c r="BW185" i="2"/>
  <c r="H194" i="5" s="1"/>
  <c r="K193" i="4"/>
  <c r="K172" i="4"/>
  <c r="BW226" i="2"/>
  <c r="H173" i="5" s="1"/>
  <c r="J53" i="4"/>
  <c r="BM66" i="2"/>
  <c r="G54" i="5" s="1"/>
  <c r="K39" i="4"/>
  <c r="BW71" i="2"/>
  <c r="H40" i="5" s="1"/>
  <c r="BC219" i="2"/>
  <c r="F126" i="5" s="1"/>
  <c r="I125" i="4"/>
  <c r="K89" i="4"/>
  <c r="BW88" i="2"/>
  <c r="H90" i="5" s="1"/>
  <c r="H111" i="4"/>
  <c r="AS229" i="2"/>
  <c r="E112" i="5" s="1"/>
  <c r="BC98" i="2"/>
  <c r="F155" i="5" s="1"/>
  <c r="I154" i="4"/>
  <c r="BM27" i="2"/>
  <c r="G96" i="5" s="1"/>
  <c r="J95" i="4"/>
  <c r="I124" i="4"/>
  <c r="BC8" i="2"/>
  <c r="F125" i="5" s="1"/>
  <c r="J101" i="4"/>
  <c r="BM174" i="2"/>
  <c r="G102" i="5" s="1"/>
  <c r="H29" i="4"/>
  <c r="AS65" i="2"/>
  <c r="E30" i="5" s="1"/>
  <c r="I17" i="4"/>
  <c r="BC78" i="2"/>
  <c r="F18" i="5" s="1"/>
  <c r="I111" i="4"/>
  <c r="BC229" i="2"/>
  <c r="F112" i="5" s="1"/>
  <c r="J36" i="4"/>
  <c r="BM101" i="2"/>
  <c r="G37" i="5" s="1"/>
  <c r="K167" i="4"/>
  <c r="BW118" i="2"/>
  <c r="H168" i="5" s="1"/>
  <c r="BW204" i="2"/>
  <c r="H163" i="5" s="1"/>
  <c r="K162" i="4"/>
  <c r="I41" i="4"/>
  <c r="BC89" i="2"/>
  <c r="F42" i="5" s="1"/>
  <c r="K187" i="4"/>
  <c r="BW85" i="2"/>
  <c r="H188" i="5" s="1"/>
  <c r="I177" i="4"/>
  <c r="BC186" i="2"/>
  <c r="F178" i="5" s="1"/>
  <c r="J10" i="4"/>
  <c r="BM51" i="2"/>
  <c r="G11" i="5" s="1"/>
  <c r="H196" i="4"/>
  <c r="AS111" i="2"/>
  <c r="E197" i="5" s="1"/>
  <c r="K106" i="4"/>
  <c r="BW99" i="2"/>
  <c r="H107" i="5" s="1"/>
  <c r="I135" i="4"/>
  <c r="BC90" i="2"/>
  <c r="F136" i="5" s="1"/>
  <c r="H25" i="4"/>
  <c r="AS3" i="2"/>
  <c r="E26" i="5" s="1"/>
  <c r="BM41" i="2"/>
  <c r="G69" i="5" s="1"/>
  <c r="J68" i="4"/>
  <c r="I70" i="4"/>
  <c r="BC144" i="2"/>
  <c r="F71" i="5" s="1"/>
  <c r="BW159" i="2"/>
  <c r="H103" i="5" s="1"/>
  <c r="K102" i="4"/>
  <c r="H198" i="4"/>
  <c r="AS183" i="2"/>
  <c r="E199" i="5" s="1"/>
  <c r="K168" i="4"/>
  <c r="BW216" i="2"/>
  <c r="H169" i="5" s="1"/>
  <c r="I87" i="4"/>
  <c r="BC86" i="2"/>
  <c r="F88" i="5" s="1"/>
  <c r="I46" i="4"/>
  <c r="BC26" i="2"/>
  <c r="F47" i="5" s="1"/>
  <c r="I24" i="4"/>
  <c r="BC39" i="2"/>
  <c r="F25" i="5" s="1"/>
  <c r="AS155" i="2"/>
  <c r="E65" i="5" s="1"/>
  <c r="H64" i="4"/>
  <c r="I213" i="4"/>
  <c r="BC203" i="2"/>
  <c r="F214" i="5" s="1"/>
  <c r="I228" i="4"/>
  <c r="BC205" i="2"/>
  <c r="F229" i="5" s="1"/>
  <c r="J118" i="4"/>
  <c r="BM67" i="2"/>
  <c r="G119" i="5" s="1"/>
  <c r="BC88" i="2"/>
  <c r="F90" i="5" s="1"/>
  <c r="I89" i="4"/>
  <c r="J33" i="4"/>
  <c r="BM97" i="2"/>
  <c r="G34" i="5" s="1"/>
  <c r="I57" i="4"/>
  <c r="BC54" i="2"/>
  <c r="F58" i="5" s="1"/>
  <c r="J190" i="4"/>
  <c r="BM136" i="2"/>
  <c r="G191" i="5" s="1"/>
  <c r="H150" i="4"/>
  <c r="AS133" i="2"/>
  <c r="E151" i="5" s="1"/>
  <c r="H138" i="4"/>
  <c r="AS120" i="2"/>
  <c r="E139" i="5" s="1"/>
  <c r="H192" i="4"/>
  <c r="AS166" i="2"/>
  <c r="E193" i="5" s="1"/>
  <c r="BM56" i="2"/>
  <c r="G29" i="5" s="1"/>
  <c r="J28" i="4"/>
  <c r="H224" i="4"/>
  <c r="AS198" i="2"/>
  <c r="E225" i="5" s="1"/>
  <c r="BM159" i="2"/>
  <c r="G103" i="5" s="1"/>
  <c r="J102" i="4"/>
  <c r="K43" i="4"/>
  <c r="BW32" i="2"/>
  <c r="H44" i="5" s="1"/>
  <c r="J207" i="4"/>
  <c r="BM152" i="2"/>
  <c r="G208" i="5" s="1"/>
  <c r="I102" i="4"/>
  <c r="BC159" i="2"/>
  <c r="F103" i="5" s="1"/>
  <c r="H187" i="4"/>
  <c r="AS85" i="2"/>
  <c r="E188" i="5" s="1"/>
  <c r="BC125" i="2"/>
  <c r="F137" i="5" s="1"/>
  <c r="I136" i="4"/>
  <c r="H161" i="4"/>
  <c r="AS119" i="2"/>
  <c r="E162" i="5" s="1"/>
  <c r="K28" i="4"/>
  <c r="BW56" i="2"/>
  <c r="H29" i="5" s="1"/>
  <c r="H90" i="4"/>
  <c r="AS175" i="2"/>
  <c r="E91" i="5" s="1"/>
  <c r="H47" i="4"/>
  <c r="AS91" i="2"/>
  <c r="E48" i="5" s="1"/>
  <c r="AS129" i="2"/>
  <c r="E216" i="5" s="1"/>
  <c r="H215" i="4"/>
  <c r="I156" i="4"/>
  <c r="BC177" i="2"/>
  <c r="F157" i="5" s="1"/>
  <c r="K24" i="4"/>
  <c r="BW39" i="2"/>
  <c r="H25" i="5" s="1"/>
  <c r="I219" i="4"/>
  <c r="BC221" i="2"/>
  <c r="F220" i="5" s="1"/>
  <c r="J66" i="4"/>
  <c r="BM44" i="2"/>
  <c r="G67" i="5" s="1"/>
  <c r="J181" i="4"/>
  <c r="BM169" i="2"/>
  <c r="G182" i="5" s="1"/>
  <c r="K107" i="4"/>
  <c r="BW137" i="2"/>
  <c r="H108" i="5" s="1"/>
  <c r="J182" i="4"/>
  <c r="BM211" i="2"/>
  <c r="G183" i="5" s="1"/>
  <c r="AS83" i="2"/>
  <c r="E132" i="5" s="1"/>
  <c r="H131" i="4"/>
  <c r="H51" i="4"/>
  <c r="AS64" i="2"/>
  <c r="E52" i="5" s="1"/>
  <c r="I29" i="4"/>
  <c r="BC65" i="2"/>
  <c r="F30" i="5" s="1"/>
  <c r="H44" i="4"/>
  <c r="AS115" i="2"/>
  <c r="E45" i="5" s="1"/>
  <c r="I185" i="4"/>
  <c r="BC142" i="2"/>
  <c r="F186" i="5" s="1"/>
  <c r="J146" i="4"/>
  <c r="BM199" i="2"/>
  <c r="G147" i="5" s="1"/>
  <c r="I129" i="4"/>
  <c r="BC62" i="2"/>
  <c r="F130" i="5" s="1"/>
  <c r="I117" i="4"/>
  <c r="BC12" i="2"/>
  <c r="F118" i="5" s="1"/>
  <c r="H7" i="4"/>
  <c r="AS143" i="2"/>
  <c r="E8" i="5" s="1"/>
  <c r="J143" i="4"/>
  <c r="BM130" i="2"/>
  <c r="G144" i="5" s="1"/>
  <c r="J25" i="4"/>
  <c r="BM3" i="2"/>
  <c r="G26" i="5" s="1"/>
  <c r="K212" i="4"/>
  <c r="BW160" i="2"/>
  <c r="H213" i="5" s="1"/>
  <c r="J126" i="4"/>
  <c r="BM156" i="2"/>
  <c r="G127" i="5" s="1"/>
  <c r="J205" i="4"/>
  <c r="BM154" i="2"/>
  <c r="G206" i="5" s="1"/>
  <c r="I71" i="4"/>
  <c r="BC6" i="2"/>
  <c r="F72" i="5" s="1"/>
  <c r="K21" i="4"/>
  <c r="BW53" i="2"/>
  <c r="H22" i="5" s="1"/>
  <c r="J62" i="4"/>
  <c r="BM17" i="2"/>
  <c r="G63" i="5" s="1"/>
  <c r="I32" i="4"/>
  <c r="BC81" i="2"/>
  <c r="F33" i="5" s="1"/>
  <c r="I9" i="4"/>
  <c r="BC10" i="2"/>
  <c r="F10" i="5" s="1"/>
  <c r="J30" i="4"/>
  <c r="BM77" i="2"/>
  <c r="G31" i="5" s="1"/>
  <c r="I141" i="4"/>
  <c r="BC95" i="2"/>
  <c r="F142" i="5" s="1"/>
  <c r="J139" i="4"/>
  <c r="BM82" i="2"/>
  <c r="G140" i="5" s="1"/>
  <c r="K95" i="4"/>
  <c r="BW27" i="2"/>
  <c r="H96" i="5" s="1"/>
  <c r="AS164" i="2"/>
  <c r="E75" i="5" s="1"/>
  <c r="H74" i="4"/>
  <c r="K202" i="4"/>
  <c r="BW208" i="2"/>
  <c r="H203" i="5" s="1"/>
  <c r="AS140" i="2"/>
  <c r="E36" i="5" s="1"/>
  <c r="H35" i="4"/>
  <c r="J29" i="4"/>
  <c r="BM65" i="2"/>
  <c r="G30" i="5" s="1"/>
  <c r="H216" i="4"/>
  <c r="AS128" i="2"/>
  <c r="E217" i="5" s="1"/>
  <c r="H36" i="4"/>
  <c r="AS101" i="2"/>
  <c r="E37" i="5" s="1"/>
  <c r="H103" i="4"/>
  <c r="AS202" i="2"/>
  <c r="E104" i="5" s="1"/>
  <c r="H201" i="4"/>
  <c r="AS113" i="2"/>
  <c r="E202" i="5" s="1"/>
  <c r="J173" i="4"/>
  <c r="BM74" i="2"/>
  <c r="G174" i="5" s="1"/>
  <c r="J94" i="4"/>
  <c r="BM212" i="2"/>
  <c r="G95" i="5" s="1"/>
  <c r="K17" i="4"/>
  <c r="BW78" i="2"/>
  <c r="H18" i="5" s="1"/>
  <c r="BM91" i="2"/>
  <c r="G48" i="5" s="1"/>
  <c r="J47" i="4"/>
  <c r="K80" i="4"/>
  <c r="BW59" i="2"/>
  <c r="H81" i="5" s="1"/>
  <c r="BW132" i="2"/>
  <c r="H160" i="5" s="1"/>
  <c r="K159" i="4"/>
  <c r="J189" i="4"/>
  <c r="BM195" i="2"/>
  <c r="G190" i="5" s="1"/>
  <c r="K218" i="4"/>
  <c r="BW213" i="2"/>
  <c r="H219" i="5" s="1"/>
  <c r="K220" i="4"/>
  <c r="BW141" i="2"/>
  <c r="H221" i="5" s="1"/>
  <c r="I45" i="4"/>
  <c r="BC69" i="2"/>
  <c r="F46" i="5" s="1"/>
  <c r="H208" i="4"/>
  <c r="AS92" i="2"/>
  <c r="E209" i="5" s="1"/>
  <c r="I214" i="4"/>
  <c r="BC121" i="2"/>
  <c r="F215" i="5" s="1"/>
  <c r="BC84" i="2"/>
  <c r="F51" i="5" s="1"/>
  <c r="I50" i="4"/>
  <c r="K57" i="4"/>
  <c r="BW54" i="2"/>
  <c r="H58" i="5" s="1"/>
  <c r="BM10" i="2"/>
  <c r="G10" i="5" s="1"/>
  <c r="J9" i="4"/>
  <c r="J125" i="4"/>
  <c r="BM219" i="2"/>
  <c r="G126" i="5" s="1"/>
  <c r="I103" i="4"/>
  <c r="BC202" i="2"/>
  <c r="F104" i="5" s="1"/>
  <c r="I35" i="4"/>
  <c r="BC140" i="2"/>
  <c r="F36" i="5" s="1"/>
  <c r="J72" i="4"/>
  <c r="BM68" i="2"/>
  <c r="G73" i="5" s="1"/>
  <c r="J136" i="4"/>
  <c r="BM125" i="2"/>
  <c r="G137" i="5" s="1"/>
  <c r="I30" i="4"/>
  <c r="BC77" i="2"/>
  <c r="F31" i="5" s="1"/>
  <c r="J191" i="4"/>
  <c r="BM116" i="2"/>
  <c r="G192" i="5" s="1"/>
  <c r="J26" i="4"/>
  <c r="BM25" i="2"/>
  <c r="G27" i="5" s="1"/>
  <c r="BW195" i="2"/>
  <c r="H190" i="5" s="1"/>
  <c r="K189" i="4"/>
  <c r="BW101" i="2"/>
  <c r="H37" i="5" s="1"/>
  <c r="K36" i="4"/>
  <c r="BC166" i="2"/>
  <c r="F193" i="5" s="1"/>
  <c r="I192" i="4"/>
  <c r="J184" i="4"/>
  <c r="BM192" i="2"/>
  <c r="G185" i="5" s="1"/>
  <c r="I164" i="4"/>
  <c r="BC181" i="2"/>
  <c r="F165" i="5" s="1"/>
  <c r="I38" i="4"/>
  <c r="BC112" i="2"/>
  <c r="F39" i="5" s="1"/>
  <c r="H4" i="4"/>
  <c r="AS4" i="2"/>
  <c r="E5" i="5" s="1"/>
  <c r="I130" i="4"/>
  <c r="BC18" i="2"/>
  <c r="F131" i="5" s="1"/>
  <c r="BW15" i="2"/>
  <c r="H14" i="5" s="1"/>
  <c r="K13" i="4"/>
  <c r="K130" i="4"/>
  <c r="BW18" i="2"/>
  <c r="H131" i="5" s="1"/>
  <c r="K136" i="4"/>
  <c r="BW125" i="2"/>
  <c r="H137" i="5" s="1"/>
  <c r="J100" i="4"/>
  <c r="BM76" i="2"/>
  <c r="G101" i="5" s="1"/>
  <c r="K66" i="4"/>
  <c r="BW44" i="2"/>
  <c r="H67" i="5" s="1"/>
  <c r="I82" i="4"/>
  <c r="BC170" i="2"/>
  <c r="F83" i="5" s="1"/>
  <c r="J46" i="4"/>
  <c r="BM26" i="2"/>
  <c r="G47" i="5" s="1"/>
  <c r="J183" i="4"/>
  <c r="BM217" i="2"/>
  <c r="G184" i="5" s="1"/>
  <c r="I109" i="4"/>
  <c r="BC126" i="2"/>
  <c r="F110" i="5" s="1"/>
  <c r="J89" i="4"/>
  <c r="BM88" i="2"/>
  <c r="G90" i="5" s="1"/>
  <c r="K179" i="4"/>
  <c r="BW223" i="2"/>
  <c r="H180" i="5" s="1"/>
  <c r="I65" i="4"/>
  <c r="BC57" i="2"/>
  <c r="F66" i="5" s="1"/>
  <c r="J137" i="4"/>
  <c r="BM188" i="2"/>
  <c r="G138" i="5" s="1"/>
  <c r="K69" i="4"/>
  <c r="BW145" i="2"/>
  <c r="H70" i="5" s="1"/>
  <c r="AS197" i="2"/>
  <c r="E167" i="5" s="1"/>
  <c r="H166" i="4"/>
  <c r="K53" i="4"/>
  <c r="BW66" i="2"/>
  <c r="H54" i="5" s="1"/>
  <c r="J168" i="4"/>
  <c r="BM216" i="2"/>
  <c r="G169" i="5" s="1"/>
  <c r="H119" i="4"/>
  <c r="AS11" i="2"/>
  <c r="E120" i="5" s="1"/>
  <c r="K76" i="4"/>
  <c r="BW106" i="2"/>
  <c r="H77" i="5" s="1"/>
  <c r="BM60" i="2"/>
  <c r="G59" i="5" s="1"/>
  <c r="J58" i="4"/>
  <c r="J23" i="4"/>
  <c r="BM24" i="2"/>
  <c r="G24" i="5" s="1"/>
  <c r="H130" i="4"/>
  <c r="AS18" i="2"/>
  <c r="E131" i="5" s="1"/>
  <c r="BC29" i="2"/>
  <c r="F19" i="5" s="1"/>
  <c r="I18" i="4"/>
  <c r="H26" i="4"/>
  <c r="AS25" i="2"/>
  <c r="E27" i="5" s="1"/>
  <c r="J206" i="4"/>
  <c r="BM218" i="2"/>
  <c r="G207" i="5" s="1"/>
  <c r="I21" i="4"/>
  <c r="BC53" i="2"/>
  <c r="F22" i="5" s="1"/>
  <c r="K79" i="4"/>
  <c r="BW93" i="2"/>
  <c r="H80" i="5" s="1"/>
  <c r="H19" i="4"/>
  <c r="AS38" i="2"/>
  <c r="E20" i="5" s="1"/>
  <c r="J138" i="4"/>
  <c r="BM120" i="2"/>
  <c r="G139" i="5" s="1"/>
  <c r="BM63" i="2"/>
  <c r="G60" i="5" s="1"/>
  <c r="J59" i="4"/>
  <c r="K215" i="4"/>
  <c r="BW129" i="2"/>
  <c r="H216" i="5" s="1"/>
  <c r="I191" i="4"/>
  <c r="BC116" i="2"/>
  <c r="F192" i="5" s="1"/>
  <c r="J113" i="4"/>
  <c r="BM42" i="2"/>
  <c r="G114" i="5" s="1"/>
  <c r="BW80" i="2"/>
  <c r="H121" i="5" s="1"/>
  <c r="K120" i="4"/>
  <c r="H189" i="4"/>
  <c r="AS195" i="2"/>
  <c r="E190" i="5" s="1"/>
  <c r="AS105" i="2"/>
  <c r="E38" i="5" s="1"/>
  <c r="H37" i="4"/>
  <c r="H163" i="4"/>
  <c r="AS102" i="2"/>
  <c r="E164" i="5" s="1"/>
  <c r="BW112" i="2"/>
  <c r="H39" i="5" s="1"/>
  <c r="K38" i="4"/>
  <c r="I205" i="4"/>
  <c r="BC154" i="2"/>
  <c r="F206" i="5" s="1"/>
  <c r="J223" i="4"/>
  <c r="BM191" i="2"/>
  <c r="G224" i="5" s="1"/>
  <c r="K216" i="4"/>
  <c r="BW128" i="2"/>
  <c r="H217" i="5" s="1"/>
  <c r="J98" i="4"/>
  <c r="BM114" i="2"/>
  <c r="G99" i="5" s="1"/>
  <c r="H134" i="4"/>
  <c r="AS13" i="2"/>
  <c r="E135" i="5" s="1"/>
  <c r="I151" i="4"/>
  <c r="BC161" i="2"/>
  <c r="F152" i="5" s="1"/>
  <c r="H59" i="4"/>
  <c r="AS63" i="2"/>
  <c r="E60" i="5" s="1"/>
  <c r="I49" i="4"/>
  <c r="BC34" i="2"/>
  <c r="F50" i="5" s="1"/>
  <c r="H169" i="4"/>
  <c r="AS187" i="2"/>
  <c r="E170" i="5" s="1"/>
  <c r="J148" i="4"/>
  <c r="BM110" i="2"/>
  <c r="G149" i="5" s="1"/>
  <c r="I216" i="4"/>
  <c r="BC128" i="2"/>
  <c r="F217" i="5" s="1"/>
  <c r="J163" i="4"/>
  <c r="BM102" i="2"/>
  <c r="G164" i="5" s="1"/>
  <c r="BM223" i="2"/>
  <c r="G180" i="5" s="1"/>
  <c r="J179" i="4"/>
  <c r="I110" i="4"/>
  <c r="BC138" i="2"/>
  <c r="F111" i="5" s="1"/>
  <c r="BW28" i="2"/>
  <c r="H17" i="5" s="1"/>
  <c r="K16" i="4"/>
  <c r="H67" i="4"/>
  <c r="AS153" i="2"/>
  <c r="E68" i="5" s="1"/>
  <c r="BC91" i="2"/>
  <c r="F48" i="5" s="1"/>
  <c r="I47" i="4"/>
  <c r="H114" i="4"/>
  <c r="AS94" i="2"/>
  <c r="E115" i="5" s="1"/>
  <c r="H177" i="4"/>
  <c r="AS186" i="2"/>
  <c r="E178" i="5" s="1"/>
  <c r="H41" i="4"/>
  <c r="AS89" i="2"/>
  <c r="E42" i="5" s="1"/>
  <c r="BC113" i="2"/>
  <c r="F202" i="5" s="1"/>
  <c r="I201" i="4"/>
  <c r="BM168" i="2"/>
  <c r="G161" i="5" s="1"/>
  <c r="J160" i="4"/>
  <c r="BM176" i="2"/>
  <c r="G84" i="5" s="1"/>
  <c r="J83" i="4"/>
  <c r="H89" i="4"/>
  <c r="AS88" i="2"/>
  <c r="E90" i="5" s="1"/>
  <c r="J228" i="4"/>
  <c r="BM205" i="2"/>
  <c r="G229" i="5" s="1"/>
  <c r="H186" i="4"/>
  <c r="AS180" i="2"/>
  <c r="E187" i="5" s="1"/>
  <c r="H56" i="4"/>
  <c r="AS61" i="2"/>
  <c r="E57" i="5" s="1"/>
  <c r="I146" i="4"/>
  <c r="BC199" i="2"/>
  <c r="F147" i="5" s="1"/>
  <c r="H128" i="4"/>
  <c r="AS14" i="2"/>
  <c r="E129" i="5" s="1"/>
  <c r="I210" i="4"/>
  <c r="BC189" i="2"/>
  <c r="F211" i="5" s="1"/>
  <c r="H34" i="4"/>
  <c r="AS72" i="2"/>
  <c r="E35" i="5" s="1"/>
  <c r="J145" i="4"/>
  <c r="BM206" i="2"/>
  <c r="G146" i="5" s="1"/>
  <c r="H62" i="4"/>
  <c r="AS17" i="2"/>
  <c r="E63" i="5" s="1"/>
  <c r="H204" i="4"/>
  <c r="AS150" i="2"/>
  <c r="E205" i="5" s="1"/>
  <c r="BC149" i="2"/>
  <c r="F106" i="5" s="1"/>
  <c r="I105" i="4"/>
  <c r="K99" i="4"/>
  <c r="BW190" i="2"/>
  <c r="H100" i="5" s="1"/>
  <c r="K142" i="4"/>
  <c r="BW207" i="2"/>
  <c r="H143" i="5" s="1"/>
  <c r="H118" i="4"/>
  <c r="AS67" i="2"/>
  <c r="E119" i="5" s="1"/>
  <c r="H212" i="4"/>
  <c r="AS160" i="2"/>
  <c r="E213" i="5" s="1"/>
  <c r="I176" i="4"/>
  <c r="BC225" i="2"/>
  <c r="F177" i="5" s="1"/>
  <c r="J119" i="4"/>
  <c r="BM11" i="2"/>
  <c r="G120" i="5" s="1"/>
  <c r="I73" i="4"/>
  <c r="BC122" i="2"/>
  <c r="F74" i="5" s="1"/>
  <c r="BW109" i="2"/>
  <c r="H23" i="5" s="1"/>
  <c r="K22" i="4"/>
  <c r="J178" i="4"/>
  <c r="BM158" i="2"/>
  <c r="G179" i="5" s="1"/>
  <c r="I94" i="4"/>
  <c r="BC212" i="2"/>
  <c r="F95" i="5" s="1"/>
  <c r="K100" i="4"/>
  <c r="BW76" i="2"/>
  <c r="H101" i="5" s="1"/>
  <c r="BW6" i="2"/>
  <c r="H72" i="5" s="1"/>
  <c r="K71" i="4"/>
  <c r="J186" i="4"/>
  <c r="BM180" i="2"/>
  <c r="G187" i="5" s="1"/>
  <c r="AS178" i="2"/>
  <c r="E158" i="5" s="1"/>
  <c r="H157" i="4"/>
  <c r="J24" i="4"/>
  <c r="BM39" i="2"/>
  <c r="G25" i="5" s="1"/>
  <c r="I223" i="4"/>
  <c r="BC191" i="2"/>
  <c r="F224" i="5" s="1"/>
  <c r="K169" i="4"/>
  <c r="BW187" i="2"/>
  <c r="H170" i="5" s="1"/>
  <c r="K29" i="4"/>
  <c r="BW65" i="2"/>
  <c r="H30" i="5" s="1"/>
  <c r="K117" i="4"/>
  <c r="BW12" i="2"/>
  <c r="H118" i="5" s="1"/>
  <c r="I172" i="4"/>
  <c r="BC226" i="2"/>
  <c r="F173" i="5" s="1"/>
  <c r="I113" i="4"/>
  <c r="BC42" i="2"/>
  <c r="F114" i="5" s="1"/>
  <c r="K60" i="4"/>
  <c r="BW46" i="2"/>
  <c r="H61" i="5" s="1"/>
  <c r="H24" i="4"/>
  <c r="AS39" i="2"/>
  <c r="E25" i="5" s="1"/>
  <c r="H147" i="4"/>
  <c r="AS117" i="2"/>
  <c r="E148" i="5" s="1"/>
  <c r="AS213" i="2"/>
  <c r="E219" i="5" s="1"/>
  <c r="H218" i="4"/>
  <c r="H137" i="4"/>
  <c r="AS188" i="2"/>
  <c r="E138" i="5" s="1"/>
  <c r="J220" i="4"/>
  <c r="BM141" i="2"/>
  <c r="G221" i="5" s="1"/>
  <c r="BW183" i="2"/>
  <c r="H199" i="5" s="1"/>
  <c r="K198" i="4"/>
  <c r="K86" i="4"/>
  <c r="BW40" i="2"/>
  <c r="H87" i="5" s="1"/>
  <c r="K132" i="4"/>
  <c r="BW104" i="2"/>
  <c r="H133" i="5" s="1"/>
  <c r="I37" i="4"/>
  <c r="BC105" i="2"/>
  <c r="F38" i="5" s="1"/>
  <c r="J32" i="4"/>
  <c r="BM81" i="2"/>
  <c r="G33" i="5" s="1"/>
  <c r="BW138" i="2"/>
  <c r="H111" i="5" s="1"/>
  <c r="K110" i="4"/>
  <c r="BW199" i="2"/>
  <c r="H147" i="5" s="1"/>
  <c r="K146" i="4"/>
  <c r="K92" i="4"/>
  <c r="BW107" i="2"/>
  <c r="H93" i="5" s="1"/>
  <c r="K209" i="4"/>
  <c r="BW131" i="2"/>
  <c r="H210" i="5" s="1"/>
  <c r="I165" i="4"/>
  <c r="BC162" i="2"/>
  <c r="F166" i="5" s="1"/>
  <c r="K128" i="4"/>
  <c r="BW14" i="2"/>
  <c r="H129" i="5" s="1"/>
  <c r="I68" i="4"/>
  <c r="BC41" i="2"/>
  <c r="F69" i="5" s="1"/>
  <c r="K137" i="4"/>
  <c r="BW188" i="2"/>
  <c r="H138" i="5" s="1"/>
  <c r="I200" i="4"/>
  <c r="BC194" i="2"/>
  <c r="F201" i="5" s="1"/>
  <c r="BC220" i="2"/>
  <c r="F198" i="5" s="1"/>
  <c r="I197" i="4"/>
  <c r="K51" i="4"/>
  <c r="BW64" i="2"/>
  <c r="H52" i="5" s="1"/>
  <c r="H139" i="4"/>
  <c r="AS82" i="2"/>
  <c r="E140" i="5" s="1"/>
  <c r="I56" i="4"/>
  <c r="BC61" i="2"/>
  <c r="F57" i="5" s="1"/>
  <c r="K214" i="4"/>
  <c r="BW121" i="2"/>
  <c r="H215" i="5" s="1"/>
  <c r="BM128" i="2"/>
  <c r="G217" i="5" s="1"/>
  <c r="J216" i="4"/>
  <c r="BW217" i="2"/>
  <c r="H184" i="5" s="1"/>
  <c r="K183" i="4"/>
  <c r="K188" i="4"/>
  <c r="BW209" i="2"/>
  <c r="H189" i="5" s="1"/>
  <c r="J108" i="4"/>
  <c r="BM171" i="2"/>
  <c r="G109" i="5" s="1"/>
  <c r="I209" i="4"/>
  <c r="BC131" i="2"/>
  <c r="F210" i="5" s="1"/>
  <c r="J79" i="4"/>
  <c r="BM93" i="2"/>
  <c r="G80" i="5" s="1"/>
  <c r="J213" i="4"/>
  <c r="BM203" i="2"/>
  <c r="G214" i="5" s="1"/>
  <c r="K112" i="4"/>
  <c r="BW135" i="2"/>
  <c r="H113" i="5" s="1"/>
  <c r="I162" i="4"/>
  <c r="BC204" i="2"/>
  <c r="F163" i="5" s="1"/>
  <c r="H179" i="4"/>
  <c r="AS223" i="2"/>
  <c r="E180" i="5" s="1"/>
  <c r="K182" i="4"/>
  <c r="BW211" i="2"/>
  <c r="H183" i="5" s="1"/>
  <c r="J141" i="4"/>
  <c r="BM95" i="2"/>
  <c r="G142" i="5" s="1"/>
  <c r="J158" i="4"/>
  <c r="BM5" i="2"/>
  <c r="G159" i="5" s="1"/>
  <c r="BM8" i="2"/>
  <c r="G125" i="5" s="1"/>
  <c r="J124" i="4"/>
  <c r="AS53" i="2"/>
  <c r="E22" i="5" s="1"/>
  <c r="H21" i="4"/>
  <c r="H55" i="4"/>
  <c r="AS50" i="2"/>
  <c r="E56" i="5" s="1"/>
  <c r="J103" i="4"/>
  <c r="BM202" i="2"/>
  <c r="G104" i="5" s="1"/>
  <c r="I199" i="4"/>
  <c r="BC215" i="2"/>
  <c r="F200" i="5" s="1"/>
  <c r="I112" i="4"/>
  <c r="BC135" i="2"/>
  <c r="F113" i="5" s="1"/>
  <c r="J92" i="4"/>
  <c r="BM107" i="2"/>
  <c r="G93" i="5" s="1"/>
  <c r="J54" i="4"/>
  <c r="BM48" i="2"/>
  <c r="G55" i="5" s="1"/>
  <c r="AS108" i="2"/>
  <c r="E97" i="5" s="1"/>
  <c r="H96" i="4"/>
  <c r="K33" i="4"/>
  <c r="BW97" i="2"/>
  <c r="H34" i="5" s="1"/>
  <c r="J167" i="4"/>
  <c r="BM118" i="2"/>
  <c r="G168" i="5" s="1"/>
  <c r="J219" i="4"/>
  <c r="BM221" i="2"/>
  <c r="G220" i="5" s="1"/>
  <c r="H58" i="4"/>
  <c r="AS60" i="2"/>
  <c r="E59" i="5" s="1"/>
  <c r="K45" i="4"/>
  <c r="BW69" i="2"/>
  <c r="H46" i="5" s="1"/>
  <c r="I171" i="4"/>
  <c r="BC124" i="2"/>
  <c r="F172" i="5" s="1"/>
  <c r="K111" i="4"/>
  <c r="BW229" i="2"/>
  <c r="H112" i="5" s="1"/>
  <c r="K68" i="4"/>
  <c r="BW41" i="2"/>
  <c r="H69" i="5" s="1"/>
  <c r="J197" i="4"/>
  <c r="BM220" i="2"/>
  <c r="G198" i="5" s="1"/>
  <c r="H12" i="4"/>
  <c r="AS22" i="2"/>
  <c r="E13" i="5" s="1"/>
  <c r="I84" i="4"/>
  <c r="BC146" i="2"/>
  <c r="F85" i="5" s="1"/>
  <c r="BC174" i="2"/>
  <c r="F102" i="5" s="1"/>
  <c r="I101" i="4"/>
  <c r="H123" i="4"/>
  <c r="AS7" i="2"/>
  <c r="E124" i="5" s="1"/>
  <c r="I147" i="4"/>
  <c r="BC117" i="2"/>
  <c r="F148" i="5" s="1"/>
  <c r="J69" i="4"/>
  <c r="BM145" i="2"/>
  <c r="G70" i="5" s="1"/>
  <c r="BW84" i="2"/>
  <c r="H51" i="5" s="1"/>
  <c r="K50" i="4"/>
  <c r="BC134" i="2"/>
  <c r="F123" i="5" s="1"/>
  <c r="I122" i="4"/>
  <c r="J8" i="4"/>
  <c r="BM9" i="2"/>
  <c r="G9" i="5" s="1"/>
  <c r="J151" i="4"/>
  <c r="BM161" i="2"/>
  <c r="G152" i="5" s="1"/>
  <c r="AS87" i="2"/>
  <c r="E79" i="5" s="1"/>
  <c r="H78" i="4"/>
  <c r="H23" i="4"/>
  <c r="AS24" i="2"/>
  <c r="E24" i="5" s="1"/>
  <c r="J210" i="4"/>
  <c r="BM189" i="2"/>
  <c r="G211" i="5" s="1"/>
  <c r="H113" i="4"/>
  <c r="AS42" i="2"/>
  <c r="E114" i="5" s="1"/>
  <c r="J227" i="4"/>
  <c r="BM227" i="2"/>
  <c r="G228" i="5" s="1"/>
  <c r="H199" i="4"/>
  <c r="AS215" i="2"/>
  <c r="E200" i="5" s="1"/>
  <c r="H176" i="4"/>
  <c r="AS225" i="2"/>
  <c r="E177" i="5" s="1"/>
  <c r="I207" i="4"/>
  <c r="BC152" i="2"/>
  <c r="F208" i="5" s="1"/>
  <c r="I217" i="4"/>
  <c r="BC210" i="2"/>
  <c r="F218" i="5" s="1"/>
  <c r="BC27" i="2"/>
  <c r="F96" i="5" s="1"/>
  <c r="I95" i="4"/>
  <c r="I181" i="4"/>
  <c r="BC169" i="2"/>
  <c r="F182" i="5" s="1"/>
  <c r="I138" i="4"/>
  <c r="BC120" i="2"/>
  <c r="F139" i="5" s="1"/>
  <c r="H141" i="4"/>
  <c r="AS95" i="2"/>
  <c r="E142" i="5" s="1"/>
  <c r="K229" i="4"/>
  <c r="BW157" i="2"/>
  <c r="H230" i="5" s="1"/>
  <c r="K147" i="4"/>
  <c r="BW117" i="2"/>
  <c r="H148" i="5" s="1"/>
  <c r="I75" i="4"/>
  <c r="BC193" i="2"/>
  <c r="F76" i="5" s="1"/>
  <c r="H120" i="4"/>
  <c r="AS80" i="2"/>
  <c r="E121" i="5" s="1"/>
  <c r="J117" i="4"/>
  <c r="BM12" i="2"/>
  <c r="G118" i="5" s="1"/>
  <c r="I194" i="4"/>
  <c r="BC184" i="2"/>
  <c r="F195" i="5" s="1"/>
  <c r="BM119" i="2"/>
  <c r="G162" i="5" s="1"/>
  <c r="J161" i="4"/>
  <c r="AS35" i="2"/>
  <c r="E49" i="5" s="1"/>
  <c r="H48" i="4"/>
  <c r="I76" i="4"/>
  <c r="BC106" i="2"/>
  <c r="F77" i="5" s="1"/>
  <c r="AS161" i="2"/>
  <c r="E152" i="5" s="1"/>
  <c r="H151" i="4"/>
  <c r="K64" i="4"/>
  <c r="BW155" i="2"/>
  <c r="H65" i="5" s="1"/>
  <c r="K204" i="4"/>
  <c r="BW150" i="2"/>
  <c r="H205" i="5" s="1"/>
  <c r="I99" i="4"/>
  <c r="BC190" i="2"/>
  <c r="F100" i="5" s="1"/>
  <c r="I39" i="4"/>
  <c r="BC71" i="2"/>
  <c r="F40" i="5" s="1"/>
  <c r="I196" i="4"/>
  <c r="BC111" i="2"/>
  <c r="F197" i="5" s="1"/>
  <c r="AS227" i="2"/>
  <c r="E228" i="5" s="1"/>
  <c r="H227" i="4"/>
  <c r="AS97" i="2"/>
  <c r="E34" i="5" s="1"/>
  <c r="H33" i="4"/>
  <c r="J162" i="4"/>
  <c r="BM204" i="2"/>
  <c r="G163" i="5" s="1"/>
  <c r="AS179" i="2"/>
  <c r="E227" i="5" s="1"/>
  <c r="H226" i="4"/>
  <c r="BW219" i="2"/>
  <c r="H126" i="5" s="1"/>
  <c r="K125" i="4"/>
  <c r="BC183" i="2"/>
  <c r="F199" i="5" s="1"/>
  <c r="I198" i="4"/>
  <c r="H165" i="4"/>
  <c r="AS162" i="2"/>
  <c r="E166" i="5" s="1"/>
  <c r="H100" i="4"/>
  <c r="AS76" i="2"/>
  <c r="E101" i="5" s="1"/>
  <c r="H188" i="4"/>
  <c r="AS209" i="2"/>
  <c r="E189" i="5" s="1"/>
  <c r="I54" i="4"/>
  <c r="BC48" i="2"/>
  <c r="F55" i="5" s="1"/>
  <c r="I5" i="4"/>
  <c r="BC30" i="2"/>
  <c r="F6" i="5" s="1"/>
  <c r="H174" i="4"/>
  <c r="AS182" i="2"/>
  <c r="E175" i="5" s="1"/>
  <c r="H73" i="4"/>
  <c r="AS122" i="2"/>
  <c r="E74" i="5" s="1"/>
  <c r="K176" i="4"/>
  <c r="BW225" i="2"/>
  <c r="H177" i="5" s="1"/>
  <c r="BM228" i="2"/>
  <c r="G223" i="5" s="1"/>
  <c r="J222" i="4"/>
  <c r="BW33" i="2"/>
  <c r="H28" i="5" s="1"/>
  <c r="K27" i="4"/>
  <c r="J80" i="4"/>
  <c r="BM59" i="2"/>
  <c r="G81" i="5" s="1"/>
  <c r="I26" i="4"/>
  <c r="BC25" i="2"/>
  <c r="F27" i="5" s="1"/>
  <c r="H140" i="4"/>
  <c r="AS163" i="2"/>
  <c r="E141" i="5" s="1"/>
  <c r="I33" i="4"/>
  <c r="BC97" i="2"/>
  <c r="F34" i="5" s="1"/>
  <c r="AS204" i="2"/>
  <c r="E163" i="5" s="1"/>
  <c r="H162" i="4"/>
  <c r="K54" i="4"/>
  <c r="BW48" i="2"/>
  <c r="H55" i="5" s="1"/>
  <c r="K97" i="4"/>
  <c r="BW127" i="2"/>
  <c r="H98" i="5" s="1"/>
  <c r="J187" i="4"/>
  <c r="BM85" i="2"/>
  <c r="G188" i="5" s="1"/>
  <c r="J202" i="4"/>
  <c r="BM208" i="2"/>
  <c r="G203" i="5" s="1"/>
  <c r="K177" i="4"/>
  <c r="BW186" i="2"/>
  <c r="H178" i="5" s="1"/>
  <c r="K72" i="4"/>
  <c r="BW68" i="2"/>
  <c r="H73" i="5" s="1"/>
  <c r="I13" i="4"/>
  <c r="BC15" i="2"/>
  <c r="F14" i="5" s="1"/>
  <c r="J209" i="4"/>
  <c r="BM131" i="2"/>
  <c r="G210" i="5" s="1"/>
  <c r="K224" i="4"/>
  <c r="BW198" i="2"/>
  <c r="H225" i="5" s="1"/>
  <c r="K175" i="4"/>
  <c r="BW139" i="2"/>
  <c r="H176" i="5" s="1"/>
  <c r="K124" i="4"/>
  <c r="BW8" i="2"/>
  <c r="H125" i="5" s="1"/>
  <c r="K37" i="4"/>
  <c r="BW105" i="2"/>
  <c r="H38" i="5" s="1"/>
  <c r="H211" i="4"/>
  <c r="AS196" i="2"/>
  <c r="E212" i="5" s="1"/>
  <c r="I114" i="4"/>
  <c r="BC94" i="2"/>
  <c r="F115" i="5" s="1"/>
  <c r="J154" i="4"/>
  <c r="BM98" i="2"/>
  <c r="G155" i="5" s="1"/>
  <c r="I139" i="4"/>
  <c r="BC82" i="2"/>
  <c r="F140" i="5" s="1"/>
  <c r="H105" i="4"/>
  <c r="AS149" i="2"/>
  <c r="E106" i="5" s="1"/>
  <c r="K171" i="4"/>
  <c r="BW124" i="2"/>
  <c r="H172" i="5" s="1"/>
  <c r="K67" i="4"/>
  <c r="BW153" i="2"/>
  <c r="H68" i="5" s="1"/>
  <c r="I152" i="4"/>
  <c r="BC165" i="2"/>
  <c r="F153" i="5" s="1"/>
  <c r="BC227" i="2"/>
  <c r="F228" i="5" s="1"/>
  <c r="I227" i="4"/>
  <c r="H183" i="4"/>
  <c r="AS217" i="2"/>
  <c r="E184" i="5" s="1"/>
  <c r="H20" i="4"/>
  <c r="AS123" i="2"/>
  <c r="E21" i="5" s="1"/>
  <c r="BC13" i="2"/>
  <c r="F135" i="5" s="1"/>
  <c r="I134" i="4"/>
  <c r="BC209" i="2"/>
  <c r="F189" i="5" s="1"/>
  <c r="I188" i="4"/>
  <c r="BW26" i="2"/>
  <c r="H47" i="5" s="1"/>
  <c r="K46" i="4"/>
  <c r="K10" i="4"/>
  <c r="BW51" i="2"/>
  <c r="H11" i="5" s="1"/>
  <c r="I22" i="4"/>
  <c r="BC109" i="2"/>
  <c r="F23" i="5" s="1"/>
  <c r="K139" i="4"/>
  <c r="BW82" i="2"/>
  <c r="H140" i="5" s="1"/>
  <c r="BW111" i="2"/>
  <c r="H197" i="5" s="1"/>
  <c r="K196" i="4"/>
  <c r="I193" i="4"/>
  <c r="BC185" i="2"/>
  <c r="F194" i="5" s="1"/>
  <c r="BC58" i="2"/>
  <c r="F154" i="5" s="1"/>
  <c r="I153" i="4"/>
  <c r="K34" i="4"/>
  <c r="BW72" i="2"/>
  <c r="H35" i="5" s="1"/>
  <c r="J50" i="4"/>
  <c r="BM84" i="2"/>
  <c r="G51" i="5" s="1"/>
  <c r="I85" i="4"/>
  <c r="BC151" i="2"/>
  <c r="F86" i="5" s="1"/>
  <c r="J70" i="4"/>
  <c r="BM144" i="2"/>
  <c r="G71" i="5" s="1"/>
  <c r="I6" i="4"/>
  <c r="BC49" i="2"/>
  <c r="F7" i="5" s="1"/>
  <c r="J6" i="4"/>
  <c r="BM49" i="2"/>
  <c r="G7" i="5" s="1"/>
  <c r="K211" i="4"/>
  <c r="BW196" i="2"/>
  <c r="H212" i="5" s="1"/>
  <c r="I119" i="4"/>
  <c r="BC11" i="2"/>
  <c r="F120" i="5" s="1"/>
  <c r="K30" i="4"/>
  <c r="BW77" i="2"/>
  <c r="H31" i="5" s="1"/>
  <c r="K222" i="4"/>
  <c r="BW228" i="2"/>
  <c r="H223" i="5" s="1"/>
  <c r="J140" i="4"/>
  <c r="BM163" i="2"/>
  <c r="G141" i="5" s="1"/>
  <c r="BM105" i="2"/>
  <c r="G38" i="5" s="1"/>
  <c r="J37" i="4"/>
  <c r="J106" i="4"/>
  <c r="BM99" i="2"/>
  <c r="G107" i="5" s="1"/>
  <c r="H110" i="4"/>
  <c r="AS138" i="2"/>
  <c r="E111" i="5" s="1"/>
  <c r="H53" i="4"/>
  <c r="AS66" i="2"/>
  <c r="E54" i="5" s="1"/>
  <c r="I180" i="4"/>
  <c r="BC173" i="2"/>
  <c r="F181" i="5" s="1"/>
  <c r="K31" i="4"/>
  <c r="BW19" i="2"/>
  <c r="H32" i="5" s="1"/>
  <c r="K58" i="4"/>
  <c r="BW60" i="2"/>
  <c r="H59" i="5" s="1"/>
  <c r="K143" i="4"/>
  <c r="BW130" i="2"/>
  <c r="H144" i="5" s="1"/>
  <c r="J180" i="4"/>
  <c r="BM173" i="2"/>
  <c r="G181" i="5" s="1"/>
  <c r="BW201" i="2"/>
  <c r="H226" i="5" s="1"/>
  <c r="K225" i="4"/>
  <c r="K228" i="4"/>
  <c r="BW205" i="2"/>
  <c r="H229" i="5" s="1"/>
  <c r="K174" i="4"/>
  <c r="BW182" i="2"/>
  <c r="H175" i="5" s="1"/>
  <c r="K181" i="4"/>
  <c r="BW169" i="2"/>
  <c r="H182" i="5" s="1"/>
  <c r="AS125" i="2"/>
  <c r="E137" i="5" s="1"/>
  <c r="H136" i="4"/>
  <c r="BM155" i="2"/>
  <c r="G65" i="5" s="1"/>
  <c r="J64" i="4"/>
  <c r="J225" i="4"/>
  <c r="BM201" i="2"/>
  <c r="G226" i="5" s="1"/>
  <c r="BC197" i="2"/>
  <c r="F167" i="5" s="1"/>
  <c r="I166" i="4"/>
  <c r="K101" i="4"/>
  <c r="BW174" i="2"/>
  <c r="H102" i="5" s="1"/>
  <c r="J229" i="4"/>
  <c r="BM157" i="2"/>
  <c r="G230" i="5" s="1"/>
  <c r="K85" i="4"/>
  <c r="BW151" i="2"/>
  <c r="H86" i="5" s="1"/>
  <c r="H45" i="4"/>
  <c r="AS69" i="2"/>
  <c r="E46" i="5" s="1"/>
  <c r="J129" i="4"/>
  <c r="BM62" i="2"/>
  <c r="G130" i="5" s="1"/>
  <c r="BW95" i="2"/>
  <c r="H142" i="5" s="1"/>
  <c r="K141" i="4"/>
  <c r="J169" i="4"/>
  <c r="BM187" i="2"/>
  <c r="G170" i="5" s="1"/>
  <c r="K20" i="4"/>
  <c r="BW123" i="2"/>
  <c r="H21" i="5" s="1"/>
  <c r="H205" i="4"/>
  <c r="AS154" i="2"/>
  <c r="E206" i="5" s="1"/>
  <c r="J97" i="4"/>
  <c r="BM127" i="2"/>
  <c r="G98" i="5" s="1"/>
  <c r="H39" i="4"/>
  <c r="AS71" i="2"/>
  <c r="E40" i="5" s="1"/>
  <c r="K127" i="4"/>
  <c r="BW45" i="2"/>
  <c r="H128" i="5" s="1"/>
  <c r="I123" i="4"/>
  <c r="BC7" i="2"/>
  <c r="F124" i="5" s="1"/>
  <c r="I7" i="4"/>
  <c r="BC143" i="2"/>
  <c r="F8" i="5" s="1"/>
  <c r="AS224" i="2"/>
  <c r="E222" i="5" s="1"/>
  <c r="H221" i="4"/>
  <c r="BW172" i="2"/>
  <c r="H82" i="5" s="1"/>
  <c r="K81" i="4"/>
  <c r="J41" i="4"/>
  <c r="BM89" i="2"/>
  <c r="G42" i="5" s="1"/>
  <c r="K90" i="4"/>
  <c r="BW175" i="2"/>
  <c r="H91" i="5" s="1"/>
  <c r="K195" i="4"/>
  <c r="BW200" i="2"/>
  <c r="H196" i="5" s="1"/>
  <c r="J185" i="4"/>
  <c r="BM142" i="2"/>
  <c r="G186" i="5" s="1"/>
  <c r="H154" i="4"/>
  <c r="AS98" i="2"/>
  <c r="E155" i="5" s="1"/>
  <c r="BM111" i="2"/>
  <c r="G197" i="5" s="1"/>
  <c r="J196" i="4"/>
  <c r="BM148" i="2"/>
  <c r="G89" i="5" s="1"/>
  <c r="J88" i="4"/>
  <c r="H225" i="4"/>
  <c r="AS201" i="2"/>
  <c r="E226" i="5" s="1"/>
  <c r="H3" i="4"/>
  <c r="AS36" i="2"/>
  <c r="E4" i="5" s="1"/>
  <c r="I107" i="4"/>
  <c r="BC137" i="2"/>
  <c r="F108" i="5" s="1"/>
  <c r="BM47" i="2"/>
  <c r="G145" i="5" s="1"/>
  <c r="J144" i="4"/>
  <c r="J105" i="4"/>
  <c r="BM149" i="2"/>
  <c r="G106" i="5" s="1"/>
  <c r="I69" i="4"/>
  <c r="BC145" i="2"/>
  <c r="F70" i="5" s="1"/>
  <c r="J21" i="4"/>
  <c r="BM53" i="2"/>
  <c r="G22" i="5" s="1"/>
  <c r="H17" i="4"/>
  <c r="AS78" i="2"/>
  <c r="E18" i="5" s="1"/>
  <c r="J149" i="4"/>
  <c r="BM23" i="2"/>
  <c r="G150" i="5" s="1"/>
  <c r="I140" i="4"/>
  <c r="BC163" i="2"/>
  <c r="F141" i="5" s="1"/>
  <c r="J153" i="4"/>
  <c r="BM58" i="2"/>
  <c r="G154" i="5" s="1"/>
  <c r="K3" i="4"/>
  <c r="BW36" i="2"/>
  <c r="H4" i="5" s="1"/>
  <c r="J147" i="4"/>
  <c r="BM117" i="2"/>
  <c r="G148" i="5" s="1"/>
  <c r="I183" i="4"/>
  <c r="BC217" i="2"/>
  <c r="F184" i="5" s="1"/>
  <c r="H99" i="4"/>
  <c r="AS190" i="2"/>
  <c r="E100" i="5" s="1"/>
  <c r="H32" i="4"/>
  <c r="AS81" i="2"/>
  <c r="E33" i="5" s="1"/>
  <c r="J11" i="4"/>
  <c r="BM21" i="2"/>
  <c r="G12" i="5" s="1"/>
  <c r="H214" i="4"/>
  <c r="AS121" i="2"/>
  <c r="E215" i="5" s="1"/>
  <c r="J199" i="4"/>
  <c r="BM215" i="2"/>
  <c r="G200" i="5" s="1"/>
  <c r="BW122" i="2"/>
  <c r="H74" i="5" s="1"/>
  <c r="K73" i="4"/>
  <c r="H173" i="4"/>
  <c r="AS74" i="2"/>
  <c r="E174" i="5" s="1"/>
  <c r="BW215" i="2"/>
  <c r="H200" i="5" s="1"/>
  <c r="K199" i="4"/>
  <c r="J44" i="4"/>
  <c r="BM115" i="2"/>
  <c r="G45" i="5" s="1"/>
  <c r="K94" i="4"/>
  <c r="BW212" i="2"/>
  <c r="H95" i="5" s="1"/>
  <c r="I28" i="4"/>
  <c r="BC56" i="2"/>
  <c r="F29" i="5" s="1"/>
  <c r="J99" i="4"/>
  <c r="BM190" i="2"/>
  <c r="G100" i="5" s="1"/>
  <c r="BC148" i="2"/>
  <c r="F89" i="5" s="1"/>
  <c r="I88" i="4"/>
  <c r="H101" i="4"/>
  <c r="AS174" i="2"/>
  <c r="E102" i="5" s="1"/>
  <c r="AS114" i="2"/>
  <c r="E99" i="5" s="1"/>
  <c r="H98" i="4"/>
  <c r="H8" i="4"/>
  <c r="AS9" i="2"/>
  <c r="E9" i="5" s="1"/>
  <c r="J107" i="4"/>
  <c r="BM137" i="2"/>
  <c r="G108" i="5" s="1"/>
  <c r="I12" i="4"/>
  <c r="BC22" i="2"/>
  <c r="F13" i="5" s="1"/>
  <c r="H194" i="4"/>
  <c r="AS184" i="2"/>
  <c r="E195" i="5" s="1"/>
  <c r="K113" i="4"/>
  <c r="BW42" i="2"/>
  <c r="H114" i="5" s="1"/>
  <c r="H86" i="4"/>
  <c r="AS40" i="2"/>
  <c r="E87" i="5" s="1"/>
  <c r="AS52" i="2"/>
  <c r="E156" i="5" s="1"/>
  <c r="H155" i="4"/>
  <c r="K170" i="4"/>
  <c r="BW222" i="2"/>
  <c r="H171" i="5" s="1"/>
  <c r="H13" i="4"/>
  <c r="AS15" i="2"/>
  <c r="E14" i="5" s="1"/>
  <c r="H222" i="4"/>
  <c r="AS228" i="2"/>
  <c r="E223" i="5" s="1"/>
  <c r="H210" i="4"/>
  <c r="AS189" i="2"/>
  <c r="E211" i="5" s="1"/>
  <c r="H149" i="4"/>
  <c r="AS23" i="2"/>
  <c r="E150" i="5" s="1"/>
  <c r="H69" i="4"/>
  <c r="AS145" i="2"/>
  <c r="E70" i="5" s="1"/>
  <c r="H142" i="4"/>
  <c r="AS207" i="2"/>
  <c r="E143" i="5" s="1"/>
  <c r="I189" i="4"/>
  <c r="BC195" i="2"/>
  <c r="F190" i="5" s="1"/>
  <c r="H197" i="4"/>
  <c r="AS220" i="2"/>
  <c r="E198" i="5" s="1"/>
  <c r="BC119" i="2"/>
  <c r="F162" i="5" s="1"/>
  <c r="I161" i="4"/>
  <c r="BW38" i="2"/>
  <c r="H20" i="5" s="1"/>
  <c r="K19" i="4"/>
  <c r="H122" i="4"/>
  <c r="AS134" i="2"/>
  <c r="E123" i="5" s="1"/>
  <c r="K35" i="4"/>
  <c r="BW140" i="2"/>
  <c r="H36" i="5" s="1"/>
  <c r="H185" i="4"/>
  <c r="AS142" i="2"/>
  <c r="E186" i="5" s="1"/>
  <c r="K115" i="4"/>
  <c r="BW167" i="2"/>
  <c r="H116" i="5" s="1"/>
  <c r="H181" i="4"/>
  <c r="AS169" i="2"/>
  <c r="E182" i="5" s="1"/>
  <c r="K74" i="4"/>
  <c r="BW164" i="2"/>
  <c r="H75" i="5" s="1"/>
  <c r="I40" i="4"/>
  <c r="BC43" i="2"/>
  <c r="F41" i="5" s="1"/>
  <c r="BM104" i="2"/>
  <c r="G133" i="5" s="1"/>
  <c r="J132" i="4"/>
  <c r="H80" i="4"/>
  <c r="AS59" i="2"/>
  <c r="E81" i="5" s="1"/>
  <c r="I83" i="4"/>
  <c r="BC176" i="2"/>
  <c r="F84" i="5" s="1"/>
  <c r="AS47" i="2"/>
  <c r="E145" i="5" s="1"/>
  <c r="H144" i="4"/>
  <c r="I118" i="4"/>
  <c r="BC67" i="2"/>
  <c r="F119" i="5" s="1"/>
  <c r="H11" i="4"/>
  <c r="AS21" i="2"/>
  <c r="E12" i="5" s="1"/>
  <c r="J56" i="4"/>
  <c r="BM61" i="2"/>
  <c r="G57" i="5" s="1"/>
  <c r="K135" i="4"/>
  <c r="BW90" i="2"/>
  <c r="H136" i="5" s="1"/>
  <c r="I178" i="4"/>
  <c r="BC158" i="2"/>
  <c r="F179" i="5" s="1"/>
  <c r="H97" i="4"/>
  <c r="AS127" i="2"/>
  <c r="E98" i="5" s="1"/>
  <c r="I44" i="4"/>
  <c r="BC115" i="2"/>
  <c r="F45" i="5" s="1"/>
  <c r="H91" i="4"/>
  <c r="AS31" i="2"/>
  <c r="E92" i="5" s="1"/>
  <c r="H83" i="4"/>
  <c r="AS176" i="2"/>
  <c r="E84" i="5" s="1"/>
  <c r="BM32" i="2"/>
  <c r="G44" i="5" s="1"/>
  <c r="J43" i="4"/>
  <c r="AS214" i="2"/>
  <c r="E134" i="5" s="1"/>
  <c r="H133" i="4"/>
  <c r="J204" i="4"/>
  <c r="BM150" i="2"/>
  <c r="G205" i="5" s="1"/>
  <c r="J77" i="4"/>
  <c r="BM100" i="2"/>
  <c r="G78" i="5" s="1"/>
  <c r="H92" i="4"/>
  <c r="AS107" i="2"/>
  <c r="E93" i="5" s="1"/>
  <c r="H159" i="4"/>
  <c r="AS132" i="2"/>
  <c r="E160" i="5" s="1"/>
  <c r="H95" i="4"/>
  <c r="AS27" i="2"/>
  <c r="E96" i="5" s="1"/>
</calcChain>
</file>

<file path=xl/sharedStrings.xml><?xml version="1.0" encoding="utf-8"?>
<sst xmlns="http://schemas.openxmlformats.org/spreadsheetml/2006/main" count="3526" uniqueCount="291">
  <si>
    <t>Name</t>
  </si>
  <si>
    <t>#Wins</t>
  </si>
  <si>
    <t>TotalScore</t>
  </si>
  <si>
    <t>#Cooperations</t>
  </si>
  <si>
    <t>Fuzzy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</si>
  <si>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</si>
  <si>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</si>
  <si>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</si>
  <si>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</si>
  <si>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</si>
  <si>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</si>
  <si>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</si>
  <si>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</si>
  <si>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</si>
  <si>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</si>
  <si>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</si>
  <si>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</si>
  <si>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</si>
  <si>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</si>
  <si>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</si>
  <si>
    <t>Rank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</si>
  <si>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</si>
  <si>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</si>
  <si>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</si>
  <si>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</si>
  <si>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</si>
  <si>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</si>
  <si>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</si>
  <si>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</si>
  <si>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</si>
  <si>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</si>
  <si>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</si>
  <si>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</si>
  <si>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</si>
  <si>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</si>
  <si>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</si>
  <si>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</si>
  <si>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</si>
  <si>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</si>
  <si>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</si>
  <si>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</si>
  <si>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</si>
  <si>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</si>
  <si>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</si>
  <si>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</si>
  <si>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</si>
  <si>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</si>
  <si>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</si>
  <si>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</si>
  <si>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</si>
  <si>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</si>
  <si>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</si>
  <si>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</si>
  <si>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</si>
  <si>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</si>
  <si>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</si>
  <si>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</si>
  <si>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</si>
  <si>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</si>
  <si>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</si>
  <si>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</si>
  <si>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</si>
  <si>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Cooperation Rating</t>
  </si>
  <si>
    <t>Good Partner Rating</t>
  </si>
  <si>
    <t>Avg. Score</t>
  </si>
  <si>
    <t>Evolved FSM 6</t>
  </si>
  <si>
    <t>EvolvedLookerUp2_2_2</t>
  </si>
  <si>
    <t>Evolved HMM 5</t>
  </si>
  <si>
    <t>Evolved FSM 16</t>
  </si>
  <si>
    <t>PSO Gambler 1_1_1</t>
  </si>
  <si>
    <t>Evolved FSM 16 Noise 05</t>
  </si>
  <si>
    <t>Evolved ANN</t>
  </si>
  <si>
    <t>Evolved ANN 5</t>
  </si>
  <si>
    <t>Evolved FSM 4</t>
  </si>
  <si>
    <t>PSO Gambler 2_2_2</t>
  </si>
  <si>
    <t>PSO Gambler Mem1</t>
  </si>
  <si>
    <t>Omega TFT</t>
  </si>
  <si>
    <t>PSO Gambler 2_2_2 Noise 05</t>
  </si>
  <si>
    <t>Original Gradual</t>
  </si>
  <si>
    <t>Winner12</t>
  </si>
  <si>
    <t>Gradual</t>
  </si>
  <si>
    <t>DoubleCrosser</t>
  </si>
  <si>
    <t>Second by Borufsen</t>
  </si>
  <si>
    <t>Second by Rowsam</t>
  </si>
  <si>
    <t>AON2</t>
  </si>
  <si>
    <t>EugineNier</t>
  </si>
  <si>
    <t>BackStabber</t>
  </si>
  <si>
    <t>Fool Me Once</t>
  </si>
  <si>
    <t>Forgetful Fool Me Once</t>
  </si>
  <si>
    <t>Spiteful Tit For Tat</t>
  </si>
  <si>
    <t>Second by GraaskampKatzen</t>
  </si>
  <si>
    <t>Revised Downing</t>
  </si>
  <si>
    <t>Michaelos</t>
  </si>
  <si>
    <t>Momentum</t>
  </si>
  <si>
    <t>Meta Hunter</t>
  </si>
  <si>
    <t>ZD-GTFT-2</t>
  </si>
  <si>
    <t>Evolved ANN 5 Noise 05</t>
  </si>
  <si>
    <t>MEM2</t>
  </si>
  <si>
    <t>Second by Cave</t>
  </si>
  <si>
    <t>Second by Kluepfel</t>
  </si>
  <si>
    <t>Second by Weiner</t>
  </si>
  <si>
    <t>Second by WmAdams</t>
  </si>
  <si>
    <t>EvolvedLookerUp1_1_1</t>
  </si>
  <si>
    <t>CAPRI</t>
  </si>
  <si>
    <t>Second by Tideman and Chieruzzi</t>
  </si>
  <si>
    <t>Second by Grofman</t>
  </si>
  <si>
    <t>NMWE Memory One</t>
  </si>
  <si>
    <t>General Soft Grudger</t>
  </si>
  <si>
    <t>Soft Joss</t>
  </si>
  <si>
    <t>Second by RichardHufford</t>
  </si>
  <si>
    <t>TF3</t>
  </si>
  <si>
    <t>Second by Mikkelson</t>
  </si>
  <si>
    <t>Soft Grudger</t>
  </si>
  <si>
    <t>Level Punisher</t>
  </si>
  <si>
    <t>FrequencyAnalyzer</t>
  </si>
  <si>
    <t>SpitefulCC</t>
  </si>
  <si>
    <t>Second by Leyvraz</t>
  </si>
  <si>
    <t>GTFT</t>
  </si>
  <si>
    <t>Math Constant Hunter</t>
  </si>
  <si>
    <t>Adaptive Tit For Tat</t>
  </si>
  <si>
    <t>ZD-GEN-2</t>
  </si>
  <si>
    <t>Forgiving Tit For Tat</t>
  </si>
  <si>
    <t>Memory Decay</t>
  </si>
  <si>
    <t>Firm But Fair</t>
  </si>
  <si>
    <t>Second by Eatherley</t>
  </si>
  <si>
    <t>Resurrection</t>
  </si>
  <si>
    <t>Alexei</t>
  </si>
  <si>
    <t>Contrite Tit For Tat</t>
  </si>
  <si>
    <t>Doubler</t>
  </si>
  <si>
    <t>Limited Retaliate 2</t>
  </si>
  <si>
    <t>GrudgerAlternator</t>
  </si>
  <si>
    <t>Second by Champion</t>
  </si>
  <si>
    <t>Once Bitten</t>
  </si>
  <si>
    <t>Stalker</t>
  </si>
  <si>
    <t>Second by Yamachi</t>
  </si>
  <si>
    <t>Second by White</t>
  </si>
  <si>
    <t>Limited Retaliate 3</t>
  </si>
  <si>
    <t>VeryBad</t>
  </si>
  <si>
    <t>Adaptive Pavlov 2011</t>
  </si>
  <si>
    <t>Inverse Punisher</t>
  </si>
  <si>
    <t>Forgiver</t>
  </si>
  <si>
    <t>Second by Black</t>
  </si>
  <si>
    <t>Retaliate 3</t>
  </si>
  <si>
    <t>Soft Go By Majority: 10</t>
  </si>
  <si>
    <t>Retaliate</t>
  </si>
  <si>
    <t>ShortMem</t>
  </si>
  <si>
    <t>Delayed AON1</t>
  </si>
  <si>
    <t>Soft Go By Majority: 5</t>
  </si>
  <si>
    <t>Dynamic Two Tits For Tat</t>
  </si>
  <si>
    <t>Forgetful Grudger</t>
  </si>
  <si>
    <t>Retaliate 2</t>
  </si>
  <si>
    <t>Soft Go By Majority: 40</t>
  </si>
  <si>
    <t>Limited Retaliate</t>
  </si>
  <si>
    <t>Worse and Worse 3</t>
  </si>
  <si>
    <t>Hard Tit For 2 Tats</t>
  </si>
  <si>
    <t>Soft Go By Majority: 20</t>
  </si>
  <si>
    <t>Adaptive Pavlov 2006</t>
  </si>
  <si>
    <t>Slow Tit For Two Tats 2</t>
  </si>
  <si>
    <t>Nice Average Copier</t>
  </si>
  <si>
    <t>Second by Harrington</t>
  </si>
  <si>
    <t>Meta Majority Memory One</t>
  </si>
  <si>
    <t>Second by Getzler</t>
  </si>
  <si>
    <t>Second by Appold</t>
  </si>
  <si>
    <t>Grumpy</t>
  </si>
  <si>
    <t>Punisher</t>
  </si>
  <si>
    <t>Appeaser</t>
  </si>
  <si>
    <t>Soft Go By Majority</t>
  </si>
  <si>
    <t>Win-Stay Lose-Shift</t>
  </si>
  <si>
    <t>N Tit(s) For M Tat(s)</t>
  </si>
  <si>
    <t>Tit For 2 Tats</t>
  </si>
  <si>
    <t>Tricky Level Punisher</t>
  </si>
  <si>
    <t>Thumper</t>
  </si>
  <si>
    <t>Hard Tit For Tat</t>
  </si>
  <si>
    <t>Two Tits For Tat</t>
  </si>
  <si>
    <t>Inverse</t>
  </si>
  <si>
    <t>Eventual Cycle Hunter</t>
  </si>
  <si>
    <t>AdaptorBrief</t>
  </si>
  <si>
    <t>Second by Tranquilizer</t>
  </si>
  <si>
    <t>Random Hunter</t>
  </si>
  <si>
    <t>AdaptorLong</t>
  </si>
  <si>
    <t>Raider</t>
  </si>
  <si>
    <t>UsuallyCooperates</t>
  </si>
  <si>
    <t>Alternator Hunter</t>
  </si>
  <si>
    <t>Defector Hunter</t>
  </si>
  <si>
    <t>Average Copier</t>
  </si>
  <si>
    <t>Sneaky Tit For Tat</t>
  </si>
  <si>
    <t>Second by Tester</t>
  </si>
  <si>
    <t>Second by Gladstein</t>
  </si>
  <si>
    <t>Cycle Hunter</t>
  </si>
  <si>
    <t>Ripoff</t>
  </si>
  <si>
    <t>Prober 2</t>
  </si>
  <si>
    <t>Second by Colbert</t>
  </si>
  <si>
    <t>Hard Prober</t>
  </si>
  <si>
    <t>Cooperator</t>
  </si>
  <si>
    <t>Willing</t>
  </si>
  <si>
    <t>DoubleResurrection</t>
  </si>
  <si>
    <t>Adaptive</t>
  </si>
  <si>
    <t>Remorseful Prober</t>
  </si>
  <si>
    <t>Risky QLearner</t>
  </si>
  <si>
    <t>Prober</t>
  </si>
  <si>
    <t>Suspicious Tit For Tat</t>
  </si>
  <si>
    <t>Hesitant QLearner</t>
  </si>
  <si>
    <t>Detective</t>
  </si>
  <si>
    <t>Cautious QLearner</t>
  </si>
  <si>
    <t>Prober 3</t>
  </si>
  <si>
    <t>Arrogant QLearner</t>
  </si>
  <si>
    <t>ZD-Mem2</t>
  </si>
  <si>
    <t>EasyGo</t>
  </si>
  <si>
    <t>Stochastic Cooperator</t>
  </si>
  <si>
    <t>Worse and Worse 2</t>
  </si>
  <si>
    <t>Opposite Grudger</t>
  </si>
  <si>
    <t>Random Tit for Tat</t>
  </si>
  <si>
    <t>Hard Go By Majority</t>
  </si>
  <si>
    <t>Hard Go By Majority: 5</t>
  </si>
  <si>
    <t>Prober 4</t>
  </si>
  <si>
    <t>Knowledgeable Worse and Worse</t>
  </si>
  <si>
    <t>Worse and Worse</t>
  </si>
  <si>
    <t>Hard Go By Majority: 40</t>
  </si>
  <si>
    <t>Pun1</t>
  </si>
  <si>
    <t>Calculator</t>
  </si>
  <si>
    <t>Fortress4</t>
  </si>
  <si>
    <t>Meta Hunter Aggressive</t>
  </si>
  <si>
    <t>Darwin</t>
  </si>
  <si>
    <t>Naive Prober</t>
  </si>
  <si>
    <t>Burn Both Ends</t>
  </si>
  <si>
    <t>Fortress3</t>
  </si>
  <si>
    <t>Hard Go By Majority: 20</t>
  </si>
  <si>
    <t>Cooperator Hunter</t>
  </si>
  <si>
    <t>ALLCorALLD</t>
  </si>
  <si>
    <t>Hard Go By Majority: 10</t>
  </si>
  <si>
    <t>ZD-SET-2</t>
  </si>
  <si>
    <t>Cycler CCCD</t>
  </si>
  <si>
    <t>Stochastic WSLS</t>
  </si>
  <si>
    <t>Cycler CCCDCD</t>
  </si>
  <si>
    <t>Winner21</t>
  </si>
  <si>
    <t>TF2</t>
  </si>
  <si>
    <t>SolutionB5</t>
  </si>
  <si>
    <t>Cycler CCCCCD</t>
  </si>
  <si>
    <t>MAB</t>
  </si>
  <si>
    <t>SolutionB1</t>
  </si>
  <si>
    <t>SelfSteem</t>
  </si>
  <si>
    <t>Meta Winner Memory One</t>
  </si>
  <si>
    <t>Cycler CCD</t>
  </si>
  <si>
    <t>Alternator</t>
  </si>
  <si>
    <t>$\pi$</t>
  </si>
  <si>
    <t>ZD-Extort-2 v2</t>
  </si>
  <si>
    <t>Tricky Cooperator</t>
  </si>
  <si>
    <t>Better and Better</t>
  </si>
  <si>
    <t>ThueMorseInverse</t>
  </si>
  <si>
    <t>AntiCycler</t>
  </si>
  <si>
    <t>CollectiveStrategy</t>
  </si>
  <si>
    <t>ThueMorse</t>
  </si>
  <si>
    <t>ZD-Extort-2</t>
  </si>
  <si>
    <t>Gradual Killer</t>
  </si>
  <si>
    <t>ZD-Extort-4</t>
  </si>
  <si>
    <t>TF1</t>
  </si>
  <si>
    <t>Win-Shift Lose-Stay</t>
  </si>
  <si>
    <t>$e$</t>
  </si>
  <si>
    <t>Bush Mosteller</t>
  </si>
  <si>
    <t>Aggravater</t>
  </si>
  <si>
    <t>Bully</t>
  </si>
  <si>
    <t>UsuallyDefects</t>
  </si>
  <si>
    <t>Cycler DC</t>
  </si>
  <si>
    <t>ZD-Extortion</t>
  </si>
  <si>
    <t>Cycler DDC</t>
  </si>
  <si>
    <t>Predator</t>
  </si>
  <si>
    <t>Desperate</t>
  </si>
  <si>
    <t>Anti Tit For Tat</t>
  </si>
  <si>
    <t>ZD-Extort3</t>
  </si>
  <si>
    <t>Tricky Defector</t>
  </si>
  <si>
    <t>Hopeless</t>
  </si>
  <si>
    <t>Handshake</t>
  </si>
  <si>
    <t>ZD-Mischief</t>
  </si>
  <si>
    <t>$\phi$</t>
  </si>
  <si>
    <t>Negation</t>
  </si>
  <si>
    <t>Defector</t>
  </si>
  <si>
    <t>Svi!$A$2:$I$228</t>
  </si>
  <si>
    <t>Svi!$A$231:$I$457</t>
  </si>
  <si>
    <t>Svi!$A$460:$I$686</t>
  </si>
  <si>
    <t>Svi!$A$689:$I$915</t>
  </si>
  <si>
    <t>Svi!$A$918:$I$1144</t>
  </si>
  <si>
    <t>CooperationRating</t>
  </si>
  <si>
    <t>GoodPartnerRating</t>
  </si>
  <si>
    <t>EigenJesusRating</t>
  </si>
  <si>
    <t>EigenMosesRating</t>
  </si>
  <si>
    <t>Eigenjesus Rating</t>
  </si>
  <si>
    <t>Eigenmoses Rating</t>
  </si>
  <si>
    <t>SD</t>
  </si>
  <si>
    <t>Results</t>
  </si>
  <si>
    <t>Morality metrics</t>
  </si>
  <si>
    <t>Wins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</si>
</sst>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S_D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2" xfId="0" applyBorder="1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E7FF-0244-40BB-B345-5C64D09E48C9}">
  <dimension ref="B2:H230"/>
  <sheetViews>
    <sheetView tabSelected="1" workbookViewId="0">
      <selection activeCell="P10" sqref="P10"/>
    </sheetView>
  </sheetViews>
  <sheetFormatPr defaultRowHeight="15" x14ac:dyDescent="0.25"/>
  <cols>
    <col min="2" max="2" width="31.5703125" bestFit="1" customWidth="1"/>
    <col min="4" max="4" width="9" bestFit="1" customWidth="1"/>
    <col min="5" max="5" width="12.28515625" customWidth="1"/>
    <col min="6" max="6" width="15.7109375" customWidth="1"/>
    <col min="7" max="7" width="11.85546875" customWidth="1"/>
    <col min="8" max="8" width="13.28515625" customWidth="1"/>
  </cols>
  <sheetData>
    <row r="2" spans="2:8" x14ac:dyDescent="0.25">
      <c r="B2" s="10"/>
      <c r="C2" s="22" t="s">
        <v>288</v>
      </c>
      <c r="D2" s="22"/>
      <c r="E2" s="23" t="s">
        <v>289</v>
      </c>
      <c r="F2" s="22"/>
      <c r="G2" s="22"/>
      <c r="H2" s="22"/>
    </row>
    <row r="3" spans="2:8" ht="30" x14ac:dyDescent="0.25">
      <c r="B3" s="14" t="s">
        <v>0</v>
      </c>
      <c r="C3" s="8" t="s">
        <v>64</v>
      </c>
      <c r="D3" s="8" t="s">
        <v>290</v>
      </c>
      <c r="E3" s="15" t="s">
        <v>62</v>
      </c>
      <c r="F3" s="8" t="s">
        <v>63</v>
      </c>
      <c r="G3" s="8" t="s">
        <v>285</v>
      </c>
      <c r="H3" s="8" t="s">
        <v>286</v>
      </c>
    </row>
    <row r="4" spans="2:8" x14ac:dyDescent="0.25">
      <c r="B4" s="16" t="s">
        <v>96</v>
      </c>
      <c r="C4" s="17">
        <f ca="1">VLOOKUP(B4,Kompilirano!T:Z,7,FALSE)/226/5</f>
        <v>472.29823008849564</v>
      </c>
      <c r="D4" s="18">
        <f ca="1">VLOOKUP(B4,Kompilirano!J:P,7,FALSE)/226/5</f>
        <v>0.5663716814159292</v>
      </c>
      <c r="E4" s="19" t="str">
        <f ca="1">VLOOKUP(B4,Kompilirano!AM:AS,7,FALSE)</f>
        <v>0.44 (0.01)</v>
      </c>
      <c r="F4" s="20" t="str">
        <f ca="1">VLOOKUP(B4,Kompilirano!AW:BD,7,FALSE)</f>
        <v>0.43 (0.01)</v>
      </c>
      <c r="G4" s="20" t="str">
        <f ca="1">VLOOKUP(B4,Kompilirano!BG:BM,7,FALSE)</f>
        <v>0.07 (0.00)</v>
      </c>
      <c r="H4" s="20" t="str">
        <f ca="1">VLOOKUP(B4,Kompilirano!BQ:BW,7,FALSE)</f>
        <v>0.03 (0.01)</v>
      </c>
    </row>
    <row r="5" spans="2:8" x14ac:dyDescent="0.25">
      <c r="B5" s="16" t="s">
        <v>4</v>
      </c>
      <c r="C5" s="17">
        <f ca="1">VLOOKUP(B5,Kompilirano!T:Z,7,FALSE)/226/5</f>
        <v>465.89115044247791</v>
      </c>
      <c r="D5" s="18">
        <f ca="1">VLOOKUP(B5,Kompilirano!J:P,7,FALSE)/226/5</f>
        <v>0.39469026548672564</v>
      </c>
      <c r="E5" s="19" t="str">
        <f ca="1">VLOOKUP(B5,Kompilirano!AM:AS,7,FALSE)</f>
        <v>0.47 (0.01)</v>
      </c>
      <c r="F5" s="20" t="str">
        <f ca="1">VLOOKUP(B5,Kompilirano!AW:BD,7,FALSE)</f>
        <v>0.61 (0.03)</v>
      </c>
      <c r="G5" s="20" t="str">
        <f ca="1">VLOOKUP(B5,Kompilirano!BG:BM,7,FALSE)</f>
        <v>0.06 (0.00)</v>
      </c>
      <c r="H5" s="20" t="str">
        <f ca="1">VLOOKUP(B5,Kompilirano!BQ:BW,7,FALSE)</f>
        <v>-0.04 (0.01)</v>
      </c>
    </row>
    <row r="6" spans="2:8" x14ac:dyDescent="0.25">
      <c r="B6" s="16" t="s">
        <v>91</v>
      </c>
      <c r="C6" s="17">
        <f ca="1">VLOOKUP(B6,Kompilirano!T:Z,7,FALSE)/226/5</f>
        <v>463.28761061946909</v>
      </c>
      <c r="D6" s="18">
        <f ca="1">VLOOKUP(B6,Kompilirano!J:P,7,FALSE)/226/5</f>
        <v>0.56194690265486724</v>
      </c>
      <c r="E6" s="19" t="str">
        <f ca="1">VLOOKUP(B6,Kompilirano!AM:AS,7,FALSE)</f>
        <v>0.34 (0.01)</v>
      </c>
      <c r="F6" s="20" t="str">
        <f ca="1">VLOOKUP(B6,Kompilirano!AW:BD,7,FALSE)</f>
        <v>0.44 (0.01)</v>
      </c>
      <c r="G6" s="20" t="str">
        <f ca="1">VLOOKUP(B6,Kompilirano!BG:BM,7,FALSE)</f>
        <v>0.04 (0.00)</v>
      </c>
      <c r="H6" s="20" t="str">
        <f ca="1">VLOOKUP(B6,Kompilirano!BQ:BW,7,FALSE)</f>
        <v>0.00 (0.00)</v>
      </c>
    </row>
    <row r="7" spans="2:8" x14ac:dyDescent="0.25">
      <c r="B7" s="16" t="s">
        <v>109</v>
      </c>
      <c r="C7" s="17">
        <f ca="1">VLOOKUP(B7,Kompilirano!T:Z,7,FALSE)/226/5</f>
        <v>461.09203539823011</v>
      </c>
      <c r="D7" s="18">
        <f ca="1">VLOOKUP(B7,Kompilirano!J:P,7,FALSE)/226/5</f>
        <v>0.54867256637168138</v>
      </c>
      <c r="E7" s="19" t="str">
        <f ca="1">VLOOKUP(B7,Kompilirano!AM:AS,7,FALSE)</f>
        <v>0.34 (0.01)</v>
      </c>
      <c r="F7" s="20" t="str">
        <f ca="1">VLOOKUP(B7,Kompilirano!AW:BD,7,FALSE)</f>
        <v>0.45 (0.01)</v>
      </c>
      <c r="G7" s="20" t="str">
        <f ca="1">VLOOKUP(B7,Kompilirano!BG:BM,7,FALSE)</f>
        <v>0.05 (0.00)</v>
      </c>
      <c r="H7" s="20" t="str">
        <f ca="1">VLOOKUP(B7,Kompilirano!BQ:BW,7,FALSE)</f>
        <v>0.03 (0.00)</v>
      </c>
    </row>
    <row r="8" spans="2:8" x14ac:dyDescent="0.25">
      <c r="B8" s="16" t="s">
        <v>14</v>
      </c>
      <c r="C8" s="17">
        <f ca="1">VLOOKUP(B8,Kompilirano!T:Z,7,FALSE)/226/5</f>
        <v>459.20353982300884</v>
      </c>
      <c r="D8" s="18">
        <f ca="1">VLOOKUP(B8,Kompilirano!J:P,7,FALSE)/226/5</f>
        <v>0.62123893805309738</v>
      </c>
      <c r="E8" s="19" t="str">
        <f ca="1">VLOOKUP(B8,Kompilirano!AM:AS,7,FALSE)</f>
        <v>0.30 (0.01)</v>
      </c>
      <c r="F8" s="20" t="str">
        <f ca="1">VLOOKUP(B8,Kompilirano!AW:BD,7,FALSE)</f>
        <v>0.38 (0.02)</v>
      </c>
      <c r="G8" s="20" t="str">
        <f ca="1">VLOOKUP(B8,Kompilirano!BG:BM,7,FALSE)</f>
        <v>0.04 (0.00)</v>
      </c>
      <c r="H8" s="20" t="str">
        <f ca="1">VLOOKUP(B8,Kompilirano!BQ:BW,7,FALSE)</f>
        <v>0.02 (0.00)</v>
      </c>
    </row>
    <row r="9" spans="2:8" x14ac:dyDescent="0.25">
      <c r="B9" s="16" t="s">
        <v>70</v>
      </c>
      <c r="C9" s="17">
        <f ca="1">VLOOKUP(B9,Kompilirano!T:Z,7,FALSE)/226/5</f>
        <v>451.51504424778761</v>
      </c>
      <c r="D9" s="18">
        <f ca="1">VLOOKUP(B9,Kompilirano!J:P,7,FALSE)/226/5</f>
        <v>0.47079646017699117</v>
      </c>
      <c r="E9" s="19" t="str">
        <f ca="1">VLOOKUP(B9,Kompilirano!AM:AS,7,FALSE)</f>
        <v>0.38 (0.01)</v>
      </c>
      <c r="F9" s="20" t="str">
        <f ca="1">VLOOKUP(B9,Kompilirano!AW:BD,7,FALSE)</f>
        <v>0.53 (0.02)</v>
      </c>
      <c r="G9" s="20" t="str">
        <f ca="1">VLOOKUP(B9,Kompilirano!BG:BM,7,FALSE)</f>
        <v>0.05 (0.00)</v>
      </c>
      <c r="H9" s="20" t="str">
        <f ca="1">VLOOKUP(B9,Kompilirano!BQ:BW,7,FALSE)</f>
        <v>0.02 (0.00)</v>
      </c>
    </row>
    <row r="10" spans="2:8" x14ac:dyDescent="0.25">
      <c r="B10" s="16" t="s">
        <v>71</v>
      </c>
      <c r="C10" s="17">
        <f ca="1">VLOOKUP(B10,Kompilirano!T:Z,7,FALSE)/226/5</f>
        <v>451.3203539823009</v>
      </c>
      <c r="D10" s="18">
        <f ca="1">VLOOKUP(B10,Kompilirano!J:P,7,FALSE)/226/5</f>
        <v>0.7831858407079646</v>
      </c>
      <c r="E10" s="19" t="str">
        <f ca="1">VLOOKUP(B10,Kompilirano!AM:AS,7,FALSE)</f>
        <v>0.27 (0.01)</v>
      </c>
      <c r="F10" s="20" t="str">
        <f ca="1">VLOOKUP(B10,Kompilirano!AW:BD,7,FALSE)</f>
        <v>0.22 (0.01)</v>
      </c>
      <c r="G10" s="20" t="str">
        <f ca="1">VLOOKUP(B10,Kompilirano!BG:BM,7,FALSE)</f>
        <v>0.04 (0.00)</v>
      </c>
      <c r="H10" s="20" t="str">
        <f ca="1">VLOOKUP(B10,Kompilirano!BQ:BW,7,FALSE)</f>
        <v>0.07 (0.00)</v>
      </c>
    </row>
    <row r="11" spans="2:8" x14ac:dyDescent="0.25">
      <c r="B11" s="16" t="s">
        <v>111</v>
      </c>
      <c r="C11" s="17">
        <f ca="1">VLOOKUP(B11,Kompilirano!T:Z,7,FALSE)/226/5</f>
        <v>450.29469026548679</v>
      </c>
      <c r="D11" s="18">
        <f ca="1">VLOOKUP(B11,Kompilirano!J:P,7,FALSE)/226/5</f>
        <v>0.46283185840707963</v>
      </c>
      <c r="E11" s="19" t="str">
        <f ca="1">VLOOKUP(B11,Kompilirano!AM:AS,7,FALSE)</f>
        <v>0.50 (0.01)</v>
      </c>
      <c r="F11" s="20" t="str">
        <f ca="1">VLOOKUP(B11,Kompilirano!AW:BD,7,FALSE)</f>
        <v>0.54 (0.04)</v>
      </c>
      <c r="G11" s="20" t="str">
        <f ca="1">VLOOKUP(B11,Kompilirano!BG:BM,7,FALSE)</f>
        <v>0.08 (0.00)</v>
      </c>
      <c r="H11" s="20" t="str">
        <f ca="1">VLOOKUP(B11,Kompilirano!BQ:BW,7,FALSE)</f>
        <v>0.05 (0.00)</v>
      </c>
    </row>
    <row r="12" spans="2:8" x14ac:dyDescent="0.25">
      <c r="B12" s="16" t="s">
        <v>82</v>
      </c>
      <c r="C12" s="17">
        <f ca="1">VLOOKUP(B12,Kompilirano!T:Z,7,FALSE)/226/5</f>
        <v>449.1725663716814</v>
      </c>
      <c r="D12" s="18">
        <f ca="1">VLOOKUP(B12,Kompilirano!J:P,7,FALSE)/226/5</f>
        <v>0.48141592920353987</v>
      </c>
      <c r="E12" s="19" t="str">
        <f ca="1">VLOOKUP(B12,Kompilirano!AM:AS,7,FALSE)</f>
        <v>0.49 (0.01)</v>
      </c>
      <c r="F12" s="20" t="str">
        <f ca="1">VLOOKUP(B12,Kompilirano!AW:BD,7,FALSE)</f>
        <v>0.52 (0.01)</v>
      </c>
      <c r="G12" s="20" t="str">
        <f ca="1">VLOOKUP(B12,Kompilirano!BG:BM,7,FALSE)</f>
        <v>0.07 (0.00)</v>
      </c>
      <c r="H12" s="20" t="str">
        <f ca="1">VLOOKUP(B12,Kompilirano!BQ:BW,7,FALSE)</f>
        <v>0.04 (0.00)</v>
      </c>
    </row>
    <row r="13" spans="2:8" x14ac:dyDescent="0.25">
      <c r="B13" s="16" t="s">
        <v>83</v>
      </c>
      <c r="C13" s="17">
        <f ca="1">VLOOKUP(B13,Kompilirano!T:Z,7,FALSE)/226/5</f>
        <v>449.06637168141594</v>
      </c>
      <c r="D13" s="18">
        <f ca="1">VLOOKUP(B13,Kompilirano!J:P,7,FALSE)/226/5</f>
        <v>0.50530973451327432</v>
      </c>
      <c r="E13" s="19" t="str">
        <f ca="1">VLOOKUP(B13,Kompilirano!AM:AS,7,FALSE)</f>
        <v>0.43 (0.01)</v>
      </c>
      <c r="F13" s="20" t="str">
        <f ca="1">VLOOKUP(B13,Kompilirano!AW:BD,7,FALSE)</f>
        <v>0.49 (0.01)</v>
      </c>
      <c r="G13" s="20" t="str">
        <f ca="1">VLOOKUP(B13,Kompilirano!BG:BM,7,FALSE)</f>
        <v>0.07 (0.00)</v>
      </c>
      <c r="H13" s="20" t="str">
        <f ca="1">VLOOKUP(B13,Kompilirano!BQ:BW,7,FALSE)</f>
        <v>0.05 (0.01)</v>
      </c>
    </row>
    <row r="14" spans="2:8" x14ac:dyDescent="0.25">
      <c r="B14" s="16" t="s">
        <v>76</v>
      </c>
      <c r="C14" s="17">
        <f ca="1">VLOOKUP(B14,Kompilirano!T:Z,7,FALSE)/226/5</f>
        <v>448.26194690265481</v>
      </c>
      <c r="D14" s="18">
        <f ca="1">VLOOKUP(B14,Kompilirano!J:P,7,FALSE)/226/5</f>
        <v>0.83805309734513267</v>
      </c>
      <c r="E14" s="19" t="str">
        <f ca="1">VLOOKUP(B14,Kompilirano!AM:AS,7,FALSE)</f>
        <v>0.30 (0.01)</v>
      </c>
      <c r="F14" s="20" t="str">
        <f ca="1">VLOOKUP(B14,Kompilirano!AW:BD,7,FALSE)</f>
        <v>0.16 (0.01)</v>
      </c>
      <c r="G14" s="20" t="str">
        <f ca="1">VLOOKUP(B14,Kompilirano!BG:BM,7,FALSE)</f>
        <v>0.05 (0.00)</v>
      </c>
      <c r="H14" s="20" t="str">
        <f ca="1">VLOOKUP(B14,Kompilirano!BQ:BW,7,FALSE)</f>
        <v>0.09 (0.00)</v>
      </c>
    </row>
    <row r="15" spans="2:8" x14ac:dyDescent="0.25">
      <c r="B15" s="16" t="s">
        <v>81</v>
      </c>
      <c r="C15" s="17">
        <f ca="1">VLOOKUP(B15,Kompilirano!T:Z,7,FALSE)/226/5</f>
        <v>447.68495575221243</v>
      </c>
      <c r="D15" s="18">
        <f ca="1">VLOOKUP(B15,Kompilirano!J:P,7,FALSE)/226/5</f>
        <v>0.71238938053097345</v>
      </c>
      <c r="E15" s="19" t="str">
        <f ca="1">VLOOKUP(B15,Kompilirano!AM:AS,7,FALSE)</f>
        <v>0.29 (0.00)</v>
      </c>
      <c r="F15" s="20" t="str">
        <f ca="1">VLOOKUP(B15,Kompilirano!AW:BD,7,FALSE)</f>
        <v>0.29 (0.01)</v>
      </c>
      <c r="G15" s="20" t="str">
        <f ca="1">VLOOKUP(B15,Kompilirano!BG:BM,7,FALSE)</f>
        <v>0.04 (0.00)</v>
      </c>
      <c r="H15" s="20" t="str">
        <f ca="1">VLOOKUP(B15,Kompilirano!BQ:BW,7,FALSE)</f>
        <v>0.06 (0.00)</v>
      </c>
    </row>
    <row r="16" spans="2:8" x14ac:dyDescent="0.25">
      <c r="B16" s="16" t="s">
        <v>135</v>
      </c>
      <c r="C16" s="17">
        <f ca="1">VLOOKUP(B16,Kompilirano!T:Z,7,FALSE)/226/5</f>
        <v>446.67522123893804</v>
      </c>
      <c r="D16" s="18">
        <f ca="1">VLOOKUP(B16,Kompilirano!J:P,7,FALSE)/226/5</f>
        <v>0.12831858407079647</v>
      </c>
      <c r="E16" s="19" t="str">
        <f ca="1">VLOOKUP(B16,Kompilirano!AM:AS,7,FALSE)</f>
        <v>0.63 (0.01)</v>
      </c>
      <c r="F16" s="20" t="str">
        <f ca="1">VLOOKUP(B16,Kompilirano!AW:BD,7,FALSE)</f>
        <v>0.87 (0.02)</v>
      </c>
      <c r="G16" s="20" t="str">
        <f ca="1">VLOOKUP(B16,Kompilirano!BG:BM,7,FALSE)</f>
        <v>0.09 (0.00)</v>
      </c>
      <c r="H16" s="20" t="str">
        <f ca="1">VLOOKUP(B16,Kompilirano!BQ:BW,7,FALSE)</f>
        <v>0.01 (0.00)</v>
      </c>
    </row>
    <row r="17" spans="2:8" x14ac:dyDescent="0.25">
      <c r="B17" s="16" t="s">
        <v>89</v>
      </c>
      <c r="C17" s="17">
        <f ca="1">VLOOKUP(B17,Kompilirano!T:Z,7,FALSE)/226/5</f>
        <v>445.62654867256634</v>
      </c>
      <c r="D17" s="18">
        <f ca="1">VLOOKUP(B17,Kompilirano!J:P,7,FALSE)/226/5</f>
        <v>0.87256637168141593</v>
      </c>
      <c r="E17" s="19" t="str">
        <f ca="1">VLOOKUP(B17,Kompilirano!AM:AS,7,FALSE)</f>
        <v>0.18 (0.01)</v>
      </c>
      <c r="F17" s="20" t="str">
        <f ca="1">VLOOKUP(B17,Kompilirano!AW:BD,7,FALSE)</f>
        <v>0.13 (0.01)</v>
      </c>
      <c r="G17" s="20" t="str">
        <f ca="1">VLOOKUP(B17,Kompilirano!BG:BM,7,FALSE)</f>
        <v>0.03 (0.00)</v>
      </c>
      <c r="H17" s="20" t="str">
        <f ca="1">VLOOKUP(B17,Kompilirano!BQ:BW,7,FALSE)</f>
        <v>0.09 (0.00)</v>
      </c>
    </row>
    <row r="18" spans="2:8" x14ac:dyDescent="0.25">
      <c r="B18" s="16" t="s">
        <v>134</v>
      </c>
      <c r="C18" s="17">
        <f ca="1">VLOOKUP(B18,Kompilirano!T:Z,7,FALSE)/226/5</f>
        <v>445.61946902654864</v>
      </c>
      <c r="D18" s="18">
        <f ca="1">VLOOKUP(B18,Kompilirano!J:P,7,FALSE)/226/5</f>
        <v>0.35663716814159291</v>
      </c>
      <c r="E18" s="19" t="str">
        <f ca="1">VLOOKUP(B18,Kompilirano!AM:AS,7,FALSE)</f>
        <v>0.56 (0.01)</v>
      </c>
      <c r="F18" s="20" t="str">
        <f ca="1">VLOOKUP(B18,Kompilirano!AW:BD,7,FALSE)</f>
        <v>0.64 (0.03)</v>
      </c>
      <c r="G18" s="20" t="str">
        <f ca="1">VLOOKUP(B18,Kompilirano!BG:BM,7,FALSE)</f>
        <v>0.08 (0.00)</v>
      </c>
      <c r="H18" s="20" t="str">
        <f ca="1">VLOOKUP(B18,Kompilirano!BQ:BW,7,FALSE)</f>
        <v>0.03 (0.00)</v>
      </c>
    </row>
    <row r="19" spans="2:8" x14ac:dyDescent="0.25">
      <c r="B19" s="16" t="s">
        <v>90</v>
      </c>
      <c r="C19" s="17">
        <f ca="1">VLOOKUP(B19,Kompilirano!T:Z,7,FALSE)/226/5</f>
        <v>445.03008849557517</v>
      </c>
      <c r="D19" s="18">
        <f ca="1">VLOOKUP(B19,Kompilirano!J:P,7,FALSE)/226/5</f>
        <v>0.86814159292035398</v>
      </c>
      <c r="E19" s="19" t="str">
        <f ca="1">VLOOKUP(B19,Kompilirano!AM:AS,7,FALSE)</f>
        <v>0.26 (0.01)</v>
      </c>
      <c r="F19" s="20" t="str">
        <f ca="1">VLOOKUP(B19,Kompilirano!AW:BD,7,FALSE)</f>
        <v>0.13 (0.02)</v>
      </c>
      <c r="G19" s="20" t="str">
        <f ca="1">VLOOKUP(B19,Kompilirano!BG:BM,7,FALSE)</f>
        <v>0.04 (0.00)</v>
      </c>
      <c r="H19" s="20" t="str">
        <f ca="1">VLOOKUP(B19,Kompilirano!BQ:BW,7,FALSE)</f>
        <v>0.10 (0.00)</v>
      </c>
    </row>
    <row r="20" spans="2:8" x14ac:dyDescent="0.25">
      <c r="B20" s="16" t="s">
        <v>98</v>
      </c>
      <c r="C20" s="17">
        <f ca="1">VLOOKUP(B20,Kompilirano!T:Z,7,FALSE)/226/5</f>
        <v>444.67079646017703</v>
      </c>
      <c r="D20" s="18">
        <f ca="1">VLOOKUP(B20,Kompilirano!J:P,7,FALSE)/226/5</f>
        <v>0.66283185840707959</v>
      </c>
      <c r="E20" s="19" t="str">
        <f ca="1">VLOOKUP(B20,Kompilirano!AM:AS,7,FALSE)</f>
        <v>0.45 (0.01)</v>
      </c>
      <c r="F20" s="20" t="str">
        <f ca="1">VLOOKUP(B20,Kompilirano!AW:BD,7,FALSE)</f>
        <v>0.34 (0.03)</v>
      </c>
      <c r="G20" s="20" t="str">
        <f ca="1">VLOOKUP(B20,Kompilirano!BG:BM,7,FALSE)</f>
        <v>0.07 (0.00)</v>
      </c>
      <c r="H20" s="20" t="str">
        <f ca="1">VLOOKUP(B20,Kompilirano!BQ:BW,7,FALSE)</f>
        <v>0.07 (0.00)</v>
      </c>
    </row>
    <row r="21" spans="2:8" x14ac:dyDescent="0.25">
      <c r="B21" s="16" t="s">
        <v>177</v>
      </c>
      <c r="C21" s="17">
        <f ca="1">VLOOKUP(B21,Kompilirano!T:Z,7,FALSE)/226/5</f>
        <v>443.40353982300883</v>
      </c>
      <c r="D21" s="18">
        <f ca="1">VLOOKUP(B21,Kompilirano!J:P,7,FALSE)/226/5</f>
        <v>0.26991150442477874</v>
      </c>
      <c r="E21" s="19" t="str">
        <f ca="1">VLOOKUP(B21,Kompilirano!AM:AS,7,FALSE)</f>
        <v>0.56 (0.01)</v>
      </c>
      <c r="F21" s="20" t="str">
        <f ca="1">VLOOKUP(B21,Kompilirano!AW:BD,7,FALSE)</f>
        <v>0.73 (0.03)</v>
      </c>
      <c r="G21" s="20" t="str">
        <f ca="1">VLOOKUP(B21,Kompilirano!BG:BM,7,FALSE)</f>
        <v>0.08 (0.00)</v>
      </c>
      <c r="H21" s="20" t="str">
        <f ca="1">VLOOKUP(B21,Kompilirano!BQ:BW,7,FALSE)</f>
        <v>0.03 (0.00)</v>
      </c>
    </row>
    <row r="22" spans="2:8" x14ac:dyDescent="0.25">
      <c r="B22" s="16" t="s">
        <v>113</v>
      </c>
      <c r="C22" s="17">
        <f ca="1">VLOOKUP(B22,Kompilirano!T:Z,7,FALSE)/226/5</f>
        <v>441.60265486725666</v>
      </c>
      <c r="D22" s="18">
        <f ca="1">VLOOKUP(B22,Kompilirano!J:P,7,FALSE)/226/5</f>
        <v>0.69469026548672574</v>
      </c>
      <c r="E22" s="19" t="str">
        <f ca="1">VLOOKUP(B22,Kompilirano!AM:AS,7,FALSE)</f>
        <v>0.34 (0.01)</v>
      </c>
      <c r="F22" s="20" t="str">
        <f ca="1">VLOOKUP(B22,Kompilirano!AW:BD,7,FALSE)</f>
        <v>0.31 (0.01)</v>
      </c>
      <c r="G22" s="20" t="str">
        <f ca="1">VLOOKUP(B22,Kompilirano!BG:BM,7,FALSE)</f>
        <v>0.05 (0.00)</v>
      </c>
      <c r="H22" s="20" t="str">
        <f ca="1">VLOOKUP(B22,Kompilirano!BQ:BW,7,FALSE)</f>
        <v>0.08 (0.00)</v>
      </c>
    </row>
    <row r="23" spans="2:8" x14ac:dyDescent="0.25">
      <c r="B23" s="16" t="s">
        <v>163</v>
      </c>
      <c r="C23" s="17">
        <f ca="1">VLOOKUP(B23,Kompilirano!T:Z,7,FALSE)/226/5</f>
        <v>441.46637168141598</v>
      </c>
      <c r="D23" s="18">
        <f ca="1">VLOOKUP(B23,Kompilirano!J:P,7,FALSE)/226/5</f>
        <v>0.1823008849557522</v>
      </c>
      <c r="E23" s="19" t="str">
        <f ca="1">VLOOKUP(B23,Kompilirano!AM:AS,7,FALSE)</f>
        <v>0.69 (0.01)</v>
      </c>
      <c r="F23" s="20" t="str">
        <f ca="1">VLOOKUP(B23,Kompilirano!AW:BD,7,FALSE)</f>
        <v>0.82 (0.02)</v>
      </c>
      <c r="G23" s="20" t="str">
        <f ca="1">VLOOKUP(B23,Kompilirano!BG:BM,7,FALSE)</f>
        <v>0.10 (0.00)</v>
      </c>
      <c r="H23" s="20" t="str">
        <f ca="1">VLOOKUP(B23,Kompilirano!BQ:BW,7,FALSE)</f>
        <v>-0.02 (0.01)</v>
      </c>
    </row>
    <row r="24" spans="2:8" x14ac:dyDescent="0.25">
      <c r="B24" s="16" t="s">
        <v>85</v>
      </c>
      <c r="C24" s="17">
        <f ca="1">VLOOKUP(B24,Kompilirano!T:Z,7,FALSE)/226/5</f>
        <v>441.24690265486726</v>
      </c>
      <c r="D24" s="18">
        <f ca="1">VLOOKUP(B24,Kompilirano!J:P,7,FALSE)/226/5</f>
        <v>0.87522123893805315</v>
      </c>
      <c r="E24" s="19" t="str">
        <f ca="1">VLOOKUP(B24,Kompilirano!AM:AS,7,FALSE)</f>
        <v>0.17 (0.00)</v>
      </c>
      <c r="F24" s="20" t="str">
        <f ca="1">VLOOKUP(B24,Kompilirano!AW:BD,7,FALSE)</f>
        <v>0.12 (0.01)</v>
      </c>
      <c r="G24" s="20" t="str">
        <f ca="1">VLOOKUP(B24,Kompilirano!BG:BM,7,FALSE)</f>
        <v>0.02 (0.00)</v>
      </c>
      <c r="H24" s="20" t="str">
        <f ca="1">VLOOKUP(B24,Kompilirano!BQ:BW,7,FALSE)</f>
        <v>0.09 (0.00)</v>
      </c>
    </row>
    <row r="25" spans="2:8" x14ac:dyDescent="0.25">
      <c r="B25" s="16" t="s">
        <v>99</v>
      </c>
      <c r="C25" s="17">
        <f ca="1">VLOOKUP(B25,Kompilirano!T:Z,7,FALSE)/226/5</f>
        <v>441.15221238938057</v>
      </c>
      <c r="D25" s="18">
        <f ca="1">VLOOKUP(B25,Kompilirano!J:P,7,FALSE)/226/5</f>
        <v>0.47522123893805307</v>
      </c>
      <c r="E25" s="19" t="str">
        <f ca="1">VLOOKUP(B25,Kompilirano!AM:AS,7,FALSE)</f>
        <v>0.46 (0.00)</v>
      </c>
      <c r="F25" s="20" t="str">
        <f ca="1">VLOOKUP(B25,Kompilirano!AW:BD,7,FALSE)</f>
        <v>0.52 (0.02)</v>
      </c>
      <c r="G25" s="20" t="str">
        <f ca="1">VLOOKUP(B25,Kompilirano!BG:BM,7,FALSE)</f>
        <v>0.07 (0.00)</v>
      </c>
      <c r="H25" s="20" t="str">
        <f ca="1">VLOOKUP(B25,Kompilirano!BQ:BW,7,FALSE)</f>
        <v>0.05 (0.00)</v>
      </c>
    </row>
    <row r="26" spans="2:8" x14ac:dyDescent="0.25">
      <c r="B26" s="16" t="s">
        <v>65</v>
      </c>
      <c r="C26" s="17">
        <f ca="1">VLOOKUP(B26,Kompilirano!T:Z,7,FALSE)/226/5</f>
        <v>440.71061946902654</v>
      </c>
      <c r="D26" s="18">
        <f ca="1">VLOOKUP(B26,Kompilirano!J:P,7,FALSE)/226/5</f>
        <v>0.43274336283185838</v>
      </c>
      <c r="E26" s="19" t="str">
        <f ca="1">VLOOKUP(B26,Kompilirano!AM:AS,7,FALSE)</f>
        <v>0.41 (0.01)</v>
      </c>
      <c r="F26" s="20" t="str">
        <f ca="1">VLOOKUP(B26,Kompilirano!AW:BD,7,FALSE)</f>
        <v>0.57 (0.02)</v>
      </c>
      <c r="G26" s="20" t="str">
        <f ca="1">VLOOKUP(B26,Kompilirano!BG:BM,7,FALSE)</f>
        <v>0.05 (0.00)</v>
      </c>
      <c r="H26" s="20" t="str">
        <f ca="1">VLOOKUP(B26,Kompilirano!BQ:BW,7,FALSE)</f>
        <v>0.01 (0.00)</v>
      </c>
    </row>
    <row r="27" spans="2:8" x14ac:dyDescent="0.25">
      <c r="B27" s="16" t="s">
        <v>86</v>
      </c>
      <c r="C27" s="17">
        <f ca="1">VLOOKUP(B27,Kompilirano!T:Z,7,FALSE)/226/5</f>
        <v>440.11592920353979</v>
      </c>
      <c r="D27" s="18">
        <f ca="1">VLOOKUP(B27,Kompilirano!J:P,7,FALSE)/226/5</f>
        <v>0.84601769911504421</v>
      </c>
      <c r="E27" s="19" t="str">
        <f ca="1">VLOOKUP(B27,Kompilirano!AM:AS,7,FALSE)</f>
        <v>0.17 (0.00)</v>
      </c>
      <c r="F27" s="20" t="str">
        <f ca="1">VLOOKUP(B27,Kompilirano!AW:BD,7,FALSE)</f>
        <v>0.15 (0.03)</v>
      </c>
      <c r="G27" s="20" t="str">
        <f ca="1">VLOOKUP(B27,Kompilirano!BG:BM,7,FALSE)</f>
        <v>0.02 (0.00)</v>
      </c>
      <c r="H27" s="20" t="str">
        <f ca="1">VLOOKUP(B27,Kompilirano!BQ:BW,7,FALSE)</f>
        <v>0.08 (0.00)</v>
      </c>
    </row>
    <row r="28" spans="2:8" x14ac:dyDescent="0.25">
      <c r="B28" s="16" t="s">
        <v>93</v>
      </c>
      <c r="C28" s="17">
        <f ca="1">VLOOKUP(B28,Kompilirano!T:Z,7,FALSE)/226/5</f>
        <v>438.38318584070794</v>
      </c>
      <c r="D28" s="18">
        <f ca="1">VLOOKUP(B28,Kompilirano!J:P,7,FALSE)/226/5</f>
        <v>0.83982300884955752</v>
      </c>
      <c r="E28" s="19" t="str">
        <f ca="1">VLOOKUP(B28,Kompilirano!AM:AS,7,FALSE)</f>
        <v>0.19 (0.00)</v>
      </c>
      <c r="F28" s="20" t="str">
        <f ca="1">VLOOKUP(B28,Kompilirano!AW:BD,7,FALSE)</f>
        <v>0.16 (0.03)</v>
      </c>
      <c r="G28" s="20" t="str">
        <f ca="1">VLOOKUP(B28,Kompilirano!BG:BM,7,FALSE)</f>
        <v>0.03 (0.00)</v>
      </c>
      <c r="H28" s="20" t="str">
        <f ca="1">VLOOKUP(B28,Kompilirano!BQ:BW,7,FALSE)</f>
        <v>0.08 (0.00)</v>
      </c>
    </row>
    <row r="29" spans="2:8" x14ac:dyDescent="0.25">
      <c r="B29" s="16" t="s">
        <v>5</v>
      </c>
      <c r="C29" s="17">
        <f ca="1">VLOOKUP(B29,Kompilirano!T:Z,7,FALSE)/226/5</f>
        <v>438.12831858407083</v>
      </c>
      <c r="D29" s="18">
        <f ca="1">VLOOKUP(B29,Kompilirano!J:P,7,FALSE)/226/5</f>
        <v>0.63982300884955756</v>
      </c>
      <c r="E29" s="19" t="str">
        <f ca="1">VLOOKUP(B29,Kompilirano!AM:AS,7,FALSE)</f>
        <v>0.41 (0.01)</v>
      </c>
      <c r="F29" s="20" t="str">
        <f ca="1">VLOOKUP(B29,Kompilirano!AW:BD,7,FALSE)</f>
        <v>0.36 (0.01)</v>
      </c>
      <c r="G29" s="20" t="str">
        <f ca="1">VLOOKUP(B29,Kompilirano!BG:BM,7,FALSE)</f>
        <v>0.06 (0.00)</v>
      </c>
      <c r="H29" s="20" t="str">
        <f ca="1">VLOOKUP(B29,Kompilirano!BQ:BW,7,FALSE)</f>
        <v>0.07 (0.00)</v>
      </c>
    </row>
    <row r="30" spans="2:8" x14ac:dyDescent="0.25">
      <c r="B30" s="16" t="s">
        <v>122</v>
      </c>
      <c r="C30" s="17">
        <f ca="1">VLOOKUP(B30,Kompilirano!T:Z,7,FALSE)/226/5</f>
        <v>437.7221238938053</v>
      </c>
      <c r="D30" s="18">
        <f ca="1">VLOOKUP(B30,Kompilirano!J:P,7,FALSE)/226/5</f>
        <v>0.59646017699115039</v>
      </c>
      <c r="E30" s="19" t="str">
        <f ca="1">VLOOKUP(B30,Kompilirano!AM:AS,7,FALSE)</f>
        <v>0.41 (0.02)</v>
      </c>
      <c r="F30" s="20" t="str">
        <f ca="1">VLOOKUP(B30,Kompilirano!AW:BD,7,FALSE)</f>
        <v>0.40 (0.03)</v>
      </c>
      <c r="G30" s="20" t="str">
        <f ca="1">VLOOKUP(B30,Kompilirano!BG:BM,7,FALSE)</f>
        <v>0.06 (0.00)</v>
      </c>
      <c r="H30" s="20" t="str">
        <f ca="1">VLOOKUP(B30,Kompilirano!BQ:BW,7,FALSE)</f>
        <v>0.08 (0.01)</v>
      </c>
    </row>
    <row r="31" spans="2:8" x14ac:dyDescent="0.25">
      <c r="B31" s="16" t="s">
        <v>133</v>
      </c>
      <c r="C31" s="17">
        <f ca="1">VLOOKUP(B31,Kompilirano!T:Z,7,FALSE)/226/5</f>
        <v>437.64070796460175</v>
      </c>
      <c r="D31" s="18">
        <f ca="1">VLOOKUP(B31,Kompilirano!J:P,7,FALSE)/226/5</f>
        <v>0.27345132743362832</v>
      </c>
      <c r="E31" s="19" t="str">
        <f ca="1">VLOOKUP(B31,Kompilirano!AM:AS,7,FALSE)</f>
        <v>0.56 (0.01)</v>
      </c>
      <c r="F31" s="20" t="str">
        <f ca="1">VLOOKUP(B31,Kompilirano!AW:BD,7,FALSE)</f>
        <v>0.73 (0.01)</v>
      </c>
      <c r="G31" s="20" t="str">
        <f ca="1">VLOOKUP(B31,Kompilirano!BG:BM,7,FALSE)</f>
        <v>0.08 (0.00)</v>
      </c>
      <c r="H31" s="20" t="str">
        <f ca="1">VLOOKUP(B31,Kompilirano!BQ:BW,7,FALSE)</f>
        <v>0.02 (0.01)</v>
      </c>
    </row>
    <row r="32" spans="2:8" x14ac:dyDescent="0.25">
      <c r="B32" s="16" t="s">
        <v>80</v>
      </c>
      <c r="C32" s="17">
        <f ca="1">VLOOKUP(B32,Kompilirano!T:Z,7,FALSE)/226/5</f>
        <v>437.02566371681417</v>
      </c>
      <c r="D32" s="18">
        <f ca="1">VLOOKUP(B32,Kompilirano!J:P,7,FALSE)/226/5</f>
        <v>0.73539823008849559</v>
      </c>
      <c r="E32" s="19" t="str">
        <f ca="1">VLOOKUP(B32,Kompilirano!AM:AS,7,FALSE)</f>
        <v>0.27 (0.01)</v>
      </c>
      <c r="F32" s="20" t="str">
        <f ca="1">VLOOKUP(B32,Kompilirano!AW:BD,7,FALSE)</f>
        <v>0.26 (0.01)</v>
      </c>
      <c r="G32" s="20" t="str">
        <f ca="1">VLOOKUP(B32,Kompilirano!BG:BM,7,FALSE)</f>
        <v>0.04 (0.00)</v>
      </c>
      <c r="H32" s="20" t="str">
        <f ca="1">VLOOKUP(B32,Kompilirano!BQ:BW,7,FALSE)</f>
        <v>0.08 (0.00)</v>
      </c>
    </row>
    <row r="33" spans="2:8" x14ac:dyDescent="0.25">
      <c r="B33" s="16" t="s">
        <v>137</v>
      </c>
      <c r="C33" s="17">
        <f ca="1">VLOOKUP(B33,Kompilirano!T:Z,7,FALSE)/226/5</f>
        <v>436.30707964601771</v>
      </c>
      <c r="D33" s="18">
        <f ca="1">VLOOKUP(B33,Kompilirano!J:P,7,FALSE)/226/5</f>
        <v>0.29557522123893809</v>
      </c>
      <c r="E33" s="19" t="str">
        <f ca="1">VLOOKUP(B33,Kompilirano!AM:AS,7,FALSE)</f>
        <v>0.60 (0.01)</v>
      </c>
      <c r="F33" s="20" t="str">
        <f ca="1">VLOOKUP(B33,Kompilirano!AW:BD,7,FALSE)</f>
        <v>0.70 (0.02)</v>
      </c>
      <c r="G33" s="20" t="str">
        <f ca="1">VLOOKUP(B33,Kompilirano!BG:BM,7,FALSE)</f>
        <v>0.09 (0.00)</v>
      </c>
      <c r="H33" s="20" t="str">
        <f ca="1">VLOOKUP(B33,Kompilirano!BQ:BW,7,FALSE)</f>
        <v>0.02 (0.01)</v>
      </c>
    </row>
    <row r="34" spans="2:8" x14ac:dyDescent="0.25">
      <c r="B34" s="16" t="s">
        <v>151</v>
      </c>
      <c r="C34" s="17">
        <f ca="1">VLOOKUP(B34,Kompilirano!T:Z,7,FALSE)/226/5</f>
        <v>436.00530973451322</v>
      </c>
      <c r="D34" s="18">
        <f ca="1">VLOOKUP(B34,Kompilirano!J:P,7,FALSE)/226/5</f>
        <v>0.30796460176991147</v>
      </c>
      <c r="E34" s="19" t="str">
        <f ca="1">VLOOKUP(B34,Kompilirano!AM:AS,7,FALSE)</f>
        <v>0.58 (0.01)</v>
      </c>
      <c r="F34" s="20" t="str">
        <f ca="1">VLOOKUP(B34,Kompilirano!AW:BD,7,FALSE)</f>
        <v>0.69 (0.04)</v>
      </c>
      <c r="G34" s="20" t="str">
        <f ca="1">VLOOKUP(B34,Kompilirano!BG:BM,7,FALSE)</f>
        <v>0.09 (0.00)</v>
      </c>
      <c r="H34" s="20" t="str">
        <f ca="1">VLOOKUP(B34,Kompilirano!BQ:BW,7,FALSE)</f>
        <v>0.03 (0.01)</v>
      </c>
    </row>
    <row r="35" spans="2:8" x14ac:dyDescent="0.25">
      <c r="B35" s="16" t="s">
        <v>128</v>
      </c>
      <c r="C35" s="17">
        <f ca="1">VLOOKUP(B35,Kompilirano!T:Z,7,FALSE)/226/5</f>
        <v>435.91681415929207</v>
      </c>
      <c r="D35" s="18">
        <f ca="1">VLOOKUP(B35,Kompilirano!J:P,7,FALSE)/226/5</f>
        <v>0.16371681415929204</v>
      </c>
      <c r="E35" s="19" t="str">
        <f ca="1">VLOOKUP(B35,Kompilirano!AM:AS,7,FALSE)</f>
        <v>0.60 (0.01)</v>
      </c>
      <c r="F35" s="20" t="str">
        <f ca="1">VLOOKUP(B35,Kompilirano!AW:BD,7,FALSE)</f>
        <v>0.84 (0.02)</v>
      </c>
      <c r="G35" s="20" t="str">
        <f ca="1">VLOOKUP(B35,Kompilirano!BG:BM,7,FALSE)</f>
        <v>0.09 (0.00)</v>
      </c>
      <c r="H35" s="20" t="str">
        <f ca="1">VLOOKUP(B35,Kompilirano!BQ:BW,7,FALSE)</f>
        <v>0.03 (0.00)</v>
      </c>
    </row>
    <row r="36" spans="2:8" x14ac:dyDescent="0.25">
      <c r="B36" s="16" t="s">
        <v>192</v>
      </c>
      <c r="C36" s="17">
        <f ca="1">VLOOKUP(B36,Kompilirano!T:Z,7,FALSE)/226/5</f>
        <v>435.86902654867254</v>
      </c>
      <c r="D36" s="18">
        <f ca="1">VLOOKUP(B36,Kompilirano!J:P,7,FALSE)/226/5</f>
        <v>0.50796460176991154</v>
      </c>
      <c r="E36" s="19" t="str">
        <f ca="1">VLOOKUP(B36,Kompilirano!AM:AS,7,FALSE)</f>
        <v>0.36 (0.01)</v>
      </c>
      <c r="F36" s="20" t="str">
        <f ca="1">VLOOKUP(B36,Kompilirano!AW:BD,7,FALSE)</f>
        <v>0.49 (0.02)</v>
      </c>
      <c r="G36" s="20" t="str">
        <f ca="1">VLOOKUP(B36,Kompilirano!BG:BM,7,FALSE)</f>
        <v>0.05 (0.00)</v>
      </c>
      <c r="H36" s="20" t="str">
        <f ca="1">VLOOKUP(B36,Kompilirano!BQ:BW,7,FALSE)</f>
        <v>0.05 (0.00)</v>
      </c>
    </row>
    <row r="37" spans="2:8" x14ac:dyDescent="0.25">
      <c r="B37" s="16" t="s">
        <v>155</v>
      </c>
      <c r="C37" s="17">
        <f ca="1">VLOOKUP(B37,Kompilirano!T:Z,7,FALSE)/226/5</f>
        <v>435.21946902654861</v>
      </c>
      <c r="D37" s="18">
        <f ca="1">VLOOKUP(B37,Kompilirano!J:P,7,FALSE)/226/5</f>
        <v>0.32477876106194692</v>
      </c>
      <c r="E37" s="19" t="str">
        <f ca="1">VLOOKUP(B37,Kompilirano!AM:AS,7,FALSE)</f>
        <v>0.57 (0.01)</v>
      </c>
      <c r="F37" s="20" t="str">
        <f ca="1">VLOOKUP(B37,Kompilirano!AW:BD,7,FALSE)</f>
        <v>0.68 (0.01)</v>
      </c>
      <c r="G37" s="20" t="str">
        <f ca="1">VLOOKUP(B37,Kompilirano!BG:BM,7,FALSE)</f>
        <v>0.09 (0.00)</v>
      </c>
      <c r="H37" s="20" t="str">
        <f ca="1">VLOOKUP(B37,Kompilirano!BQ:BW,7,FALSE)</f>
        <v>0.04 (0.00)</v>
      </c>
    </row>
    <row r="38" spans="2:8" x14ac:dyDescent="0.25">
      <c r="B38" s="16" t="s">
        <v>159</v>
      </c>
      <c r="C38" s="17">
        <f ca="1">VLOOKUP(B38,Kompilirano!T:Z,7,FALSE)/226/5</f>
        <v>434.63893805309738</v>
      </c>
      <c r="D38" s="18">
        <f ca="1">VLOOKUP(B38,Kompilirano!J:P,7,FALSE)/226/5</f>
        <v>0.33893805309734515</v>
      </c>
      <c r="E38" s="19" t="str">
        <f ca="1">VLOOKUP(B38,Kompilirano!AM:AS,7,FALSE)</f>
        <v>0.61 (0.01)</v>
      </c>
      <c r="F38" s="20" t="str">
        <f ca="1">VLOOKUP(B38,Kompilirano!AW:BD,7,FALSE)</f>
        <v>0.66 (0.02)</v>
      </c>
      <c r="G38" s="20" t="str">
        <f ca="1">VLOOKUP(B38,Kompilirano!BG:BM,7,FALSE)</f>
        <v>0.08 (0.00)</v>
      </c>
      <c r="H38" s="20" t="str">
        <f ca="1">VLOOKUP(B38,Kompilirano!BQ:BW,7,FALSE)</f>
        <v>-0.02 (0.00)</v>
      </c>
    </row>
    <row r="39" spans="2:8" x14ac:dyDescent="0.25">
      <c r="B39" s="16" t="s">
        <v>166</v>
      </c>
      <c r="C39" s="17">
        <f ca="1">VLOOKUP(B39,Kompilirano!T:Z,7,FALSE)/226/5</f>
        <v>434.51504424778761</v>
      </c>
      <c r="D39" s="18">
        <f ca="1">VLOOKUP(B39,Kompilirano!J:P,7,FALSE)/226/5</f>
        <v>0.3088495575221239</v>
      </c>
      <c r="E39" s="19" t="str">
        <f ca="1">VLOOKUP(B39,Kompilirano!AM:AS,7,FALSE)</f>
        <v>0.60 (0.02)</v>
      </c>
      <c r="F39" s="20" t="str">
        <f ca="1">VLOOKUP(B39,Kompilirano!AW:BD,7,FALSE)</f>
        <v>0.69 (0.03)</v>
      </c>
      <c r="G39" s="20" t="str">
        <f ca="1">VLOOKUP(B39,Kompilirano!BG:BM,7,FALSE)</f>
        <v>0.09 (0.00)</v>
      </c>
      <c r="H39" s="20" t="str">
        <f ca="1">VLOOKUP(B39,Kompilirano!BQ:BW,7,FALSE)</f>
        <v>0.02 (0.01)</v>
      </c>
    </row>
    <row r="40" spans="2:8" x14ac:dyDescent="0.25">
      <c r="B40" s="16" t="s">
        <v>127</v>
      </c>
      <c r="C40" s="17">
        <f ca="1">VLOOKUP(B40,Kompilirano!T:Z,7,FALSE)/226/5</f>
        <v>433.7008849557522</v>
      </c>
      <c r="D40" s="18">
        <f ca="1">VLOOKUP(B40,Kompilirano!J:P,7,FALSE)/226/5</f>
        <v>0.3690265486725664</v>
      </c>
      <c r="E40" s="19" t="str">
        <f ca="1">VLOOKUP(B40,Kompilirano!AM:AS,7,FALSE)</f>
        <v>0.52 (0.01)</v>
      </c>
      <c r="F40" s="20" t="str">
        <f ca="1">VLOOKUP(B40,Kompilirano!AW:BD,7,FALSE)</f>
        <v>0.63 (0.02)</v>
      </c>
      <c r="G40" s="20" t="str">
        <f ca="1">VLOOKUP(B40,Kompilirano!BG:BM,7,FALSE)</f>
        <v>0.08 (0.00)</v>
      </c>
      <c r="H40" s="20" t="str">
        <f ca="1">VLOOKUP(B40,Kompilirano!BQ:BW,7,FALSE)</f>
        <v>0.05 (0.00)</v>
      </c>
    </row>
    <row r="41" spans="2:8" x14ac:dyDescent="0.25">
      <c r="B41" s="16" t="s">
        <v>103</v>
      </c>
      <c r="C41" s="17">
        <f ca="1">VLOOKUP(B41,Kompilirano!T:Z,7,FALSE)/226/5</f>
        <v>433.19469026548677</v>
      </c>
      <c r="D41" s="18">
        <f ca="1">VLOOKUP(B41,Kompilirano!J:P,7,FALSE)/226/5</f>
        <v>0.5690265486725663</v>
      </c>
      <c r="E41" s="19" t="str">
        <f ca="1">VLOOKUP(B41,Kompilirano!AM:AS,7,FALSE)</f>
        <v>0.30 (0.00)</v>
      </c>
      <c r="F41" s="20" t="str">
        <f ca="1">VLOOKUP(B41,Kompilirano!AW:BD,7,FALSE)</f>
        <v>0.43 (0.03)</v>
      </c>
      <c r="G41" s="20" t="str">
        <f ca="1">VLOOKUP(B41,Kompilirano!BG:BM,7,FALSE)</f>
        <v>0.04 (0.00)</v>
      </c>
      <c r="H41" s="20" t="str">
        <f ca="1">VLOOKUP(B41,Kompilirano!BQ:BW,7,FALSE)</f>
        <v>0.05 (0.00)</v>
      </c>
    </row>
    <row r="42" spans="2:8" x14ac:dyDescent="0.25">
      <c r="B42" s="16" t="s">
        <v>143</v>
      </c>
      <c r="C42" s="17">
        <f ca="1">VLOOKUP(B42,Kompilirano!T:Z,7,FALSE)/226/5</f>
        <v>432.04601769911505</v>
      </c>
      <c r="D42" s="18">
        <f ca="1">VLOOKUP(B42,Kompilirano!J:P,7,FALSE)/226/5</f>
        <v>0.28761061946902655</v>
      </c>
      <c r="E42" s="19" t="str">
        <f ca="1">VLOOKUP(B42,Kompilirano!AM:AS,7,FALSE)</f>
        <v>0.57 (0.01)</v>
      </c>
      <c r="F42" s="20" t="str">
        <f ca="1">VLOOKUP(B42,Kompilirano!AW:BD,7,FALSE)</f>
        <v>0.71 (0.02)</v>
      </c>
      <c r="G42" s="20" t="str">
        <f ca="1">VLOOKUP(B42,Kompilirano!BG:BM,7,FALSE)</f>
        <v>0.09 (0.00)</v>
      </c>
      <c r="H42" s="20" t="str">
        <f ca="1">VLOOKUP(B42,Kompilirano!BQ:BW,7,FALSE)</f>
        <v>0.04 (0.01)</v>
      </c>
    </row>
    <row r="43" spans="2:8" x14ac:dyDescent="0.25">
      <c r="B43" s="16" t="s">
        <v>77</v>
      </c>
      <c r="C43" s="17">
        <f ca="1">VLOOKUP(B43,Kompilirano!T:Z,7,FALSE)/226/5</f>
        <v>431.98495575221239</v>
      </c>
      <c r="D43" s="18">
        <f ca="1">VLOOKUP(B43,Kompilirano!J:P,7,FALSE)/226/5</f>
        <v>0.41681415929203541</v>
      </c>
      <c r="E43" s="19" t="str">
        <f ca="1">VLOOKUP(B43,Kompilirano!AM:AS,7,FALSE)</f>
        <v>0.44 (0.01)</v>
      </c>
      <c r="F43" s="20" t="str">
        <f ca="1">VLOOKUP(B43,Kompilirano!AW:BD,7,FALSE)</f>
        <v>0.58 (0.03)</v>
      </c>
      <c r="G43" s="20" t="str">
        <f ca="1">VLOOKUP(B43,Kompilirano!BG:BM,7,FALSE)</f>
        <v>0.06 (0.00)</v>
      </c>
      <c r="H43" s="20" t="str">
        <f ca="1">VLOOKUP(B43,Kompilirano!BQ:BW,7,FALSE)</f>
        <v>0.03 (0.00)</v>
      </c>
    </row>
    <row r="44" spans="2:8" x14ac:dyDescent="0.25">
      <c r="B44" s="16" t="s">
        <v>92</v>
      </c>
      <c r="C44" s="17">
        <f ca="1">VLOOKUP(B44,Kompilirano!T:Z,7,FALSE)/226/5</f>
        <v>431.85309734513277</v>
      </c>
      <c r="D44" s="18">
        <f ca="1">VLOOKUP(B44,Kompilirano!J:P,7,FALSE)/226/5</f>
        <v>0.87256637168141593</v>
      </c>
      <c r="E44" s="19" t="str">
        <f ca="1">VLOOKUP(B44,Kompilirano!AM:AS,7,FALSE)</f>
        <v>0.13 (0.00)</v>
      </c>
      <c r="F44" s="20" t="str">
        <f ca="1">VLOOKUP(B44,Kompilirano!AW:BD,7,FALSE)</f>
        <v>0.13 (0.01)</v>
      </c>
      <c r="G44" s="20" t="str">
        <f ca="1">VLOOKUP(B44,Kompilirano!BG:BM,7,FALSE)</f>
        <v>0.02 (0.00)</v>
      </c>
      <c r="H44" s="20" t="str">
        <f ca="1">VLOOKUP(B44,Kompilirano!BQ:BW,7,FALSE)</f>
        <v>0.09 (0.00)</v>
      </c>
    </row>
    <row r="45" spans="2:8" x14ac:dyDescent="0.25">
      <c r="B45" s="16" t="s">
        <v>169</v>
      </c>
      <c r="C45" s="17">
        <f ca="1">VLOOKUP(B45,Kompilirano!T:Z,7,FALSE)/226/5</f>
        <v>431.65221238938057</v>
      </c>
      <c r="D45" s="18">
        <f ca="1">VLOOKUP(B45,Kompilirano!J:P,7,FALSE)/226/5</f>
        <v>8.9380530973451319E-2</v>
      </c>
      <c r="E45" s="19" t="str">
        <f ca="1">VLOOKUP(B45,Kompilirano!AM:AS,7,FALSE)</f>
        <v>0.69 (0.00)</v>
      </c>
      <c r="F45" s="20" t="str">
        <f ca="1">VLOOKUP(B45,Kompilirano!AW:BD,7,FALSE)</f>
        <v>0.91 (0.01)</v>
      </c>
      <c r="G45" s="20" t="str">
        <f ca="1">VLOOKUP(B45,Kompilirano!BG:BM,7,FALSE)</f>
        <v>0.10 (0.00)</v>
      </c>
      <c r="H45" s="20" t="str">
        <f ca="1">VLOOKUP(B45,Kompilirano!BQ:BW,7,FALSE)</f>
        <v>0.00 (0.00)</v>
      </c>
    </row>
    <row r="46" spans="2:8" x14ac:dyDescent="0.25">
      <c r="B46" s="16" t="s">
        <v>125</v>
      </c>
      <c r="C46" s="17">
        <f ca="1">VLOOKUP(B46,Kompilirano!T:Z,7,FALSE)/226/5</f>
        <v>431.60088495575218</v>
      </c>
      <c r="D46" s="18">
        <f ca="1">VLOOKUP(B46,Kompilirano!J:P,7,FALSE)/226/5</f>
        <v>0.60619469026548667</v>
      </c>
      <c r="E46" s="19" t="str">
        <f ca="1">VLOOKUP(B46,Kompilirano!AM:AS,7,FALSE)</f>
        <v>0.46 (0.01)</v>
      </c>
      <c r="F46" s="20" t="str">
        <f ca="1">VLOOKUP(B46,Kompilirano!AW:BD,7,FALSE)</f>
        <v>0.39 (0.02)</v>
      </c>
      <c r="G46" s="20" t="str">
        <f ca="1">VLOOKUP(B46,Kompilirano!BG:BM,7,FALSE)</f>
        <v>0.07 (0.00)</v>
      </c>
      <c r="H46" s="20" t="str">
        <f ca="1">VLOOKUP(B46,Kompilirano!BQ:BW,7,FALSE)</f>
        <v>0.08 (0.00)</v>
      </c>
    </row>
    <row r="47" spans="2:8" x14ac:dyDescent="0.25">
      <c r="B47" s="16" t="s">
        <v>87</v>
      </c>
      <c r="C47" s="17">
        <f ca="1">VLOOKUP(B47,Kompilirano!T:Z,7,FALSE)/226/5</f>
        <v>431.53805309734514</v>
      </c>
      <c r="D47" s="18">
        <f ca="1">VLOOKUP(B47,Kompilirano!J:P,7,FALSE)/226/5</f>
        <v>0.86017699115044244</v>
      </c>
      <c r="E47" s="19" t="str">
        <f ca="1">VLOOKUP(B47,Kompilirano!AM:AS,7,FALSE)</f>
        <v>0.14 (0.00)</v>
      </c>
      <c r="F47" s="20" t="str">
        <f ca="1">VLOOKUP(B47,Kompilirano!AW:BD,7,FALSE)</f>
        <v>0.14 (0.02)</v>
      </c>
      <c r="G47" s="20" t="str">
        <f ca="1">VLOOKUP(B47,Kompilirano!BG:BM,7,FALSE)</f>
        <v>0.02 (0.00)</v>
      </c>
      <c r="H47" s="20" t="str">
        <f ca="1">VLOOKUP(B47,Kompilirano!BQ:BW,7,FALSE)</f>
        <v>0.09 (0.00)</v>
      </c>
    </row>
    <row r="48" spans="2:8" x14ac:dyDescent="0.25">
      <c r="B48" s="16" t="s">
        <v>145</v>
      </c>
      <c r="C48" s="17">
        <f ca="1">VLOOKUP(B48,Kompilirano!T:Z,7,FALSE)/226/5</f>
        <v>431.42477876106193</v>
      </c>
      <c r="D48" s="18">
        <f ca="1">VLOOKUP(B48,Kompilirano!J:P,7,FALSE)/226/5</f>
        <v>0.28407079646017702</v>
      </c>
      <c r="E48" s="19" t="str">
        <f ca="1">VLOOKUP(B48,Kompilirano!AM:AS,7,FALSE)</f>
        <v>0.54 (0.01)</v>
      </c>
      <c r="F48" s="20" t="str">
        <f ca="1">VLOOKUP(B48,Kompilirano!AW:BD,7,FALSE)</f>
        <v>0.72 (0.04)</v>
      </c>
      <c r="G48" s="20" t="str">
        <f ca="1">VLOOKUP(B48,Kompilirano!BG:BM,7,FALSE)</f>
        <v>0.08 (0.00)</v>
      </c>
      <c r="H48" s="20" t="str">
        <f ca="1">VLOOKUP(B48,Kompilirano!BQ:BW,7,FALSE)</f>
        <v>0.06 (0.00)</v>
      </c>
    </row>
    <row r="49" spans="2:8" x14ac:dyDescent="0.25">
      <c r="B49" s="16" t="s">
        <v>95</v>
      </c>
      <c r="C49" s="17">
        <f ca="1">VLOOKUP(B49,Kompilirano!T:Z,7,FALSE)/226/5</f>
        <v>431.42389380530977</v>
      </c>
      <c r="D49" s="18">
        <f ca="1">VLOOKUP(B49,Kompilirano!J:P,7,FALSE)/226/5</f>
        <v>0.28938053097345129</v>
      </c>
      <c r="E49" s="19" t="str">
        <f ca="1">VLOOKUP(B49,Kompilirano!AM:AS,7,FALSE)</f>
        <v>0.60 (0.01)</v>
      </c>
      <c r="F49" s="20" t="str">
        <f ca="1">VLOOKUP(B49,Kompilirano!AW:BD,7,FALSE)</f>
        <v>0.71 (0.03)</v>
      </c>
      <c r="G49" s="20" t="str">
        <f ca="1">VLOOKUP(B49,Kompilirano!BG:BM,7,FALSE)</f>
        <v>0.08 (0.00)</v>
      </c>
      <c r="H49" s="20" t="str">
        <f ca="1">VLOOKUP(B49,Kompilirano!BQ:BW,7,FALSE)</f>
        <v>0.02 (0.00)</v>
      </c>
    </row>
    <row r="50" spans="2:8" x14ac:dyDescent="0.25">
      <c r="B50" s="16" t="s">
        <v>94</v>
      </c>
      <c r="C50" s="17">
        <f ca="1">VLOOKUP(B50,Kompilirano!T:Z,7,FALSE)/226/5</f>
        <v>431.41061946902653</v>
      </c>
      <c r="D50" s="18">
        <f ca="1">VLOOKUP(B50,Kompilirano!J:P,7,FALSE)/226/5</f>
        <v>0.62212389380530975</v>
      </c>
      <c r="E50" s="19" t="str">
        <f ca="1">VLOOKUP(B50,Kompilirano!AM:AS,7,FALSE)</f>
        <v>0.26 (0.00)</v>
      </c>
      <c r="F50" s="20" t="str">
        <f ca="1">VLOOKUP(B50,Kompilirano!AW:BD,7,FALSE)</f>
        <v>0.38 (0.02)</v>
      </c>
      <c r="G50" s="20" t="str">
        <f ca="1">VLOOKUP(B50,Kompilirano!BG:BM,7,FALSE)</f>
        <v>0.03 (0.00)</v>
      </c>
      <c r="H50" s="20" t="str">
        <f ca="1">VLOOKUP(B50,Kompilirano!BQ:BW,7,FALSE)</f>
        <v>0.05 (0.00)</v>
      </c>
    </row>
    <row r="51" spans="2:8" x14ac:dyDescent="0.25">
      <c r="B51" s="16" t="s">
        <v>140</v>
      </c>
      <c r="C51" s="17">
        <f ca="1">VLOOKUP(B51,Kompilirano!T:Z,7,FALSE)/226/5</f>
        <v>431.35752212389377</v>
      </c>
      <c r="D51" s="18">
        <f ca="1">VLOOKUP(B51,Kompilirano!J:P,7,FALSE)/226/5</f>
        <v>0.86991150442477883</v>
      </c>
      <c r="E51" s="19" t="str">
        <f ca="1">VLOOKUP(B51,Kompilirano!AM:AS,7,FALSE)</f>
        <v>0.16 (0.01)</v>
      </c>
      <c r="F51" s="20" t="str">
        <f ca="1">VLOOKUP(B51,Kompilirano!AW:BD,7,FALSE)</f>
        <v>0.13 (0.01)</v>
      </c>
      <c r="G51" s="20" t="str">
        <f ca="1">VLOOKUP(B51,Kompilirano!BG:BM,7,FALSE)</f>
        <v>0.02 (0.00)</v>
      </c>
      <c r="H51" s="20" t="str">
        <f ca="1">VLOOKUP(B51,Kompilirano!BQ:BW,7,FALSE)</f>
        <v>0.10 (0.00)</v>
      </c>
    </row>
    <row r="52" spans="2:8" x14ac:dyDescent="0.25">
      <c r="B52" s="16" t="s">
        <v>7</v>
      </c>
      <c r="C52" s="17">
        <f ca="1">VLOOKUP(B52,Kompilirano!T:Z,7,FALSE)/226/5</f>
        <v>431.33805309734515</v>
      </c>
      <c r="D52" s="18">
        <f ca="1">VLOOKUP(B52,Kompilirano!J:P,7,FALSE)/226/5</f>
        <v>0.4610619469026549</v>
      </c>
      <c r="E52" s="19" t="str">
        <f ca="1">VLOOKUP(B52,Kompilirano!AM:AS,7,FALSE)</f>
        <v>0.49 (0.01)</v>
      </c>
      <c r="F52" s="20" t="str">
        <f ca="1">VLOOKUP(B52,Kompilirano!AW:BD,7,FALSE)</f>
        <v>0.54 (0.03)</v>
      </c>
      <c r="G52" s="20" t="str">
        <f ca="1">VLOOKUP(B52,Kompilirano!BG:BM,7,FALSE)</f>
        <v>0.07 (0.00)</v>
      </c>
      <c r="H52" s="20" t="str">
        <f ca="1">VLOOKUP(B52,Kompilirano!BQ:BW,7,FALSE)</f>
        <v>0.06 (0.00)</v>
      </c>
    </row>
    <row r="53" spans="2:8" x14ac:dyDescent="0.25">
      <c r="B53" s="16" t="s">
        <v>126</v>
      </c>
      <c r="C53" s="17">
        <f ca="1">VLOOKUP(B53,Kompilirano!T:Z,7,FALSE)/226/5</f>
        <v>431.15663716814163</v>
      </c>
      <c r="D53" s="18">
        <f ca="1">VLOOKUP(B53,Kompilirano!J:P,7,FALSE)/226/5</f>
        <v>0.44690265486725667</v>
      </c>
      <c r="E53" s="19" t="str">
        <f ca="1">VLOOKUP(B53,Kompilirano!AM:AS,7,FALSE)</f>
        <v>0.49 (0.01)</v>
      </c>
      <c r="F53" s="20" t="str">
        <f ca="1">VLOOKUP(B53,Kompilirano!AW:BD,7,FALSE)</f>
        <v>0.55 (0.02)</v>
      </c>
      <c r="G53" s="20" t="str">
        <f ca="1">VLOOKUP(B53,Kompilirano!BG:BM,7,FALSE)</f>
        <v>0.07 (0.00)</v>
      </c>
      <c r="H53" s="20" t="str">
        <f ca="1">VLOOKUP(B53,Kompilirano!BQ:BW,7,FALSE)</f>
        <v>0.06 (0.00)</v>
      </c>
    </row>
    <row r="54" spans="2:8" x14ac:dyDescent="0.25">
      <c r="B54" s="16" t="s">
        <v>12</v>
      </c>
      <c r="C54" s="17">
        <f ca="1">VLOOKUP(B54,Kompilirano!T:Z,7,FALSE)/226/5</f>
        <v>431.12477876106198</v>
      </c>
      <c r="D54" s="18">
        <f ca="1">VLOOKUP(B54,Kompilirano!J:P,7,FALSE)/226/5</f>
        <v>0.85486725663716823</v>
      </c>
      <c r="E54" s="19" t="str">
        <f ca="1">VLOOKUP(B54,Kompilirano!AM:AS,7,FALSE)</f>
        <v>0.14 (0.00)</v>
      </c>
      <c r="F54" s="20" t="str">
        <f ca="1">VLOOKUP(B54,Kompilirano!AW:BD,7,FALSE)</f>
        <v>0.15 (0.01)</v>
      </c>
      <c r="G54" s="20" t="str">
        <f ca="1">VLOOKUP(B54,Kompilirano!BG:BM,7,FALSE)</f>
        <v>0.02 (0.00)</v>
      </c>
      <c r="H54" s="20" t="str">
        <f ca="1">VLOOKUP(B54,Kompilirano!BQ:BW,7,FALSE)</f>
        <v>0.08 (0.00)</v>
      </c>
    </row>
    <row r="55" spans="2:8" x14ac:dyDescent="0.25">
      <c r="B55" s="16" t="s">
        <v>108</v>
      </c>
      <c r="C55" s="17">
        <f ca="1">VLOOKUP(B55,Kompilirano!T:Z,7,FALSE)/226/5</f>
        <v>431.12212389380528</v>
      </c>
      <c r="D55" s="18">
        <f ca="1">VLOOKUP(B55,Kompilirano!J:P,7,FALSE)/226/5</f>
        <v>0.32654867256637166</v>
      </c>
      <c r="E55" s="19" t="str">
        <f ca="1">VLOOKUP(B55,Kompilirano!AM:AS,7,FALSE)</f>
        <v>0.55 (0.01)</v>
      </c>
      <c r="F55" s="20" t="str">
        <f ca="1">VLOOKUP(B55,Kompilirano!AW:BD,7,FALSE)</f>
        <v>0.67 (0.02)</v>
      </c>
      <c r="G55" s="20" t="str">
        <f ca="1">VLOOKUP(B55,Kompilirano!BG:BM,7,FALSE)</f>
        <v>0.08 (0.00)</v>
      </c>
      <c r="H55" s="20" t="str">
        <f ca="1">VLOOKUP(B55,Kompilirano!BQ:BW,7,FALSE)</f>
        <v>0.04 (0.00)</v>
      </c>
    </row>
    <row r="56" spans="2:8" x14ac:dyDescent="0.25">
      <c r="B56" s="16" t="s">
        <v>110</v>
      </c>
      <c r="C56" s="17">
        <f ca="1">VLOOKUP(B56,Kompilirano!T:Z,7,FALSE)/226/5</f>
        <v>431.09911504424781</v>
      </c>
      <c r="D56" s="18">
        <f ca="1">VLOOKUP(B56,Kompilirano!J:P,7,FALSE)/226/5</f>
        <v>0.86902654867256646</v>
      </c>
      <c r="E56" s="19" t="str">
        <f ca="1">VLOOKUP(B56,Kompilirano!AM:AS,7,FALSE)</f>
        <v>0.13 (0.00)</v>
      </c>
      <c r="F56" s="20" t="str">
        <f ca="1">VLOOKUP(B56,Kompilirano!AW:BD,7,FALSE)</f>
        <v>0.13 (0.02)</v>
      </c>
      <c r="G56" s="20" t="str">
        <f ca="1">VLOOKUP(B56,Kompilirano!BG:BM,7,FALSE)</f>
        <v>0.02 (0.00)</v>
      </c>
      <c r="H56" s="20" t="str">
        <f ca="1">VLOOKUP(B56,Kompilirano!BQ:BW,7,FALSE)</f>
        <v>0.09 (0.00)</v>
      </c>
    </row>
    <row r="57" spans="2:8" x14ac:dyDescent="0.25">
      <c r="B57" s="16" t="s">
        <v>119</v>
      </c>
      <c r="C57" s="17">
        <f ca="1">VLOOKUP(B57,Kompilirano!T:Z,7,FALSE)/226/5</f>
        <v>431.09380530973448</v>
      </c>
      <c r="D57" s="18">
        <f ca="1">VLOOKUP(B57,Kompilirano!J:P,7,FALSE)/226/5</f>
        <v>0.46017699115044247</v>
      </c>
      <c r="E57" s="19" t="str">
        <f ca="1">VLOOKUP(B57,Kompilirano!AM:AS,7,FALSE)</f>
        <v>0.49 (0.01)</v>
      </c>
      <c r="F57" s="20" t="str">
        <f ca="1">VLOOKUP(B57,Kompilirano!AW:BD,7,FALSE)</f>
        <v>0.54 (0.02)</v>
      </c>
      <c r="G57" s="20" t="str">
        <f ca="1">VLOOKUP(B57,Kompilirano!BG:BM,7,FALSE)</f>
        <v>0.07 (0.00)</v>
      </c>
      <c r="H57" s="20" t="str">
        <f ca="1">VLOOKUP(B57,Kompilirano!BQ:BW,7,FALSE)</f>
        <v>0.06 (0.00)</v>
      </c>
    </row>
    <row r="58" spans="2:8" x14ac:dyDescent="0.25">
      <c r="B58" s="16" t="s">
        <v>11</v>
      </c>
      <c r="C58" s="17">
        <f ca="1">VLOOKUP(B58,Kompilirano!T:Z,7,FALSE)/226/5</f>
        <v>430.71681415929208</v>
      </c>
      <c r="D58" s="18">
        <f ca="1">VLOOKUP(B58,Kompilirano!J:P,7,FALSE)/226/5</f>
        <v>0.8734513274336283</v>
      </c>
      <c r="E58" s="19" t="str">
        <f ca="1">VLOOKUP(B58,Kompilirano!AM:AS,7,FALSE)</f>
        <v>0.12 (0.00)</v>
      </c>
      <c r="F58" s="20" t="str">
        <f ca="1">VLOOKUP(B58,Kompilirano!AW:BD,7,FALSE)</f>
        <v>0.13 (0.01)</v>
      </c>
      <c r="G58" s="20" t="str">
        <f ca="1">VLOOKUP(B58,Kompilirano!BG:BM,7,FALSE)</f>
        <v>0.02 (0.00)</v>
      </c>
      <c r="H58" s="20" t="str">
        <f ca="1">VLOOKUP(B58,Kompilirano!BQ:BW,7,FALSE)</f>
        <v>0.09 (0.00)</v>
      </c>
    </row>
    <row r="59" spans="2:8" x14ac:dyDescent="0.25">
      <c r="B59" s="16" t="s">
        <v>118</v>
      </c>
      <c r="C59" s="17">
        <f ca="1">VLOOKUP(B59,Kompilirano!T:Z,7,FALSE)/226/5</f>
        <v>430.67345132743367</v>
      </c>
      <c r="D59" s="18">
        <f ca="1">VLOOKUP(B59,Kompilirano!J:P,7,FALSE)/226/5</f>
        <v>0.50530973451327432</v>
      </c>
      <c r="E59" s="19" t="str">
        <f ca="1">VLOOKUP(B59,Kompilirano!AM:AS,7,FALSE)</f>
        <v>0.38 (0.01)</v>
      </c>
      <c r="F59" s="20" t="str">
        <f ca="1">VLOOKUP(B59,Kompilirano!AW:BD,7,FALSE)</f>
        <v>0.49 (0.01)</v>
      </c>
      <c r="G59" s="20" t="str">
        <f ca="1">VLOOKUP(B59,Kompilirano!BG:BM,7,FALSE)</f>
        <v>0.05 (0.00)</v>
      </c>
      <c r="H59" s="20" t="str">
        <f ca="1">VLOOKUP(B59,Kompilirano!BQ:BW,7,FALSE)</f>
        <v>0.00 (0.00)</v>
      </c>
    </row>
    <row r="60" spans="2:8" x14ac:dyDescent="0.25">
      <c r="B60" s="16" t="s">
        <v>121</v>
      </c>
      <c r="C60" s="17">
        <f ca="1">VLOOKUP(B60,Kompilirano!T:Z,7,FALSE)/226/5</f>
        <v>430.58584070796462</v>
      </c>
      <c r="D60" s="18">
        <f ca="1">VLOOKUP(B60,Kompilirano!J:P,7,FALSE)/226/5</f>
        <v>0.43628318584070797</v>
      </c>
      <c r="E60" s="19" t="str">
        <f ca="1">VLOOKUP(B60,Kompilirano!AM:AS,7,FALSE)</f>
        <v>0.50 (0.00)</v>
      </c>
      <c r="F60" s="20" t="str">
        <f ca="1">VLOOKUP(B60,Kompilirano!AW:BD,7,FALSE)</f>
        <v>0.56 (0.02)</v>
      </c>
      <c r="G60" s="20" t="str">
        <f ca="1">VLOOKUP(B60,Kompilirano!BG:BM,7,FALSE)</f>
        <v>0.07 (0.00)</v>
      </c>
      <c r="H60" s="20" t="str">
        <f ca="1">VLOOKUP(B60,Kompilirano!BQ:BW,7,FALSE)</f>
        <v>0.06 (0.00)</v>
      </c>
    </row>
    <row r="61" spans="2:8" x14ac:dyDescent="0.25">
      <c r="B61" s="16" t="s">
        <v>106</v>
      </c>
      <c r="C61" s="17">
        <f ca="1">VLOOKUP(B61,Kompilirano!T:Z,7,FALSE)/226/5</f>
        <v>430.47433628318583</v>
      </c>
      <c r="D61" s="18">
        <f ca="1">VLOOKUP(B61,Kompilirano!J:P,7,FALSE)/226/5</f>
        <v>0.83893805309734515</v>
      </c>
      <c r="E61" s="19" t="str">
        <f ca="1">VLOOKUP(B61,Kompilirano!AM:AS,7,FALSE)</f>
        <v>0.15 (0.00)</v>
      </c>
      <c r="F61" s="20" t="str">
        <f ca="1">VLOOKUP(B61,Kompilirano!AW:BD,7,FALSE)</f>
        <v>0.16 (0.01)</v>
      </c>
      <c r="G61" s="20" t="str">
        <f ca="1">VLOOKUP(B61,Kompilirano!BG:BM,7,FALSE)</f>
        <v>0.02 (0.00)</v>
      </c>
      <c r="H61" s="20" t="str">
        <f ca="1">VLOOKUP(B61,Kompilirano!BQ:BW,7,FALSE)</f>
        <v>0.09 (0.00)</v>
      </c>
    </row>
    <row r="62" spans="2:8" x14ac:dyDescent="0.25">
      <c r="B62" s="16" t="s">
        <v>97</v>
      </c>
      <c r="C62" s="17">
        <f ca="1">VLOOKUP(B62,Kompilirano!T:Z,7,FALSE)/226/5</f>
        <v>430.28584070796461</v>
      </c>
      <c r="D62" s="18">
        <f ca="1">VLOOKUP(B62,Kompilirano!J:P,7,FALSE)/226/5</f>
        <v>0.87256637168141593</v>
      </c>
      <c r="E62" s="19" t="str">
        <f ca="1">VLOOKUP(B62,Kompilirano!AM:AS,7,FALSE)</f>
        <v>0.12 (0.00)</v>
      </c>
      <c r="F62" s="20" t="str">
        <f ca="1">VLOOKUP(B62,Kompilirano!AW:BD,7,FALSE)</f>
        <v>0.13 (0.01)</v>
      </c>
      <c r="G62" s="20" t="str">
        <f ca="1">VLOOKUP(B62,Kompilirano!BG:BM,7,FALSE)</f>
        <v>0.02 (0.00)</v>
      </c>
      <c r="H62" s="20" t="str">
        <f ca="1">VLOOKUP(B62,Kompilirano!BQ:BW,7,FALSE)</f>
        <v>0.09 (0.00)</v>
      </c>
    </row>
    <row r="63" spans="2:8" x14ac:dyDescent="0.25">
      <c r="B63" s="16" t="s">
        <v>78</v>
      </c>
      <c r="C63" s="17">
        <f ca="1">VLOOKUP(B63,Kompilirano!T:Z,7,FALSE)/226/5</f>
        <v>430.26902654867251</v>
      </c>
      <c r="D63" s="18">
        <f ca="1">VLOOKUP(B63,Kompilirano!J:P,7,FALSE)/226/5</f>
        <v>0.5513274336283186</v>
      </c>
      <c r="E63" s="19" t="str">
        <f ca="1">VLOOKUP(B63,Kompilirano!AM:AS,7,FALSE)</f>
        <v>0.39 (0.00)</v>
      </c>
      <c r="F63" s="20" t="str">
        <f ca="1">VLOOKUP(B63,Kompilirano!AW:BD,7,FALSE)</f>
        <v>0.45 (0.01)</v>
      </c>
      <c r="G63" s="20" t="str">
        <f ca="1">VLOOKUP(B63,Kompilirano!BG:BM,7,FALSE)</f>
        <v>0.05 (0.00)</v>
      </c>
      <c r="H63" s="20" t="str">
        <f ca="1">VLOOKUP(B63,Kompilirano!BQ:BW,7,FALSE)</f>
        <v>0.05 (0.00)</v>
      </c>
    </row>
    <row r="64" spans="2:8" x14ac:dyDescent="0.25">
      <c r="B64" s="16" t="s">
        <v>114</v>
      </c>
      <c r="C64" s="17">
        <f ca="1">VLOOKUP(B64,Kompilirano!T:Z,7,FALSE)/226/5</f>
        <v>429.74336283185841</v>
      </c>
      <c r="D64" s="18">
        <f ca="1">VLOOKUP(B64,Kompilirano!J:P,7,FALSE)/226/5</f>
        <v>0.79911504424778756</v>
      </c>
      <c r="E64" s="19" t="str">
        <f ca="1">VLOOKUP(B64,Kompilirano!AM:AS,7,FALSE)</f>
        <v>0.21 (0.00)</v>
      </c>
      <c r="F64" s="20" t="str">
        <f ca="1">VLOOKUP(B64,Kompilirano!AW:BD,7,FALSE)</f>
        <v>0.20 (0.01)</v>
      </c>
      <c r="G64" s="20" t="str">
        <f ca="1">VLOOKUP(B64,Kompilirano!BG:BM,7,FALSE)</f>
        <v>0.03 (0.00)</v>
      </c>
      <c r="H64" s="20" t="str">
        <f ca="1">VLOOKUP(B64,Kompilirano!BQ:BW,7,FALSE)</f>
        <v>0.09 (0.00)</v>
      </c>
    </row>
    <row r="65" spans="2:8" x14ac:dyDescent="0.25">
      <c r="B65" s="16" t="s">
        <v>15</v>
      </c>
      <c r="C65" s="17">
        <f ca="1">VLOOKUP(B65,Kompilirano!T:Z,7,FALSE)/226/5</f>
        <v>429.66194690265485</v>
      </c>
      <c r="D65" s="18">
        <f ca="1">VLOOKUP(B65,Kompilirano!J:P,7,FALSE)/226/5</f>
        <v>0.66283185840707959</v>
      </c>
      <c r="E65" s="19" t="str">
        <f ca="1">VLOOKUP(B65,Kompilirano!AM:AS,7,FALSE)</f>
        <v>0.37 (0.01)</v>
      </c>
      <c r="F65" s="20" t="str">
        <f ca="1">VLOOKUP(B65,Kompilirano!AW:BD,7,FALSE)</f>
        <v>0.34 (0.01)</v>
      </c>
      <c r="G65" s="20" t="str">
        <f ca="1">VLOOKUP(B65,Kompilirano!BG:BM,7,FALSE)</f>
        <v>0.05 (0.00)</v>
      </c>
      <c r="H65" s="20" t="str">
        <f ca="1">VLOOKUP(B65,Kompilirano!BQ:BW,7,FALSE)</f>
        <v>0.08 (0.00)</v>
      </c>
    </row>
    <row r="66" spans="2:8" x14ac:dyDescent="0.25">
      <c r="B66" s="16" t="s">
        <v>115</v>
      </c>
      <c r="C66" s="17">
        <f ca="1">VLOOKUP(B66,Kompilirano!T:Z,7,FALSE)/226/5</f>
        <v>429.37964601769909</v>
      </c>
      <c r="D66" s="18">
        <f ca="1">VLOOKUP(B66,Kompilirano!J:P,7,FALSE)/226/5</f>
        <v>0.88318584070796469</v>
      </c>
      <c r="E66" s="19" t="str">
        <f ca="1">VLOOKUP(B66,Kompilirano!AM:AS,7,FALSE)</f>
        <v>0.12 (0.00)</v>
      </c>
      <c r="F66" s="20" t="str">
        <f ca="1">VLOOKUP(B66,Kompilirano!AW:BD,7,FALSE)</f>
        <v>0.12 (0.01)</v>
      </c>
      <c r="G66" s="20" t="str">
        <f ca="1">VLOOKUP(B66,Kompilirano!BG:BM,7,FALSE)</f>
        <v>0.02 (0.00)</v>
      </c>
      <c r="H66" s="20" t="str">
        <f ca="1">VLOOKUP(B66,Kompilirano!BQ:BW,7,FALSE)</f>
        <v>0.09 (0.00)</v>
      </c>
    </row>
    <row r="67" spans="2:8" x14ac:dyDescent="0.25">
      <c r="B67" s="16" t="s">
        <v>104</v>
      </c>
      <c r="C67" s="17">
        <f ca="1">VLOOKUP(B67,Kompilirano!T:Z,7,FALSE)/226/5</f>
        <v>429.10530973451324</v>
      </c>
      <c r="D67" s="18">
        <f ca="1">VLOOKUP(B67,Kompilirano!J:P,7,FALSE)/226/5</f>
        <v>0.58495575221238938</v>
      </c>
      <c r="E67" s="19" t="str">
        <f ca="1">VLOOKUP(B67,Kompilirano!AM:AS,7,FALSE)</f>
        <v>0.43 (0.01)</v>
      </c>
      <c r="F67" s="20" t="str">
        <f ca="1">VLOOKUP(B67,Kompilirano!AW:BD,7,FALSE)</f>
        <v>0.42 (0.01)</v>
      </c>
      <c r="G67" s="20" t="str">
        <f ca="1">VLOOKUP(B67,Kompilirano!BG:BM,7,FALSE)</f>
        <v>0.06 (0.00)</v>
      </c>
      <c r="H67" s="20" t="str">
        <f ca="1">VLOOKUP(B67,Kompilirano!BQ:BW,7,FALSE)</f>
        <v>0.05 (0.00)</v>
      </c>
    </row>
    <row r="68" spans="2:8" x14ac:dyDescent="0.25">
      <c r="B68" s="16" t="s">
        <v>204</v>
      </c>
      <c r="C68" s="17">
        <f ca="1">VLOOKUP(B68,Kompilirano!T:Z,7,FALSE)/226/5</f>
        <v>428.87522123893802</v>
      </c>
      <c r="D68" s="18">
        <f ca="1">VLOOKUP(B68,Kompilirano!J:P,7,FALSE)/226/5</f>
        <v>0.60973451327433625</v>
      </c>
      <c r="E68" s="19" t="str">
        <f ca="1">VLOOKUP(B68,Kompilirano!AM:AS,7,FALSE)</f>
        <v>0.27 (0.01)</v>
      </c>
      <c r="F68" s="20" t="str">
        <f ca="1">VLOOKUP(B68,Kompilirano!AW:BD,7,FALSE)</f>
        <v>0.39 (0.03)</v>
      </c>
      <c r="G68" s="20" t="str">
        <f ca="1">VLOOKUP(B68,Kompilirano!BG:BM,7,FALSE)</f>
        <v>0.04 (0.00)</v>
      </c>
      <c r="H68" s="20" t="str">
        <f ca="1">VLOOKUP(B68,Kompilirano!BQ:BW,7,FALSE)</f>
        <v>0.06 (0.01)</v>
      </c>
    </row>
    <row r="69" spans="2:8" x14ac:dyDescent="0.25">
      <c r="B69" s="16" t="s">
        <v>101</v>
      </c>
      <c r="C69" s="17">
        <f ca="1">VLOOKUP(B69,Kompilirano!T:Z,7,FALSE)/226/5</f>
        <v>428.68053097345137</v>
      </c>
      <c r="D69" s="18">
        <f ca="1">VLOOKUP(B69,Kompilirano!J:P,7,FALSE)/226/5</f>
        <v>0.36371681415929202</v>
      </c>
      <c r="E69" s="19" t="str">
        <f ca="1">VLOOKUP(B69,Kompilirano!AM:AS,7,FALSE)</f>
        <v>0.50 (0.01)</v>
      </c>
      <c r="F69" s="20" t="str">
        <f ca="1">VLOOKUP(B69,Kompilirano!AW:BD,7,FALSE)</f>
        <v>0.64 (0.01)</v>
      </c>
      <c r="G69" s="20" t="str">
        <f ca="1">VLOOKUP(B69,Kompilirano!BG:BM,7,FALSE)</f>
        <v>0.07 (0.00)</v>
      </c>
      <c r="H69" s="20" t="str">
        <f ca="1">VLOOKUP(B69,Kompilirano!BQ:BW,7,FALSE)</f>
        <v>0.05 (0.00)</v>
      </c>
    </row>
    <row r="70" spans="2:8" x14ac:dyDescent="0.25">
      <c r="B70" s="16" t="s">
        <v>196</v>
      </c>
      <c r="C70" s="17">
        <f ca="1">VLOOKUP(B70,Kompilirano!T:Z,7,FALSE)/226/5</f>
        <v>428.3203539823009</v>
      </c>
      <c r="D70" s="18">
        <f ca="1">VLOOKUP(B70,Kompilirano!J:P,7,FALSE)/226/5</f>
        <v>0.6353982300884955</v>
      </c>
      <c r="E70" s="19" t="str">
        <f ca="1">VLOOKUP(B70,Kompilirano!AM:AS,7,FALSE)</f>
        <v>0.34 (0.03)</v>
      </c>
      <c r="F70" s="20" t="str">
        <f ca="1">VLOOKUP(B70,Kompilirano!AW:BD,7,FALSE)</f>
        <v>0.36 (0.03)</v>
      </c>
      <c r="G70" s="20" t="str">
        <f ca="1">VLOOKUP(B70,Kompilirano!BG:BM,7,FALSE)</f>
        <v>0.04 (0.00)</v>
      </c>
      <c r="H70" s="20" t="str">
        <f ca="1">VLOOKUP(B70,Kompilirano!BQ:BW,7,FALSE)</f>
        <v>0.02 (0.01)</v>
      </c>
    </row>
    <row r="71" spans="2:8" x14ac:dyDescent="0.25">
      <c r="B71" s="16" t="s">
        <v>195</v>
      </c>
      <c r="C71" s="17">
        <f ca="1">VLOOKUP(B71,Kompilirano!T:Z,7,FALSE)/226/5</f>
        <v>428.08761061946905</v>
      </c>
      <c r="D71" s="18">
        <f ca="1">VLOOKUP(B71,Kompilirano!J:P,7,FALSE)/226/5</f>
        <v>0.4548672566371682</v>
      </c>
      <c r="E71" s="19" t="str">
        <f ca="1">VLOOKUP(B71,Kompilirano!AM:AS,7,FALSE)</f>
        <v>0.49 (0.01)</v>
      </c>
      <c r="F71" s="20" t="str">
        <f ca="1">VLOOKUP(B71,Kompilirano!AW:BD,7,FALSE)</f>
        <v>0.55 (0.02)</v>
      </c>
      <c r="G71" s="20" t="str">
        <f ca="1">VLOOKUP(B71,Kompilirano!BG:BM,7,FALSE)</f>
        <v>0.07 (0.00)</v>
      </c>
      <c r="H71" s="20" t="str">
        <f ca="1">VLOOKUP(B71,Kompilirano!BQ:BW,7,FALSE)</f>
        <v>0.05 (0.00)</v>
      </c>
    </row>
    <row r="72" spans="2:8" x14ac:dyDescent="0.25">
      <c r="B72" s="16" t="s">
        <v>67</v>
      </c>
      <c r="C72" s="17">
        <f ca="1">VLOOKUP(B72,Kompilirano!T:Z,7,FALSE)/226/5</f>
        <v>428.07256637168138</v>
      </c>
      <c r="D72" s="18">
        <f ca="1">VLOOKUP(B72,Kompilirano!J:P,7,FALSE)/226/5</f>
        <v>0.45840707964601768</v>
      </c>
      <c r="E72" s="19" t="str">
        <f ca="1">VLOOKUP(B72,Kompilirano!AM:AS,7,FALSE)</f>
        <v>0.34 (0.00)</v>
      </c>
      <c r="F72" s="20" t="str">
        <f ca="1">VLOOKUP(B72,Kompilirano!AW:BD,7,FALSE)</f>
        <v>0.54 (0.01)</v>
      </c>
      <c r="G72" s="20" t="str">
        <f ca="1">VLOOKUP(B72,Kompilirano!BG:BM,7,FALSE)</f>
        <v>0.04 (0.00)</v>
      </c>
      <c r="H72" s="20" t="str">
        <f ca="1">VLOOKUP(B72,Kompilirano!BQ:BW,7,FALSE)</f>
        <v>0.01 (0.00)</v>
      </c>
    </row>
    <row r="73" spans="2:8" x14ac:dyDescent="0.25">
      <c r="B73" s="16" t="s">
        <v>124</v>
      </c>
      <c r="C73" s="17">
        <f ca="1">VLOOKUP(B73,Kompilirano!T:Z,7,FALSE)/226/5</f>
        <v>427.83716814159288</v>
      </c>
      <c r="D73" s="18">
        <f ca="1">VLOOKUP(B73,Kompilirano!J:P,7,FALSE)/226/5</f>
        <v>0.10707964601769912</v>
      </c>
      <c r="E73" s="19" t="str">
        <f ca="1">VLOOKUP(B73,Kompilirano!AM:AS,7,FALSE)</f>
        <v>0.71 (0.01)</v>
      </c>
      <c r="F73" s="20" t="str">
        <f ca="1">VLOOKUP(B73,Kompilirano!AW:BD,7,FALSE)</f>
        <v>0.89 (0.01)</v>
      </c>
      <c r="G73" s="20" t="str">
        <f ca="1">VLOOKUP(B73,Kompilirano!BG:BM,7,FALSE)</f>
        <v>0.10 (0.00)</v>
      </c>
      <c r="H73" s="20" t="str">
        <f ca="1">VLOOKUP(B73,Kompilirano!BQ:BW,7,FALSE)</f>
        <v>-0.02 (0.00)</v>
      </c>
    </row>
    <row r="74" spans="2:8" x14ac:dyDescent="0.25">
      <c r="B74" s="16" t="s">
        <v>176</v>
      </c>
      <c r="C74" s="17">
        <f ca="1">VLOOKUP(B74,Kompilirano!T:Z,7,FALSE)/226/5</f>
        <v>427.78584070796461</v>
      </c>
      <c r="D74" s="18">
        <f ca="1">VLOOKUP(B74,Kompilirano!J:P,7,FALSE)/226/5</f>
        <v>0.84513274336283184</v>
      </c>
      <c r="E74" s="19" t="str">
        <f ca="1">VLOOKUP(B74,Kompilirano!AM:AS,7,FALSE)</f>
        <v>0.22 (0.01)</v>
      </c>
      <c r="F74" s="20" t="str">
        <f ca="1">VLOOKUP(B74,Kompilirano!AW:BD,7,FALSE)</f>
        <v>0.15 (0.02)</v>
      </c>
      <c r="G74" s="20" t="str">
        <f ca="1">VLOOKUP(B74,Kompilirano!BG:BM,7,FALSE)</f>
        <v>0.03 (0.00)</v>
      </c>
      <c r="H74" s="20" t="str">
        <f ca="1">VLOOKUP(B74,Kompilirano!BQ:BW,7,FALSE)</f>
        <v>0.09 (0.00)</v>
      </c>
    </row>
    <row r="75" spans="2:8" x14ac:dyDescent="0.25">
      <c r="B75" s="16" t="s">
        <v>214</v>
      </c>
      <c r="C75" s="17">
        <f ca="1">VLOOKUP(B75,Kompilirano!T:Z,7,FALSE)/226/5</f>
        <v>427.73716814159286</v>
      </c>
      <c r="D75" s="18">
        <f ca="1">VLOOKUP(B75,Kompilirano!J:P,7,FALSE)/226/5</f>
        <v>0.65044247787610621</v>
      </c>
      <c r="E75" s="19" t="str">
        <f ca="1">VLOOKUP(B75,Kompilirano!AM:AS,7,FALSE)</f>
        <v>0.23 (0.01)</v>
      </c>
      <c r="F75" s="20" t="str">
        <f ca="1">VLOOKUP(B75,Kompilirano!AW:BD,7,FALSE)</f>
        <v>0.35 (0.04)</v>
      </c>
      <c r="G75" s="20" t="str">
        <f ca="1">VLOOKUP(B75,Kompilirano!BG:BM,7,FALSE)</f>
        <v>0.03 (0.00)</v>
      </c>
      <c r="H75" s="20" t="str">
        <f ca="1">VLOOKUP(B75,Kompilirano!BQ:BW,7,FALSE)</f>
        <v>0.06 (0.01)</v>
      </c>
    </row>
    <row r="76" spans="2:8" x14ac:dyDescent="0.25">
      <c r="B76" s="16" t="s">
        <v>241</v>
      </c>
      <c r="C76" s="17">
        <f ca="1">VLOOKUP(B76,Kompilirano!T:Z,7,FALSE)/226/5</f>
        <v>427.7150442477876</v>
      </c>
      <c r="D76" s="18">
        <f ca="1">VLOOKUP(B76,Kompilirano!J:P,7,FALSE)/226/5</f>
        <v>0.87256637168141593</v>
      </c>
      <c r="E76" s="19" t="str">
        <f ca="1">VLOOKUP(B76,Kompilirano!AM:AS,7,FALSE)</f>
        <v>0.11 (0.00)</v>
      </c>
      <c r="F76" s="20" t="str">
        <f ca="1">VLOOKUP(B76,Kompilirano!AW:BD,7,FALSE)</f>
        <v>0.13 (0.02)</v>
      </c>
      <c r="G76" s="20" t="str">
        <f ca="1">VLOOKUP(B76,Kompilirano!BG:BM,7,FALSE)</f>
        <v>0.01 (0.00)</v>
      </c>
      <c r="H76" s="20" t="str">
        <f ca="1">VLOOKUP(B76,Kompilirano!BQ:BW,7,FALSE)</f>
        <v>0.09 (0.00)</v>
      </c>
    </row>
    <row r="77" spans="2:8" x14ac:dyDescent="0.25">
      <c r="B77" s="16" t="s">
        <v>160</v>
      </c>
      <c r="C77" s="17">
        <f ca="1">VLOOKUP(B77,Kompilirano!T:Z,7,FALSE)/226/5</f>
        <v>427.55398230088497</v>
      </c>
      <c r="D77" s="18">
        <f ca="1">VLOOKUP(B77,Kompilirano!J:P,7,FALSE)/226/5</f>
        <v>0.5690265486725663</v>
      </c>
      <c r="E77" s="19" t="str">
        <f ca="1">VLOOKUP(B77,Kompilirano!AM:AS,7,FALSE)</f>
        <v>0.45 (0.01)</v>
      </c>
      <c r="F77" s="20" t="str">
        <f ca="1">VLOOKUP(B77,Kompilirano!AW:BD,7,FALSE)</f>
        <v>0.43 (0.02)</v>
      </c>
      <c r="G77" s="20" t="str">
        <f ca="1">VLOOKUP(B77,Kompilirano!BG:BM,7,FALSE)</f>
        <v>0.07 (0.00)</v>
      </c>
      <c r="H77" s="20" t="str">
        <f ca="1">VLOOKUP(B77,Kompilirano!BQ:BW,7,FALSE)</f>
        <v>0.07 (0.00)</v>
      </c>
    </row>
    <row r="78" spans="2:8" x14ac:dyDescent="0.25">
      <c r="B78" s="16" t="s">
        <v>154</v>
      </c>
      <c r="C78" s="17">
        <f ca="1">VLOOKUP(B78,Kompilirano!T:Z,7,FALSE)/226/5</f>
        <v>427.46548672566371</v>
      </c>
      <c r="D78" s="18">
        <f ca="1">VLOOKUP(B78,Kompilirano!J:P,7,FALSE)/226/5</f>
        <v>0.12566371681415928</v>
      </c>
      <c r="E78" s="19" t="str">
        <f ca="1">VLOOKUP(B78,Kompilirano!AM:AS,7,FALSE)</f>
        <v>0.60 (0.01)</v>
      </c>
      <c r="F78" s="20" t="str">
        <f ca="1">VLOOKUP(B78,Kompilirano!AW:BD,7,FALSE)</f>
        <v>0.87 (0.02)</v>
      </c>
      <c r="G78" s="20" t="str">
        <f ca="1">VLOOKUP(B78,Kompilirano!BG:BM,7,FALSE)</f>
        <v>0.09 (0.00)</v>
      </c>
      <c r="H78" s="20" t="str">
        <f ca="1">VLOOKUP(B78,Kompilirano!BQ:BW,7,FALSE)</f>
        <v>0.03 (0.00)</v>
      </c>
    </row>
    <row r="79" spans="2:8" x14ac:dyDescent="0.25">
      <c r="B79" s="16" t="s">
        <v>141</v>
      </c>
      <c r="C79" s="17">
        <f ca="1">VLOOKUP(B79,Kompilirano!T:Z,7,FALSE)/226/5</f>
        <v>427.05398230088497</v>
      </c>
      <c r="D79" s="18">
        <f ca="1">VLOOKUP(B79,Kompilirano!J:P,7,FALSE)/226/5</f>
        <v>0.10796460176991149</v>
      </c>
      <c r="E79" s="19" t="str">
        <f ca="1">VLOOKUP(B79,Kompilirano!AM:AS,7,FALSE)</f>
        <v>0.68 (0.01)</v>
      </c>
      <c r="F79" s="20" t="str">
        <f ca="1">VLOOKUP(B79,Kompilirano!AW:BD,7,FALSE)</f>
        <v>0.89 (0.02)</v>
      </c>
      <c r="G79" s="20" t="str">
        <f ca="1">VLOOKUP(B79,Kompilirano!BG:BM,7,FALSE)</f>
        <v>0.10 (0.00)</v>
      </c>
      <c r="H79" s="20" t="str">
        <f ca="1">VLOOKUP(B79,Kompilirano!BQ:BW,7,FALSE)</f>
        <v>-0.01 (0.00)</v>
      </c>
    </row>
    <row r="80" spans="2:8" x14ac:dyDescent="0.25">
      <c r="B80" s="16" t="s">
        <v>147</v>
      </c>
      <c r="C80" s="17">
        <f ca="1">VLOOKUP(B80,Kompilirano!T:Z,7,FALSE)/226/5</f>
        <v>426.5424778761062</v>
      </c>
      <c r="D80" s="18">
        <f ca="1">VLOOKUP(B80,Kompilirano!J:P,7,FALSE)/226/5</f>
        <v>0.42566371681415927</v>
      </c>
      <c r="E80" s="19" t="str">
        <f ca="1">VLOOKUP(B80,Kompilirano!AM:AS,7,FALSE)</f>
        <v>0.50 (0.00)</v>
      </c>
      <c r="F80" s="20" t="str">
        <f ca="1">VLOOKUP(B80,Kompilirano!AW:BD,7,FALSE)</f>
        <v>0.57 (0.03)</v>
      </c>
      <c r="G80" s="20" t="str">
        <f ca="1">VLOOKUP(B80,Kompilirano!BG:BM,7,FALSE)</f>
        <v>0.08 (0.00)</v>
      </c>
      <c r="H80" s="20" t="str">
        <f ca="1">VLOOKUP(B80,Kompilirano!BQ:BW,7,FALSE)</f>
        <v>0.07 (0.00)</v>
      </c>
    </row>
    <row r="81" spans="2:8" x14ac:dyDescent="0.25">
      <c r="B81" s="16" t="s">
        <v>117</v>
      </c>
      <c r="C81" s="17">
        <f ca="1">VLOOKUP(B81,Kompilirano!T:Z,7,FALSE)/226/5</f>
        <v>426.16283185840712</v>
      </c>
      <c r="D81" s="18">
        <f ca="1">VLOOKUP(B81,Kompilirano!J:P,7,FALSE)/226/5</f>
        <v>0.2274336283185841</v>
      </c>
      <c r="E81" s="19" t="str">
        <f ca="1">VLOOKUP(B81,Kompilirano!AM:AS,7,FALSE)</f>
        <v>0.66 (0.00)</v>
      </c>
      <c r="F81" s="20" t="str">
        <f ca="1">VLOOKUP(B81,Kompilirano!AW:BD,7,FALSE)</f>
        <v>0.77 (0.00)</v>
      </c>
      <c r="G81" s="20" t="str">
        <f ca="1">VLOOKUP(B81,Kompilirano!BG:BM,7,FALSE)</f>
        <v>0.09 (0.00)</v>
      </c>
      <c r="H81" s="20" t="str">
        <f ca="1">VLOOKUP(B81,Kompilirano!BQ:BW,7,FALSE)</f>
        <v>-0.01 (0.00)</v>
      </c>
    </row>
    <row r="82" spans="2:8" x14ac:dyDescent="0.25">
      <c r="B82" s="16" t="s">
        <v>221</v>
      </c>
      <c r="C82" s="17">
        <f ca="1">VLOOKUP(B82,Kompilirano!T:Z,7,FALSE)/226/5</f>
        <v>425.93893805309733</v>
      </c>
      <c r="D82" s="18">
        <f ca="1">VLOOKUP(B82,Kompilirano!J:P,7,FALSE)/226/5</f>
        <v>0.6053097345132743</v>
      </c>
      <c r="E82" s="19" t="str">
        <f ca="1">VLOOKUP(B82,Kompilirano!AM:AS,7,FALSE)</f>
        <v>0.24 (0.00)</v>
      </c>
      <c r="F82" s="20" t="str">
        <f ca="1">VLOOKUP(B82,Kompilirano!AW:BD,7,FALSE)</f>
        <v>0.39 (0.01)</v>
      </c>
      <c r="G82" s="20" t="str">
        <f ca="1">VLOOKUP(B82,Kompilirano!BG:BM,7,FALSE)</f>
        <v>0.03 (0.00)</v>
      </c>
      <c r="H82" s="20" t="str">
        <f ca="1">VLOOKUP(B82,Kompilirano!BQ:BW,7,FALSE)</f>
        <v>0.05 (0.00)</v>
      </c>
    </row>
    <row r="83" spans="2:8" x14ac:dyDescent="0.25">
      <c r="B83" s="16" t="s">
        <v>219</v>
      </c>
      <c r="C83" s="17">
        <f ca="1">VLOOKUP(B83,Kompilirano!T:Z,7,FALSE)/226/5</f>
        <v>425.86902654867254</v>
      </c>
      <c r="D83" s="18">
        <f ca="1">VLOOKUP(B83,Kompilirano!J:P,7,FALSE)/226/5</f>
        <v>0.46637168141592922</v>
      </c>
      <c r="E83" s="19" t="str">
        <f ca="1">VLOOKUP(B83,Kompilirano!AM:AS,7,FALSE)</f>
        <v>0.46 (0.00)</v>
      </c>
      <c r="F83" s="20" t="str">
        <f ca="1">VLOOKUP(B83,Kompilirano!AW:BD,7,FALSE)</f>
        <v>0.53 (0.02)</v>
      </c>
      <c r="G83" s="20" t="str">
        <f ca="1">VLOOKUP(B83,Kompilirano!BG:BM,7,FALSE)</f>
        <v>0.07 (0.00)</v>
      </c>
      <c r="H83" s="20" t="str">
        <f ca="1">VLOOKUP(B83,Kompilirano!BQ:BW,7,FALSE)</f>
        <v>0.07 (0.00)</v>
      </c>
    </row>
    <row r="84" spans="2:8" x14ac:dyDescent="0.25">
      <c r="B84" s="16" t="s">
        <v>224</v>
      </c>
      <c r="C84" s="17">
        <f ca="1">VLOOKUP(B84,Kompilirano!T:Z,7,FALSE)/226/5</f>
        <v>425.73451327433634</v>
      </c>
      <c r="D84" s="18">
        <f ca="1">VLOOKUP(B84,Kompilirano!J:P,7,FALSE)/226/5</f>
        <v>0.58053097345132743</v>
      </c>
      <c r="E84" s="19" t="str">
        <f ca="1">VLOOKUP(B84,Kompilirano!AM:AS,7,FALSE)</f>
        <v>0.43 (0.01)</v>
      </c>
      <c r="F84" s="20" t="str">
        <f ca="1">VLOOKUP(B84,Kompilirano!AW:BD,7,FALSE)</f>
        <v>0.42 (0.02)</v>
      </c>
      <c r="G84" s="20" t="str">
        <f ca="1">VLOOKUP(B84,Kompilirano!BG:BM,7,FALSE)</f>
        <v>0.06 (0.00)</v>
      </c>
      <c r="H84" s="20" t="str">
        <f ca="1">VLOOKUP(B84,Kompilirano!BQ:BW,7,FALSE)</f>
        <v>0.08 (0.00)</v>
      </c>
    </row>
    <row r="85" spans="2:8" x14ac:dyDescent="0.25">
      <c r="B85" s="16" t="s">
        <v>197</v>
      </c>
      <c r="C85" s="17">
        <f ca="1">VLOOKUP(B85,Kompilirano!T:Z,7,FALSE)/226/5</f>
        <v>425.56017699115046</v>
      </c>
      <c r="D85" s="18">
        <f ca="1">VLOOKUP(B85,Kompilirano!J:P,7,FALSE)/226/5</f>
        <v>0.51415929203539823</v>
      </c>
      <c r="E85" s="19" t="str">
        <f ca="1">VLOOKUP(B85,Kompilirano!AM:AS,7,FALSE)</f>
        <v>0.45 (0.00)</v>
      </c>
      <c r="F85" s="20" t="str">
        <f ca="1">VLOOKUP(B85,Kompilirano!AW:BD,7,FALSE)</f>
        <v>0.49 (0.02)</v>
      </c>
      <c r="G85" s="20" t="str">
        <f ca="1">VLOOKUP(B85,Kompilirano!BG:BM,7,FALSE)</f>
        <v>0.07 (0.00)</v>
      </c>
      <c r="H85" s="20" t="str">
        <f ca="1">VLOOKUP(B85,Kompilirano!BQ:BW,7,FALSE)</f>
        <v>0.07 (0.00)</v>
      </c>
    </row>
    <row r="86" spans="2:8" x14ac:dyDescent="0.25">
      <c r="B86" s="16" t="s">
        <v>202</v>
      </c>
      <c r="C86" s="17">
        <f ca="1">VLOOKUP(B86,Kompilirano!T:Z,7,FALSE)/226/5</f>
        <v>425.55398230088497</v>
      </c>
      <c r="D86" s="18">
        <f ca="1">VLOOKUP(B86,Kompilirano!J:P,7,FALSE)/226/5</f>
        <v>0.51592920353982297</v>
      </c>
      <c r="E86" s="19" t="str">
        <f ca="1">VLOOKUP(B86,Kompilirano!AM:AS,7,FALSE)</f>
        <v>0.39 (0.02)</v>
      </c>
      <c r="F86" s="20" t="str">
        <f ca="1">VLOOKUP(B86,Kompilirano!AW:BD,7,FALSE)</f>
        <v>0.48 (0.02)</v>
      </c>
      <c r="G86" s="20" t="str">
        <f ca="1">VLOOKUP(B86,Kompilirano!BG:BM,7,FALSE)</f>
        <v>0.05 (0.00)</v>
      </c>
      <c r="H86" s="20" t="str">
        <f ca="1">VLOOKUP(B86,Kompilirano!BQ:BW,7,FALSE)</f>
        <v>0.06 (0.00)</v>
      </c>
    </row>
    <row r="87" spans="2:8" x14ac:dyDescent="0.25">
      <c r="B87" s="16" t="s">
        <v>100</v>
      </c>
      <c r="C87" s="17">
        <f ca="1">VLOOKUP(B87,Kompilirano!T:Z,7,FALSE)/226/5</f>
        <v>425.38141592920357</v>
      </c>
      <c r="D87" s="18">
        <f ca="1">VLOOKUP(B87,Kompilirano!J:P,7,FALSE)/226/5</f>
        <v>0.87433628318584078</v>
      </c>
      <c r="E87" s="19" t="str">
        <f ca="1">VLOOKUP(B87,Kompilirano!AM:AS,7,FALSE)</f>
        <v>0.32 (0.01)</v>
      </c>
      <c r="F87" s="20" t="str">
        <f ca="1">VLOOKUP(B87,Kompilirano!AW:BD,7,FALSE)</f>
        <v>0.13 (0.01)</v>
      </c>
      <c r="G87" s="20" t="str">
        <f ca="1">VLOOKUP(B87,Kompilirano!BG:BM,7,FALSE)</f>
        <v>0.05 (0.00)</v>
      </c>
      <c r="H87" s="20" t="str">
        <f ca="1">VLOOKUP(B87,Kompilirano!BQ:BW,7,FALSE)</f>
        <v>0.11 (0.00)</v>
      </c>
    </row>
    <row r="88" spans="2:8" x14ac:dyDescent="0.25">
      <c r="B88" s="16" t="s">
        <v>9</v>
      </c>
      <c r="C88" s="17">
        <f ca="1">VLOOKUP(B88,Kompilirano!T:Z,7,FALSE)/226/5</f>
        <v>425.37256637168139</v>
      </c>
      <c r="D88" s="18">
        <f ca="1">VLOOKUP(B88,Kompilirano!J:P,7,FALSE)/226/5</f>
        <v>0.74867256637168134</v>
      </c>
      <c r="E88" s="19" t="str">
        <f ca="1">VLOOKUP(B88,Kompilirano!AM:AS,7,FALSE)</f>
        <v>0.32 (0.01)</v>
      </c>
      <c r="F88" s="20" t="str">
        <f ca="1">VLOOKUP(B88,Kompilirano!AW:BD,7,FALSE)</f>
        <v>0.25 (0.01)</v>
      </c>
      <c r="G88" s="20" t="str">
        <f ca="1">VLOOKUP(B88,Kompilirano!BG:BM,7,FALSE)</f>
        <v>0.05 (0.00)</v>
      </c>
      <c r="H88" s="20" t="str">
        <f ca="1">VLOOKUP(B88,Kompilirano!BQ:BW,7,FALSE)</f>
        <v>0.10 (0.00)</v>
      </c>
    </row>
    <row r="89" spans="2:8" x14ac:dyDescent="0.25">
      <c r="B89" s="16" t="s">
        <v>199</v>
      </c>
      <c r="C89" s="17">
        <f ca="1">VLOOKUP(B89,Kompilirano!T:Z,7,FALSE)/226/5</f>
        <v>424.61504424778758</v>
      </c>
      <c r="D89" s="18">
        <f ca="1">VLOOKUP(B89,Kompilirano!J:P,7,FALSE)/226/5</f>
        <v>0.54778761061946901</v>
      </c>
      <c r="E89" s="19" t="str">
        <f ca="1">VLOOKUP(B89,Kompilirano!AM:AS,7,FALSE)</f>
        <v>0.34 (0.01)</v>
      </c>
      <c r="F89" s="20" t="str">
        <f ca="1">VLOOKUP(B89,Kompilirano!AW:BD,7,FALSE)</f>
        <v>0.45 (0.02)</v>
      </c>
      <c r="G89" s="20" t="str">
        <f ca="1">VLOOKUP(B89,Kompilirano!BG:BM,7,FALSE)</f>
        <v>0.05 (0.00)</v>
      </c>
      <c r="H89" s="20" t="str">
        <f ca="1">VLOOKUP(B89,Kompilirano!BQ:BW,7,FALSE)</f>
        <v>0.06 (0.01)</v>
      </c>
    </row>
    <row r="90" spans="2:8" x14ac:dyDescent="0.25">
      <c r="B90" s="16" t="s">
        <v>142</v>
      </c>
      <c r="C90" s="17">
        <f ca="1">VLOOKUP(B90,Kompilirano!T:Z,7,FALSE)/226/5</f>
        <v>424.44778761061946</v>
      </c>
      <c r="D90" s="18">
        <f ca="1">VLOOKUP(B90,Kompilirano!J:P,7,FALSE)/226/5</f>
        <v>0.8734513274336283</v>
      </c>
      <c r="E90" s="19" t="str">
        <f ca="1">VLOOKUP(B90,Kompilirano!AM:AS,7,FALSE)</f>
        <v>0.14 (0.00)</v>
      </c>
      <c r="F90" s="20" t="str">
        <f ca="1">VLOOKUP(B90,Kompilirano!AW:BD,7,FALSE)</f>
        <v>0.13 (0.02)</v>
      </c>
      <c r="G90" s="20" t="str">
        <f ca="1">VLOOKUP(B90,Kompilirano!BG:BM,7,FALSE)</f>
        <v>0.02 (0.00)</v>
      </c>
      <c r="H90" s="20" t="str">
        <f ca="1">VLOOKUP(B90,Kompilirano!BQ:BW,7,FALSE)</f>
        <v>0.10 (0.00)</v>
      </c>
    </row>
    <row r="91" spans="2:8" x14ac:dyDescent="0.25">
      <c r="B91" s="16" t="s">
        <v>223</v>
      </c>
      <c r="C91" s="17">
        <f ca="1">VLOOKUP(B91,Kompilirano!T:Z,7,FALSE)/226/5</f>
        <v>423.91150442477874</v>
      </c>
      <c r="D91" s="18">
        <f ca="1">VLOOKUP(B91,Kompilirano!J:P,7,FALSE)/226/5</f>
        <v>0.57168141592920352</v>
      </c>
      <c r="E91" s="19" t="str">
        <f ca="1">VLOOKUP(B91,Kompilirano!AM:AS,7,FALSE)</f>
        <v>0.43 (0.01)</v>
      </c>
      <c r="F91" s="20" t="str">
        <f ca="1">VLOOKUP(B91,Kompilirano!AW:BD,7,FALSE)</f>
        <v>0.43 (0.01)</v>
      </c>
      <c r="G91" s="20" t="str">
        <f ca="1">VLOOKUP(B91,Kompilirano!BG:BM,7,FALSE)</f>
        <v>0.06 (0.00)</v>
      </c>
      <c r="H91" s="20" t="str">
        <f ca="1">VLOOKUP(B91,Kompilirano!BQ:BW,7,FALSE)</f>
        <v>0.08 (0.00)</v>
      </c>
    </row>
    <row r="92" spans="2:8" x14ac:dyDescent="0.25">
      <c r="B92" s="16" t="s">
        <v>10</v>
      </c>
      <c r="C92" s="17">
        <f ca="1">VLOOKUP(B92,Kompilirano!T:Z,7,FALSE)/226/5</f>
        <v>423.86814159292032</v>
      </c>
      <c r="D92" s="18">
        <f ca="1">VLOOKUP(B92,Kompilirano!J:P,7,FALSE)/226/5</f>
        <v>0.66814159292035402</v>
      </c>
      <c r="E92" s="19" t="str">
        <f ca="1">VLOOKUP(B92,Kompilirano!AM:AS,7,FALSE)</f>
        <v>0.30 (0.00)</v>
      </c>
      <c r="F92" s="20" t="str">
        <f ca="1">VLOOKUP(B92,Kompilirano!AW:BD,7,FALSE)</f>
        <v>0.33 (0.01)</v>
      </c>
      <c r="G92" s="20" t="str">
        <f ca="1">VLOOKUP(B92,Kompilirano!BG:BM,7,FALSE)</f>
        <v>0.04 (0.00)</v>
      </c>
      <c r="H92" s="20" t="str">
        <f ca="1">VLOOKUP(B92,Kompilirano!BQ:BW,7,FALSE)</f>
        <v>0.08 (0.00)</v>
      </c>
    </row>
    <row r="93" spans="2:8" x14ac:dyDescent="0.25">
      <c r="B93" s="16" t="s">
        <v>161</v>
      </c>
      <c r="C93" s="17">
        <f ca="1">VLOOKUP(B93,Kompilirano!T:Z,7,FALSE)/226/5</f>
        <v>423.79557522123895</v>
      </c>
      <c r="D93" s="18">
        <f ca="1">VLOOKUP(B93,Kompilirano!J:P,7,FALSE)/226/5</f>
        <v>0.4230088495575221</v>
      </c>
      <c r="E93" s="19" t="str">
        <f ca="1">VLOOKUP(B93,Kompilirano!AM:AS,7,FALSE)</f>
        <v>0.49 (0.01)</v>
      </c>
      <c r="F93" s="20" t="str">
        <f ca="1">VLOOKUP(B93,Kompilirano!AW:BD,7,FALSE)</f>
        <v>0.58 (0.03)</v>
      </c>
      <c r="G93" s="20" t="str">
        <f ca="1">VLOOKUP(B93,Kompilirano!BG:BM,7,FALSE)</f>
        <v>0.07 (0.00)</v>
      </c>
      <c r="H93" s="20" t="str">
        <f ca="1">VLOOKUP(B93,Kompilirano!BQ:BW,7,FALSE)</f>
        <v>0.06 (0.00)</v>
      </c>
    </row>
    <row r="94" spans="2:8" x14ac:dyDescent="0.25">
      <c r="B94" s="16" t="s">
        <v>157</v>
      </c>
      <c r="C94" s="17">
        <f ca="1">VLOOKUP(B94,Kompilirano!T:Z,7,FALSE)/226/5</f>
        <v>423.68141592920358</v>
      </c>
      <c r="D94" s="18">
        <f ca="1">VLOOKUP(B94,Kompilirano!J:P,7,FALSE)/226/5</f>
        <v>0.42831858407079648</v>
      </c>
      <c r="E94" s="19" t="str">
        <f ca="1">VLOOKUP(B94,Kompilirano!AM:AS,7,FALSE)</f>
        <v>0.49 (0.01)</v>
      </c>
      <c r="F94" s="20" t="str">
        <f ca="1">VLOOKUP(B94,Kompilirano!AW:BD,7,FALSE)</f>
        <v>0.57 (0.03)</v>
      </c>
      <c r="G94" s="20" t="str">
        <f ca="1">VLOOKUP(B94,Kompilirano!BG:BM,7,FALSE)</f>
        <v>0.07 (0.00)</v>
      </c>
      <c r="H94" s="20" t="str">
        <f ca="1">VLOOKUP(B94,Kompilirano!BQ:BW,7,FALSE)</f>
        <v>0.07 (0.00)</v>
      </c>
    </row>
    <row r="95" spans="2:8" x14ac:dyDescent="0.25">
      <c r="B95" s="16" t="s">
        <v>259</v>
      </c>
      <c r="C95" s="17">
        <f ca="1">VLOOKUP(B95,Kompilirano!T:Z,7,FALSE)/226/5</f>
        <v>423.6513274336283</v>
      </c>
      <c r="D95" s="18">
        <f ca="1">VLOOKUP(B95,Kompilirano!J:P,7,FALSE)/226/5</f>
        <v>0.87168141592920345</v>
      </c>
      <c r="E95" s="19" t="str">
        <f ca="1">VLOOKUP(B95,Kompilirano!AM:AS,7,FALSE)</f>
        <v>0.11 (0.00)</v>
      </c>
      <c r="F95" s="20" t="str">
        <f ca="1">VLOOKUP(B95,Kompilirano!AW:BD,7,FALSE)</f>
        <v>0.13 (0.01)</v>
      </c>
      <c r="G95" s="20" t="str">
        <f ca="1">VLOOKUP(B95,Kompilirano!BG:BM,7,FALSE)</f>
        <v>0.01 (0.00)</v>
      </c>
      <c r="H95" s="20" t="str">
        <f ca="1">VLOOKUP(B95,Kompilirano!BQ:BW,7,FALSE)</f>
        <v>0.10 (0.00)</v>
      </c>
    </row>
    <row r="96" spans="2:8" x14ac:dyDescent="0.25">
      <c r="B96" s="16" t="s">
        <v>88</v>
      </c>
      <c r="C96" s="17">
        <f ca="1">VLOOKUP(B96,Kompilirano!T:Z,7,FALSE)/226/5</f>
        <v>423.64867256637172</v>
      </c>
      <c r="D96" s="18">
        <f ca="1">VLOOKUP(B96,Kompilirano!J:P,7,FALSE)/226/5</f>
        <v>0.61592920353982294</v>
      </c>
      <c r="E96" s="19" t="str">
        <f ca="1">VLOOKUP(B96,Kompilirano!AM:AS,7,FALSE)</f>
        <v>0.32 (0.01)</v>
      </c>
      <c r="F96" s="20" t="str">
        <f ca="1">VLOOKUP(B96,Kompilirano!AW:BD,7,FALSE)</f>
        <v>0.38 (0.02)</v>
      </c>
      <c r="G96" s="20" t="str">
        <f ca="1">VLOOKUP(B96,Kompilirano!BG:BM,7,FALSE)</f>
        <v>0.04 (0.00)</v>
      </c>
      <c r="H96" s="20" t="str">
        <f ca="1">VLOOKUP(B96,Kompilirano!BQ:BW,7,FALSE)</f>
        <v>0.07 (0.00)</v>
      </c>
    </row>
    <row r="97" spans="2:8" x14ac:dyDescent="0.25">
      <c r="B97" s="16" t="s">
        <v>162</v>
      </c>
      <c r="C97" s="17">
        <f ca="1">VLOOKUP(B97,Kompilirano!T:Z,7,FALSE)/226/5</f>
        <v>423.57345132743365</v>
      </c>
      <c r="D97" s="18">
        <f ca="1">VLOOKUP(B97,Kompilirano!J:P,7,FALSE)/226/5</f>
        <v>0.347787610619469</v>
      </c>
      <c r="E97" s="19" t="str">
        <f ca="1">VLOOKUP(B97,Kompilirano!AM:AS,7,FALSE)</f>
        <v>0.53 (0.00)</v>
      </c>
      <c r="F97" s="20" t="str">
        <f ca="1">VLOOKUP(B97,Kompilirano!AW:BD,7,FALSE)</f>
        <v>0.65 (0.02)</v>
      </c>
      <c r="G97" s="20" t="str">
        <f ca="1">VLOOKUP(B97,Kompilirano!BG:BM,7,FALSE)</f>
        <v>0.08 (0.00)</v>
      </c>
      <c r="H97" s="20" t="str">
        <f ca="1">VLOOKUP(B97,Kompilirano!BQ:BW,7,FALSE)</f>
        <v>0.04 (0.00)</v>
      </c>
    </row>
    <row r="98" spans="2:8" x14ac:dyDescent="0.25">
      <c r="B98" s="16" t="s">
        <v>180</v>
      </c>
      <c r="C98" s="17">
        <f ca="1">VLOOKUP(B98,Kompilirano!T:Z,7,FALSE)/226/5</f>
        <v>423.52654867256632</v>
      </c>
      <c r="D98" s="18">
        <f ca="1">VLOOKUP(B98,Kompilirano!J:P,7,FALSE)/226/5</f>
        <v>0.42477876106194695</v>
      </c>
      <c r="E98" s="19" t="str">
        <f ca="1">VLOOKUP(B98,Kompilirano!AM:AS,7,FALSE)</f>
        <v>0.41 (0.00)</v>
      </c>
      <c r="F98" s="20" t="str">
        <f ca="1">VLOOKUP(B98,Kompilirano!AW:BD,7,FALSE)</f>
        <v>0.58 (0.02)</v>
      </c>
      <c r="G98" s="20" t="str">
        <f ca="1">VLOOKUP(B98,Kompilirano!BG:BM,7,FALSE)</f>
        <v>0.06 (0.00)</v>
      </c>
      <c r="H98" s="20" t="str">
        <f ca="1">VLOOKUP(B98,Kompilirano!BQ:BW,7,FALSE)</f>
        <v>0.05 (0.00)</v>
      </c>
    </row>
    <row r="99" spans="2:8" x14ac:dyDescent="0.25">
      <c r="B99" s="16" t="s">
        <v>168</v>
      </c>
      <c r="C99" s="17">
        <f ca="1">VLOOKUP(B99,Kompilirano!T:Z,7,FALSE)/226/5</f>
        <v>423.48407079646023</v>
      </c>
      <c r="D99" s="18">
        <f ca="1">VLOOKUP(B99,Kompilirano!J:P,7,FALSE)/226/5</f>
        <v>0.40353982300884955</v>
      </c>
      <c r="E99" s="19" t="str">
        <f ca="1">VLOOKUP(B99,Kompilirano!AM:AS,7,FALSE)</f>
        <v>0.50 (0.01)</v>
      </c>
      <c r="F99" s="20" t="str">
        <f ca="1">VLOOKUP(B99,Kompilirano!AW:BD,7,FALSE)</f>
        <v>0.60 (0.02)</v>
      </c>
      <c r="G99" s="20" t="str">
        <f ca="1">VLOOKUP(B99,Kompilirano!BG:BM,7,FALSE)</f>
        <v>0.08 (0.00)</v>
      </c>
      <c r="H99" s="20" t="str">
        <f ca="1">VLOOKUP(B99,Kompilirano!BQ:BW,7,FALSE)</f>
        <v>0.07 (0.00)</v>
      </c>
    </row>
    <row r="100" spans="2:8" x14ac:dyDescent="0.25">
      <c r="B100" s="16" t="s">
        <v>238</v>
      </c>
      <c r="C100" s="17">
        <f ca="1">VLOOKUP(B100,Kompilirano!T:Z,7,FALSE)/226/5</f>
        <v>423.36460176991147</v>
      </c>
      <c r="D100" s="18">
        <f ca="1">VLOOKUP(B100,Kompilirano!J:P,7,FALSE)/226/5</f>
        <v>0.64070796460176993</v>
      </c>
      <c r="E100" s="19" t="str">
        <f ca="1">VLOOKUP(B100,Kompilirano!AM:AS,7,FALSE)</f>
        <v>0.20 (0.01)</v>
      </c>
      <c r="F100" s="20" t="str">
        <f ca="1">VLOOKUP(B100,Kompilirano!AW:BD,7,FALSE)</f>
        <v>0.36 (0.02)</v>
      </c>
      <c r="G100" s="20" t="str">
        <f ca="1">VLOOKUP(B100,Kompilirano!BG:BM,7,FALSE)</f>
        <v>0.03 (0.00)</v>
      </c>
      <c r="H100" s="20" t="str">
        <f ca="1">VLOOKUP(B100,Kompilirano!BQ:BW,7,FALSE)</f>
        <v>0.07 (0.00)</v>
      </c>
    </row>
    <row r="101" spans="2:8" x14ac:dyDescent="0.25">
      <c r="B101" s="16" t="s">
        <v>132</v>
      </c>
      <c r="C101" s="17">
        <f ca="1">VLOOKUP(B101,Kompilirano!T:Z,7,FALSE)/226/5</f>
        <v>423.20353982300884</v>
      </c>
      <c r="D101" s="18">
        <f ca="1">VLOOKUP(B101,Kompilirano!J:P,7,FALSE)/226/5</f>
        <v>0.65132743362831858</v>
      </c>
      <c r="E101" s="19" t="str">
        <f ca="1">VLOOKUP(B101,Kompilirano!AM:AS,7,FALSE)</f>
        <v>0.40 (0.01)</v>
      </c>
      <c r="F101" s="20" t="str">
        <f ca="1">VLOOKUP(B101,Kompilirano!AW:BD,7,FALSE)</f>
        <v>0.35 (0.04)</v>
      </c>
      <c r="G101" s="20" t="str">
        <f ca="1">VLOOKUP(B101,Kompilirano!BG:BM,7,FALSE)</f>
        <v>0.06 (0.00)</v>
      </c>
      <c r="H101" s="20" t="str">
        <f ca="1">VLOOKUP(B101,Kompilirano!BQ:BW,7,FALSE)</f>
        <v>0.08 (0.00)</v>
      </c>
    </row>
    <row r="102" spans="2:8" x14ac:dyDescent="0.25">
      <c r="B102" s="16" t="s">
        <v>16</v>
      </c>
      <c r="C102" s="17">
        <f ca="1">VLOOKUP(B102,Kompilirano!T:Z,7,FALSE)/226/5</f>
        <v>423.13274336283183</v>
      </c>
      <c r="D102" s="18">
        <f ca="1">VLOOKUP(B102,Kompilirano!J:P,7,FALSE)/226/5</f>
        <v>0.57610619469026547</v>
      </c>
      <c r="E102" s="19" t="str">
        <f ca="1">VLOOKUP(B102,Kompilirano!AM:AS,7,FALSE)</f>
        <v>0.43 (0.00)</v>
      </c>
      <c r="F102" s="20" t="str">
        <f ca="1">VLOOKUP(B102,Kompilirano!AW:BD,7,FALSE)</f>
        <v>0.42 (0.03)</v>
      </c>
      <c r="G102" s="20" t="str">
        <f ca="1">VLOOKUP(B102,Kompilirano!BG:BM,7,FALSE)</f>
        <v>0.06 (0.00)</v>
      </c>
      <c r="H102" s="20" t="str">
        <f ca="1">VLOOKUP(B102,Kompilirano!BQ:BW,7,FALSE)</f>
        <v>0.08 (0.00)</v>
      </c>
    </row>
    <row r="103" spans="2:8" x14ac:dyDescent="0.25">
      <c r="B103" s="16" t="s">
        <v>209</v>
      </c>
      <c r="C103" s="17">
        <f ca="1">VLOOKUP(B103,Kompilirano!T:Z,7,FALSE)/226/5</f>
        <v>423.10707964601772</v>
      </c>
      <c r="D103" s="18">
        <f ca="1">VLOOKUP(B103,Kompilirano!J:P,7,FALSE)/226/5</f>
        <v>0.5601769911504425</v>
      </c>
      <c r="E103" s="19" t="str">
        <f ca="1">VLOOKUP(B103,Kompilirano!AM:AS,7,FALSE)</f>
        <v>0.33 (0.00)</v>
      </c>
      <c r="F103" s="20" t="str">
        <f ca="1">VLOOKUP(B103,Kompilirano!AW:BD,7,FALSE)</f>
        <v>0.44 (0.02)</v>
      </c>
      <c r="G103" s="20" t="str">
        <f ca="1">VLOOKUP(B103,Kompilirano!BG:BM,7,FALSE)</f>
        <v>0.04 (0.00)</v>
      </c>
      <c r="H103" s="20" t="str">
        <f ca="1">VLOOKUP(B103,Kompilirano!BQ:BW,7,FALSE)</f>
        <v>0.04 (0.00)</v>
      </c>
    </row>
    <row r="104" spans="2:8" x14ac:dyDescent="0.25">
      <c r="B104" s="16" t="s">
        <v>250</v>
      </c>
      <c r="C104" s="17">
        <f ca="1">VLOOKUP(B104,Kompilirano!T:Z,7,FALSE)/226/5</f>
        <v>422.99557522123894</v>
      </c>
      <c r="D104" s="18">
        <f ca="1">VLOOKUP(B104,Kompilirano!J:P,7,FALSE)/226/5</f>
        <v>0.88053097345132747</v>
      </c>
      <c r="E104" s="19" t="str">
        <f ca="1">VLOOKUP(B104,Kompilirano!AM:AS,7,FALSE)</f>
        <v>0.11 (0.00)</v>
      </c>
      <c r="F104" s="20" t="str">
        <f ca="1">VLOOKUP(B104,Kompilirano!AW:BD,7,FALSE)</f>
        <v>0.12 (0.02)</v>
      </c>
      <c r="G104" s="20" t="str">
        <f ca="1">VLOOKUP(B104,Kompilirano!BG:BM,7,FALSE)</f>
        <v>0.01 (0.00)</v>
      </c>
      <c r="H104" s="20" t="str">
        <f ca="1">VLOOKUP(B104,Kompilirano!BQ:BW,7,FALSE)</f>
        <v>0.09 (0.00)</v>
      </c>
    </row>
    <row r="105" spans="2:8" x14ac:dyDescent="0.25">
      <c r="B105" s="16" t="s">
        <v>131</v>
      </c>
      <c r="C105" s="17">
        <f ca="1">VLOOKUP(B105,Kompilirano!T:Z,7,FALSE)/226/5</f>
        <v>422.87433628318587</v>
      </c>
      <c r="D105" s="18">
        <f ca="1">VLOOKUP(B105,Kompilirano!J:P,7,FALSE)/226/5</f>
        <v>8.4955752212389379E-2</v>
      </c>
      <c r="E105" s="19" t="str">
        <f ca="1">VLOOKUP(B105,Kompilirano!AM:AS,7,FALSE)</f>
        <v>0.72 (0.01)</v>
      </c>
      <c r="F105" s="20" t="str">
        <f ca="1">VLOOKUP(B105,Kompilirano!AW:BD,7,FALSE)</f>
        <v>0.92 (0.03)</v>
      </c>
      <c r="G105" s="20" t="str">
        <f ca="1">VLOOKUP(B105,Kompilirano!BG:BM,7,FALSE)</f>
        <v>0.10 (0.00)</v>
      </c>
      <c r="H105" s="20" t="str">
        <f ca="1">VLOOKUP(B105,Kompilirano!BQ:BW,7,FALSE)</f>
        <v>-0.02 (0.01)</v>
      </c>
    </row>
    <row r="106" spans="2:8" x14ac:dyDescent="0.25">
      <c r="B106" s="16" t="s">
        <v>200</v>
      </c>
      <c r="C106" s="17">
        <f ca="1">VLOOKUP(B106,Kompilirano!T:Z,7,FALSE)/226/5</f>
        <v>422.51061946902655</v>
      </c>
      <c r="D106" s="18">
        <f ca="1">VLOOKUP(B106,Kompilirano!J:P,7,FALSE)/226/5</f>
        <v>0.45221238938053093</v>
      </c>
      <c r="E106" s="19" t="str">
        <f ca="1">VLOOKUP(B106,Kompilirano!AM:AS,7,FALSE)</f>
        <v>0.47 (0.01)</v>
      </c>
      <c r="F106" s="20" t="str">
        <f ca="1">VLOOKUP(B106,Kompilirano!AW:BD,7,FALSE)</f>
        <v>0.55 (0.02)</v>
      </c>
      <c r="G106" s="20" t="str">
        <f ca="1">VLOOKUP(B106,Kompilirano!BG:BM,7,FALSE)</f>
        <v>0.07 (0.00)</v>
      </c>
      <c r="H106" s="20" t="str">
        <f ca="1">VLOOKUP(B106,Kompilirano!BQ:BW,7,FALSE)</f>
        <v>0.07 (0.00)</v>
      </c>
    </row>
    <row r="107" spans="2:8" x14ac:dyDescent="0.25">
      <c r="B107" s="16" t="s">
        <v>153</v>
      </c>
      <c r="C107" s="17">
        <f ca="1">VLOOKUP(B107,Kompilirano!T:Z,7,FALSE)/226/5</f>
        <v>422.33805309734515</v>
      </c>
      <c r="D107" s="18">
        <f ca="1">VLOOKUP(B107,Kompilirano!J:P,7,FALSE)/226/5</f>
        <v>0.36814159292035398</v>
      </c>
      <c r="E107" s="19" t="str">
        <f ca="1">VLOOKUP(B107,Kompilirano!AM:AS,7,FALSE)</f>
        <v>0.53 (0.01)</v>
      </c>
      <c r="F107" s="20" t="str">
        <f ca="1">VLOOKUP(B107,Kompilirano!AW:BD,7,FALSE)</f>
        <v>0.63 (0.01)</v>
      </c>
      <c r="G107" s="20" t="str">
        <f ca="1">VLOOKUP(B107,Kompilirano!BG:BM,7,FALSE)</f>
        <v>0.08 (0.00)</v>
      </c>
      <c r="H107" s="20" t="str">
        <f ca="1">VLOOKUP(B107,Kompilirano!BQ:BW,7,FALSE)</f>
        <v>0.04 (0.00)</v>
      </c>
    </row>
    <row r="108" spans="2:8" x14ac:dyDescent="0.25">
      <c r="B108" s="16" t="s">
        <v>189</v>
      </c>
      <c r="C108" s="17">
        <f ca="1">VLOOKUP(B108,Kompilirano!T:Z,7,FALSE)/226/5</f>
        <v>422.30973451327435</v>
      </c>
      <c r="D108" s="18">
        <f ca="1">VLOOKUP(B108,Kompilirano!J:P,7,FALSE)/226/5</f>
        <v>0.4442477876106195</v>
      </c>
      <c r="E108" s="19" t="str">
        <f ca="1">VLOOKUP(B108,Kompilirano!AM:AS,7,FALSE)</f>
        <v>0.47 (0.01)</v>
      </c>
      <c r="F108" s="20" t="str">
        <f ca="1">VLOOKUP(B108,Kompilirano!AW:BD,7,FALSE)</f>
        <v>0.56 (0.03)</v>
      </c>
      <c r="G108" s="20" t="str">
        <f ca="1">VLOOKUP(B108,Kompilirano!BG:BM,7,FALSE)</f>
        <v>0.07 (0.00)</v>
      </c>
      <c r="H108" s="20" t="str">
        <f ca="1">VLOOKUP(B108,Kompilirano!BQ:BW,7,FALSE)</f>
        <v>0.07 (0.00)</v>
      </c>
    </row>
    <row r="109" spans="2:8" x14ac:dyDescent="0.25">
      <c r="B109" s="16" t="s">
        <v>220</v>
      </c>
      <c r="C109" s="17">
        <f ca="1">VLOOKUP(B109,Kompilirano!T:Z,7,FALSE)/226/5</f>
        <v>422.21061946902654</v>
      </c>
      <c r="D109" s="18">
        <f ca="1">VLOOKUP(B109,Kompilirano!J:P,7,FALSE)/226/5</f>
        <v>0.55398230088495581</v>
      </c>
      <c r="E109" s="19" t="str">
        <f ca="1">VLOOKUP(B109,Kompilirano!AM:AS,7,FALSE)</f>
        <v>0.25 (0.00)</v>
      </c>
      <c r="F109" s="20" t="str">
        <f ca="1">VLOOKUP(B109,Kompilirano!AW:BD,7,FALSE)</f>
        <v>0.45 (0.02)</v>
      </c>
      <c r="G109" s="20" t="str">
        <f ca="1">VLOOKUP(B109,Kompilirano!BG:BM,7,FALSE)</f>
        <v>0.03 (0.00)</v>
      </c>
      <c r="H109" s="20" t="str">
        <f ca="1">VLOOKUP(B109,Kompilirano!BQ:BW,7,FALSE)</f>
        <v>0.04 (0.00)</v>
      </c>
    </row>
    <row r="110" spans="2:8" x14ac:dyDescent="0.25">
      <c r="B110" s="16" t="s">
        <v>179</v>
      </c>
      <c r="C110" s="17">
        <f ca="1">VLOOKUP(B110,Kompilirano!T:Z,7,FALSE)/226/5</f>
        <v>422.10088495575218</v>
      </c>
      <c r="D110" s="18">
        <f ca="1">VLOOKUP(B110,Kompilirano!J:P,7,FALSE)/226/5</f>
        <v>0.61858407079646016</v>
      </c>
      <c r="E110" s="19" t="str">
        <f ca="1">VLOOKUP(B110,Kompilirano!AM:AS,7,FALSE)</f>
        <v>0.20 (0.00)</v>
      </c>
      <c r="F110" s="20" t="str">
        <f ca="1">VLOOKUP(B110,Kompilirano!AW:BD,7,FALSE)</f>
        <v>0.38 (0.02)</v>
      </c>
      <c r="G110" s="20" t="str">
        <f ca="1">VLOOKUP(B110,Kompilirano!BG:BM,7,FALSE)</f>
        <v>0.02 (0.00)</v>
      </c>
      <c r="H110" s="20" t="str">
        <f ca="1">VLOOKUP(B110,Kompilirano!BQ:BW,7,FALSE)</f>
        <v>0.05 (0.00)</v>
      </c>
    </row>
    <row r="111" spans="2:8" x14ac:dyDescent="0.25">
      <c r="B111" s="16" t="s">
        <v>190</v>
      </c>
      <c r="C111" s="17">
        <f ca="1">VLOOKUP(B111,Kompilirano!T:Z,7,FALSE)/226/5</f>
        <v>421.85840707964599</v>
      </c>
      <c r="D111" s="18">
        <f ca="1">VLOOKUP(B111,Kompilirano!J:P,7,FALSE)/226/5</f>
        <v>0.33097345132743361</v>
      </c>
      <c r="E111" s="19" t="str">
        <f ca="1">VLOOKUP(B111,Kompilirano!AM:AS,7,FALSE)</f>
        <v>0.60 (0.01)</v>
      </c>
      <c r="F111" s="20" t="str">
        <f ca="1">VLOOKUP(B111,Kompilirano!AW:BD,7,FALSE)</f>
        <v>0.67 (0.01)</v>
      </c>
      <c r="G111" s="20" t="str">
        <f ca="1">VLOOKUP(B111,Kompilirano!BG:BM,7,FALSE)</f>
        <v>0.08 (0.00)</v>
      </c>
      <c r="H111" s="20" t="str">
        <f ca="1">VLOOKUP(B111,Kompilirano!BQ:BW,7,FALSE)</f>
        <v>0.01 (0.00)</v>
      </c>
    </row>
    <row r="112" spans="2:8" x14ac:dyDescent="0.25">
      <c r="B112" s="16" t="s">
        <v>275</v>
      </c>
      <c r="C112" s="17">
        <f ca="1">VLOOKUP(B112,Kompilirano!T:Z,7,FALSE)/226/5</f>
        <v>421.78141592920355</v>
      </c>
      <c r="D112" s="18">
        <f ca="1">VLOOKUP(B112,Kompilirano!J:P,7,FALSE)/226/5</f>
        <v>0.9035398230088495</v>
      </c>
      <c r="E112" s="19" t="str">
        <f ca="1">VLOOKUP(B112,Kompilirano!AM:AS,7,FALSE)</f>
        <v>0.10 (0.00)</v>
      </c>
      <c r="F112" s="20" t="str">
        <f ca="1">VLOOKUP(B112,Kompilirano!AW:BD,7,FALSE)</f>
        <v>0.10 (0.02)</v>
      </c>
      <c r="G112" s="20" t="str">
        <f ca="1">VLOOKUP(B112,Kompilirano!BG:BM,7,FALSE)</f>
        <v>0.01 (0.00)</v>
      </c>
      <c r="H112" s="20" t="str">
        <f ca="1">VLOOKUP(B112,Kompilirano!BQ:BW,7,FALSE)</f>
        <v>0.10 (0.00)</v>
      </c>
    </row>
    <row r="113" spans="2:8" x14ac:dyDescent="0.25">
      <c r="B113" s="16" t="s">
        <v>187</v>
      </c>
      <c r="C113" s="17">
        <f ca="1">VLOOKUP(B113,Kompilirano!T:Z,7,FALSE)/226/5</f>
        <v>421.71681415929208</v>
      </c>
      <c r="D113" s="18">
        <f ca="1">VLOOKUP(B113,Kompilirano!J:P,7,FALSE)/226/5</f>
        <v>0.43628318584070797</v>
      </c>
      <c r="E113" s="19" t="str">
        <f ca="1">VLOOKUP(B113,Kompilirano!AM:AS,7,FALSE)</f>
        <v>0.47 (0.01)</v>
      </c>
      <c r="F113" s="20" t="str">
        <f ca="1">VLOOKUP(B113,Kompilirano!AW:BD,7,FALSE)</f>
        <v>0.56 (0.02)</v>
      </c>
      <c r="G113" s="20" t="str">
        <f ca="1">VLOOKUP(B113,Kompilirano!BG:BM,7,FALSE)</f>
        <v>0.07 (0.00)</v>
      </c>
      <c r="H113" s="20" t="str">
        <f ca="1">VLOOKUP(B113,Kompilirano!BQ:BW,7,FALSE)</f>
        <v>0.07 (0.00)</v>
      </c>
    </row>
    <row r="114" spans="2:8" x14ac:dyDescent="0.25">
      <c r="B114" s="16" t="s">
        <v>102</v>
      </c>
      <c r="C114" s="17">
        <f ca="1">VLOOKUP(B114,Kompilirano!T:Z,7,FALSE)/226/5</f>
        <v>421.68141592920358</v>
      </c>
      <c r="D114" s="18">
        <f ca="1">VLOOKUP(B114,Kompilirano!J:P,7,FALSE)/226/5</f>
        <v>0.80619469026548674</v>
      </c>
      <c r="E114" s="19" t="str">
        <f ca="1">VLOOKUP(B114,Kompilirano!AM:AS,7,FALSE)</f>
        <v>0.22 (0.01)</v>
      </c>
      <c r="F114" s="20" t="str">
        <f ca="1">VLOOKUP(B114,Kompilirano!AW:BD,7,FALSE)</f>
        <v>0.19 (0.01)</v>
      </c>
      <c r="G114" s="20" t="str">
        <f ca="1">VLOOKUP(B114,Kompilirano!BG:BM,7,FALSE)</f>
        <v>0.03 (0.00)</v>
      </c>
      <c r="H114" s="20" t="str">
        <f ca="1">VLOOKUP(B114,Kompilirano!BQ:BW,7,FALSE)</f>
        <v>0.09 (0.00)</v>
      </c>
    </row>
    <row r="115" spans="2:8" x14ac:dyDescent="0.25">
      <c r="B115" s="16" t="s">
        <v>148</v>
      </c>
      <c r="C115" s="17">
        <f ca="1">VLOOKUP(B115,Kompilirano!T:Z,7,FALSE)/226/5</f>
        <v>421.48053097345138</v>
      </c>
      <c r="D115" s="18">
        <f ca="1">VLOOKUP(B115,Kompilirano!J:P,7,FALSE)/226/5</f>
        <v>0.12123893805309735</v>
      </c>
      <c r="E115" s="19" t="str">
        <f ca="1">VLOOKUP(B115,Kompilirano!AM:AS,7,FALSE)</f>
        <v>0.62 (0.01)</v>
      </c>
      <c r="F115" s="20" t="str">
        <f ca="1">VLOOKUP(B115,Kompilirano!AW:BD,7,FALSE)</f>
        <v>0.88 (0.02)</v>
      </c>
      <c r="G115" s="20" t="str">
        <f ca="1">VLOOKUP(B115,Kompilirano!BG:BM,7,FALSE)</f>
        <v>0.09 (0.00)</v>
      </c>
      <c r="H115" s="20" t="str">
        <f ca="1">VLOOKUP(B115,Kompilirano!BQ:BW,7,FALSE)</f>
        <v>0.01 (0.00)</v>
      </c>
    </row>
    <row r="116" spans="2:8" x14ac:dyDescent="0.25">
      <c r="B116" s="16" t="s">
        <v>18</v>
      </c>
      <c r="C116" s="17">
        <f ca="1">VLOOKUP(B116,Kompilirano!T:Z,7,FALSE)/226/5</f>
        <v>421.46637168141598</v>
      </c>
      <c r="D116" s="18">
        <f ca="1">VLOOKUP(B116,Kompilirano!J:P,7,FALSE)/226/5</f>
        <v>0.63362831858407076</v>
      </c>
      <c r="E116" s="19" t="str">
        <f ca="1">VLOOKUP(B116,Kompilirano!AM:AS,7,FALSE)</f>
        <v>0.41 (0.01)</v>
      </c>
      <c r="F116" s="20" t="str">
        <f ca="1">VLOOKUP(B116,Kompilirano!AW:BD,7,FALSE)</f>
        <v>0.37 (0.01)</v>
      </c>
      <c r="G116" s="20" t="str">
        <f ca="1">VLOOKUP(B116,Kompilirano!BG:BM,7,FALSE)</f>
        <v>0.06 (0.00)</v>
      </c>
      <c r="H116" s="20" t="str">
        <f ca="1">VLOOKUP(B116,Kompilirano!BQ:BW,7,FALSE)</f>
        <v>0.08 (0.00)</v>
      </c>
    </row>
    <row r="117" spans="2:8" x14ac:dyDescent="0.25">
      <c r="B117" s="16" t="s">
        <v>129</v>
      </c>
      <c r="C117" s="17">
        <f ca="1">VLOOKUP(B117,Kompilirano!T:Z,7,FALSE)/226/5</f>
        <v>420.98053097345138</v>
      </c>
      <c r="D117" s="18">
        <f ca="1">VLOOKUP(B117,Kompilirano!J:P,7,FALSE)/226/5</f>
        <v>0.72654867256637168</v>
      </c>
      <c r="E117" s="19" t="str">
        <f ca="1">VLOOKUP(B117,Kompilirano!AM:AS,7,FALSE)</f>
        <v>0.19 (0.00)</v>
      </c>
      <c r="F117" s="20" t="str">
        <f ca="1">VLOOKUP(B117,Kompilirano!AW:BD,7,FALSE)</f>
        <v>0.27 (0.01)</v>
      </c>
      <c r="G117" s="20" t="str">
        <f ca="1">VLOOKUP(B117,Kompilirano!BG:BM,7,FALSE)</f>
        <v>0.03 (0.00)</v>
      </c>
      <c r="H117" s="20" t="str">
        <f ca="1">VLOOKUP(B117,Kompilirano!BQ:BW,7,FALSE)</f>
        <v>0.09 (0.00)</v>
      </c>
    </row>
    <row r="118" spans="2:8" x14ac:dyDescent="0.25">
      <c r="B118" s="16" t="s">
        <v>73</v>
      </c>
      <c r="C118" s="17">
        <f ca="1">VLOOKUP(B118,Kompilirano!T:Z,7,FALSE)/226/5</f>
        <v>420.84778761061943</v>
      </c>
      <c r="D118" s="18">
        <f ca="1">VLOOKUP(B118,Kompilirano!J:P,7,FALSE)/226/5</f>
        <v>0.34601769911504421</v>
      </c>
      <c r="E118" s="19" t="str">
        <f ca="1">VLOOKUP(B118,Kompilirano!AM:AS,7,FALSE)</f>
        <v>0.51 (0.00)</v>
      </c>
      <c r="F118" s="20" t="str">
        <f ca="1">VLOOKUP(B118,Kompilirano!AW:BD,7,FALSE)</f>
        <v>0.65 (0.01)</v>
      </c>
      <c r="G118" s="20" t="str">
        <f ca="1">VLOOKUP(B118,Kompilirano!BG:BM,7,FALSE)</f>
        <v>0.06 (0.00)</v>
      </c>
      <c r="H118" s="20" t="str">
        <f ca="1">VLOOKUP(B118,Kompilirano!BQ:BW,7,FALSE)</f>
        <v>-0.05 (0.00)</v>
      </c>
    </row>
    <row r="119" spans="2:8" x14ac:dyDescent="0.25">
      <c r="B119" s="16" t="s">
        <v>123</v>
      </c>
      <c r="C119" s="17">
        <f ca="1">VLOOKUP(B119,Kompilirano!T:Z,7,FALSE)/226/5</f>
        <v>420.61327433628321</v>
      </c>
      <c r="D119" s="18">
        <f ca="1">VLOOKUP(B119,Kompilirano!J:P,7,FALSE)/226/5</f>
        <v>0.27522123893805311</v>
      </c>
      <c r="E119" s="19" t="str">
        <f ca="1">VLOOKUP(B119,Kompilirano!AM:AS,7,FALSE)</f>
        <v>0.63 (0.00)</v>
      </c>
      <c r="F119" s="20" t="str">
        <f ca="1">VLOOKUP(B119,Kompilirano!AW:BD,7,FALSE)</f>
        <v>0.72 (0.01)</v>
      </c>
      <c r="G119" s="20" t="str">
        <f ca="1">VLOOKUP(B119,Kompilirano!BG:BM,7,FALSE)</f>
        <v>0.09 (0.00)</v>
      </c>
      <c r="H119" s="20" t="str">
        <f ca="1">VLOOKUP(B119,Kompilirano!BQ:BW,7,FALSE)</f>
        <v>0.00 (0.00)</v>
      </c>
    </row>
    <row r="120" spans="2:8" x14ac:dyDescent="0.25">
      <c r="B120" s="16" t="s">
        <v>72</v>
      </c>
      <c r="C120" s="17">
        <f ca="1">VLOOKUP(B120,Kompilirano!T:Z,7,FALSE)/226/5</f>
        <v>420.55929203539824</v>
      </c>
      <c r="D120" s="18">
        <f ca="1">VLOOKUP(B120,Kompilirano!J:P,7,FALSE)/226/5</f>
        <v>0.77699115044247791</v>
      </c>
      <c r="E120" s="19" t="str">
        <f ca="1">VLOOKUP(B120,Kompilirano!AM:AS,7,FALSE)</f>
        <v>0.31 (0.01)</v>
      </c>
      <c r="F120" s="20" t="str">
        <f ca="1">VLOOKUP(B120,Kompilirano!AW:BD,7,FALSE)</f>
        <v>0.22 (0.02)</v>
      </c>
      <c r="G120" s="20" t="str">
        <f ca="1">VLOOKUP(B120,Kompilirano!BG:BM,7,FALSE)</f>
        <v>0.04 (0.00)</v>
      </c>
      <c r="H120" s="20" t="str">
        <f ca="1">VLOOKUP(B120,Kompilirano!BQ:BW,7,FALSE)</f>
        <v>0.09 (0.00)</v>
      </c>
    </row>
    <row r="121" spans="2:8" x14ac:dyDescent="0.25">
      <c r="B121" s="16" t="s">
        <v>136</v>
      </c>
      <c r="C121" s="17">
        <f ca="1">VLOOKUP(B121,Kompilirano!T:Z,7,FALSE)/226/5</f>
        <v>420.3345132743363</v>
      </c>
      <c r="D121" s="18">
        <f ca="1">VLOOKUP(B121,Kompilirano!J:P,7,FALSE)/226/5</f>
        <v>0.73982300884955754</v>
      </c>
      <c r="E121" s="19" t="str">
        <f ca="1">VLOOKUP(B121,Kompilirano!AM:AS,7,FALSE)</f>
        <v>0.17 (0.00)</v>
      </c>
      <c r="F121" s="20" t="str">
        <f ca="1">VLOOKUP(B121,Kompilirano!AW:BD,7,FALSE)</f>
        <v>0.26 (0.01)</v>
      </c>
      <c r="G121" s="20" t="str">
        <f ca="1">VLOOKUP(B121,Kompilirano!BG:BM,7,FALSE)</f>
        <v>0.02 (0.00)</v>
      </c>
      <c r="H121" s="20" t="str">
        <f ca="1">VLOOKUP(B121,Kompilirano!BQ:BW,7,FALSE)</f>
        <v>0.09 (0.00)</v>
      </c>
    </row>
    <row r="122" spans="2:8" x14ac:dyDescent="0.25">
      <c r="B122" s="16" t="s">
        <v>150</v>
      </c>
      <c r="C122" s="17">
        <f ca="1">VLOOKUP(B122,Kompilirano!T:Z,7,FALSE)/226/5</f>
        <v>419.98938053097345</v>
      </c>
      <c r="D122" s="18">
        <f ca="1">VLOOKUP(B122,Kompilirano!J:P,7,FALSE)/226/5</f>
        <v>0.88938053097345138</v>
      </c>
      <c r="E122" s="19" t="str">
        <f ca="1">VLOOKUP(B122,Kompilirano!AM:AS,7,FALSE)</f>
        <v>0.15 (0.00)</v>
      </c>
      <c r="F122" s="20" t="str">
        <f ca="1">VLOOKUP(B122,Kompilirano!AW:BD,7,FALSE)</f>
        <v>0.11 (0.01)</v>
      </c>
      <c r="G122" s="20" t="str">
        <f ca="1">VLOOKUP(B122,Kompilirano!BG:BM,7,FALSE)</f>
        <v>0.02 (0.00)</v>
      </c>
      <c r="H122" s="20" t="str">
        <f ca="1">VLOOKUP(B122,Kompilirano!BQ:BW,7,FALSE)</f>
        <v>0.11 (0.00)</v>
      </c>
    </row>
    <row r="123" spans="2:8" x14ac:dyDescent="0.25">
      <c r="B123" s="16" t="s">
        <v>186</v>
      </c>
      <c r="C123" s="17">
        <f ca="1">VLOOKUP(B123,Kompilirano!T:Z,7,FALSE)/226/5</f>
        <v>419.96106194690265</v>
      </c>
      <c r="D123" s="18">
        <f ca="1">VLOOKUP(B123,Kompilirano!J:P,7,FALSE)/226/5</f>
        <v>0.4336283185840708</v>
      </c>
      <c r="E123" s="19" t="str">
        <f ca="1">VLOOKUP(B123,Kompilirano!AM:AS,7,FALSE)</f>
        <v>0.47 (0.01)</v>
      </c>
      <c r="F123" s="20" t="str">
        <f ca="1">VLOOKUP(B123,Kompilirano!AW:BD,7,FALSE)</f>
        <v>0.57 (0.01)</v>
      </c>
      <c r="G123" s="20" t="str">
        <f ca="1">VLOOKUP(B123,Kompilirano!BG:BM,7,FALSE)</f>
        <v>0.07 (0.00)</v>
      </c>
      <c r="H123" s="20" t="str">
        <f ca="1">VLOOKUP(B123,Kompilirano!BQ:BW,7,FALSE)</f>
        <v>0.07 (0.00)</v>
      </c>
    </row>
    <row r="124" spans="2:8" x14ac:dyDescent="0.25">
      <c r="B124" s="16" t="s">
        <v>68</v>
      </c>
      <c r="C124" s="17">
        <f ca="1">VLOOKUP(B124,Kompilirano!T:Z,7,FALSE)/226/5</f>
        <v>419.93539823008848</v>
      </c>
      <c r="D124" s="18">
        <f ca="1">VLOOKUP(B124,Kompilirano!J:P,7,FALSE)/226/5</f>
        <v>0.58849557522123885</v>
      </c>
      <c r="E124" s="19" t="str">
        <f ca="1">VLOOKUP(B124,Kompilirano!AM:AS,7,FALSE)</f>
        <v>0.30 (0.01)</v>
      </c>
      <c r="F124" s="20" t="str">
        <f ca="1">VLOOKUP(B124,Kompilirano!AW:BD,7,FALSE)</f>
        <v>0.41 (0.01)</v>
      </c>
      <c r="G124" s="20" t="str">
        <f ca="1">VLOOKUP(B124,Kompilirano!BG:BM,7,FALSE)</f>
        <v>0.03 (0.00)</v>
      </c>
      <c r="H124" s="20" t="str">
        <f ca="1">VLOOKUP(B124,Kompilirano!BQ:BW,7,FALSE)</f>
        <v>0.01 (0.00)</v>
      </c>
    </row>
    <row r="125" spans="2:8" x14ac:dyDescent="0.25">
      <c r="B125" s="16" t="s">
        <v>69</v>
      </c>
      <c r="C125" s="17">
        <f ca="1">VLOOKUP(B125,Kompilirano!T:Z,7,FALSE)/226/5</f>
        <v>419.64247787610623</v>
      </c>
      <c r="D125" s="18">
        <f ca="1">VLOOKUP(B125,Kompilirano!J:P,7,FALSE)/226/5</f>
        <v>0.57345132743362837</v>
      </c>
      <c r="E125" s="19" t="str">
        <f ca="1">VLOOKUP(B125,Kompilirano!AM:AS,7,FALSE)</f>
        <v>0.32 (0.00)</v>
      </c>
      <c r="F125" s="20" t="str">
        <f ca="1">VLOOKUP(B125,Kompilirano!AW:BD,7,FALSE)</f>
        <v>0.43 (0.03)</v>
      </c>
      <c r="G125" s="20" t="str">
        <f ca="1">VLOOKUP(B125,Kompilirano!BG:BM,7,FALSE)</f>
        <v>0.04 (0.00)</v>
      </c>
      <c r="H125" s="20" t="str">
        <f ca="1">VLOOKUP(B125,Kompilirano!BQ:BW,7,FALSE)</f>
        <v>0.06 (0.00)</v>
      </c>
    </row>
    <row r="126" spans="2:8" x14ac:dyDescent="0.25">
      <c r="B126" s="16" t="s">
        <v>265</v>
      </c>
      <c r="C126" s="17">
        <f ca="1">VLOOKUP(B126,Kompilirano!T:Z,7,FALSE)/226/5</f>
        <v>419.62654867256634</v>
      </c>
      <c r="D126" s="18">
        <f ca="1">VLOOKUP(B126,Kompilirano!J:P,7,FALSE)/226/5</f>
        <v>0.86283185840707977</v>
      </c>
      <c r="E126" s="19" t="str">
        <f ca="1">VLOOKUP(B126,Kompilirano!AM:AS,7,FALSE)</f>
        <v>0.15 (0.00)</v>
      </c>
      <c r="F126" s="20" t="str">
        <f ca="1">VLOOKUP(B126,Kompilirano!AW:BD,7,FALSE)</f>
        <v>0.14 (0.02)</v>
      </c>
      <c r="G126" s="20" t="str">
        <f ca="1">VLOOKUP(B126,Kompilirano!BG:BM,7,FALSE)</f>
        <v>0.02 (0.00)</v>
      </c>
      <c r="H126" s="20" t="str">
        <f ca="1">VLOOKUP(B126,Kompilirano!BQ:BW,7,FALSE)</f>
        <v>0.10 (0.00)</v>
      </c>
    </row>
    <row r="127" spans="2:8" x14ac:dyDescent="0.25">
      <c r="B127" s="16" t="s">
        <v>206</v>
      </c>
      <c r="C127" s="17">
        <f ca="1">VLOOKUP(B127,Kompilirano!T:Z,7,FALSE)/226/5</f>
        <v>419.62477876106198</v>
      </c>
      <c r="D127" s="18">
        <f ca="1">VLOOKUP(B127,Kompilirano!J:P,7,FALSE)/226/5</f>
        <v>0.46194690265486721</v>
      </c>
      <c r="E127" s="19" t="str">
        <f ca="1">VLOOKUP(B127,Kompilirano!AM:AS,7,FALSE)</f>
        <v>0.46 (0.00)</v>
      </c>
      <c r="F127" s="20" t="str">
        <f ca="1">VLOOKUP(B127,Kompilirano!AW:BD,7,FALSE)</f>
        <v>0.54 (0.02)</v>
      </c>
      <c r="G127" s="20" t="str">
        <f ca="1">VLOOKUP(B127,Kompilirano!BG:BM,7,FALSE)</f>
        <v>0.06 (0.00)</v>
      </c>
      <c r="H127" s="20" t="str">
        <f ca="1">VLOOKUP(B127,Kompilirano!BQ:BW,7,FALSE)</f>
        <v>0.06 (0.00)</v>
      </c>
    </row>
    <row r="128" spans="2:8" x14ac:dyDescent="0.25">
      <c r="B128" s="16" t="s">
        <v>105</v>
      </c>
      <c r="C128" s="17">
        <f ca="1">VLOOKUP(B128,Kompilirano!T:Z,7,FALSE)/226/5</f>
        <v>419.55486725663712</v>
      </c>
      <c r="D128" s="18">
        <f ca="1">VLOOKUP(B128,Kompilirano!J:P,7,FALSE)/226/5</f>
        <v>0.85309734513274338</v>
      </c>
      <c r="E128" s="19" t="str">
        <f ca="1">VLOOKUP(B128,Kompilirano!AM:AS,7,FALSE)</f>
        <v>0.31 (0.01)</v>
      </c>
      <c r="F128" s="20" t="str">
        <f ca="1">VLOOKUP(B128,Kompilirano!AW:BD,7,FALSE)</f>
        <v>0.15 (0.02)</v>
      </c>
      <c r="G128" s="20" t="str">
        <f ca="1">VLOOKUP(B128,Kompilirano!BG:BM,7,FALSE)</f>
        <v>0.05 (0.00)</v>
      </c>
      <c r="H128" s="20" t="str">
        <f ca="1">VLOOKUP(B128,Kompilirano!BQ:BW,7,FALSE)</f>
        <v>0.11 (0.00)</v>
      </c>
    </row>
    <row r="129" spans="2:8" x14ac:dyDescent="0.25">
      <c r="B129" s="16" t="s">
        <v>75</v>
      </c>
      <c r="C129" s="17">
        <f ca="1">VLOOKUP(B129,Kompilirano!T:Z,7,FALSE)/226/5</f>
        <v>419.43539823008848</v>
      </c>
      <c r="D129" s="18">
        <f ca="1">VLOOKUP(B129,Kompilirano!J:P,7,FALSE)/226/5</f>
        <v>0.48584070796460177</v>
      </c>
      <c r="E129" s="19" t="str">
        <f ca="1">VLOOKUP(B129,Kompilirano!AM:AS,7,FALSE)</f>
        <v>0.38 (0.01)</v>
      </c>
      <c r="F129" s="20" t="str">
        <f ca="1">VLOOKUP(B129,Kompilirano!AW:BD,7,FALSE)</f>
        <v>0.51 (0.03)</v>
      </c>
      <c r="G129" s="20" t="str">
        <f ca="1">VLOOKUP(B129,Kompilirano!BG:BM,7,FALSE)</f>
        <v>0.05 (0.00)</v>
      </c>
      <c r="H129" s="20" t="str">
        <f ca="1">VLOOKUP(B129,Kompilirano!BQ:BW,7,FALSE)</f>
        <v>0.03 (0.00)</v>
      </c>
    </row>
    <row r="130" spans="2:8" x14ac:dyDescent="0.25">
      <c r="B130" s="16" t="s">
        <v>120</v>
      </c>
      <c r="C130" s="17">
        <f ca="1">VLOOKUP(B130,Kompilirano!T:Z,7,FALSE)/226/5</f>
        <v>419.21681415929208</v>
      </c>
      <c r="D130" s="18">
        <f ca="1">VLOOKUP(B130,Kompilirano!J:P,7,FALSE)/226/5</f>
        <v>0.2938053097345133</v>
      </c>
      <c r="E130" s="19" t="str">
        <f ca="1">VLOOKUP(B130,Kompilirano!AM:AS,7,FALSE)</f>
        <v>0.57 (0.01)</v>
      </c>
      <c r="F130" s="20" t="str">
        <f ca="1">VLOOKUP(B130,Kompilirano!AW:BD,7,FALSE)</f>
        <v>0.71 (0.01)</v>
      </c>
      <c r="G130" s="20" t="str">
        <f ca="1">VLOOKUP(B130,Kompilirano!BG:BM,7,FALSE)</f>
        <v>0.08 (0.00)</v>
      </c>
      <c r="H130" s="20" t="str">
        <f ca="1">VLOOKUP(B130,Kompilirano!BQ:BW,7,FALSE)</f>
        <v>0.01 (0.00)</v>
      </c>
    </row>
    <row r="131" spans="2:8" x14ac:dyDescent="0.25">
      <c r="B131" s="16" t="s">
        <v>79</v>
      </c>
      <c r="C131" s="17">
        <f ca="1">VLOOKUP(B131,Kompilirano!T:Z,7,FALSE)/226/5</f>
        <v>418.59646017699117</v>
      </c>
      <c r="D131" s="18">
        <f ca="1">VLOOKUP(B131,Kompilirano!J:P,7,FALSE)/226/5</f>
        <v>0.54690265486725664</v>
      </c>
      <c r="E131" s="19" t="str">
        <f ca="1">VLOOKUP(B131,Kompilirano!AM:AS,7,FALSE)</f>
        <v>0.34 (0.00)</v>
      </c>
      <c r="F131" s="20" t="str">
        <f ca="1">VLOOKUP(B131,Kompilirano!AW:BD,7,FALSE)</f>
        <v>0.45 (0.02)</v>
      </c>
      <c r="G131" s="20" t="str">
        <f ca="1">VLOOKUP(B131,Kompilirano!BG:BM,7,FALSE)</f>
        <v>0.05 (0.00)</v>
      </c>
      <c r="H131" s="20" t="str">
        <f ca="1">VLOOKUP(B131,Kompilirano!BQ:BW,7,FALSE)</f>
        <v>0.07 (0.00)</v>
      </c>
    </row>
    <row r="132" spans="2:8" x14ac:dyDescent="0.25">
      <c r="B132" s="16" t="s">
        <v>139</v>
      </c>
      <c r="C132" s="17">
        <f ca="1">VLOOKUP(B132,Kompilirano!T:Z,7,FALSE)/226/5</f>
        <v>418.08584070796462</v>
      </c>
      <c r="D132" s="18">
        <f ca="1">VLOOKUP(B132,Kompilirano!J:P,7,FALSE)/226/5</f>
        <v>0.78053097345132749</v>
      </c>
      <c r="E132" s="19" t="str">
        <f ca="1">VLOOKUP(B132,Kompilirano!AM:AS,7,FALSE)</f>
        <v>0.19 (0.00)</v>
      </c>
      <c r="F132" s="20" t="str">
        <f ca="1">VLOOKUP(B132,Kompilirano!AW:BD,7,FALSE)</f>
        <v>0.22 (0.02)</v>
      </c>
      <c r="G132" s="20" t="str">
        <f ca="1">VLOOKUP(B132,Kompilirano!BG:BM,7,FALSE)</f>
        <v>0.03 (0.00)</v>
      </c>
      <c r="H132" s="20" t="str">
        <f ca="1">VLOOKUP(B132,Kompilirano!BQ:BW,7,FALSE)</f>
        <v>0.09 (0.00)</v>
      </c>
    </row>
    <row r="133" spans="2:8" x14ac:dyDescent="0.25">
      <c r="B133" s="16" t="s">
        <v>158</v>
      </c>
      <c r="C133" s="17">
        <f ca="1">VLOOKUP(B133,Kompilirano!T:Z,7,FALSE)/226/5</f>
        <v>417.99380530973451</v>
      </c>
      <c r="D133" s="18">
        <f ca="1">VLOOKUP(B133,Kompilirano!J:P,7,FALSE)/226/5</f>
        <v>0.36017699115044249</v>
      </c>
      <c r="E133" s="19" t="str">
        <f ca="1">VLOOKUP(B133,Kompilirano!AM:AS,7,FALSE)</f>
        <v>0.52 (0.01)</v>
      </c>
      <c r="F133" s="20" t="str">
        <f ca="1">VLOOKUP(B133,Kompilirano!AW:BD,7,FALSE)</f>
        <v>0.64 (0.02)</v>
      </c>
      <c r="G133" s="20" t="str">
        <f ca="1">VLOOKUP(B133,Kompilirano!BG:BM,7,FALSE)</f>
        <v>0.07 (0.00)</v>
      </c>
      <c r="H133" s="20" t="str">
        <f ca="1">VLOOKUP(B133,Kompilirano!BQ:BW,7,FALSE)</f>
        <v>0.04 (0.00)</v>
      </c>
    </row>
    <row r="134" spans="2:8" x14ac:dyDescent="0.25">
      <c r="B134" s="16" t="s">
        <v>261</v>
      </c>
      <c r="C134" s="17">
        <f ca="1">VLOOKUP(B134,Kompilirano!T:Z,7,FALSE)/226/5</f>
        <v>417.74513274336289</v>
      </c>
      <c r="D134" s="18">
        <f ca="1">VLOOKUP(B134,Kompilirano!J:P,7,FALSE)/226/5</f>
        <v>0.64955752212389384</v>
      </c>
      <c r="E134" s="19" t="str">
        <f ca="1">VLOOKUP(B134,Kompilirano!AM:AS,7,FALSE)</f>
        <v>0.20 (0.00)</v>
      </c>
      <c r="F134" s="20" t="str">
        <f ca="1">VLOOKUP(B134,Kompilirano!AW:BD,7,FALSE)</f>
        <v>0.35 (0.02)</v>
      </c>
      <c r="G134" s="20" t="str">
        <f ca="1">VLOOKUP(B134,Kompilirano!BG:BM,7,FALSE)</f>
        <v>0.02 (0.00)</v>
      </c>
      <c r="H134" s="20" t="str">
        <f ca="1">VLOOKUP(B134,Kompilirano!BQ:BW,7,FALSE)</f>
        <v>0.07 (0.00)</v>
      </c>
    </row>
    <row r="135" spans="2:8" x14ac:dyDescent="0.25">
      <c r="B135" s="16" t="s">
        <v>74</v>
      </c>
      <c r="C135" s="17">
        <f ca="1">VLOOKUP(B135,Kompilirano!T:Z,7,FALSE)/226/5</f>
        <v>417.38407079646021</v>
      </c>
      <c r="D135" s="18">
        <f ca="1">VLOOKUP(B135,Kompilirano!J:P,7,FALSE)/226/5</f>
        <v>0.46814159292035401</v>
      </c>
      <c r="E135" s="19" t="str">
        <f ca="1">VLOOKUP(B135,Kompilirano!AM:AS,7,FALSE)</f>
        <v>0.34 (0.00)</v>
      </c>
      <c r="F135" s="20" t="str">
        <f ca="1">VLOOKUP(B135,Kompilirano!AW:BD,7,FALSE)</f>
        <v>0.53 (0.01)</v>
      </c>
      <c r="G135" s="20" t="str">
        <f ca="1">VLOOKUP(B135,Kompilirano!BG:BM,7,FALSE)</f>
        <v>0.04 (0.00)</v>
      </c>
      <c r="H135" s="20" t="str">
        <f ca="1">VLOOKUP(B135,Kompilirano!BQ:BW,7,FALSE)</f>
        <v>0.02 (0.00)</v>
      </c>
    </row>
    <row r="136" spans="2:8" x14ac:dyDescent="0.25">
      <c r="B136" s="16" t="s">
        <v>144</v>
      </c>
      <c r="C136" s="17">
        <f ca="1">VLOOKUP(B136,Kompilirano!T:Z,7,FALSE)/226/5</f>
        <v>417.36991150442481</v>
      </c>
      <c r="D136" s="18">
        <f ca="1">VLOOKUP(B136,Kompilirano!J:P,7,FALSE)/226/5</f>
        <v>0.86637168141592924</v>
      </c>
      <c r="E136" s="19" t="str">
        <f ca="1">VLOOKUP(B136,Kompilirano!AM:AS,7,FALSE)</f>
        <v>0.16 (0.00)</v>
      </c>
      <c r="F136" s="20" t="str">
        <f ca="1">VLOOKUP(B136,Kompilirano!AW:BD,7,FALSE)</f>
        <v>0.13 (0.01)</v>
      </c>
      <c r="G136" s="20" t="str">
        <f ca="1">VLOOKUP(B136,Kompilirano!BG:BM,7,FALSE)</f>
        <v>0.02 (0.00)</v>
      </c>
      <c r="H136" s="20" t="str">
        <f ca="1">VLOOKUP(B136,Kompilirano!BQ:BW,7,FALSE)</f>
        <v>0.11 (0.00)</v>
      </c>
    </row>
    <row r="137" spans="2:8" x14ac:dyDescent="0.25">
      <c r="B137" s="16" t="s">
        <v>178</v>
      </c>
      <c r="C137" s="17">
        <f ca="1">VLOOKUP(B137,Kompilirano!T:Z,7,FALSE)/226/5</f>
        <v>416.2079646017699</v>
      </c>
      <c r="D137" s="18">
        <f ca="1">VLOOKUP(B137,Kompilirano!J:P,7,FALSE)/226/5</f>
        <v>0.2274336283185841</v>
      </c>
      <c r="E137" s="19" t="str">
        <f ca="1">VLOOKUP(B137,Kompilirano!AM:AS,7,FALSE)</f>
        <v>0.76 (0.01)</v>
      </c>
      <c r="F137" s="20" t="str">
        <f ca="1">VLOOKUP(B137,Kompilirano!AW:BD,7,FALSE)</f>
        <v>0.77 (0.01)</v>
      </c>
      <c r="G137" s="20" t="str">
        <f ca="1">VLOOKUP(B137,Kompilirano!BG:BM,7,FALSE)</f>
        <v>0.10 (0.00)</v>
      </c>
      <c r="H137" s="20" t="str">
        <f ca="1">VLOOKUP(B137,Kompilirano!BQ:BW,7,FALSE)</f>
        <v>-0.08 (0.00)</v>
      </c>
    </row>
    <row r="138" spans="2:8" x14ac:dyDescent="0.25">
      <c r="B138" s="16" t="s">
        <v>236</v>
      </c>
      <c r="C138" s="17">
        <f ca="1">VLOOKUP(B138,Kompilirano!T:Z,7,FALSE)/226/5</f>
        <v>416.03893805309735</v>
      </c>
      <c r="D138" s="18">
        <f ca="1">VLOOKUP(B138,Kompilirano!J:P,7,FALSE)/226/5</f>
        <v>0.62300884955752212</v>
      </c>
      <c r="E138" s="19" t="str">
        <f ca="1">VLOOKUP(B138,Kompilirano!AM:AS,7,FALSE)</f>
        <v>0.36 (0.00)</v>
      </c>
      <c r="F138" s="20" t="str">
        <f ca="1">VLOOKUP(B138,Kompilirano!AW:BD,7,FALSE)</f>
        <v>0.38 (0.02)</v>
      </c>
      <c r="G138" s="20" t="str">
        <f ca="1">VLOOKUP(B138,Kompilirano!BG:BM,7,FALSE)</f>
        <v>0.05 (0.00)</v>
      </c>
      <c r="H138" s="20" t="str">
        <f ca="1">VLOOKUP(B138,Kompilirano!BQ:BW,7,FALSE)</f>
        <v>0.09 (0.00)</v>
      </c>
    </row>
    <row r="139" spans="2:8" x14ac:dyDescent="0.25">
      <c r="B139" s="16" t="s">
        <v>174</v>
      </c>
      <c r="C139" s="17">
        <f ca="1">VLOOKUP(B139,Kompilirano!T:Z,7,FALSE)/226/5</f>
        <v>415.88141592920357</v>
      </c>
      <c r="D139" s="18">
        <f ca="1">VLOOKUP(B139,Kompilirano!J:P,7,FALSE)/226/5</f>
        <v>0.71061946902654871</v>
      </c>
      <c r="E139" s="19" t="str">
        <f ca="1">VLOOKUP(B139,Kompilirano!AM:AS,7,FALSE)</f>
        <v>0.32 (0.00)</v>
      </c>
      <c r="F139" s="20" t="str">
        <f ca="1">VLOOKUP(B139,Kompilirano!AW:BD,7,FALSE)</f>
        <v>0.29 (0.03)</v>
      </c>
      <c r="G139" s="20" t="str">
        <f ca="1">VLOOKUP(B139,Kompilirano!BG:BM,7,FALSE)</f>
        <v>0.05 (0.00)</v>
      </c>
      <c r="H139" s="20" t="str">
        <f ca="1">VLOOKUP(B139,Kompilirano!BQ:BW,7,FALSE)</f>
        <v>0.10 (0.00)</v>
      </c>
    </row>
    <row r="140" spans="2:8" x14ac:dyDescent="0.25">
      <c r="B140" s="16" t="s">
        <v>138</v>
      </c>
      <c r="C140" s="17">
        <f ca="1">VLOOKUP(B140,Kompilirano!T:Z,7,FALSE)/226/5</f>
        <v>415.71061946902654</v>
      </c>
      <c r="D140" s="18">
        <f ca="1">VLOOKUP(B140,Kompilirano!J:P,7,FALSE)/226/5</f>
        <v>0.76283185840707968</v>
      </c>
      <c r="E140" s="19" t="str">
        <f ca="1">VLOOKUP(B140,Kompilirano!AM:AS,7,FALSE)</f>
        <v>0.38 (0.01)</v>
      </c>
      <c r="F140" s="20" t="str">
        <f ca="1">VLOOKUP(B140,Kompilirano!AW:BD,7,FALSE)</f>
        <v>0.24 (0.04)</v>
      </c>
      <c r="G140" s="20" t="str">
        <f ca="1">VLOOKUP(B140,Kompilirano!BG:BM,7,FALSE)</f>
        <v>0.06 (0.00)</v>
      </c>
      <c r="H140" s="20" t="str">
        <f ca="1">VLOOKUP(B140,Kompilirano!BQ:BW,7,FALSE)</f>
        <v>0.10 (0.00)</v>
      </c>
    </row>
    <row r="141" spans="2:8" x14ac:dyDescent="0.25">
      <c r="B141" s="16" t="s">
        <v>213</v>
      </c>
      <c r="C141" s="17">
        <f ca="1">VLOOKUP(B141,Kompilirano!T:Z,7,FALSE)/226/5</f>
        <v>415.62477876106198</v>
      </c>
      <c r="D141" s="18">
        <f ca="1">VLOOKUP(B141,Kompilirano!J:P,7,FALSE)/226/5</f>
        <v>0.51769911504424782</v>
      </c>
      <c r="E141" s="19" t="str">
        <f ca="1">VLOOKUP(B141,Kompilirano!AM:AS,7,FALSE)</f>
        <v>0.46 (0.01)</v>
      </c>
      <c r="F141" s="20" t="str">
        <f ca="1">VLOOKUP(B141,Kompilirano!AW:BD,7,FALSE)</f>
        <v>0.48 (0.03)</v>
      </c>
      <c r="G141" s="20" t="str">
        <f ca="1">VLOOKUP(B141,Kompilirano!BG:BM,7,FALSE)</f>
        <v>0.07 (0.00)</v>
      </c>
      <c r="H141" s="20" t="str">
        <f ca="1">VLOOKUP(B141,Kompilirano!BQ:BW,7,FALSE)</f>
        <v>0.09 (0.00)</v>
      </c>
    </row>
    <row r="142" spans="2:8" x14ac:dyDescent="0.25">
      <c r="B142" s="16" t="s">
        <v>149</v>
      </c>
      <c r="C142" s="17">
        <f ca="1">VLOOKUP(B142,Kompilirano!T:Z,7,FALSE)/226/5</f>
        <v>415.51150442477876</v>
      </c>
      <c r="D142" s="18">
        <f ca="1">VLOOKUP(B142,Kompilirano!J:P,7,FALSE)/226/5</f>
        <v>0.8584070796460177</v>
      </c>
      <c r="E142" s="19" t="str">
        <f ca="1">VLOOKUP(B142,Kompilirano!AM:AS,7,FALSE)</f>
        <v>0.19 (0.01)</v>
      </c>
      <c r="F142" s="20" t="str">
        <f ca="1">VLOOKUP(B142,Kompilirano!AW:BD,7,FALSE)</f>
        <v>0.14 (0.00)</v>
      </c>
      <c r="G142" s="20" t="str">
        <f ca="1">VLOOKUP(B142,Kompilirano!BG:BM,7,FALSE)</f>
        <v>0.03 (0.00)</v>
      </c>
      <c r="H142" s="20" t="str">
        <f ca="1">VLOOKUP(B142,Kompilirano!BQ:BW,7,FALSE)</f>
        <v>0.11 (0.00)</v>
      </c>
    </row>
    <row r="143" spans="2:8" x14ac:dyDescent="0.25">
      <c r="B143" s="16" t="s">
        <v>255</v>
      </c>
      <c r="C143" s="17">
        <f ca="1">VLOOKUP(B143,Kompilirano!T:Z,7,FALSE)/226/5</f>
        <v>415.36725663716817</v>
      </c>
      <c r="D143" s="18">
        <f ca="1">VLOOKUP(B143,Kompilirano!J:P,7,FALSE)/226/5</f>
        <v>0.81504424778761064</v>
      </c>
      <c r="E143" s="19" t="str">
        <f ca="1">VLOOKUP(B143,Kompilirano!AM:AS,7,FALSE)</f>
        <v>0.18 (0.00)</v>
      </c>
      <c r="F143" s="20" t="str">
        <f ca="1">VLOOKUP(B143,Kompilirano!AW:BD,7,FALSE)</f>
        <v>0.18 (0.02)</v>
      </c>
      <c r="G143" s="20" t="str">
        <f ca="1">VLOOKUP(B143,Kompilirano!BG:BM,7,FALSE)</f>
        <v>0.03 (0.00)</v>
      </c>
      <c r="H143" s="20" t="str">
        <f ca="1">VLOOKUP(B143,Kompilirano!BQ:BW,7,FALSE)</f>
        <v>0.09 (0.00)</v>
      </c>
    </row>
    <row r="144" spans="2:8" x14ac:dyDescent="0.25">
      <c r="B144" s="16" t="s">
        <v>13</v>
      </c>
      <c r="C144" s="17">
        <f ca="1">VLOOKUP(B144,Kompilirano!T:Z,7,FALSE)/226/5</f>
        <v>415.19469026548677</v>
      </c>
      <c r="D144" s="18">
        <f ca="1">VLOOKUP(B144,Kompilirano!J:P,7,FALSE)/226/5</f>
        <v>0.57876106194690258</v>
      </c>
      <c r="E144" s="19" t="str">
        <f ca="1">VLOOKUP(B144,Kompilirano!AM:AS,7,FALSE)</f>
        <v>0.52 (0.01)</v>
      </c>
      <c r="F144" s="20" t="str">
        <f ca="1">VLOOKUP(B144,Kompilirano!AW:BD,7,FALSE)</f>
        <v>0.42 (0.02)</v>
      </c>
      <c r="G144" s="20" t="str">
        <f ca="1">VLOOKUP(B144,Kompilirano!BG:BM,7,FALSE)</f>
        <v>0.07 (0.00)</v>
      </c>
      <c r="H144" s="20" t="str">
        <f ca="1">VLOOKUP(B144,Kompilirano!BQ:BW,7,FALSE)</f>
        <v>0.02 (0.01)</v>
      </c>
    </row>
    <row r="145" spans="2:8" x14ac:dyDescent="0.25">
      <c r="B145" s="16" t="s">
        <v>107</v>
      </c>
      <c r="C145" s="17">
        <f ca="1">VLOOKUP(B145,Kompilirano!T:Z,7,FALSE)/226/5</f>
        <v>414.97433628318583</v>
      </c>
      <c r="D145" s="18">
        <f ca="1">VLOOKUP(B145,Kompilirano!J:P,7,FALSE)/226/5</f>
        <v>0.38761061946902653</v>
      </c>
      <c r="E145" s="19" t="str">
        <f ca="1">VLOOKUP(B145,Kompilirano!AM:AS,7,FALSE)</f>
        <v>0.50 (0.00)</v>
      </c>
      <c r="F145" s="20" t="str">
        <f ca="1">VLOOKUP(B145,Kompilirano!AW:BD,7,FALSE)</f>
        <v>0.61 (0.01)</v>
      </c>
      <c r="G145" s="20" t="str">
        <f ca="1">VLOOKUP(B145,Kompilirano!BG:BM,7,FALSE)</f>
        <v>0.07 (0.00)</v>
      </c>
      <c r="H145" s="20" t="str">
        <f ca="1">VLOOKUP(B145,Kompilirano!BQ:BW,7,FALSE)</f>
        <v>0.02 (0.00)</v>
      </c>
    </row>
    <row r="146" spans="2:8" x14ac:dyDescent="0.25">
      <c r="B146" s="16" t="s">
        <v>254</v>
      </c>
      <c r="C146" s="17">
        <f ca="1">VLOOKUP(B146,Kompilirano!T:Z,7,FALSE)/226/5</f>
        <v>414.86194690265484</v>
      </c>
      <c r="D146" s="18">
        <f ca="1">VLOOKUP(B146,Kompilirano!J:P,7,FALSE)/226/5</f>
        <v>0.731858407079646</v>
      </c>
      <c r="E146" s="19" t="str">
        <f ca="1">VLOOKUP(B146,Kompilirano!AM:AS,7,FALSE)</f>
        <v>0.26 (0.00)</v>
      </c>
      <c r="F146" s="20" t="str">
        <f ca="1">VLOOKUP(B146,Kompilirano!AW:BD,7,FALSE)</f>
        <v>0.27 (0.01)</v>
      </c>
      <c r="G146" s="20" t="str">
        <f ca="1">VLOOKUP(B146,Kompilirano!BG:BM,7,FALSE)</f>
        <v>0.04 (0.00)</v>
      </c>
      <c r="H146" s="20" t="str">
        <f ca="1">VLOOKUP(B146,Kompilirano!BQ:BW,7,FALSE)</f>
        <v>0.10 (0.00)</v>
      </c>
    </row>
    <row r="147" spans="2:8" x14ac:dyDescent="0.25">
      <c r="B147" s="16" t="s">
        <v>247</v>
      </c>
      <c r="C147" s="17">
        <f ca="1">VLOOKUP(B147,Kompilirano!T:Z,7,FALSE)/226/5</f>
        <v>414.6796460176991</v>
      </c>
      <c r="D147" s="18">
        <f ca="1">VLOOKUP(B147,Kompilirano!J:P,7,FALSE)/226/5</f>
        <v>0.65398230088495579</v>
      </c>
      <c r="E147" s="19" t="str">
        <f ca="1">VLOOKUP(B147,Kompilirano!AM:AS,7,FALSE)</f>
        <v>0.18 (0.00)</v>
      </c>
      <c r="F147" s="20" t="str">
        <f ca="1">VLOOKUP(B147,Kompilirano!AW:BD,7,FALSE)</f>
        <v>0.35 (0.02)</v>
      </c>
      <c r="G147" s="20" t="str">
        <f ca="1">VLOOKUP(B147,Kompilirano!BG:BM,7,FALSE)</f>
        <v>0.02 (0.00)</v>
      </c>
      <c r="H147" s="20" t="str">
        <f ca="1">VLOOKUP(B147,Kompilirano!BQ:BW,7,FALSE)</f>
        <v>0.08 (0.00)</v>
      </c>
    </row>
    <row r="148" spans="2:8" x14ac:dyDescent="0.25">
      <c r="B148" s="16" t="s">
        <v>171</v>
      </c>
      <c r="C148" s="17">
        <f ca="1">VLOOKUP(B148,Kompilirano!T:Z,7,FALSE)/226/5</f>
        <v>414.66902654867255</v>
      </c>
      <c r="D148" s="18">
        <f ca="1">VLOOKUP(B148,Kompilirano!J:P,7,FALSE)/226/5</f>
        <v>0.69911504424778759</v>
      </c>
      <c r="E148" s="19" t="str">
        <f ca="1">VLOOKUP(B148,Kompilirano!AM:AS,7,FALSE)</f>
        <v>0.34 (0.00)</v>
      </c>
      <c r="F148" s="20" t="str">
        <f ca="1">VLOOKUP(B148,Kompilirano!AW:BD,7,FALSE)</f>
        <v>0.30 (0.03)</v>
      </c>
      <c r="G148" s="20" t="str">
        <f ca="1">VLOOKUP(B148,Kompilirano!BG:BM,7,FALSE)</f>
        <v>0.05 (0.00)</v>
      </c>
      <c r="H148" s="20" t="str">
        <f ca="1">VLOOKUP(B148,Kompilirano!BQ:BW,7,FALSE)</f>
        <v>0.10 (0.00)</v>
      </c>
    </row>
    <row r="149" spans="2:8" x14ac:dyDescent="0.25">
      <c r="B149" s="16" t="s">
        <v>164</v>
      </c>
      <c r="C149" s="17">
        <f ca="1">VLOOKUP(B149,Kompilirano!T:Z,7,FALSE)/226/5</f>
        <v>414.56283185840709</v>
      </c>
      <c r="D149" s="18">
        <f ca="1">VLOOKUP(B149,Kompilirano!J:P,7,FALSE)/226/5</f>
        <v>0.86017699115044244</v>
      </c>
      <c r="E149" s="19" t="str">
        <f ca="1">VLOOKUP(B149,Kompilirano!AM:AS,7,FALSE)</f>
        <v>0.22 (0.00)</v>
      </c>
      <c r="F149" s="20" t="str">
        <f ca="1">VLOOKUP(B149,Kompilirano!AW:BD,7,FALSE)</f>
        <v>0.14 (0.01)</v>
      </c>
      <c r="G149" s="20" t="str">
        <f ca="1">VLOOKUP(B149,Kompilirano!BG:BM,7,FALSE)</f>
        <v>0.03 (0.00)</v>
      </c>
      <c r="H149" s="20" t="str">
        <f ca="1">VLOOKUP(B149,Kompilirano!BQ:BW,7,FALSE)</f>
        <v>0.12 (0.00)</v>
      </c>
    </row>
    <row r="150" spans="2:8" x14ac:dyDescent="0.25">
      <c r="B150" s="16" t="s">
        <v>84</v>
      </c>
      <c r="C150" s="17">
        <f ca="1">VLOOKUP(B150,Kompilirano!T:Z,7,FALSE)/226/5</f>
        <v>414.4787610619469</v>
      </c>
      <c r="D150" s="18">
        <f ca="1">VLOOKUP(B150,Kompilirano!J:P,7,FALSE)/226/5</f>
        <v>0.48849557522123888</v>
      </c>
      <c r="E150" s="19" t="str">
        <f ca="1">VLOOKUP(B150,Kompilirano!AM:AS,7,FALSE)</f>
        <v>0.34 (0.00)</v>
      </c>
      <c r="F150" s="20" t="str">
        <f ca="1">VLOOKUP(B150,Kompilirano!AW:BD,7,FALSE)</f>
        <v>0.51 (0.01)</v>
      </c>
      <c r="G150" s="20" t="str">
        <f ca="1">VLOOKUP(B150,Kompilirano!BG:BM,7,FALSE)</f>
        <v>0.04 (0.00)</v>
      </c>
      <c r="H150" s="20" t="str">
        <f ca="1">VLOOKUP(B150,Kompilirano!BQ:BW,7,FALSE)</f>
        <v>0.02 (0.00)</v>
      </c>
    </row>
    <row r="151" spans="2:8" x14ac:dyDescent="0.25">
      <c r="B151" s="16" t="s">
        <v>185</v>
      </c>
      <c r="C151" s="17">
        <f ca="1">VLOOKUP(B151,Kompilirano!T:Z,7,FALSE)/226/5</f>
        <v>414.15752212389378</v>
      </c>
      <c r="D151" s="18">
        <f ca="1">VLOOKUP(B151,Kompilirano!J:P,7,FALSE)/226/5</f>
        <v>0.23008849557522124</v>
      </c>
      <c r="E151" s="19" t="str">
        <f ca="1">VLOOKUP(B151,Kompilirano!AM:AS,7,FALSE)</f>
        <v>0.69 (0.01)</v>
      </c>
      <c r="F151" s="20" t="str">
        <f ca="1">VLOOKUP(B151,Kompilirano!AW:BD,7,FALSE)</f>
        <v>0.77 (0.00)</v>
      </c>
      <c r="G151" s="20" t="str">
        <f ca="1">VLOOKUP(B151,Kompilirano!BG:BM,7,FALSE)</f>
        <v>0.09 (0.00)</v>
      </c>
      <c r="H151" s="20" t="str">
        <f ca="1">VLOOKUP(B151,Kompilirano!BQ:BW,7,FALSE)</f>
        <v>-0.03 (0.00)</v>
      </c>
    </row>
    <row r="152" spans="2:8" x14ac:dyDescent="0.25">
      <c r="B152" s="16" t="s">
        <v>211</v>
      </c>
      <c r="C152" s="17">
        <f ca="1">VLOOKUP(B152,Kompilirano!T:Z,7,FALSE)/226/5</f>
        <v>414.05486725663712</v>
      </c>
      <c r="D152" s="18">
        <f ca="1">VLOOKUP(B152,Kompilirano!J:P,7,FALSE)/226/5</f>
        <v>0.38672566371681416</v>
      </c>
      <c r="E152" s="19" t="str">
        <f ca="1">VLOOKUP(B152,Kompilirano!AM:AS,7,FALSE)</f>
        <v>0.48 (0.00)</v>
      </c>
      <c r="F152" s="20" t="str">
        <f ca="1">VLOOKUP(B152,Kompilirano!AW:BD,7,FALSE)</f>
        <v>0.61 (0.02)</v>
      </c>
      <c r="G152" s="20" t="str">
        <f ca="1">VLOOKUP(B152,Kompilirano!BG:BM,7,FALSE)</f>
        <v>0.07 (0.00)</v>
      </c>
      <c r="H152" s="20" t="str">
        <f ca="1">VLOOKUP(B152,Kompilirano!BQ:BW,7,FALSE)</f>
        <v>0.03 (0.00)</v>
      </c>
    </row>
    <row r="153" spans="2:8" x14ac:dyDescent="0.25">
      <c r="B153" s="16" t="s">
        <v>215</v>
      </c>
      <c r="C153" s="17">
        <f ca="1">VLOOKUP(B153,Kompilirano!T:Z,7,FALSE)/226/5</f>
        <v>414.04424778761057</v>
      </c>
      <c r="D153" s="18">
        <f ca="1">VLOOKUP(B153,Kompilirano!J:P,7,FALSE)/226/5</f>
        <v>0.39823008849557523</v>
      </c>
      <c r="E153" s="19" t="str">
        <f ca="1">VLOOKUP(B153,Kompilirano!AM:AS,7,FALSE)</f>
        <v>0.50 (0.00)</v>
      </c>
      <c r="F153" s="20" t="str">
        <f ca="1">VLOOKUP(B153,Kompilirano!AW:BD,7,FALSE)</f>
        <v>0.60 (0.00)</v>
      </c>
      <c r="G153" s="20" t="str">
        <f ca="1">VLOOKUP(B153,Kompilirano!BG:BM,7,FALSE)</f>
        <v>0.06 (0.00)</v>
      </c>
      <c r="H153" s="20" t="str">
        <f ca="1">VLOOKUP(B153,Kompilirano!BQ:BW,7,FALSE)</f>
        <v>0.00 (0.00)</v>
      </c>
    </row>
    <row r="154" spans="2:8" x14ac:dyDescent="0.25">
      <c r="B154" s="16" t="s">
        <v>116</v>
      </c>
      <c r="C154" s="17">
        <f ca="1">VLOOKUP(B154,Kompilirano!T:Z,7,FALSE)/226/5</f>
        <v>414.02654867256632</v>
      </c>
      <c r="D154" s="18">
        <f ca="1">VLOOKUP(B154,Kompilirano!J:P,7,FALSE)/226/5</f>
        <v>0.28230088495575223</v>
      </c>
      <c r="E154" s="19" t="str">
        <f ca="1">VLOOKUP(B154,Kompilirano!AM:AS,7,FALSE)</f>
        <v>0.60 (0.00)</v>
      </c>
      <c r="F154" s="20" t="str">
        <f ca="1">VLOOKUP(B154,Kompilirano!AW:BD,7,FALSE)</f>
        <v>0.72 (0.02)</v>
      </c>
      <c r="G154" s="20" t="str">
        <f ca="1">VLOOKUP(B154,Kompilirano!BG:BM,7,FALSE)</f>
        <v>0.08 (0.00)</v>
      </c>
      <c r="H154" s="20" t="str">
        <f ca="1">VLOOKUP(B154,Kompilirano!BQ:BW,7,FALSE)</f>
        <v>0.00 (0.00)</v>
      </c>
    </row>
    <row r="155" spans="2:8" x14ac:dyDescent="0.25">
      <c r="B155" s="16" t="s">
        <v>152</v>
      </c>
      <c r="C155" s="17">
        <f ca="1">VLOOKUP(B155,Kompilirano!T:Z,7,FALSE)/226/5</f>
        <v>413.83805309734515</v>
      </c>
      <c r="D155" s="18">
        <f ca="1">VLOOKUP(B155,Kompilirano!J:P,7,FALSE)/226/5</f>
        <v>0.74247787610619465</v>
      </c>
      <c r="E155" s="19" t="str">
        <f ca="1">VLOOKUP(B155,Kompilirano!AM:AS,7,FALSE)</f>
        <v>0.19 (0.00)</v>
      </c>
      <c r="F155" s="20" t="str">
        <f ca="1">VLOOKUP(B155,Kompilirano!AW:BD,7,FALSE)</f>
        <v>0.26 (0.02)</v>
      </c>
      <c r="G155" s="20" t="str">
        <f ca="1">VLOOKUP(B155,Kompilirano!BG:BM,7,FALSE)</f>
        <v>0.03 (0.00)</v>
      </c>
      <c r="H155" s="20" t="str">
        <f ca="1">VLOOKUP(B155,Kompilirano!BQ:BW,7,FALSE)</f>
        <v>0.10 (0.00)</v>
      </c>
    </row>
    <row r="156" spans="2:8" x14ac:dyDescent="0.25">
      <c r="B156" s="16" t="s">
        <v>112</v>
      </c>
      <c r="C156" s="17">
        <f ca="1">VLOOKUP(B156,Kompilirano!T:Z,7,FALSE)/226/5</f>
        <v>413.49469026548678</v>
      </c>
      <c r="D156" s="18">
        <f ca="1">VLOOKUP(B156,Kompilirano!J:P,7,FALSE)/226/5</f>
        <v>0.38584070796460174</v>
      </c>
      <c r="E156" s="19" t="str">
        <f ca="1">VLOOKUP(B156,Kompilirano!AM:AS,7,FALSE)</f>
        <v>0.50 (0.00)</v>
      </c>
      <c r="F156" s="20" t="str">
        <f ca="1">VLOOKUP(B156,Kompilirano!AW:BD,7,FALSE)</f>
        <v>0.61 (0.01)</v>
      </c>
      <c r="G156" s="20" t="str">
        <f ca="1">VLOOKUP(B156,Kompilirano!BG:BM,7,FALSE)</f>
        <v>0.07 (0.00)</v>
      </c>
      <c r="H156" s="20" t="str">
        <f ca="1">VLOOKUP(B156,Kompilirano!BQ:BW,7,FALSE)</f>
        <v>0.02 (0.00)</v>
      </c>
    </row>
    <row r="157" spans="2:8" x14ac:dyDescent="0.25">
      <c r="B157" s="16" t="s">
        <v>225</v>
      </c>
      <c r="C157" s="17">
        <f ca="1">VLOOKUP(B157,Kompilirano!T:Z,7,FALSE)/226/5</f>
        <v>413.44159292035403</v>
      </c>
      <c r="D157" s="18">
        <f ca="1">VLOOKUP(B157,Kompilirano!J:P,7,FALSE)/226/5</f>
        <v>0.48672566371681414</v>
      </c>
      <c r="E157" s="19" t="str">
        <f ca="1">VLOOKUP(B157,Kompilirano!AM:AS,7,FALSE)</f>
        <v>0.33 (0.00)</v>
      </c>
      <c r="F157" s="20" t="str">
        <f ca="1">VLOOKUP(B157,Kompilirano!AW:BD,7,FALSE)</f>
        <v>0.51 (0.03)</v>
      </c>
      <c r="G157" s="20" t="str">
        <f ca="1">VLOOKUP(B157,Kompilirano!BG:BM,7,FALSE)</f>
        <v>0.04 (0.00)</v>
      </c>
      <c r="H157" s="20" t="str">
        <f ca="1">VLOOKUP(B157,Kompilirano!BQ:BW,7,FALSE)</f>
        <v>0.02 (0.00)</v>
      </c>
    </row>
    <row r="158" spans="2:8" x14ac:dyDescent="0.25">
      <c r="B158" s="16" t="s">
        <v>226</v>
      </c>
      <c r="C158" s="17">
        <f ca="1">VLOOKUP(B158,Kompilirano!T:Z,7,FALSE)/226/5</f>
        <v>413.37256637168139</v>
      </c>
      <c r="D158" s="18">
        <f ca="1">VLOOKUP(B158,Kompilirano!J:P,7,FALSE)/226/5</f>
        <v>0.55840707964601766</v>
      </c>
      <c r="E158" s="19" t="str">
        <f ca="1">VLOOKUP(B158,Kompilirano!AM:AS,7,FALSE)</f>
        <v>0.43 (0.01)</v>
      </c>
      <c r="F158" s="20" t="str">
        <f ca="1">VLOOKUP(B158,Kompilirano!AW:BD,7,FALSE)</f>
        <v>0.44 (0.03)</v>
      </c>
      <c r="G158" s="20" t="str">
        <f ca="1">VLOOKUP(B158,Kompilirano!BG:BM,7,FALSE)</f>
        <v>0.07 (0.00)</v>
      </c>
      <c r="H158" s="20" t="str">
        <f ca="1">VLOOKUP(B158,Kompilirano!BQ:BW,7,FALSE)</f>
        <v>0.09 (0.01)</v>
      </c>
    </row>
    <row r="159" spans="2:8" x14ac:dyDescent="0.25">
      <c r="B159" s="16" t="s">
        <v>66</v>
      </c>
      <c r="C159" s="17">
        <f ca="1">VLOOKUP(B159,Kompilirano!T:Z,7,FALSE)/226/5</f>
        <v>413.25840707964596</v>
      </c>
      <c r="D159" s="18">
        <f ca="1">VLOOKUP(B159,Kompilirano!J:P,7,FALSE)/226/5</f>
        <v>0.40265486725663713</v>
      </c>
      <c r="E159" s="19" t="str">
        <f ca="1">VLOOKUP(B159,Kompilirano!AM:AS,7,FALSE)</f>
        <v>0.49 (0.01)</v>
      </c>
      <c r="F159" s="20" t="str">
        <f ca="1">VLOOKUP(B159,Kompilirano!AW:BD,7,FALSE)</f>
        <v>0.60 (0.01)</v>
      </c>
      <c r="G159" s="20" t="str">
        <f ca="1">VLOOKUP(B159,Kompilirano!BG:BM,7,FALSE)</f>
        <v>0.06 (0.00)</v>
      </c>
      <c r="H159" s="20" t="str">
        <f ca="1">VLOOKUP(B159,Kompilirano!BQ:BW,7,FALSE)</f>
        <v>-0.02 (0.00)</v>
      </c>
    </row>
    <row r="160" spans="2:8" x14ac:dyDescent="0.25">
      <c r="B160" s="16" t="s">
        <v>184</v>
      </c>
      <c r="C160" s="17">
        <f ca="1">VLOOKUP(B160,Kompilirano!T:Z,7,FALSE)/226/5</f>
        <v>413.24955752212389</v>
      </c>
      <c r="D160" s="18">
        <f ca="1">VLOOKUP(B160,Kompilirano!J:P,7,FALSE)/226/5</f>
        <v>0.35309734513274338</v>
      </c>
      <c r="E160" s="19" t="str">
        <f ca="1">VLOOKUP(B160,Kompilirano!AM:AS,7,FALSE)</f>
        <v>0.50 (0.00)</v>
      </c>
      <c r="F160" s="20" t="str">
        <f ca="1">VLOOKUP(B160,Kompilirano!AW:BD,7,FALSE)</f>
        <v>0.65 (0.01)</v>
      </c>
      <c r="G160" s="20" t="str">
        <f ca="1">VLOOKUP(B160,Kompilirano!BG:BM,7,FALSE)</f>
        <v>0.07 (0.00)</v>
      </c>
      <c r="H160" s="20" t="str">
        <f ca="1">VLOOKUP(B160,Kompilirano!BQ:BW,7,FALSE)</f>
        <v>0.05 (0.00)</v>
      </c>
    </row>
    <row r="161" spans="2:8" x14ac:dyDescent="0.25">
      <c r="B161" s="16" t="s">
        <v>217</v>
      </c>
      <c r="C161" s="17">
        <f ca="1">VLOOKUP(B161,Kompilirano!T:Z,7,FALSE)/226/5</f>
        <v>413.10088495575218</v>
      </c>
      <c r="D161" s="18">
        <f ca="1">VLOOKUP(B161,Kompilirano!J:P,7,FALSE)/226/5</f>
        <v>0.52035398230088492</v>
      </c>
      <c r="E161" s="19" t="str">
        <f ca="1">VLOOKUP(B161,Kompilirano!AM:AS,7,FALSE)</f>
        <v>0.44 (0.02)</v>
      </c>
      <c r="F161" s="20" t="str">
        <f ca="1">VLOOKUP(B161,Kompilirano!AW:BD,7,FALSE)</f>
        <v>0.48 (0.04)</v>
      </c>
      <c r="G161" s="20" t="str">
        <f ca="1">VLOOKUP(B161,Kompilirano!BG:BM,7,FALSE)</f>
        <v>0.07 (0.00)</v>
      </c>
      <c r="H161" s="20" t="str">
        <f ca="1">VLOOKUP(B161,Kompilirano!BQ:BW,7,FALSE)</f>
        <v>0.09 (0.01)</v>
      </c>
    </row>
    <row r="162" spans="2:8" x14ac:dyDescent="0.25">
      <c r="B162" s="16" t="s">
        <v>173</v>
      </c>
      <c r="C162" s="17">
        <f ca="1">VLOOKUP(B162,Kompilirano!T:Z,7,FALSE)/226/5</f>
        <v>412.74159292035404</v>
      </c>
      <c r="D162" s="18">
        <f ca="1">VLOOKUP(B162,Kompilirano!J:P,7,FALSE)/226/5</f>
        <v>0.84247787610619473</v>
      </c>
      <c r="E162" s="19" t="str">
        <f ca="1">VLOOKUP(B162,Kompilirano!AM:AS,7,FALSE)</f>
        <v>0.29 (0.01)</v>
      </c>
      <c r="F162" s="20" t="str">
        <f ca="1">VLOOKUP(B162,Kompilirano!AW:BD,7,FALSE)</f>
        <v>0.16 (0.01)</v>
      </c>
      <c r="G162" s="20" t="str">
        <f ca="1">VLOOKUP(B162,Kompilirano!BG:BM,7,FALSE)</f>
        <v>0.04 (0.00)</v>
      </c>
      <c r="H162" s="20" t="str">
        <f ca="1">VLOOKUP(B162,Kompilirano!BQ:BW,7,FALSE)</f>
        <v>0.12 (0.00)</v>
      </c>
    </row>
    <row r="163" spans="2:8" x14ac:dyDescent="0.25">
      <c r="B163" s="16" t="s">
        <v>252</v>
      </c>
      <c r="C163" s="17">
        <f ca="1">VLOOKUP(B163,Kompilirano!T:Z,7,FALSE)/226/5</f>
        <v>412.5141592920354</v>
      </c>
      <c r="D163" s="18">
        <f ca="1">VLOOKUP(B163,Kompilirano!J:P,7,FALSE)/226/5</f>
        <v>0.57079646017699115</v>
      </c>
      <c r="E163" s="19" t="str">
        <f ca="1">VLOOKUP(B163,Kompilirano!AM:AS,7,FALSE)</f>
        <v>0.37 (0.00)</v>
      </c>
      <c r="F163" s="20" t="str">
        <f ca="1">VLOOKUP(B163,Kompilirano!AW:BD,7,FALSE)</f>
        <v>0.43 (0.02)</v>
      </c>
      <c r="G163" s="20" t="str">
        <f ca="1">VLOOKUP(B163,Kompilirano!BG:BM,7,FALSE)</f>
        <v>0.05 (0.00)</v>
      </c>
      <c r="H163" s="20" t="str">
        <f ca="1">VLOOKUP(B163,Kompilirano!BQ:BW,7,FALSE)</f>
        <v>0.07 (0.00)</v>
      </c>
    </row>
    <row r="164" spans="2:8" x14ac:dyDescent="0.25">
      <c r="B164" s="16" t="s">
        <v>156</v>
      </c>
      <c r="C164" s="17">
        <f ca="1">VLOOKUP(B164,Kompilirano!T:Z,7,FALSE)/226/5</f>
        <v>411.92920353982299</v>
      </c>
      <c r="D164" s="18">
        <f ca="1">VLOOKUP(B164,Kompilirano!J:P,7,FALSE)/226/5</f>
        <v>0.72123893805309736</v>
      </c>
      <c r="E164" s="19" t="str">
        <f ca="1">VLOOKUP(B164,Kompilirano!AM:AS,7,FALSE)</f>
        <v>0.35 (0.01)</v>
      </c>
      <c r="F164" s="20" t="str">
        <f ca="1">VLOOKUP(B164,Kompilirano!AW:BD,7,FALSE)</f>
        <v>0.28 (0.04)</v>
      </c>
      <c r="G164" s="20" t="str">
        <f ca="1">VLOOKUP(B164,Kompilirano!BG:BM,7,FALSE)</f>
        <v>0.05 (0.00)</v>
      </c>
      <c r="H164" s="20" t="str">
        <f ca="1">VLOOKUP(B164,Kompilirano!BQ:BW,7,FALSE)</f>
        <v>0.10 (0.01)</v>
      </c>
    </row>
    <row r="165" spans="2:8" x14ac:dyDescent="0.25">
      <c r="B165" s="16" t="s">
        <v>229</v>
      </c>
      <c r="C165" s="17">
        <f ca="1">VLOOKUP(B165,Kompilirano!T:Z,7,FALSE)/226/5</f>
        <v>411.91415929203538</v>
      </c>
      <c r="D165" s="18">
        <f ca="1">VLOOKUP(B165,Kompilirano!J:P,7,FALSE)/226/5</f>
        <v>0.61681415929203542</v>
      </c>
      <c r="E165" s="19" t="str">
        <f ca="1">VLOOKUP(B165,Kompilirano!AM:AS,7,FALSE)</f>
        <v>0.40 (0.01)</v>
      </c>
      <c r="F165" s="20" t="str">
        <f ca="1">VLOOKUP(B165,Kompilirano!AW:BD,7,FALSE)</f>
        <v>0.38 (0.03)</v>
      </c>
      <c r="G165" s="20" t="str">
        <f ca="1">VLOOKUP(B165,Kompilirano!BG:BM,7,FALSE)</f>
        <v>0.06 (0.00)</v>
      </c>
      <c r="H165" s="20" t="str">
        <f ca="1">VLOOKUP(B165,Kompilirano!BQ:BW,7,FALSE)</f>
        <v>0.11 (0.00)</v>
      </c>
    </row>
    <row r="166" spans="2:8" x14ac:dyDescent="0.25">
      <c r="B166" s="16" t="s">
        <v>212</v>
      </c>
      <c r="C166" s="17">
        <f ca="1">VLOOKUP(B166,Kompilirano!T:Z,7,FALSE)/226/5</f>
        <v>411.41504424778759</v>
      </c>
      <c r="D166" s="18">
        <f ca="1">VLOOKUP(B166,Kompilirano!J:P,7,FALSE)/226/5</f>
        <v>0.50707964601769917</v>
      </c>
      <c r="E166" s="19" t="str">
        <f ca="1">VLOOKUP(B166,Kompilirano!AM:AS,7,FALSE)</f>
        <v>0.45 (0.03)</v>
      </c>
      <c r="F166" s="20" t="str">
        <f ca="1">VLOOKUP(B166,Kompilirano!AW:BD,7,FALSE)</f>
        <v>0.49 (0.03)</v>
      </c>
      <c r="G166" s="20" t="str">
        <f ca="1">VLOOKUP(B166,Kompilirano!BG:BM,7,FALSE)</f>
        <v>0.07 (0.00)</v>
      </c>
      <c r="H166" s="20" t="str">
        <f ca="1">VLOOKUP(B166,Kompilirano!BQ:BW,7,FALSE)</f>
        <v>0.09 (0.01)</v>
      </c>
    </row>
    <row r="167" spans="2:8" x14ac:dyDescent="0.25">
      <c r="B167" s="16" t="s">
        <v>245</v>
      </c>
      <c r="C167" s="17">
        <f ca="1">VLOOKUP(B167,Kompilirano!T:Z,7,FALSE)/226/5</f>
        <v>411.13451327433631</v>
      </c>
      <c r="D167" s="18">
        <f ca="1">VLOOKUP(B167,Kompilirano!J:P,7,FALSE)/226/5</f>
        <v>0.59115044247787618</v>
      </c>
      <c r="E167" s="19" t="str">
        <f ca="1">VLOOKUP(B167,Kompilirano!AM:AS,7,FALSE)</f>
        <v>0.36 (0.00)</v>
      </c>
      <c r="F167" s="20" t="str">
        <f ca="1">VLOOKUP(B167,Kompilirano!AW:BD,7,FALSE)</f>
        <v>0.41 (0.01)</v>
      </c>
      <c r="G167" s="20" t="str">
        <f ca="1">VLOOKUP(B167,Kompilirano!BG:BM,7,FALSE)</f>
        <v>0.05 (0.00)</v>
      </c>
      <c r="H167" s="20" t="str">
        <f ca="1">VLOOKUP(B167,Kompilirano!BQ:BW,7,FALSE)</f>
        <v>0.08 (0.00)</v>
      </c>
    </row>
    <row r="168" spans="2:8" x14ac:dyDescent="0.25">
      <c r="B168" s="16" t="s">
        <v>172</v>
      </c>
      <c r="C168" s="17">
        <f ca="1">VLOOKUP(B168,Kompilirano!T:Z,7,FALSE)/226/5</f>
        <v>410.95398230088495</v>
      </c>
      <c r="D168" s="18">
        <f ca="1">VLOOKUP(B168,Kompilirano!J:P,7,FALSE)/226/5</f>
        <v>0.88849557522123901</v>
      </c>
      <c r="E168" s="19" t="str">
        <f ca="1">VLOOKUP(B168,Kompilirano!AM:AS,7,FALSE)</f>
        <v>0.22 (0.01)</v>
      </c>
      <c r="F168" s="20" t="str">
        <f ca="1">VLOOKUP(B168,Kompilirano!AW:BD,7,FALSE)</f>
        <v>0.11 (0.02)</v>
      </c>
      <c r="G168" s="20" t="str">
        <f ca="1">VLOOKUP(B168,Kompilirano!BG:BM,7,FALSE)</f>
        <v>0.03 (0.00)</v>
      </c>
      <c r="H168" s="20" t="str">
        <f ca="1">VLOOKUP(B168,Kompilirano!BQ:BW,7,FALSE)</f>
        <v>0.12 (0.00)</v>
      </c>
    </row>
    <row r="169" spans="2:8" x14ac:dyDescent="0.25">
      <c r="B169" s="16" t="s">
        <v>263</v>
      </c>
      <c r="C169" s="17">
        <f ca="1">VLOOKUP(B169,Kompilirano!T:Z,7,FALSE)/226/5</f>
        <v>410.65044247787608</v>
      </c>
      <c r="D169" s="18">
        <f ca="1">VLOOKUP(B169,Kompilirano!J:P,7,FALSE)/226/5</f>
        <v>0.71504424778761055</v>
      </c>
      <c r="E169" s="19" t="str">
        <f ca="1">VLOOKUP(B169,Kompilirano!AM:AS,7,FALSE)</f>
        <v>0.23 (0.00)</v>
      </c>
      <c r="F169" s="20" t="str">
        <f ca="1">VLOOKUP(B169,Kompilirano!AW:BD,7,FALSE)</f>
        <v>0.28 (0.02)</v>
      </c>
      <c r="G169" s="20" t="str">
        <f ca="1">VLOOKUP(B169,Kompilirano!BG:BM,7,FALSE)</f>
        <v>0.03 (0.00)</v>
      </c>
      <c r="H169" s="20" t="str">
        <f ca="1">VLOOKUP(B169,Kompilirano!BQ:BW,7,FALSE)</f>
        <v>0.09 (0.00)</v>
      </c>
    </row>
    <row r="170" spans="2:8" x14ac:dyDescent="0.25">
      <c r="B170" s="16" t="s">
        <v>235</v>
      </c>
      <c r="C170" s="17">
        <f ca="1">VLOOKUP(B170,Kompilirano!T:Z,7,FALSE)/226/5</f>
        <v>409.99911504424779</v>
      </c>
      <c r="D170" s="18">
        <f ca="1">VLOOKUP(B170,Kompilirano!J:P,7,FALSE)/226/5</f>
        <v>0.695575221238938</v>
      </c>
      <c r="E170" s="19" t="str">
        <f ca="1">VLOOKUP(B170,Kompilirano!AM:AS,7,FALSE)</f>
        <v>0.24 (0.00)</v>
      </c>
      <c r="F170" s="20" t="str">
        <f ca="1">VLOOKUP(B170,Kompilirano!AW:BD,7,FALSE)</f>
        <v>0.30 (0.02)</v>
      </c>
      <c r="G170" s="20" t="str">
        <f ca="1">VLOOKUP(B170,Kompilirano!BG:BM,7,FALSE)</f>
        <v>0.03 (0.00)</v>
      </c>
      <c r="H170" s="20" t="str">
        <f ca="1">VLOOKUP(B170,Kompilirano!BQ:BW,7,FALSE)</f>
        <v>0.09 (0.00)</v>
      </c>
    </row>
    <row r="171" spans="2:8" x14ac:dyDescent="0.25">
      <c r="B171" s="16" t="s">
        <v>268</v>
      </c>
      <c r="C171" s="17">
        <f ca="1">VLOOKUP(B171,Kompilirano!T:Z,7,FALSE)/226/5</f>
        <v>409.12300884955755</v>
      </c>
      <c r="D171" s="18">
        <f ca="1">VLOOKUP(B171,Kompilirano!J:P,7,FALSE)/226/5</f>
        <v>0.60088495575221246</v>
      </c>
      <c r="E171" s="19" t="str">
        <f ca="1">VLOOKUP(B171,Kompilirano!AM:AS,7,FALSE)</f>
        <v>0.33 (0.00)</v>
      </c>
      <c r="F171" s="20" t="str">
        <f ca="1">VLOOKUP(B171,Kompilirano!AW:BD,7,FALSE)</f>
        <v>0.40 (0.03)</v>
      </c>
      <c r="G171" s="20" t="str">
        <f ca="1">VLOOKUP(B171,Kompilirano!BG:BM,7,FALSE)</f>
        <v>0.05 (0.00)</v>
      </c>
      <c r="H171" s="20" t="str">
        <f ca="1">VLOOKUP(B171,Kompilirano!BQ:BW,7,FALSE)</f>
        <v>0.08 (0.00)</v>
      </c>
    </row>
    <row r="172" spans="2:8" x14ac:dyDescent="0.25">
      <c r="B172" s="16" t="s">
        <v>8</v>
      </c>
      <c r="C172" s="17">
        <f ca="1">VLOOKUP(B172,Kompilirano!T:Z,7,FALSE)/226/5</f>
        <v>408.50796460176991</v>
      </c>
      <c r="D172" s="18">
        <f ca="1">VLOOKUP(B172,Kompilirano!J:P,7,FALSE)/226/5</f>
        <v>0.20796460176991149</v>
      </c>
      <c r="E172" s="19" t="str">
        <f ca="1">VLOOKUP(B172,Kompilirano!AM:AS,7,FALSE)</f>
        <v>0.80 (0.00)</v>
      </c>
      <c r="F172" s="20" t="str">
        <f ca="1">VLOOKUP(B172,Kompilirano!AW:BD,7,FALSE)</f>
        <v>0.79 (0.01)</v>
      </c>
      <c r="G172" s="20" t="str">
        <f ca="1">VLOOKUP(B172,Kompilirano!BG:BM,7,FALSE)</f>
        <v>0.10 (0.00)</v>
      </c>
      <c r="H172" s="20" t="str">
        <f ca="1">VLOOKUP(B172,Kompilirano!BQ:BW,7,FALSE)</f>
        <v>-0.08 (0.00)</v>
      </c>
    </row>
    <row r="173" spans="2:8" x14ac:dyDescent="0.25">
      <c r="B173" s="16" t="s">
        <v>272</v>
      </c>
      <c r="C173" s="17">
        <f ca="1">VLOOKUP(B173,Kompilirano!T:Z,7,FALSE)/226/5</f>
        <v>407.88672566371685</v>
      </c>
      <c r="D173" s="18">
        <f ca="1">VLOOKUP(B173,Kompilirano!J:P,7,FALSE)/226/5</f>
        <v>0.62920353982300881</v>
      </c>
      <c r="E173" s="19" t="str">
        <f ca="1">VLOOKUP(B173,Kompilirano!AM:AS,7,FALSE)</f>
        <v>0.27 (0.00)</v>
      </c>
      <c r="F173" s="20" t="str">
        <f ca="1">VLOOKUP(B173,Kompilirano!AW:BD,7,FALSE)</f>
        <v>0.37 (0.01)</v>
      </c>
      <c r="G173" s="20" t="str">
        <f ca="1">VLOOKUP(B173,Kompilirano!BG:BM,7,FALSE)</f>
        <v>0.04 (0.00)</v>
      </c>
      <c r="H173" s="20" t="str">
        <f ca="1">VLOOKUP(B173,Kompilirano!BQ:BW,7,FALSE)</f>
        <v>0.07 (0.00)</v>
      </c>
    </row>
    <row r="174" spans="2:8" x14ac:dyDescent="0.25">
      <c r="B174" s="16" t="s">
        <v>130</v>
      </c>
      <c r="C174" s="17">
        <f ca="1">VLOOKUP(B174,Kompilirano!T:Z,7,FALSE)/226/5</f>
        <v>406.68849557522128</v>
      </c>
      <c r="D174" s="18">
        <f ca="1">VLOOKUP(B174,Kompilirano!J:P,7,FALSE)/226/5</f>
        <v>0.38053097345132747</v>
      </c>
      <c r="E174" s="19" t="str">
        <f ca="1">VLOOKUP(B174,Kompilirano!AM:AS,7,FALSE)</f>
        <v>0.51 (0.00)</v>
      </c>
      <c r="F174" s="20" t="str">
        <f ca="1">VLOOKUP(B174,Kompilirano!AW:BD,7,FALSE)</f>
        <v>0.62 (0.01)</v>
      </c>
      <c r="G174" s="20" t="str">
        <f ca="1">VLOOKUP(B174,Kompilirano!BG:BM,7,FALSE)</f>
        <v>0.07 (0.00)</v>
      </c>
      <c r="H174" s="20" t="str">
        <f ca="1">VLOOKUP(B174,Kompilirano!BQ:BW,7,FALSE)</f>
        <v>0.00 (0.00)</v>
      </c>
    </row>
    <row r="175" spans="2:8" x14ac:dyDescent="0.25">
      <c r="B175" s="16" t="s">
        <v>230</v>
      </c>
      <c r="C175" s="17">
        <f ca="1">VLOOKUP(B175,Kompilirano!T:Z,7,FALSE)/226/5</f>
        <v>406.66460176991149</v>
      </c>
      <c r="D175" s="18">
        <f ca="1">VLOOKUP(B175,Kompilirano!J:P,7,FALSE)/226/5</f>
        <v>0.46194690265486721</v>
      </c>
      <c r="E175" s="19" t="str">
        <f ca="1">VLOOKUP(B175,Kompilirano!AM:AS,7,FALSE)</f>
        <v>0.43 (0.00)</v>
      </c>
      <c r="F175" s="20" t="str">
        <f ca="1">VLOOKUP(B175,Kompilirano!AW:BD,7,FALSE)</f>
        <v>0.54 (0.03)</v>
      </c>
      <c r="G175" s="20" t="str">
        <f ca="1">VLOOKUP(B175,Kompilirano!BG:BM,7,FALSE)</f>
        <v>0.06 (0.00)</v>
      </c>
      <c r="H175" s="20" t="str">
        <f ca="1">VLOOKUP(B175,Kompilirano!BQ:BW,7,FALSE)</f>
        <v>0.04 (0.00)</v>
      </c>
    </row>
    <row r="176" spans="2:8" x14ac:dyDescent="0.25">
      <c r="B176" s="16" t="s">
        <v>191</v>
      </c>
      <c r="C176" s="17">
        <f ca="1">VLOOKUP(B176,Kompilirano!T:Z,7,FALSE)/226/5</f>
        <v>406.60707964601772</v>
      </c>
      <c r="D176" s="18">
        <f ca="1">VLOOKUP(B176,Kompilirano!J:P,7,FALSE)/226/5</f>
        <v>0.27699115044247791</v>
      </c>
      <c r="E176" s="19" t="str">
        <f ca="1">VLOOKUP(B176,Kompilirano!AM:AS,7,FALSE)</f>
        <v>0.63 (0.00)</v>
      </c>
      <c r="F176" s="20" t="str">
        <f ca="1">VLOOKUP(B176,Kompilirano!AW:BD,7,FALSE)</f>
        <v>0.72 (0.01)</v>
      </c>
      <c r="G176" s="20" t="str">
        <f ca="1">VLOOKUP(B176,Kompilirano!BG:BM,7,FALSE)</f>
        <v>0.08 (0.00)</v>
      </c>
      <c r="H176" s="20" t="str">
        <f ca="1">VLOOKUP(B176,Kompilirano!BQ:BW,7,FALSE)</f>
        <v>-0.02 (0.00)</v>
      </c>
    </row>
    <row r="177" spans="2:8" x14ac:dyDescent="0.25">
      <c r="B177" s="16" t="s">
        <v>271</v>
      </c>
      <c r="C177" s="17">
        <f ca="1">VLOOKUP(B177,Kompilirano!T:Z,7,FALSE)/226/5</f>
        <v>405.30796460176987</v>
      </c>
      <c r="D177" s="18">
        <f ca="1">VLOOKUP(B177,Kompilirano!J:P,7,FALSE)/226/5</f>
        <v>0.72920353982300878</v>
      </c>
      <c r="E177" s="19" t="str">
        <f ca="1">VLOOKUP(B177,Kompilirano!AM:AS,7,FALSE)</f>
        <v>0.25 (0.01)</v>
      </c>
      <c r="F177" s="20" t="str">
        <f ca="1">VLOOKUP(B177,Kompilirano!AW:BD,7,FALSE)</f>
        <v>0.27 (0.02)</v>
      </c>
      <c r="G177" s="20" t="str">
        <f ca="1">VLOOKUP(B177,Kompilirano!BG:BM,7,FALSE)</f>
        <v>0.03 (0.00)</v>
      </c>
      <c r="H177" s="20" t="str">
        <f ca="1">VLOOKUP(B177,Kompilirano!BQ:BW,7,FALSE)</f>
        <v>0.06 (0.01)</v>
      </c>
    </row>
    <row r="178" spans="2:8" x14ac:dyDescent="0.25">
      <c r="B178" s="16" t="s">
        <v>234</v>
      </c>
      <c r="C178" s="17">
        <f ca="1">VLOOKUP(B178,Kompilirano!T:Z,7,FALSE)/226/5</f>
        <v>405.12831858407083</v>
      </c>
      <c r="D178" s="18">
        <f ca="1">VLOOKUP(B178,Kompilirano!J:P,7,FALSE)/226/5</f>
        <v>0.79646017699115046</v>
      </c>
      <c r="E178" s="19" t="str">
        <f ca="1">VLOOKUP(B178,Kompilirano!AM:AS,7,FALSE)</f>
        <v>0.29 (0.01)</v>
      </c>
      <c r="F178" s="20" t="str">
        <f ca="1">VLOOKUP(B178,Kompilirano!AW:BD,7,FALSE)</f>
        <v>0.20 (0.02)</v>
      </c>
      <c r="G178" s="20" t="str">
        <f ca="1">VLOOKUP(B178,Kompilirano!BG:BM,7,FALSE)</f>
        <v>0.04 (0.00)</v>
      </c>
      <c r="H178" s="20" t="str">
        <f ca="1">VLOOKUP(B178,Kompilirano!BQ:BW,7,FALSE)</f>
        <v>0.12 (0.00)</v>
      </c>
    </row>
    <row r="179" spans="2:8" x14ac:dyDescent="0.25">
      <c r="B179" s="16" t="s">
        <v>208</v>
      </c>
      <c r="C179" s="17">
        <f ca="1">VLOOKUP(B179,Kompilirano!T:Z,7,FALSE)/226/5</f>
        <v>404.33628318584067</v>
      </c>
      <c r="D179" s="18">
        <f ca="1">VLOOKUP(B179,Kompilirano!J:P,7,FALSE)/226/5</f>
        <v>0.39469026548672564</v>
      </c>
      <c r="E179" s="19" t="str">
        <f ca="1">VLOOKUP(B179,Kompilirano!AM:AS,7,FALSE)</f>
        <v>0.48 (0.00)</v>
      </c>
      <c r="F179" s="20" t="str">
        <f ca="1">VLOOKUP(B179,Kompilirano!AW:BD,7,FALSE)</f>
        <v>0.61 (0.03)</v>
      </c>
      <c r="G179" s="20" t="str">
        <f ca="1">VLOOKUP(B179,Kompilirano!BG:BM,7,FALSE)</f>
        <v>0.06 (0.00)</v>
      </c>
      <c r="H179" s="20" t="str">
        <f ca="1">VLOOKUP(B179,Kompilirano!BQ:BW,7,FALSE)</f>
        <v>0.02 (0.00)</v>
      </c>
    </row>
    <row r="180" spans="2:8" x14ac:dyDescent="0.25">
      <c r="B180" s="16" t="s">
        <v>269</v>
      </c>
      <c r="C180" s="17">
        <f ca="1">VLOOKUP(B180,Kompilirano!T:Z,7,FALSE)/226/5</f>
        <v>403.02300884955753</v>
      </c>
      <c r="D180" s="18">
        <f ca="1">VLOOKUP(B180,Kompilirano!J:P,7,FALSE)/226/5</f>
        <v>0.48584070796460177</v>
      </c>
      <c r="E180" s="19" t="str">
        <f ca="1">VLOOKUP(B180,Kompilirano!AM:AS,7,FALSE)</f>
        <v>0.38 (0.00)</v>
      </c>
      <c r="F180" s="20" t="str">
        <f ca="1">VLOOKUP(B180,Kompilirano!AW:BD,7,FALSE)</f>
        <v>0.51 (0.01)</v>
      </c>
      <c r="G180" s="20" t="str">
        <f ca="1">VLOOKUP(B180,Kompilirano!BG:BM,7,FALSE)</f>
        <v>0.04 (0.00)</v>
      </c>
      <c r="H180" s="20" t="str">
        <f ca="1">VLOOKUP(B180,Kompilirano!BQ:BW,7,FALSE)</f>
        <v>-0.03 (0.00)</v>
      </c>
    </row>
    <row r="181" spans="2:8" x14ac:dyDescent="0.25">
      <c r="B181" s="16" t="s">
        <v>222</v>
      </c>
      <c r="C181" s="17">
        <f ca="1">VLOOKUP(B181,Kompilirano!T:Z,7,FALSE)/226/5</f>
        <v>402.98141592920354</v>
      </c>
      <c r="D181" s="18">
        <f ca="1">VLOOKUP(B181,Kompilirano!J:P,7,FALSE)/226/5</f>
        <v>0.40707964601769914</v>
      </c>
      <c r="E181" s="19" t="str">
        <f ca="1">VLOOKUP(B181,Kompilirano!AM:AS,7,FALSE)</f>
        <v>0.50 (0.00)</v>
      </c>
      <c r="F181" s="20" t="str">
        <f ca="1">VLOOKUP(B181,Kompilirano!AW:BD,7,FALSE)</f>
        <v>0.59 (0.03)</v>
      </c>
      <c r="G181" s="20" t="str">
        <f ca="1">VLOOKUP(B181,Kompilirano!BG:BM,7,FALSE)</f>
        <v>0.06 (0.00)</v>
      </c>
      <c r="H181" s="20" t="str">
        <f ca="1">VLOOKUP(B181,Kompilirano!BQ:BW,7,FALSE)</f>
        <v>0.00 (0.01)</v>
      </c>
    </row>
    <row r="182" spans="2:8" x14ac:dyDescent="0.25">
      <c r="B182" s="16" t="s">
        <v>218</v>
      </c>
      <c r="C182" s="17">
        <f ca="1">VLOOKUP(B182,Kompilirano!T:Z,7,FALSE)/226/5</f>
        <v>402.57522123893807</v>
      </c>
      <c r="D182" s="18">
        <f ca="1">VLOOKUP(B182,Kompilirano!J:P,7,FALSE)/226/5</f>
        <v>0.1823008849557522</v>
      </c>
      <c r="E182" s="19" t="str">
        <f ca="1">VLOOKUP(B182,Kompilirano!AM:AS,7,FALSE)</f>
        <v>0.70 (0.00)</v>
      </c>
      <c r="F182" s="20" t="str">
        <f ca="1">VLOOKUP(B182,Kompilirano!AW:BD,7,FALSE)</f>
        <v>0.82 (0.01)</v>
      </c>
      <c r="G182" s="20" t="str">
        <f ca="1">VLOOKUP(B182,Kompilirano!BG:BM,7,FALSE)</f>
        <v>0.09 (0.00)</v>
      </c>
      <c r="H182" s="20" t="str">
        <f ca="1">VLOOKUP(B182,Kompilirano!BQ:BW,7,FALSE)</f>
        <v>-0.02 (0.00)</v>
      </c>
    </row>
    <row r="183" spans="2:8" x14ac:dyDescent="0.25">
      <c r="B183" s="16" t="s">
        <v>258</v>
      </c>
      <c r="C183" s="17">
        <f ca="1">VLOOKUP(B183,Kompilirano!T:Z,7,FALSE)/226/5</f>
        <v>401.72300884955752</v>
      </c>
      <c r="D183" s="18">
        <f ca="1">VLOOKUP(B183,Kompilirano!J:P,7,FALSE)/226/5</f>
        <v>0.55398230088495581</v>
      </c>
      <c r="E183" s="19" t="str">
        <f ca="1">VLOOKUP(B183,Kompilirano!AM:AS,7,FALSE)</f>
        <v>0.32 (0.00)</v>
      </c>
      <c r="F183" s="20" t="str">
        <f ca="1">VLOOKUP(B183,Kompilirano!AW:BD,7,FALSE)</f>
        <v>0.45 (0.03)</v>
      </c>
      <c r="G183" s="20" t="str">
        <f ca="1">VLOOKUP(B183,Kompilirano!BG:BM,7,FALSE)</f>
        <v>0.04 (0.00)</v>
      </c>
      <c r="H183" s="20" t="str">
        <f ca="1">VLOOKUP(B183,Kompilirano!BQ:BW,7,FALSE)</f>
        <v>0.07 (0.00)</v>
      </c>
    </row>
    <row r="184" spans="2:8" x14ac:dyDescent="0.25">
      <c r="B184" s="16" t="s">
        <v>264</v>
      </c>
      <c r="C184" s="17">
        <f ca="1">VLOOKUP(B184,Kompilirano!T:Z,7,FALSE)/226/5</f>
        <v>401.14955752212393</v>
      </c>
      <c r="D184" s="18">
        <f ca="1">VLOOKUP(B184,Kompilirano!J:P,7,FALSE)/226/5</f>
        <v>0.47787610619469029</v>
      </c>
      <c r="E184" s="19" t="str">
        <f ca="1">VLOOKUP(B184,Kompilirano!AM:AS,7,FALSE)</f>
        <v>0.36 (0.00)</v>
      </c>
      <c r="F184" s="20" t="str">
        <f ca="1">VLOOKUP(B184,Kompilirano!AW:BD,7,FALSE)</f>
        <v>0.52 (0.01)</v>
      </c>
      <c r="G184" s="20" t="str">
        <f ca="1">VLOOKUP(B184,Kompilirano!BG:BM,7,FALSE)</f>
        <v>0.05 (0.00)</v>
      </c>
      <c r="H184" s="20" t="str">
        <f ca="1">VLOOKUP(B184,Kompilirano!BQ:BW,7,FALSE)</f>
        <v>0.03 (0.00)</v>
      </c>
    </row>
    <row r="185" spans="2:8" x14ac:dyDescent="0.25">
      <c r="B185" s="16" t="s">
        <v>240</v>
      </c>
      <c r="C185" s="17">
        <f ca="1">VLOOKUP(B185,Kompilirano!T:Z,7,FALSE)/226/5</f>
        <v>401.10884955752215</v>
      </c>
      <c r="D185" s="18">
        <f ca="1">VLOOKUP(B185,Kompilirano!J:P,7,FALSE)/226/5</f>
        <v>0.36725663716814161</v>
      </c>
      <c r="E185" s="19" t="str">
        <f ca="1">VLOOKUP(B185,Kompilirano!AM:AS,7,FALSE)</f>
        <v>0.48 (0.00)</v>
      </c>
      <c r="F185" s="20" t="str">
        <f ca="1">VLOOKUP(B185,Kompilirano!AW:BD,7,FALSE)</f>
        <v>0.63 (0.01)</v>
      </c>
      <c r="G185" s="20" t="str">
        <f ca="1">VLOOKUP(B185,Kompilirano!BG:BM,7,FALSE)</f>
        <v>0.06 (0.00)</v>
      </c>
      <c r="H185" s="20" t="str">
        <f ca="1">VLOOKUP(B185,Kompilirano!BQ:BW,7,FALSE)</f>
        <v>0.03 (0.00)</v>
      </c>
    </row>
    <row r="186" spans="2:8" x14ac:dyDescent="0.25">
      <c r="B186" s="16" t="s">
        <v>194</v>
      </c>
      <c r="C186" s="17">
        <f ca="1">VLOOKUP(B186,Kompilirano!T:Z,7,FALSE)/226/5</f>
        <v>400.33362831858409</v>
      </c>
      <c r="D186" s="18">
        <f ca="1">VLOOKUP(B186,Kompilirano!J:P,7,FALSE)/226/5</f>
        <v>0.1</v>
      </c>
      <c r="E186" s="19" t="str">
        <f ca="1">VLOOKUP(B186,Kompilirano!AM:AS,7,FALSE)</f>
        <v>0.81 (0.00)</v>
      </c>
      <c r="F186" s="20" t="str">
        <f ca="1">VLOOKUP(B186,Kompilirano!AW:BD,7,FALSE)</f>
        <v>0.90 (0.01)</v>
      </c>
      <c r="G186" s="20" t="str">
        <f ca="1">VLOOKUP(B186,Kompilirano!BG:BM,7,FALSE)</f>
        <v>0.11 (0.00)</v>
      </c>
      <c r="H186" s="20" t="str">
        <f ca="1">VLOOKUP(B186,Kompilirano!BQ:BW,7,FALSE)</f>
        <v>-0.06 (0.00)</v>
      </c>
    </row>
    <row r="187" spans="2:8" x14ac:dyDescent="0.25">
      <c r="B187" s="16" t="s">
        <v>228</v>
      </c>
      <c r="C187" s="17">
        <f ca="1">VLOOKUP(B187,Kompilirano!T:Z,7,FALSE)/226/5</f>
        <v>400.09292035398232</v>
      </c>
      <c r="D187" s="18">
        <f ca="1">VLOOKUP(B187,Kompilirano!J:P,7,FALSE)/226/5</f>
        <v>0.39203539823008848</v>
      </c>
      <c r="E187" s="19" t="str">
        <f ca="1">VLOOKUP(B187,Kompilirano!AM:AS,7,FALSE)</f>
        <v>0.50 (0.01)</v>
      </c>
      <c r="F187" s="20" t="str">
        <f ca="1">VLOOKUP(B187,Kompilirano!AW:BD,7,FALSE)</f>
        <v>0.61 (0.02)</v>
      </c>
      <c r="G187" s="20" t="str">
        <f ca="1">VLOOKUP(B187,Kompilirano!BG:BM,7,FALSE)</f>
        <v>0.06 (0.00)</v>
      </c>
      <c r="H187" s="20" t="str">
        <f ca="1">VLOOKUP(B187,Kompilirano!BQ:BW,7,FALSE)</f>
        <v>0.00 (0.00)</v>
      </c>
    </row>
    <row r="188" spans="2:8" x14ac:dyDescent="0.25">
      <c r="B188" s="16" t="s">
        <v>6</v>
      </c>
      <c r="C188" s="17">
        <f ca="1">VLOOKUP(B188,Kompilirano!T:Z,7,FALSE)/226/5</f>
        <v>399.12212389380528</v>
      </c>
      <c r="D188" s="18">
        <f ca="1">VLOOKUP(B188,Kompilirano!J:P,7,FALSE)/226/5</f>
        <v>0.26283185840707962</v>
      </c>
      <c r="E188" s="19" t="str">
        <f ca="1">VLOOKUP(B188,Kompilirano!AM:AS,7,FALSE)</f>
        <v>0.64 (0.00)</v>
      </c>
      <c r="F188" s="20" t="str">
        <f ca="1">VLOOKUP(B188,Kompilirano!AW:BD,7,FALSE)</f>
        <v>0.74 (0.02)</v>
      </c>
      <c r="G188" s="20" t="str">
        <f ca="1">VLOOKUP(B188,Kompilirano!BG:BM,7,FALSE)</f>
        <v>0.08 (0.00)</v>
      </c>
      <c r="H188" s="20" t="str">
        <f ca="1">VLOOKUP(B188,Kompilirano!BQ:BW,7,FALSE)</f>
        <v>-0.03 (0.00)</v>
      </c>
    </row>
    <row r="189" spans="2:8" x14ac:dyDescent="0.25">
      <c r="B189" s="16" t="s">
        <v>256</v>
      </c>
      <c r="C189" s="17">
        <f ca="1">VLOOKUP(B189,Kompilirano!T:Z,7,FALSE)/226/5</f>
        <v>398.55398230088497</v>
      </c>
      <c r="D189" s="18">
        <f ca="1">VLOOKUP(B189,Kompilirano!J:P,7,FALSE)/226/5</f>
        <v>0.3734513274336283</v>
      </c>
      <c r="E189" s="19" t="str">
        <f ca="1">VLOOKUP(B189,Kompilirano!AM:AS,7,FALSE)</f>
        <v>0.51 (0.00)</v>
      </c>
      <c r="F189" s="20" t="str">
        <f ca="1">VLOOKUP(B189,Kompilirano!AW:BD,7,FALSE)</f>
        <v>0.63 (0.01)</v>
      </c>
      <c r="G189" s="20" t="str">
        <f ca="1">VLOOKUP(B189,Kompilirano!BG:BM,7,FALSE)</f>
        <v>0.06 (0.00)</v>
      </c>
      <c r="H189" s="20" t="str">
        <f ca="1">VLOOKUP(B189,Kompilirano!BQ:BW,7,FALSE)</f>
        <v>0.00 (0.00)</v>
      </c>
    </row>
    <row r="190" spans="2:8" x14ac:dyDescent="0.25">
      <c r="B190" s="16" t="s">
        <v>243</v>
      </c>
      <c r="C190" s="17">
        <f ca="1">VLOOKUP(B190,Kompilirano!T:Z,7,FALSE)/226/5</f>
        <v>398.54513274336284</v>
      </c>
      <c r="D190" s="18">
        <f ca="1">VLOOKUP(B190,Kompilirano!J:P,7,FALSE)/226/5</f>
        <v>0.37433628318584067</v>
      </c>
      <c r="E190" s="19" t="str">
        <f ca="1">VLOOKUP(B190,Kompilirano!AM:AS,7,FALSE)</f>
        <v>0.50 (0.00)</v>
      </c>
      <c r="F190" s="20" t="str">
        <f ca="1">VLOOKUP(B190,Kompilirano!AW:BD,7,FALSE)</f>
        <v>0.63 (0.02)</v>
      </c>
      <c r="G190" s="20" t="str">
        <f ca="1">VLOOKUP(B190,Kompilirano!BG:BM,7,FALSE)</f>
        <v>0.06 (0.00)</v>
      </c>
      <c r="H190" s="20" t="str">
        <f ca="1">VLOOKUP(B190,Kompilirano!BQ:BW,7,FALSE)</f>
        <v>0.00 (0.00)</v>
      </c>
    </row>
    <row r="191" spans="2:8" x14ac:dyDescent="0.25">
      <c r="B191" s="16" t="s">
        <v>188</v>
      </c>
      <c r="C191" s="17">
        <f ca="1">VLOOKUP(B191,Kompilirano!T:Z,7,FALSE)/226/5</f>
        <v>398.52743362831859</v>
      </c>
      <c r="D191" s="18">
        <f ca="1">VLOOKUP(B191,Kompilirano!J:P,7,FALSE)/226/5</f>
        <v>0.22654867256637168</v>
      </c>
      <c r="E191" s="19" t="str">
        <f ca="1">VLOOKUP(B191,Kompilirano!AM:AS,7,FALSE)</f>
        <v>0.75 (0.02)</v>
      </c>
      <c r="F191" s="20" t="str">
        <f ca="1">VLOOKUP(B191,Kompilirano!AW:BD,7,FALSE)</f>
        <v>0.77 (0.03)</v>
      </c>
      <c r="G191" s="20" t="str">
        <f ca="1">VLOOKUP(B191,Kompilirano!BG:BM,7,FALSE)</f>
        <v>0.09 (0.00)</v>
      </c>
      <c r="H191" s="20" t="str">
        <f ca="1">VLOOKUP(B191,Kompilirano!BQ:BW,7,FALSE)</f>
        <v>-0.07 (0.01)</v>
      </c>
    </row>
    <row r="192" spans="2:8" x14ac:dyDescent="0.25">
      <c r="B192" s="16" t="s">
        <v>170</v>
      </c>
      <c r="C192" s="17">
        <f ca="1">VLOOKUP(B192,Kompilirano!T:Z,7,FALSE)/226/5</f>
        <v>396.85309734513277</v>
      </c>
      <c r="D192" s="18">
        <f ca="1">VLOOKUP(B192,Kompilirano!J:P,7,FALSE)/226/5</f>
        <v>0.32123893805309733</v>
      </c>
      <c r="E192" s="19" t="str">
        <f ca="1">VLOOKUP(B192,Kompilirano!AM:AS,7,FALSE)</f>
        <v>0.53 (0.00)</v>
      </c>
      <c r="F192" s="20" t="str">
        <f ca="1">VLOOKUP(B192,Kompilirano!AW:BD,7,FALSE)</f>
        <v>0.68 (0.01)</v>
      </c>
      <c r="G192" s="20" t="str">
        <f ca="1">VLOOKUP(B192,Kompilirano!BG:BM,7,FALSE)</f>
        <v>0.07 (0.00)</v>
      </c>
      <c r="H192" s="20" t="str">
        <f ca="1">VLOOKUP(B192,Kompilirano!BQ:BW,7,FALSE)</f>
        <v>-0.01 (0.00)</v>
      </c>
    </row>
    <row r="193" spans="2:8" x14ac:dyDescent="0.25">
      <c r="B193" s="16" t="s">
        <v>216</v>
      </c>
      <c r="C193" s="17">
        <f ca="1">VLOOKUP(B193,Kompilirano!T:Z,7,FALSE)/226/5</f>
        <v>395.56017699115046</v>
      </c>
      <c r="D193" s="18">
        <f ca="1">VLOOKUP(B193,Kompilirano!J:P,7,FALSE)/226/5</f>
        <v>0.2061946902654867</v>
      </c>
      <c r="E193" s="19" t="str">
        <f ca="1">VLOOKUP(B193,Kompilirano!AM:AS,7,FALSE)</f>
        <v>0.82 (0.00)</v>
      </c>
      <c r="F193" s="20" t="str">
        <f ca="1">VLOOKUP(B193,Kompilirano!AW:BD,7,FALSE)</f>
        <v>0.79 (0.01)</v>
      </c>
      <c r="G193" s="20" t="str">
        <f ca="1">VLOOKUP(B193,Kompilirano!BG:BM,7,FALSE)</f>
        <v>0.10 (0.00)</v>
      </c>
      <c r="H193" s="20" t="str">
        <f ca="1">VLOOKUP(B193,Kompilirano!BQ:BW,7,FALSE)</f>
        <v>-0.08 (0.00)</v>
      </c>
    </row>
    <row r="194" spans="2:8" x14ac:dyDescent="0.25">
      <c r="B194" s="16" t="s">
        <v>233</v>
      </c>
      <c r="C194" s="17">
        <f ca="1">VLOOKUP(B194,Kompilirano!T:Z,7,FALSE)/226/5</f>
        <v>394.30973451327429</v>
      </c>
      <c r="D194" s="18">
        <f ca="1">VLOOKUP(B194,Kompilirano!J:P,7,FALSE)/226/5</f>
        <v>0.27079646017699116</v>
      </c>
      <c r="E194" s="19" t="str">
        <f ca="1">VLOOKUP(B194,Kompilirano!AM:AS,7,FALSE)</f>
        <v>0.64 (0.00)</v>
      </c>
      <c r="F194" s="20" t="str">
        <f ca="1">VLOOKUP(B194,Kompilirano!AW:BD,7,FALSE)</f>
        <v>0.73 (0.01)</v>
      </c>
      <c r="G194" s="20" t="str">
        <f ca="1">VLOOKUP(B194,Kompilirano!BG:BM,7,FALSE)</f>
        <v>0.08 (0.00)</v>
      </c>
      <c r="H194" s="20" t="str">
        <f ca="1">VLOOKUP(B194,Kompilirano!BQ:BW,7,FALSE)</f>
        <v>-0.03 (0.00)</v>
      </c>
    </row>
    <row r="195" spans="2:8" x14ac:dyDescent="0.25">
      <c r="B195" s="16" t="s">
        <v>232</v>
      </c>
      <c r="C195" s="17">
        <f ca="1">VLOOKUP(B195,Kompilirano!T:Z,7,FALSE)/226/5</f>
        <v>394.2362831858407</v>
      </c>
      <c r="D195" s="18">
        <f ca="1">VLOOKUP(B195,Kompilirano!J:P,7,FALSE)/226/5</f>
        <v>0.347787610619469</v>
      </c>
      <c r="E195" s="19" t="str">
        <f ca="1">VLOOKUP(B195,Kompilirano!AM:AS,7,FALSE)</f>
        <v>0.52 (0.00)</v>
      </c>
      <c r="F195" s="20" t="str">
        <f ca="1">VLOOKUP(B195,Kompilirano!AW:BD,7,FALSE)</f>
        <v>0.65 (0.01)</v>
      </c>
      <c r="G195" s="20" t="str">
        <f ca="1">VLOOKUP(B195,Kompilirano!BG:BM,7,FALSE)</f>
        <v>0.07 (0.00)</v>
      </c>
      <c r="H195" s="20" t="str">
        <f ca="1">VLOOKUP(B195,Kompilirano!BQ:BW,7,FALSE)</f>
        <v>0.00 (0.00)</v>
      </c>
    </row>
    <row r="196" spans="2:8" x14ac:dyDescent="0.25">
      <c r="B196" s="16" t="s">
        <v>248</v>
      </c>
      <c r="C196" s="17">
        <f ca="1">VLOOKUP(B196,Kompilirano!T:Z,7,FALSE)/226/5</f>
        <v>393.85840707964604</v>
      </c>
      <c r="D196" s="18">
        <f ca="1">VLOOKUP(B196,Kompilirano!J:P,7,FALSE)/226/5</f>
        <v>0.35486725663716812</v>
      </c>
      <c r="E196" s="19" t="str">
        <f ca="1">VLOOKUP(B196,Kompilirano!AM:AS,7,FALSE)</f>
        <v>0.50 (0.00)</v>
      </c>
      <c r="F196" s="20" t="str">
        <f ca="1">VLOOKUP(B196,Kompilirano!AW:BD,7,FALSE)</f>
        <v>0.65 (0.02)</v>
      </c>
      <c r="G196" s="20" t="str">
        <f ca="1">VLOOKUP(B196,Kompilirano!BG:BM,7,FALSE)</f>
        <v>0.06 (0.00)</v>
      </c>
      <c r="H196" s="20" t="str">
        <f ca="1">VLOOKUP(B196,Kompilirano!BQ:BW,7,FALSE)</f>
        <v>0.00 (0.00)</v>
      </c>
    </row>
    <row r="197" spans="2:8" x14ac:dyDescent="0.25">
      <c r="B197" s="16" t="s">
        <v>165</v>
      </c>
      <c r="C197" s="17">
        <f ca="1">VLOOKUP(B197,Kompilirano!T:Z,7,FALSE)/226/5</f>
        <v>393.74336283185841</v>
      </c>
      <c r="D197" s="18">
        <f ca="1">VLOOKUP(B197,Kompilirano!J:P,7,FALSE)/226/5</f>
        <v>0.33362831858407083</v>
      </c>
      <c r="E197" s="19" t="str">
        <f ca="1">VLOOKUP(B197,Kompilirano!AM:AS,7,FALSE)</f>
        <v>0.52 (0.00)</v>
      </c>
      <c r="F197" s="20" t="str">
        <f ca="1">VLOOKUP(B197,Kompilirano!AW:BD,7,FALSE)</f>
        <v>0.67 (0.01)</v>
      </c>
      <c r="G197" s="20" t="str">
        <f ca="1">VLOOKUP(B197,Kompilirano!BG:BM,7,FALSE)</f>
        <v>0.07 (0.00)</v>
      </c>
      <c r="H197" s="20" t="str">
        <f ca="1">VLOOKUP(B197,Kompilirano!BQ:BW,7,FALSE)</f>
        <v>0.00 (0.00)</v>
      </c>
    </row>
    <row r="198" spans="2:8" x14ac:dyDescent="0.25">
      <c r="B198" s="16" t="s">
        <v>266</v>
      </c>
      <c r="C198" s="17">
        <f ca="1">VLOOKUP(B198,Kompilirano!T:Z,7,FALSE)/226/5</f>
        <v>393.73097345132743</v>
      </c>
      <c r="D198" s="18">
        <f ca="1">VLOOKUP(B198,Kompilirano!J:P,7,FALSE)/226/5</f>
        <v>0.45221238938053093</v>
      </c>
      <c r="E198" s="19" t="str">
        <f ca="1">VLOOKUP(B198,Kompilirano!AM:AS,7,FALSE)</f>
        <v>0.39 (0.00)</v>
      </c>
      <c r="F198" s="20" t="str">
        <f ca="1">VLOOKUP(B198,Kompilirano!AW:BD,7,FALSE)</f>
        <v>0.55 (0.02)</v>
      </c>
      <c r="G198" s="20" t="str">
        <f ca="1">VLOOKUP(B198,Kompilirano!BG:BM,7,FALSE)</f>
        <v>0.05 (0.00)</v>
      </c>
      <c r="H198" s="20" t="str">
        <f ca="1">VLOOKUP(B198,Kompilirano!BQ:BW,7,FALSE)</f>
        <v>0.00 (0.00)</v>
      </c>
    </row>
    <row r="199" spans="2:8" x14ac:dyDescent="0.25">
      <c r="B199" s="16" t="s">
        <v>231</v>
      </c>
      <c r="C199" s="17">
        <f ca="1">VLOOKUP(B199,Kompilirano!T:Z,7,FALSE)/226/5</f>
        <v>393.26194690265487</v>
      </c>
      <c r="D199" s="18">
        <f ca="1">VLOOKUP(B199,Kompilirano!J:P,7,FALSE)/226/5</f>
        <v>0.2415929203539823</v>
      </c>
      <c r="E199" s="19" t="str">
        <f ca="1">VLOOKUP(B199,Kompilirano!AM:AS,7,FALSE)</f>
        <v>0.70 (0.00)</v>
      </c>
      <c r="F199" s="20" t="str">
        <f ca="1">VLOOKUP(B199,Kompilirano!AW:BD,7,FALSE)</f>
        <v>0.76 (0.01)</v>
      </c>
      <c r="G199" s="20" t="str">
        <f ca="1">VLOOKUP(B199,Kompilirano!BG:BM,7,FALSE)</f>
        <v>0.09 (0.00)</v>
      </c>
      <c r="H199" s="20" t="str">
        <f ca="1">VLOOKUP(B199,Kompilirano!BQ:BW,7,FALSE)</f>
        <v>-0.05 (0.00)</v>
      </c>
    </row>
    <row r="200" spans="2:8" x14ac:dyDescent="0.25">
      <c r="B200" s="16" t="s">
        <v>262</v>
      </c>
      <c r="C200" s="17">
        <f ca="1">VLOOKUP(B200,Kompilirano!T:Z,7,FALSE)/226/5</f>
        <v>392.63805309734511</v>
      </c>
      <c r="D200" s="18">
        <f ca="1">VLOOKUP(B200,Kompilirano!J:P,7,FALSE)/226/5</f>
        <v>0.35575221238938054</v>
      </c>
      <c r="E200" s="19" t="str">
        <f ca="1">VLOOKUP(B200,Kompilirano!AM:AS,7,FALSE)</f>
        <v>0.50 (0.00)</v>
      </c>
      <c r="F200" s="20" t="str">
        <f ca="1">VLOOKUP(B200,Kompilirano!AW:BD,7,FALSE)</f>
        <v>0.64 (0.02)</v>
      </c>
      <c r="G200" s="20" t="str">
        <f ca="1">VLOOKUP(B200,Kompilirano!BG:BM,7,FALSE)</f>
        <v>0.06 (0.00)</v>
      </c>
      <c r="H200" s="20" t="str">
        <f ca="1">VLOOKUP(B200,Kompilirano!BQ:BW,7,FALSE)</f>
        <v>0.00 (0.00)</v>
      </c>
    </row>
    <row r="201" spans="2:8" x14ac:dyDescent="0.25">
      <c r="B201" s="16" t="s">
        <v>242</v>
      </c>
      <c r="C201" s="17">
        <f ca="1">VLOOKUP(B201,Kompilirano!T:Z,7,FALSE)/226/5</f>
        <v>392.47787610619469</v>
      </c>
      <c r="D201" s="18">
        <f ca="1">VLOOKUP(B201,Kompilirano!J:P,7,FALSE)/226/5</f>
        <v>0.26460176991150441</v>
      </c>
      <c r="E201" s="19" t="str">
        <f ca="1">VLOOKUP(B201,Kompilirano!AM:AS,7,FALSE)</f>
        <v>0.63 (0.00)</v>
      </c>
      <c r="F201" s="20" t="str">
        <f ca="1">VLOOKUP(B201,Kompilirano!AW:BD,7,FALSE)</f>
        <v>0.74 (0.01)</v>
      </c>
      <c r="G201" s="20" t="str">
        <f ca="1">VLOOKUP(B201,Kompilirano!BG:BM,7,FALSE)</f>
        <v>0.08 (0.00)</v>
      </c>
      <c r="H201" s="20" t="str">
        <f ca="1">VLOOKUP(B201,Kompilirano!BQ:BW,7,FALSE)</f>
        <v>-0.03 (0.00)</v>
      </c>
    </row>
    <row r="202" spans="2:8" x14ac:dyDescent="0.25">
      <c r="B202" s="16" t="s">
        <v>167</v>
      </c>
      <c r="C202" s="17">
        <f ca="1">VLOOKUP(B202,Kompilirano!T:Z,7,FALSE)/226/5</f>
        <v>392.41327433628317</v>
      </c>
      <c r="D202" s="18">
        <f ca="1">VLOOKUP(B202,Kompilirano!J:P,7,FALSE)/226/5</f>
        <v>0.33805309734513272</v>
      </c>
      <c r="E202" s="19" t="str">
        <f ca="1">VLOOKUP(B202,Kompilirano!AM:AS,7,FALSE)</f>
        <v>0.52 (0.00)</v>
      </c>
      <c r="F202" s="20" t="str">
        <f ca="1">VLOOKUP(B202,Kompilirano!AW:BD,7,FALSE)</f>
        <v>0.66 (0.01)</v>
      </c>
      <c r="G202" s="20" t="str">
        <f ca="1">VLOOKUP(B202,Kompilirano!BG:BM,7,FALSE)</f>
        <v>0.07 (0.00)</v>
      </c>
      <c r="H202" s="20" t="str">
        <f ca="1">VLOOKUP(B202,Kompilirano!BQ:BW,7,FALSE)</f>
        <v>0.00 (0.00)</v>
      </c>
    </row>
    <row r="203" spans="2:8" x14ac:dyDescent="0.25">
      <c r="B203" s="16" t="s">
        <v>17</v>
      </c>
      <c r="C203" s="17">
        <f ca="1">VLOOKUP(B203,Kompilirano!T:Z,7,FALSE)/226/5</f>
        <v>392.10353982300887</v>
      </c>
      <c r="D203" s="18">
        <f ca="1">VLOOKUP(B203,Kompilirano!J:P,7,FALSE)/226/5</f>
        <v>0.35752212389380528</v>
      </c>
      <c r="E203" s="19" t="str">
        <f ca="1">VLOOKUP(B203,Kompilirano!AM:AS,7,FALSE)</f>
        <v>0.50 (0.00)</v>
      </c>
      <c r="F203" s="20" t="str">
        <f ca="1">VLOOKUP(B203,Kompilirano!AW:BD,7,FALSE)</f>
        <v>0.64 (0.01)</v>
      </c>
      <c r="G203" s="20" t="str">
        <f ca="1">VLOOKUP(B203,Kompilirano!BG:BM,7,FALSE)</f>
        <v>0.06 (0.00)</v>
      </c>
      <c r="H203" s="20" t="str">
        <f ca="1">VLOOKUP(B203,Kompilirano!BQ:BW,7,FALSE)</f>
        <v>0.00 (0.00)</v>
      </c>
    </row>
    <row r="204" spans="2:8" x14ac:dyDescent="0.25">
      <c r="B204" s="16" t="s">
        <v>198</v>
      </c>
      <c r="C204" s="17">
        <f ca="1">VLOOKUP(B204,Kompilirano!T:Z,7,FALSE)/226/5</f>
        <v>391.93982300884954</v>
      </c>
      <c r="D204" s="18">
        <f ca="1">VLOOKUP(B204,Kompilirano!J:P,7,FALSE)/226/5</f>
        <v>0.15752212389380532</v>
      </c>
      <c r="E204" s="19" t="str">
        <f ca="1">VLOOKUP(B204,Kompilirano!AM:AS,7,FALSE)</f>
        <v>0.85 (0.00)</v>
      </c>
      <c r="F204" s="20" t="str">
        <f ca="1">VLOOKUP(B204,Kompilirano!AW:BD,7,FALSE)</f>
        <v>0.84 (0.01)</v>
      </c>
      <c r="G204" s="20" t="str">
        <f ca="1">VLOOKUP(B204,Kompilirano!BG:BM,7,FALSE)</f>
        <v>0.11 (0.00)</v>
      </c>
      <c r="H204" s="20" t="str">
        <f ca="1">VLOOKUP(B204,Kompilirano!BQ:BW,7,FALSE)</f>
        <v>-0.08 (0.00)</v>
      </c>
    </row>
    <row r="205" spans="2:8" x14ac:dyDescent="0.25">
      <c r="B205" s="16" t="s">
        <v>201</v>
      </c>
      <c r="C205" s="17">
        <f ca="1">VLOOKUP(B205,Kompilirano!T:Z,7,FALSE)/226/5</f>
        <v>391.69026548672571</v>
      </c>
      <c r="D205" s="18">
        <f ca="1">VLOOKUP(B205,Kompilirano!J:P,7,FALSE)/226/5</f>
        <v>0.15929203539823009</v>
      </c>
      <c r="E205" s="19" t="str">
        <f ca="1">VLOOKUP(B205,Kompilirano!AM:AS,7,FALSE)</f>
        <v>0.85 (0.00)</v>
      </c>
      <c r="F205" s="20" t="str">
        <f ca="1">VLOOKUP(B205,Kompilirano!AW:BD,7,FALSE)</f>
        <v>0.84 (0.01)</v>
      </c>
      <c r="G205" s="20" t="str">
        <f ca="1">VLOOKUP(B205,Kompilirano!BG:BM,7,FALSE)</f>
        <v>0.11 (0.00)</v>
      </c>
      <c r="H205" s="20" t="str">
        <f ca="1">VLOOKUP(B205,Kompilirano!BQ:BW,7,FALSE)</f>
        <v>-0.08 (0.00)</v>
      </c>
    </row>
    <row r="206" spans="2:8" x14ac:dyDescent="0.25">
      <c r="B206" s="16" t="s">
        <v>205</v>
      </c>
      <c r="C206" s="17">
        <f ca="1">VLOOKUP(B206,Kompilirano!T:Z,7,FALSE)/226/5</f>
        <v>391.49203539823009</v>
      </c>
      <c r="D206" s="18">
        <f ca="1">VLOOKUP(B206,Kompilirano!J:P,7,FALSE)/226/5</f>
        <v>0.14955752212389381</v>
      </c>
      <c r="E206" s="19" t="str">
        <f ca="1">VLOOKUP(B206,Kompilirano!AM:AS,7,FALSE)</f>
        <v>0.85 (0.00)</v>
      </c>
      <c r="F206" s="20" t="str">
        <f ca="1">VLOOKUP(B206,Kompilirano!AW:BD,7,FALSE)</f>
        <v>0.85 (0.01)</v>
      </c>
      <c r="G206" s="20" t="str">
        <f ca="1">VLOOKUP(B206,Kompilirano!BG:BM,7,FALSE)</f>
        <v>0.11 (0.00)</v>
      </c>
      <c r="H206" s="20" t="str">
        <f ca="1">VLOOKUP(B206,Kompilirano!BQ:BW,7,FALSE)</f>
        <v>-0.08 (0.00)</v>
      </c>
    </row>
    <row r="207" spans="2:8" x14ac:dyDescent="0.25">
      <c r="B207" s="16" t="s">
        <v>19</v>
      </c>
      <c r="C207" s="17">
        <f ca="1">VLOOKUP(B207,Kompilirano!T:Z,7,FALSE)/226/5</f>
        <v>391.02566371681417</v>
      </c>
      <c r="D207" s="18">
        <f ca="1">VLOOKUP(B207,Kompilirano!J:P,7,FALSE)/226/5</f>
        <v>0.34601769911504421</v>
      </c>
      <c r="E207" s="19" t="str">
        <f ca="1">VLOOKUP(B207,Kompilirano!AM:AS,7,FALSE)</f>
        <v>0.50 (0.00)</v>
      </c>
      <c r="F207" s="20" t="str">
        <f ca="1">VLOOKUP(B207,Kompilirano!AW:BD,7,FALSE)</f>
        <v>0.65 (0.02)</v>
      </c>
      <c r="G207" s="20" t="str">
        <f ca="1">VLOOKUP(B207,Kompilirano!BG:BM,7,FALSE)</f>
        <v>0.06 (0.00)</v>
      </c>
      <c r="H207" s="20" t="str">
        <f ca="1">VLOOKUP(B207,Kompilirano!BQ:BW,7,FALSE)</f>
        <v>0.00 (0.00)</v>
      </c>
    </row>
    <row r="208" spans="2:8" x14ac:dyDescent="0.25">
      <c r="B208" s="16" t="s">
        <v>203</v>
      </c>
      <c r="C208" s="17">
        <f ca="1">VLOOKUP(B208,Kompilirano!T:Z,7,FALSE)/226/5</f>
        <v>390.44955752212388</v>
      </c>
      <c r="D208" s="18">
        <f ca="1">VLOOKUP(B208,Kompilirano!J:P,7,FALSE)/226/5</f>
        <v>0.15575221238938053</v>
      </c>
      <c r="E208" s="19" t="str">
        <f ca="1">VLOOKUP(B208,Kompilirano!AM:AS,7,FALSE)</f>
        <v>0.85 (0.00)</v>
      </c>
      <c r="F208" s="20" t="str">
        <f ca="1">VLOOKUP(B208,Kompilirano!AW:BD,7,FALSE)</f>
        <v>0.84 (0.02)</v>
      </c>
      <c r="G208" s="20" t="str">
        <f ca="1">VLOOKUP(B208,Kompilirano!BG:BM,7,FALSE)</f>
        <v>0.11 (0.00)</v>
      </c>
      <c r="H208" s="20" t="str">
        <f ca="1">VLOOKUP(B208,Kompilirano!BQ:BW,7,FALSE)</f>
        <v>-0.08 (0.00)</v>
      </c>
    </row>
    <row r="209" spans="2:8" x14ac:dyDescent="0.25">
      <c r="B209" s="16" t="s">
        <v>146</v>
      </c>
      <c r="C209" s="17">
        <f ca="1">VLOOKUP(B209,Kompilirano!T:Z,7,FALSE)/226/5</f>
        <v>389.97079646017698</v>
      </c>
      <c r="D209" s="18">
        <f ca="1">VLOOKUP(B209,Kompilirano!J:P,7,FALSE)/226/5</f>
        <v>0.36017699115044249</v>
      </c>
      <c r="E209" s="19" t="str">
        <f ca="1">VLOOKUP(B209,Kompilirano!AM:AS,7,FALSE)</f>
        <v>0.49 (0.00)</v>
      </c>
      <c r="F209" s="20" t="str">
        <f ca="1">VLOOKUP(B209,Kompilirano!AW:BD,7,FALSE)</f>
        <v>0.64 (0.01)</v>
      </c>
      <c r="G209" s="20" t="str">
        <f ca="1">VLOOKUP(B209,Kompilirano!BG:BM,7,FALSE)</f>
        <v>0.06 (0.00)</v>
      </c>
      <c r="H209" s="20" t="str">
        <f ca="1">VLOOKUP(B209,Kompilirano!BQ:BW,7,FALSE)</f>
        <v>0.00 (0.00)</v>
      </c>
    </row>
    <row r="210" spans="2:8" x14ac:dyDescent="0.25">
      <c r="B210" s="16" t="s">
        <v>183</v>
      </c>
      <c r="C210" s="17">
        <f ca="1">VLOOKUP(B210,Kompilirano!T:Z,7,FALSE)/226/5</f>
        <v>389.54513274336284</v>
      </c>
      <c r="D210" s="18">
        <f ca="1">VLOOKUP(B210,Kompilirano!J:P,7,FALSE)/226/5</f>
        <v>5.7522123893805309E-2</v>
      </c>
      <c r="E210" s="19" t="str">
        <f ca="1">VLOOKUP(B210,Kompilirano!AM:AS,7,FALSE)</f>
        <v>0.90 (0.00)</v>
      </c>
      <c r="F210" s="20" t="str">
        <f ca="1">VLOOKUP(B210,Kompilirano!AW:BD,7,FALSE)</f>
        <v>0.94 (0.02)</v>
      </c>
      <c r="G210" s="20" t="str">
        <f ca="1">VLOOKUP(B210,Kompilirano!BG:BM,7,FALSE)</f>
        <v>0.11 (0.00)</v>
      </c>
      <c r="H210" s="20" t="str">
        <f ca="1">VLOOKUP(B210,Kompilirano!BQ:BW,7,FALSE)</f>
        <v>-0.10 (0.00)</v>
      </c>
    </row>
    <row r="211" spans="2:8" x14ac:dyDescent="0.25">
      <c r="B211" s="16" t="s">
        <v>237</v>
      </c>
      <c r="C211" s="17">
        <f ca="1">VLOOKUP(B211,Kompilirano!T:Z,7,FALSE)/226/5</f>
        <v>388.89380530973455</v>
      </c>
      <c r="D211" s="18">
        <f ca="1">VLOOKUP(B211,Kompilirano!J:P,7,FALSE)/226/5</f>
        <v>0.22654867256637168</v>
      </c>
      <c r="E211" s="19" t="str">
        <f ca="1">VLOOKUP(B211,Kompilirano!AM:AS,7,FALSE)</f>
        <v>0.77 (0.00)</v>
      </c>
      <c r="F211" s="20" t="str">
        <f ca="1">VLOOKUP(B211,Kompilirano!AW:BD,7,FALSE)</f>
        <v>0.77 (0.01)</v>
      </c>
      <c r="G211" s="20" t="str">
        <f ca="1">VLOOKUP(B211,Kompilirano!BG:BM,7,FALSE)</f>
        <v>0.10 (0.00)</v>
      </c>
      <c r="H211" s="20" t="str">
        <f ca="1">VLOOKUP(B211,Kompilirano!BQ:BW,7,FALSE)</f>
        <v>-0.06 (0.00)</v>
      </c>
    </row>
    <row r="212" spans="2:8" x14ac:dyDescent="0.25">
      <c r="B212" s="16" t="s">
        <v>244</v>
      </c>
      <c r="C212" s="17">
        <f ca="1">VLOOKUP(B212,Kompilirano!T:Z,7,FALSE)/226/5</f>
        <v>388.71858407079645</v>
      </c>
      <c r="D212" s="18">
        <f ca="1">VLOOKUP(B212,Kompilirano!J:P,7,FALSE)/226/5</f>
        <v>0.23539823008849559</v>
      </c>
      <c r="E212" s="19" t="str">
        <f ca="1">VLOOKUP(B212,Kompilirano!AM:AS,7,FALSE)</f>
        <v>0.81 (0.00)</v>
      </c>
      <c r="F212" s="20" t="str">
        <f ca="1">VLOOKUP(B212,Kompilirano!AW:BD,7,FALSE)</f>
        <v>0.76 (0.01)</v>
      </c>
      <c r="G212" s="20" t="str">
        <f ca="1">VLOOKUP(B212,Kompilirano!BG:BM,7,FALSE)</f>
        <v>0.10 (0.00)</v>
      </c>
      <c r="H212" s="20" t="str">
        <f ca="1">VLOOKUP(B212,Kompilirano!BQ:BW,7,FALSE)</f>
        <v>-0.09 (0.00)</v>
      </c>
    </row>
    <row r="213" spans="2:8" x14ac:dyDescent="0.25">
      <c r="B213" s="16" t="s">
        <v>210</v>
      </c>
      <c r="C213" s="17">
        <f ca="1">VLOOKUP(B213,Kompilirano!T:Z,7,FALSE)/226/5</f>
        <v>388.46106194690265</v>
      </c>
      <c r="D213" s="18">
        <f ca="1">VLOOKUP(B213,Kompilirano!J:P,7,FALSE)/226/5</f>
        <v>7.1681415929203546E-2</v>
      </c>
      <c r="E213" s="19" t="str">
        <f ca="1">VLOOKUP(B213,Kompilirano!AM:AS,7,FALSE)</f>
        <v>0.89 (0.00)</v>
      </c>
      <c r="F213" s="20" t="str">
        <f ca="1">VLOOKUP(B213,Kompilirano!AW:BD,7,FALSE)</f>
        <v>0.93 (0.01)</v>
      </c>
      <c r="G213" s="20" t="str">
        <f ca="1">VLOOKUP(B213,Kompilirano!BG:BM,7,FALSE)</f>
        <v>0.11 (0.00)</v>
      </c>
      <c r="H213" s="20" t="str">
        <f ca="1">VLOOKUP(B213,Kompilirano!BQ:BW,7,FALSE)</f>
        <v>-0.09 (0.00)</v>
      </c>
    </row>
    <row r="214" spans="2:8" x14ac:dyDescent="0.25">
      <c r="B214" s="16" t="s">
        <v>251</v>
      </c>
      <c r="C214" s="17">
        <f ca="1">VLOOKUP(B214,Kompilirano!T:Z,7,FALSE)/226/5</f>
        <v>388.23451327433628</v>
      </c>
      <c r="D214" s="18">
        <f ca="1">VLOOKUP(B214,Kompilirano!J:P,7,FALSE)/226/5</f>
        <v>0.34070796460176994</v>
      </c>
      <c r="E214" s="19" t="str">
        <f ca="1">VLOOKUP(B214,Kompilirano!AM:AS,7,FALSE)</f>
        <v>0.50 (0.00)</v>
      </c>
      <c r="F214" s="20" t="str">
        <f ca="1">VLOOKUP(B214,Kompilirano!AW:BD,7,FALSE)</f>
        <v>0.66 (0.01)</v>
      </c>
      <c r="G214" s="20" t="str">
        <f ca="1">VLOOKUP(B214,Kompilirano!BG:BM,7,FALSE)</f>
        <v>0.06 (0.00)</v>
      </c>
      <c r="H214" s="20" t="str">
        <f ca="1">VLOOKUP(B214,Kompilirano!BQ:BW,7,FALSE)</f>
        <v>0.00 (0.00)</v>
      </c>
    </row>
    <row r="215" spans="2:8" x14ac:dyDescent="0.25">
      <c r="B215" s="16" t="s">
        <v>175</v>
      </c>
      <c r="C215" s="17">
        <f ca="1">VLOOKUP(B215,Kompilirano!T:Z,7,FALSE)/226/5</f>
        <v>388.0283185840708</v>
      </c>
      <c r="D215" s="18">
        <f ca="1">VLOOKUP(B215,Kompilirano!J:P,7,FALSE)/226/5</f>
        <v>9.1150442477876098E-2</v>
      </c>
      <c r="E215" s="19" t="str">
        <f ca="1">VLOOKUP(B215,Kompilirano!AM:AS,7,FALSE)</f>
        <v>0.89 (0.00)</v>
      </c>
      <c r="F215" s="20" t="str">
        <f ca="1">VLOOKUP(B215,Kompilirano!AW:BD,7,FALSE)</f>
        <v>0.91 (0.02)</v>
      </c>
      <c r="G215" s="20" t="str">
        <f ca="1">VLOOKUP(B215,Kompilirano!BG:BM,7,FALSE)</f>
        <v>0.11 (0.00)</v>
      </c>
      <c r="H215" s="20" t="str">
        <f ca="1">VLOOKUP(B215,Kompilirano!BQ:BW,7,FALSE)</f>
        <v>-0.09 (0.00)</v>
      </c>
    </row>
    <row r="216" spans="2:8" x14ac:dyDescent="0.25">
      <c r="B216" s="16" t="s">
        <v>182</v>
      </c>
      <c r="C216" s="17">
        <f ca="1">VLOOKUP(B216,Kompilirano!T:Z,7,FALSE)/226/5</f>
        <v>386.4</v>
      </c>
      <c r="D216" s="18">
        <f ca="1">VLOOKUP(B216,Kompilirano!J:P,7,FALSE)/226/5</f>
        <v>7.5221238938053089E-2</v>
      </c>
      <c r="E216" s="19" t="str">
        <f ca="1">VLOOKUP(B216,Kompilirano!AM:AS,7,FALSE)</f>
        <v>0.89 (0.01)</v>
      </c>
      <c r="F216" s="20" t="str">
        <f ca="1">VLOOKUP(B216,Kompilirano!AW:BD,7,FALSE)</f>
        <v>0.92 (0.02)</v>
      </c>
      <c r="G216" s="20" t="str">
        <f ca="1">VLOOKUP(B216,Kompilirano!BG:BM,7,FALSE)</f>
        <v>0.11 (0.00)</v>
      </c>
      <c r="H216" s="20" t="str">
        <f ca="1">VLOOKUP(B216,Kompilirano!BQ:BW,7,FALSE)</f>
        <v>-0.09 (0.00)</v>
      </c>
    </row>
    <row r="217" spans="2:8" x14ac:dyDescent="0.25">
      <c r="B217" s="16" t="s">
        <v>181</v>
      </c>
      <c r="C217" s="17">
        <f ca="1">VLOOKUP(B217,Kompilirano!T:Z,7,FALSE)/226/5</f>
        <v>385.77168141592921</v>
      </c>
      <c r="D217" s="18">
        <f ca="1">VLOOKUP(B217,Kompilirano!J:P,7,FALSE)/226/5</f>
        <v>0.22035398230088496</v>
      </c>
      <c r="E217" s="19" t="str">
        <f ca="1">VLOOKUP(B217,Kompilirano!AM:AS,7,FALSE)</f>
        <v>0.81 (0.00)</v>
      </c>
      <c r="F217" s="20" t="str">
        <f ca="1">VLOOKUP(B217,Kompilirano!AW:BD,7,FALSE)</f>
        <v>0.78 (0.01)</v>
      </c>
      <c r="G217" s="20" t="str">
        <f ca="1">VLOOKUP(B217,Kompilirano!BG:BM,7,FALSE)</f>
        <v>0.10 (0.00)</v>
      </c>
      <c r="H217" s="20" t="str">
        <f ca="1">VLOOKUP(B217,Kompilirano!BQ:BW,7,FALSE)</f>
        <v>-0.08 (0.00)</v>
      </c>
    </row>
    <row r="218" spans="2:8" x14ac:dyDescent="0.25">
      <c r="B218" s="16" t="s">
        <v>257</v>
      </c>
      <c r="C218" s="17">
        <f ca="1">VLOOKUP(B218,Kompilirano!T:Z,7,FALSE)/226/5</f>
        <v>385.46814159292035</v>
      </c>
      <c r="D218" s="18">
        <f ca="1">VLOOKUP(B218,Kompilirano!J:P,7,FALSE)/226/5</f>
        <v>0.2415929203539823</v>
      </c>
      <c r="E218" s="19" t="str">
        <f ca="1">VLOOKUP(B218,Kompilirano!AM:AS,7,FALSE)</f>
        <v>0.79 (0.00)</v>
      </c>
      <c r="F218" s="20" t="str">
        <f ca="1">VLOOKUP(B218,Kompilirano!AW:BD,7,FALSE)</f>
        <v>0.76 (0.02)</v>
      </c>
      <c r="G218" s="20" t="str">
        <f ca="1">VLOOKUP(B218,Kompilirano!BG:BM,7,FALSE)</f>
        <v>0.10 (0.00)</v>
      </c>
      <c r="H218" s="20" t="str">
        <f ca="1">VLOOKUP(B218,Kompilirano!BQ:BW,7,FALSE)</f>
        <v>-0.09 (0.00)</v>
      </c>
    </row>
    <row r="219" spans="2:8" x14ac:dyDescent="0.25">
      <c r="B219" s="16" t="s">
        <v>260</v>
      </c>
      <c r="C219" s="17">
        <f ca="1">VLOOKUP(B219,Kompilirano!T:Z,7,FALSE)/226/5</f>
        <v>385.4575221238938</v>
      </c>
      <c r="D219" s="18">
        <f ca="1">VLOOKUP(B219,Kompilirano!J:P,7,FALSE)/226/5</f>
        <v>0.34690265486725663</v>
      </c>
      <c r="E219" s="19" t="str">
        <f ca="1">VLOOKUP(B219,Kompilirano!AM:AS,7,FALSE)</f>
        <v>0.56 (0.00)</v>
      </c>
      <c r="F219" s="20" t="str">
        <f ca="1">VLOOKUP(B219,Kompilirano!AW:BD,7,FALSE)</f>
        <v>0.65 (0.01)</v>
      </c>
      <c r="G219" s="20" t="str">
        <f ca="1">VLOOKUP(B219,Kompilirano!BG:BM,7,FALSE)</f>
        <v>0.06 (0.00)</v>
      </c>
      <c r="H219" s="20" t="str">
        <f ca="1">VLOOKUP(B219,Kompilirano!BQ:BW,7,FALSE)</f>
        <v>-0.07 (0.00)</v>
      </c>
    </row>
    <row r="220" spans="2:8" x14ac:dyDescent="0.25">
      <c r="B220" s="16" t="s">
        <v>267</v>
      </c>
      <c r="C220" s="17">
        <f ca="1">VLOOKUP(B220,Kompilirano!T:Z,7,FALSE)/226/5</f>
        <v>385.39911504424782</v>
      </c>
      <c r="D220" s="18">
        <f ca="1">VLOOKUP(B220,Kompilirano!J:P,7,FALSE)/226/5</f>
        <v>0.34159292035398231</v>
      </c>
      <c r="E220" s="19" t="str">
        <f ca="1">VLOOKUP(B220,Kompilirano!AM:AS,7,FALSE)</f>
        <v>0.57 (0.00)</v>
      </c>
      <c r="F220" s="20" t="str">
        <f ca="1">VLOOKUP(B220,Kompilirano!AW:BD,7,FALSE)</f>
        <v>0.66 (0.01)</v>
      </c>
      <c r="G220" s="20" t="str">
        <f ca="1">VLOOKUP(B220,Kompilirano!BG:BM,7,FALSE)</f>
        <v>0.06 (0.00)</v>
      </c>
      <c r="H220" s="20" t="str">
        <f ca="1">VLOOKUP(B220,Kompilirano!BQ:BW,7,FALSE)</f>
        <v>-0.07 (0.00)</v>
      </c>
    </row>
    <row r="221" spans="2:8" x14ac:dyDescent="0.25">
      <c r="B221" s="16" t="s">
        <v>193</v>
      </c>
      <c r="C221" s="17">
        <f ca="1">VLOOKUP(B221,Kompilirano!T:Z,7,FALSE)/226/5</f>
        <v>385.33716814159294</v>
      </c>
      <c r="D221" s="18">
        <f ca="1">VLOOKUP(B221,Kompilirano!J:P,7,FALSE)/226/5</f>
        <v>7.4336283185840707E-2</v>
      </c>
      <c r="E221" s="19" t="str">
        <f ca="1">VLOOKUP(B221,Kompilirano!AM:AS,7,FALSE)</f>
        <v>0.90 (0.00)</v>
      </c>
      <c r="F221" s="20" t="str">
        <f ca="1">VLOOKUP(B221,Kompilirano!AW:BD,7,FALSE)</f>
        <v>0.93 (0.01)</v>
      </c>
      <c r="G221" s="20" t="str">
        <f ca="1">VLOOKUP(B221,Kompilirano!BG:BM,7,FALSE)</f>
        <v>0.11 (0.00)</v>
      </c>
      <c r="H221" s="20" t="str">
        <f ca="1">VLOOKUP(B221,Kompilirano!BQ:BW,7,FALSE)</f>
        <v>-0.10 (0.00)</v>
      </c>
    </row>
    <row r="222" spans="2:8" x14ac:dyDescent="0.25">
      <c r="B222" s="16" t="s">
        <v>270</v>
      </c>
      <c r="C222" s="17">
        <f ca="1">VLOOKUP(B222,Kompilirano!T:Z,7,FALSE)/226/5</f>
        <v>385.32831858407081</v>
      </c>
      <c r="D222" s="18">
        <f ca="1">VLOOKUP(B222,Kompilirano!J:P,7,FALSE)/226/5</f>
        <v>0.27079646017699116</v>
      </c>
      <c r="E222" s="19" t="str">
        <f ca="1">VLOOKUP(B222,Kompilirano!AM:AS,7,FALSE)</f>
        <v>0.68 (0.00)</v>
      </c>
      <c r="F222" s="20" t="str">
        <f ca="1">VLOOKUP(B222,Kompilirano!AW:BD,7,FALSE)</f>
        <v>0.73 (0.01)</v>
      </c>
      <c r="G222" s="20" t="str">
        <f ca="1">VLOOKUP(B222,Kompilirano!BG:BM,7,FALSE)</f>
        <v>0.08 (0.00)</v>
      </c>
      <c r="H222" s="20" t="str">
        <f ca="1">VLOOKUP(B222,Kompilirano!BQ:BW,7,FALSE)</f>
        <v>-0.06 (0.00)</v>
      </c>
    </row>
    <row r="223" spans="2:8" x14ac:dyDescent="0.25">
      <c r="B223" s="16" t="s">
        <v>274</v>
      </c>
      <c r="C223" s="17">
        <f ca="1">VLOOKUP(B223,Kompilirano!T:Z,7,FALSE)/226/5</f>
        <v>384.48318584070796</v>
      </c>
      <c r="D223" s="18">
        <f ca="1">VLOOKUP(B223,Kompilirano!J:P,7,FALSE)/226/5</f>
        <v>0.33805309734513272</v>
      </c>
      <c r="E223" s="19" t="str">
        <f ca="1">VLOOKUP(B223,Kompilirano!AM:AS,7,FALSE)</f>
        <v>0.57 (0.00)</v>
      </c>
      <c r="F223" s="20" t="str">
        <f ca="1">VLOOKUP(B223,Kompilirano!AW:BD,7,FALSE)</f>
        <v>0.66 (0.01)</v>
      </c>
      <c r="G223" s="20" t="str">
        <f ca="1">VLOOKUP(B223,Kompilirano!BG:BM,7,FALSE)</f>
        <v>0.06 (0.00)</v>
      </c>
      <c r="H223" s="20" t="str">
        <f ca="1">VLOOKUP(B223,Kompilirano!BQ:BW,7,FALSE)</f>
        <v>-0.06 (0.00)</v>
      </c>
    </row>
    <row r="224" spans="2:8" x14ac:dyDescent="0.25">
      <c r="B224" s="16" t="s">
        <v>239</v>
      </c>
      <c r="C224" s="17">
        <f ca="1">VLOOKUP(B224,Kompilirano!T:Z,7,FALSE)/226/5</f>
        <v>384.13982300884953</v>
      </c>
      <c r="D224" s="18">
        <f ca="1">VLOOKUP(B224,Kompilirano!J:P,7,FALSE)/226/5</f>
        <v>7.3451327433628325E-2</v>
      </c>
      <c r="E224" s="19" t="str">
        <f ca="1">VLOOKUP(B224,Kompilirano!AM:AS,7,FALSE)</f>
        <v>0.89 (0.00)</v>
      </c>
      <c r="F224" s="20" t="str">
        <f ca="1">VLOOKUP(B224,Kompilirano!AW:BD,7,FALSE)</f>
        <v>0.93 (0.01)</v>
      </c>
      <c r="G224" s="20" t="str">
        <f ca="1">VLOOKUP(B224,Kompilirano!BG:BM,7,FALSE)</f>
        <v>0.11 (0.00)</v>
      </c>
      <c r="H224" s="20" t="str">
        <f ca="1">VLOOKUP(B224,Kompilirano!BQ:BW,7,FALSE)</f>
        <v>-0.09 (0.00)</v>
      </c>
    </row>
    <row r="225" spans="2:8" x14ac:dyDescent="0.25">
      <c r="B225" s="16" t="s">
        <v>246</v>
      </c>
      <c r="C225" s="17">
        <f ca="1">VLOOKUP(B225,Kompilirano!T:Z,7,FALSE)/226/5</f>
        <v>383.39557522123897</v>
      </c>
      <c r="D225" s="18">
        <f ca="1">VLOOKUP(B225,Kompilirano!J:P,7,FALSE)/226/5</f>
        <v>0.19469026548672566</v>
      </c>
      <c r="E225" s="19" t="str">
        <f ca="1">VLOOKUP(B225,Kompilirano!AM:AS,7,FALSE)</f>
        <v>0.84 (0.00)</v>
      </c>
      <c r="F225" s="20" t="str">
        <f ca="1">VLOOKUP(B225,Kompilirano!AW:BD,7,FALSE)</f>
        <v>0.81 (0.01)</v>
      </c>
      <c r="G225" s="20" t="str">
        <f ca="1">VLOOKUP(B225,Kompilirano!BG:BM,7,FALSE)</f>
        <v>0.10 (0.00)</v>
      </c>
      <c r="H225" s="20" t="str">
        <f ca="1">VLOOKUP(B225,Kompilirano!BQ:BW,7,FALSE)</f>
        <v>-0.09 (0.00)</v>
      </c>
    </row>
    <row r="226" spans="2:8" x14ac:dyDescent="0.25">
      <c r="B226" s="16" t="s">
        <v>249</v>
      </c>
      <c r="C226" s="17">
        <f ca="1">VLOOKUP(B226,Kompilirano!T:Z,7,FALSE)/226/5</f>
        <v>383.27876106194691</v>
      </c>
      <c r="D226" s="18">
        <f ca="1">VLOOKUP(B226,Kompilirano!J:P,7,FALSE)/226/5</f>
        <v>0.18584070796460178</v>
      </c>
      <c r="E226" s="19" t="str">
        <f ca="1">VLOOKUP(B226,Kompilirano!AM:AS,7,FALSE)</f>
        <v>0.82 (0.00)</v>
      </c>
      <c r="F226" s="20" t="str">
        <f ca="1">VLOOKUP(B226,Kompilirano!AW:BD,7,FALSE)</f>
        <v>0.81 (0.01)</v>
      </c>
      <c r="G226" s="20" t="str">
        <f ca="1">VLOOKUP(B226,Kompilirano!BG:BM,7,FALSE)</f>
        <v>0.10 (0.00)</v>
      </c>
      <c r="H226" s="20" t="str">
        <f ca="1">VLOOKUP(B226,Kompilirano!BQ:BW,7,FALSE)</f>
        <v>-0.08 (0.00)</v>
      </c>
    </row>
    <row r="227" spans="2:8" x14ac:dyDescent="0.25">
      <c r="B227" s="16" t="s">
        <v>227</v>
      </c>
      <c r="C227" s="17">
        <f ca="1">VLOOKUP(B227,Kompilirano!T:Z,7,FALSE)/226/5</f>
        <v>383.05221238938054</v>
      </c>
      <c r="D227" s="18">
        <f ca="1">VLOOKUP(B227,Kompilirano!J:P,7,FALSE)/226/5</f>
        <v>8.7610619469026554E-2</v>
      </c>
      <c r="E227" s="19" t="str">
        <f ca="1">VLOOKUP(B227,Kompilirano!AM:AS,7,FALSE)</f>
        <v>0.89 (0.00)</v>
      </c>
      <c r="F227" s="20" t="str">
        <f ca="1">VLOOKUP(B227,Kompilirano!AW:BD,7,FALSE)</f>
        <v>0.91 (0.01)</v>
      </c>
      <c r="G227" s="20" t="str">
        <f ca="1">VLOOKUP(B227,Kompilirano!BG:BM,7,FALSE)</f>
        <v>0.11 (0.00)</v>
      </c>
      <c r="H227" s="20" t="str">
        <f ca="1">VLOOKUP(B227,Kompilirano!BQ:BW,7,FALSE)</f>
        <v>-0.10 (0.00)</v>
      </c>
    </row>
    <row r="228" spans="2:8" x14ac:dyDescent="0.25">
      <c r="B228" s="16" t="s">
        <v>273</v>
      </c>
      <c r="C228" s="17">
        <f ca="1">VLOOKUP(B228,Kompilirano!T:Z,7,FALSE)/226/5</f>
        <v>381.71769911504424</v>
      </c>
      <c r="D228" s="18">
        <f ca="1">VLOOKUP(B228,Kompilirano!J:P,7,FALSE)/226/5</f>
        <v>0.26106194690265483</v>
      </c>
      <c r="E228" s="19" t="str">
        <f ca="1">VLOOKUP(B228,Kompilirano!AM:AS,7,FALSE)</f>
        <v>0.70 (0.00)</v>
      </c>
      <c r="F228" s="20" t="str">
        <f ca="1">VLOOKUP(B228,Kompilirano!AW:BD,7,FALSE)</f>
        <v>0.74 (0.01)</v>
      </c>
      <c r="G228" s="20" t="str">
        <f ca="1">VLOOKUP(B228,Kompilirano!BG:BM,7,FALSE)</f>
        <v>0.08 (0.00)</v>
      </c>
      <c r="H228" s="20" t="str">
        <f ca="1">VLOOKUP(B228,Kompilirano!BQ:BW,7,FALSE)</f>
        <v>-0.09 (0.00)</v>
      </c>
    </row>
    <row r="229" spans="2:8" x14ac:dyDescent="0.25">
      <c r="B229" s="16" t="s">
        <v>253</v>
      </c>
      <c r="C229" s="17">
        <f ca="1">VLOOKUP(B229,Kompilirano!T:Z,7,FALSE)/226/5</f>
        <v>381.16106194690263</v>
      </c>
      <c r="D229" s="18">
        <f ca="1">VLOOKUP(B229,Kompilirano!J:P,7,FALSE)/226/5</f>
        <v>0.34424778761061947</v>
      </c>
      <c r="E229" s="19" t="str">
        <f ca="1">VLOOKUP(B229,Kompilirano!AM:AS,7,FALSE)</f>
        <v>0.59 (0.02)</v>
      </c>
      <c r="F229" s="20" t="str">
        <f ca="1">VLOOKUP(B229,Kompilirano!AW:BD,7,FALSE)</f>
        <v>0.66 (0.02)</v>
      </c>
      <c r="G229" s="20" t="str">
        <f ca="1">VLOOKUP(B229,Kompilirano!BG:BM,7,FALSE)</f>
        <v>0.08 (0.00)</v>
      </c>
      <c r="H229" s="20" t="str">
        <f ca="1">VLOOKUP(B229,Kompilirano!BQ:BW,7,FALSE)</f>
        <v>0.04 (0.01)</v>
      </c>
    </row>
    <row r="230" spans="2:8" x14ac:dyDescent="0.25">
      <c r="B230" s="21" t="s">
        <v>207</v>
      </c>
      <c r="C230" s="17">
        <f ca="1">VLOOKUP(B230,Kompilirano!T:Z,7,FALSE)/226/5</f>
        <v>378.77964601769912</v>
      </c>
      <c r="D230" s="18">
        <f ca="1">VLOOKUP(B230,Kompilirano!J:P,7,FALSE)/226/5</f>
        <v>8.4955752212389379E-2</v>
      </c>
      <c r="E230" s="19" t="str">
        <f ca="1">VLOOKUP(B230,Kompilirano!AM:AS,7,FALSE)</f>
        <v>0.89 (0.00)</v>
      </c>
      <c r="F230" s="20" t="str">
        <f ca="1">VLOOKUP(B230,Kompilirano!AW:BD,7,FALSE)</f>
        <v>0.92 (0.01)</v>
      </c>
      <c r="G230" s="20" t="str">
        <f ca="1">VLOOKUP(B230,Kompilirano!BG:BM,7,FALSE)</f>
        <v>0.11 (0.00)</v>
      </c>
      <c r="H230" s="20" t="str">
        <f ca="1">VLOOKUP(B230,Kompilirano!BQ:BW,7,FALSE)</f>
        <v>-0.09 (0.00)</v>
      </c>
    </row>
  </sheetData>
  <sortState xmlns:xlrd2="http://schemas.microsoft.com/office/spreadsheetml/2017/richdata2" ref="B4:H230">
    <sortCondition descending="1" ref="C4:C230"/>
  </sortState>
  <mergeCells count="2">
    <mergeCell ref="C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2:BY229"/>
  <sheetViews>
    <sheetView topLeftCell="S1" zoomScale="85" zoomScaleNormal="85" workbookViewId="0">
      <selection activeCell="AJ1" sqref="AJ1:AJ1048576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20" max="20" width="28.42578125" bestFit="1" customWidth="1"/>
    <col min="21" max="25" width="12.140625" bestFit="1" customWidth="1"/>
    <col min="26" max="26" width="12.140625" customWidth="1"/>
  </cols>
  <sheetData>
    <row r="2" spans="1:77" x14ac:dyDescent="0.25">
      <c r="A2" s="9" t="s">
        <v>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61</v>
      </c>
      <c r="J2" s="9" t="s">
        <v>0</v>
      </c>
      <c r="K2" s="9" t="s">
        <v>26</v>
      </c>
      <c r="L2" s="9" t="s">
        <v>27</v>
      </c>
      <c r="M2" s="9" t="s">
        <v>28</v>
      </c>
      <c r="N2" s="9" t="s">
        <v>29</v>
      </c>
      <c r="O2" s="9" t="s">
        <v>30</v>
      </c>
      <c r="P2" s="9"/>
      <c r="Q2" s="10" t="s">
        <v>61</v>
      </c>
      <c r="T2" s="9" t="s">
        <v>0</v>
      </c>
      <c r="U2" s="9" t="s">
        <v>31</v>
      </c>
      <c r="V2" s="9" t="s">
        <v>32</v>
      </c>
      <c r="W2" s="9" t="s">
        <v>33</v>
      </c>
      <c r="X2" s="9" t="s">
        <v>34</v>
      </c>
      <c r="Y2" s="9" t="s">
        <v>35</v>
      </c>
      <c r="Z2" s="9"/>
      <c r="AA2" s="9" t="s">
        <v>61</v>
      </c>
      <c r="AC2" s="9" t="s">
        <v>0</v>
      </c>
      <c r="AD2" s="9" t="s">
        <v>36</v>
      </c>
      <c r="AE2" s="9" t="s">
        <v>37</v>
      </c>
      <c r="AF2" s="9" t="s">
        <v>38</v>
      </c>
      <c r="AG2" s="9" t="s">
        <v>39</v>
      </c>
      <c r="AH2" s="9" t="s">
        <v>40</v>
      </c>
      <c r="AI2" s="9" t="s">
        <v>61</v>
      </c>
      <c r="AJ2" s="13"/>
      <c r="AK2" s="13"/>
      <c r="AM2" s="9" t="s">
        <v>0</v>
      </c>
      <c r="AN2" s="9" t="s">
        <v>41</v>
      </c>
      <c r="AO2" s="9" t="s">
        <v>42</v>
      </c>
      <c r="AP2" s="9" t="s">
        <v>43</v>
      </c>
      <c r="AQ2" s="9" t="s">
        <v>44</v>
      </c>
      <c r="AR2" s="9" t="s">
        <v>45</v>
      </c>
      <c r="AS2" s="9"/>
      <c r="AT2" s="9" t="s">
        <v>61</v>
      </c>
      <c r="AU2" s="13" t="s">
        <v>287</v>
      </c>
      <c r="AW2" s="9" t="s">
        <v>0</v>
      </c>
      <c r="AX2" s="9" t="s">
        <v>46</v>
      </c>
      <c r="AY2" s="9" t="s">
        <v>47</v>
      </c>
      <c r="AZ2" s="9" t="s">
        <v>48</v>
      </c>
      <c r="BA2" s="9" t="s">
        <v>49</v>
      </c>
      <c r="BB2" s="9" t="s">
        <v>50</v>
      </c>
      <c r="BC2" s="9"/>
      <c r="BD2" s="9" t="s">
        <v>61</v>
      </c>
      <c r="BG2" s="9" t="s">
        <v>0</v>
      </c>
      <c r="BH2" s="9" t="s">
        <v>51</v>
      </c>
      <c r="BI2" s="9" t="s">
        <v>52</v>
      </c>
      <c r="BJ2" s="9" t="s">
        <v>53</v>
      </c>
      <c r="BK2" s="9" t="s">
        <v>54</v>
      </c>
      <c r="BL2" s="9" t="s">
        <v>55</v>
      </c>
      <c r="BM2" s="9"/>
      <c r="BN2" s="9" t="s">
        <v>61</v>
      </c>
      <c r="BO2" s="13"/>
      <c r="BQ2" s="9" t="s">
        <v>0</v>
      </c>
      <c r="BR2" s="9" t="s">
        <v>56</v>
      </c>
      <c r="BS2" s="9" t="s">
        <v>57</v>
      </c>
      <c r="BT2" s="9" t="s">
        <v>58</v>
      </c>
      <c r="BU2" s="9" t="s">
        <v>59</v>
      </c>
      <c r="BV2" s="9" t="s">
        <v>60</v>
      </c>
      <c r="BW2" s="9"/>
      <c r="BX2" s="9" t="s">
        <v>61</v>
      </c>
      <c r="BY2" s="13" t="s">
        <v>287</v>
      </c>
    </row>
    <row r="3" spans="1:77" x14ac:dyDescent="0.25">
      <c r="A3" t="s">
        <v>65</v>
      </c>
      <c r="B3" s="11">
        <f ca="1">+VLOOKUP($A3,INDIRECT(Adrese!B$2),2,FALSE)</f>
        <v>32</v>
      </c>
      <c r="C3" s="11">
        <f ca="1">+VLOOKUP($A3,INDIRECT(Adrese!C$2),2,FALSE)</f>
        <v>23</v>
      </c>
      <c r="D3" s="11">
        <f ca="1">+VLOOKUP($A3,INDIRECT(Adrese!D$2),2,FALSE)</f>
        <v>18</v>
      </c>
      <c r="E3" s="11">
        <f ca="1">+VLOOKUP($A3,INDIRECT(Adrese!E$2),2,FALSE)</f>
        <v>16</v>
      </c>
      <c r="F3" s="11">
        <f ca="1">+VLOOKUP($A3,INDIRECT(Adrese!F$2),2,FALSE)</f>
        <v>31</v>
      </c>
      <c r="G3" s="4">
        <f ca="1">AVERAGE(B3:F3)</f>
        <v>24</v>
      </c>
      <c r="J3" t="s">
        <v>65</v>
      </c>
      <c r="K3">
        <f ca="1">+VLOOKUP($A3,INDIRECT(Adrese!B$2),3,FALSE)</f>
        <v>94</v>
      </c>
      <c r="L3">
        <f ca="1">+VLOOKUP($A3,INDIRECT(Adrese!C$2),3,FALSE)</f>
        <v>97</v>
      </c>
      <c r="M3">
        <f ca="1">+VLOOKUP($A3,INDIRECT(Adrese!D$2),3,FALSE)</f>
        <v>94</v>
      </c>
      <c r="N3">
        <f ca="1">+VLOOKUP($A3,INDIRECT(Adrese!E$2),3,FALSE)</f>
        <v>103</v>
      </c>
      <c r="O3">
        <f ca="1">+VLOOKUP($A3,INDIRECT(Adrese!F$2),3,FALSE)</f>
        <v>101</v>
      </c>
      <c r="P3">
        <f ca="1">SUM(K3:O3)</f>
        <v>489</v>
      </c>
      <c r="Q3" s="4">
        <f ca="1">AVERAGE(K3:O3)</f>
        <v>97.8</v>
      </c>
      <c r="R3" s="4"/>
      <c r="T3" t="s">
        <v>65</v>
      </c>
      <c r="U3">
        <f ca="1">+VLOOKUP($T3,INDIRECT(Adrese!B$2),4,FALSE)</f>
        <v>98491</v>
      </c>
      <c r="V3">
        <f ca="1">+VLOOKUP($T3,INDIRECT(Adrese!C$2),4,FALSE)</f>
        <v>99693</v>
      </c>
      <c r="W3">
        <f ca="1">+VLOOKUP($T3,INDIRECT(Adrese!D$2),4,FALSE)</f>
        <v>100303</v>
      </c>
      <c r="X3">
        <f ca="1">+VLOOKUP($T3,INDIRECT(Adrese!E$2),4,FALSE)</f>
        <v>100568</v>
      </c>
      <c r="Y3">
        <f ca="1">+VLOOKUP($T3,INDIRECT(Adrese!F$2),4,FALSE)</f>
        <v>98948</v>
      </c>
      <c r="Z3">
        <f ca="1">SUM(U3:Y3)</f>
        <v>498003</v>
      </c>
      <c r="AA3" s="4">
        <f ca="1">AVERAGE(U3:Y3)</f>
        <v>99600.6</v>
      </c>
      <c r="AC3" t="s">
        <v>65</v>
      </c>
      <c r="AD3">
        <f ca="1">+VLOOKUP($A3,INDIRECT(Adrese!B$2),5,FALSE)</f>
        <v>18653</v>
      </c>
      <c r="AE3">
        <f ca="1">+VLOOKUP($A3,INDIRECT(Adrese!C$2),5,FALSE)</f>
        <v>18834</v>
      </c>
      <c r="AF3">
        <f ca="1">+VLOOKUP($A3,INDIRECT(Adrese!D$2),5,FALSE)</f>
        <v>18467</v>
      </c>
      <c r="AG3">
        <f ca="1">+VLOOKUP($A3,INDIRECT(Adrese!E$2),5,FALSE)</f>
        <v>19073</v>
      </c>
      <c r="AH3">
        <f ca="1">+VLOOKUP($A3,INDIRECT(Adrese!F$2),5,FALSE)</f>
        <v>19076</v>
      </c>
      <c r="AI3" s="4">
        <f ca="1">AVERAGE(AD3:AH3)</f>
        <v>18820.599999999999</v>
      </c>
      <c r="AJ3" s="4"/>
      <c r="AK3" s="4"/>
      <c r="AM3" t="s">
        <v>65</v>
      </c>
      <c r="AN3" s="4">
        <f ca="1">+VLOOKUP($A3,INDIRECT(Adrese!B$2),6,FALSE)</f>
        <v>0.41037610619469028</v>
      </c>
      <c r="AO3" s="4">
        <f ca="1">+VLOOKUP($A3,INDIRECT(Adrese!C$2),6,FALSE)</f>
        <v>0.41442477876106187</v>
      </c>
      <c r="AP3" s="4">
        <f ca="1">+VLOOKUP($A3,INDIRECT(Adrese!D$2),6,FALSE)</f>
        <v>0.40688053097345128</v>
      </c>
      <c r="AQ3" s="4">
        <f ca="1">+VLOOKUP($A3,INDIRECT(Adrese!E$2),6,FALSE)</f>
        <v>0.41973451327433631</v>
      </c>
      <c r="AR3" s="4">
        <f ca="1">+VLOOKUP($A3,INDIRECT(Adrese!F$2),6,FALSE)</f>
        <v>0.4197566371681416</v>
      </c>
      <c r="AS3" s="4" t="str">
        <f ca="1">TEXT(AT3,"0.00")&amp;" ("&amp;TEXT(AU3,"0.00")&amp;")"</f>
        <v>0.41 (0.01)</v>
      </c>
      <c r="AT3" s="4">
        <f ca="1">AVERAGE(AN3:AR3)</f>
        <v>0.41423451327433636</v>
      </c>
      <c r="AU3" s="4">
        <f ca="1">_xlfn.STDEV.S(AN3:AR3)</f>
        <v>5.695358068812861E-3</v>
      </c>
      <c r="AW3" t="s">
        <v>65</v>
      </c>
      <c r="AX3" s="4">
        <f ca="1">+VLOOKUP($A3,INDIRECT(Adrese!B$2),7,FALSE)</f>
        <v>0.58407079646017701</v>
      </c>
      <c r="AY3" s="4">
        <f ca="1">+VLOOKUP($A3,INDIRECT(Adrese!C$2),7,FALSE)</f>
        <v>0.57079646017699115</v>
      </c>
      <c r="AZ3" s="4">
        <f ca="1">+VLOOKUP($A3,INDIRECT(Adrese!D$2),7,FALSE)</f>
        <v>0.58407079646017701</v>
      </c>
      <c r="BA3" s="4">
        <f ca="1">+VLOOKUP($A3,INDIRECT(Adrese!E$2),7,FALSE)</f>
        <v>0.54424778761061943</v>
      </c>
      <c r="BB3" s="4">
        <f ca="1">+VLOOKUP($A3,INDIRECT(Adrese!F$2),7,FALSE)</f>
        <v>0.55309734513274333</v>
      </c>
      <c r="BC3" s="4" t="str">
        <f ca="1">TEXT(BD3,"0.00")&amp;" ("&amp;TEXT(BE3,"0.00")&amp;")"</f>
        <v>0.57 (0.02)</v>
      </c>
      <c r="BD3">
        <f ca="1">AVERAGE(AX3:BB3)</f>
        <v>0.56725663716814156</v>
      </c>
      <c r="BE3" s="4">
        <f ca="1">_xlfn.STDEV.S(AX3:BB3)</f>
        <v>1.8082138709471313E-2</v>
      </c>
      <c r="BG3" t="s">
        <v>65</v>
      </c>
      <c r="BH3" s="4">
        <f ca="1">+VLOOKUP($BG3,INDIRECT(Adrese!B$2),8,FALSE)</f>
        <v>5.4178714956916237E-2</v>
      </c>
      <c r="BI3" s="4">
        <f ca="1">+VLOOKUP($BG3,INDIRECT(Adrese!C$2),8,FALSE)</f>
        <v>5.4534916653227267E-2</v>
      </c>
      <c r="BJ3" s="4">
        <f ca="1">+VLOOKUP($BG3,INDIRECT(Adrese!D$2),8,FALSE)</f>
        <v>5.3309972188127837E-2</v>
      </c>
      <c r="BK3" s="4">
        <f ca="1">+VLOOKUP($BG3,INDIRECT(Adrese!E$2),8,FALSE)</f>
        <v>5.524405922622188E-2</v>
      </c>
      <c r="BL3" s="4">
        <f ca="1">+VLOOKUP($BG3,INDIRECT(Adrese!F$2),8,FALSE)</f>
        <v>5.4947224158332378E-2</v>
      </c>
      <c r="BM3" s="4" t="str">
        <f ca="1">TEXT(BN3,"0.00")&amp;" ("&amp;TEXT(BO3,"0.00")&amp;")"</f>
        <v>0.05 (0.00)</v>
      </c>
      <c r="BN3" s="4">
        <f ca="1">AVERAGE(BH3:BL3)</f>
        <v>5.4442977436565121E-2</v>
      </c>
      <c r="BO3" s="4">
        <f ca="1">_xlfn.STDEV.S(BH3:BL3)</f>
        <v>7.5132968143647812E-4</v>
      </c>
      <c r="BQ3" t="s">
        <v>65</v>
      </c>
      <c r="BR3" s="4">
        <f ca="1">+VLOOKUP($BG3,INDIRECT(Adrese!B$2),9,FALSE)</f>
        <v>1.6093677634085181E-2</v>
      </c>
      <c r="BS3" s="4">
        <f ca="1">+VLOOKUP($BG3,INDIRECT(Adrese!C$2),9,FALSE)</f>
        <v>1.327446697364097E-2</v>
      </c>
      <c r="BT3" s="4">
        <f ca="1">+VLOOKUP($BG3,INDIRECT(Adrese!D$2),9,FALSE)</f>
        <v>1.374751311195465E-2</v>
      </c>
      <c r="BU3" s="4">
        <f ca="1">+VLOOKUP($BG3,INDIRECT(Adrese!E$2),9,FALSE)</f>
        <v>1.188759738532189E-2</v>
      </c>
      <c r="BV3" s="4">
        <f ca="1">+VLOOKUP($BG3,INDIRECT(Adrese!F$2),9,FALSE)</f>
        <v>1.197720256213901E-2</v>
      </c>
      <c r="BW3" s="4" t="str">
        <f ca="1">TEXT(BX3,"0.00")&amp;" ("&amp;TEXT(BY3,"0.00")&amp;")"</f>
        <v>0.01 (0.00)</v>
      </c>
      <c r="BX3" s="4">
        <f ca="1">AVERAGE(BR3:BV3)</f>
        <v>1.3396091533428342E-2</v>
      </c>
      <c r="BY3" s="4">
        <f ca="1">_xlfn.STDEV.S(BR3:BV3)</f>
        <v>1.7105599183872711E-3</v>
      </c>
    </row>
    <row r="4" spans="1:77" x14ac:dyDescent="0.25">
      <c r="A4" t="s">
        <v>4</v>
      </c>
      <c r="B4" s="11">
        <f ca="1">+VLOOKUP($A4,INDIRECT(Adrese!B$2),2,FALSE)</f>
        <v>1</v>
      </c>
      <c r="C4" s="11">
        <f ca="1">+VLOOKUP($A4,INDIRECT(Adrese!C$2),2,FALSE)</f>
        <v>3</v>
      </c>
      <c r="D4" s="11">
        <f ca="1">+VLOOKUP($A4,INDIRECT(Adrese!D$2),2,FALSE)</f>
        <v>5</v>
      </c>
      <c r="E4" s="11">
        <f ca="1">+VLOOKUP($A4,INDIRECT(Adrese!E$2),2,FALSE)</f>
        <v>2</v>
      </c>
      <c r="F4" s="11">
        <f ca="1">+VLOOKUP($A4,INDIRECT(Adrese!F$2),2,FALSE)</f>
        <v>2</v>
      </c>
      <c r="G4" s="4">
        <f t="shared" ref="G4:G19" ca="1" si="0">AVERAGE(B4:F4)</f>
        <v>2.6</v>
      </c>
      <c r="J4" t="s">
        <v>4</v>
      </c>
      <c r="K4">
        <f ca="1">+VLOOKUP($A4,INDIRECT(Adrese!B$2),3,FALSE)</f>
        <v>87</v>
      </c>
      <c r="L4">
        <f ca="1">+VLOOKUP($A4,INDIRECT(Adrese!C$2),3,FALSE)</f>
        <v>94</v>
      </c>
      <c r="M4">
        <f ca="1">+VLOOKUP($A4,INDIRECT(Adrese!D$2),3,FALSE)</f>
        <v>80</v>
      </c>
      <c r="N4">
        <f ca="1">+VLOOKUP($A4,INDIRECT(Adrese!E$2),3,FALSE)</f>
        <v>94</v>
      </c>
      <c r="O4">
        <f ca="1">+VLOOKUP($A4,INDIRECT(Adrese!F$2),3,FALSE)</f>
        <v>91</v>
      </c>
      <c r="P4">
        <f t="shared" ref="P4:P67" ca="1" si="1">SUM(K4:O4)</f>
        <v>446</v>
      </c>
      <c r="Q4" s="4">
        <f t="shared" ref="Q4:Q19" ca="1" si="2">AVERAGE(K4:O4)</f>
        <v>89.2</v>
      </c>
      <c r="R4" s="4"/>
      <c r="T4" t="s">
        <v>4</v>
      </c>
      <c r="U4">
        <f ca="1">+VLOOKUP($T4,INDIRECT(Adrese!B$2),4,FALSE)</f>
        <v>105874</v>
      </c>
      <c r="V4">
        <f ca="1">+VLOOKUP($T4,INDIRECT(Adrese!C$2),4,FALSE)</f>
        <v>104388</v>
      </c>
      <c r="W4">
        <f ca="1">+VLOOKUP($T4,INDIRECT(Adrese!D$2),4,FALSE)</f>
        <v>104317</v>
      </c>
      <c r="X4">
        <f ca="1">+VLOOKUP($T4,INDIRECT(Adrese!E$2),4,FALSE)</f>
        <v>106256</v>
      </c>
      <c r="Y4">
        <f ca="1">+VLOOKUP($T4,INDIRECT(Adrese!F$2),4,FALSE)</f>
        <v>105622</v>
      </c>
      <c r="Z4">
        <f t="shared" ref="Z4:Z67" ca="1" si="3">SUM(U4:Y4)</f>
        <v>526457</v>
      </c>
      <c r="AA4" s="4">
        <f t="shared" ref="AA4:AA19" ca="1" si="4">AVERAGE(U4:Y4)</f>
        <v>105291.4</v>
      </c>
      <c r="AC4" t="s">
        <v>4</v>
      </c>
      <c r="AD4">
        <f ca="1">+VLOOKUP($A4,INDIRECT(Adrese!B$2),5,FALSE)</f>
        <v>21631</v>
      </c>
      <c r="AE4">
        <f ca="1">+VLOOKUP($A4,INDIRECT(Adrese!C$2),5,FALSE)</f>
        <v>21162</v>
      </c>
      <c r="AF4">
        <f ca="1">+VLOOKUP($A4,INDIRECT(Adrese!D$2),5,FALSE)</f>
        <v>21987</v>
      </c>
      <c r="AG4">
        <f ca="1">+VLOOKUP($A4,INDIRECT(Adrese!E$2),5,FALSE)</f>
        <v>20920</v>
      </c>
      <c r="AH4">
        <f ca="1">+VLOOKUP($A4,INDIRECT(Adrese!F$2),5,FALSE)</f>
        <v>22063</v>
      </c>
      <c r="AI4" s="4">
        <f t="shared" ref="AI4:AI19" ca="1" si="5">AVERAGE(AD4:AH4)</f>
        <v>21552.6</v>
      </c>
      <c r="AJ4" s="4"/>
      <c r="AK4" s="4"/>
      <c r="AM4" t="s">
        <v>4</v>
      </c>
      <c r="AN4" s="4">
        <f ca="1">+VLOOKUP($A4,INDIRECT(Adrese!B$2),6,FALSE)</f>
        <v>0.47657079646017703</v>
      </c>
      <c r="AO4" s="4">
        <f ca="1">+VLOOKUP($A4,INDIRECT(Adrese!C$2),6,FALSE)</f>
        <v>0.46553097345132738</v>
      </c>
      <c r="AP4" s="4">
        <f ca="1">+VLOOKUP($A4,INDIRECT(Adrese!D$2),6,FALSE)</f>
        <v>0.4834070796460177</v>
      </c>
      <c r="AQ4" s="4">
        <f ca="1">+VLOOKUP($A4,INDIRECT(Adrese!E$2),6,FALSE)</f>
        <v>0.45946902654867261</v>
      </c>
      <c r="AR4" s="4">
        <f ca="1">+VLOOKUP($A4,INDIRECT(Adrese!F$2),6,FALSE)</f>
        <v>0.48464601769911497</v>
      </c>
      <c r="AS4" s="4" t="str">
        <f t="shared" ref="AS4:AS67" ca="1" si="6">TEXT(AT4,"0.00")&amp;" ("&amp;TEXT(AU4,"0.00")&amp;")"</f>
        <v>0.47 (0.01)</v>
      </c>
      <c r="AT4" s="4">
        <f t="shared" ref="AT4:AT19" ca="1" si="7">AVERAGE(AN4:AR4)</f>
        <v>0.47392477876106193</v>
      </c>
      <c r="AU4" s="4">
        <f t="shared" ref="AU4:AU67" ca="1" si="8">_xlfn.STDEV.S(AN4:AR4)</f>
        <v>1.1082476524985455E-2</v>
      </c>
      <c r="AW4" t="s">
        <v>4</v>
      </c>
      <c r="AX4" s="4">
        <f ca="1">+VLOOKUP($A4,INDIRECT(Adrese!B$2),7,FALSE)</f>
        <v>0.61504424778761058</v>
      </c>
      <c r="AY4" s="4">
        <f ca="1">+VLOOKUP($A4,INDIRECT(Adrese!C$2),7,FALSE)</f>
        <v>0.58407079646017701</v>
      </c>
      <c r="AZ4" s="4">
        <f ca="1">+VLOOKUP($A4,INDIRECT(Adrese!D$2),7,FALSE)</f>
        <v>0.64601769911504425</v>
      </c>
      <c r="BA4" s="4">
        <f ca="1">+VLOOKUP($A4,INDIRECT(Adrese!E$2),7,FALSE)</f>
        <v>0.58407079646017701</v>
      </c>
      <c r="BB4" s="4">
        <f ca="1">+VLOOKUP($A4,INDIRECT(Adrese!F$2),7,FALSE)</f>
        <v>0.59734513274336287</v>
      </c>
      <c r="BC4" s="4" t="str">
        <f t="shared" ref="BC4:BC67" ca="1" si="9">TEXT(BD4,"0.00")&amp;" ("&amp;TEXT(BE4,"0.00")&amp;")"</f>
        <v>0.61 (0.03)</v>
      </c>
      <c r="BD4">
        <f t="shared" ref="BD4:BD19" ca="1" si="10">AVERAGE(AX4:BB4)</f>
        <v>0.6053097345132743</v>
      </c>
      <c r="BE4" s="4">
        <f t="shared" ref="BE4:BE67" ca="1" si="11">_xlfn.STDEV.S(AX4:BB4)</f>
        <v>2.6064914115085189E-2</v>
      </c>
      <c r="BG4" t="s">
        <v>4</v>
      </c>
      <c r="BH4" s="4">
        <f ca="1">+VLOOKUP($BG4,INDIRECT(Adrese!B$2),8,FALSE)</f>
        <v>6.0113025631327879E-2</v>
      </c>
      <c r="BI4" s="4">
        <f ca="1">+VLOOKUP($BG4,INDIRECT(Adrese!C$2),8,FALSE)</f>
        <v>5.959092769366061E-2</v>
      </c>
      <c r="BJ4" s="4">
        <f ca="1">+VLOOKUP($BG4,INDIRECT(Adrese!D$2),8,FALSE)</f>
        <v>6.1123638599596533E-2</v>
      </c>
      <c r="BK4" s="4">
        <f ca="1">+VLOOKUP($BG4,INDIRECT(Adrese!E$2),8,FALSE)</f>
        <v>5.8418570321305402E-2</v>
      </c>
      <c r="BL4" s="4">
        <f ca="1">+VLOOKUP($BG4,INDIRECT(Adrese!F$2),8,FALSE)</f>
        <v>5.9850545251353672E-2</v>
      </c>
      <c r="BM4" s="4" t="str">
        <f t="shared" ref="BM4:BM67" ca="1" si="12">TEXT(BN4,"0.00")&amp;" ("&amp;TEXT(BO4,"0.00")&amp;")"</f>
        <v>0.06 (0.00)</v>
      </c>
      <c r="BN4" s="4">
        <f t="shared" ref="BN4:BN19" ca="1" si="13">AVERAGE(BH4:BL4)</f>
        <v>5.9819341499448821E-2</v>
      </c>
      <c r="BO4" s="4">
        <f t="shared" ref="BO4:BO67" ca="1" si="14">_xlfn.STDEV.S(BH4:BL4)</f>
        <v>9.7503175962326783E-4</v>
      </c>
      <c r="BQ4" t="s">
        <v>4</v>
      </c>
      <c r="BR4" s="4">
        <f ca="1">+VLOOKUP($BG4,INDIRECT(Adrese!B$2),9,FALSE)</f>
        <v>-4.2943408963758853E-2</v>
      </c>
      <c r="BS4" s="4">
        <f ca="1">+VLOOKUP($BG4,INDIRECT(Adrese!C$2),9,FALSE)</f>
        <v>-3.6062512988637482E-2</v>
      </c>
      <c r="BT4" s="4">
        <f ca="1">+VLOOKUP($BG4,INDIRECT(Adrese!D$2),9,FALSE)</f>
        <v>-4.5176396605927323E-2</v>
      </c>
      <c r="BU4" s="4">
        <f ca="1">+VLOOKUP($BG4,INDIRECT(Adrese!E$2),9,FALSE)</f>
        <v>-4.4976746270254948E-2</v>
      </c>
      <c r="BV4" s="4">
        <f ca="1">+VLOOKUP($BG4,INDIRECT(Adrese!F$2),9,FALSE)</f>
        <v>-5.1672977748924667E-2</v>
      </c>
      <c r="BW4" s="4" t="str">
        <f t="shared" ref="BW4:BW67" ca="1" si="15">TEXT(BX4,"0.00")&amp;" ("&amp;TEXT(BY4,"0.00")&amp;")"</f>
        <v>-0.04 (0.01)</v>
      </c>
      <c r="BX4" s="4">
        <f t="shared" ref="BX4:BX19" ca="1" si="16">AVERAGE(BR4:BV4)</f>
        <v>-4.4166408515500653E-2</v>
      </c>
      <c r="BY4" s="4">
        <f t="shared" ref="BY4:BY67" ca="1" si="17">_xlfn.STDEV.S(BR4:BV4)</f>
        <v>5.5945097079557714E-3</v>
      </c>
    </row>
    <row r="5" spans="1:77" x14ac:dyDescent="0.25">
      <c r="A5" t="s">
        <v>66</v>
      </c>
      <c r="B5" s="11">
        <f ca="1">+VLOOKUP($A5,INDIRECT(Adrese!B$2),2,FALSE)</f>
        <v>160</v>
      </c>
      <c r="C5" s="11">
        <f ca="1">+VLOOKUP($A5,INDIRECT(Adrese!C$2),2,FALSE)</f>
        <v>129</v>
      </c>
      <c r="D5" s="11">
        <f ca="1">+VLOOKUP($A5,INDIRECT(Adrese!D$2),2,FALSE)</f>
        <v>165</v>
      </c>
      <c r="E5" s="11">
        <f ca="1">+VLOOKUP($A5,INDIRECT(Adrese!E$2),2,FALSE)</f>
        <v>128</v>
      </c>
      <c r="F5" s="11">
        <f ca="1">+VLOOKUP($A5,INDIRECT(Adrese!F$2),2,FALSE)</f>
        <v>156</v>
      </c>
      <c r="G5" s="4">
        <f t="shared" ca="1" si="0"/>
        <v>147.6</v>
      </c>
      <c r="J5" t="s">
        <v>66</v>
      </c>
      <c r="K5">
        <f ca="1">+VLOOKUP($A5,INDIRECT(Adrese!B$2),3,FALSE)</f>
        <v>91</v>
      </c>
      <c r="L5">
        <f ca="1">+VLOOKUP($A5,INDIRECT(Adrese!C$2),3,FALSE)</f>
        <v>90</v>
      </c>
      <c r="M5">
        <f ca="1">+VLOOKUP($A5,INDIRECT(Adrese!D$2),3,FALSE)</f>
        <v>89</v>
      </c>
      <c r="N5">
        <f ca="1">+VLOOKUP($A5,INDIRECT(Adrese!E$2),3,FALSE)</f>
        <v>93</v>
      </c>
      <c r="O5">
        <f ca="1">+VLOOKUP($A5,INDIRECT(Adrese!F$2),3,FALSE)</f>
        <v>92</v>
      </c>
      <c r="P5">
        <f t="shared" ca="1" si="1"/>
        <v>455</v>
      </c>
      <c r="Q5" s="4">
        <f t="shared" ca="1" si="2"/>
        <v>91</v>
      </c>
      <c r="R5" s="4"/>
      <c r="T5" t="s">
        <v>66</v>
      </c>
      <c r="U5">
        <f ca="1">+VLOOKUP($T5,INDIRECT(Adrese!B$2),4,FALSE)</f>
        <v>92860</v>
      </c>
      <c r="V5">
        <f ca="1">+VLOOKUP($T5,INDIRECT(Adrese!C$2),4,FALSE)</f>
        <v>94391</v>
      </c>
      <c r="W5">
        <f ca="1">+VLOOKUP($T5,INDIRECT(Adrese!D$2),4,FALSE)</f>
        <v>92020</v>
      </c>
      <c r="X5">
        <f ca="1">+VLOOKUP($T5,INDIRECT(Adrese!E$2),4,FALSE)</f>
        <v>94433</v>
      </c>
      <c r="Y5">
        <f ca="1">+VLOOKUP($T5,INDIRECT(Adrese!F$2),4,FALSE)</f>
        <v>93278</v>
      </c>
      <c r="Z5">
        <f t="shared" ca="1" si="3"/>
        <v>466982</v>
      </c>
      <c r="AA5" s="4">
        <f t="shared" ca="1" si="4"/>
        <v>93396.4</v>
      </c>
      <c r="AC5" t="s">
        <v>66</v>
      </c>
      <c r="AD5">
        <f ca="1">+VLOOKUP($A5,INDIRECT(Adrese!B$2),5,FALSE)</f>
        <v>22096</v>
      </c>
      <c r="AE5">
        <f ca="1">+VLOOKUP($A5,INDIRECT(Adrese!C$2),5,FALSE)</f>
        <v>22871</v>
      </c>
      <c r="AF5">
        <f ca="1">+VLOOKUP($A5,INDIRECT(Adrese!D$2),5,FALSE)</f>
        <v>21970</v>
      </c>
      <c r="AG5">
        <f ca="1">+VLOOKUP($A5,INDIRECT(Adrese!E$2),5,FALSE)</f>
        <v>22027</v>
      </c>
      <c r="AH5">
        <f ca="1">+VLOOKUP($A5,INDIRECT(Adrese!F$2),5,FALSE)</f>
        <v>21926</v>
      </c>
      <c r="AI5" s="4">
        <f t="shared" ca="1" si="5"/>
        <v>22178</v>
      </c>
      <c r="AJ5" s="4"/>
      <c r="AK5" s="4"/>
      <c r="AM5" t="s">
        <v>66</v>
      </c>
      <c r="AN5" s="4">
        <f ca="1">+VLOOKUP($A5,INDIRECT(Adrese!B$2),6,FALSE)</f>
        <v>0.48703539823008851</v>
      </c>
      <c r="AO5" s="4">
        <f ca="1">+VLOOKUP($A5,INDIRECT(Adrese!C$2),6,FALSE)</f>
        <v>0.50356194690265488</v>
      </c>
      <c r="AP5" s="4">
        <f ca="1">+VLOOKUP($A5,INDIRECT(Adrese!D$2),6,FALSE)</f>
        <v>0.48378318584070801</v>
      </c>
      <c r="AQ5" s="4">
        <f ca="1">+VLOOKUP($A5,INDIRECT(Adrese!E$2),6,FALSE)</f>
        <v>0.48504424778761063</v>
      </c>
      <c r="AR5" s="4">
        <f ca="1">+VLOOKUP($A5,INDIRECT(Adrese!F$2),6,FALSE)</f>
        <v>0.48269911504424778</v>
      </c>
      <c r="AS5" s="4" t="str">
        <f t="shared" ca="1" si="6"/>
        <v>0.49 (0.01)</v>
      </c>
      <c r="AT5" s="4">
        <f t="shared" ca="1" si="7"/>
        <v>0.48842477876106194</v>
      </c>
      <c r="AU5" s="4">
        <f t="shared" ca="1" si="8"/>
        <v>8.6142300454754763E-3</v>
      </c>
      <c r="AW5" t="s">
        <v>66</v>
      </c>
      <c r="AX5" s="4">
        <f ca="1">+VLOOKUP($A5,INDIRECT(Adrese!B$2),7,FALSE)</f>
        <v>0.59734513274336287</v>
      </c>
      <c r="AY5" s="4">
        <f ca="1">+VLOOKUP($A5,INDIRECT(Adrese!C$2),7,FALSE)</f>
        <v>0.60176991150442483</v>
      </c>
      <c r="AZ5" s="4">
        <f ca="1">+VLOOKUP($A5,INDIRECT(Adrese!D$2),7,FALSE)</f>
        <v>0.60619469026548678</v>
      </c>
      <c r="BA5" s="4">
        <f ca="1">+VLOOKUP($A5,INDIRECT(Adrese!E$2),7,FALSE)</f>
        <v>0.58849557522123896</v>
      </c>
      <c r="BB5" s="4">
        <f ca="1">+VLOOKUP($A5,INDIRECT(Adrese!F$2),7,FALSE)</f>
        <v>0.59292035398230092</v>
      </c>
      <c r="BC5" s="4" t="str">
        <f t="shared" ca="1" si="9"/>
        <v>0.60 (0.01)</v>
      </c>
      <c r="BD5">
        <f t="shared" ca="1" si="10"/>
        <v>0.59734513274336298</v>
      </c>
      <c r="BE5" s="4">
        <f t="shared" ca="1" si="11"/>
        <v>6.9961895136468671E-3</v>
      </c>
      <c r="BG5" t="s">
        <v>66</v>
      </c>
      <c r="BH5" s="4">
        <f ca="1">+VLOOKUP($BG5,INDIRECT(Adrese!B$2),8,FALSE)</f>
        <v>6.0512869828669401E-2</v>
      </c>
      <c r="BI5" s="4">
        <f ca="1">+VLOOKUP($BG5,INDIRECT(Adrese!C$2),8,FALSE)</f>
        <v>6.266110117500058E-2</v>
      </c>
      <c r="BJ5" s="4">
        <f ca="1">+VLOOKUP($BG5,INDIRECT(Adrese!D$2),8,FALSE)</f>
        <v>6.0619736407082431E-2</v>
      </c>
      <c r="BK5" s="4">
        <f ca="1">+VLOOKUP($BG5,INDIRECT(Adrese!E$2),8,FALSE)</f>
        <v>6.0188604280249483E-2</v>
      </c>
      <c r="BL5" s="4">
        <f ca="1">+VLOOKUP($BG5,INDIRECT(Adrese!F$2),8,FALSE)</f>
        <v>5.9851345479496762E-2</v>
      </c>
      <c r="BM5" s="4" t="str">
        <f t="shared" ca="1" si="12"/>
        <v>0.06 (0.00)</v>
      </c>
      <c r="BN5" s="4">
        <f t="shared" ca="1" si="13"/>
        <v>6.0766731434099733E-2</v>
      </c>
      <c r="BO5" s="4">
        <f t="shared" ca="1" si="14"/>
        <v>1.100778408652669E-3</v>
      </c>
      <c r="BQ5" t="s">
        <v>66</v>
      </c>
      <c r="BR5" s="4">
        <f ca="1">+VLOOKUP($BG5,INDIRECT(Adrese!B$2),9,FALSE)</f>
        <v>-2.0244986595005711E-2</v>
      </c>
      <c r="BS5" s="4">
        <f ca="1">+VLOOKUP($BG5,INDIRECT(Adrese!C$2),9,FALSE)</f>
        <v>-2.8521358413518761E-2</v>
      </c>
      <c r="BT5" s="4">
        <f ca="1">+VLOOKUP($BG5,INDIRECT(Adrese!D$2),9,FALSE)</f>
        <v>-2.0853766272670798E-2</v>
      </c>
      <c r="BU5" s="4">
        <f ca="1">+VLOOKUP($BG5,INDIRECT(Adrese!E$2),9,FALSE)</f>
        <v>-2.3219527959631722E-2</v>
      </c>
      <c r="BV5" s="4">
        <f ca="1">+VLOOKUP($BG5,INDIRECT(Adrese!F$2),9,FALSE)</f>
        <v>-1.762010656171166E-2</v>
      </c>
      <c r="BW5" s="4" t="str">
        <f t="shared" ca="1" si="15"/>
        <v>-0.02 (0.00)</v>
      </c>
      <c r="BX5" s="4">
        <f t="shared" ca="1" si="16"/>
        <v>-2.2091949160507732E-2</v>
      </c>
      <c r="BY5" s="4">
        <f t="shared" ca="1" si="17"/>
        <v>4.1094549851970318E-3</v>
      </c>
    </row>
    <row r="6" spans="1:77" x14ac:dyDescent="0.25">
      <c r="A6" t="s">
        <v>67</v>
      </c>
      <c r="B6" s="11">
        <f ca="1">+VLOOKUP($A6,INDIRECT(Adrese!B$2),2,FALSE)</f>
        <v>45</v>
      </c>
      <c r="C6" s="11">
        <f ca="1">+VLOOKUP($A6,INDIRECT(Adrese!C$2),2,FALSE)</f>
        <v>45</v>
      </c>
      <c r="D6" s="11">
        <f ca="1">+VLOOKUP($A6,INDIRECT(Adrese!D$2),2,FALSE)</f>
        <v>86</v>
      </c>
      <c r="E6" s="11">
        <f ca="1">+VLOOKUP($A6,INDIRECT(Adrese!E$2),2,FALSE)</f>
        <v>92</v>
      </c>
      <c r="F6" s="11">
        <f ca="1">+VLOOKUP($A6,INDIRECT(Adrese!F$2),2,FALSE)</f>
        <v>90</v>
      </c>
      <c r="G6" s="4">
        <f t="shared" ca="1" si="0"/>
        <v>71.599999999999994</v>
      </c>
      <c r="J6" t="s">
        <v>67</v>
      </c>
      <c r="K6">
        <f ca="1">+VLOOKUP($A6,INDIRECT(Adrese!B$2),3,FALSE)</f>
        <v>105</v>
      </c>
      <c r="L6">
        <f ca="1">+VLOOKUP($A6,INDIRECT(Adrese!C$2),3,FALSE)</f>
        <v>107</v>
      </c>
      <c r="M6">
        <f ca="1">+VLOOKUP($A6,INDIRECT(Adrese!D$2),3,FALSE)</f>
        <v>105</v>
      </c>
      <c r="N6">
        <f ca="1">+VLOOKUP($A6,INDIRECT(Adrese!E$2),3,FALSE)</f>
        <v>101</v>
      </c>
      <c r="O6">
        <f ca="1">+VLOOKUP($A6,INDIRECT(Adrese!F$2),3,FALSE)</f>
        <v>100</v>
      </c>
      <c r="P6">
        <f t="shared" ca="1" si="1"/>
        <v>518</v>
      </c>
      <c r="Q6" s="4">
        <f t="shared" ca="1" si="2"/>
        <v>103.6</v>
      </c>
      <c r="R6" s="4"/>
      <c r="T6" t="s">
        <v>67</v>
      </c>
      <c r="U6">
        <f ca="1">+VLOOKUP($T6,INDIRECT(Adrese!B$2),4,FALSE)</f>
        <v>97844</v>
      </c>
      <c r="V6">
        <f ca="1">+VLOOKUP($T6,INDIRECT(Adrese!C$2),4,FALSE)</f>
        <v>97718</v>
      </c>
      <c r="W6">
        <f ca="1">+VLOOKUP($T6,INDIRECT(Adrese!D$2),4,FALSE)</f>
        <v>96228</v>
      </c>
      <c r="X6">
        <f ca="1">+VLOOKUP($T6,INDIRECT(Adrese!E$2),4,FALSE)</f>
        <v>95994</v>
      </c>
      <c r="Y6">
        <f ca="1">+VLOOKUP($T6,INDIRECT(Adrese!F$2),4,FALSE)</f>
        <v>95938</v>
      </c>
      <c r="Z6">
        <f t="shared" ca="1" si="3"/>
        <v>483722</v>
      </c>
      <c r="AA6" s="4">
        <f t="shared" ca="1" si="4"/>
        <v>96744.4</v>
      </c>
      <c r="AC6" t="s">
        <v>67</v>
      </c>
      <c r="AD6">
        <f ca="1">+VLOOKUP($A6,INDIRECT(Adrese!B$2),5,FALSE)</f>
        <v>15873</v>
      </c>
      <c r="AE6">
        <f ca="1">+VLOOKUP($A6,INDIRECT(Adrese!C$2),5,FALSE)</f>
        <v>15566</v>
      </c>
      <c r="AF6">
        <f ca="1">+VLOOKUP($A6,INDIRECT(Adrese!D$2),5,FALSE)</f>
        <v>15667</v>
      </c>
      <c r="AG6">
        <f ca="1">+VLOOKUP($A6,INDIRECT(Adrese!E$2),5,FALSE)</f>
        <v>15471</v>
      </c>
      <c r="AH6">
        <f ca="1">+VLOOKUP($A6,INDIRECT(Adrese!F$2),5,FALSE)</f>
        <v>15558</v>
      </c>
      <c r="AI6" s="4">
        <f t="shared" ca="1" si="5"/>
        <v>15627</v>
      </c>
      <c r="AJ6" s="4"/>
      <c r="AK6" s="4"/>
      <c r="AM6" t="s">
        <v>67</v>
      </c>
      <c r="AN6" s="4">
        <f ca="1">+VLOOKUP($A6,INDIRECT(Adrese!B$2),6,FALSE)</f>
        <v>0.34893805309734521</v>
      </c>
      <c r="AO6" s="4">
        <f ca="1">+VLOOKUP($A6,INDIRECT(Adrese!C$2),6,FALSE)</f>
        <v>0.3427654867256637</v>
      </c>
      <c r="AP6" s="4">
        <f ca="1">+VLOOKUP($A6,INDIRECT(Adrese!D$2),6,FALSE)</f>
        <v>0.34471238938053089</v>
      </c>
      <c r="AQ6" s="4">
        <f ca="1">+VLOOKUP($A6,INDIRECT(Adrese!E$2),6,FALSE)</f>
        <v>0.3402654867256637</v>
      </c>
      <c r="AR6" s="4">
        <f ca="1">+VLOOKUP($A6,INDIRECT(Adrese!F$2),6,FALSE)</f>
        <v>0.34241150442477869</v>
      </c>
      <c r="AS6" s="4" t="str">
        <f t="shared" ca="1" si="6"/>
        <v>0.34 (0.00)</v>
      </c>
      <c r="AT6" s="4">
        <f t="shared" ca="1" si="7"/>
        <v>0.34381858407079646</v>
      </c>
      <c r="AU6" s="4">
        <f t="shared" ca="1" si="8"/>
        <v>3.2680743159410447E-3</v>
      </c>
      <c r="AW6" t="s">
        <v>67</v>
      </c>
      <c r="AX6" s="4">
        <f ca="1">+VLOOKUP($A6,INDIRECT(Adrese!B$2),7,FALSE)</f>
        <v>0.53539823008849563</v>
      </c>
      <c r="AY6" s="4">
        <f ca="1">+VLOOKUP($A6,INDIRECT(Adrese!C$2),7,FALSE)</f>
        <v>0.52654867256637172</v>
      </c>
      <c r="AZ6" s="4">
        <f ca="1">+VLOOKUP($A6,INDIRECT(Adrese!D$2),7,FALSE)</f>
        <v>0.53539823008849563</v>
      </c>
      <c r="BA6" s="4">
        <f ca="1">+VLOOKUP($A6,INDIRECT(Adrese!E$2),7,FALSE)</f>
        <v>0.55309734513274333</v>
      </c>
      <c r="BB6" s="4">
        <f ca="1">+VLOOKUP($A6,INDIRECT(Adrese!F$2),7,FALSE)</f>
        <v>0.55752212389380529</v>
      </c>
      <c r="BC6" s="4" t="str">
        <f t="shared" ca="1" si="9"/>
        <v>0.54 (0.01)</v>
      </c>
      <c r="BD6">
        <f t="shared" ca="1" si="10"/>
        <v>0.54159292035398232</v>
      </c>
      <c r="BE6" s="4">
        <f t="shared" ca="1" si="11"/>
        <v>1.3126015021408215E-2</v>
      </c>
      <c r="BG6" t="s">
        <v>67</v>
      </c>
      <c r="BH6" s="4">
        <f ca="1">+VLOOKUP($BG6,INDIRECT(Adrese!B$2),8,FALSE)</f>
        <v>4.3087687200546988E-2</v>
      </c>
      <c r="BI6" s="4">
        <f ca="1">+VLOOKUP($BG6,INDIRECT(Adrese!C$2),8,FALSE)</f>
        <v>4.1992850263000168E-2</v>
      </c>
      <c r="BJ6" s="4">
        <f ca="1">+VLOOKUP($BG6,INDIRECT(Adrese!D$2),8,FALSE)</f>
        <v>4.2606708885569312E-2</v>
      </c>
      <c r="BK6" s="4">
        <f ca="1">+VLOOKUP($BG6,INDIRECT(Adrese!E$2),8,FALSE)</f>
        <v>4.1904926212734193E-2</v>
      </c>
      <c r="BL6" s="4">
        <f ca="1">+VLOOKUP($BG6,INDIRECT(Adrese!F$2),8,FALSE)</f>
        <v>4.2167119634135421E-2</v>
      </c>
      <c r="BM6" s="4" t="str">
        <f t="shared" ca="1" si="12"/>
        <v>0.04 (0.00)</v>
      </c>
      <c r="BN6" s="4">
        <f t="shared" ca="1" si="13"/>
        <v>4.2351858439197212E-2</v>
      </c>
      <c r="BO6" s="4">
        <f t="shared" ca="1" si="14"/>
        <v>4.9222871405698741E-4</v>
      </c>
      <c r="BQ6" t="s">
        <v>67</v>
      </c>
      <c r="BR6" s="4">
        <f ca="1">+VLOOKUP($BG6,INDIRECT(Adrese!B$2),9,FALSE)</f>
        <v>9.8277382524258224E-3</v>
      </c>
      <c r="BS6" s="4">
        <f ca="1">+VLOOKUP($BG6,INDIRECT(Adrese!C$2),9,FALSE)</f>
        <v>9.7544208488600341E-3</v>
      </c>
      <c r="BT6" s="4">
        <f ca="1">+VLOOKUP($BG6,INDIRECT(Adrese!D$2),9,FALSE)</f>
        <v>1.35415465881717E-2</v>
      </c>
      <c r="BU6" s="4">
        <f ca="1">+VLOOKUP($BG6,INDIRECT(Adrese!E$2),9,FALSE)</f>
        <v>1.2743339997182711E-2</v>
      </c>
      <c r="BV6" s="4">
        <f ca="1">+VLOOKUP($BG6,INDIRECT(Adrese!F$2),9,FALSE)</f>
        <v>1.0816961232437449E-2</v>
      </c>
      <c r="BW6" s="4" t="str">
        <f t="shared" ca="1" si="15"/>
        <v>0.01 (0.00)</v>
      </c>
      <c r="BX6" s="4">
        <f t="shared" ca="1" si="16"/>
        <v>1.1336801383815544E-2</v>
      </c>
      <c r="BY6" s="4">
        <f t="shared" ca="1" si="17"/>
        <v>1.724143683247929E-3</v>
      </c>
    </row>
    <row r="7" spans="1:77" x14ac:dyDescent="0.25">
      <c r="A7" t="s">
        <v>68</v>
      </c>
      <c r="B7" s="11">
        <f ca="1">+VLOOKUP($A7,INDIRECT(Adrese!B$2),2,FALSE)</f>
        <v>109</v>
      </c>
      <c r="C7" s="11">
        <f ca="1">+VLOOKUP($A7,INDIRECT(Adrese!C$2),2,FALSE)</f>
        <v>92</v>
      </c>
      <c r="D7" s="11">
        <f ca="1">+VLOOKUP($A7,INDIRECT(Adrese!D$2),2,FALSE)</f>
        <v>135</v>
      </c>
      <c r="E7" s="11">
        <f ca="1">+VLOOKUP($A7,INDIRECT(Adrese!E$2),2,FALSE)</f>
        <v>112</v>
      </c>
      <c r="F7" s="11">
        <f ca="1">+VLOOKUP($A7,INDIRECT(Adrese!F$2),2,FALSE)</f>
        <v>136</v>
      </c>
      <c r="G7" s="4">
        <f t="shared" ca="1" si="0"/>
        <v>116.8</v>
      </c>
      <c r="J7" t="s">
        <v>68</v>
      </c>
      <c r="K7">
        <f ca="1">+VLOOKUP($A7,INDIRECT(Adrese!B$2),3,FALSE)</f>
        <v>132</v>
      </c>
      <c r="L7">
        <f ca="1">+VLOOKUP($A7,INDIRECT(Adrese!C$2),3,FALSE)</f>
        <v>136</v>
      </c>
      <c r="M7">
        <f ca="1">+VLOOKUP($A7,INDIRECT(Adrese!D$2),3,FALSE)</f>
        <v>132</v>
      </c>
      <c r="N7">
        <f ca="1">+VLOOKUP($A7,INDIRECT(Adrese!E$2),3,FALSE)</f>
        <v>131</v>
      </c>
      <c r="O7">
        <f ca="1">+VLOOKUP($A7,INDIRECT(Adrese!F$2),3,FALSE)</f>
        <v>134</v>
      </c>
      <c r="P7">
        <f t="shared" ca="1" si="1"/>
        <v>665</v>
      </c>
      <c r="Q7" s="4">
        <f t="shared" ca="1" si="2"/>
        <v>133</v>
      </c>
      <c r="R7" s="4"/>
      <c r="T7" t="s">
        <v>68</v>
      </c>
      <c r="U7">
        <f ca="1">+VLOOKUP($T7,INDIRECT(Adrese!B$2),4,FALSE)</f>
        <v>95319</v>
      </c>
      <c r="V7">
        <f ca="1">+VLOOKUP($T7,INDIRECT(Adrese!C$2),4,FALSE)</f>
        <v>95780</v>
      </c>
      <c r="W7">
        <f ca="1">+VLOOKUP($T7,INDIRECT(Adrese!D$2),4,FALSE)</f>
        <v>94131</v>
      </c>
      <c r="X7">
        <f ca="1">+VLOOKUP($T7,INDIRECT(Adrese!E$2),4,FALSE)</f>
        <v>95111</v>
      </c>
      <c r="Y7">
        <f ca="1">+VLOOKUP($T7,INDIRECT(Adrese!F$2),4,FALSE)</f>
        <v>94186</v>
      </c>
      <c r="Z7">
        <f t="shared" ca="1" si="3"/>
        <v>474527</v>
      </c>
      <c r="AA7" s="4">
        <f t="shared" ca="1" si="4"/>
        <v>94905.4</v>
      </c>
      <c r="AC7" t="s">
        <v>68</v>
      </c>
      <c r="AD7">
        <f ca="1">+VLOOKUP($A7,INDIRECT(Adrese!B$2),5,FALSE)</f>
        <v>13536</v>
      </c>
      <c r="AE7">
        <f ca="1">+VLOOKUP($A7,INDIRECT(Adrese!C$2),5,FALSE)</f>
        <v>13505</v>
      </c>
      <c r="AF7">
        <f ca="1">+VLOOKUP($A7,INDIRECT(Adrese!D$2),5,FALSE)</f>
        <v>14080</v>
      </c>
      <c r="AG7">
        <f ca="1">+VLOOKUP($A7,INDIRECT(Adrese!E$2),5,FALSE)</f>
        <v>13351</v>
      </c>
      <c r="AH7">
        <f ca="1">+VLOOKUP($A7,INDIRECT(Adrese!F$2),5,FALSE)</f>
        <v>13384</v>
      </c>
      <c r="AI7" s="4">
        <f t="shared" ca="1" si="5"/>
        <v>13571.2</v>
      </c>
      <c r="AJ7" s="4"/>
      <c r="AK7" s="4"/>
      <c r="AM7" t="s">
        <v>68</v>
      </c>
      <c r="AN7" s="4">
        <f ca="1">+VLOOKUP($A7,INDIRECT(Adrese!B$2),6,FALSE)</f>
        <v>0.29785398230088489</v>
      </c>
      <c r="AO7" s="4">
        <f ca="1">+VLOOKUP($A7,INDIRECT(Adrese!C$2),6,FALSE)</f>
        <v>0.29825221238938049</v>
      </c>
      <c r="AP7" s="4">
        <f ca="1">+VLOOKUP($A7,INDIRECT(Adrese!D$2),6,FALSE)</f>
        <v>0.30991150442477883</v>
      </c>
      <c r="AQ7" s="4">
        <f ca="1">+VLOOKUP($A7,INDIRECT(Adrese!E$2),6,FALSE)</f>
        <v>0.29382743362831859</v>
      </c>
      <c r="AR7" s="4">
        <f ca="1">+VLOOKUP($A7,INDIRECT(Adrese!F$2),6,FALSE)</f>
        <v>0.29453539823008851</v>
      </c>
      <c r="AS7" s="4" t="str">
        <f t="shared" ca="1" si="6"/>
        <v>0.30 (0.01)</v>
      </c>
      <c r="AT7" s="4">
        <f t="shared" ca="1" si="7"/>
        <v>0.29887610619469024</v>
      </c>
      <c r="AU7" s="4">
        <f t="shared" ca="1" si="8"/>
        <v>6.4719555612586027E-3</v>
      </c>
      <c r="AW7" t="s">
        <v>68</v>
      </c>
      <c r="AX7" s="4">
        <f ca="1">+VLOOKUP($A7,INDIRECT(Adrese!B$2),7,FALSE)</f>
        <v>0.41592920353982299</v>
      </c>
      <c r="AY7" s="4">
        <f ca="1">+VLOOKUP($A7,INDIRECT(Adrese!C$2),7,FALSE)</f>
        <v>0.39823008849557517</v>
      </c>
      <c r="AZ7" s="4">
        <f ca="1">+VLOOKUP($A7,INDIRECT(Adrese!D$2),7,FALSE)</f>
        <v>0.41592920353982299</v>
      </c>
      <c r="BA7" s="4">
        <f ca="1">+VLOOKUP($A7,INDIRECT(Adrese!E$2),7,FALSE)</f>
        <v>0.42035398230088489</v>
      </c>
      <c r="BB7" s="4">
        <f ca="1">+VLOOKUP($A7,INDIRECT(Adrese!F$2),7,FALSE)</f>
        <v>0.40707964601769908</v>
      </c>
      <c r="BC7" s="4" t="str">
        <f t="shared" ca="1" si="9"/>
        <v>0.41 (0.01)</v>
      </c>
      <c r="BD7">
        <f t="shared" ca="1" si="10"/>
        <v>0.41150442477876104</v>
      </c>
      <c r="BE7" s="4">
        <f t="shared" ca="1" si="11"/>
        <v>8.8495575221238937E-3</v>
      </c>
      <c r="BG7" t="s">
        <v>68</v>
      </c>
      <c r="BH7" s="4">
        <f ca="1">+VLOOKUP($BG7,INDIRECT(Adrese!B$2),8,FALSE)</f>
        <v>3.3685306183382613E-2</v>
      </c>
      <c r="BI7" s="4">
        <f ca="1">+VLOOKUP($BG7,INDIRECT(Adrese!C$2),8,FALSE)</f>
        <v>3.4468696297587899E-2</v>
      </c>
      <c r="BJ7" s="4">
        <f ca="1">+VLOOKUP($BG7,INDIRECT(Adrese!D$2),8,FALSE)</f>
        <v>3.5320495211351957E-2</v>
      </c>
      <c r="BK7" s="4">
        <f ca="1">+VLOOKUP($BG7,INDIRECT(Adrese!E$2),8,FALSE)</f>
        <v>3.3074265323871213E-2</v>
      </c>
      <c r="BL7" s="4">
        <f ca="1">+VLOOKUP($BG7,INDIRECT(Adrese!F$2),8,FALSE)</f>
        <v>3.3274850888693953E-2</v>
      </c>
      <c r="BM7" s="4" t="str">
        <f t="shared" ca="1" si="12"/>
        <v>0.03 (0.00)</v>
      </c>
      <c r="BN7" s="4">
        <f t="shared" ca="1" si="13"/>
        <v>3.3964722780977522E-2</v>
      </c>
      <c r="BO7" s="4">
        <f t="shared" ca="1" si="14"/>
        <v>9.2722968218487988E-4</v>
      </c>
      <c r="BQ7" t="s">
        <v>68</v>
      </c>
      <c r="BR7" s="4">
        <f ca="1">+VLOOKUP($BG7,INDIRECT(Adrese!B$2),9,FALSE)</f>
        <v>1.1684116327273069E-2</v>
      </c>
      <c r="BS7" s="4">
        <f ca="1">+VLOOKUP($BG7,INDIRECT(Adrese!C$2),9,FALSE)</f>
        <v>1.736355057394184E-2</v>
      </c>
      <c r="BT7" s="4">
        <f ca="1">+VLOOKUP($BG7,INDIRECT(Adrese!D$2),9,FALSE)</f>
        <v>1.070673340822325E-2</v>
      </c>
      <c r="BU7" s="4">
        <f ca="1">+VLOOKUP($BG7,INDIRECT(Adrese!E$2),9,FALSE)</f>
        <v>1.6134366777251191E-2</v>
      </c>
      <c r="BV7" s="4">
        <f ca="1">+VLOOKUP($BG7,INDIRECT(Adrese!F$2),9,FALSE)</f>
        <v>1.4780027880336791E-2</v>
      </c>
      <c r="BW7" s="4" t="str">
        <f t="shared" ca="1" si="15"/>
        <v>0.01 (0.00)</v>
      </c>
      <c r="BX7" s="4">
        <f t="shared" ca="1" si="16"/>
        <v>1.4133758993405226E-2</v>
      </c>
      <c r="BY7" s="4">
        <f t="shared" ca="1" si="17"/>
        <v>2.854684841884168E-3</v>
      </c>
    </row>
    <row r="8" spans="1:77" x14ac:dyDescent="0.25">
      <c r="A8" t="s">
        <v>69</v>
      </c>
      <c r="B8" s="11">
        <f ca="1">+VLOOKUP($A8,INDIRECT(Adrese!B$2),2,FALSE)</f>
        <v>115</v>
      </c>
      <c r="C8" s="11">
        <f ca="1">+VLOOKUP($A8,INDIRECT(Adrese!C$2),2,FALSE)</f>
        <v>146</v>
      </c>
      <c r="D8" s="11">
        <f ca="1">+VLOOKUP($A8,INDIRECT(Adrese!D$2),2,FALSE)</f>
        <v>59</v>
      </c>
      <c r="E8" s="11">
        <f ca="1">+VLOOKUP($A8,INDIRECT(Adrese!E$2),2,FALSE)</f>
        <v>135</v>
      </c>
      <c r="F8" s="11">
        <f ca="1">+VLOOKUP($A8,INDIRECT(Adrese!F$2),2,FALSE)</f>
        <v>130</v>
      </c>
      <c r="G8" s="4">
        <f t="shared" ca="1" si="0"/>
        <v>117</v>
      </c>
      <c r="J8" t="s">
        <v>69</v>
      </c>
      <c r="K8">
        <f ca="1">+VLOOKUP($A8,INDIRECT(Adrese!B$2),3,FALSE)</f>
        <v>130</v>
      </c>
      <c r="L8">
        <f ca="1">+VLOOKUP($A8,INDIRECT(Adrese!C$2),3,FALSE)</f>
        <v>124</v>
      </c>
      <c r="M8">
        <f ca="1">+VLOOKUP($A8,INDIRECT(Adrese!D$2),3,FALSE)</f>
        <v>140</v>
      </c>
      <c r="N8">
        <f ca="1">+VLOOKUP($A8,INDIRECT(Adrese!E$2),3,FALSE)</f>
        <v>126</v>
      </c>
      <c r="O8">
        <f ca="1">+VLOOKUP($A8,INDIRECT(Adrese!F$2),3,FALSE)</f>
        <v>128</v>
      </c>
      <c r="P8">
        <f t="shared" ca="1" si="1"/>
        <v>648</v>
      </c>
      <c r="Q8" s="4">
        <f t="shared" ca="1" si="2"/>
        <v>129.6</v>
      </c>
      <c r="R8" s="4"/>
      <c r="T8" t="s">
        <v>69</v>
      </c>
      <c r="U8">
        <f ca="1">+VLOOKUP($T8,INDIRECT(Adrese!B$2),4,FALSE)</f>
        <v>94832</v>
      </c>
      <c r="V8">
        <f ca="1">+VLOOKUP($T8,INDIRECT(Adrese!C$2),4,FALSE)</f>
        <v>93758</v>
      </c>
      <c r="W8">
        <f ca="1">+VLOOKUP($T8,INDIRECT(Adrese!D$2),4,FALSE)</f>
        <v>96915</v>
      </c>
      <c r="X8">
        <f ca="1">+VLOOKUP($T8,INDIRECT(Adrese!E$2),4,FALSE)</f>
        <v>94274</v>
      </c>
      <c r="Y8">
        <f ca="1">+VLOOKUP($T8,INDIRECT(Adrese!F$2),4,FALSE)</f>
        <v>94417</v>
      </c>
      <c r="Z8">
        <f t="shared" ca="1" si="3"/>
        <v>474196</v>
      </c>
      <c r="AA8" s="4">
        <f t="shared" ca="1" si="4"/>
        <v>94839.2</v>
      </c>
      <c r="AC8" t="s">
        <v>69</v>
      </c>
      <c r="AD8">
        <f ca="1">+VLOOKUP($A8,INDIRECT(Adrese!B$2),5,FALSE)</f>
        <v>14251</v>
      </c>
      <c r="AE8">
        <f ca="1">+VLOOKUP($A8,INDIRECT(Adrese!C$2),5,FALSE)</f>
        <v>14268</v>
      </c>
      <c r="AF8">
        <f ca="1">+VLOOKUP($A8,INDIRECT(Adrese!D$2),5,FALSE)</f>
        <v>14256</v>
      </c>
      <c r="AG8">
        <f ca="1">+VLOOKUP($A8,INDIRECT(Adrese!E$2),5,FALSE)</f>
        <v>14513</v>
      </c>
      <c r="AH8">
        <f ca="1">+VLOOKUP($A8,INDIRECT(Adrese!F$2),5,FALSE)</f>
        <v>14710</v>
      </c>
      <c r="AI8" s="4">
        <f t="shared" ca="1" si="5"/>
        <v>14399.6</v>
      </c>
      <c r="AJ8" s="4"/>
      <c r="AK8" s="4"/>
      <c r="AM8" t="s">
        <v>69</v>
      </c>
      <c r="AN8" s="4">
        <f ca="1">+VLOOKUP($A8,INDIRECT(Adrese!B$2),6,FALSE)</f>
        <v>0.31398230088495582</v>
      </c>
      <c r="AO8" s="4">
        <f ca="1">+VLOOKUP($A8,INDIRECT(Adrese!C$2),6,FALSE)</f>
        <v>0.31453539823008853</v>
      </c>
      <c r="AP8" s="4">
        <f ca="1">+VLOOKUP($A8,INDIRECT(Adrese!D$2),6,FALSE)</f>
        <v>0.31451327433628318</v>
      </c>
      <c r="AQ8" s="4">
        <f ca="1">+VLOOKUP($A8,INDIRECT(Adrese!E$2),6,FALSE)</f>
        <v>0.31929203539823009</v>
      </c>
      <c r="AR8" s="4">
        <f ca="1">+VLOOKUP($A8,INDIRECT(Adrese!F$2),6,FALSE)</f>
        <v>0.32429203539823009</v>
      </c>
      <c r="AS8" s="4" t="str">
        <f t="shared" ca="1" si="6"/>
        <v>0.32 (0.00)</v>
      </c>
      <c r="AT8" s="4">
        <f t="shared" ca="1" si="7"/>
        <v>0.31732300884955755</v>
      </c>
      <c r="AU8" s="4">
        <f t="shared" ca="1" si="8"/>
        <v>4.4516880868692692E-3</v>
      </c>
      <c r="AW8" t="s">
        <v>69</v>
      </c>
      <c r="AX8" s="4">
        <f ca="1">+VLOOKUP($A8,INDIRECT(Adrese!B$2),7,FALSE)</f>
        <v>0.4247787610619469</v>
      </c>
      <c r="AY8" s="4">
        <f ca="1">+VLOOKUP($A8,INDIRECT(Adrese!C$2),7,FALSE)</f>
        <v>0.45132743362831862</v>
      </c>
      <c r="AZ8" s="4">
        <f ca="1">+VLOOKUP($A8,INDIRECT(Adrese!D$2),7,FALSE)</f>
        <v>0.38053097345132741</v>
      </c>
      <c r="BA8" s="4">
        <f ca="1">+VLOOKUP($A8,INDIRECT(Adrese!E$2),7,FALSE)</f>
        <v>0.44247787610619471</v>
      </c>
      <c r="BB8" s="4">
        <f ca="1">+VLOOKUP($A8,INDIRECT(Adrese!F$2),7,FALSE)</f>
        <v>0.4336283185840708</v>
      </c>
      <c r="BC8" s="4" t="str">
        <f t="shared" ca="1" si="9"/>
        <v>0.43 (0.03)</v>
      </c>
      <c r="BD8">
        <f t="shared" ca="1" si="10"/>
        <v>0.42654867256637169</v>
      </c>
      <c r="BE8" s="4">
        <f t="shared" ca="1" si="11"/>
        <v>2.7561790269729998E-2</v>
      </c>
      <c r="BG8" t="s">
        <v>69</v>
      </c>
      <c r="BH8" s="4">
        <f ca="1">+VLOOKUP($BG8,INDIRECT(Adrese!B$2),8,FALSE)</f>
        <v>4.2106991668503783E-2</v>
      </c>
      <c r="BI8" s="4">
        <f ca="1">+VLOOKUP($BG8,INDIRECT(Adrese!C$2),8,FALSE)</f>
        <v>4.2093535460659873E-2</v>
      </c>
      <c r="BJ8" s="4">
        <f ca="1">+VLOOKUP($BG8,INDIRECT(Adrese!D$2),8,FALSE)</f>
        <v>4.2441001317368943E-2</v>
      </c>
      <c r="BK8" s="4">
        <f ca="1">+VLOOKUP($BG8,INDIRECT(Adrese!E$2),8,FALSE)</f>
        <v>4.2916203521543121E-2</v>
      </c>
      <c r="BL8" s="4">
        <f ca="1">+VLOOKUP($BG8,INDIRECT(Adrese!F$2),8,FALSE)</f>
        <v>4.3383957016042127E-2</v>
      </c>
      <c r="BM8" s="4" t="str">
        <f t="shared" ca="1" si="12"/>
        <v>0.04 (0.00)</v>
      </c>
      <c r="BN8" s="4">
        <f t="shared" ca="1" si="13"/>
        <v>4.2588337796823569E-2</v>
      </c>
      <c r="BO8" s="4">
        <f t="shared" ca="1" si="14"/>
        <v>5.5649289320156806E-4</v>
      </c>
      <c r="BQ8" t="s">
        <v>69</v>
      </c>
      <c r="BR8" s="4">
        <f ca="1">+VLOOKUP($BG8,INDIRECT(Adrese!B$2),9,FALSE)</f>
        <v>5.8446015117154818E-2</v>
      </c>
      <c r="BS8" s="4">
        <f ca="1">+VLOOKUP($BG8,INDIRECT(Adrese!C$2),9,FALSE)</f>
        <v>5.6267381215940701E-2</v>
      </c>
      <c r="BT8" s="4">
        <f ca="1">+VLOOKUP($BG8,INDIRECT(Adrese!D$2),9,FALSE)</f>
        <v>5.8094806409002199E-2</v>
      </c>
      <c r="BU8" s="4">
        <f ca="1">+VLOOKUP($BG8,INDIRECT(Adrese!E$2),9,FALSE)</f>
        <v>5.7305355198082518E-2</v>
      </c>
      <c r="BV8" s="4">
        <f ca="1">+VLOOKUP($BG8,INDIRECT(Adrese!F$2),9,FALSE)</f>
        <v>5.5455091197439507E-2</v>
      </c>
      <c r="BW8" s="4" t="str">
        <f t="shared" ca="1" si="15"/>
        <v>0.06 (0.00)</v>
      </c>
      <c r="BX8" s="4">
        <f t="shared" ca="1" si="16"/>
        <v>5.7113729827523954E-2</v>
      </c>
      <c r="BY8" s="4">
        <f t="shared" ca="1" si="17"/>
        <v>1.2491600890068945E-3</v>
      </c>
    </row>
    <row r="9" spans="1:77" x14ac:dyDescent="0.25">
      <c r="A9" t="s">
        <v>70</v>
      </c>
      <c r="B9" s="11">
        <f ca="1">+VLOOKUP($A9,INDIRECT(Adrese!B$2),2,FALSE)</f>
        <v>9</v>
      </c>
      <c r="C9" s="11">
        <f ca="1">+VLOOKUP($A9,INDIRECT(Adrese!C$2),2,FALSE)</f>
        <v>6</v>
      </c>
      <c r="D9" s="11">
        <f ca="1">+VLOOKUP($A9,INDIRECT(Adrese!D$2),2,FALSE)</f>
        <v>6</v>
      </c>
      <c r="E9" s="11">
        <f ca="1">+VLOOKUP($A9,INDIRECT(Adrese!E$2),2,FALSE)</f>
        <v>9</v>
      </c>
      <c r="F9" s="11">
        <f ca="1">+VLOOKUP($A9,INDIRECT(Adrese!F$2),2,FALSE)</f>
        <v>13</v>
      </c>
      <c r="G9" s="4">
        <f t="shared" ca="1" si="0"/>
        <v>8.6</v>
      </c>
      <c r="J9" t="s">
        <v>70</v>
      </c>
      <c r="K9">
        <f ca="1">+VLOOKUP($A9,INDIRECT(Adrese!B$2),3,FALSE)</f>
        <v>112</v>
      </c>
      <c r="L9">
        <f ca="1">+VLOOKUP($A9,INDIRECT(Adrese!C$2),3,FALSE)</f>
        <v>106</v>
      </c>
      <c r="M9">
        <f ca="1">+VLOOKUP($A9,INDIRECT(Adrese!D$2),3,FALSE)</f>
        <v>111</v>
      </c>
      <c r="N9">
        <f ca="1">+VLOOKUP($A9,INDIRECT(Adrese!E$2),3,FALSE)</f>
        <v>103</v>
      </c>
      <c r="O9">
        <f ca="1">+VLOOKUP($A9,INDIRECT(Adrese!F$2),3,FALSE)</f>
        <v>100</v>
      </c>
      <c r="P9">
        <f t="shared" ca="1" si="1"/>
        <v>532</v>
      </c>
      <c r="Q9" s="4">
        <f t="shared" ca="1" si="2"/>
        <v>106.4</v>
      </c>
      <c r="R9" s="4"/>
      <c r="T9" t="s">
        <v>70</v>
      </c>
      <c r="U9">
        <f ca="1">+VLOOKUP($T9,INDIRECT(Adrese!B$2),4,FALSE)</f>
        <v>101553</v>
      </c>
      <c r="V9">
        <f ca="1">+VLOOKUP($T9,INDIRECT(Adrese!C$2),4,FALSE)</f>
        <v>102979</v>
      </c>
      <c r="W9">
        <f ca="1">+VLOOKUP($T9,INDIRECT(Adrese!D$2),4,FALSE)</f>
        <v>102943</v>
      </c>
      <c r="X9">
        <f ca="1">+VLOOKUP($T9,INDIRECT(Adrese!E$2),4,FALSE)</f>
        <v>101701</v>
      </c>
      <c r="Y9">
        <f ca="1">+VLOOKUP($T9,INDIRECT(Adrese!F$2),4,FALSE)</f>
        <v>101036</v>
      </c>
      <c r="Z9">
        <f t="shared" ca="1" si="3"/>
        <v>510212</v>
      </c>
      <c r="AA9" s="4">
        <f t="shared" ca="1" si="4"/>
        <v>102042.4</v>
      </c>
      <c r="AC9" t="s">
        <v>70</v>
      </c>
      <c r="AD9">
        <f ca="1">+VLOOKUP($A9,INDIRECT(Adrese!B$2),5,FALSE)</f>
        <v>17311</v>
      </c>
      <c r="AE9">
        <f ca="1">+VLOOKUP($A9,INDIRECT(Adrese!C$2),5,FALSE)</f>
        <v>17572</v>
      </c>
      <c r="AF9">
        <f ca="1">+VLOOKUP($A9,INDIRECT(Adrese!D$2),5,FALSE)</f>
        <v>17730</v>
      </c>
      <c r="AG9">
        <f ca="1">+VLOOKUP($A9,INDIRECT(Adrese!E$2),5,FALSE)</f>
        <v>17454</v>
      </c>
      <c r="AH9">
        <f ca="1">+VLOOKUP($A9,INDIRECT(Adrese!F$2),5,FALSE)</f>
        <v>16725</v>
      </c>
      <c r="AI9" s="4">
        <f t="shared" ca="1" si="5"/>
        <v>17358.400000000001</v>
      </c>
      <c r="AJ9" s="4"/>
      <c r="AK9" s="4"/>
      <c r="AM9" t="s">
        <v>70</v>
      </c>
      <c r="AN9" s="4">
        <f ca="1">+VLOOKUP($A9,INDIRECT(Adrese!B$2),6,FALSE)</f>
        <v>0.38103982300884948</v>
      </c>
      <c r="AO9" s="4">
        <f ca="1">+VLOOKUP($A9,INDIRECT(Adrese!C$2),6,FALSE)</f>
        <v>0.38537610619469032</v>
      </c>
      <c r="AP9" s="4">
        <f ca="1">+VLOOKUP($A9,INDIRECT(Adrese!D$2),6,FALSE)</f>
        <v>0.38951327433628319</v>
      </c>
      <c r="AQ9" s="4">
        <f ca="1">+VLOOKUP($A9,INDIRECT(Adrese!E$2),6,FALSE)</f>
        <v>0.38351769911504419</v>
      </c>
      <c r="AR9" s="4">
        <f ca="1">+VLOOKUP($A9,INDIRECT(Adrese!F$2),6,FALSE)</f>
        <v>0.36805309734513281</v>
      </c>
      <c r="AS9" s="4" t="str">
        <f t="shared" ca="1" si="6"/>
        <v>0.38 (0.01)</v>
      </c>
      <c r="AT9" s="4">
        <f t="shared" ca="1" si="7"/>
        <v>0.38150000000000001</v>
      </c>
      <c r="AU9" s="4">
        <f t="shared" ca="1" si="8"/>
        <v>8.1292500947590524E-3</v>
      </c>
      <c r="AW9" t="s">
        <v>70</v>
      </c>
      <c r="AX9" s="4">
        <f ca="1">+VLOOKUP($A9,INDIRECT(Adrese!B$2),7,FALSE)</f>
        <v>0.50442477876106195</v>
      </c>
      <c r="AY9" s="4">
        <f ca="1">+VLOOKUP($A9,INDIRECT(Adrese!C$2),7,FALSE)</f>
        <v>0.53097345132743368</v>
      </c>
      <c r="AZ9" s="4">
        <f ca="1">+VLOOKUP($A9,INDIRECT(Adrese!D$2),7,FALSE)</f>
        <v>0.50884955752212391</v>
      </c>
      <c r="BA9" s="4">
        <f ca="1">+VLOOKUP($A9,INDIRECT(Adrese!E$2),7,FALSE)</f>
        <v>0.54424778761061943</v>
      </c>
      <c r="BB9" s="4">
        <f ca="1">+VLOOKUP($A9,INDIRECT(Adrese!F$2),7,FALSE)</f>
        <v>0.55752212389380529</v>
      </c>
      <c r="BC9" s="4" t="str">
        <f t="shared" ca="1" si="9"/>
        <v>0.53 (0.02)</v>
      </c>
      <c r="BD9">
        <f t="shared" ca="1" si="10"/>
        <v>0.52920353982300894</v>
      </c>
      <c r="BE9" s="4">
        <f t="shared" ca="1" si="11"/>
        <v>2.2691825495501014E-2</v>
      </c>
      <c r="BG9" t="s">
        <v>70</v>
      </c>
      <c r="BH9" s="4">
        <f ca="1">+VLOOKUP($BG9,INDIRECT(Adrese!B$2),8,FALSE)</f>
        <v>5.1134998882799577E-2</v>
      </c>
      <c r="BI9" s="4">
        <f ca="1">+VLOOKUP($BG9,INDIRECT(Adrese!C$2),8,FALSE)</f>
        <v>5.2463261183088583E-2</v>
      </c>
      <c r="BJ9" s="4">
        <f ca="1">+VLOOKUP($BG9,INDIRECT(Adrese!D$2),8,FALSE)</f>
        <v>5.2397249221836813E-2</v>
      </c>
      <c r="BK9" s="4">
        <f ca="1">+VLOOKUP($BG9,INDIRECT(Adrese!E$2),8,FALSE)</f>
        <v>5.170342483207345E-2</v>
      </c>
      <c r="BL9" s="4">
        <f ca="1">+VLOOKUP($BG9,INDIRECT(Adrese!F$2),8,FALSE)</f>
        <v>4.9681957083740513E-2</v>
      </c>
      <c r="BM9" s="4" t="str">
        <f t="shared" ca="1" si="12"/>
        <v>0.05 (0.00)</v>
      </c>
      <c r="BN9" s="4">
        <f t="shared" ca="1" si="13"/>
        <v>5.1476178240707784E-2</v>
      </c>
      <c r="BO9" s="4">
        <f t="shared" ca="1" si="14"/>
        <v>1.1412688569171672E-3</v>
      </c>
      <c r="BQ9" t="s">
        <v>70</v>
      </c>
      <c r="BR9" s="4">
        <f ca="1">+VLOOKUP($BG9,INDIRECT(Adrese!B$2),9,FALSE)</f>
        <v>2.562192309658546E-2</v>
      </c>
      <c r="BS9" s="4">
        <f ca="1">+VLOOKUP($BG9,INDIRECT(Adrese!C$2),9,FALSE)</f>
        <v>2.2904290791970549E-2</v>
      </c>
      <c r="BT9" s="4">
        <f ca="1">+VLOOKUP($BG9,INDIRECT(Adrese!D$2),9,FALSE)</f>
        <v>2.0692666325213709E-2</v>
      </c>
      <c r="BU9" s="4">
        <f ca="1">+VLOOKUP($BG9,INDIRECT(Adrese!E$2),9,FALSE)</f>
        <v>2.2229352258963959E-2</v>
      </c>
      <c r="BV9" s="4">
        <f ca="1">+VLOOKUP($BG9,INDIRECT(Adrese!F$2),9,FALSE)</f>
        <v>3.122578268135669E-2</v>
      </c>
      <c r="BW9" s="4" t="str">
        <f t="shared" ca="1" si="15"/>
        <v>0.02 (0.00)</v>
      </c>
      <c r="BX9" s="4">
        <f t="shared" ca="1" si="16"/>
        <v>2.4534803030818071E-2</v>
      </c>
      <c r="BY9" s="4">
        <f t="shared" ca="1" si="17"/>
        <v>4.1438727842545622E-3</v>
      </c>
    </row>
    <row r="10" spans="1:77" x14ac:dyDescent="0.25">
      <c r="A10" t="s">
        <v>71</v>
      </c>
      <c r="B10" s="11">
        <f ca="1">+VLOOKUP($A10,INDIRECT(Adrese!B$2),2,FALSE)</f>
        <v>6</v>
      </c>
      <c r="C10" s="11">
        <f ca="1">+VLOOKUP($A10,INDIRECT(Adrese!C$2),2,FALSE)</f>
        <v>8</v>
      </c>
      <c r="D10" s="11">
        <f ca="1">+VLOOKUP($A10,INDIRECT(Adrese!D$2),2,FALSE)</f>
        <v>10</v>
      </c>
      <c r="E10" s="11">
        <f ca="1">+VLOOKUP($A10,INDIRECT(Adrese!E$2),2,FALSE)</f>
        <v>8</v>
      </c>
      <c r="F10" s="11">
        <f ca="1">+VLOOKUP($A10,INDIRECT(Adrese!F$2),2,FALSE)</f>
        <v>10</v>
      </c>
      <c r="G10" s="4">
        <f t="shared" ca="1" si="0"/>
        <v>8.4</v>
      </c>
      <c r="J10" t="s">
        <v>71</v>
      </c>
      <c r="K10">
        <f ca="1">+VLOOKUP($A10,INDIRECT(Adrese!B$2),3,FALSE)</f>
        <v>174</v>
      </c>
      <c r="L10">
        <f ca="1">+VLOOKUP($A10,INDIRECT(Adrese!C$2),3,FALSE)</f>
        <v>178</v>
      </c>
      <c r="M10">
        <f ca="1">+VLOOKUP($A10,INDIRECT(Adrese!D$2),3,FALSE)</f>
        <v>175</v>
      </c>
      <c r="N10">
        <f ca="1">+VLOOKUP($A10,INDIRECT(Adrese!E$2),3,FALSE)</f>
        <v>177</v>
      </c>
      <c r="O10">
        <f ca="1">+VLOOKUP($A10,INDIRECT(Adrese!F$2),3,FALSE)</f>
        <v>181</v>
      </c>
      <c r="P10">
        <f t="shared" ca="1" si="1"/>
        <v>885</v>
      </c>
      <c r="Q10" s="4">
        <f t="shared" ca="1" si="2"/>
        <v>177</v>
      </c>
      <c r="R10" s="4"/>
      <c r="T10" t="s">
        <v>71</v>
      </c>
      <c r="U10">
        <f ca="1">+VLOOKUP($T10,INDIRECT(Adrese!B$2),4,FALSE)</f>
        <v>102638</v>
      </c>
      <c r="V10">
        <f ca="1">+VLOOKUP($T10,INDIRECT(Adrese!C$2),4,FALSE)</f>
        <v>102203</v>
      </c>
      <c r="W10">
        <f ca="1">+VLOOKUP($T10,INDIRECT(Adrese!D$2),4,FALSE)</f>
        <v>101729</v>
      </c>
      <c r="X10">
        <f ca="1">+VLOOKUP($T10,INDIRECT(Adrese!E$2),4,FALSE)</f>
        <v>101771</v>
      </c>
      <c r="Y10">
        <f ca="1">+VLOOKUP($T10,INDIRECT(Adrese!F$2),4,FALSE)</f>
        <v>101651</v>
      </c>
      <c r="Z10">
        <f t="shared" ca="1" si="3"/>
        <v>509992</v>
      </c>
      <c r="AA10" s="4">
        <f t="shared" ca="1" si="4"/>
        <v>101998.39999999999</v>
      </c>
      <c r="AC10" t="s">
        <v>71</v>
      </c>
      <c r="AD10">
        <f ca="1">+VLOOKUP($A10,INDIRECT(Adrese!B$2),5,FALSE)</f>
        <v>13066</v>
      </c>
      <c r="AE10">
        <f ca="1">+VLOOKUP($A10,INDIRECT(Adrese!C$2),5,FALSE)</f>
        <v>12012</v>
      </c>
      <c r="AF10">
        <f ca="1">+VLOOKUP($A10,INDIRECT(Adrese!D$2),5,FALSE)</f>
        <v>13337</v>
      </c>
      <c r="AG10">
        <f ca="1">+VLOOKUP($A10,INDIRECT(Adrese!E$2),5,FALSE)</f>
        <v>12169</v>
      </c>
      <c r="AH10">
        <f ca="1">+VLOOKUP($A10,INDIRECT(Adrese!F$2),5,FALSE)</f>
        <v>12045</v>
      </c>
      <c r="AI10" s="4">
        <f t="shared" ca="1" si="5"/>
        <v>12525.8</v>
      </c>
      <c r="AJ10" s="4"/>
      <c r="AK10" s="4"/>
      <c r="AM10" t="s">
        <v>71</v>
      </c>
      <c r="AN10" s="4">
        <f ca="1">+VLOOKUP($A10,INDIRECT(Adrese!B$2),6,FALSE)</f>
        <v>0.28679203539823012</v>
      </c>
      <c r="AO10" s="4">
        <f ca="1">+VLOOKUP($A10,INDIRECT(Adrese!C$2),6,FALSE)</f>
        <v>0.26351769911504419</v>
      </c>
      <c r="AP10" s="4">
        <f ca="1">+VLOOKUP($A10,INDIRECT(Adrese!D$2),6,FALSE)</f>
        <v>0.29219026548672572</v>
      </c>
      <c r="AQ10" s="4">
        <f ca="1">+VLOOKUP($A10,INDIRECT(Adrese!E$2),6,FALSE)</f>
        <v>0.26783185840707963</v>
      </c>
      <c r="AR10" s="4">
        <f ca="1">+VLOOKUP($A10,INDIRECT(Adrese!F$2),6,FALSE)</f>
        <v>0.26382743362831862</v>
      </c>
      <c r="AS10" s="4" t="str">
        <f t="shared" ca="1" si="6"/>
        <v>0.27 (0.01)</v>
      </c>
      <c r="AT10" s="4">
        <f t="shared" ca="1" si="7"/>
        <v>0.27483185840707963</v>
      </c>
      <c r="AU10" s="4">
        <f t="shared" ca="1" si="8"/>
        <v>1.362413020342321E-2</v>
      </c>
      <c r="AW10" t="s">
        <v>71</v>
      </c>
      <c r="AX10" s="4">
        <f ca="1">+VLOOKUP($A10,INDIRECT(Adrese!B$2),7,FALSE)</f>
        <v>0.23008849557522121</v>
      </c>
      <c r="AY10" s="4">
        <f ca="1">+VLOOKUP($A10,INDIRECT(Adrese!C$2),7,FALSE)</f>
        <v>0.21238938053097339</v>
      </c>
      <c r="AZ10" s="4">
        <f ca="1">+VLOOKUP($A10,INDIRECT(Adrese!D$2),7,FALSE)</f>
        <v>0.22566371681415931</v>
      </c>
      <c r="BA10" s="4">
        <f ca="1">+VLOOKUP($A10,INDIRECT(Adrese!E$2),7,FALSE)</f>
        <v>0.2168141592920354</v>
      </c>
      <c r="BB10" s="4">
        <f ca="1">+VLOOKUP($A10,INDIRECT(Adrese!F$2),7,FALSE)</f>
        <v>0.19911504424778759</v>
      </c>
      <c r="BC10" s="4" t="str">
        <f t="shared" ca="1" si="9"/>
        <v>0.22 (0.01)</v>
      </c>
      <c r="BD10">
        <f t="shared" ca="1" si="10"/>
        <v>0.2168141592920354</v>
      </c>
      <c r="BE10" s="4">
        <f t="shared" ca="1" si="11"/>
        <v>1.2117755697016957E-2</v>
      </c>
      <c r="BG10" t="s">
        <v>71</v>
      </c>
      <c r="BH10" s="4">
        <f ca="1">+VLOOKUP($BG10,INDIRECT(Adrese!B$2),8,FALSE)</f>
        <v>4.265893069477808E-2</v>
      </c>
      <c r="BI10" s="4">
        <f ca="1">+VLOOKUP($BG10,INDIRECT(Adrese!C$2),8,FALSE)</f>
        <v>3.7994545717869421E-2</v>
      </c>
      <c r="BJ10" s="4">
        <f ca="1">+VLOOKUP($BG10,INDIRECT(Adrese!D$2),8,FALSE)</f>
        <v>4.2781664864068029E-2</v>
      </c>
      <c r="BK10" s="4">
        <f ca="1">+VLOOKUP($BG10,INDIRECT(Adrese!E$2),8,FALSE)</f>
        <v>3.9103433541748868E-2</v>
      </c>
      <c r="BL10" s="4">
        <f ca="1">+VLOOKUP($BG10,INDIRECT(Adrese!F$2),8,FALSE)</f>
        <v>3.8177126162441913E-2</v>
      </c>
      <c r="BM10" s="4" t="str">
        <f t="shared" ca="1" si="12"/>
        <v>0.04 (0.00)</v>
      </c>
      <c r="BN10" s="4">
        <f t="shared" ca="1" si="13"/>
        <v>4.014314019618126E-2</v>
      </c>
      <c r="BO10" s="4">
        <f t="shared" ca="1" si="14"/>
        <v>2.3902757997896497E-3</v>
      </c>
      <c r="BQ10" t="s">
        <v>71</v>
      </c>
      <c r="BR10" s="4">
        <f ca="1">+VLOOKUP($BG10,INDIRECT(Adrese!B$2),9,FALSE)</f>
        <v>6.6014801678006982E-2</v>
      </c>
      <c r="BS10" s="4">
        <f ca="1">+VLOOKUP($BG10,INDIRECT(Adrese!C$2),9,FALSE)</f>
        <v>6.8860943267480879E-2</v>
      </c>
      <c r="BT10" s="4">
        <f ca="1">+VLOOKUP($BG10,INDIRECT(Adrese!D$2),9,FALSE)</f>
        <v>5.9422968466222761E-2</v>
      </c>
      <c r="BU10" s="4">
        <f ca="1">+VLOOKUP($BG10,INDIRECT(Adrese!E$2),9,FALSE)</f>
        <v>6.7460859464882589E-2</v>
      </c>
      <c r="BV10" s="4">
        <f ca="1">+VLOOKUP($BG10,INDIRECT(Adrese!F$2),9,FALSE)</f>
        <v>6.9102333759687384E-2</v>
      </c>
      <c r="BW10" s="4" t="str">
        <f t="shared" ca="1" si="15"/>
        <v>0.07 (0.00)</v>
      </c>
      <c r="BX10" s="4">
        <f t="shared" ca="1" si="16"/>
        <v>6.6172381327256127E-2</v>
      </c>
      <c r="BY10" s="4">
        <f t="shared" ca="1" si="17"/>
        <v>3.970282351055664E-3</v>
      </c>
    </row>
    <row r="11" spans="1:77" x14ac:dyDescent="0.25">
      <c r="A11" t="s">
        <v>72</v>
      </c>
      <c r="B11" s="11">
        <f ca="1">+VLOOKUP($A11,INDIRECT(Adrese!B$2),2,FALSE)</f>
        <v>116</v>
      </c>
      <c r="C11" s="11">
        <f ca="1">+VLOOKUP($A11,INDIRECT(Adrese!C$2),2,FALSE)</f>
        <v>78</v>
      </c>
      <c r="D11" s="11">
        <f ca="1">+VLOOKUP($A11,INDIRECT(Adrese!D$2),2,FALSE)</f>
        <v>126</v>
      </c>
      <c r="E11" s="11">
        <f ca="1">+VLOOKUP($A11,INDIRECT(Adrese!E$2),2,FALSE)</f>
        <v>97</v>
      </c>
      <c r="F11" s="11">
        <f ca="1">+VLOOKUP($A11,INDIRECT(Adrese!F$2),2,FALSE)</f>
        <v>142</v>
      </c>
      <c r="G11" s="4">
        <f t="shared" ca="1" si="0"/>
        <v>111.8</v>
      </c>
      <c r="J11" t="s">
        <v>72</v>
      </c>
      <c r="K11">
        <f ca="1">+VLOOKUP($A11,INDIRECT(Adrese!B$2),3,FALSE)</f>
        <v>168</v>
      </c>
      <c r="L11">
        <f ca="1">+VLOOKUP($A11,INDIRECT(Adrese!C$2),3,FALSE)</f>
        <v>173</v>
      </c>
      <c r="M11">
        <f ca="1">+VLOOKUP($A11,INDIRECT(Adrese!D$2),3,FALSE)</f>
        <v>176</v>
      </c>
      <c r="N11">
        <f ca="1">+VLOOKUP($A11,INDIRECT(Adrese!E$2),3,FALSE)</f>
        <v>181</v>
      </c>
      <c r="O11">
        <f ca="1">+VLOOKUP($A11,INDIRECT(Adrese!F$2),3,FALSE)</f>
        <v>180</v>
      </c>
      <c r="P11">
        <f t="shared" ca="1" si="1"/>
        <v>878</v>
      </c>
      <c r="Q11" s="4">
        <f t="shared" ca="1" si="2"/>
        <v>175.6</v>
      </c>
      <c r="R11" s="4"/>
      <c r="T11" t="s">
        <v>72</v>
      </c>
      <c r="U11">
        <f ca="1">+VLOOKUP($T11,INDIRECT(Adrese!B$2),4,FALSE)</f>
        <v>94752</v>
      </c>
      <c r="V11">
        <f ca="1">+VLOOKUP($T11,INDIRECT(Adrese!C$2),4,FALSE)</f>
        <v>96109</v>
      </c>
      <c r="W11">
        <f ca="1">+VLOOKUP($T11,INDIRECT(Adrese!D$2),4,FALSE)</f>
        <v>94702</v>
      </c>
      <c r="X11">
        <f ca="1">+VLOOKUP($T11,INDIRECT(Adrese!E$2),4,FALSE)</f>
        <v>95735</v>
      </c>
      <c r="Y11">
        <f ca="1">+VLOOKUP($T11,INDIRECT(Adrese!F$2),4,FALSE)</f>
        <v>93934</v>
      </c>
      <c r="Z11">
        <f t="shared" ca="1" si="3"/>
        <v>475232</v>
      </c>
      <c r="AA11" s="4">
        <f t="shared" ca="1" si="4"/>
        <v>95046.399999999994</v>
      </c>
      <c r="AC11" t="s">
        <v>72</v>
      </c>
      <c r="AD11">
        <f ca="1">+VLOOKUP($A11,INDIRECT(Adrese!B$2),5,FALSE)</f>
        <v>13738</v>
      </c>
      <c r="AE11">
        <f ca="1">+VLOOKUP($A11,INDIRECT(Adrese!C$2),5,FALSE)</f>
        <v>13870</v>
      </c>
      <c r="AF11">
        <f ca="1">+VLOOKUP($A11,INDIRECT(Adrese!D$2),5,FALSE)</f>
        <v>14222</v>
      </c>
      <c r="AG11">
        <f ca="1">+VLOOKUP($A11,INDIRECT(Adrese!E$2),5,FALSE)</f>
        <v>14429</v>
      </c>
      <c r="AH11">
        <f ca="1">+VLOOKUP($A11,INDIRECT(Adrese!F$2),5,FALSE)</f>
        <v>13177</v>
      </c>
      <c r="AI11" s="4">
        <f t="shared" ca="1" si="5"/>
        <v>13887.2</v>
      </c>
      <c r="AJ11" s="4"/>
      <c r="AK11" s="4"/>
      <c r="AM11" t="s">
        <v>72</v>
      </c>
      <c r="AN11" s="4">
        <f ca="1">+VLOOKUP($A11,INDIRECT(Adrese!B$2),6,FALSE)</f>
        <v>0.30265486725663721</v>
      </c>
      <c r="AO11" s="4">
        <f ca="1">+VLOOKUP($A11,INDIRECT(Adrese!C$2),6,FALSE)</f>
        <v>0.30639380530973448</v>
      </c>
      <c r="AP11" s="4">
        <f ca="1">+VLOOKUP($A11,INDIRECT(Adrese!D$2),6,FALSE)</f>
        <v>0.31362831858407081</v>
      </c>
      <c r="AQ11" s="4">
        <f ca="1">+VLOOKUP($A11,INDIRECT(Adrese!E$2),6,FALSE)</f>
        <v>0.31871681415929198</v>
      </c>
      <c r="AR11" s="4">
        <f ca="1">+VLOOKUP($A11,INDIRECT(Adrese!F$2),6,FALSE)</f>
        <v>0.29028761061946901</v>
      </c>
      <c r="AS11" s="4" t="str">
        <f t="shared" ca="1" si="6"/>
        <v>0.31 (0.01)</v>
      </c>
      <c r="AT11" s="4">
        <f t="shared" ca="1" si="7"/>
        <v>0.30633628318584066</v>
      </c>
      <c r="AU11" s="4">
        <f t="shared" ca="1" si="8"/>
        <v>1.0926657203998501E-2</v>
      </c>
      <c r="AW11" t="s">
        <v>72</v>
      </c>
      <c r="AX11" s="4">
        <f ca="1">+VLOOKUP($A11,INDIRECT(Adrese!B$2),7,FALSE)</f>
        <v>0.25663716814159288</v>
      </c>
      <c r="AY11" s="4">
        <f ca="1">+VLOOKUP($A11,INDIRECT(Adrese!C$2),7,FALSE)</f>
        <v>0.23451327433628319</v>
      </c>
      <c r="AZ11" s="4">
        <f ca="1">+VLOOKUP($A11,INDIRECT(Adrese!D$2),7,FALSE)</f>
        <v>0.22123893805309741</v>
      </c>
      <c r="BA11" s="4">
        <f ca="1">+VLOOKUP($A11,INDIRECT(Adrese!E$2),7,FALSE)</f>
        <v>0.19911504424778759</v>
      </c>
      <c r="BB11" s="4">
        <f ca="1">+VLOOKUP($A11,INDIRECT(Adrese!F$2),7,FALSE)</f>
        <v>0.2035398230088496</v>
      </c>
      <c r="BC11" s="4" t="str">
        <f t="shared" ca="1" si="9"/>
        <v>0.22 (0.02)</v>
      </c>
      <c r="BD11">
        <f t="shared" ca="1" si="10"/>
        <v>0.22300884955752215</v>
      </c>
      <c r="BE11" s="4">
        <f t="shared" ca="1" si="11"/>
        <v>2.35388249172927E-2</v>
      </c>
      <c r="BG11" t="s">
        <v>72</v>
      </c>
      <c r="BH11" s="4">
        <f ca="1">+VLOOKUP($BG11,INDIRECT(Adrese!B$2),8,FALSE)</f>
        <v>4.4381421949464747E-2</v>
      </c>
      <c r="BI11" s="4">
        <f ca="1">+VLOOKUP($BG11,INDIRECT(Adrese!C$2),8,FALSE)</f>
        <v>4.4251039188667712E-2</v>
      </c>
      <c r="BJ11" s="4">
        <f ca="1">+VLOOKUP($BG11,INDIRECT(Adrese!D$2),8,FALSE)</f>
        <v>4.620503054182195E-2</v>
      </c>
      <c r="BK11" s="4">
        <f ca="1">+VLOOKUP($BG11,INDIRECT(Adrese!E$2),8,FALSE)</f>
        <v>4.7152722296727123E-2</v>
      </c>
      <c r="BL11" s="4">
        <f ca="1">+VLOOKUP($BG11,INDIRECT(Adrese!F$2),8,FALSE)</f>
        <v>4.1867740251958087E-2</v>
      </c>
      <c r="BM11" s="4" t="str">
        <f t="shared" ca="1" si="12"/>
        <v>0.04 (0.00)</v>
      </c>
      <c r="BN11" s="4">
        <f t="shared" ca="1" si="13"/>
        <v>4.4771590845727918E-2</v>
      </c>
      <c r="BO11" s="4">
        <f t="shared" ca="1" si="14"/>
        <v>2.0359328583902563E-3</v>
      </c>
      <c r="BQ11" t="s">
        <v>72</v>
      </c>
      <c r="BR11" s="4">
        <f ca="1">+VLOOKUP($BG11,INDIRECT(Adrese!B$2),9,FALSE)</f>
        <v>8.5792342570660596E-2</v>
      </c>
      <c r="BS11" s="4">
        <f ca="1">+VLOOKUP($BG11,INDIRECT(Adrese!C$2),9,FALSE)</f>
        <v>7.8938099887214425E-2</v>
      </c>
      <c r="BT11" s="4">
        <f ca="1">+VLOOKUP($BG11,INDIRECT(Adrese!D$2),9,FALSE)</f>
        <v>8.8065960697610107E-2</v>
      </c>
      <c r="BU11" s="4">
        <f ca="1">+VLOOKUP($BG11,INDIRECT(Adrese!E$2),9,FALSE)</f>
        <v>8.8130968634155052E-2</v>
      </c>
      <c r="BV11" s="4">
        <f ca="1">+VLOOKUP($BG11,INDIRECT(Adrese!F$2),9,FALSE)</f>
        <v>8.8686740234392478E-2</v>
      </c>
      <c r="BW11" s="4" t="str">
        <f t="shared" ca="1" si="15"/>
        <v>0.09 (0.00)</v>
      </c>
      <c r="BX11" s="4">
        <f t="shared" ca="1" si="16"/>
        <v>8.5922822404806531E-2</v>
      </c>
      <c r="BY11" s="4">
        <f t="shared" ca="1" si="17"/>
        <v>4.0592969500840648E-3</v>
      </c>
    </row>
    <row r="12" spans="1:77" x14ac:dyDescent="0.25">
      <c r="A12" t="s">
        <v>73</v>
      </c>
      <c r="B12" s="11">
        <f ca="1">+VLOOKUP($A12,INDIRECT(Adrese!B$2),2,FALSE)</f>
        <v>89</v>
      </c>
      <c r="C12" s="11">
        <f ca="1">+VLOOKUP($A12,INDIRECT(Adrese!C$2),2,FALSE)</f>
        <v>115</v>
      </c>
      <c r="D12" s="11">
        <f ca="1">+VLOOKUP($A12,INDIRECT(Adrese!D$2),2,FALSE)</f>
        <v>118</v>
      </c>
      <c r="E12" s="11">
        <f ca="1">+VLOOKUP($A12,INDIRECT(Adrese!E$2),2,FALSE)</f>
        <v>123</v>
      </c>
      <c r="F12" s="11">
        <f ca="1">+VLOOKUP($A12,INDIRECT(Adrese!F$2),2,FALSE)</f>
        <v>119</v>
      </c>
      <c r="G12" s="4">
        <f t="shared" ca="1" si="0"/>
        <v>112.8</v>
      </c>
      <c r="J12" t="s">
        <v>73</v>
      </c>
      <c r="K12">
        <f ca="1">+VLOOKUP($A12,INDIRECT(Adrese!B$2),3,FALSE)</f>
        <v>78</v>
      </c>
      <c r="L12">
        <f ca="1">+VLOOKUP($A12,INDIRECT(Adrese!C$2),3,FALSE)</f>
        <v>80</v>
      </c>
      <c r="M12">
        <f ca="1">+VLOOKUP($A12,INDIRECT(Adrese!D$2),3,FALSE)</f>
        <v>78</v>
      </c>
      <c r="N12">
        <f ca="1">+VLOOKUP($A12,INDIRECT(Adrese!E$2),3,FALSE)</f>
        <v>75</v>
      </c>
      <c r="O12">
        <f ca="1">+VLOOKUP($A12,INDIRECT(Adrese!F$2),3,FALSE)</f>
        <v>80</v>
      </c>
      <c r="P12">
        <f t="shared" ca="1" si="1"/>
        <v>391</v>
      </c>
      <c r="Q12" s="4">
        <f t="shared" ca="1" si="2"/>
        <v>78.2</v>
      </c>
      <c r="R12" s="4"/>
      <c r="T12" t="s">
        <v>73</v>
      </c>
      <c r="U12">
        <f ca="1">+VLOOKUP($T12,INDIRECT(Adrese!B$2),4,FALSE)</f>
        <v>96137</v>
      </c>
      <c r="V12">
        <f ca="1">+VLOOKUP($T12,INDIRECT(Adrese!C$2),4,FALSE)</f>
        <v>95013</v>
      </c>
      <c r="W12">
        <f ca="1">+VLOOKUP($T12,INDIRECT(Adrese!D$2),4,FALSE)</f>
        <v>94887</v>
      </c>
      <c r="X12">
        <f ca="1">+VLOOKUP($T12,INDIRECT(Adrese!E$2),4,FALSE)</f>
        <v>94642</v>
      </c>
      <c r="Y12">
        <f ca="1">+VLOOKUP($T12,INDIRECT(Adrese!F$2),4,FALSE)</f>
        <v>94879</v>
      </c>
      <c r="Z12">
        <f t="shared" ca="1" si="3"/>
        <v>475558</v>
      </c>
      <c r="AA12" s="4">
        <f t="shared" ca="1" si="4"/>
        <v>95111.6</v>
      </c>
      <c r="AC12" t="s">
        <v>73</v>
      </c>
      <c r="AD12">
        <f ca="1">+VLOOKUP($A12,INDIRECT(Adrese!B$2),5,FALSE)</f>
        <v>23030</v>
      </c>
      <c r="AE12">
        <f ca="1">+VLOOKUP($A12,INDIRECT(Adrese!C$2),5,FALSE)</f>
        <v>22811</v>
      </c>
      <c r="AF12">
        <f ca="1">+VLOOKUP($A12,INDIRECT(Adrese!D$2),5,FALSE)</f>
        <v>22980</v>
      </c>
      <c r="AG12">
        <f ca="1">+VLOOKUP($A12,INDIRECT(Adrese!E$2),5,FALSE)</f>
        <v>23112</v>
      </c>
      <c r="AH12">
        <f ca="1">+VLOOKUP($A12,INDIRECT(Adrese!F$2),5,FALSE)</f>
        <v>23132</v>
      </c>
      <c r="AI12" s="4">
        <f t="shared" ca="1" si="5"/>
        <v>23013</v>
      </c>
      <c r="AJ12" s="4"/>
      <c r="AK12" s="4"/>
      <c r="AM12" t="s">
        <v>73</v>
      </c>
      <c r="AN12" s="4">
        <f ca="1">+VLOOKUP($A12,INDIRECT(Adrese!B$2),6,FALSE)</f>
        <v>0.50705752212389377</v>
      </c>
      <c r="AO12" s="4">
        <f ca="1">+VLOOKUP($A12,INDIRECT(Adrese!C$2),6,FALSE)</f>
        <v>0.50241150442477878</v>
      </c>
      <c r="AP12" s="4">
        <f ca="1">+VLOOKUP($A12,INDIRECT(Adrese!D$2),6,FALSE)</f>
        <v>0.50615044247787611</v>
      </c>
      <c r="AQ12" s="4">
        <f ca="1">+VLOOKUP($A12,INDIRECT(Adrese!E$2),6,FALSE)</f>
        <v>0.50898230088495577</v>
      </c>
      <c r="AR12" s="4">
        <f ca="1">+VLOOKUP($A12,INDIRECT(Adrese!F$2),6,FALSE)</f>
        <v>0.50920353982300881</v>
      </c>
      <c r="AS12" s="4" t="str">
        <f t="shared" ca="1" si="6"/>
        <v>0.51 (0.00)</v>
      </c>
      <c r="AT12" s="4">
        <f t="shared" ca="1" si="7"/>
        <v>0.50676106194690262</v>
      </c>
      <c r="AU12" s="4">
        <f t="shared" ca="1" si="8"/>
        <v>2.7513176845809567E-3</v>
      </c>
      <c r="AW12" t="s">
        <v>73</v>
      </c>
      <c r="AX12" s="4">
        <f ca="1">+VLOOKUP($A12,INDIRECT(Adrese!B$2),7,FALSE)</f>
        <v>0.65486725663716816</v>
      </c>
      <c r="AY12" s="4">
        <f ca="1">+VLOOKUP($A12,INDIRECT(Adrese!C$2),7,FALSE)</f>
        <v>0.64601769911504425</v>
      </c>
      <c r="AZ12" s="4">
        <f ca="1">+VLOOKUP($A12,INDIRECT(Adrese!D$2),7,FALSE)</f>
        <v>0.65486725663716816</v>
      </c>
      <c r="BA12" s="4">
        <f ca="1">+VLOOKUP($A12,INDIRECT(Adrese!E$2),7,FALSE)</f>
        <v>0.66814159292035402</v>
      </c>
      <c r="BB12" s="4">
        <f ca="1">+VLOOKUP($A12,INDIRECT(Adrese!F$2),7,FALSE)</f>
        <v>0.64601769911504425</v>
      </c>
      <c r="BC12" s="4" t="str">
        <f t="shared" ca="1" si="9"/>
        <v>0.65 (0.01)</v>
      </c>
      <c r="BD12">
        <f t="shared" ca="1" si="10"/>
        <v>0.65398230088495579</v>
      </c>
      <c r="BE12" s="4">
        <f t="shared" ca="1" si="11"/>
        <v>9.0680980229731097E-3</v>
      </c>
      <c r="BG12" t="s">
        <v>73</v>
      </c>
      <c r="BH12" s="4">
        <f ca="1">+VLOOKUP($BG12,INDIRECT(Adrese!B$2),8,FALSE)</f>
        <v>6.0226653766858068E-2</v>
      </c>
      <c r="BI12" s="4">
        <f ca="1">+VLOOKUP($BG12,INDIRECT(Adrese!C$2),8,FALSE)</f>
        <v>5.9946124283142631E-2</v>
      </c>
      <c r="BJ12" s="4">
        <f ca="1">+VLOOKUP($BG12,INDIRECT(Adrese!D$2),8,FALSE)</f>
        <v>6.0116514873425703E-2</v>
      </c>
      <c r="BK12" s="4">
        <f ca="1">+VLOOKUP($BG12,INDIRECT(Adrese!E$2),8,FALSE)</f>
        <v>6.0635462135390041E-2</v>
      </c>
      <c r="BL12" s="4">
        <f ca="1">+VLOOKUP($BG12,INDIRECT(Adrese!F$2),8,FALSE)</f>
        <v>6.1029651145997711E-2</v>
      </c>
      <c r="BM12" s="4" t="str">
        <f t="shared" ca="1" si="12"/>
        <v>0.06 (0.00)</v>
      </c>
      <c r="BN12" s="4">
        <f t="shared" ca="1" si="13"/>
        <v>6.0390881240962833E-2</v>
      </c>
      <c r="BO12" s="4">
        <f t="shared" ca="1" si="14"/>
        <v>4.3815040908143409E-4</v>
      </c>
      <c r="BQ12" t="s">
        <v>73</v>
      </c>
      <c r="BR12" s="4">
        <f ca="1">+VLOOKUP($BG12,INDIRECT(Adrese!B$2),9,FALSE)</f>
        <v>-4.84425391666738E-2</v>
      </c>
      <c r="BS12" s="4">
        <f ca="1">+VLOOKUP($BG12,INDIRECT(Adrese!C$2),9,FALSE)</f>
        <v>-4.6715861268850023E-2</v>
      </c>
      <c r="BT12" s="4">
        <f ca="1">+VLOOKUP($BG12,INDIRECT(Adrese!D$2),9,FALSE)</f>
        <v>-4.793345317816014E-2</v>
      </c>
      <c r="BU12" s="4">
        <f ca="1">+VLOOKUP($BG12,INDIRECT(Adrese!E$2),9,FALSE)</f>
        <v>-4.7176990798114743E-2</v>
      </c>
      <c r="BV12" s="4">
        <f ca="1">+VLOOKUP($BG12,INDIRECT(Adrese!F$2),9,FALSE)</f>
        <v>-4.5447798898332968E-2</v>
      </c>
      <c r="BW12" s="4" t="str">
        <f t="shared" ca="1" si="15"/>
        <v>-0.05 (0.00)</v>
      </c>
      <c r="BX12" s="4">
        <f t="shared" ca="1" si="16"/>
        <v>-4.7143328662026335E-2</v>
      </c>
      <c r="BY12" s="4">
        <f t="shared" ca="1" si="17"/>
        <v>1.1587630665484501E-3</v>
      </c>
    </row>
    <row r="13" spans="1:77" x14ac:dyDescent="0.25">
      <c r="A13" t="s">
        <v>74</v>
      </c>
      <c r="B13" s="11">
        <f ca="1">+VLOOKUP($A13,INDIRECT(Adrese!B$2),2,FALSE)</f>
        <v>154</v>
      </c>
      <c r="C13" s="11">
        <f ca="1">+VLOOKUP($A13,INDIRECT(Adrese!C$2),2,FALSE)</f>
        <v>122</v>
      </c>
      <c r="D13" s="11">
        <f ca="1">+VLOOKUP($A13,INDIRECT(Adrese!D$2),2,FALSE)</f>
        <v>130</v>
      </c>
      <c r="E13" s="11">
        <f ca="1">+VLOOKUP($A13,INDIRECT(Adrese!E$2),2,FALSE)</f>
        <v>143</v>
      </c>
      <c r="F13" s="11">
        <f ca="1">+VLOOKUP($A13,INDIRECT(Adrese!F$2),2,FALSE)</f>
        <v>100</v>
      </c>
      <c r="G13" s="4">
        <f t="shared" ca="1" si="0"/>
        <v>129.80000000000001</v>
      </c>
      <c r="J13" t="s">
        <v>74</v>
      </c>
      <c r="K13">
        <f ca="1">+VLOOKUP($A13,INDIRECT(Adrese!B$2),3,FALSE)</f>
        <v>103</v>
      </c>
      <c r="L13">
        <f ca="1">+VLOOKUP($A13,INDIRECT(Adrese!C$2),3,FALSE)</f>
        <v>102</v>
      </c>
      <c r="M13">
        <f ca="1">+VLOOKUP($A13,INDIRECT(Adrese!D$2),3,FALSE)</f>
        <v>108</v>
      </c>
      <c r="N13">
        <f ca="1">+VLOOKUP($A13,INDIRECT(Adrese!E$2),3,FALSE)</f>
        <v>108</v>
      </c>
      <c r="O13">
        <f ca="1">+VLOOKUP($A13,INDIRECT(Adrese!F$2),3,FALSE)</f>
        <v>108</v>
      </c>
      <c r="P13">
        <f t="shared" ca="1" si="1"/>
        <v>529</v>
      </c>
      <c r="Q13" s="4">
        <f t="shared" ca="1" si="2"/>
        <v>105.8</v>
      </c>
      <c r="R13" s="4"/>
      <c r="T13" t="s">
        <v>74</v>
      </c>
      <c r="U13">
        <f ca="1">+VLOOKUP($T13,INDIRECT(Adrese!B$2),4,FALSE)</f>
        <v>93159</v>
      </c>
      <c r="V13">
        <f ca="1">+VLOOKUP($T13,INDIRECT(Adrese!C$2),4,FALSE)</f>
        <v>94551</v>
      </c>
      <c r="W13">
        <f ca="1">+VLOOKUP($T13,INDIRECT(Adrese!D$2),4,FALSE)</f>
        <v>94488</v>
      </c>
      <c r="X13">
        <f ca="1">+VLOOKUP($T13,INDIRECT(Adrese!E$2),4,FALSE)</f>
        <v>94042</v>
      </c>
      <c r="Y13">
        <f ca="1">+VLOOKUP($T13,INDIRECT(Adrese!F$2),4,FALSE)</f>
        <v>95404</v>
      </c>
      <c r="Z13">
        <f t="shared" ca="1" si="3"/>
        <v>471644</v>
      </c>
      <c r="AA13" s="4">
        <f t="shared" ca="1" si="4"/>
        <v>94328.8</v>
      </c>
      <c r="AC13" t="s">
        <v>74</v>
      </c>
      <c r="AD13">
        <f ca="1">+VLOOKUP($A13,INDIRECT(Adrese!B$2),5,FALSE)</f>
        <v>15559</v>
      </c>
      <c r="AE13">
        <f ca="1">+VLOOKUP($A13,INDIRECT(Adrese!C$2),5,FALSE)</f>
        <v>15550</v>
      </c>
      <c r="AF13">
        <f ca="1">+VLOOKUP($A13,INDIRECT(Adrese!D$2),5,FALSE)</f>
        <v>15609</v>
      </c>
      <c r="AG13">
        <f ca="1">+VLOOKUP($A13,INDIRECT(Adrese!E$2),5,FALSE)</f>
        <v>15653</v>
      </c>
      <c r="AH13">
        <f ca="1">+VLOOKUP($A13,INDIRECT(Adrese!F$2),5,FALSE)</f>
        <v>15732</v>
      </c>
      <c r="AI13" s="4">
        <f t="shared" ca="1" si="5"/>
        <v>15620.6</v>
      </c>
      <c r="AJ13" s="4"/>
      <c r="AK13" s="4"/>
      <c r="AM13" t="s">
        <v>74</v>
      </c>
      <c r="AN13" s="4">
        <f ca="1">+VLOOKUP($A13,INDIRECT(Adrese!B$2),6,FALSE)</f>
        <v>0.34227876106194688</v>
      </c>
      <c r="AO13" s="4">
        <f ca="1">+VLOOKUP($A13,INDIRECT(Adrese!C$2),6,FALSE)</f>
        <v>0.34207964601769908</v>
      </c>
      <c r="AP13" s="4">
        <f ca="1">+VLOOKUP($A13,INDIRECT(Adrese!D$2),6,FALSE)</f>
        <v>0.34314159292035401</v>
      </c>
      <c r="AQ13" s="4">
        <f ca="1">+VLOOKUP($A13,INDIRECT(Adrese!E$2),6,FALSE)</f>
        <v>0.34426991150442482</v>
      </c>
      <c r="AR13" s="4">
        <f ca="1">+VLOOKUP($A13,INDIRECT(Adrese!F$2),6,FALSE)</f>
        <v>0.34657079646017702</v>
      </c>
      <c r="AS13" s="4" t="str">
        <f t="shared" ca="1" si="6"/>
        <v>0.34 (0.00)</v>
      </c>
      <c r="AT13" s="4">
        <f t="shared" ca="1" si="7"/>
        <v>0.34366814159292036</v>
      </c>
      <c r="AU13" s="4">
        <f t="shared" ca="1" si="8"/>
        <v>1.8383744355903123E-3</v>
      </c>
      <c r="AW13" t="s">
        <v>74</v>
      </c>
      <c r="AX13" s="4">
        <f ca="1">+VLOOKUP($A13,INDIRECT(Adrese!B$2),7,FALSE)</f>
        <v>0.54424778761061943</v>
      </c>
      <c r="AY13" s="4">
        <f ca="1">+VLOOKUP($A13,INDIRECT(Adrese!C$2),7,FALSE)</f>
        <v>0.54867256637168138</v>
      </c>
      <c r="AZ13" s="4">
        <f ca="1">+VLOOKUP($A13,INDIRECT(Adrese!D$2),7,FALSE)</f>
        <v>0.52212389380530977</v>
      </c>
      <c r="BA13" s="4">
        <f ca="1">+VLOOKUP($A13,INDIRECT(Adrese!E$2),7,FALSE)</f>
        <v>0.52212389380530977</v>
      </c>
      <c r="BB13" s="4">
        <f ca="1">+VLOOKUP($A13,INDIRECT(Adrese!F$2),7,FALSE)</f>
        <v>0.52212389380530977</v>
      </c>
      <c r="BC13" s="4" t="str">
        <f t="shared" ca="1" si="9"/>
        <v>0.53 (0.01)</v>
      </c>
      <c r="BD13">
        <f t="shared" ca="1" si="10"/>
        <v>0.53185840707964605</v>
      </c>
      <c r="BE13" s="4">
        <f t="shared" ca="1" si="11"/>
        <v>1.3421018485046954E-2</v>
      </c>
      <c r="BG13" t="s">
        <v>74</v>
      </c>
      <c r="BH13" s="4">
        <f ca="1">+VLOOKUP($BG13,INDIRECT(Adrese!B$2),8,FALSE)</f>
        <v>4.2873472928637212E-2</v>
      </c>
      <c r="BI13" s="4">
        <f ca="1">+VLOOKUP($BG13,INDIRECT(Adrese!C$2),8,FALSE)</f>
        <v>4.2771059191025487E-2</v>
      </c>
      <c r="BJ13" s="4">
        <f ca="1">+VLOOKUP($BG13,INDIRECT(Adrese!D$2),8,FALSE)</f>
        <v>4.2683638790599727E-2</v>
      </c>
      <c r="BK13" s="4">
        <f ca="1">+VLOOKUP($BG13,INDIRECT(Adrese!E$2),8,FALSE)</f>
        <v>4.3178240497854257E-2</v>
      </c>
      <c r="BL13" s="4">
        <f ca="1">+VLOOKUP($BG13,INDIRECT(Adrese!F$2),8,FALSE)</f>
        <v>4.2974491417642841E-2</v>
      </c>
      <c r="BM13" s="4" t="str">
        <f t="shared" ca="1" si="12"/>
        <v>0.04 (0.00)</v>
      </c>
      <c r="BN13" s="4">
        <f t="shared" ca="1" si="13"/>
        <v>4.2896180565151903E-2</v>
      </c>
      <c r="BO13" s="4">
        <f t="shared" ca="1" si="14"/>
        <v>1.9172597385530983E-4</v>
      </c>
      <c r="BQ13" t="s">
        <v>74</v>
      </c>
      <c r="BR13" s="4">
        <f ca="1">+VLOOKUP($BG13,INDIRECT(Adrese!B$2),9,FALSE)</f>
        <v>2.146799695029163E-2</v>
      </c>
      <c r="BS13" s="4">
        <f ca="1">+VLOOKUP($BG13,INDIRECT(Adrese!C$2),9,FALSE)</f>
        <v>1.928833454908388E-2</v>
      </c>
      <c r="BT13" s="4">
        <f ca="1">+VLOOKUP($BG13,INDIRECT(Adrese!D$2),9,FALSE)</f>
        <v>1.8442686919440121E-2</v>
      </c>
      <c r="BU13" s="4">
        <f ca="1">+VLOOKUP($BG13,INDIRECT(Adrese!E$2),9,FALSE)</f>
        <v>2.0560068150581642E-2</v>
      </c>
      <c r="BV13" s="4">
        <f ca="1">+VLOOKUP($BG13,INDIRECT(Adrese!F$2),9,FALSE)</f>
        <v>1.764569434673624E-2</v>
      </c>
      <c r="BW13" s="4" t="str">
        <f t="shared" ca="1" si="15"/>
        <v>0.02 (0.00)</v>
      </c>
      <c r="BX13" s="4">
        <f t="shared" ca="1" si="16"/>
        <v>1.9480956183226702E-2</v>
      </c>
      <c r="BY13" s="4">
        <f t="shared" ca="1" si="17"/>
        <v>1.5488790958793997E-3</v>
      </c>
    </row>
    <row r="14" spans="1:77" x14ac:dyDescent="0.25">
      <c r="A14" t="s">
        <v>75</v>
      </c>
      <c r="B14" s="11">
        <f ca="1">+VLOOKUP($A14,INDIRECT(Adrese!B$2),2,FALSE)</f>
        <v>102</v>
      </c>
      <c r="C14" s="11">
        <f ca="1">+VLOOKUP($A14,INDIRECT(Adrese!C$2),2,FALSE)</f>
        <v>160</v>
      </c>
      <c r="D14" s="11">
        <f ca="1">+VLOOKUP($A14,INDIRECT(Adrese!D$2),2,FALSE)</f>
        <v>141</v>
      </c>
      <c r="E14" s="11">
        <f ca="1">+VLOOKUP($A14,INDIRECT(Adrese!E$2),2,FALSE)</f>
        <v>90</v>
      </c>
      <c r="F14" s="11">
        <f ca="1">+VLOOKUP($A14,INDIRECT(Adrese!F$2),2,FALSE)</f>
        <v>101</v>
      </c>
      <c r="G14" s="4">
        <f t="shared" ca="1" si="0"/>
        <v>118.8</v>
      </c>
      <c r="J14" t="s">
        <v>75</v>
      </c>
      <c r="K14">
        <f ca="1">+VLOOKUP($A14,INDIRECT(Adrese!B$2),3,FALSE)</f>
        <v>120</v>
      </c>
      <c r="L14">
        <f ca="1">+VLOOKUP($A14,INDIRECT(Adrese!C$2),3,FALSE)</f>
        <v>107</v>
      </c>
      <c r="M14">
        <f ca="1">+VLOOKUP($A14,INDIRECT(Adrese!D$2),3,FALSE)</f>
        <v>107</v>
      </c>
      <c r="N14">
        <f ca="1">+VLOOKUP($A14,INDIRECT(Adrese!E$2),3,FALSE)</f>
        <v>109</v>
      </c>
      <c r="O14">
        <f ca="1">+VLOOKUP($A14,INDIRECT(Adrese!F$2),3,FALSE)</f>
        <v>106</v>
      </c>
      <c r="P14">
        <f t="shared" ca="1" si="1"/>
        <v>549</v>
      </c>
      <c r="Q14" s="4">
        <f t="shared" ca="1" si="2"/>
        <v>109.8</v>
      </c>
      <c r="R14" s="4"/>
      <c r="T14" t="s">
        <v>75</v>
      </c>
      <c r="U14">
        <f ca="1">+VLOOKUP($T14,INDIRECT(Adrese!B$2),4,FALSE)</f>
        <v>95425</v>
      </c>
      <c r="V14">
        <f ca="1">+VLOOKUP($T14,INDIRECT(Adrese!C$2),4,FALSE)</f>
        <v>93075</v>
      </c>
      <c r="W14">
        <f ca="1">+VLOOKUP($T14,INDIRECT(Adrese!D$2),4,FALSE)</f>
        <v>94034</v>
      </c>
      <c r="X14">
        <f ca="1">+VLOOKUP($T14,INDIRECT(Adrese!E$2),4,FALSE)</f>
        <v>96046</v>
      </c>
      <c r="Y14">
        <f ca="1">+VLOOKUP($T14,INDIRECT(Adrese!F$2),4,FALSE)</f>
        <v>95382</v>
      </c>
      <c r="Z14">
        <f t="shared" ca="1" si="3"/>
        <v>473962</v>
      </c>
      <c r="AA14" s="4">
        <f t="shared" ca="1" si="4"/>
        <v>94792.4</v>
      </c>
      <c r="AC14" t="s">
        <v>75</v>
      </c>
      <c r="AD14">
        <f ca="1">+VLOOKUP($A14,INDIRECT(Adrese!B$2),5,FALSE)</f>
        <v>17800</v>
      </c>
      <c r="AE14">
        <f ca="1">+VLOOKUP($A14,INDIRECT(Adrese!C$2),5,FALSE)</f>
        <v>17291</v>
      </c>
      <c r="AF14">
        <f ca="1">+VLOOKUP($A14,INDIRECT(Adrese!D$2),5,FALSE)</f>
        <v>16979</v>
      </c>
      <c r="AG14">
        <f ca="1">+VLOOKUP($A14,INDIRECT(Adrese!E$2),5,FALSE)</f>
        <v>17880</v>
      </c>
      <c r="AH14">
        <f ca="1">+VLOOKUP($A14,INDIRECT(Adrese!F$2),5,FALSE)</f>
        <v>17379</v>
      </c>
      <c r="AI14" s="4">
        <f t="shared" ca="1" si="5"/>
        <v>17465.8</v>
      </c>
      <c r="AJ14" s="4"/>
      <c r="AK14" s="4"/>
      <c r="AM14" t="s">
        <v>75</v>
      </c>
      <c r="AN14" s="4">
        <f ca="1">+VLOOKUP($A14,INDIRECT(Adrese!B$2),6,FALSE)</f>
        <v>0.39223451327433628</v>
      </c>
      <c r="AO14" s="4">
        <f ca="1">+VLOOKUP($A14,INDIRECT(Adrese!C$2),6,FALSE)</f>
        <v>0.38030973451327432</v>
      </c>
      <c r="AP14" s="4">
        <f ca="1">+VLOOKUP($A14,INDIRECT(Adrese!D$2),6,FALSE)</f>
        <v>0.37444690265486719</v>
      </c>
      <c r="AQ14" s="4">
        <f ca="1">+VLOOKUP($A14,INDIRECT(Adrese!E$2),6,FALSE)</f>
        <v>0.39356194690265489</v>
      </c>
      <c r="AR14" s="4">
        <f ca="1">+VLOOKUP($A14,INDIRECT(Adrese!F$2),6,FALSE)</f>
        <v>0.38234513274336279</v>
      </c>
      <c r="AS14" s="4" t="str">
        <f t="shared" ca="1" si="6"/>
        <v>0.38 (0.01)</v>
      </c>
      <c r="AT14" s="4">
        <f t="shared" ca="1" si="7"/>
        <v>0.38457964601769906</v>
      </c>
      <c r="AU14" s="4">
        <f t="shared" ca="1" si="8"/>
        <v>8.1421189470314188E-3</v>
      </c>
      <c r="AW14" t="s">
        <v>75</v>
      </c>
      <c r="AX14" s="4">
        <f ca="1">+VLOOKUP($A14,INDIRECT(Adrese!B$2),7,FALSE)</f>
        <v>0.46902654867256638</v>
      </c>
      <c r="AY14" s="4">
        <f ca="1">+VLOOKUP($A14,INDIRECT(Adrese!C$2),7,FALSE)</f>
        <v>0.52654867256637172</v>
      </c>
      <c r="AZ14" s="4">
        <f ca="1">+VLOOKUP($A14,INDIRECT(Adrese!D$2),7,FALSE)</f>
        <v>0.52654867256637172</v>
      </c>
      <c r="BA14" s="4">
        <f ca="1">+VLOOKUP($A14,INDIRECT(Adrese!E$2),7,FALSE)</f>
        <v>0.51769911504424782</v>
      </c>
      <c r="BB14" s="4">
        <f ca="1">+VLOOKUP($A14,INDIRECT(Adrese!F$2),7,FALSE)</f>
        <v>0.53097345132743368</v>
      </c>
      <c r="BC14" s="4" t="str">
        <f t="shared" ca="1" si="9"/>
        <v>0.51 (0.03)</v>
      </c>
      <c r="BD14">
        <f t="shared" ca="1" si="10"/>
        <v>0.51415929203539823</v>
      </c>
      <c r="BE14" s="4">
        <f t="shared" ca="1" si="11"/>
        <v>2.568659340477876E-2</v>
      </c>
      <c r="BG14" t="s">
        <v>75</v>
      </c>
      <c r="BH14" s="4">
        <f ca="1">+VLOOKUP($BG14,INDIRECT(Adrese!B$2),8,FALSE)</f>
        <v>5.195774576550323E-2</v>
      </c>
      <c r="BI14" s="4">
        <f ca="1">+VLOOKUP($BG14,INDIRECT(Adrese!C$2),8,FALSE)</f>
        <v>5.0397255505261113E-2</v>
      </c>
      <c r="BJ14" s="4">
        <f ca="1">+VLOOKUP($BG14,INDIRECT(Adrese!D$2),8,FALSE)</f>
        <v>4.9480937319584951E-2</v>
      </c>
      <c r="BK14" s="4">
        <f ca="1">+VLOOKUP($BG14,INDIRECT(Adrese!E$2),8,FALSE)</f>
        <v>5.196322061402299E-2</v>
      </c>
      <c r="BL14" s="4">
        <f ca="1">+VLOOKUP($BG14,INDIRECT(Adrese!F$2),8,FALSE)</f>
        <v>5.0931345451520019E-2</v>
      </c>
      <c r="BM14" s="4" t="str">
        <f t="shared" ca="1" si="12"/>
        <v>0.05 (0.00)</v>
      </c>
      <c r="BN14" s="4">
        <f t="shared" ca="1" si="13"/>
        <v>5.0946100931178462E-2</v>
      </c>
      <c r="BO14" s="4">
        <f t="shared" ca="1" si="14"/>
        <v>1.0613801338957012E-3</v>
      </c>
      <c r="BQ14" t="s">
        <v>75</v>
      </c>
      <c r="BR14" s="4">
        <f ca="1">+VLOOKUP($BG14,INDIRECT(Adrese!B$2),9,FALSE)</f>
        <v>3.4427548917423778E-2</v>
      </c>
      <c r="BS14" s="4">
        <f ca="1">+VLOOKUP($BG14,INDIRECT(Adrese!C$2),9,FALSE)</f>
        <v>3.7202080708374601E-2</v>
      </c>
      <c r="BT14" s="4">
        <f ca="1">+VLOOKUP($BG14,INDIRECT(Adrese!D$2),9,FALSE)</f>
        <v>3.7057001303400491E-2</v>
      </c>
      <c r="BU14" s="4">
        <f ca="1">+VLOOKUP($BG14,INDIRECT(Adrese!E$2),9,FALSE)</f>
        <v>3.0049070709181679E-2</v>
      </c>
      <c r="BV14" s="4">
        <f ca="1">+VLOOKUP($BG14,INDIRECT(Adrese!F$2),9,FALSE)</f>
        <v>3.3588775056718527E-2</v>
      </c>
      <c r="BW14" s="4" t="str">
        <f t="shared" ca="1" si="15"/>
        <v>0.03 (0.00)</v>
      </c>
      <c r="BX14" s="4">
        <f t="shared" ca="1" si="16"/>
        <v>3.4464895339019821E-2</v>
      </c>
      <c r="BY14" s="4">
        <f t="shared" ca="1" si="17"/>
        <v>2.9359702715856385E-3</v>
      </c>
    </row>
    <row r="15" spans="1:77" x14ac:dyDescent="0.25">
      <c r="A15" t="s">
        <v>76</v>
      </c>
      <c r="B15" s="11">
        <f ca="1">+VLOOKUP($A15,INDIRECT(Adrese!B$2),2,FALSE)</f>
        <v>10</v>
      </c>
      <c r="C15" s="11">
        <f ca="1">+VLOOKUP($A15,INDIRECT(Adrese!C$2),2,FALSE)</f>
        <v>9</v>
      </c>
      <c r="D15" s="11">
        <f ca="1">+VLOOKUP($A15,INDIRECT(Adrese!D$2),2,FALSE)</f>
        <v>11</v>
      </c>
      <c r="E15" s="11">
        <f ca="1">+VLOOKUP($A15,INDIRECT(Adrese!E$2),2,FALSE)</f>
        <v>12</v>
      </c>
      <c r="F15" s="11">
        <f ca="1">+VLOOKUP($A15,INDIRECT(Adrese!F$2),2,FALSE)</f>
        <v>17</v>
      </c>
      <c r="G15" s="4">
        <f t="shared" ca="1" si="0"/>
        <v>11.8</v>
      </c>
      <c r="J15" t="s">
        <v>76</v>
      </c>
      <c r="K15">
        <f ca="1">+VLOOKUP($A15,INDIRECT(Adrese!B$2),3,FALSE)</f>
        <v>190</v>
      </c>
      <c r="L15">
        <f ca="1">+VLOOKUP($A15,INDIRECT(Adrese!C$2),3,FALSE)</f>
        <v>191</v>
      </c>
      <c r="M15">
        <f ca="1">+VLOOKUP($A15,INDIRECT(Adrese!D$2),3,FALSE)</f>
        <v>186</v>
      </c>
      <c r="N15">
        <f ca="1">+VLOOKUP($A15,INDIRECT(Adrese!E$2),3,FALSE)</f>
        <v>189</v>
      </c>
      <c r="O15">
        <f ca="1">+VLOOKUP($A15,INDIRECT(Adrese!F$2),3,FALSE)</f>
        <v>191</v>
      </c>
      <c r="P15">
        <f t="shared" ca="1" si="1"/>
        <v>947</v>
      </c>
      <c r="Q15" s="4">
        <f t="shared" ca="1" si="2"/>
        <v>189.4</v>
      </c>
      <c r="R15" s="4"/>
      <c r="T15" t="s">
        <v>76</v>
      </c>
      <c r="U15">
        <f ca="1">+VLOOKUP($T15,INDIRECT(Adrese!B$2),4,FALSE)</f>
        <v>101325</v>
      </c>
      <c r="V15">
        <f ca="1">+VLOOKUP($T15,INDIRECT(Adrese!C$2),4,FALSE)</f>
        <v>102080</v>
      </c>
      <c r="W15">
        <f ca="1">+VLOOKUP($T15,INDIRECT(Adrese!D$2),4,FALSE)</f>
        <v>101631</v>
      </c>
      <c r="X15">
        <f ca="1">+VLOOKUP($T15,INDIRECT(Adrese!E$2),4,FALSE)</f>
        <v>101163</v>
      </c>
      <c r="Y15">
        <f ca="1">+VLOOKUP($T15,INDIRECT(Adrese!F$2),4,FALSE)</f>
        <v>100337</v>
      </c>
      <c r="Z15">
        <f t="shared" ca="1" si="3"/>
        <v>506536</v>
      </c>
      <c r="AA15" s="4">
        <f t="shared" ca="1" si="4"/>
        <v>101307.2</v>
      </c>
      <c r="AC15" t="s">
        <v>76</v>
      </c>
      <c r="AD15">
        <f ca="1">+VLOOKUP($A15,INDIRECT(Adrese!B$2),5,FALSE)</f>
        <v>13534</v>
      </c>
      <c r="AE15">
        <f ca="1">+VLOOKUP($A15,INDIRECT(Adrese!C$2),5,FALSE)</f>
        <v>13882</v>
      </c>
      <c r="AF15">
        <f ca="1">+VLOOKUP($A15,INDIRECT(Adrese!D$2),5,FALSE)</f>
        <v>12947</v>
      </c>
      <c r="AG15">
        <f ca="1">+VLOOKUP($A15,INDIRECT(Adrese!E$2),5,FALSE)</f>
        <v>13672</v>
      </c>
      <c r="AH15">
        <f ca="1">+VLOOKUP($A15,INDIRECT(Adrese!F$2),5,FALSE)</f>
        <v>13224</v>
      </c>
      <c r="AI15" s="4">
        <f t="shared" ca="1" si="5"/>
        <v>13451.8</v>
      </c>
      <c r="AJ15" s="4"/>
      <c r="AK15" s="4"/>
      <c r="AM15" t="s">
        <v>76</v>
      </c>
      <c r="AN15" s="4">
        <f ca="1">+VLOOKUP($A15,INDIRECT(Adrese!B$2),6,FALSE)</f>
        <v>0.29827433628318578</v>
      </c>
      <c r="AO15" s="4">
        <f ca="1">+VLOOKUP($A15,INDIRECT(Adrese!C$2),6,FALSE)</f>
        <v>0.30650442477876111</v>
      </c>
      <c r="AP15" s="4">
        <f ca="1">+VLOOKUP($A15,INDIRECT(Adrese!D$2),6,FALSE)</f>
        <v>0.28575221238938048</v>
      </c>
      <c r="AQ15" s="4">
        <f ca="1">+VLOOKUP($A15,INDIRECT(Adrese!E$2),6,FALSE)</f>
        <v>0.30181415929203542</v>
      </c>
      <c r="AR15" s="4">
        <f ca="1">+VLOOKUP($A15,INDIRECT(Adrese!F$2),6,FALSE)</f>
        <v>0.29157079646017697</v>
      </c>
      <c r="AS15" s="4" t="str">
        <f t="shared" ca="1" si="6"/>
        <v>0.30 (0.01)</v>
      </c>
      <c r="AT15" s="4">
        <f t="shared" ca="1" si="7"/>
        <v>0.29678318584070795</v>
      </c>
      <c r="AU15" s="4">
        <f t="shared" ca="1" si="8"/>
        <v>8.229339103763866E-3</v>
      </c>
      <c r="AW15" t="s">
        <v>76</v>
      </c>
      <c r="AX15" s="4">
        <f ca="1">+VLOOKUP($A15,INDIRECT(Adrese!B$2),7,FALSE)</f>
        <v>0.15929203539823009</v>
      </c>
      <c r="AY15" s="4">
        <f ca="1">+VLOOKUP($A15,INDIRECT(Adrese!C$2),7,FALSE)</f>
        <v>0.1548672566371681</v>
      </c>
      <c r="AZ15" s="4">
        <f ca="1">+VLOOKUP($A15,INDIRECT(Adrese!D$2),7,FALSE)</f>
        <v>0.1769911504424779</v>
      </c>
      <c r="BA15" s="4">
        <f ca="1">+VLOOKUP($A15,INDIRECT(Adrese!E$2),7,FALSE)</f>
        <v>0.16371681415929201</v>
      </c>
      <c r="BB15" s="4">
        <f ca="1">+VLOOKUP($A15,INDIRECT(Adrese!F$2),7,FALSE)</f>
        <v>0.1548672566371681</v>
      </c>
      <c r="BC15" s="4" t="str">
        <f t="shared" ca="1" si="9"/>
        <v>0.16 (0.01)</v>
      </c>
      <c r="BD15">
        <f t="shared" ca="1" si="10"/>
        <v>0.16194690265486722</v>
      </c>
      <c r="BE15" s="4">
        <f t="shared" ca="1" si="11"/>
        <v>9.1754165280211377E-3</v>
      </c>
      <c r="BG15" t="s">
        <v>76</v>
      </c>
      <c r="BH15" s="4">
        <f ca="1">+VLOOKUP($BG15,INDIRECT(Adrese!B$2),8,FALSE)</f>
        <v>4.5881133623269801E-2</v>
      </c>
      <c r="BI15" s="4">
        <f ca="1">+VLOOKUP($BG15,INDIRECT(Adrese!C$2),8,FALSE)</f>
        <v>4.7087707474656897E-2</v>
      </c>
      <c r="BJ15" s="4">
        <f ca="1">+VLOOKUP($BG15,INDIRECT(Adrese!D$2),8,FALSE)</f>
        <v>4.3730592192828009E-2</v>
      </c>
      <c r="BK15" s="4">
        <f ca="1">+VLOOKUP($BG15,INDIRECT(Adrese!E$2),8,FALSE)</f>
        <v>4.614644569822049E-2</v>
      </c>
      <c r="BL15" s="4">
        <f ca="1">+VLOOKUP($BG15,INDIRECT(Adrese!F$2),8,FALSE)</f>
        <v>4.4743976647737042E-2</v>
      </c>
      <c r="BM15" s="4" t="str">
        <f t="shared" ca="1" si="12"/>
        <v>0.05 (0.00)</v>
      </c>
      <c r="BN15" s="4">
        <f t="shared" ca="1" si="13"/>
        <v>4.5517971127342446E-2</v>
      </c>
      <c r="BO15" s="4">
        <f t="shared" ca="1" si="14"/>
        <v>1.3023757517297231E-3</v>
      </c>
      <c r="BQ15" t="s">
        <v>76</v>
      </c>
      <c r="BR15" s="4">
        <f ca="1">+VLOOKUP($BG15,INDIRECT(Adrese!B$2),9,FALSE)</f>
        <v>9.2684912033328473E-2</v>
      </c>
      <c r="BS15" s="4">
        <f ca="1">+VLOOKUP($BG15,INDIRECT(Adrese!C$2),9,FALSE)</f>
        <v>8.4975082892072937E-2</v>
      </c>
      <c r="BT15" s="4">
        <f ca="1">+VLOOKUP($BG15,INDIRECT(Adrese!D$2),9,FALSE)</f>
        <v>9.2634681074424505E-2</v>
      </c>
      <c r="BU15" s="4">
        <f ca="1">+VLOOKUP($BG15,INDIRECT(Adrese!E$2),9,FALSE)</f>
        <v>9.1440950514266345E-2</v>
      </c>
      <c r="BV15" s="4">
        <f ca="1">+VLOOKUP($BG15,INDIRECT(Adrese!F$2),9,FALSE)</f>
        <v>9.2450448053579118E-2</v>
      </c>
      <c r="BW15" s="4" t="str">
        <f t="shared" ca="1" si="15"/>
        <v>0.09 (0.00)</v>
      </c>
      <c r="BX15" s="4">
        <f t="shared" ca="1" si="16"/>
        <v>9.0837214913534275E-2</v>
      </c>
      <c r="BY15" s="4">
        <f t="shared" ca="1" si="17"/>
        <v>3.3157381879007682E-3</v>
      </c>
    </row>
    <row r="16" spans="1:77" x14ac:dyDescent="0.25">
      <c r="A16" t="s">
        <v>77</v>
      </c>
      <c r="B16" s="11">
        <f ca="1">+VLOOKUP($A16,INDIRECT(Adrese!B$2),2,FALSE)</f>
        <v>59</v>
      </c>
      <c r="C16" s="11">
        <f ca="1">+VLOOKUP($A16,INDIRECT(Adrese!C$2),2,FALSE)</f>
        <v>27</v>
      </c>
      <c r="D16" s="11">
        <f ca="1">+VLOOKUP($A16,INDIRECT(Adrese!D$2),2,FALSE)</f>
        <v>38</v>
      </c>
      <c r="E16" s="11">
        <f ca="1">+VLOOKUP($A16,INDIRECT(Adrese!E$2),2,FALSE)</f>
        <v>66</v>
      </c>
      <c r="F16" s="11">
        <f ca="1">+VLOOKUP($A16,INDIRECT(Adrese!F$2),2,FALSE)</f>
        <v>64</v>
      </c>
      <c r="G16" s="4">
        <f t="shared" ca="1" si="0"/>
        <v>50.8</v>
      </c>
      <c r="J16" t="s">
        <v>77</v>
      </c>
      <c r="K16">
        <f ca="1">+VLOOKUP($A16,INDIRECT(Adrese!B$2),3,FALSE)</f>
        <v>90</v>
      </c>
      <c r="L16">
        <f ca="1">+VLOOKUP($A16,INDIRECT(Adrese!C$2),3,FALSE)</f>
        <v>100</v>
      </c>
      <c r="M16">
        <f ca="1">+VLOOKUP($A16,INDIRECT(Adrese!D$2),3,FALSE)</f>
        <v>102</v>
      </c>
      <c r="N16">
        <f ca="1">+VLOOKUP($A16,INDIRECT(Adrese!E$2),3,FALSE)</f>
        <v>91</v>
      </c>
      <c r="O16">
        <f ca="1">+VLOOKUP($A16,INDIRECT(Adrese!F$2),3,FALSE)</f>
        <v>88</v>
      </c>
      <c r="P16">
        <f t="shared" ca="1" si="1"/>
        <v>471</v>
      </c>
      <c r="Q16" s="4">
        <f t="shared" ca="1" si="2"/>
        <v>94.2</v>
      </c>
      <c r="R16" s="4"/>
      <c r="T16" t="s">
        <v>77</v>
      </c>
      <c r="U16">
        <f ca="1">+VLOOKUP($T16,INDIRECT(Adrese!B$2),4,FALSE)</f>
        <v>97151</v>
      </c>
      <c r="V16">
        <f ca="1">+VLOOKUP($T16,INDIRECT(Adrese!C$2),4,FALSE)</f>
        <v>98991</v>
      </c>
      <c r="W16">
        <f ca="1">+VLOOKUP($T16,INDIRECT(Adrese!D$2),4,FALSE)</f>
        <v>98112</v>
      </c>
      <c r="X16">
        <f ca="1">+VLOOKUP($T16,INDIRECT(Adrese!E$2),4,FALSE)</f>
        <v>96859</v>
      </c>
      <c r="Y16">
        <f ca="1">+VLOOKUP($T16,INDIRECT(Adrese!F$2),4,FALSE)</f>
        <v>97030</v>
      </c>
      <c r="Z16">
        <f t="shared" ca="1" si="3"/>
        <v>488143</v>
      </c>
      <c r="AA16" s="4">
        <f t="shared" ca="1" si="4"/>
        <v>97628.6</v>
      </c>
      <c r="AC16" t="s">
        <v>77</v>
      </c>
      <c r="AD16">
        <f ca="1">+VLOOKUP($A16,INDIRECT(Adrese!B$2),5,FALSE)</f>
        <v>19919</v>
      </c>
      <c r="AE16">
        <f ca="1">+VLOOKUP($A16,INDIRECT(Adrese!C$2),5,FALSE)</f>
        <v>19829</v>
      </c>
      <c r="AF16">
        <f ca="1">+VLOOKUP($A16,INDIRECT(Adrese!D$2),5,FALSE)</f>
        <v>20653</v>
      </c>
      <c r="AG16">
        <f ca="1">+VLOOKUP($A16,INDIRECT(Adrese!E$2),5,FALSE)</f>
        <v>20278</v>
      </c>
      <c r="AH16">
        <f ca="1">+VLOOKUP($A16,INDIRECT(Adrese!F$2),5,FALSE)</f>
        <v>19898</v>
      </c>
      <c r="AI16" s="4">
        <f t="shared" ca="1" si="5"/>
        <v>20115.400000000001</v>
      </c>
      <c r="AJ16" s="4"/>
      <c r="AK16" s="4"/>
      <c r="AM16" t="s">
        <v>77</v>
      </c>
      <c r="AN16" s="4">
        <f ca="1">+VLOOKUP($A16,INDIRECT(Adrese!B$2),6,FALSE)</f>
        <v>0.43913716814159293</v>
      </c>
      <c r="AO16" s="4">
        <f ca="1">+VLOOKUP($A16,INDIRECT(Adrese!C$2),6,FALSE)</f>
        <v>0.43721238938053097</v>
      </c>
      <c r="AP16" s="4">
        <f ca="1">+VLOOKUP($A16,INDIRECT(Adrese!D$2),6,FALSE)</f>
        <v>0.45592920353982302</v>
      </c>
      <c r="AQ16" s="4">
        <f ca="1">+VLOOKUP($A16,INDIRECT(Adrese!E$2),6,FALSE)</f>
        <v>0.44630530973451332</v>
      </c>
      <c r="AR16" s="4">
        <f ca="1">+VLOOKUP($A16,INDIRECT(Adrese!F$2),6,FALSE)</f>
        <v>0.43867256637168139</v>
      </c>
      <c r="AS16" s="4" t="str">
        <f t="shared" ca="1" si="6"/>
        <v>0.44 (0.01)</v>
      </c>
      <c r="AT16" s="4">
        <f t="shared" ca="1" si="7"/>
        <v>0.44345132743362836</v>
      </c>
      <c r="AU16" s="4">
        <f t="shared" ca="1" si="8"/>
        <v>7.8136976331620849E-3</v>
      </c>
      <c r="AW16" t="s">
        <v>77</v>
      </c>
      <c r="AX16" s="4">
        <f ca="1">+VLOOKUP($A16,INDIRECT(Adrese!B$2),7,FALSE)</f>
        <v>0.60176991150442483</v>
      </c>
      <c r="AY16" s="4">
        <f ca="1">+VLOOKUP($A16,INDIRECT(Adrese!C$2),7,FALSE)</f>
        <v>0.55752212389380529</v>
      </c>
      <c r="AZ16" s="4">
        <f ca="1">+VLOOKUP($A16,INDIRECT(Adrese!D$2),7,FALSE)</f>
        <v>0.54867256637168138</v>
      </c>
      <c r="BA16" s="4">
        <f ca="1">+VLOOKUP($A16,INDIRECT(Adrese!E$2),7,FALSE)</f>
        <v>0.59734513274336287</v>
      </c>
      <c r="BB16" s="4">
        <f ca="1">+VLOOKUP($A16,INDIRECT(Adrese!F$2),7,FALSE)</f>
        <v>0.61061946902654862</v>
      </c>
      <c r="BC16" s="4" t="str">
        <f t="shared" ca="1" si="9"/>
        <v>0.58 (0.03)</v>
      </c>
      <c r="BD16">
        <f t="shared" ca="1" si="10"/>
        <v>0.58318584070796464</v>
      </c>
      <c r="BE16" s="4">
        <f t="shared" ca="1" si="11"/>
        <v>2.8054632715305075E-2</v>
      </c>
      <c r="BG16" t="s">
        <v>77</v>
      </c>
      <c r="BH16" s="4">
        <f ca="1">+VLOOKUP($BG16,INDIRECT(Adrese!B$2),8,FALSE)</f>
        <v>6.1225709637239702E-2</v>
      </c>
      <c r="BI16" s="4">
        <f ca="1">+VLOOKUP($BG16,INDIRECT(Adrese!C$2),8,FALSE)</f>
        <v>6.042682938091401E-2</v>
      </c>
      <c r="BJ16" s="4">
        <f ca="1">+VLOOKUP($BG16,INDIRECT(Adrese!D$2),8,FALSE)</f>
        <v>6.2912528061838932E-2</v>
      </c>
      <c r="BK16" s="4">
        <f ca="1">+VLOOKUP($BG16,INDIRECT(Adrese!E$2),8,FALSE)</f>
        <v>6.1996823959726777E-2</v>
      </c>
      <c r="BL16" s="4">
        <f ca="1">+VLOOKUP($BG16,INDIRECT(Adrese!F$2),8,FALSE)</f>
        <v>6.0690454672585332E-2</v>
      </c>
      <c r="BM16" s="4" t="str">
        <f t="shared" ca="1" si="12"/>
        <v>0.06 (0.00)</v>
      </c>
      <c r="BN16" s="4">
        <f t="shared" ca="1" si="13"/>
        <v>6.1450469142460953E-2</v>
      </c>
      <c r="BO16" s="4">
        <f t="shared" ca="1" si="14"/>
        <v>1.0139153146478481E-3</v>
      </c>
      <c r="BQ16" t="s">
        <v>77</v>
      </c>
      <c r="BR16" s="4">
        <f ca="1">+VLOOKUP($BG16,INDIRECT(Adrese!B$2),9,FALSE)</f>
        <v>3.589063189862958E-2</v>
      </c>
      <c r="BS16" s="4">
        <f ca="1">+VLOOKUP($BG16,INDIRECT(Adrese!C$2),9,FALSE)</f>
        <v>3.4622343695818063E-2</v>
      </c>
      <c r="BT16" s="4">
        <f ca="1">+VLOOKUP($BG16,INDIRECT(Adrese!D$2),9,FALSE)</f>
        <v>2.7825182099704329E-2</v>
      </c>
      <c r="BU16" s="4">
        <f ca="1">+VLOOKUP($BG16,INDIRECT(Adrese!E$2),9,FALSE)</f>
        <v>3.6898768516047037E-2</v>
      </c>
      <c r="BV16" s="4">
        <f ca="1">+VLOOKUP($BG16,INDIRECT(Adrese!F$2),9,FALSE)</f>
        <v>3.3535375896139759E-2</v>
      </c>
      <c r="BW16" s="4" t="str">
        <f t="shared" ca="1" si="15"/>
        <v>0.03 (0.00)</v>
      </c>
      <c r="BX16" s="4">
        <f t="shared" ca="1" si="16"/>
        <v>3.375446042126775E-2</v>
      </c>
      <c r="BY16" s="4">
        <f t="shared" ca="1" si="17"/>
        <v>3.5499106607612485E-3</v>
      </c>
    </row>
    <row r="17" spans="1:77" x14ac:dyDescent="0.25">
      <c r="A17" t="s">
        <v>78</v>
      </c>
      <c r="B17" s="11">
        <f ca="1">+VLOOKUP($A17,INDIRECT(Adrese!B$2),2,FALSE)</f>
        <v>57</v>
      </c>
      <c r="C17" s="11">
        <f ca="1">+VLOOKUP($A17,INDIRECT(Adrese!C$2),2,FALSE)</f>
        <v>72</v>
      </c>
      <c r="D17" s="11">
        <f ca="1">+VLOOKUP($A17,INDIRECT(Adrese!D$2),2,FALSE)</f>
        <v>82</v>
      </c>
      <c r="E17" s="11">
        <f ca="1">+VLOOKUP($A17,INDIRECT(Adrese!E$2),2,FALSE)</f>
        <v>51</v>
      </c>
      <c r="F17" s="11">
        <f ca="1">+VLOOKUP($A17,INDIRECT(Adrese!F$2),2,FALSE)</f>
        <v>35</v>
      </c>
      <c r="G17" s="4">
        <f t="shared" ca="1" si="0"/>
        <v>59.4</v>
      </c>
      <c r="J17" t="s">
        <v>78</v>
      </c>
      <c r="K17">
        <f ca="1">+VLOOKUP($A17,INDIRECT(Adrese!B$2),3,FALSE)</f>
        <v>126</v>
      </c>
      <c r="L17">
        <f ca="1">+VLOOKUP($A17,INDIRECT(Adrese!C$2),3,FALSE)</f>
        <v>126</v>
      </c>
      <c r="M17">
        <f ca="1">+VLOOKUP($A17,INDIRECT(Adrese!D$2),3,FALSE)</f>
        <v>123</v>
      </c>
      <c r="N17">
        <f ca="1">+VLOOKUP($A17,INDIRECT(Adrese!E$2),3,FALSE)</f>
        <v>121</v>
      </c>
      <c r="O17">
        <f ca="1">+VLOOKUP($A17,INDIRECT(Adrese!F$2),3,FALSE)</f>
        <v>127</v>
      </c>
      <c r="P17">
        <f t="shared" ca="1" si="1"/>
        <v>623</v>
      </c>
      <c r="Q17" s="4">
        <f t="shared" ca="1" si="2"/>
        <v>124.6</v>
      </c>
      <c r="R17" s="4"/>
      <c r="T17" t="s">
        <v>78</v>
      </c>
      <c r="U17">
        <f ca="1">+VLOOKUP($T17,INDIRECT(Adrese!B$2),4,FALSE)</f>
        <v>97196</v>
      </c>
      <c r="V17">
        <f ca="1">+VLOOKUP($T17,INDIRECT(Adrese!C$2),4,FALSE)</f>
        <v>96597</v>
      </c>
      <c r="W17">
        <f ca="1">+VLOOKUP($T17,INDIRECT(Adrese!D$2),4,FALSE)</f>
        <v>96361</v>
      </c>
      <c r="X17">
        <f ca="1">+VLOOKUP($T17,INDIRECT(Adrese!E$2),4,FALSE)</f>
        <v>97381</v>
      </c>
      <c r="Y17">
        <f ca="1">+VLOOKUP($T17,INDIRECT(Adrese!F$2),4,FALSE)</f>
        <v>98669</v>
      </c>
      <c r="Z17">
        <f t="shared" ca="1" si="3"/>
        <v>486204</v>
      </c>
      <c r="AA17" s="4">
        <f t="shared" ca="1" si="4"/>
        <v>97240.8</v>
      </c>
      <c r="AC17" t="s">
        <v>78</v>
      </c>
      <c r="AD17">
        <f ca="1">+VLOOKUP($A17,INDIRECT(Adrese!B$2),5,FALSE)</f>
        <v>17537</v>
      </c>
      <c r="AE17">
        <f ca="1">+VLOOKUP($A17,INDIRECT(Adrese!C$2),5,FALSE)</f>
        <v>17440</v>
      </c>
      <c r="AF17">
        <f ca="1">+VLOOKUP($A17,INDIRECT(Adrese!D$2),5,FALSE)</f>
        <v>17408</v>
      </c>
      <c r="AG17">
        <f ca="1">+VLOOKUP($A17,INDIRECT(Adrese!E$2),5,FALSE)</f>
        <v>17490</v>
      </c>
      <c r="AH17">
        <f ca="1">+VLOOKUP($A17,INDIRECT(Adrese!F$2),5,FALSE)</f>
        <v>17709</v>
      </c>
      <c r="AI17" s="4">
        <f t="shared" ca="1" si="5"/>
        <v>17516.8</v>
      </c>
      <c r="AJ17" s="4"/>
      <c r="AK17" s="4"/>
      <c r="AM17" t="s">
        <v>78</v>
      </c>
      <c r="AN17" s="4">
        <f ca="1">+VLOOKUP($A17,INDIRECT(Adrese!B$2),6,FALSE)</f>
        <v>0.38650442477876112</v>
      </c>
      <c r="AO17" s="4">
        <f ca="1">+VLOOKUP($A17,INDIRECT(Adrese!C$2),6,FALSE)</f>
        <v>0.38360619469026552</v>
      </c>
      <c r="AP17" s="4">
        <f ca="1">+VLOOKUP($A17,INDIRECT(Adrese!D$2),6,FALSE)</f>
        <v>0.38300884955752212</v>
      </c>
      <c r="AQ17" s="4">
        <f ca="1">+VLOOKUP($A17,INDIRECT(Adrese!E$2),6,FALSE)</f>
        <v>0.3848230088495575</v>
      </c>
      <c r="AR17" s="4">
        <f ca="1">+VLOOKUP($A17,INDIRECT(Adrese!F$2),6,FALSE)</f>
        <v>0.38966814159292029</v>
      </c>
      <c r="AS17" s="4" t="str">
        <f t="shared" ca="1" si="6"/>
        <v>0.39 (0.00)</v>
      </c>
      <c r="AT17" s="4">
        <f t="shared" ca="1" si="7"/>
        <v>0.38552212389380525</v>
      </c>
      <c r="AU17" s="4">
        <f t="shared" ca="1" si="8"/>
        <v>2.675372508523326E-3</v>
      </c>
      <c r="AW17" t="s">
        <v>78</v>
      </c>
      <c r="AX17" s="4">
        <f ca="1">+VLOOKUP($A17,INDIRECT(Adrese!B$2),7,FALSE)</f>
        <v>0.44247787610619471</v>
      </c>
      <c r="AY17" s="4">
        <f ca="1">+VLOOKUP($A17,INDIRECT(Adrese!C$2),7,FALSE)</f>
        <v>0.44247787610619471</v>
      </c>
      <c r="AZ17" s="4">
        <f ca="1">+VLOOKUP($A17,INDIRECT(Adrese!D$2),7,FALSE)</f>
        <v>0.45575221238938052</v>
      </c>
      <c r="BA17" s="4">
        <f ca="1">+VLOOKUP($A17,INDIRECT(Adrese!E$2),7,FALSE)</f>
        <v>0.46460176991150443</v>
      </c>
      <c r="BB17" s="4">
        <f ca="1">+VLOOKUP($A17,INDIRECT(Adrese!F$2),7,FALSE)</f>
        <v>0.43805309734513281</v>
      </c>
      <c r="BC17" s="4" t="str">
        <f t="shared" ca="1" si="9"/>
        <v>0.45 (0.01)</v>
      </c>
      <c r="BD17">
        <f t="shared" ca="1" si="10"/>
        <v>0.4486725663716814</v>
      </c>
      <c r="BE17" s="4">
        <f t="shared" ca="1" si="11"/>
        <v>1.1106106546912483E-2</v>
      </c>
      <c r="BG17" t="s">
        <v>78</v>
      </c>
      <c r="BH17" s="4">
        <f ca="1">+VLOOKUP($BG17,INDIRECT(Adrese!B$2),8,FALSE)</f>
        <v>5.3488102037889063E-2</v>
      </c>
      <c r="BI17" s="4">
        <f ca="1">+VLOOKUP($BG17,INDIRECT(Adrese!C$2),8,FALSE)</f>
        <v>5.310886201426198E-2</v>
      </c>
      <c r="BJ17" s="4">
        <f ca="1">+VLOOKUP($BG17,INDIRECT(Adrese!D$2),8,FALSE)</f>
        <v>5.2942743006903888E-2</v>
      </c>
      <c r="BK17" s="4">
        <f ca="1">+VLOOKUP($BG17,INDIRECT(Adrese!E$2),8,FALSE)</f>
        <v>5.3538539488200497E-2</v>
      </c>
      <c r="BL17" s="4">
        <f ca="1">+VLOOKUP($BG17,INDIRECT(Adrese!F$2),8,FALSE)</f>
        <v>5.3978881205917692E-2</v>
      </c>
      <c r="BM17" s="4" t="str">
        <f t="shared" ca="1" si="12"/>
        <v>0.05 (0.00)</v>
      </c>
      <c r="BN17" s="4">
        <f t="shared" ca="1" si="13"/>
        <v>5.3411425550634627E-2</v>
      </c>
      <c r="BO17" s="4">
        <f t="shared" ca="1" si="14"/>
        <v>4.0473793307341189E-4</v>
      </c>
      <c r="BQ17" t="s">
        <v>78</v>
      </c>
      <c r="BR17" s="4">
        <f ca="1">+VLOOKUP($BG17,INDIRECT(Adrese!B$2),9,FALSE)</f>
        <v>5.1762125222987371E-2</v>
      </c>
      <c r="BS17" s="4">
        <f ca="1">+VLOOKUP($BG17,INDIRECT(Adrese!C$2),9,FALSE)</f>
        <v>4.9350368669172119E-2</v>
      </c>
      <c r="BT17" s="4">
        <f ca="1">+VLOOKUP($BG17,INDIRECT(Adrese!D$2),9,FALSE)</f>
        <v>5.0411080866664758E-2</v>
      </c>
      <c r="BU17" s="4">
        <f ca="1">+VLOOKUP($BG17,INDIRECT(Adrese!E$2),9,FALSE)</f>
        <v>4.957172202405654E-2</v>
      </c>
      <c r="BV17" s="4">
        <f ca="1">+VLOOKUP($BG17,INDIRECT(Adrese!F$2),9,FALSE)</f>
        <v>4.8351640156510181E-2</v>
      </c>
      <c r="BW17" s="4" t="str">
        <f t="shared" ca="1" si="15"/>
        <v>0.05 (0.00)</v>
      </c>
      <c r="BX17" s="4">
        <f t="shared" ca="1" si="16"/>
        <v>4.9889387387878195E-2</v>
      </c>
      <c r="BY17" s="4">
        <f t="shared" ca="1" si="17"/>
        <v>1.2782243636120093E-3</v>
      </c>
    </row>
    <row r="18" spans="1:77" x14ac:dyDescent="0.25">
      <c r="A18" t="s">
        <v>79</v>
      </c>
      <c r="B18" s="11">
        <f ca="1">+VLOOKUP($A18,INDIRECT(Adrese!B$2),2,FALSE)</f>
        <v>138</v>
      </c>
      <c r="C18" s="11">
        <f ca="1">+VLOOKUP($A18,INDIRECT(Adrese!C$2),2,FALSE)</f>
        <v>114</v>
      </c>
      <c r="D18" s="11">
        <f ca="1">+VLOOKUP($A18,INDIRECT(Adrese!D$2),2,FALSE)</f>
        <v>123</v>
      </c>
      <c r="E18" s="11">
        <f ca="1">+VLOOKUP($A18,INDIRECT(Adrese!E$2),2,FALSE)</f>
        <v>147</v>
      </c>
      <c r="F18" s="11">
        <f ca="1">+VLOOKUP($A18,INDIRECT(Adrese!F$2),2,FALSE)</f>
        <v>108</v>
      </c>
      <c r="G18" s="4">
        <f t="shared" ca="1" si="0"/>
        <v>126</v>
      </c>
      <c r="J18" t="s">
        <v>79</v>
      </c>
      <c r="K18">
        <f ca="1">+VLOOKUP($A18,INDIRECT(Adrese!B$2),3,FALSE)</f>
        <v>122</v>
      </c>
      <c r="L18">
        <f ca="1">+VLOOKUP($A18,INDIRECT(Adrese!C$2),3,FALSE)</f>
        <v>130</v>
      </c>
      <c r="M18">
        <f ca="1">+VLOOKUP($A18,INDIRECT(Adrese!D$2),3,FALSE)</f>
        <v>124</v>
      </c>
      <c r="N18">
        <f ca="1">+VLOOKUP($A18,INDIRECT(Adrese!E$2),3,FALSE)</f>
        <v>116</v>
      </c>
      <c r="O18">
        <f ca="1">+VLOOKUP($A18,INDIRECT(Adrese!F$2),3,FALSE)</f>
        <v>126</v>
      </c>
      <c r="P18">
        <f t="shared" ca="1" si="1"/>
        <v>618</v>
      </c>
      <c r="Q18" s="4">
        <f t="shared" ca="1" si="2"/>
        <v>123.6</v>
      </c>
      <c r="R18" s="4"/>
      <c r="T18" t="s">
        <v>79</v>
      </c>
      <c r="U18">
        <f ca="1">+VLOOKUP($T18,INDIRECT(Adrese!B$2),4,FALSE)</f>
        <v>94052</v>
      </c>
      <c r="V18">
        <f ca="1">+VLOOKUP($T18,INDIRECT(Adrese!C$2),4,FALSE)</f>
        <v>95013</v>
      </c>
      <c r="W18">
        <f ca="1">+VLOOKUP($T18,INDIRECT(Adrese!D$2),4,FALSE)</f>
        <v>94790</v>
      </c>
      <c r="X18">
        <f ca="1">+VLOOKUP($T18,INDIRECT(Adrese!E$2),4,FALSE)</f>
        <v>93908</v>
      </c>
      <c r="Y18">
        <f ca="1">+VLOOKUP($T18,INDIRECT(Adrese!F$2),4,FALSE)</f>
        <v>95251</v>
      </c>
      <c r="Z18">
        <f t="shared" ca="1" si="3"/>
        <v>473014</v>
      </c>
      <c r="AA18" s="4">
        <f t="shared" ca="1" si="4"/>
        <v>94602.8</v>
      </c>
      <c r="AC18" t="s">
        <v>79</v>
      </c>
      <c r="AD18">
        <f ca="1">+VLOOKUP($A18,INDIRECT(Adrese!B$2),5,FALSE)</f>
        <v>15263</v>
      </c>
      <c r="AE18">
        <f ca="1">+VLOOKUP($A18,INDIRECT(Adrese!C$2),5,FALSE)</f>
        <v>15077</v>
      </c>
      <c r="AF18">
        <f ca="1">+VLOOKUP($A18,INDIRECT(Adrese!D$2),5,FALSE)</f>
        <v>15312</v>
      </c>
      <c r="AG18">
        <f ca="1">+VLOOKUP($A18,INDIRECT(Adrese!E$2),5,FALSE)</f>
        <v>15080</v>
      </c>
      <c r="AH18">
        <f ca="1">+VLOOKUP($A18,INDIRECT(Adrese!F$2),5,FALSE)</f>
        <v>15533</v>
      </c>
      <c r="AI18" s="4">
        <f t="shared" ca="1" si="5"/>
        <v>15253</v>
      </c>
      <c r="AJ18" s="4"/>
      <c r="AK18" s="4"/>
      <c r="AM18" t="s">
        <v>79</v>
      </c>
      <c r="AN18" s="4">
        <f ca="1">+VLOOKUP($A18,INDIRECT(Adrese!B$2),6,FALSE)</f>
        <v>0.33575221238938052</v>
      </c>
      <c r="AO18" s="4">
        <f ca="1">+VLOOKUP($A18,INDIRECT(Adrese!C$2),6,FALSE)</f>
        <v>0.33146017699115038</v>
      </c>
      <c r="AP18" s="4">
        <f ca="1">+VLOOKUP($A18,INDIRECT(Adrese!D$2),6,FALSE)</f>
        <v>0.33672566371681423</v>
      </c>
      <c r="AQ18" s="4">
        <f ca="1">+VLOOKUP($A18,INDIRECT(Adrese!E$2),6,FALSE)</f>
        <v>0.33154867256637172</v>
      </c>
      <c r="AR18" s="4">
        <f ca="1">+VLOOKUP($A18,INDIRECT(Adrese!F$2),6,FALSE)</f>
        <v>0.34196902654867262</v>
      </c>
      <c r="AS18" s="4" t="str">
        <f t="shared" ca="1" si="6"/>
        <v>0.34 (0.00)</v>
      </c>
      <c r="AT18" s="4">
        <f t="shared" ca="1" si="7"/>
        <v>0.33549115044247785</v>
      </c>
      <c r="AU18" s="4">
        <f t="shared" ca="1" si="8"/>
        <v>4.3401305850381865E-3</v>
      </c>
      <c r="AW18" t="s">
        <v>79</v>
      </c>
      <c r="AX18" s="4">
        <f ca="1">+VLOOKUP($A18,INDIRECT(Adrese!B$2),7,FALSE)</f>
        <v>0.46017699115044253</v>
      </c>
      <c r="AY18" s="4">
        <f ca="1">+VLOOKUP($A18,INDIRECT(Adrese!C$2),7,FALSE)</f>
        <v>0.4247787610619469</v>
      </c>
      <c r="AZ18" s="4">
        <f ca="1">+VLOOKUP($A18,INDIRECT(Adrese!D$2),7,FALSE)</f>
        <v>0.45132743362831862</v>
      </c>
      <c r="BA18" s="4">
        <f ca="1">+VLOOKUP($A18,INDIRECT(Adrese!E$2),7,FALSE)</f>
        <v>0.48672566371681408</v>
      </c>
      <c r="BB18" s="4">
        <f ca="1">+VLOOKUP($A18,INDIRECT(Adrese!F$2),7,FALSE)</f>
        <v>0.44247787610619471</v>
      </c>
      <c r="BC18" s="4" t="str">
        <f t="shared" ca="1" si="9"/>
        <v>0.45 (0.02)</v>
      </c>
      <c r="BD18">
        <f t="shared" ca="1" si="10"/>
        <v>0.45309734513274336</v>
      </c>
      <c r="BE18" s="4">
        <f t="shared" ca="1" si="11"/>
        <v>2.2906511691229682E-2</v>
      </c>
      <c r="BG18" t="s">
        <v>79</v>
      </c>
      <c r="BH18" s="4">
        <f ca="1">+VLOOKUP($BG18,INDIRECT(Adrese!B$2),8,FALSE)</f>
        <v>4.697681038605607E-2</v>
      </c>
      <c r="BI18" s="4">
        <f ca="1">+VLOOKUP($BG18,INDIRECT(Adrese!C$2),8,FALSE)</f>
        <v>4.6888776504177443E-2</v>
      </c>
      <c r="BJ18" s="4">
        <f ca="1">+VLOOKUP($BG18,INDIRECT(Adrese!D$2),8,FALSE)</f>
        <v>4.7522102137322803E-2</v>
      </c>
      <c r="BK18" s="4">
        <f ca="1">+VLOOKUP($BG18,INDIRECT(Adrese!E$2),8,FALSE)</f>
        <v>4.6140484599506669E-2</v>
      </c>
      <c r="BL18" s="4">
        <f ca="1">+VLOOKUP($BG18,INDIRECT(Adrese!F$2),8,FALSE)</f>
        <v>4.8047963016503409E-2</v>
      </c>
      <c r="BM18" s="4" t="str">
        <f t="shared" ca="1" si="12"/>
        <v>0.05 (0.00)</v>
      </c>
      <c r="BN18" s="4">
        <f t="shared" ca="1" si="13"/>
        <v>4.7115227328713281E-2</v>
      </c>
      <c r="BO18" s="4">
        <f t="shared" ca="1" si="14"/>
        <v>7.1695634233317216E-4</v>
      </c>
      <c r="BQ18" t="s">
        <v>79</v>
      </c>
      <c r="BR18" s="4">
        <f ca="1">+VLOOKUP($BG18,INDIRECT(Adrese!B$2),9,FALSE)</f>
        <v>6.9879679217791923E-2</v>
      </c>
      <c r="BS18" s="4">
        <f ca="1">+VLOOKUP($BG18,INDIRECT(Adrese!C$2),9,FALSE)</f>
        <v>7.3931287163445616E-2</v>
      </c>
      <c r="BT18" s="4">
        <f ca="1">+VLOOKUP($BG18,INDIRECT(Adrese!D$2),9,FALSE)</f>
        <v>7.3311479420335432E-2</v>
      </c>
      <c r="BU18" s="4">
        <f ca="1">+VLOOKUP($BG18,INDIRECT(Adrese!E$2),9,FALSE)</f>
        <v>6.8811768339920046E-2</v>
      </c>
      <c r="BV18" s="4">
        <f ca="1">+VLOOKUP($BG18,INDIRECT(Adrese!F$2),9,FALSE)</f>
        <v>7.0367701944992145E-2</v>
      </c>
      <c r="BW18" s="4" t="str">
        <f t="shared" ca="1" si="15"/>
        <v>0.07 (0.00)</v>
      </c>
      <c r="BX18" s="4">
        <f t="shared" ca="1" si="16"/>
        <v>7.1260383217297024E-2</v>
      </c>
      <c r="BY18" s="4">
        <f t="shared" ca="1" si="17"/>
        <v>2.2382840374690948E-3</v>
      </c>
    </row>
    <row r="19" spans="1:77" x14ac:dyDescent="0.25">
      <c r="A19" t="s">
        <v>80</v>
      </c>
      <c r="B19" s="11">
        <f ca="1">+VLOOKUP($A19,INDIRECT(Adrese!B$2),2,FALSE)</f>
        <v>36</v>
      </c>
      <c r="C19" s="11">
        <f ca="1">+VLOOKUP($A19,INDIRECT(Adrese!C$2),2,FALSE)</f>
        <v>41</v>
      </c>
      <c r="D19" s="11">
        <f ca="1">+VLOOKUP($A19,INDIRECT(Adrese!D$2),2,FALSE)</f>
        <v>36</v>
      </c>
      <c r="E19" s="11">
        <f ca="1">+VLOOKUP($A19,INDIRECT(Adrese!E$2),2,FALSE)</f>
        <v>20</v>
      </c>
      <c r="F19" s="11">
        <f ca="1">+VLOOKUP($A19,INDIRECT(Adrese!F$2),2,FALSE)</f>
        <v>28</v>
      </c>
      <c r="G19" s="4">
        <f t="shared" ca="1" si="0"/>
        <v>32.200000000000003</v>
      </c>
      <c r="J19" t="s">
        <v>80</v>
      </c>
      <c r="K19">
        <f ca="1">+VLOOKUP($A19,INDIRECT(Adrese!B$2),3,FALSE)</f>
        <v>163</v>
      </c>
      <c r="L19">
        <f ca="1">+VLOOKUP($A19,INDIRECT(Adrese!C$2),3,FALSE)</f>
        <v>169</v>
      </c>
      <c r="M19">
        <f ca="1">+VLOOKUP($A19,INDIRECT(Adrese!D$2),3,FALSE)</f>
        <v>164</v>
      </c>
      <c r="N19">
        <f ca="1">+VLOOKUP($A19,INDIRECT(Adrese!E$2),3,FALSE)</f>
        <v>168</v>
      </c>
      <c r="O19">
        <f ca="1">+VLOOKUP($A19,INDIRECT(Adrese!F$2),3,FALSE)</f>
        <v>167</v>
      </c>
      <c r="P19">
        <f t="shared" ca="1" si="1"/>
        <v>831</v>
      </c>
      <c r="Q19" s="4">
        <f t="shared" ca="1" si="2"/>
        <v>166.2</v>
      </c>
      <c r="R19" s="4"/>
      <c r="T19" t="s">
        <v>80</v>
      </c>
      <c r="U19">
        <f ca="1">+VLOOKUP($T19,INDIRECT(Adrese!B$2),4,FALSE)</f>
        <v>98366</v>
      </c>
      <c r="V19">
        <f ca="1">+VLOOKUP($T19,INDIRECT(Adrese!C$2),4,FALSE)</f>
        <v>98080</v>
      </c>
      <c r="W19">
        <f ca="1">+VLOOKUP($T19,INDIRECT(Adrese!D$2),4,FALSE)</f>
        <v>98190</v>
      </c>
      <c r="X19">
        <f ca="1">+VLOOKUP($T19,INDIRECT(Adrese!E$2),4,FALSE)</f>
        <v>99790</v>
      </c>
      <c r="Y19">
        <f ca="1">+VLOOKUP($T19,INDIRECT(Adrese!F$2),4,FALSE)</f>
        <v>99413</v>
      </c>
      <c r="Z19">
        <f t="shared" ca="1" si="3"/>
        <v>493839</v>
      </c>
      <c r="AA19" s="4">
        <f t="shared" ca="1" si="4"/>
        <v>98767.8</v>
      </c>
      <c r="AC19" t="s">
        <v>80</v>
      </c>
      <c r="AD19">
        <f ca="1">+VLOOKUP($A19,INDIRECT(Adrese!B$2),5,FALSE)</f>
        <v>12324</v>
      </c>
      <c r="AE19">
        <f ca="1">+VLOOKUP($A19,INDIRECT(Adrese!C$2),5,FALSE)</f>
        <v>12205</v>
      </c>
      <c r="AF19">
        <f ca="1">+VLOOKUP($A19,INDIRECT(Adrese!D$2),5,FALSE)</f>
        <v>12079</v>
      </c>
      <c r="AG19">
        <f ca="1">+VLOOKUP($A19,INDIRECT(Adrese!E$2),5,FALSE)</f>
        <v>12828</v>
      </c>
      <c r="AH19">
        <f ca="1">+VLOOKUP($A19,INDIRECT(Adrese!F$2),5,FALSE)</f>
        <v>12244</v>
      </c>
      <c r="AI19" s="4">
        <f t="shared" ca="1" si="5"/>
        <v>12336</v>
      </c>
      <c r="AJ19" s="4"/>
      <c r="AK19" s="4"/>
      <c r="AM19" t="s">
        <v>80</v>
      </c>
      <c r="AN19" s="4">
        <f ca="1">+VLOOKUP($A19,INDIRECT(Adrese!B$2),6,FALSE)</f>
        <v>0.27117256637168141</v>
      </c>
      <c r="AO19" s="4">
        <f ca="1">+VLOOKUP($A19,INDIRECT(Adrese!C$2),6,FALSE)</f>
        <v>0.26904867256637172</v>
      </c>
      <c r="AP19" s="4">
        <f ca="1">+VLOOKUP($A19,INDIRECT(Adrese!D$2),6,FALSE)</f>
        <v>0.26612831858407082</v>
      </c>
      <c r="AQ19" s="4">
        <f ca="1">+VLOOKUP($A19,INDIRECT(Adrese!E$2),6,FALSE)</f>
        <v>0.28263274336283178</v>
      </c>
      <c r="AR19" s="4">
        <f ca="1">+VLOOKUP($A19,INDIRECT(Adrese!F$2),6,FALSE)</f>
        <v>0.26973451327433628</v>
      </c>
      <c r="AS19" s="4" t="str">
        <f t="shared" ca="1" si="6"/>
        <v>0.27 (0.01)</v>
      </c>
      <c r="AT19" s="4">
        <f t="shared" ca="1" si="7"/>
        <v>0.2717433628318584</v>
      </c>
      <c r="AU19" s="4">
        <f t="shared" ca="1" si="8"/>
        <v>6.3586549486422559E-3</v>
      </c>
      <c r="AW19" t="s">
        <v>80</v>
      </c>
      <c r="AX19" s="4">
        <f ca="1">+VLOOKUP($A19,INDIRECT(Adrese!B$2),7,FALSE)</f>
        <v>0.27876106194690259</v>
      </c>
      <c r="AY19" s="4">
        <f ca="1">+VLOOKUP($A19,INDIRECT(Adrese!C$2),7,FALSE)</f>
        <v>0.25221238938053098</v>
      </c>
      <c r="AZ19" s="4">
        <f ca="1">+VLOOKUP($A19,INDIRECT(Adrese!D$2),7,FALSE)</f>
        <v>0.27433628318584069</v>
      </c>
      <c r="BA19" s="4">
        <f ca="1">+VLOOKUP($A19,INDIRECT(Adrese!E$2),7,FALSE)</f>
        <v>0.25663716814159288</v>
      </c>
      <c r="BB19" s="4">
        <f ca="1">+VLOOKUP($A19,INDIRECT(Adrese!F$2),7,FALSE)</f>
        <v>0.26106194690265488</v>
      </c>
      <c r="BC19" s="4" t="str">
        <f t="shared" ca="1" si="9"/>
        <v>0.26 (0.01)</v>
      </c>
      <c r="BD19">
        <f t="shared" ca="1" si="10"/>
        <v>0.26460176991150441</v>
      </c>
      <c r="BE19" s="4">
        <f t="shared" ca="1" si="11"/>
        <v>1.1453255845614834E-2</v>
      </c>
      <c r="BG19" t="s">
        <v>80</v>
      </c>
      <c r="BH19" s="4">
        <f ca="1">+VLOOKUP($BG19,INDIRECT(Adrese!B$2),8,FALSE)</f>
        <v>3.8895221582419252E-2</v>
      </c>
      <c r="BI19" s="4">
        <f ca="1">+VLOOKUP($BG19,INDIRECT(Adrese!C$2),8,FALSE)</f>
        <v>3.885130270002226E-2</v>
      </c>
      <c r="BJ19" s="4">
        <f ca="1">+VLOOKUP($BG19,INDIRECT(Adrese!D$2),8,FALSE)</f>
        <v>3.8165820298979913E-2</v>
      </c>
      <c r="BK19" s="4">
        <f ca="1">+VLOOKUP($BG19,INDIRECT(Adrese!E$2),8,FALSE)</f>
        <v>4.1181055332978708E-2</v>
      </c>
      <c r="BL19" s="4">
        <f ca="1">+VLOOKUP($BG19,INDIRECT(Adrese!F$2),8,FALSE)</f>
        <v>3.8758515232047458E-2</v>
      </c>
      <c r="BM19" s="4" t="str">
        <f t="shared" ca="1" si="12"/>
        <v>0.04 (0.00)</v>
      </c>
      <c r="BN19" s="4">
        <f t="shared" ca="1" si="13"/>
        <v>3.9170383029289518E-2</v>
      </c>
      <c r="BO19" s="4">
        <f t="shared" ca="1" si="14"/>
        <v>1.1617993106302772E-3</v>
      </c>
      <c r="BQ19" t="s">
        <v>80</v>
      </c>
      <c r="BR19" s="4">
        <f ca="1">+VLOOKUP($BG19,INDIRECT(Adrese!B$2),9,FALSE)</f>
        <v>8.3981837667109496E-2</v>
      </c>
      <c r="BS19" s="4">
        <f ca="1">+VLOOKUP($BG19,INDIRECT(Adrese!C$2),9,FALSE)</f>
        <v>8.3177991922064168E-2</v>
      </c>
      <c r="BT19" s="4">
        <f ca="1">+VLOOKUP($BG19,INDIRECT(Adrese!D$2),9,FALSE)</f>
        <v>8.125727107526079E-2</v>
      </c>
      <c r="BU19" s="4">
        <f ca="1">+VLOOKUP($BG19,INDIRECT(Adrese!E$2),9,FALSE)</f>
        <v>8.2347101266984052E-2</v>
      </c>
      <c r="BV19" s="4">
        <f ca="1">+VLOOKUP($BG19,INDIRECT(Adrese!F$2),9,FALSE)</f>
        <v>8.1808036342615936E-2</v>
      </c>
      <c r="BW19" s="4" t="str">
        <f t="shared" ca="1" si="15"/>
        <v>0.08 (0.00)</v>
      </c>
      <c r="BX19" s="4">
        <f t="shared" ca="1" si="16"/>
        <v>8.2514447654806894E-2</v>
      </c>
      <c r="BY19" s="4">
        <f t="shared" ca="1" si="17"/>
        <v>1.0840939939049761E-3</v>
      </c>
    </row>
    <row r="20" spans="1:77" x14ac:dyDescent="0.25">
      <c r="A20" t="s">
        <v>81</v>
      </c>
      <c r="B20" s="11">
        <f ca="1">+VLOOKUP($A20,INDIRECT(Adrese!B$2),2,FALSE)</f>
        <v>8</v>
      </c>
      <c r="C20" s="11">
        <f ca="1">+VLOOKUP($A20,INDIRECT(Adrese!C$2),2,FALSE)</f>
        <v>26</v>
      </c>
      <c r="D20" s="11">
        <f ca="1">+VLOOKUP($A20,INDIRECT(Adrese!D$2),2,FALSE)</f>
        <v>7</v>
      </c>
      <c r="E20" s="11">
        <f ca="1">+VLOOKUP($A20,INDIRECT(Adrese!E$2),2,FALSE)</f>
        <v>15</v>
      </c>
      <c r="F20" s="11">
        <f ca="1">+VLOOKUP($A20,INDIRECT(Adrese!F$2),2,FALSE)</f>
        <v>11</v>
      </c>
      <c r="G20" s="4">
        <f t="shared" ref="G20:G83" ca="1" si="18">AVERAGE(B20:F20)</f>
        <v>13.4</v>
      </c>
      <c r="J20" t="s">
        <v>81</v>
      </c>
      <c r="K20">
        <f ca="1">+VLOOKUP($A20,INDIRECT(Adrese!B$2),3,FALSE)</f>
        <v>160</v>
      </c>
      <c r="L20">
        <f ca="1">+VLOOKUP($A20,INDIRECT(Adrese!C$2),3,FALSE)</f>
        <v>161</v>
      </c>
      <c r="M20">
        <f ca="1">+VLOOKUP($A20,INDIRECT(Adrese!D$2),3,FALSE)</f>
        <v>159</v>
      </c>
      <c r="N20">
        <f ca="1">+VLOOKUP($A20,INDIRECT(Adrese!E$2),3,FALSE)</f>
        <v>162</v>
      </c>
      <c r="O20">
        <f ca="1">+VLOOKUP($A20,INDIRECT(Adrese!F$2),3,FALSE)</f>
        <v>163</v>
      </c>
      <c r="P20">
        <f t="shared" ca="1" si="1"/>
        <v>805</v>
      </c>
      <c r="Q20" s="4">
        <f t="shared" ref="Q20:Q83" ca="1" si="19">AVERAGE(K20:O20)</f>
        <v>161</v>
      </c>
      <c r="R20" s="4"/>
      <c r="T20" t="s">
        <v>81</v>
      </c>
      <c r="U20">
        <f ca="1">+VLOOKUP($T20,INDIRECT(Adrese!B$2),4,FALSE)</f>
        <v>102132</v>
      </c>
      <c r="V20">
        <f ca="1">+VLOOKUP($T20,INDIRECT(Adrese!C$2),4,FALSE)</f>
        <v>99065</v>
      </c>
      <c r="W20">
        <f ca="1">+VLOOKUP($T20,INDIRECT(Adrese!D$2),4,FALSE)</f>
        <v>102637</v>
      </c>
      <c r="X20">
        <f ca="1">+VLOOKUP($T20,INDIRECT(Adrese!E$2),4,FALSE)</f>
        <v>100584</v>
      </c>
      <c r="Y20">
        <f ca="1">+VLOOKUP($T20,INDIRECT(Adrese!F$2),4,FALSE)</f>
        <v>101466</v>
      </c>
      <c r="Z20">
        <f t="shared" ca="1" si="3"/>
        <v>505884</v>
      </c>
      <c r="AA20" s="4">
        <f t="shared" ref="AA20:AA83" ca="1" si="20">AVERAGE(U20:Y20)</f>
        <v>101176.8</v>
      </c>
      <c r="AC20" t="s">
        <v>81</v>
      </c>
      <c r="AD20">
        <f ca="1">+VLOOKUP($A20,INDIRECT(Adrese!B$2),5,FALSE)</f>
        <v>13256</v>
      </c>
      <c r="AE20">
        <f ca="1">+VLOOKUP($A20,INDIRECT(Adrese!C$2),5,FALSE)</f>
        <v>12993</v>
      </c>
      <c r="AF20">
        <f ca="1">+VLOOKUP($A20,INDIRECT(Adrese!D$2),5,FALSE)</f>
        <v>13022</v>
      </c>
      <c r="AG20">
        <f ca="1">+VLOOKUP($A20,INDIRECT(Adrese!E$2),5,FALSE)</f>
        <v>13414</v>
      </c>
      <c r="AH20">
        <f ca="1">+VLOOKUP($A20,INDIRECT(Adrese!F$2),5,FALSE)</f>
        <v>13065</v>
      </c>
      <c r="AI20" s="4">
        <f t="shared" ref="AI20:AI83" ca="1" si="21">AVERAGE(AD20:AH20)</f>
        <v>13150</v>
      </c>
      <c r="AJ20" s="4"/>
      <c r="AK20" s="4"/>
      <c r="AM20" t="s">
        <v>81</v>
      </c>
      <c r="AN20" s="4">
        <f ca="1">+VLOOKUP($A20,INDIRECT(Adrese!B$2),6,FALSE)</f>
        <v>0.29227876106194689</v>
      </c>
      <c r="AO20" s="4">
        <f ca="1">+VLOOKUP($A20,INDIRECT(Adrese!C$2),6,FALSE)</f>
        <v>0.28592920353982298</v>
      </c>
      <c r="AP20" s="4">
        <f ca="1">+VLOOKUP($A20,INDIRECT(Adrese!D$2),6,FALSE)</f>
        <v>0.28734513274336282</v>
      </c>
      <c r="AQ20" s="4">
        <f ca="1">+VLOOKUP($A20,INDIRECT(Adrese!E$2),6,FALSE)</f>
        <v>0.29555309734513269</v>
      </c>
      <c r="AR20" s="4">
        <f ca="1">+VLOOKUP($A20,INDIRECT(Adrese!F$2),6,FALSE)</f>
        <v>0.28847345132743363</v>
      </c>
      <c r="AS20" s="4" t="str">
        <f t="shared" ca="1" si="6"/>
        <v>0.29 (0.00)</v>
      </c>
      <c r="AT20" s="4">
        <f t="shared" ref="AT20:AT83" ca="1" si="22">AVERAGE(AN20:AR20)</f>
        <v>0.28991592920353981</v>
      </c>
      <c r="AU20" s="4">
        <f t="shared" ca="1" si="8"/>
        <v>3.9352368870293518E-3</v>
      </c>
      <c r="AW20" t="s">
        <v>81</v>
      </c>
      <c r="AX20" s="4">
        <f ca="1">+VLOOKUP($A20,INDIRECT(Adrese!B$2),7,FALSE)</f>
        <v>0.29203539823008851</v>
      </c>
      <c r="AY20" s="4">
        <f ca="1">+VLOOKUP($A20,INDIRECT(Adrese!C$2),7,FALSE)</f>
        <v>0.28761061946902661</v>
      </c>
      <c r="AZ20" s="4">
        <f ca="1">+VLOOKUP($A20,INDIRECT(Adrese!D$2),7,FALSE)</f>
        <v>0.29646017699115051</v>
      </c>
      <c r="BA20" s="4">
        <f ca="1">+VLOOKUP($A20,INDIRECT(Adrese!E$2),7,FALSE)</f>
        <v>0.2831858407079646</v>
      </c>
      <c r="BB20" s="4">
        <f ca="1">+VLOOKUP($A20,INDIRECT(Adrese!F$2),7,FALSE)</f>
        <v>0.27876106194690259</v>
      </c>
      <c r="BC20" s="4" t="str">
        <f t="shared" ca="1" si="9"/>
        <v>0.29 (0.01)</v>
      </c>
      <c r="BD20">
        <f t="shared" ref="BD20:BD83" ca="1" si="23">AVERAGE(AX20:BB20)</f>
        <v>0.28761061946902655</v>
      </c>
      <c r="BE20" s="4">
        <f t="shared" ca="1" si="11"/>
        <v>6.9961895136469035E-3</v>
      </c>
      <c r="BG20" t="s">
        <v>81</v>
      </c>
      <c r="BH20" s="4">
        <f ca="1">+VLOOKUP($BG20,INDIRECT(Adrese!B$2),8,FALSE)</f>
        <v>4.0672672221949722E-2</v>
      </c>
      <c r="BI20" s="4">
        <f ca="1">+VLOOKUP($BG20,INDIRECT(Adrese!C$2),8,FALSE)</f>
        <v>3.9994876737894293E-2</v>
      </c>
      <c r="BJ20" s="4">
        <f ca="1">+VLOOKUP($BG20,INDIRECT(Adrese!D$2),8,FALSE)</f>
        <v>3.968064949170208E-2</v>
      </c>
      <c r="BK20" s="4">
        <f ca="1">+VLOOKUP($BG20,INDIRECT(Adrese!E$2),8,FALSE)</f>
        <v>4.1516422834365491E-2</v>
      </c>
      <c r="BL20" s="4">
        <f ca="1">+VLOOKUP($BG20,INDIRECT(Adrese!F$2),8,FALSE)</f>
        <v>4.0872004475101448E-2</v>
      </c>
      <c r="BM20" s="4" t="str">
        <f t="shared" ca="1" si="12"/>
        <v>0.04 (0.00)</v>
      </c>
      <c r="BN20" s="4">
        <f t="shared" ref="BN20:BN83" ca="1" si="24">AVERAGE(BH20:BL20)</f>
        <v>4.0547325152202607E-2</v>
      </c>
      <c r="BO20" s="4">
        <f t="shared" ca="1" si="14"/>
        <v>7.2742780039697179E-4</v>
      </c>
      <c r="BQ20" t="s">
        <v>81</v>
      </c>
      <c r="BR20" s="4">
        <f ca="1">+VLOOKUP($BG20,INDIRECT(Adrese!B$2),9,FALSE)</f>
        <v>5.9792976542428433E-2</v>
      </c>
      <c r="BS20" s="4">
        <f ca="1">+VLOOKUP($BG20,INDIRECT(Adrese!C$2),9,FALSE)</f>
        <v>6.3299418045967865E-2</v>
      </c>
      <c r="BT20" s="4">
        <f ca="1">+VLOOKUP($BG20,INDIRECT(Adrese!D$2),9,FALSE)</f>
        <v>5.285842539689678E-2</v>
      </c>
      <c r="BU20" s="4">
        <f ca="1">+VLOOKUP($BG20,INDIRECT(Adrese!E$2),9,FALSE)</f>
        <v>6.204079928022805E-2</v>
      </c>
      <c r="BV20" s="4">
        <f ca="1">+VLOOKUP($BG20,INDIRECT(Adrese!F$2),9,FALSE)</f>
        <v>6.4340036039604961E-2</v>
      </c>
      <c r="BW20" s="4" t="str">
        <f t="shared" ca="1" si="15"/>
        <v>0.06 (0.00)</v>
      </c>
      <c r="BX20" s="4">
        <f t="shared" ref="BX20:BX83" ca="1" si="25">AVERAGE(BR20:BV20)</f>
        <v>6.0466331061025211E-2</v>
      </c>
      <c r="BY20" s="4">
        <f t="shared" ca="1" si="17"/>
        <v>4.578333681608324E-3</v>
      </c>
    </row>
    <row r="21" spans="1:77" x14ac:dyDescent="0.25">
      <c r="A21" t="s">
        <v>82</v>
      </c>
      <c r="B21" s="11">
        <f ca="1">+VLOOKUP($A21,INDIRECT(Adrese!B$2),2,FALSE)</f>
        <v>17</v>
      </c>
      <c r="C21" s="11">
        <f ca="1">+VLOOKUP($A21,INDIRECT(Adrese!C$2),2,FALSE)</f>
        <v>7</v>
      </c>
      <c r="D21" s="11">
        <f ca="1">+VLOOKUP($A21,INDIRECT(Adrese!D$2),2,FALSE)</f>
        <v>13</v>
      </c>
      <c r="E21" s="11">
        <f ca="1">+VLOOKUP($A21,INDIRECT(Adrese!E$2),2,FALSE)</f>
        <v>11</v>
      </c>
      <c r="F21" s="11">
        <f ca="1">+VLOOKUP($A21,INDIRECT(Adrese!F$2),2,FALSE)</f>
        <v>7</v>
      </c>
      <c r="G21" s="4">
        <f t="shared" ca="1" si="18"/>
        <v>11</v>
      </c>
      <c r="J21" t="s">
        <v>82</v>
      </c>
      <c r="K21">
        <f ca="1">+VLOOKUP($A21,INDIRECT(Adrese!B$2),3,FALSE)</f>
        <v>105</v>
      </c>
      <c r="L21">
        <f ca="1">+VLOOKUP($A21,INDIRECT(Adrese!C$2),3,FALSE)</f>
        <v>113</v>
      </c>
      <c r="M21">
        <f ca="1">+VLOOKUP($A21,INDIRECT(Adrese!D$2),3,FALSE)</f>
        <v>111</v>
      </c>
      <c r="N21">
        <f ca="1">+VLOOKUP($A21,INDIRECT(Adrese!E$2),3,FALSE)</f>
        <v>108</v>
      </c>
      <c r="O21">
        <f ca="1">+VLOOKUP($A21,INDIRECT(Adrese!F$2),3,FALSE)</f>
        <v>107</v>
      </c>
      <c r="P21">
        <f t="shared" ca="1" si="1"/>
        <v>544</v>
      </c>
      <c r="Q21" s="4">
        <f t="shared" ca="1" si="19"/>
        <v>108.8</v>
      </c>
      <c r="R21" s="4"/>
      <c r="T21" t="s">
        <v>82</v>
      </c>
      <c r="U21">
        <f ca="1">+VLOOKUP($T21,INDIRECT(Adrese!B$2),4,FALSE)</f>
        <v>100455</v>
      </c>
      <c r="V21">
        <f ca="1">+VLOOKUP($T21,INDIRECT(Adrese!C$2),4,FALSE)</f>
        <v>102244</v>
      </c>
      <c r="W21">
        <f ca="1">+VLOOKUP($T21,INDIRECT(Adrese!D$2),4,FALSE)</f>
        <v>101435</v>
      </c>
      <c r="X21">
        <f ca="1">+VLOOKUP($T21,INDIRECT(Adrese!E$2),4,FALSE)</f>
        <v>101294</v>
      </c>
      <c r="Y21">
        <f ca="1">+VLOOKUP($T21,INDIRECT(Adrese!F$2),4,FALSE)</f>
        <v>102137</v>
      </c>
      <c r="Z21">
        <f t="shared" ca="1" si="3"/>
        <v>507565</v>
      </c>
      <c r="AA21" s="4">
        <f t="shared" ca="1" si="20"/>
        <v>101513</v>
      </c>
      <c r="AC21" t="s">
        <v>82</v>
      </c>
      <c r="AD21">
        <f ca="1">+VLOOKUP($A21,INDIRECT(Adrese!B$2),5,FALSE)</f>
        <v>22212</v>
      </c>
      <c r="AE21">
        <f ca="1">+VLOOKUP($A21,INDIRECT(Adrese!C$2),5,FALSE)</f>
        <v>22724</v>
      </c>
      <c r="AF21">
        <f ca="1">+VLOOKUP($A21,INDIRECT(Adrese!D$2),5,FALSE)</f>
        <v>22265</v>
      </c>
      <c r="AG21">
        <f ca="1">+VLOOKUP($A21,INDIRECT(Adrese!E$2),5,FALSE)</f>
        <v>22182</v>
      </c>
      <c r="AH21">
        <f ca="1">+VLOOKUP($A21,INDIRECT(Adrese!F$2),5,FALSE)</f>
        <v>22637</v>
      </c>
      <c r="AI21" s="4">
        <f t="shared" ca="1" si="21"/>
        <v>22404</v>
      </c>
      <c r="AJ21" s="4"/>
      <c r="AK21" s="4"/>
      <c r="AM21" t="s">
        <v>82</v>
      </c>
      <c r="AN21" s="4">
        <f ca="1">+VLOOKUP($A21,INDIRECT(Adrese!B$2),6,FALSE)</f>
        <v>0.48818584070796461</v>
      </c>
      <c r="AO21" s="4">
        <f ca="1">+VLOOKUP($A21,INDIRECT(Adrese!C$2),6,FALSE)</f>
        <v>0.49911504424778758</v>
      </c>
      <c r="AP21" s="4">
        <f ca="1">+VLOOKUP($A21,INDIRECT(Adrese!D$2),6,FALSE)</f>
        <v>0.4893805309734513</v>
      </c>
      <c r="AQ21" s="4">
        <f ca="1">+VLOOKUP($A21,INDIRECT(Adrese!E$2),6,FALSE)</f>
        <v>0.48690265486725659</v>
      </c>
      <c r="AR21" s="4">
        <f ca="1">+VLOOKUP($A21,INDIRECT(Adrese!F$2),6,FALSE)</f>
        <v>0.49736725663716808</v>
      </c>
      <c r="AS21" s="4" t="str">
        <f t="shared" ca="1" si="6"/>
        <v>0.49 (0.01)</v>
      </c>
      <c r="AT21" s="4">
        <f t="shared" ca="1" si="22"/>
        <v>0.49219026548672568</v>
      </c>
      <c r="AU21" s="4">
        <f t="shared" ca="1" si="8"/>
        <v>5.6267808329535972E-3</v>
      </c>
      <c r="AW21" t="s">
        <v>82</v>
      </c>
      <c r="AX21" s="4">
        <f ca="1">+VLOOKUP($A21,INDIRECT(Adrese!B$2),7,FALSE)</f>
        <v>0.53539823008849563</v>
      </c>
      <c r="AY21" s="4">
        <f ca="1">+VLOOKUP($A21,INDIRECT(Adrese!C$2),7,FALSE)</f>
        <v>0.5</v>
      </c>
      <c r="AZ21" s="4">
        <f ca="1">+VLOOKUP($A21,INDIRECT(Adrese!D$2),7,FALSE)</f>
        <v>0.50884955752212391</v>
      </c>
      <c r="BA21" s="4">
        <f ca="1">+VLOOKUP($A21,INDIRECT(Adrese!E$2),7,FALSE)</f>
        <v>0.52212389380530977</v>
      </c>
      <c r="BB21" s="4">
        <f ca="1">+VLOOKUP($A21,INDIRECT(Adrese!F$2),7,FALSE)</f>
        <v>0.52654867256637172</v>
      </c>
      <c r="BC21" s="4" t="str">
        <f t="shared" ca="1" si="9"/>
        <v>0.52 (0.01)</v>
      </c>
      <c r="BD21">
        <f t="shared" ca="1" si="23"/>
        <v>0.51858407079646018</v>
      </c>
      <c r="BE21" s="4">
        <f t="shared" ca="1" si="11"/>
        <v>1.4131610108558705E-2</v>
      </c>
      <c r="BG21" t="s">
        <v>82</v>
      </c>
      <c r="BH21" s="4">
        <f ca="1">+VLOOKUP($BG21,INDIRECT(Adrese!B$2),8,FALSE)</f>
        <v>7.0340841852987973E-2</v>
      </c>
      <c r="BI21" s="4">
        <f ca="1">+VLOOKUP($BG21,INDIRECT(Adrese!C$2),8,FALSE)</f>
        <v>7.1898424530784988E-2</v>
      </c>
      <c r="BJ21" s="4">
        <f ca="1">+VLOOKUP($BG21,INDIRECT(Adrese!D$2),8,FALSE)</f>
        <v>7.0737390442039458E-2</v>
      </c>
      <c r="BK21" s="4">
        <f ca="1">+VLOOKUP($BG21,INDIRECT(Adrese!E$2),8,FALSE)</f>
        <v>7.0628019053480789E-2</v>
      </c>
      <c r="BL21" s="4">
        <f ca="1">+VLOOKUP($BG21,INDIRECT(Adrese!F$2),8,FALSE)</f>
        <v>7.1591306927857187E-2</v>
      </c>
      <c r="BM21" s="4" t="str">
        <f t="shared" ca="1" si="12"/>
        <v>0.07 (0.00)</v>
      </c>
      <c r="BN21" s="4">
        <f t="shared" ca="1" si="24"/>
        <v>7.1039196561430068E-2</v>
      </c>
      <c r="BO21" s="4">
        <f t="shared" ca="1" si="14"/>
        <v>6.6913222452410495E-4</v>
      </c>
      <c r="BQ21" t="s">
        <v>82</v>
      </c>
      <c r="BR21" s="4">
        <f ca="1">+VLOOKUP($BG21,INDIRECT(Adrese!B$2),9,FALSE)</f>
        <v>3.7111742382529768E-2</v>
      </c>
      <c r="BS21" s="4">
        <f ca="1">+VLOOKUP($BG21,INDIRECT(Adrese!C$2),9,FALSE)</f>
        <v>3.089968044634778E-2</v>
      </c>
      <c r="BT21" s="4">
        <f ca="1">+VLOOKUP($BG21,INDIRECT(Adrese!D$2),9,FALSE)</f>
        <v>3.6490385729516017E-2</v>
      </c>
      <c r="BU21" s="4">
        <f ca="1">+VLOOKUP($BG21,INDIRECT(Adrese!E$2),9,FALSE)</f>
        <v>4.1051896398794453E-2</v>
      </c>
      <c r="BV21" s="4">
        <f ca="1">+VLOOKUP($BG21,INDIRECT(Adrese!F$2),9,FALSE)</f>
        <v>3.5728916079383957E-2</v>
      </c>
      <c r="BW21" s="4" t="str">
        <f t="shared" ca="1" si="15"/>
        <v>0.04 (0.00)</v>
      </c>
      <c r="BX21" s="4">
        <f t="shared" ca="1" si="25"/>
        <v>3.62565242073144E-2</v>
      </c>
      <c r="BY21" s="4">
        <f t="shared" ca="1" si="17"/>
        <v>3.631660405712194E-3</v>
      </c>
    </row>
    <row r="22" spans="1:77" x14ac:dyDescent="0.25">
      <c r="A22" t="s">
        <v>83</v>
      </c>
      <c r="B22" s="11">
        <f ca="1">+VLOOKUP($A22,INDIRECT(Adrese!B$2),2,FALSE)</f>
        <v>7</v>
      </c>
      <c r="C22" s="11">
        <f ca="1">+VLOOKUP($A22,INDIRECT(Adrese!C$2),2,FALSE)</f>
        <v>16</v>
      </c>
      <c r="D22" s="11">
        <f ca="1">+VLOOKUP($A22,INDIRECT(Adrese!D$2),2,FALSE)</f>
        <v>9</v>
      </c>
      <c r="E22" s="11">
        <f ca="1">+VLOOKUP($A22,INDIRECT(Adrese!E$2),2,FALSE)</f>
        <v>13</v>
      </c>
      <c r="F22" s="11">
        <f ca="1">+VLOOKUP($A22,INDIRECT(Adrese!F$2),2,FALSE)</f>
        <v>6</v>
      </c>
      <c r="G22" s="4">
        <f t="shared" ca="1" si="18"/>
        <v>10.199999999999999</v>
      </c>
      <c r="J22" t="s">
        <v>83</v>
      </c>
      <c r="K22">
        <f ca="1">+VLOOKUP($A22,INDIRECT(Adrese!B$2),3,FALSE)</f>
        <v>114</v>
      </c>
      <c r="L22">
        <f ca="1">+VLOOKUP($A22,INDIRECT(Adrese!C$2),3,FALSE)</f>
        <v>114</v>
      </c>
      <c r="M22">
        <f ca="1">+VLOOKUP($A22,INDIRECT(Adrese!D$2),3,FALSE)</f>
        <v>115</v>
      </c>
      <c r="N22">
        <f ca="1">+VLOOKUP($A22,INDIRECT(Adrese!E$2),3,FALSE)</f>
        <v>116</v>
      </c>
      <c r="O22">
        <f ca="1">+VLOOKUP($A22,INDIRECT(Adrese!F$2),3,FALSE)</f>
        <v>112</v>
      </c>
      <c r="P22">
        <f t="shared" ca="1" si="1"/>
        <v>571</v>
      </c>
      <c r="Q22" s="4">
        <f t="shared" ca="1" si="19"/>
        <v>114.2</v>
      </c>
      <c r="R22" s="4"/>
      <c r="T22" t="s">
        <v>83</v>
      </c>
      <c r="U22">
        <f ca="1">+VLOOKUP($T22,INDIRECT(Adrese!B$2),4,FALSE)</f>
        <v>102153</v>
      </c>
      <c r="V22">
        <f ca="1">+VLOOKUP($T22,INDIRECT(Adrese!C$2),4,FALSE)</f>
        <v>100121</v>
      </c>
      <c r="W22">
        <f ca="1">+VLOOKUP($T22,INDIRECT(Adrese!D$2),4,FALSE)</f>
        <v>102073</v>
      </c>
      <c r="X22">
        <f ca="1">+VLOOKUP($T22,INDIRECT(Adrese!E$2),4,FALSE)</f>
        <v>100742</v>
      </c>
      <c r="Y22">
        <f ca="1">+VLOOKUP($T22,INDIRECT(Adrese!F$2),4,FALSE)</f>
        <v>102356</v>
      </c>
      <c r="Z22">
        <f t="shared" ca="1" si="3"/>
        <v>507445</v>
      </c>
      <c r="AA22" s="4">
        <f t="shared" ca="1" si="20"/>
        <v>101489</v>
      </c>
      <c r="AC22" t="s">
        <v>83</v>
      </c>
      <c r="AD22">
        <f ca="1">+VLOOKUP($A22,INDIRECT(Adrese!B$2),5,FALSE)</f>
        <v>20487</v>
      </c>
      <c r="AE22">
        <f ca="1">+VLOOKUP($A22,INDIRECT(Adrese!C$2),5,FALSE)</f>
        <v>18928</v>
      </c>
      <c r="AF22">
        <f ca="1">+VLOOKUP($A22,INDIRECT(Adrese!D$2),5,FALSE)</f>
        <v>19925</v>
      </c>
      <c r="AG22">
        <f ca="1">+VLOOKUP($A22,INDIRECT(Adrese!E$2),5,FALSE)</f>
        <v>19402</v>
      </c>
      <c r="AH22">
        <f ca="1">+VLOOKUP($A22,INDIRECT(Adrese!F$2),5,FALSE)</f>
        <v>19683</v>
      </c>
      <c r="AI22" s="4">
        <f t="shared" ca="1" si="21"/>
        <v>19685</v>
      </c>
      <c r="AJ22" s="4"/>
      <c r="AK22" s="4"/>
      <c r="AM22" t="s">
        <v>83</v>
      </c>
      <c r="AN22" s="4">
        <f ca="1">+VLOOKUP($A22,INDIRECT(Adrese!B$2),6,FALSE)</f>
        <v>0.44935840707964603</v>
      </c>
      <c r="AO22" s="4">
        <f ca="1">+VLOOKUP($A22,INDIRECT(Adrese!C$2),6,FALSE)</f>
        <v>0.41778761061946901</v>
      </c>
      <c r="AP22" s="4">
        <f ca="1">+VLOOKUP($A22,INDIRECT(Adrese!D$2),6,FALSE)</f>
        <v>0.43681415929203538</v>
      </c>
      <c r="AQ22" s="4">
        <f ca="1">+VLOOKUP($A22,INDIRECT(Adrese!E$2),6,FALSE)</f>
        <v>0.42528761061946901</v>
      </c>
      <c r="AR22" s="4">
        <f ca="1">+VLOOKUP($A22,INDIRECT(Adrese!F$2),6,FALSE)</f>
        <v>0.43146017699115052</v>
      </c>
      <c r="AS22" s="4" t="str">
        <f t="shared" ca="1" si="6"/>
        <v>0.43 (0.01)</v>
      </c>
      <c r="AT22" s="4">
        <f t="shared" ca="1" si="22"/>
        <v>0.43214159292035398</v>
      </c>
      <c r="AU22" s="4">
        <f t="shared" ca="1" si="8"/>
        <v>1.1955435743176644E-2</v>
      </c>
      <c r="AW22" t="s">
        <v>83</v>
      </c>
      <c r="AX22" s="4">
        <f ca="1">+VLOOKUP($A22,INDIRECT(Adrese!B$2),7,FALSE)</f>
        <v>0.49557522123893799</v>
      </c>
      <c r="AY22" s="4">
        <f ca="1">+VLOOKUP($A22,INDIRECT(Adrese!C$2),7,FALSE)</f>
        <v>0.49557522123893799</v>
      </c>
      <c r="AZ22" s="4">
        <f ca="1">+VLOOKUP($A22,INDIRECT(Adrese!D$2),7,FALSE)</f>
        <v>0.49115044247787609</v>
      </c>
      <c r="BA22" s="4">
        <f ca="1">+VLOOKUP($A22,INDIRECT(Adrese!E$2),7,FALSE)</f>
        <v>0.48672566371681408</v>
      </c>
      <c r="BB22" s="4">
        <f ca="1">+VLOOKUP($A22,INDIRECT(Adrese!F$2),7,FALSE)</f>
        <v>0.50442477876106195</v>
      </c>
      <c r="BC22" s="4" t="str">
        <f t="shared" ca="1" si="9"/>
        <v>0.49 (0.01)</v>
      </c>
      <c r="BD22">
        <f t="shared" ca="1" si="23"/>
        <v>0.49469026548672562</v>
      </c>
      <c r="BE22" s="4">
        <f t="shared" ca="1" si="11"/>
        <v>6.56300751070415E-3</v>
      </c>
      <c r="BG22" t="s">
        <v>83</v>
      </c>
      <c r="BH22" s="4">
        <f ca="1">+VLOOKUP($BG22,INDIRECT(Adrese!B$2),8,FALSE)</f>
        <v>6.76187166862844E-2</v>
      </c>
      <c r="BI22" s="4">
        <f ca="1">+VLOOKUP($BG22,INDIRECT(Adrese!C$2),8,FALSE)</f>
        <v>6.4063716392528863E-2</v>
      </c>
      <c r="BJ22" s="4">
        <f ca="1">+VLOOKUP($BG22,INDIRECT(Adrese!D$2),8,FALSE)</f>
        <v>6.724735150264273E-2</v>
      </c>
      <c r="BK22" s="4">
        <f ca="1">+VLOOKUP($BG22,INDIRECT(Adrese!E$2),8,FALSE)</f>
        <v>6.4629929974963682E-2</v>
      </c>
      <c r="BL22" s="4">
        <f ca="1">+VLOOKUP($BG22,INDIRECT(Adrese!F$2),8,FALSE)</f>
        <v>6.6152032800032567E-2</v>
      </c>
      <c r="BM22" s="4" t="str">
        <f t="shared" ca="1" si="12"/>
        <v>0.07 (0.00)</v>
      </c>
      <c r="BN22" s="4">
        <f t="shared" ca="1" si="24"/>
        <v>6.5942349471290448E-2</v>
      </c>
      <c r="BO22" s="4">
        <f t="shared" ca="1" si="14"/>
        <v>1.5659591005713056E-3</v>
      </c>
      <c r="BQ22" t="s">
        <v>83</v>
      </c>
      <c r="BR22" s="4">
        <f ca="1">+VLOOKUP($BG22,INDIRECT(Adrese!B$2),9,FALSE)</f>
        <v>3.840161031845641E-2</v>
      </c>
      <c r="BS22" s="4">
        <f ca="1">+VLOOKUP($BG22,INDIRECT(Adrese!C$2),9,FALSE)</f>
        <v>5.9218178359707448E-2</v>
      </c>
      <c r="BT22" s="4">
        <f ca="1">+VLOOKUP($BG22,INDIRECT(Adrese!D$2),9,FALSE)</f>
        <v>5.365615532515694E-2</v>
      </c>
      <c r="BU22" s="4">
        <f ca="1">+VLOOKUP($BG22,INDIRECT(Adrese!E$2),9,FALSE)</f>
        <v>5.4193354803059937E-2</v>
      </c>
      <c r="BV22" s="4">
        <f ca="1">+VLOOKUP($BG22,INDIRECT(Adrese!F$2),9,FALSE)</f>
        <v>5.1891736372142151E-2</v>
      </c>
      <c r="BW22" s="4" t="str">
        <f t="shared" ca="1" si="15"/>
        <v>0.05 (0.01)</v>
      </c>
      <c r="BX22" s="4">
        <f t="shared" ca="1" si="25"/>
        <v>5.1472207035704577E-2</v>
      </c>
      <c r="BY22" s="4">
        <f t="shared" ca="1" si="17"/>
        <v>7.7972887990655475E-3</v>
      </c>
    </row>
    <row r="23" spans="1:77" x14ac:dyDescent="0.25">
      <c r="A23" t="s">
        <v>84</v>
      </c>
      <c r="B23" s="11">
        <f ca="1">+VLOOKUP($A23,INDIRECT(Adrese!B$2),2,FALSE)</f>
        <v>164</v>
      </c>
      <c r="C23" s="11">
        <f ca="1">+VLOOKUP($A23,INDIRECT(Adrese!C$2),2,FALSE)</f>
        <v>125</v>
      </c>
      <c r="D23" s="11">
        <f ca="1">+VLOOKUP($A23,INDIRECT(Adrese!D$2),2,FALSE)</f>
        <v>101</v>
      </c>
      <c r="E23" s="11">
        <f ca="1">+VLOOKUP($A23,INDIRECT(Adrese!E$2),2,FALSE)</f>
        <v>168</v>
      </c>
      <c r="F23" s="11">
        <f ca="1">+VLOOKUP($A23,INDIRECT(Adrese!F$2),2,FALSE)</f>
        <v>151</v>
      </c>
      <c r="G23" s="4">
        <f t="shared" ca="1" si="18"/>
        <v>141.80000000000001</v>
      </c>
      <c r="J23" t="s">
        <v>84</v>
      </c>
      <c r="K23">
        <f ca="1">+VLOOKUP($A23,INDIRECT(Adrese!B$2),3,FALSE)</f>
        <v>108</v>
      </c>
      <c r="L23">
        <f ca="1">+VLOOKUP($A23,INDIRECT(Adrese!C$2),3,FALSE)</f>
        <v>114</v>
      </c>
      <c r="M23">
        <f ca="1">+VLOOKUP($A23,INDIRECT(Adrese!D$2),3,FALSE)</f>
        <v>111</v>
      </c>
      <c r="N23">
        <f ca="1">+VLOOKUP($A23,INDIRECT(Adrese!E$2),3,FALSE)</f>
        <v>109</v>
      </c>
      <c r="O23">
        <f ca="1">+VLOOKUP($A23,INDIRECT(Adrese!F$2),3,FALSE)</f>
        <v>110</v>
      </c>
      <c r="P23">
        <f t="shared" ca="1" si="1"/>
        <v>552</v>
      </c>
      <c r="Q23" s="4">
        <f t="shared" ca="1" si="19"/>
        <v>110.4</v>
      </c>
      <c r="R23" s="4"/>
      <c r="T23" t="s">
        <v>84</v>
      </c>
      <c r="U23">
        <f ca="1">+VLOOKUP($T23,INDIRECT(Adrese!B$2),4,FALSE)</f>
        <v>92555</v>
      </c>
      <c r="V23">
        <f ca="1">+VLOOKUP($T23,INDIRECT(Adrese!C$2),4,FALSE)</f>
        <v>94453</v>
      </c>
      <c r="W23">
        <f ca="1">+VLOOKUP($T23,INDIRECT(Adrese!D$2),4,FALSE)</f>
        <v>95718</v>
      </c>
      <c r="X23">
        <f ca="1">+VLOOKUP($T23,INDIRECT(Adrese!E$2),4,FALSE)</f>
        <v>92169</v>
      </c>
      <c r="Y23">
        <f ca="1">+VLOOKUP($T23,INDIRECT(Adrese!F$2),4,FALSE)</f>
        <v>93466</v>
      </c>
      <c r="Z23">
        <f t="shared" ca="1" si="3"/>
        <v>468361</v>
      </c>
      <c r="AA23" s="4">
        <f t="shared" ca="1" si="20"/>
        <v>93672.2</v>
      </c>
      <c r="AC23" t="s">
        <v>84</v>
      </c>
      <c r="AD23">
        <f ca="1">+VLOOKUP($A23,INDIRECT(Adrese!B$2),5,FALSE)</f>
        <v>15403</v>
      </c>
      <c r="AE23">
        <f ca="1">+VLOOKUP($A23,INDIRECT(Adrese!C$2),5,FALSE)</f>
        <v>15387</v>
      </c>
      <c r="AF23">
        <f ca="1">+VLOOKUP($A23,INDIRECT(Adrese!D$2),5,FALSE)</f>
        <v>15233</v>
      </c>
      <c r="AG23">
        <f ca="1">+VLOOKUP($A23,INDIRECT(Adrese!E$2),5,FALSE)</f>
        <v>15483</v>
      </c>
      <c r="AH23">
        <f ca="1">+VLOOKUP($A23,INDIRECT(Adrese!F$2),5,FALSE)</f>
        <v>15720</v>
      </c>
      <c r="AI23" s="4">
        <f t="shared" ca="1" si="21"/>
        <v>15445.2</v>
      </c>
      <c r="AJ23" s="4"/>
      <c r="AK23" s="4"/>
      <c r="AM23" t="s">
        <v>84</v>
      </c>
      <c r="AN23" s="4">
        <f ca="1">+VLOOKUP($A23,INDIRECT(Adrese!B$2),6,FALSE)</f>
        <v>0.33809734513274342</v>
      </c>
      <c r="AO23" s="4">
        <f ca="1">+VLOOKUP($A23,INDIRECT(Adrese!C$2),6,FALSE)</f>
        <v>0.33758849557522119</v>
      </c>
      <c r="AP23" s="4">
        <f ca="1">+VLOOKUP($A23,INDIRECT(Adrese!D$2),6,FALSE)</f>
        <v>0.33378318584070799</v>
      </c>
      <c r="AQ23" s="4">
        <f ca="1">+VLOOKUP($A23,INDIRECT(Adrese!E$2),6,FALSE)</f>
        <v>0.3395132743362832</v>
      </c>
      <c r="AR23" s="4">
        <f ca="1">+VLOOKUP($A23,INDIRECT(Adrese!F$2),6,FALSE)</f>
        <v>0.34495575221238939</v>
      </c>
      <c r="AS23" s="4" t="str">
        <f t="shared" ca="1" si="6"/>
        <v>0.34 (0.00)</v>
      </c>
      <c r="AT23" s="4">
        <f t="shared" ca="1" si="22"/>
        <v>0.33878761061946905</v>
      </c>
      <c r="AU23" s="4">
        <f t="shared" ca="1" si="8"/>
        <v>4.0475662205206172E-3</v>
      </c>
      <c r="AW23" t="s">
        <v>84</v>
      </c>
      <c r="AX23" s="4">
        <f ca="1">+VLOOKUP($A23,INDIRECT(Adrese!B$2),7,FALSE)</f>
        <v>0.52212389380530977</v>
      </c>
      <c r="AY23" s="4">
        <f ca="1">+VLOOKUP($A23,INDIRECT(Adrese!C$2),7,FALSE)</f>
        <v>0.49557522123893799</v>
      </c>
      <c r="AZ23" s="4">
        <f ca="1">+VLOOKUP($A23,INDIRECT(Adrese!D$2),7,FALSE)</f>
        <v>0.50884955752212391</v>
      </c>
      <c r="BA23" s="4">
        <f ca="1">+VLOOKUP($A23,INDIRECT(Adrese!E$2),7,FALSE)</f>
        <v>0.51769911504424782</v>
      </c>
      <c r="BB23" s="4">
        <f ca="1">+VLOOKUP($A23,INDIRECT(Adrese!F$2),7,FALSE)</f>
        <v>0.51327433628318586</v>
      </c>
      <c r="BC23" s="4" t="str">
        <f t="shared" ca="1" si="9"/>
        <v>0.51 (0.01)</v>
      </c>
      <c r="BD23">
        <f t="shared" ca="1" si="23"/>
        <v>0.51150442477876112</v>
      </c>
      <c r="BE23" s="4">
        <f t="shared" ca="1" si="11"/>
        <v>1.0186605693116267E-2</v>
      </c>
      <c r="BG23" t="s">
        <v>84</v>
      </c>
      <c r="BH23" s="4">
        <f ca="1">+VLOOKUP($BG23,INDIRECT(Adrese!B$2),8,FALSE)</f>
        <v>4.1811146386998538E-2</v>
      </c>
      <c r="BI23" s="4">
        <f ca="1">+VLOOKUP($BG23,INDIRECT(Adrese!C$2),8,FALSE)</f>
        <v>4.1577154135385617E-2</v>
      </c>
      <c r="BJ23" s="4">
        <f ca="1">+VLOOKUP($BG23,INDIRECT(Adrese!D$2),8,FALSE)</f>
        <v>4.1034426663555883E-2</v>
      </c>
      <c r="BK23" s="4">
        <f ca="1">+VLOOKUP($BG23,INDIRECT(Adrese!E$2),8,FALSE)</f>
        <v>4.2119306729961073E-2</v>
      </c>
      <c r="BL23" s="4">
        <f ca="1">+VLOOKUP($BG23,INDIRECT(Adrese!F$2),8,FALSE)</f>
        <v>4.2886864584870177E-2</v>
      </c>
      <c r="BM23" s="4" t="str">
        <f t="shared" ca="1" si="12"/>
        <v>0.04 (0.00)</v>
      </c>
      <c r="BN23" s="4">
        <f t="shared" ca="1" si="24"/>
        <v>4.1885779700154259E-2</v>
      </c>
      <c r="BO23" s="4">
        <f t="shared" ca="1" si="14"/>
        <v>6.8598973819651891E-4</v>
      </c>
      <c r="BQ23" t="s">
        <v>84</v>
      </c>
      <c r="BR23" s="4">
        <f ca="1">+VLOOKUP($BG23,INDIRECT(Adrese!B$2),9,FALSE)</f>
        <v>2.5260211347706941E-2</v>
      </c>
      <c r="BS23" s="4">
        <f ca="1">+VLOOKUP($BG23,INDIRECT(Adrese!C$2),9,FALSE)</f>
        <v>2.430994706832916E-2</v>
      </c>
      <c r="BT23" s="4">
        <f ca="1">+VLOOKUP($BG23,INDIRECT(Adrese!D$2),9,FALSE)</f>
        <v>2.18945650295083E-2</v>
      </c>
      <c r="BU23" s="4">
        <f ca="1">+VLOOKUP($BG23,INDIRECT(Adrese!E$2),9,FALSE)</f>
        <v>2.5419925965327741E-2</v>
      </c>
      <c r="BV23" s="4">
        <f ca="1">+VLOOKUP($BG23,INDIRECT(Adrese!F$2),9,FALSE)</f>
        <v>2.5065282563826931E-2</v>
      </c>
      <c r="BW23" s="4" t="str">
        <f t="shared" ca="1" si="15"/>
        <v>0.02 (0.00)</v>
      </c>
      <c r="BX23" s="4">
        <f t="shared" ca="1" si="25"/>
        <v>2.4389986394939816E-2</v>
      </c>
      <c r="BY23" s="4">
        <f t="shared" ca="1" si="17"/>
        <v>1.4583917501514642E-3</v>
      </c>
    </row>
    <row r="24" spans="1:77" x14ac:dyDescent="0.25">
      <c r="A24" t="s">
        <v>85</v>
      </c>
      <c r="B24" s="11">
        <f ca="1">+VLOOKUP($A24,INDIRECT(Adrese!B$2),2,FALSE)</f>
        <v>16</v>
      </c>
      <c r="C24" s="11">
        <f ca="1">+VLOOKUP($A24,INDIRECT(Adrese!C$2),2,FALSE)</f>
        <v>19</v>
      </c>
      <c r="D24" s="11">
        <f ca="1">+VLOOKUP($A24,INDIRECT(Adrese!D$2),2,FALSE)</f>
        <v>20</v>
      </c>
      <c r="E24" s="11">
        <f ca="1">+VLOOKUP($A24,INDIRECT(Adrese!E$2),2,FALSE)</f>
        <v>29</v>
      </c>
      <c r="F24" s="11">
        <f ca="1">+VLOOKUP($A24,INDIRECT(Adrese!F$2),2,FALSE)</f>
        <v>24</v>
      </c>
      <c r="G24" s="4">
        <f t="shared" ca="1" si="18"/>
        <v>21.6</v>
      </c>
      <c r="J24" t="s">
        <v>85</v>
      </c>
      <c r="K24">
        <f ca="1">+VLOOKUP($A24,INDIRECT(Adrese!B$2),3,FALSE)</f>
        <v>200</v>
      </c>
      <c r="L24">
        <f ca="1">+VLOOKUP($A24,INDIRECT(Adrese!C$2),3,FALSE)</f>
        <v>196</v>
      </c>
      <c r="M24">
        <f ca="1">+VLOOKUP($A24,INDIRECT(Adrese!D$2),3,FALSE)</f>
        <v>199</v>
      </c>
      <c r="N24">
        <f ca="1">+VLOOKUP($A24,INDIRECT(Adrese!E$2),3,FALSE)</f>
        <v>198</v>
      </c>
      <c r="O24">
        <f ca="1">+VLOOKUP($A24,INDIRECT(Adrese!F$2),3,FALSE)</f>
        <v>196</v>
      </c>
      <c r="P24">
        <f t="shared" ca="1" si="1"/>
        <v>989</v>
      </c>
      <c r="Q24" s="4">
        <f t="shared" ca="1" si="19"/>
        <v>197.8</v>
      </c>
      <c r="R24" s="4"/>
      <c r="T24" t="s">
        <v>85</v>
      </c>
      <c r="U24">
        <f ca="1">+VLOOKUP($T24,INDIRECT(Adrese!B$2),4,FALSE)</f>
        <v>100535</v>
      </c>
      <c r="V24">
        <f ca="1">+VLOOKUP($T24,INDIRECT(Adrese!C$2),4,FALSE)</f>
        <v>99995</v>
      </c>
      <c r="W24">
        <f ca="1">+VLOOKUP($T24,INDIRECT(Adrese!D$2),4,FALSE)</f>
        <v>99420</v>
      </c>
      <c r="X24">
        <f ca="1">+VLOOKUP($T24,INDIRECT(Adrese!E$2),4,FALSE)</f>
        <v>98905</v>
      </c>
      <c r="Y24">
        <f ca="1">+VLOOKUP($T24,INDIRECT(Adrese!F$2),4,FALSE)</f>
        <v>99754</v>
      </c>
      <c r="Z24">
        <f t="shared" ca="1" si="3"/>
        <v>498609</v>
      </c>
      <c r="AA24" s="4">
        <f t="shared" ca="1" si="20"/>
        <v>99721.8</v>
      </c>
      <c r="AC24" t="s">
        <v>85</v>
      </c>
      <c r="AD24">
        <f ca="1">+VLOOKUP($A24,INDIRECT(Adrese!B$2),5,FALSE)</f>
        <v>7806</v>
      </c>
      <c r="AE24">
        <f ca="1">+VLOOKUP($A24,INDIRECT(Adrese!C$2),5,FALSE)</f>
        <v>7524</v>
      </c>
      <c r="AF24">
        <f ca="1">+VLOOKUP($A24,INDIRECT(Adrese!D$2),5,FALSE)</f>
        <v>7402</v>
      </c>
      <c r="AG24">
        <f ca="1">+VLOOKUP($A24,INDIRECT(Adrese!E$2),5,FALSE)</f>
        <v>7714</v>
      </c>
      <c r="AH24">
        <f ca="1">+VLOOKUP($A24,INDIRECT(Adrese!F$2),5,FALSE)</f>
        <v>7942</v>
      </c>
      <c r="AI24" s="4">
        <f t="shared" ca="1" si="21"/>
        <v>7677.6</v>
      </c>
      <c r="AJ24" s="4"/>
      <c r="AK24" s="4"/>
      <c r="AM24" t="s">
        <v>85</v>
      </c>
      <c r="AN24" s="4">
        <f ca="1">+VLOOKUP($A24,INDIRECT(Adrese!B$2),6,FALSE)</f>
        <v>0.1717920353982301</v>
      </c>
      <c r="AO24" s="4">
        <f ca="1">+VLOOKUP($A24,INDIRECT(Adrese!C$2),6,FALSE)</f>
        <v>0.16592920353982299</v>
      </c>
      <c r="AP24" s="4">
        <f ca="1">+VLOOKUP($A24,INDIRECT(Adrese!D$2),6,FALSE)</f>
        <v>0.1629867256637168</v>
      </c>
      <c r="AQ24" s="4">
        <f ca="1">+VLOOKUP($A24,INDIRECT(Adrese!E$2),6,FALSE)</f>
        <v>0.17011061946902661</v>
      </c>
      <c r="AR24" s="4">
        <f ca="1">+VLOOKUP($A24,INDIRECT(Adrese!F$2),6,FALSE)</f>
        <v>0.17508849557522119</v>
      </c>
      <c r="AS24" s="4" t="str">
        <f t="shared" ca="1" si="6"/>
        <v>0.17 (0.00)</v>
      </c>
      <c r="AT24" s="4">
        <f t="shared" ca="1" si="22"/>
        <v>0.16918141592920352</v>
      </c>
      <c r="AU24" s="4">
        <f t="shared" ca="1" si="8"/>
        <v>4.7833935674851356E-3</v>
      </c>
      <c r="AW24" t="s">
        <v>85</v>
      </c>
      <c r="AX24" s="4">
        <f ca="1">+VLOOKUP($A24,INDIRECT(Adrese!B$2),7,FALSE)</f>
        <v>0.1150442477876106</v>
      </c>
      <c r="AY24" s="4">
        <f ca="1">+VLOOKUP($A24,INDIRECT(Adrese!C$2),7,FALSE)</f>
        <v>0.13274336283185839</v>
      </c>
      <c r="AZ24" s="4">
        <f ca="1">+VLOOKUP($A24,INDIRECT(Adrese!D$2),7,FALSE)</f>
        <v>0.1194690265486726</v>
      </c>
      <c r="BA24" s="4">
        <f ca="1">+VLOOKUP($A24,INDIRECT(Adrese!E$2),7,FALSE)</f>
        <v>0.1238938053097345</v>
      </c>
      <c r="BB24" s="4">
        <f ca="1">+VLOOKUP($A24,INDIRECT(Adrese!F$2),7,FALSE)</f>
        <v>0.13274336283185839</v>
      </c>
      <c r="BC24" s="4" t="str">
        <f t="shared" ca="1" si="9"/>
        <v>0.12 (0.01)</v>
      </c>
      <c r="BD24">
        <f t="shared" ca="1" si="23"/>
        <v>0.12477876106194689</v>
      </c>
      <c r="BE24" s="4">
        <f t="shared" ca="1" si="11"/>
        <v>7.9152848761054415E-3</v>
      </c>
      <c r="BG24" t="s">
        <v>85</v>
      </c>
      <c r="BH24" s="4">
        <f ca="1">+VLOOKUP($BG24,INDIRECT(Adrese!B$2),8,FALSE)</f>
        <v>2.3480929153564849E-2</v>
      </c>
      <c r="BI24" s="4">
        <f ca="1">+VLOOKUP($BG24,INDIRECT(Adrese!C$2),8,FALSE)</f>
        <v>2.2688396806985658E-2</v>
      </c>
      <c r="BJ24" s="4">
        <f ca="1">+VLOOKUP($BG24,INDIRECT(Adrese!D$2),8,FALSE)</f>
        <v>2.217367313638156E-2</v>
      </c>
      <c r="BK24" s="4">
        <f ca="1">+VLOOKUP($BG24,INDIRECT(Adrese!E$2),8,FALSE)</f>
        <v>2.3466546548944579E-2</v>
      </c>
      <c r="BL24" s="4">
        <f ca="1">+VLOOKUP($BG24,INDIRECT(Adrese!F$2),8,FALSE)</f>
        <v>2.3941333739688569E-2</v>
      </c>
      <c r="BM24" s="4" t="str">
        <f t="shared" ca="1" si="12"/>
        <v>0.02 (0.00)</v>
      </c>
      <c r="BN24" s="4">
        <f t="shared" ca="1" si="24"/>
        <v>2.3150175877113044E-2</v>
      </c>
      <c r="BO24" s="4">
        <f t="shared" ca="1" si="14"/>
        <v>7.0749848191668005E-4</v>
      </c>
      <c r="BQ24" t="s">
        <v>85</v>
      </c>
      <c r="BR24" s="4">
        <f ca="1">+VLOOKUP($BG24,INDIRECT(Adrese!B$2),9,FALSE)</f>
        <v>8.7627135967191863E-2</v>
      </c>
      <c r="BS24" s="4">
        <f ca="1">+VLOOKUP($BG24,INDIRECT(Adrese!C$2),9,FALSE)</f>
        <v>8.7318297741563286E-2</v>
      </c>
      <c r="BT24" s="4">
        <f ca="1">+VLOOKUP($BG24,INDIRECT(Adrese!D$2),9,FALSE)</f>
        <v>8.7009967288628101E-2</v>
      </c>
      <c r="BU24" s="4">
        <f ca="1">+VLOOKUP($BG24,INDIRECT(Adrese!E$2),9,FALSE)</f>
        <v>8.98946177401823E-2</v>
      </c>
      <c r="BV24" s="4">
        <f ca="1">+VLOOKUP($BG24,INDIRECT(Adrese!F$2),9,FALSE)</f>
        <v>8.8717361108837808E-2</v>
      </c>
      <c r="BW24" s="4" t="str">
        <f t="shared" ca="1" si="15"/>
        <v>0.09 (0.00)</v>
      </c>
      <c r="BX24" s="4">
        <f t="shared" ca="1" si="25"/>
        <v>8.811347596928068E-2</v>
      </c>
      <c r="BY24" s="4">
        <f t="shared" ca="1" si="17"/>
        <v>1.1857181041010142E-3</v>
      </c>
    </row>
    <row r="25" spans="1:77" x14ac:dyDescent="0.25">
      <c r="A25" t="s">
        <v>86</v>
      </c>
      <c r="B25" s="11">
        <f ca="1">+VLOOKUP($A25,INDIRECT(Adrese!B$2),2,FALSE)</f>
        <v>21</v>
      </c>
      <c r="C25" s="11">
        <f ca="1">+VLOOKUP($A25,INDIRECT(Adrese!C$2),2,FALSE)</f>
        <v>20</v>
      </c>
      <c r="D25" s="11">
        <f ca="1">+VLOOKUP($A25,INDIRECT(Adrese!D$2),2,FALSE)</f>
        <v>34</v>
      </c>
      <c r="E25" s="11">
        <f ca="1">+VLOOKUP($A25,INDIRECT(Adrese!E$2),2,FALSE)</f>
        <v>21</v>
      </c>
      <c r="F25" s="11">
        <f ca="1">+VLOOKUP($A25,INDIRECT(Adrese!F$2),2,FALSE)</f>
        <v>25</v>
      </c>
      <c r="G25" s="4">
        <f t="shared" ca="1" si="18"/>
        <v>24.2</v>
      </c>
      <c r="J25" t="s">
        <v>86</v>
      </c>
      <c r="K25">
        <f ca="1">+VLOOKUP($A25,INDIRECT(Adrese!B$2),3,FALSE)</f>
        <v>187</v>
      </c>
      <c r="L25">
        <f ca="1">+VLOOKUP($A25,INDIRECT(Adrese!C$2),3,FALSE)</f>
        <v>194</v>
      </c>
      <c r="M25">
        <f ca="1">+VLOOKUP($A25,INDIRECT(Adrese!D$2),3,FALSE)</f>
        <v>186</v>
      </c>
      <c r="N25">
        <f ca="1">+VLOOKUP($A25,INDIRECT(Adrese!E$2),3,FALSE)</f>
        <v>200</v>
      </c>
      <c r="O25">
        <f ca="1">+VLOOKUP($A25,INDIRECT(Adrese!F$2),3,FALSE)</f>
        <v>189</v>
      </c>
      <c r="P25">
        <f t="shared" ca="1" si="1"/>
        <v>956</v>
      </c>
      <c r="Q25" s="4">
        <f t="shared" ca="1" si="19"/>
        <v>191.2</v>
      </c>
      <c r="R25" s="4"/>
      <c r="T25" t="s">
        <v>86</v>
      </c>
      <c r="U25">
        <f ca="1">+VLOOKUP($T25,INDIRECT(Adrese!B$2),4,FALSE)</f>
        <v>99844</v>
      </c>
      <c r="V25">
        <f ca="1">+VLOOKUP($T25,INDIRECT(Adrese!C$2),4,FALSE)</f>
        <v>99900</v>
      </c>
      <c r="W25">
        <f ca="1">+VLOOKUP($T25,INDIRECT(Adrese!D$2),4,FALSE)</f>
        <v>98270</v>
      </c>
      <c r="X25">
        <f ca="1">+VLOOKUP($T25,INDIRECT(Adrese!E$2),4,FALSE)</f>
        <v>99762</v>
      </c>
      <c r="Y25">
        <f ca="1">+VLOOKUP($T25,INDIRECT(Adrese!F$2),4,FALSE)</f>
        <v>99555</v>
      </c>
      <c r="Z25">
        <f t="shared" ca="1" si="3"/>
        <v>497331</v>
      </c>
      <c r="AA25" s="4">
        <f t="shared" ca="1" si="20"/>
        <v>99466.2</v>
      </c>
      <c r="AC25" t="s">
        <v>86</v>
      </c>
      <c r="AD25">
        <f ca="1">+VLOOKUP($A25,INDIRECT(Adrese!B$2),5,FALSE)</f>
        <v>7854</v>
      </c>
      <c r="AE25">
        <f ca="1">+VLOOKUP($A25,INDIRECT(Adrese!C$2),5,FALSE)</f>
        <v>8071</v>
      </c>
      <c r="AF25">
        <f ca="1">+VLOOKUP($A25,INDIRECT(Adrese!D$2),5,FALSE)</f>
        <v>7706</v>
      </c>
      <c r="AG25">
        <f ca="1">+VLOOKUP($A25,INDIRECT(Adrese!E$2),5,FALSE)</f>
        <v>8050</v>
      </c>
      <c r="AH25">
        <f ca="1">+VLOOKUP($A25,INDIRECT(Adrese!F$2),5,FALSE)</f>
        <v>8035</v>
      </c>
      <c r="AI25" s="4">
        <f t="shared" ca="1" si="21"/>
        <v>7943.2</v>
      </c>
      <c r="AJ25" s="4"/>
      <c r="AK25" s="4"/>
      <c r="AM25" t="s">
        <v>86</v>
      </c>
      <c r="AN25" s="4">
        <f ca="1">+VLOOKUP($A25,INDIRECT(Adrese!B$2),6,FALSE)</f>
        <v>0.17283185840707971</v>
      </c>
      <c r="AO25" s="4">
        <f ca="1">+VLOOKUP($A25,INDIRECT(Adrese!C$2),6,FALSE)</f>
        <v>0.17758849557522119</v>
      </c>
      <c r="AP25" s="4">
        <f ca="1">+VLOOKUP($A25,INDIRECT(Adrese!D$2),6,FALSE)</f>
        <v>0.16957964601769909</v>
      </c>
      <c r="AQ25" s="4">
        <f ca="1">+VLOOKUP($A25,INDIRECT(Adrese!E$2),6,FALSE)</f>
        <v>0.17741150442477879</v>
      </c>
      <c r="AR25" s="4">
        <f ca="1">+VLOOKUP($A25,INDIRECT(Adrese!F$2),6,FALSE)</f>
        <v>0.17703539823008849</v>
      </c>
      <c r="AS25" s="4" t="str">
        <f t="shared" ca="1" si="6"/>
        <v>0.17 (0.00)</v>
      </c>
      <c r="AT25" s="4">
        <f t="shared" ca="1" si="22"/>
        <v>0.17488938053097347</v>
      </c>
      <c r="AU25" s="4">
        <f t="shared" ca="1" si="8"/>
        <v>3.5594381865145649E-3</v>
      </c>
      <c r="AW25" t="s">
        <v>86</v>
      </c>
      <c r="AX25" s="4">
        <f ca="1">+VLOOKUP($A25,INDIRECT(Adrese!B$2),7,FALSE)</f>
        <v>0.17256637168141589</v>
      </c>
      <c r="AY25" s="4">
        <f ca="1">+VLOOKUP($A25,INDIRECT(Adrese!C$2),7,FALSE)</f>
        <v>0.1415929203539823</v>
      </c>
      <c r="AZ25" s="4">
        <f ca="1">+VLOOKUP($A25,INDIRECT(Adrese!D$2),7,FALSE)</f>
        <v>0.1769911504424779</v>
      </c>
      <c r="BA25" s="4">
        <f ca="1">+VLOOKUP($A25,INDIRECT(Adrese!E$2),7,FALSE)</f>
        <v>0.1150442477876106</v>
      </c>
      <c r="BB25" s="4">
        <f ca="1">+VLOOKUP($A25,INDIRECT(Adrese!F$2),7,FALSE)</f>
        <v>0.16371681415929201</v>
      </c>
      <c r="BC25" s="4" t="str">
        <f t="shared" ca="1" si="9"/>
        <v>0.15 (0.03)</v>
      </c>
      <c r="BD25">
        <f t="shared" ca="1" si="23"/>
        <v>0.15398230088495574</v>
      </c>
      <c r="BE25" s="4">
        <f t="shared" ca="1" si="11"/>
        <v>2.5686593404778846E-2</v>
      </c>
      <c r="BG25" t="s">
        <v>86</v>
      </c>
      <c r="BH25" s="4">
        <f ca="1">+VLOOKUP($BG25,INDIRECT(Adrese!B$2),8,FALSE)</f>
        <v>2.3131166011817261E-2</v>
      </c>
      <c r="BI25" s="4">
        <f ca="1">+VLOOKUP($BG25,INDIRECT(Adrese!C$2),8,FALSE)</f>
        <v>2.373880739553173E-2</v>
      </c>
      <c r="BJ25" s="4">
        <f ca="1">+VLOOKUP($BG25,INDIRECT(Adrese!D$2),8,FALSE)</f>
        <v>2.2675790030781032E-2</v>
      </c>
      <c r="BK25" s="4">
        <f ca="1">+VLOOKUP($BG25,INDIRECT(Adrese!E$2),8,FALSE)</f>
        <v>2.3703522817638999E-2</v>
      </c>
      <c r="BL25" s="4">
        <f ca="1">+VLOOKUP($BG25,INDIRECT(Adrese!F$2),8,FALSE)</f>
        <v>2.3723539425662361E-2</v>
      </c>
      <c r="BM25" s="4" t="str">
        <f t="shared" ca="1" si="12"/>
        <v>0.02 (0.00)</v>
      </c>
      <c r="BN25" s="4">
        <f t="shared" ca="1" si="24"/>
        <v>2.3394565136286277E-2</v>
      </c>
      <c r="BO25" s="4">
        <f t="shared" ca="1" si="14"/>
        <v>4.7649722351050599E-4</v>
      </c>
      <c r="BQ25" t="s">
        <v>86</v>
      </c>
      <c r="BR25" s="4">
        <f ca="1">+VLOOKUP($BG25,INDIRECT(Adrese!B$2),9,FALSE)</f>
        <v>7.9548081839460674E-2</v>
      </c>
      <c r="BS25" s="4">
        <f ca="1">+VLOOKUP($BG25,INDIRECT(Adrese!C$2),9,FALSE)</f>
        <v>7.7709996157579536E-2</v>
      </c>
      <c r="BT25" s="4">
        <f ca="1">+VLOOKUP($BG25,INDIRECT(Adrese!D$2),9,FALSE)</f>
        <v>7.9416444288688853E-2</v>
      </c>
      <c r="BU25" s="4">
        <f ca="1">+VLOOKUP($BG25,INDIRECT(Adrese!E$2),9,FALSE)</f>
        <v>7.8394473422842795E-2</v>
      </c>
      <c r="BV25" s="4">
        <f ca="1">+VLOOKUP($BG25,INDIRECT(Adrese!F$2),9,FALSE)</f>
        <v>7.8786888089072582E-2</v>
      </c>
      <c r="BW25" s="4" t="str">
        <f t="shared" ca="1" si="15"/>
        <v>0.08 (0.00)</v>
      </c>
      <c r="BX25" s="4">
        <f t="shared" ca="1" si="25"/>
        <v>7.8771176759528896E-2</v>
      </c>
      <c r="BY25" s="4">
        <f t="shared" ca="1" si="17"/>
        <v>7.563412270781087E-4</v>
      </c>
    </row>
    <row r="26" spans="1:77" x14ac:dyDescent="0.25">
      <c r="A26" t="s">
        <v>87</v>
      </c>
      <c r="B26" s="11">
        <f ca="1">+VLOOKUP($A26,INDIRECT(Adrese!B$2),2,FALSE)</f>
        <v>54</v>
      </c>
      <c r="C26" s="11">
        <f ca="1">+VLOOKUP($A26,INDIRECT(Adrese!C$2),2,FALSE)</f>
        <v>31</v>
      </c>
      <c r="D26" s="11">
        <f ca="1">+VLOOKUP($A26,INDIRECT(Adrese!D$2),2,FALSE)</f>
        <v>47</v>
      </c>
      <c r="E26" s="11">
        <f ca="1">+VLOOKUP($A26,INDIRECT(Adrese!E$2),2,FALSE)</f>
        <v>67</v>
      </c>
      <c r="F26" s="11">
        <f ca="1">+VLOOKUP($A26,INDIRECT(Adrese!F$2),2,FALSE)</f>
        <v>56</v>
      </c>
      <c r="G26" s="4">
        <f t="shared" ca="1" si="18"/>
        <v>51</v>
      </c>
      <c r="J26" t="s">
        <v>87</v>
      </c>
      <c r="K26">
        <f ca="1">+VLOOKUP($A26,INDIRECT(Adrese!B$2),3,FALSE)</f>
        <v>189</v>
      </c>
      <c r="L26">
        <f ca="1">+VLOOKUP($A26,INDIRECT(Adrese!C$2),3,FALSE)</f>
        <v>197</v>
      </c>
      <c r="M26">
        <f ca="1">+VLOOKUP($A26,INDIRECT(Adrese!D$2),3,FALSE)</f>
        <v>197</v>
      </c>
      <c r="N26">
        <f ca="1">+VLOOKUP($A26,INDIRECT(Adrese!E$2),3,FALSE)</f>
        <v>198</v>
      </c>
      <c r="O26">
        <f ca="1">+VLOOKUP($A26,INDIRECT(Adrese!F$2),3,FALSE)</f>
        <v>191</v>
      </c>
      <c r="P26">
        <f t="shared" ca="1" si="1"/>
        <v>972</v>
      </c>
      <c r="Q26" s="4">
        <f t="shared" ca="1" si="19"/>
        <v>194.4</v>
      </c>
      <c r="R26" s="4"/>
      <c r="T26" t="s">
        <v>87</v>
      </c>
      <c r="U26">
        <f ca="1">+VLOOKUP($T26,INDIRECT(Adrese!B$2),4,FALSE)</f>
        <v>97412</v>
      </c>
      <c r="V26">
        <f ca="1">+VLOOKUP($T26,INDIRECT(Adrese!C$2),4,FALSE)</f>
        <v>98515</v>
      </c>
      <c r="W26">
        <f ca="1">+VLOOKUP($T26,INDIRECT(Adrese!D$2),4,FALSE)</f>
        <v>97419</v>
      </c>
      <c r="X26">
        <f ca="1">+VLOOKUP($T26,INDIRECT(Adrese!E$2),4,FALSE)</f>
        <v>96847</v>
      </c>
      <c r="Y26">
        <f ca="1">+VLOOKUP($T26,INDIRECT(Adrese!F$2),4,FALSE)</f>
        <v>97445</v>
      </c>
      <c r="Z26">
        <f t="shared" ca="1" si="3"/>
        <v>487638</v>
      </c>
      <c r="AA26" s="4">
        <f t="shared" ca="1" si="20"/>
        <v>97527.6</v>
      </c>
      <c r="AC26" t="s">
        <v>87</v>
      </c>
      <c r="AD26">
        <f ca="1">+VLOOKUP($A26,INDIRECT(Adrese!B$2),5,FALSE)</f>
        <v>6403</v>
      </c>
      <c r="AE26">
        <f ca="1">+VLOOKUP($A26,INDIRECT(Adrese!C$2),5,FALSE)</f>
        <v>6584</v>
      </c>
      <c r="AF26">
        <f ca="1">+VLOOKUP($A26,INDIRECT(Adrese!D$2),5,FALSE)</f>
        <v>6446</v>
      </c>
      <c r="AG26">
        <f ca="1">+VLOOKUP($A26,INDIRECT(Adrese!E$2),5,FALSE)</f>
        <v>6293</v>
      </c>
      <c r="AH26">
        <f ca="1">+VLOOKUP($A26,INDIRECT(Adrese!F$2),5,FALSE)</f>
        <v>6443</v>
      </c>
      <c r="AI26" s="4">
        <f t="shared" ca="1" si="21"/>
        <v>6433.8</v>
      </c>
      <c r="AJ26" s="4"/>
      <c r="AK26" s="4"/>
      <c r="AM26" t="s">
        <v>87</v>
      </c>
      <c r="AN26" s="4">
        <f ca="1">+VLOOKUP($A26,INDIRECT(Adrese!B$2),6,FALSE)</f>
        <v>0.14088495575221241</v>
      </c>
      <c r="AO26" s="4">
        <f ca="1">+VLOOKUP($A26,INDIRECT(Adrese!C$2),6,FALSE)</f>
        <v>0.1449778761061947</v>
      </c>
      <c r="AP26" s="4">
        <f ca="1">+VLOOKUP($A26,INDIRECT(Adrese!D$2),6,FALSE)</f>
        <v>0.14168141592920361</v>
      </c>
      <c r="AQ26" s="4">
        <f ca="1">+VLOOKUP($A26,INDIRECT(Adrese!E$2),6,FALSE)</f>
        <v>0.13876106194690269</v>
      </c>
      <c r="AR26" s="4">
        <f ca="1">+VLOOKUP($A26,INDIRECT(Adrese!F$2),6,FALSE)</f>
        <v>0.14196902654867261</v>
      </c>
      <c r="AS26" s="4" t="str">
        <f t="shared" ca="1" si="6"/>
        <v>0.14 (0.00)</v>
      </c>
      <c r="AT26" s="4">
        <f t="shared" ca="1" si="22"/>
        <v>0.1416548672566372</v>
      </c>
      <c r="AU26" s="4">
        <f t="shared" ca="1" si="8"/>
        <v>2.2421341174380031E-3</v>
      </c>
      <c r="AW26" t="s">
        <v>87</v>
      </c>
      <c r="AX26" s="4">
        <f ca="1">+VLOOKUP($A26,INDIRECT(Adrese!B$2),7,FALSE)</f>
        <v>0.16371681415929201</v>
      </c>
      <c r="AY26" s="4">
        <f ca="1">+VLOOKUP($A26,INDIRECT(Adrese!C$2),7,FALSE)</f>
        <v>0.12831858407079649</v>
      </c>
      <c r="AZ26" s="4">
        <f ca="1">+VLOOKUP($A26,INDIRECT(Adrese!D$2),7,FALSE)</f>
        <v>0.12831858407079649</v>
      </c>
      <c r="BA26" s="4">
        <f ca="1">+VLOOKUP($A26,INDIRECT(Adrese!E$2),7,FALSE)</f>
        <v>0.1238938053097345</v>
      </c>
      <c r="BB26" s="4">
        <f ca="1">+VLOOKUP($A26,INDIRECT(Adrese!F$2),7,FALSE)</f>
        <v>0.1548672566371681</v>
      </c>
      <c r="BC26" s="4" t="str">
        <f t="shared" ca="1" si="9"/>
        <v>0.14 (0.02)</v>
      </c>
      <c r="BD26">
        <f t="shared" ca="1" si="23"/>
        <v>0.13982300884955751</v>
      </c>
      <c r="BE26" s="4">
        <f t="shared" ca="1" si="11"/>
        <v>1.8136196045946212E-2</v>
      </c>
      <c r="BG26" t="s">
        <v>87</v>
      </c>
      <c r="BH26" s="4">
        <f ca="1">+VLOOKUP($BG26,INDIRECT(Adrese!B$2),8,FALSE)</f>
        <v>1.8428901440278981E-2</v>
      </c>
      <c r="BI26" s="4">
        <f ca="1">+VLOOKUP($BG26,INDIRECT(Adrese!C$2),8,FALSE)</f>
        <v>1.9170201716000049E-2</v>
      </c>
      <c r="BJ26" s="4">
        <f ca="1">+VLOOKUP($BG26,INDIRECT(Adrese!D$2),8,FALSE)</f>
        <v>1.8714408695912552E-2</v>
      </c>
      <c r="BK26" s="4">
        <f ca="1">+VLOOKUP($BG26,INDIRECT(Adrese!E$2),8,FALSE)</f>
        <v>1.8017308422034771E-2</v>
      </c>
      <c r="BL26" s="4">
        <f ca="1">+VLOOKUP($BG26,INDIRECT(Adrese!F$2),8,FALSE)</f>
        <v>1.8504047049863751E-2</v>
      </c>
      <c r="BM26" s="4" t="str">
        <f t="shared" ca="1" si="12"/>
        <v>0.02 (0.00)</v>
      </c>
      <c r="BN26" s="4">
        <f t="shared" ca="1" si="24"/>
        <v>1.8566973464818021E-2</v>
      </c>
      <c r="BO26" s="4">
        <f t="shared" ca="1" si="14"/>
        <v>4.2153788302750549E-4</v>
      </c>
      <c r="BQ26" t="s">
        <v>87</v>
      </c>
      <c r="BR26" s="4">
        <f ca="1">+VLOOKUP($BG26,INDIRECT(Adrese!B$2),9,FALSE)</f>
        <v>8.6073674365170688E-2</v>
      </c>
      <c r="BS26" s="4">
        <f ca="1">+VLOOKUP($BG26,INDIRECT(Adrese!C$2),9,FALSE)</f>
        <v>8.7968220639981054E-2</v>
      </c>
      <c r="BT26" s="4">
        <f ca="1">+VLOOKUP($BG26,INDIRECT(Adrese!D$2),9,FALSE)</f>
        <v>8.6595328289280959E-2</v>
      </c>
      <c r="BU26" s="4">
        <f ca="1">+VLOOKUP($BG26,INDIRECT(Adrese!E$2),9,FALSE)</f>
        <v>8.6456746907958404E-2</v>
      </c>
      <c r="BV26" s="4">
        <f ca="1">+VLOOKUP($BG26,INDIRECT(Adrese!F$2),9,FALSE)</f>
        <v>8.4842737449119202E-2</v>
      </c>
      <c r="BW26" s="4" t="str">
        <f t="shared" ca="1" si="15"/>
        <v>0.09 (0.00)</v>
      </c>
      <c r="BX26" s="4">
        <f t="shared" ca="1" si="25"/>
        <v>8.6387341530302059E-2</v>
      </c>
      <c r="BY26" s="4">
        <f t="shared" ca="1" si="17"/>
        <v>1.1215439375996275E-3</v>
      </c>
    </row>
    <row r="27" spans="1:77" x14ac:dyDescent="0.25">
      <c r="A27" t="s">
        <v>88</v>
      </c>
      <c r="B27" s="11">
        <f ca="1">+VLOOKUP($A27,INDIRECT(Adrese!B$2),2,FALSE)</f>
        <v>87</v>
      </c>
      <c r="C27" s="11">
        <f ca="1">+VLOOKUP($A27,INDIRECT(Adrese!C$2),2,FALSE)</f>
        <v>121</v>
      </c>
      <c r="D27" s="11">
        <f ca="1">+VLOOKUP($A27,INDIRECT(Adrese!D$2),2,FALSE)</f>
        <v>112</v>
      </c>
      <c r="E27" s="11">
        <f ca="1">+VLOOKUP($A27,INDIRECT(Adrese!E$2),2,FALSE)</f>
        <v>62</v>
      </c>
      <c r="F27" s="11">
        <f ca="1">+VLOOKUP($A27,INDIRECT(Adrese!F$2),2,FALSE)</f>
        <v>96</v>
      </c>
      <c r="G27" s="4">
        <f t="shared" ca="1" si="18"/>
        <v>95.6</v>
      </c>
      <c r="J27" t="s">
        <v>88</v>
      </c>
      <c r="K27">
        <f ca="1">+VLOOKUP($A27,INDIRECT(Adrese!B$2),3,FALSE)</f>
        <v>141</v>
      </c>
      <c r="L27">
        <f ca="1">+VLOOKUP($A27,INDIRECT(Adrese!C$2),3,FALSE)</f>
        <v>140</v>
      </c>
      <c r="M27">
        <f ca="1">+VLOOKUP($A27,INDIRECT(Adrese!D$2),3,FALSE)</f>
        <v>134</v>
      </c>
      <c r="N27">
        <f ca="1">+VLOOKUP($A27,INDIRECT(Adrese!E$2),3,FALSE)</f>
        <v>146</v>
      </c>
      <c r="O27">
        <f ca="1">+VLOOKUP($A27,INDIRECT(Adrese!F$2),3,FALSE)</f>
        <v>135</v>
      </c>
      <c r="P27">
        <f t="shared" ca="1" si="1"/>
        <v>696</v>
      </c>
      <c r="Q27" s="4">
        <f t="shared" ca="1" si="19"/>
        <v>139.19999999999999</v>
      </c>
      <c r="R27" s="4"/>
      <c r="T27" t="s">
        <v>88</v>
      </c>
      <c r="U27">
        <f ca="1">+VLOOKUP($T27,INDIRECT(Adrese!B$2),4,FALSE)</f>
        <v>96175</v>
      </c>
      <c r="V27">
        <f ca="1">+VLOOKUP($T27,INDIRECT(Adrese!C$2),4,FALSE)</f>
        <v>94578</v>
      </c>
      <c r="W27">
        <f ca="1">+VLOOKUP($T27,INDIRECT(Adrese!D$2),4,FALSE)</f>
        <v>95468</v>
      </c>
      <c r="X27">
        <f ca="1">+VLOOKUP($T27,INDIRECT(Adrese!E$2),4,FALSE)</f>
        <v>96967</v>
      </c>
      <c r="Y27">
        <f ca="1">+VLOOKUP($T27,INDIRECT(Adrese!F$2),4,FALSE)</f>
        <v>95535</v>
      </c>
      <c r="Z27">
        <f t="shared" ca="1" si="3"/>
        <v>478723</v>
      </c>
      <c r="AA27" s="4">
        <f t="shared" ca="1" si="20"/>
        <v>95744.6</v>
      </c>
      <c r="AC27" t="s">
        <v>88</v>
      </c>
      <c r="AD27">
        <f ca="1">+VLOOKUP($A27,INDIRECT(Adrese!B$2),5,FALSE)</f>
        <v>14669</v>
      </c>
      <c r="AE27">
        <f ca="1">+VLOOKUP($A27,INDIRECT(Adrese!C$2),5,FALSE)</f>
        <v>13991</v>
      </c>
      <c r="AF27">
        <f ca="1">+VLOOKUP($A27,INDIRECT(Adrese!D$2),5,FALSE)</f>
        <v>14575</v>
      </c>
      <c r="AG27">
        <f ca="1">+VLOOKUP($A27,INDIRECT(Adrese!E$2),5,FALSE)</f>
        <v>14902</v>
      </c>
      <c r="AH27">
        <f ca="1">+VLOOKUP($A27,INDIRECT(Adrese!F$2),5,FALSE)</f>
        <v>14486</v>
      </c>
      <c r="AI27" s="4">
        <f t="shared" ca="1" si="21"/>
        <v>14524.6</v>
      </c>
      <c r="AJ27" s="4"/>
      <c r="AK27" s="4"/>
      <c r="AM27" t="s">
        <v>88</v>
      </c>
      <c r="AN27" s="4">
        <f ca="1">+VLOOKUP($A27,INDIRECT(Adrese!B$2),6,FALSE)</f>
        <v>0.32331858407079639</v>
      </c>
      <c r="AO27" s="4">
        <f ca="1">+VLOOKUP($A27,INDIRECT(Adrese!C$2),6,FALSE)</f>
        <v>0.30829646017699108</v>
      </c>
      <c r="AP27" s="4">
        <f ca="1">+VLOOKUP($A27,INDIRECT(Adrese!D$2),6,FALSE)</f>
        <v>0.32055309734513282</v>
      </c>
      <c r="AQ27" s="4">
        <f ca="1">+VLOOKUP($A27,INDIRECT(Adrese!E$2),6,FALSE)</f>
        <v>0.32842920353982302</v>
      </c>
      <c r="AR27" s="4">
        <f ca="1">+VLOOKUP($A27,INDIRECT(Adrese!F$2),6,FALSE)</f>
        <v>0.31942477876106201</v>
      </c>
      <c r="AS27" s="4" t="str">
        <f t="shared" ca="1" si="6"/>
        <v>0.32 (0.01)</v>
      </c>
      <c r="AT27" s="4">
        <f t="shared" ca="1" si="22"/>
        <v>0.32000442477876107</v>
      </c>
      <c r="AU27" s="4">
        <f t="shared" ca="1" si="8"/>
        <v>7.4107019774284372E-3</v>
      </c>
      <c r="AW27" t="s">
        <v>88</v>
      </c>
      <c r="AX27" s="4">
        <f ca="1">+VLOOKUP($A27,INDIRECT(Adrese!B$2),7,FALSE)</f>
        <v>0.37610619469026552</v>
      </c>
      <c r="AY27" s="4">
        <f ca="1">+VLOOKUP($A27,INDIRECT(Adrese!C$2),7,FALSE)</f>
        <v>0.38053097345132741</v>
      </c>
      <c r="AZ27" s="4">
        <f ca="1">+VLOOKUP($A27,INDIRECT(Adrese!D$2),7,FALSE)</f>
        <v>0.40707964601769908</v>
      </c>
      <c r="BA27" s="4">
        <f ca="1">+VLOOKUP($A27,INDIRECT(Adrese!E$2),7,FALSE)</f>
        <v>0.35398230088495569</v>
      </c>
      <c r="BB27" s="4">
        <f ca="1">+VLOOKUP($A27,INDIRECT(Adrese!F$2),7,FALSE)</f>
        <v>0.40265486725663718</v>
      </c>
      <c r="BC27" s="4" t="str">
        <f t="shared" ca="1" si="9"/>
        <v>0.38 (0.02)</v>
      </c>
      <c r="BD27">
        <f t="shared" ca="1" si="23"/>
        <v>0.38407079646017694</v>
      </c>
      <c r="BE27" s="4">
        <f t="shared" ca="1" si="11"/>
        <v>2.1540993707324058E-2</v>
      </c>
      <c r="BG27" t="s">
        <v>88</v>
      </c>
      <c r="BH27" s="4">
        <f ca="1">+VLOOKUP($BG27,INDIRECT(Adrese!B$2),8,FALSE)</f>
        <v>4.5358588435255337E-2</v>
      </c>
      <c r="BI27" s="4">
        <f ca="1">+VLOOKUP($BG27,INDIRECT(Adrese!C$2),8,FALSE)</f>
        <v>4.3234678401481118E-2</v>
      </c>
      <c r="BJ27" s="4">
        <f ca="1">+VLOOKUP($BG27,INDIRECT(Adrese!D$2),8,FALSE)</f>
        <v>4.5421109646507453E-2</v>
      </c>
      <c r="BK27" s="4">
        <f ca="1">+VLOOKUP($BG27,INDIRECT(Adrese!E$2),8,FALSE)</f>
        <v>4.6025189999769123E-2</v>
      </c>
      <c r="BL27" s="4">
        <f ca="1">+VLOOKUP($BG27,INDIRECT(Adrese!F$2),8,FALSE)</f>
        <v>4.4735610359541801E-2</v>
      </c>
      <c r="BM27" s="4" t="str">
        <f t="shared" ca="1" si="12"/>
        <v>0.04 (0.00)</v>
      </c>
      <c r="BN27" s="4">
        <f t="shared" ca="1" si="24"/>
        <v>4.4955035368510962E-2</v>
      </c>
      <c r="BO27" s="4">
        <f t="shared" ca="1" si="14"/>
        <v>1.0645523323986087E-3</v>
      </c>
      <c r="BQ27" t="s">
        <v>88</v>
      </c>
      <c r="BR27" s="4">
        <f ca="1">+VLOOKUP($BG27,INDIRECT(Adrese!B$2),9,FALSE)</f>
        <v>6.6666684109620192E-2</v>
      </c>
      <c r="BS27" s="4">
        <f ca="1">+VLOOKUP($BG27,INDIRECT(Adrese!C$2),9,FALSE)</f>
        <v>7.050352146355239E-2</v>
      </c>
      <c r="BT27" s="4">
        <f ca="1">+VLOOKUP($BG27,INDIRECT(Adrese!D$2),9,FALSE)</f>
        <v>6.8777781437967311E-2</v>
      </c>
      <c r="BU27" s="4">
        <f ca="1">+VLOOKUP($BG27,INDIRECT(Adrese!E$2),9,FALSE)</f>
        <v>6.389465327682757E-2</v>
      </c>
      <c r="BV27" s="4">
        <f ca="1">+VLOOKUP($BG27,INDIRECT(Adrese!F$2),9,FALSE)</f>
        <v>6.6707368709462714E-2</v>
      </c>
      <c r="BW27" s="4" t="str">
        <f t="shared" ca="1" si="15"/>
        <v>0.07 (0.00)</v>
      </c>
      <c r="BX27" s="4">
        <f t="shared" ca="1" si="25"/>
        <v>6.7310001799486027E-2</v>
      </c>
      <c r="BY27" s="4">
        <f t="shared" ca="1" si="17"/>
        <v>2.4897075498153116E-3</v>
      </c>
    </row>
    <row r="28" spans="1:77" x14ac:dyDescent="0.25">
      <c r="A28" t="s">
        <v>89</v>
      </c>
      <c r="B28" s="11">
        <f ca="1">+VLOOKUP($A28,INDIRECT(Adrese!B$2),2,FALSE)</f>
        <v>20</v>
      </c>
      <c r="C28" s="11">
        <f ca="1">+VLOOKUP($A28,INDIRECT(Adrese!C$2),2,FALSE)</f>
        <v>17</v>
      </c>
      <c r="D28" s="11">
        <f ca="1">+VLOOKUP($A28,INDIRECT(Adrese!D$2),2,FALSE)</f>
        <v>14</v>
      </c>
      <c r="E28" s="11">
        <f ca="1">+VLOOKUP($A28,INDIRECT(Adrese!E$2),2,FALSE)</f>
        <v>7</v>
      </c>
      <c r="F28" s="11">
        <f ca="1">+VLOOKUP($A28,INDIRECT(Adrese!F$2),2,FALSE)</f>
        <v>19</v>
      </c>
      <c r="G28" s="4">
        <f t="shared" ca="1" si="18"/>
        <v>15.4</v>
      </c>
      <c r="J28" t="s">
        <v>89</v>
      </c>
      <c r="K28">
        <f ca="1">+VLOOKUP($A28,INDIRECT(Adrese!B$2),3,FALSE)</f>
        <v>198</v>
      </c>
      <c r="L28">
        <f ca="1">+VLOOKUP($A28,INDIRECT(Adrese!C$2),3,FALSE)</f>
        <v>196</v>
      </c>
      <c r="M28">
        <f ca="1">+VLOOKUP($A28,INDIRECT(Adrese!D$2),3,FALSE)</f>
        <v>200</v>
      </c>
      <c r="N28">
        <f ca="1">+VLOOKUP($A28,INDIRECT(Adrese!E$2),3,FALSE)</f>
        <v>193</v>
      </c>
      <c r="O28">
        <f ca="1">+VLOOKUP($A28,INDIRECT(Adrese!F$2),3,FALSE)</f>
        <v>199</v>
      </c>
      <c r="P28">
        <f t="shared" ca="1" si="1"/>
        <v>986</v>
      </c>
      <c r="Q28" s="4">
        <f t="shared" ca="1" si="19"/>
        <v>197.2</v>
      </c>
      <c r="R28" s="4"/>
      <c r="T28" t="s">
        <v>89</v>
      </c>
      <c r="U28">
        <f ca="1">+VLOOKUP($T28,INDIRECT(Adrese!B$2),4,FALSE)</f>
        <v>100145</v>
      </c>
      <c r="V28">
        <f ca="1">+VLOOKUP($T28,INDIRECT(Adrese!C$2),4,FALSE)</f>
        <v>100031</v>
      </c>
      <c r="W28">
        <f ca="1">+VLOOKUP($T28,INDIRECT(Adrese!D$2),4,FALSE)</f>
        <v>101259</v>
      </c>
      <c r="X28">
        <f ca="1">+VLOOKUP($T28,INDIRECT(Adrese!E$2),4,FALSE)</f>
        <v>101940</v>
      </c>
      <c r="Y28">
        <f ca="1">+VLOOKUP($T28,INDIRECT(Adrese!F$2),4,FALSE)</f>
        <v>100183</v>
      </c>
      <c r="Z28">
        <f t="shared" ca="1" si="3"/>
        <v>503558</v>
      </c>
      <c r="AA28" s="4">
        <f t="shared" ca="1" si="20"/>
        <v>100711.6</v>
      </c>
      <c r="AC28" t="s">
        <v>89</v>
      </c>
      <c r="AD28">
        <f ca="1">+VLOOKUP($A28,INDIRECT(Adrese!B$2),5,FALSE)</f>
        <v>7666</v>
      </c>
      <c r="AE28">
        <f ca="1">+VLOOKUP($A28,INDIRECT(Adrese!C$2),5,FALSE)</f>
        <v>8451</v>
      </c>
      <c r="AF28">
        <f ca="1">+VLOOKUP($A28,INDIRECT(Adrese!D$2),5,FALSE)</f>
        <v>8224</v>
      </c>
      <c r="AG28">
        <f ca="1">+VLOOKUP($A28,INDIRECT(Adrese!E$2),5,FALSE)</f>
        <v>8234</v>
      </c>
      <c r="AH28">
        <f ca="1">+VLOOKUP($A28,INDIRECT(Adrese!F$2),5,FALSE)</f>
        <v>8694</v>
      </c>
      <c r="AI28" s="4">
        <f t="shared" ca="1" si="21"/>
        <v>8253.7999999999993</v>
      </c>
      <c r="AJ28" s="4"/>
      <c r="AK28" s="4"/>
      <c r="AM28" t="s">
        <v>89</v>
      </c>
      <c r="AN28" s="4">
        <f ca="1">+VLOOKUP($A28,INDIRECT(Adrese!B$2),6,FALSE)</f>
        <v>0.16838495575221241</v>
      </c>
      <c r="AO28" s="4">
        <f ca="1">+VLOOKUP($A28,INDIRECT(Adrese!C$2),6,FALSE)</f>
        <v>0.18626106194690259</v>
      </c>
      <c r="AP28" s="4">
        <f ca="1">+VLOOKUP($A28,INDIRECT(Adrese!D$2),6,FALSE)</f>
        <v>0.18088495575221239</v>
      </c>
      <c r="AQ28" s="4">
        <f ca="1">+VLOOKUP($A28,INDIRECT(Adrese!E$2),6,FALSE)</f>
        <v>0.18146017699115041</v>
      </c>
      <c r="AR28" s="4">
        <f ca="1">+VLOOKUP($A28,INDIRECT(Adrese!F$2),6,FALSE)</f>
        <v>0.19119469026548669</v>
      </c>
      <c r="AS28" s="4" t="str">
        <f t="shared" ca="1" si="6"/>
        <v>0.18 (0.01)</v>
      </c>
      <c r="AT28" s="4">
        <f t="shared" ca="1" si="22"/>
        <v>0.18163716814159286</v>
      </c>
      <c r="AU28" s="4">
        <f t="shared" ca="1" si="8"/>
        <v>8.4991897500706348E-3</v>
      </c>
      <c r="AW28" t="s">
        <v>89</v>
      </c>
      <c r="AX28" s="4">
        <f ca="1">+VLOOKUP($A28,INDIRECT(Adrese!B$2),7,FALSE)</f>
        <v>0.1238938053097345</v>
      </c>
      <c r="AY28" s="4">
        <f ca="1">+VLOOKUP($A28,INDIRECT(Adrese!C$2),7,FALSE)</f>
        <v>0.13274336283185839</v>
      </c>
      <c r="AZ28" s="4">
        <f ca="1">+VLOOKUP($A28,INDIRECT(Adrese!D$2),7,FALSE)</f>
        <v>0.1150442477876106</v>
      </c>
      <c r="BA28" s="4">
        <f ca="1">+VLOOKUP($A28,INDIRECT(Adrese!E$2),7,FALSE)</f>
        <v>0.14601769911504431</v>
      </c>
      <c r="BB28" s="4">
        <f ca="1">+VLOOKUP($A28,INDIRECT(Adrese!F$2),7,FALSE)</f>
        <v>0.1194690265486726</v>
      </c>
      <c r="BC28" s="4" t="str">
        <f t="shared" ca="1" si="9"/>
        <v>0.13 (0.01)</v>
      </c>
      <c r="BD28">
        <f t="shared" ca="1" si="23"/>
        <v>0.1274336283185841</v>
      </c>
      <c r="BE28" s="4">
        <f t="shared" ca="1" si="11"/>
        <v>1.2278262765939497E-2</v>
      </c>
      <c r="BG28" t="s">
        <v>89</v>
      </c>
      <c r="BH28" s="4">
        <f ca="1">+VLOOKUP($BG28,INDIRECT(Adrese!B$2),8,FALSE)</f>
        <v>2.3771080650684579E-2</v>
      </c>
      <c r="BI28" s="4">
        <f ca="1">+VLOOKUP($BG28,INDIRECT(Adrese!C$2),8,FALSE)</f>
        <v>2.6664780621883651E-2</v>
      </c>
      <c r="BJ28" s="4">
        <f ca="1">+VLOOKUP($BG28,INDIRECT(Adrese!D$2),8,FALSE)</f>
        <v>2.5564613905486689E-2</v>
      </c>
      <c r="BK28" s="4">
        <f ca="1">+VLOOKUP($BG28,INDIRECT(Adrese!E$2),8,FALSE)</f>
        <v>2.601502602863889E-2</v>
      </c>
      <c r="BL28" s="4">
        <f ca="1">+VLOOKUP($BG28,INDIRECT(Adrese!F$2),8,FALSE)</f>
        <v>2.8207522446916489E-2</v>
      </c>
      <c r="BM28" s="4" t="str">
        <f t="shared" ca="1" si="12"/>
        <v>0.03 (0.00)</v>
      </c>
      <c r="BN28" s="4">
        <f t="shared" ca="1" si="24"/>
        <v>2.6044604730722058E-2</v>
      </c>
      <c r="BO28" s="4">
        <f t="shared" ca="1" si="14"/>
        <v>1.6173287403495871E-3</v>
      </c>
      <c r="BQ28" t="s">
        <v>89</v>
      </c>
      <c r="BR28" s="4">
        <f ca="1">+VLOOKUP($BG28,INDIRECT(Adrese!B$2),9,FALSE)</f>
        <v>8.7910434179185634E-2</v>
      </c>
      <c r="BS28" s="4">
        <f ca="1">+VLOOKUP($BG28,INDIRECT(Adrese!C$2),9,FALSE)</f>
        <v>8.9421808243862033E-2</v>
      </c>
      <c r="BT28" s="4">
        <f ca="1">+VLOOKUP($BG28,INDIRECT(Adrese!D$2),9,FALSE)</f>
        <v>8.5291360406578212E-2</v>
      </c>
      <c r="BU28" s="4">
        <f ca="1">+VLOOKUP($BG28,INDIRECT(Adrese!E$2),9,FALSE)</f>
        <v>8.7946046041410222E-2</v>
      </c>
      <c r="BV28" s="4">
        <f ca="1">+VLOOKUP($BG28,INDIRECT(Adrese!F$2),9,FALSE)</f>
        <v>8.8620385799080825E-2</v>
      </c>
      <c r="BW28" s="4" t="str">
        <f t="shared" ca="1" si="15"/>
        <v>0.09 (0.00)</v>
      </c>
      <c r="BX28" s="4">
        <f t="shared" ca="1" si="25"/>
        <v>8.7838006934023383E-2</v>
      </c>
      <c r="BY28" s="4">
        <f t="shared" ca="1" si="17"/>
        <v>1.5510375533695567E-3</v>
      </c>
    </row>
    <row r="29" spans="1:77" x14ac:dyDescent="0.25">
      <c r="A29" t="s">
        <v>90</v>
      </c>
      <c r="B29" s="11">
        <f ca="1">+VLOOKUP($A29,INDIRECT(Adrese!B$2),2,FALSE)</f>
        <v>14</v>
      </c>
      <c r="C29" s="11">
        <f ca="1">+VLOOKUP($A29,INDIRECT(Adrese!C$2),2,FALSE)</f>
        <v>12</v>
      </c>
      <c r="D29" s="11">
        <f ca="1">+VLOOKUP($A29,INDIRECT(Adrese!D$2),2,FALSE)</f>
        <v>22</v>
      </c>
      <c r="E29" s="11">
        <f ca="1">+VLOOKUP($A29,INDIRECT(Adrese!E$2),2,FALSE)</f>
        <v>23</v>
      </c>
      <c r="F29" s="11">
        <f ca="1">+VLOOKUP($A29,INDIRECT(Adrese!F$2),2,FALSE)</f>
        <v>8</v>
      </c>
      <c r="G29" s="4">
        <f t="shared" ca="1" si="18"/>
        <v>15.8</v>
      </c>
      <c r="J29" t="s">
        <v>90</v>
      </c>
      <c r="K29">
        <f ca="1">+VLOOKUP($A29,INDIRECT(Adrese!B$2),3,FALSE)</f>
        <v>198</v>
      </c>
      <c r="L29">
        <f ca="1">+VLOOKUP($A29,INDIRECT(Adrese!C$2),3,FALSE)</f>
        <v>191</v>
      </c>
      <c r="M29">
        <f ca="1">+VLOOKUP($A29,INDIRECT(Adrese!D$2),3,FALSE)</f>
        <v>198</v>
      </c>
      <c r="N29">
        <f ca="1">+VLOOKUP($A29,INDIRECT(Adrese!E$2),3,FALSE)</f>
        <v>194</v>
      </c>
      <c r="O29">
        <f ca="1">+VLOOKUP($A29,INDIRECT(Adrese!F$2),3,FALSE)</f>
        <v>200</v>
      </c>
      <c r="P29">
        <f t="shared" ca="1" si="1"/>
        <v>981</v>
      </c>
      <c r="Q29" s="4">
        <f t="shared" ca="1" si="19"/>
        <v>196.2</v>
      </c>
      <c r="R29" s="4"/>
      <c r="T29" t="s">
        <v>90</v>
      </c>
      <c r="U29">
        <f ca="1">+VLOOKUP($T29,INDIRECT(Adrese!B$2),4,FALSE)</f>
        <v>101000</v>
      </c>
      <c r="V29">
        <f ca="1">+VLOOKUP($T29,INDIRECT(Adrese!C$2),4,FALSE)</f>
        <v>101231</v>
      </c>
      <c r="W29">
        <f ca="1">+VLOOKUP($T29,INDIRECT(Adrese!D$2),4,FALSE)</f>
        <v>99328</v>
      </c>
      <c r="X29">
        <f ca="1">+VLOOKUP($T29,INDIRECT(Adrese!E$2),4,FALSE)</f>
        <v>99583</v>
      </c>
      <c r="Y29">
        <f ca="1">+VLOOKUP($T29,INDIRECT(Adrese!F$2),4,FALSE)</f>
        <v>101742</v>
      </c>
      <c r="Z29">
        <f t="shared" ca="1" si="3"/>
        <v>502884</v>
      </c>
      <c r="AA29" s="4">
        <f t="shared" ca="1" si="20"/>
        <v>100576.8</v>
      </c>
      <c r="AC29" t="s">
        <v>90</v>
      </c>
      <c r="AD29">
        <f ca="1">+VLOOKUP($A29,INDIRECT(Adrese!B$2),5,FALSE)</f>
        <v>11820</v>
      </c>
      <c r="AE29">
        <f ca="1">+VLOOKUP($A29,INDIRECT(Adrese!C$2),5,FALSE)</f>
        <v>12375</v>
      </c>
      <c r="AF29">
        <f ca="1">+VLOOKUP($A29,INDIRECT(Adrese!D$2),5,FALSE)</f>
        <v>11813</v>
      </c>
      <c r="AG29">
        <f ca="1">+VLOOKUP($A29,INDIRECT(Adrese!E$2),5,FALSE)</f>
        <v>11374</v>
      </c>
      <c r="AH29">
        <f ca="1">+VLOOKUP($A29,INDIRECT(Adrese!F$2),5,FALSE)</f>
        <v>11580</v>
      </c>
      <c r="AI29" s="4">
        <f t="shared" ca="1" si="21"/>
        <v>11792.4</v>
      </c>
      <c r="AJ29" s="4"/>
      <c r="AK29" s="4"/>
      <c r="AM29" t="s">
        <v>90</v>
      </c>
      <c r="AN29" s="4">
        <f ca="1">+VLOOKUP($A29,INDIRECT(Adrese!B$2),6,FALSE)</f>
        <v>0.26084070796460179</v>
      </c>
      <c r="AO29" s="4">
        <f ca="1">+VLOOKUP($A29,INDIRECT(Adrese!C$2),6,FALSE)</f>
        <v>0.27292035398230091</v>
      </c>
      <c r="AP29" s="4">
        <f ca="1">+VLOOKUP($A29,INDIRECT(Adrese!D$2),6,FALSE)</f>
        <v>0.26057522123893812</v>
      </c>
      <c r="AQ29" s="4">
        <f ca="1">+VLOOKUP($A29,INDIRECT(Adrese!E$2),6,FALSE)</f>
        <v>0.25059734513274329</v>
      </c>
      <c r="AR29" s="4">
        <f ca="1">+VLOOKUP($A29,INDIRECT(Adrese!F$2),6,FALSE)</f>
        <v>0.2556194690265487</v>
      </c>
      <c r="AS29" s="4" t="str">
        <f t="shared" ca="1" si="6"/>
        <v>0.26 (0.01)</v>
      </c>
      <c r="AT29" s="4">
        <f t="shared" ca="1" si="22"/>
        <v>0.26011061946902653</v>
      </c>
      <c r="AU29" s="4">
        <f t="shared" ca="1" si="8"/>
        <v>8.2992620637455383E-3</v>
      </c>
      <c r="AW29" t="s">
        <v>90</v>
      </c>
      <c r="AX29" s="4">
        <f ca="1">+VLOOKUP($A29,INDIRECT(Adrese!B$2),7,FALSE)</f>
        <v>0.1238938053097345</v>
      </c>
      <c r="AY29" s="4">
        <f ca="1">+VLOOKUP($A29,INDIRECT(Adrese!C$2),7,FALSE)</f>
        <v>0.1548672566371681</v>
      </c>
      <c r="AZ29" s="4">
        <f ca="1">+VLOOKUP($A29,INDIRECT(Adrese!D$2),7,FALSE)</f>
        <v>0.1238938053097345</v>
      </c>
      <c r="BA29" s="4">
        <f ca="1">+VLOOKUP($A29,INDIRECT(Adrese!E$2),7,FALSE)</f>
        <v>0.1415929203539823</v>
      </c>
      <c r="BB29" s="4">
        <f ca="1">+VLOOKUP($A29,INDIRECT(Adrese!F$2),7,FALSE)</f>
        <v>0.1150442477876106</v>
      </c>
      <c r="BC29" s="4" t="str">
        <f t="shared" ca="1" si="9"/>
        <v>0.13 (0.02)</v>
      </c>
      <c r="BD29">
        <f t="shared" ca="1" si="23"/>
        <v>0.13185840707964597</v>
      </c>
      <c r="BE29" s="4">
        <f t="shared" ca="1" si="11"/>
        <v>1.6076019579279014E-2</v>
      </c>
      <c r="BG29" t="s">
        <v>90</v>
      </c>
      <c r="BH29" s="4">
        <f ca="1">+VLOOKUP($BG29,INDIRECT(Adrese!B$2),8,FALSE)</f>
        <v>4.0467694243428637E-2</v>
      </c>
      <c r="BI29" s="4">
        <f ca="1">+VLOOKUP($BG29,INDIRECT(Adrese!C$2),8,FALSE)</f>
        <v>4.2088110635721071E-2</v>
      </c>
      <c r="BJ29" s="4">
        <f ca="1">+VLOOKUP($BG29,INDIRECT(Adrese!D$2),8,FALSE)</f>
        <v>4.0494015273674709E-2</v>
      </c>
      <c r="BK29" s="4">
        <f ca="1">+VLOOKUP($BG29,INDIRECT(Adrese!E$2),8,FALSE)</f>
        <v>3.8769260024116112E-2</v>
      </c>
      <c r="BL29" s="4">
        <f ca="1">+VLOOKUP($BG29,INDIRECT(Adrese!F$2),8,FALSE)</f>
        <v>3.8931925475944359E-2</v>
      </c>
      <c r="BM29" s="4" t="str">
        <f t="shared" ca="1" si="12"/>
        <v>0.04 (0.00)</v>
      </c>
      <c r="BN29" s="4">
        <f t="shared" ca="1" si="24"/>
        <v>4.0150201130576976E-2</v>
      </c>
      <c r="BO29" s="4">
        <f t="shared" ca="1" si="14"/>
        <v>1.3569908991970048E-3</v>
      </c>
      <c r="BQ29" t="s">
        <v>90</v>
      </c>
      <c r="BR29" s="4">
        <f ca="1">+VLOOKUP($BG29,INDIRECT(Adrese!B$2),9,FALSE)</f>
        <v>0.10232641937774679</v>
      </c>
      <c r="BS29" s="4">
        <f ca="1">+VLOOKUP($BG29,INDIRECT(Adrese!C$2),9,FALSE)</f>
        <v>9.3960554134322985E-2</v>
      </c>
      <c r="BT29" s="4">
        <f ca="1">+VLOOKUP($BG29,INDIRECT(Adrese!D$2),9,FALSE)</f>
        <v>0.1032172262219628</v>
      </c>
      <c r="BU29" s="4">
        <f ca="1">+VLOOKUP($BG29,INDIRECT(Adrese!E$2),9,FALSE)</f>
        <v>9.5418736832621379E-2</v>
      </c>
      <c r="BV29" s="4">
        <f ca="1">+VLOOKUP($BG29,INDIRECT(Adrese!F$2),9,FALSE)</f>
        <v>9.4797353194529518E-2</v>
      </c>
      <c r="BW29" s="4" t="str">
        <f t="shared" ca="1" si="15"/>
        <v>0.10 (0.00)</v>
      </c>
      <c r="BX29" s="4">
        <f t="shared" ca="1" si="25"/>
        <v>9.7944057952236693E-2</v>
      </c>
      <c r="BY29" s="4">
        <f t="shared" ca="1" si="17"/>
        <v>4.4485586295262645E-3</v>
      </c>
    </row>
    <row r="30" spans="1:77" x14ac:dyDescent="0.25">
      <c r="A30" t="s">
        <v>91</v>
      </c>
      <c r="B30" s="11">
        <f ca="1">+VLOOKUP($A30,INDIRECT(Adrese!B$2),2,FALSE)</f>
        <v>5</v>
      </c>
      <c r="C30" s="11">
        <f ca="1">+VLOOKUP($A30,INDIRECT(Adrese!C$2),2,FALSE)</f>
        <v>2</v>
      </c>
      <c r="D30" s="11">
        <f ca="1">+VLOOKUP($A30,INDIRECT(Adrese!D$2),2,FALSE)</f>
        <v>2</v>
      </c>
      <c r="E30" s="11">
        <f ca="1">+VLOOKUP($A30,INDIRECT(Adrese!E$2),2,FALSE)</f>
        <v>3</v>
      </c>
      <c r="F30" s="11">
        <f ca="1">+VLOOKUP($A30,INDIRECT(Adrese!F$2),2,FALSE)</f>
        <v>4</v>
      </c>
      <c r="G30" s="4">
        <f t="shared" ca="1" si="18"/>
        <v>3.2</v>
      </c>
      <c r="J30" t="s">
        <v>91</v>
      </c>
      <c r="K30">
        <f ca="1">+VLOOKUP($A30,INDIRECT(Adrese!B$2),3,FALSE)</f>
        <v>129</v>
      </c>
      <c r="L30">
        <f ca="1">+VLOOKUP($A30,INDIRECT(Adrese!C$2),3,FALSE)</f>
        <v>125</v>
      </c>
      <c r="M30">
        <f ca="1">+VLOOKUP($A30,INDIRECT(Adrese!D$2),3,FALSE)</f>
        <v>125</v>
      </c>
      <c r="N30">
        <f ca="1">+VLOOKUP($A30,INDIRECT(Adrese!E$2),3,FALSE)</f>
        <v>130</v>
      </c>
      <c r="O30">
        <f ca="1">+VLOOKUP($A30,INDIRECT(Adrese!F$2),3,FALSE)</f>
        <v>126</v>
      </c>
      <c r="P30">
        <f t="shared" ca="1" si="1"/>
        <v>635</v>
      </c>
      <c r="Q30" s="4">
        <f t="shared" ca="1" si="19"/>
        <v>127</v>
      </c>
      <c r="R30" s="4"/>
      <c r="T30" t="s">
        <v>91</v>
      </c>
      <c r="U30">
        <f ca="1">+VLOOKUP($T30,INDIRECT(Adrese!B$2),4,FALSE)</f>
        <v>103071</v>
      </c>
      <c r="V30">
        <f ca="1">+VLOOKUP($T30,INDIRECT(Adrese!C$2),4,FALSE)</f>
        <v>105210</v>
      </c>
      <c r="W30">
        <f ca="1">+VLOOKUP($T30,INDIRECT(Adrese!D$2),4,FALSE)</f>
        <v>105403</v>
      </c>
      <c r="X30">
        <f ca="1">+VLOOKUP($T30,INDIRECT(Adrese!E$2),4,FALSE)</f>
        <v>106106</v>
      </c>
      <c r="Y30">
        <f ca="1">+VLOOKUP($T30,INDIRECT(Adrese!F$2),4,FALSE)</f>
        <v>103725</v>
      </c>
      <c r="Z30">
        <f t="shared" ca="1" si="3"/>
        <v>523515</v>
      </c>
      <c r="AA30" s="4">
        <f t="shared" ca="1" si="20"/>
        <v>104703</v>
      </c>
      <c r="AC30" t="s">
        <v>91</v>
      </c>
      <c r="AD30">
        <f ca="1">+VLOOKUP($A30,INDIRECT(Adrese!B$2),5,FALSE)</f>
        <v>15267</v>
      </c>
      <c r="AE30">
        <f ca="1">+VLOOKUP($A30,INDIRECT(Adrese!C$2),5,FALSE)</f>
        <v>15944</v>
      </c>
      <c r="AF30">
        <f ca="1">+VLOOKUP($A30,INDIRECT(Adrese!D$2),5,FALSE)</f>
        <v>15116</v>
      </c>
      <c r="AG30">
        <f ca="1">+VLOOKUP($A30,INDIRECT(Adrese!E$2),5,FALSE)</f>
        <v>15424</v>
      </c>
      <c r="AH30">
        <f ca="1">+VLOOKUP($A30,INDIRECT(Adrese!F$2),5,FALSE)</f>
        <v>15683</v>
      </c>
      <c r="AI30" s="4">
        <f t="shared" ca="1" si="21"/>
        <v>15486.8</v>
      </c>
      <c r="AJ30" s="4"/>
      <c r="AK30" s="4"/>
      <c r="AM30" t="s">
        <v>91</v>
      </c>
      <c r="AN30" s="4">
        <f ca="1">+VLOOKUP($A30,INDIRECT(Adrese!B$2),6,FALSE)</f>
        <v>0.33683628318584069</v>
      </c>
      <c r="AO30" s="4">
        <f ca="1">+VLOOKUP($A30,INDIRECT(Adrese!C$2),6,FALSE)</f>
        <v>0.35157079646017703</v>
      </c>
      <c r="AP30" s="4">
        <f ca="1">+VLOOKUP($A30,INDIRECT(Adrese!D$2),6,FALSE)</f>
        <v>0.33316371681415929</v>
      </c>
      <c r="AQ30" s="4">
        <f ca="1">+VLOOKUP($A30,INDIRECT(Adrese!E$2),6,FALSE)</f>
        <v>0.34075221238938053</v>
      </c>
      <c r="AR30" s="4">
        <f ca="1">+VLOOKUP($A30,INDIRECT(Adrese!F$2),6,FALSE)</f>
        <v>0.34641592920353981</v>
      </c>
      <c r="AS30" s="4" t="str">
        <f t="shared" ca="1" si="6"/>
        <v>0.34 (0.01)</v>
      </c>
      <c r="AT30" s="4">
        <f t="shared" ca="1" si="22"/>
        <v>0.34174778761061947</v>
      </c>
      <c r="AU30" s="4">
        <f t="shared" ca="1" si="8"/>
        <v>7.3668746080757649E-3</v>
      </c>
      <c r="AW30" t="s">
        <v>91</v>
      </c>
      <c r="AX30" s="4">
        <f ca="1">+VLOOKUP($A30,INDIRECT(Adrese!B$2),7,FALSE)</f>
        <v>0.42920353982300891</v>
      </c>
      <c r="AY30" s="4">
        <f ca="1">+VLOOKUP($A30,INDIRECT(Adrese!C$2),7,FALSE)</f>
        <v>0.44690265486725661</v>
      </c>
      <c r="AZ30" s="4">
        <f ca="1">+VLOOKUP($A30,INDIRECT(Adrese!D$2),7,FALSE)</f>
        <v>0.44690265486725661</v>
      </c>
      <c r="BA30" s="4">
        <f ca="1">+VLOOKUP($A30,INDIRECT(Adrese!E$2),7,FALSE)</f>
        <v>0.4247787610619469</v>
      </c>
      <c r="BB30" s="4">
        <f ca="1">+VLOOKUP($A30,INDIRECT(Adrese!F$2),7,FALSE)</f>
        <v>0.44247787610619471</v>
      </c>
      <c r="BC30" s="4" t="str">
        <f t="shared" ca="1" si="9"/>
        <v>0.44 (0.01)</v>
      </c>
      <c r="BD30">
        <f t="shared" ca="1" si="23"/>
        <v>0.4380530973451327</v>
      </c>
      <c r="BE30" s="4">
        <f t="shared" ca="1" si="11"/>
        <v>1.0377026017308453E-2</v>
      </c>
      <c r="BG30" t="s">
        <v>91</v>
      </c>
      <c r="BH30" s="4">
        <f ca="1">+VLOOKUP($BG30,INDIRECT(Adrese!B$2),8,FALSE)</f>
        <v>4.3015106497242057E-2</v>
      </c>
      <c r="BI30" s="4">
        <f ca="1">+VLOOKUP($BG30,INDIRECT(Adrese!C$2),8,FALSE)</f>
        <v>4.5515903217789741E-2</v>
      </c>
      <c r="BJ30" s="4">
        <f ca="1">+VLOOKUP($BG30,INDIRECT(Adrese!D$2),8,FALSE)</f>
        <v>4.2303168968227611E-2</v>
      </c>
      <c r="BK30" s="4">
        <f ca="1">+VLOOKUP($BG30,INDIRECT(Adrese!E$2),8,FALSE)</f>
        <v>4.3697598927860577E-2</v>
      </c>
      <c r="BL30" s="4">
        <f ca="1">+VLOOKUP($BG30,INDIRECT(Adrese!F$2),8,FALSE)</f>
        <v>4.4149369184215297E-2</v>
      </c>
      <c r="BM30" s="4" t="str">
        <f t="shared" ca="1" si="12"/>
        <v>0.04 (0.00)</v>
      </c>
      <c r="BN30" s="4">
        <f t="shared" ca="1" si="24"/>
        <v>4.3736229359067055E-2</v>
      </c>
      <c r="BO30" s="4">
        <f t="shared" ca="1" si="14"/>
        <v>1.2158429313031338E-3</v>
      </c>
      <c r="BQ30" t="s">
        <v>91</v>
      </c>
      <c r="BR30" s="4">
        <f ca="1">+VLOOKUP($BG30,INDIRECT(Adrese!B$2),9,FALSE)</f>
        <v>2.7414851920220772E-3</v>
      </c>
      <c r="BS30" s="4">
        <f ca="1">+VLOOKUP($BG30,INDIRECT(Adrese!C$2),9,FALSE)</f>
        <v>-2.6273773016691252E-3</v>
      </c>
      <c r="BT30" s="4">
        <f ca="1">+VLOOKUP($BG30,INDIRECT(Adrese!D$2),9,FALSE)</f>
        <v>-7.2508128666226937E-4</v>
      </c>
      <c r="BU30" s="4">
        <f ca="1">+VLOOKUP($BG30,INDIRECT(Adrese!E$2),9,FALSE)</f>
        <v>-4.2624028737013814E-3</v>
      </c>
      <c r="BV30" s="4">
        <f ca="1">+VLOOKUP($BG30,INDIRECT(Adrese!F$2),9,FALSE)</f>
        <v>-3.3324062424317739E-3</v>
      </c>
      <c r="BW30" s="4" t="str">
        <f t="shared" ca="1" si="15"/>
        <v>0.00 (0.00)</v>
      </c>
      <c r="BX30" s="4">
        <f t="shared" ca="1" si="25"/>
        <v>-1.6411565024884943E-3</v>
      </c>
      <c r="BY30" s="4">
        <f t="shared" ca="1" si="17"/>
        <v>2.7726626061290341E-3</v>
      </c>
    </row>
    <row r="31" spans="1:77" x14ac:dyDescent="0.25">
      <c r="A31" t="s">
        <v>10</v>
      </c>
      <c r="B31" s="11">
        <f ca="1">+VLOOKUP($A31,INDIRECT(Adrese!B$2),2,FALSE)</f>
        <v>76</v>
      </c>
      <c r="C31" s="11">
        <f ca="1">+VLOOKUP($A31,INDIRECT(Adrese!C$2),2,FALSE)</f>
        <v>112</v>
      </c>
      <c r="D31" s="11">
        <f ca="1">+VLOOKUP($A31,INDIRECT(Adrese!D$2),2,FALSE)</f>
        <v>107</v>
      </c>
      <c r="E31" s="11">
        <f ca="1">+VLOOKUP($A31,INDIRECT(Adrese!E$2),2,FALSE)</f>
        <v>95</v>
      </c>
      <c r="F31" s="11">
        <f ca="1">+VLOOKUP($A31,INDIRECT(Adrese!F$2),2,FALSE)</f>
        <v>89</v>
      </c>
      <c r="G31" s="4">
        <f t="shared" ca="1" si="18"/>
        <v>95.8</v>
      </c>
      <c r="J31" t="s">
        <v>10</v>
      </c>
      <c r="K31">
        <f ca="1">+VLOOKUP($A31,INDIRECT(Adrese!B$2),3,FALSE)</f>
        <v>152</v>
      </c>
      <c r="L31">
        <f ca="1">+VLOOKUP($A31,INDIRECT(Adrese!C$2),3,FALSE)</f>
        <v>151</v>
      </c>
      <c r="M31">
        <f ca="1">+VLOOKUP($A31,INDIRECT(Adrese!D$2),3,FALSE)</f>
        <v>149</v>
      </c>
      <c r="N31">
        <f ca="1">+VLOOKUP($A31,INDIRECT(Adrese!E$2),3,FALSE)</f>
        <v>154</v>
      </c>
      <c r="O31">
        <f ca="1">+VLOOKUP($A31,INDIRECT(Adrese!F$2),3,FALSE)</f>
        <v>149</v>
      </c>
      <c r="P31">
        <f t="shared" ca="1" si="1"/>
        <v>755</v>
      </c>
      <c r="Q31" s="4">
        <f t="shared" ca="1" si="19"/>
        <v>151</v>
      </c>
      <c r="R31" s="4"/>
      <c r="T31" t="s">
        <v>10</v>
      </c>
      <c r="U31">
        <f ca="1">+VLOOKUP($T31,INDIRECT(Adrese!B$2),4,FALSE)</f>
        <v>96479</v>
      </c>
      <c r="V31">
        <f ca="1">+VLOOKUP($T31,INDIRECT(Adrese!C$2),4,FALSE)</f>
        <v>95039</v>
      </c>
      <c r="W31">
        <f ca="1">+VLOOKUP($T31,INDIRECT(Adrese!D$2),4,FALSE)</f>
        <v>95565</v>
      </c>
      <c r="X31">
        <f ca="1">+VLOOKUP($T31,INDIRECT(Adrese!E$2),4,FALSE)</f>
        <v>95947</v>
      </c>
      <c r="Y31">
        <f ca="1">+VLOOKUP($T31,INDIRECT(Adrese!F$2),4,FALSE)</f>
        <v>95941</v>
      </c>
      <c r="Z31">
        <f t="shared" ca="1" si="3"/>
        <v>478971</v>
      </c>
      <c r="AA31" s="4">
        <f t="shared" ca="1" si="20"/>
        <v>95794.2</v>
      </c>
      <c r="AC31" t="s">
        <v>10</v>
      </c>
      <c r="AD31">
        <f ca="1">+VLOOKUP($A31,INDIRECT(Adrese!B$2),5,FALSE)</f>
        <v>13730</v>
      </c>
      <c r="AE31">
        <f ca="1">+VLOOKUP($A31,INDIRECT(Adrese!C$2),5,FALSE)</f>
        <v>13259</v>
      </c>
      <c r="AF31">
        <f ca="1">+VLOOKUP($A31,INDIRECT(Adrese!D$2),5,FALSE)</f>
        <v>13347</v>
      </c>
      <c r="AG31">
        <f ca="1">+VLOOKUP($A31,INDIRECT(Adrese!E$2),5,FALSE)</f>
        <v>13503</v>
      </c>
      <c r="AH31">
        <f ca="1">+VLOOKUP($A31,INDIRECT(Adrese!F$2),5,FALSE)</f>
        <v>13531</v>
      </c>
      <c r="AI31" s="4">
        <f t="shared" ca="1" si="21"/>
        <v>13474</v>
      </c>
      <c r="AJ31" s="4"/>
      <c r="AK31" s="4"/>
      <c r="AM31" t="s">
        <v>10</v>
      </c>
      <c r="AN31" s="4">
        <f ca="1">+VLOOKUP($A31,INDIRECT(Adrese!B$2),6,FALSE)</f>
        <v>0.30292035398230088</v>
      </c>
      <c r="AO31" s="4">
        <f ca="1">+VLOOKUP($A31,INDIRECT(Adrese!C$2),6,FALSE)</f>
        <v>0.29243362831858399</v>
      </c>
      <c r="AP31" s="4">
        <f ca="1">+VLOOKUP($A31,INDIRECT(Adrese!D$2),6,FALSE)</f>
        <v>0.29407079646017698</v>
      </c>
      <c r="AQ31" s="4">
        <f ca="1">+VLOOKUP($A31,INDIRECT(Adrese!E$2),6,FALSE)</f>
        <v>0.29794247787610623</v>
      </c>
      <c r="AR31" s="4">
        <f ca="1">+VLOOKUP($A31,INDIRECT(Adrese!F$2),6,FALSE)</f>
        <v>0.29827433628318578</v>
      </c>
      <c r="AS31" s="4" t="str">
        <f t="shared" ca="1" si="6"/>
        <v>0.30 (0.00)</v>
      </c>
      <c r="AT31" s="4">
        <f t="shared" ca="1" si="22"/>
        <v>0.29712831858407079</v>
      </c>
      <c r="AU31" s="4">
        <f t="shared" ca="1" si="8"/>
        <v>4.0900013508799581E-3</v>
      </c>
      <c r="AW31" t="s">
        <v>10</v>
      </c>
      <c r="AX31" s="4">
        <f ca="1">+VLOOKUP($A31,INDIRECT(Adrese!B$2),7,FALSE)</f>
        <v>0.32743362831858408</v>
      </c>
      <c r="AY31" s="4">
        <f ca="1">+VLOOKUP($A31,INDIRECT(Adrese!C$2),7,FALSE)</f>
        <v>0.33185840707964598</v>
      </c>
      <c r="AZ31" s="4">
        <f ca="1">+VLOOKUP($A31,INDIRECT(Adrese!D$2),7,FALSE)</f>
        <v>0.34070796460176989</v>
      </c>
      <c r="BA31" s="4">
        <f ca="1">+VLOOKUP($A31,INDIRECT(Adrese!E$2),7,FALSE)</f>
        <v>0.31858407079646017</v>
      </c>
      <c r="BB31" s="4">
        <f ca="1">+VLOOKUP($A31,INDIRECT(Adrese!F$2),7,FALSE)</f>
        <v>0.34070796460176989</v>
      </c>
      <c r="BC31" s="4" t="str">
        <f t="shared" ca="1" si="9"/>
        <v>0.33 (0.01)</v>
      </c>
      <c r="BD31">
        <f t="shared" ca="1" si="23"/>
        <v>0.33185840707964603</v>
      </c>
      <c r="BE31" s="4">
        <f t="shared" ca="1" si="11"/>
        <v>9.3863732015913269E-3</v>
      </c>
      <c r="BG31" t="s">
        <v>10</v>
      </c>
      <c r="BH31" s="4">
        <f ca="1">+VLOOKUP($BG31,INDIRECT(Adrese!B$2),8,FALSE)</f>
        <v>4.364657642513517E-2</v>
      </c>
      <c r="BI31" s="4">
        <f ca="1">+VLOOKUP($BG31,INDIRECT(Adrese!C$2),8,FALSE)</f>
        <v>4.1405832323037163E-2</v>
      </c>
      <c r="BJ31" s="4">
        <f ca="1">+VLOOKUP($BG31,INDIRECT(Adrese!D$2),8,FALSE)</f>
        <v>4.2059500753149237E-2</v>
      </c>
      <c r="BK31" s="4">
        <f ca="1">+VLOOKUP($BG31,INDIRECT(Adrese!E$2),8,FALSE)</f>
        <v>4.2276234622308152E-2</v>
      </c>
      <c r="BL31" s="4">
        <f ca="1">+VLOOKUP($BG31,INDIRECT(Adrese!F$2),8,FALSE)</f>
        <v>4.233595944314681E-2</v>
      </c>
      <c r="BM31" s="4" t="str">
        <f t="shared" ca="1" si="12"/>
        <v>0.04 (0.00)</v>
      </c>
      <c r="BN31" s="4">
        <f t="shared" ca="1" si="24"/>
        <v>4.2344820713355304E-2</v>
      </c>
      <c r="BO31" s="4">
        <f t="shared" ca="1" si="14"/>
        <v>8.1585188361469533E-4</v>
      </c>
      <c r="BQ31" t="s">
        <v>10</v>
      </c>
      <c r="BR31" s="4">
        <f ca="1">+VLOOKUP($BG31,INDIRECT(Adrese!B$2),9,FALSE)</f>
        <v>8.9063187730716822E-2</v>
      </c>
      <c r="BS31" s="4">
        <f ca="1">+VLOOKUP($BG31,INDIRECT(Adrese!C$2),9,FALSE)</f>
        <v>8.2714757425325913E-2</v>
      </c>
      <c r="BT31" s="4">
        <f ca="1">+VLOOKUP($BG31,INDIRECT(Adrese!D$2),9,FALSE)</f>
        <v>8.3906124759738562E-2</v>
      </c>
      <c r="BU31" s="4">
        <f ca="1">+VLOOKUP($BG31,INDIRECT(Adrese!E$2),9,FALSE)</f>
        <v>8.3434157950788082E-2</v>
      </c>
      <c r="BV31" s="4">
        <f ca="1">+VLOOKUP($BG31,INDIRECT(Adrese!F$2),9,FALSE)</f>
        <v>8.1366584656004728E-2</v>
      </c>
      <c r="BW31" s="4" t="str">
        <f t="shared" ca="1" si="15"/>
        <v>0.08 (0.00)</v>
      </c>
      <c r="BX31" s="4">
        <f t="shared" ca="1" si="25"/>
        <v>8.4096962504514816E-2</v>
      </c>
      <c r="BY31" s="4">
        <f t="shared" ca="1" si="17"/>
        <v>2.9370297919500037E-3</v>
      </c>
    </row>
    <row r="32" spans="1:77" x14ac:dyDescent="0.25">
      <c r="A32" t="s">
        <v>92</v>
      </c>
      <c r="B32" s="11">
        <f ca="1">+VLOOKUP($A32,INDIRECT(Adrese!B$2),2,FALSE)</f>
        <v>42</v>
      </c>
      <c r="C32" s="11">
        <f ca="1">+VLOOKUP($A32,INDIRECT(Adrese!C$2),2,FALSE)</f>
        <v>54</v>
      </c>
      <c r="D32" s="11">
        <f ca="1">+VLOOKUP($A32,INDIRECT(Adrese!D$2),2,FALSE)</f>
        <v>61</v>
      </c>
      <c r="E32" s="11">
        <f ca="1">+VLOOKUP($A32,INDIRECT(Adrese!E$2),2,FALSE)</f>
        <v>37</v>
      </c>
      <c r="F32" s="11">
        <f ca="1">+VLOOKUP($A32,INDIRECT(Adrese!F$2),2,FALSE)</f>
        <v>58</v>
      </c>
      <c r="G32" s="4">
        <f t="shared" ca="1" si="18"/>
        <v>50.4</v>
      </c>
      <c r="J32" t="s">
        <v>92</v>
      </c>
      <c r="K32">
        <f ca="1">+VLOOKUP($A32,INDIRECT(Adrese!B$2),3,FALSE)</f>
        <v>199</v>
      </c>
      <c r="L32">
        <f ca="1">+VLOOKUP($A32,INDIRECT(Adrese!C$2),3,FALSE)</f>
        <v>192</v>
      </c>
      <c r="M32">
        <f ca="1">+VLOOKUP($A32,INDIRECT(Adrese!D$2),3,FALSE)</f>
        <v>199</v>
      </c>
      <c r="N32">
        <f ca="1">+VLOOKUP($A32,INDIRECT(Adrese!E$2),3,FALSE)</f>
        <v>200</v>
      </c>
      <c r="O32">
        <f ca="1">+VLOOKUP($A32,INDIRECT(Adrese!F$2),3,FALSE)</f>
        <v>196</v>
      </c>
      <c r="P32">
        <f t="shared" ca="1" si="1"/>
        <v>986</v>
      </c>
      <c r="Q32" s="4">
        <f t="shared" ca="1" si="19"/>
        <v>197.2</v>
      </c>
      <c r="R32" s="4"/>
      <c r="T32" t="s">
        <v>92</v>
      </c>
      <c r="U32">
        <f ca="1">+VLOOKUP($T32,INDIRECT(Adrese!B$2),4,FALSE)</f>
        <v>98060</v>
      </c>
      <c r="V32">
        <f ca="1">+VLOOKUP($T32,INDIRECT(Adrese!C$2),4,FALSE)</f>
        <v>97331</v>
      </c>
      <c r="W32">
        <f ca="1">+VLOOKUP($T32,INDIRECT(Adrese!D$2),4,FALSE)</f>
        <v>96906</v>
      </c>
      <c r="X32">
        <f ca="1">+VLOOKUP($T32,INDIRECT(Adrese!E$2),4,FALSE)</f>
        <v>98443</v>
      </c>
      <c r="Y32">
        <f ca="1">+VLOOKUP($T32,INDIRECT(Adrese!F$2),4,FALSE)</f>
        <v>97254</v>
      </c>
      <c r="Z32">
        <f t="shared" ca="1" si="3"/>
        <v>487994</v>
      </c>
      <c r="AA32" s="4">
        <f t="shared" ca="1" si="20"/>
        <v>97598.8</v>
      </c>
      <c r="AC32" t="s">
        <v>92</v>
      </c>
      <c r="AD32">
        <f ca="1">+VLOOKUP($A32,INDIRECT(Adrese!B$2),5,FALSE)</f>
        <v>5895</v>
      </c>
      <c r="AE32">
        <f ca="1">+VLOOKUP($A32,INDIRECT(Adrese!C$2),5,FALSE)</f>
        <v>5789</v>
      </c>
      <c r="AF32">
        <f ca="1">+VLOOKUP($A32,INDIRECT(Adrese!D$2),5,FALSE)</f>
        <v>5945</v>
      </c>
      <c r="AG32">
        <f ca="1">+VLOOKUP($A32,INDIRECT(Adrese!E$2),5,FALSE)</f>
        <v>5891</v>
      </c>
      <c r="AH32">
        <f ca="1">+VLOOKUP($A32,INDIRECT(Adrese!F$2),5,FALSE)</f>
        <v>5872</v>
      </c>
      <c r="AI32" s="4">
        <f t="shared" ca="1" si="21"/>
        <v>5878.4</v>
      </c>
      <c r="AJ32" s="4"/>
      <c r="AK32" s="4"/>
      <c r="AM32" t="s">
        <v>92</v>
      </c>
      <c r="AN32" s="4">
        <f ca="1">+VLOOKUP($A32,INDIRECT(Adrese!B$2),6,FALSE)</f>
        <v>0.12991150442477881</v>
      </c>
      <c r="AO32" s="4">
        <f ca="1">+VLOOKUP($A32,INDIRECT(Adrese!C$2),6,FALSE)</f>
        <v>0.12738938053097351</v>
      </c>
      <c r="AP32" s="4">
        <f ca="1">+VLOOKUP($A32,INDIRECT(Adrese!D$2),6,FALSE)</f>
        <v>0.13099557522123889</v>
      </c>
      <c r="AQ32" s="4">
        <f ca="1">+VLOOKUP($A32,INDIRECT(Adrese!E$2),6,FALSE)</f>
        <v>0.1297345132743363</v>
      </c>
      <c r="AR32" s="4">
        <f ca="1">+VLOOKUP($A32,INDIRECT(Adrese!F$2),6,FALSE)</f>
        <v>0.12926991150442479</v>
      </c>
      <c r="AS32" s="4" t="str">
        <f t="shared" ca="1" si="6"/>
        <v>0.13 (0.00)</v>
      </c>
      <c r="AT32" s="4">
        <f t="shared" ca="1" si="22"/>
        <v>0.12946017699115048</v>
      </c>
      <c r="AU32" s="4">
        <f t="shared" ca="1" si="8"/>
        <v>1.3191667359072536E-3</v>
      </c>
      <c r="AW32" t="s">
        <v>92</v>
      </c>
      <c r="AX32" s="4">
        <f ca="1">+VLOOKUP($A32,INDIRECT(Adrese!B$2),7,FALSE)</f>
        <v>0.1194690265486726</v>
      </c>
      <c r="AY32" s="4">
        <f ca="1">+VLOOKUP($A32,INDIRECT(Adrese!C$2),7,FALSE)</f>
        <v>0.15044247787610621</v>
      </c>
      <c r="AZ32" s="4">
        <f ca="1">+VLOOKUP($A32,INDIRECT(Adrese!D$2),7,FALSE)</f>
        <v>0.1194690265486726</v>
      </c>
      <c r="BA32" s="4">
        <f ca="1">+VLOOKUP($A32,INDIRECT(Adrese!E$2),7,FALSE)</f>
        <v>0.1150442477876106</v>
      </c>
      <c r="BB32" s="4">
        <f ca="1">+VLOOKUP($A32,INDIRECT(Adrese!F$2),7,FALSE)</f>
        <v>0.13274336283185839</v>
      </c>
      <c r="BC32" s="4" t="str">
        <f t="shared" ca="1" si="9"/>
        <v>0.13 (0.01)</v>
      </c>
      <c r="BD32">
        <f t="shared" ca="1" si="23"/>
        <v>0.12743362831858407</v>
      </c>
      <c r="BE32" s="4">
        <f t="shared" ca="1" si="11"/>
        <v>1.447382941043922E-2</v>
      </c>
      <c r="BG32" t="s">
        <v>92</v>
      </c>
      <c r="BH32" s="4">
        <f ca="1">+VLOOKUP($BG32,INDIRECT(Adrese!B$2),8,FALSE)</f>
        <v>1.6667089769037201E-2</v>
      </c>
      <c r="BI32" s="4">
        <f ca="1">+VLOOKUP($BG32,INDIRECT(Adrese!C$2),8,FALSE)</f>
        <v>1.6436895288299041E-2</v>
      </c>
      <c r="BJ32" s="4">
        <f ca="1">+VLOOKUP($BG32,INDIRECT(Adrese!D$2),8,FALSE)</f>
        <v>1.676208825383364E-2</v>
      </c>
      <c r="BK32" s="4">
        <f ca="1">+VLOOKUP($BG32,INDIRECT(Adrese!E$2),8,FALSE)</f>
        <v>1.6872129411945779E-2</v>
      </c>
      <c r="BL32" s="4">
        <f ca="1">+VLOOKUP($BG32,INDIRECT(Adrese!F$2),8,FALSE)</f>
        <v>1.6849527343036869E-2</v>
      </c>
      <c r="BM32" s="4" t="str">
        <f t="shared" ca="1" si="12"/>
        <v>0.02 (0.00)</v>
      </c>
      <c r="BN32" s="4">
        <f t="shared" ca="1" si="24"/>
        <v>1.6717546013230507E-2</v>
      </c>
      <c r="BO32" s="4">
        <f t="shared" ca="1" si="14"/>
        <v>1.7650054656885618E-4</v>
      </c>
      <c r="BQ32" t="s">
        <v>92</v>
      </c>
      <c r="BR32" s="4">
        <f ca="1">+VLOOKUP($BG32,INDIRECT(Adrese!B$2),9,FALSE)</f>
        <v>8.8243127966541296E-2</v>
      </c>
      <c r="BS32" s="4">
        <f ca="1">+VLOOKUP($BG32,INDIRECT(Adrese!C$2),9,FALSE)</f>
        <v>9.0753573901451251E-2</v>
      </c>
      <c r="BT32" s="4">
        <f ca="1">+VLOOKUP($BG32,INDIRECT(Adrese!D$2),9,FALSE)</f>
        <v>8.8697450096428598E-2</v>
      </c>
      <c r="BU32" s="4">
        <f ca="1">+VLOOKUP($BG32,INDIRECT(Adrese!E$2),9,FALSE)</f>
        <v>8.8931459122611634E-2</v>
      </c>
      <c r="BV32" s="4">
        <f ca="1">+VLOOKUP($BG32,INDIRECT(Adrese!F$2),9,FALSE)</f>
        <v>9.0887679246909894E-2</v>
      </c>
      <c r="BW32" s="4" t="str">
        <f t="shared" ca="1" si="15"/>
        <v>0.09 (0.00)</v>
      </c>
      <c r="BX32" s="4">
        <f t="shared" ca="1" si="25"/>
        <v>8.9502658066788532E-2</v>
      </c>
      <c r="BY32" s="4">
        <f t="shared" ca="1" si="17"/>
        <v>1.229239427205241E-3</v>
      </c>
    </row>
    <row r="33" spans="1:77" x14ac:dyDescent="0.25">
      <c r="A33" t="s">
        <v>93</v>
      </c>
      <c r="B33" s="11">
        <f ca="1">+VLOOKUP($A33,INDIRECT(Adrese!B$2),2,FALSE)</f>
        <v>25</v>
      </c>
      <c r="C33" s="11">
        <f ca="1">+VLOOKUP($A33,INDIRECT(Adrese!C$2),2,FALSE)</f>
        <v>32</v>
      </c>
      <c r="D33" s="11">
        <f ca="1">+VLOOKUP($A33,INDIRECT(Adrese!D$2),2,FALSE)</f>
        <v>25</v>
      </c>
      <c r="E33" s="11">
        <f ca="1">+VLOOKUP($A33,INDIRECT(Adrese!E$2),2,FALSE)</f>
        <v>44</v>
      </c>
      <c r="F33" s="11">
        <f ca="1">+VLOOKUP($A33,INDIRECT(Adrese!F$2),2,FALSE)</f>
        <v>16</v>
      </c>
      <c r="G33" s="4">
        <f t="shared" ca="1" si="18"/>
        <v>28.4</v>
      </c>
      <c r="J33" t="s">
        <v>93</v>
      </c>
      <c r="K33">
        <f ca="1">+VLOOKUP($A33,INDIRECT(Adrese!B$2),3,FALSE)</f>
        <v>184</v>
      </c>
      <c r="L33">
        <f ca="1">+VLOOKUP($A33,INDIRECT(Adrese!C$2),3,FALSE)</f>
        <v>181</v>
      </c>
      <c r="M33">
        <f ca="1">+VLOOKUP($A33,INDIRECT(Adrese!D$2),3,FALSE)</f>
        <v>197</v>
      </c>
      <c r="N33">
        <f ca="1">+VLOOKUP($A33,INDIRECT(Adrese!E$2),3,FALSE)</f>
        <v>192</v>
      </c>
      <c r="O33">
        <f ca="1">+VLOOKUP($A33,INDIRECT(Adrese!F$2),3,FALSE)</f>
        <v>195</v>
      </c>
      <c r="P33">
        <f t="shared" ca="1" si="1"/>
        <v>949</v>
      </c>
      <c r="Q33" s="4">
        <f t="shared" ca="1" si="19"/>
        <v>189.8</v>
      </c>
      <c r="R33" s="4"/>
      <c r="T33" t="s">
        <v>93</v>
      </c>
      <c r="U33">
        <f ca="1">+VLOOKUP($T33,INDIRECT(Adrese!B$2),4,FALSE)</f>
        <v>99505</v>
      </c>
      <c r="V33">
        <f ca="1">+VLOOKUP($T33,INDIRECT(Adrese!C$2),4,FALSE)</f>
        <v>98500</v>
      </c>
      <c r="W33">
        <f ca="1">+VLOOKUP($T33,INDIRECT(Adrese!D$2),4,FALSE)</f>
        <v>99228</v>
      </c>
      <c r="X33">
        <f ca="1">+VLOOKUP($T33,INDIRECT(Adrese!E$2),4,FALSE)</f>
        <v>97801</v>
      </c>
      <c r="Y33">
        <f ca="1">+VLOOKUP($T33,INDIRECT(Adrese!F$2),4,FALSE)</f>
        <v>100339</v>
      </c>
      <c r="Z33">
        <f t="shared" ca="1" si="3"/>
        <v>495373</v>
      </c>
      <c r="AA33" s="4">
        <f t="shared" ca="1" si="20"/>
        <v>99074.6</v>
      </c>
      <c r="AC33" t="s">
        <v>93</v>
      </c>
      <c r="AD33">
        <f ca="1">+VLOOKUP($A33,INDIRECT(Adrese!B$2),5,FALSE)</f>
        <v>8741</v>
      </c>
      <c r="AE33">
        <f ca="1">+VLOOKUP($A33,INDIRECT(Adrese!C$2),5,FALSE)</f>
        <v>8446</v>
      </c>
      <c r="AF33">
        <f ca="1">+VLOOKUP($A33,INDIRECT(Adrese!D$2),5,FALSE)</f>
        <v>8783</v>
      </c>
      <c r="AG33">
        <f ca="1">+VLOOKUP($A33,INDIRECT(Adrese!E$2),5,FALSE)</f>
        <v>8291</v>
      </c>
      <c r="AH33">
        <f ca="1">+VLOOKUP($A33,INDIRECT(Adrese!F$2),5,FALSE)</f>
        <v>8617</v>
      </c>
      <c r="AI33" s="4">
        <f t="shared" ca="1" si="21"/>
        <v>8575.6</v>
      </c>
      <c r="AJ33" s="4"/>
      <c r="AK33" s="4"/>
      <c r="AM33" t="s">
        <v>93</v>
      </c>
      <c r="AN33" s="4">
        <f ca="1">+VLOOKUP($A33,INDIRECT(Adrese!B$2),6,FALSE)</f>
        <v>0.1925884955752212</v>
      </c>
      <c r="AO33" s="4">
        <f ca="1">+VLOOKUP($A33,INDIRECT(Adrese!C$2),6,FALSE)</f>
        <v>0.18581858407079649</v>
      </c>
      <c r="AP33" s="4">
        <f ca="1">+VLOOKUP($A33,INDIRECT(Adrese!D$2),6,FALSE)</f>
        <v>0.1930973451327434</v>
      </c>
      <c r="AQ33" s="4">
        <f ca="1">+VLOOKUP($A33,INDIRECT(Adrese!E$2),6,FALSE)</f>
        <v>0.1823672566371681</v>
      </c>
      <c r="AR33" s="4">
        <f ca="1">+VLOOKUP($A33,INDIRECT(Adrese!F$2),6,FALSE)</f>
        <v>0.18946902654867259</v>
      </c>
      <c r="AS33" s="4" t="str">
        <f t="shared" ca="1" si="6"/>
        <v>0.19 (0.00)</v>
      </c>
      <c r="AT33" s="4">
        <f t="shared" ca="1" si="22"/>
        <v>0.18866814159292036</v>
      </c>
      <c r="AU33" s="4">
        <f t="shared" ca="1" si="8"/>
        <v>4.5675366816696501E-3</v>
      </c>
      <c r="AW33" t="s">
        <v>93</v>
      </c>
      <c r="AX33" s="4">
        <f ca="1">+VLOOKUP($A33,INDIRECT(Adrese!B$2),7,FALSE)</f>
        <v>0.18584070796460181</v>
      </c>
      <c r="AY33" s="4">
        <f ca="1">+VLOOKUP($A33,INDIRECT(Adrese!C$2),7,FALSE)</f>
        <v>0.19911504424778759</v>
      </c>
      <c r="AZ33" s="4">
        <f ca="1">+VLOOKUP($A33,INDIRECT(Adrese!D$2),7,FALSE)</f>
        <v>0.12831858407079649</v>
      </c>
      <c r="BA33" s="4">
        <f ca="1">+VLOOKUP($A33,INDIRECT(Adrese!E$2),7,FALSE)</f>
        <v>0.15044247787610621</v>
      </c>
      <c r="BB33" s="4">
        <f ca="1">+VLOOKUP($A33,INDIRECT(Adrese!F$2),7,FALSE)</f>
        <v>0.13716814159292029</v>
      </c>
      <c r="BC33" s="4" t="str">
        <f t="shared" ca="1" si="9"/>
        <v>0.16 (0.03)</v>
      </c>
      <c r="BD33">
        <f t="shared" ca="1" si="23"/>
        <v>0.16017699115044248</v>
      </c>
      <c r="BE33" s="4">
        <f t="shared" ca="1" si="11"/>
        <v>3.0878489066137847E-2</v>
      </c>
      <c r="BG33" t="s">
        <v>93</v>
      </c>
      <c r="BH33" s="4">
        <f ca="1">+VLOOKUP($BG33,INDIRECT(Adrese!B$2),8,FALSE)</f>
        <v>2.623295592045969E-2</v>
      </c>
      <c r="BI33" s="4">
        <f ca="1">+VLOOKUP($BG33,INDIRECT(Adrese!C$2),8,FALSE)</f>
        <v>2.4949194030864381E-2</v>
      </c>
      <c r="BJ33" s="4">
        <f ca="1">+VLOOKUP($BG33,INDIRECT(Adrese!D$2),8,FALSE)</f>
        <v>2.666982390141219E-2</v>
      </c>
      <c r="BK33" s="4">
        <f ca="1">+VLOOKUP($BG33,INDIRECT(Adrese!E$2),8,FALSE)</f>
        <v>2.4745397213556539E-2</v>
      </c>
      <c r="BL33" s="4">
        <f ca="1">+VLOOKUP($BG33,INDIRECT(Adrese!F$2),8,FALSE)</f>
        <v>2.5671826465555419E-2</v>
      </c>
      <c r="BM33" s="4" t="str">
        <f t="shared" ca="1" si="12"/>
        <v>0.03 (0.00)</v>
      </c>
      <c r="BN33" s="4">
        <f t="shared" ca="1" si="24"/>
        <v>2.5653839506369642E-2</v>
      </c>
      <c r="BO33" s="4">
        <f t="shared" ca="1" si="14"/>
        <v>8.2001772667741771E-4</v>
      </c>
      <c r="BQ33" t="s">
        <v>93</v>
      </c>
      <c r="BR33" s="4">
        <f ca="1">+VLOOKUP($BG33,INDIRECT(Adrese!B$2),9,FALSE)</f>
        <v>7.8020213670927707E-2</v>
      </c>
      <c r="BS33" s="4">
        <f ca="1">+VLOOKUP($BG33,INDIRECT(Adrese!C$2),9,FALSE)</f>
        <v>7.6554096719017264E-2</v>
      </c>
      <c r="BT33" s="4">
        <f ca="1">+VLOOKUP($BG33,INDIRECT(Adrese!D$2),9,FALSE)</f>
        <v>7.8486674611420351E-2</v>
      </c>
      <c r="BU33" s="4">
        <f ca="1">+VLOOKUP($BG33,INDIRECT(Adrese!E$2),9,FALSE)</f>
        <v>8.0059405609570963E-2</v>
      </c>
      <c r="BV33" s="4">
        <f ca="1">+VLOOKUP($BG33,INDIRECT(Adrese!F$2),9,FALSE)</f>
        <v>7.7336511540522609E-2</v>
      </c>
      <c r="BW33" s="4" t="str">
        <f t="shared" ca="1" si="15"/>
        <v>0.08 (0.00)</v>
      </c>
      <c r="BX33" s="4">
        <f t="shared" ca="1" si="25"/>
        <v>7.8091380430291776E-2</v>
      </c>
      <c r="BY33" s="4">
        <f t="shared" ca="1" si="17"/>
        <v>1.3198024050251464E-3</v>
      </c>
    </row>
    <row r="34" spans="1:77" x14ac:dyDescent="0.25">
      <c r="A34" t="s">
        <v>94</v>
      </c>
      <c r="B34" s="11">
        <f ca="1">+VLOOKUP($A34,INDIRECT(Adrese!B$2),2,FALSE)</f>
        <v>70</v>
      </c>
      <c r="C34" s="11">
        <f ca="1">+VLOOKUP($A34,INDIRECT(Adrese!C$2),2,FALSE)</f>
        <v>70</v>
      </c>
      <c r="D34" s="11">
        <f ca="1">+VLOOKUP($A34,INDIRECT(Adrese!D$2),2,FALSE)</f>
        <v>43</v>
      </c>
      <c r="E34" s="11">
        <f ca="1">+VLOOKUP($A34,INDIRECT(Adrese!E$2),2,FALSE)</f>
        <v>22</v>
      </c>
      <c r="F34" s="11">
        <f ca="1">+VLOOKUP($A34,INDIRECT(Adrese!F$2),2,FALSE)</f>
        <v>71</v>
      </c>
      <c r="G34" s="4">
        <f t="shared" ca="1" si="18"/>
        <v>55.2</v>
      </c>
      <c r="J34" t="s">
        <v>94</v>
      </c>
      <c r="K34">
        <f ca="1">+VLOOKUP($A34,INDIRECT(Adrese!B$2),3,FALSE)</f>
        <v>144</v>
      </c>
      <c r="L34">
        <f ca="1">+VLOOKUP($A34,INDIRECT(Adrese!C$2),3,FALSE)</f>
        <v>140</v>
      </c>
      <c r="M34">
        <f ca="1">+VLOOKUP($A34,INDIRECT(Adrese!D$2),3,FALSE)</f>
        <v>139</v>
      </c>
      <c r="N34">
        <f ca="1">+VLOOKUP($A34,INDIRECT(Adrese!E$2),3,FALSE)</f>
        <v>144</v>
      </c>
      <c r="O34">
        <f ca="1">+VLOOKUP($A34,INDIRECT(Adrese!F$2),3,FALSE)</f>
        <v>136</v>
      </c>
      <c r="P34">
        <f t="shared" ca="1" si="1"/>
        <v>703</v>
      </c>
      <c r="Q34" s="4">
        <f t="shared" ca="1" si="19"/>
        <v>140.6</v>
      </c>
      <c r="R34" s="4"/>
      <c r="T34" t="s">
        <v>94</v>
      </c>
      <c r="U34">
        <f ca="1">+VLOOKUP($T34,INDIRECT(Adrese!B$2),4,FALSE)</f>
        <v>96709</v>
      </c>
      <c r="V34">
        <f ca="1">+VLOOKUP($T34,INDIRECT(Adrese!C$2),4,FALSE)</f>
        <v>96629</v>
      </c>
      <c r="W34">
        <f ca="1">+VLOOKUP($T34,INDIRECT(Adrese!D$2),4,FALSE)</f>
        <v>97803</v>
      </c>
      <c r="X34">
        <f ca="1">+VLOOKUP($T34,INDIRECT(Adrese!E$2),4,FALSE)</f>
        <v>99605</v>
      </c>
      <c r="Y34">
        <f ca="1">+VLOOKUP($T34,INDIRECT(Adrese!F$2),4,FALSE)</f>
        <v>96748</v>
      </c>
      <c r="Z34">
        <f t="shared" ca="1" si="3"/>
        <v>487494</v>
      </c>
      <c r="AA34" s="4">
        <f t="shared" ca="1" si="20"/>
        <v>97498.8</v>
      </c>
      <c r="AC34" t="s">
        <v>94</v>
      </c>
      <c r="AD34">
        <f ca="1">+VLOOKUP($A34,INDIRECT(Adrese!B$2),5,FALSE)</f>
        <v>11592</v>
      </c>
      <c r="AE34">
        <f ca="1">+VLOOKUP($A34,INDIRECT(Adrese!C$2),5,FALSE)</f>
        <v>11768</v>
      </c>
      <c r="AF34">
        <f ca="1">+VLOOKUP($A34,INDIRECT(Adrese!D$2),5,FALSE)</f>
        <v>12077</v>
      </c>
      <c r="AG34">
        <f ca="1">+VLOOKUP($A34,INDIRECT(Adrese!E$2),5,FALSE)</f>
        <v>11781</v>
      </c>
      <c r="AH34">
        <f ca="1">+VLOOKUP($A34,INDIRECT(Adrese!F$2),5,FALSE)</f>
        <v>11681</v>
      </c>
      <c r="AI34" s="4">
        <f t="shared" ca="1" si="21"/>
        <v>11779.8</v>
      </c>
      <c r="AJ34" s="4"/>
      <c r="AK34" s="4"/>
      <c r="AM34" t="s">
        <v>94</v>
      </c>
      <c r="AN34" s="4">
        <f ca="1">+VLOOKUP($A34,INDIRECT(Adrese!B$2),6,FALSE)</f>
        <v>0.25539823008849549</v>
      </c>
      <c r="AO34" s="4">
        <f ca="1">+VLOOKUP($A34,INDIRECT(Adrese!C$2),6,FALSE)</f>
        <v>0.25902654867256641</v>
      </c>
      <c r="AP34" s="4">
        <f ca="1">+VLOOKUP($A34,INDIRECT(Adrese!D$2),6,FALSE)</f>
        <v>0.26557522123893812</v>
      </c>
      <c r="AQ34" s="4">
        <f ca="1">+VLOOKUP($A34,INDIRECT(Adrese!E$2),6,FALSE)</f>
        <v>0.25944690265486731</v>
      </c>
      <c r="AR34" s="4">
        <f ca="1">+VLOOKUP($A34,INDIRECT(Adrese!F$2),6,FALSE)</f>
        <v>0.25681415929203538</v>
      </c>
      <c r="AS34" s="4" t="str">
        <f t="shared" ca="1" si="6"/>
        <v>0.26 (0.00)</v>
      </c>
      <c r="AT34" s="4">
        <f t="shared" ca="1" si="22"/>
        <v>0.25925221238938057</v>
      </c>
      <c r="AU34" s="4">
        <f t="shared" ca="1" si="8"/>
        <v>3.9008509265657234E-3</v>
      </c>
      <c r="AW34" t="s">
        <v>94</v>
      </c>
      <c r="AX34" s="4">
        <f ca="1">+VLOOKUP($A34,INDIRECT(Adrese!B$2),7,FALSE)</f>
        <v>0.36283185840707971</v>
      </c>
      <c r="AY34" s="4">
        <f ca="1">+VLOOKUP($A34,INDIRECT(Adrese!C$2),7,FALSE)</f>
        <v>0.38053097345132741</v>
      </c>
      <c r="AZ34" s="4">
        <f ca="1">+VLOOKUP($A34,INDIRECT(Adrese!D$2),7,FALSE)</f>
        <v>0.38495575221238942</v>
      </c>
      <c r="BA34" s="4">
        <f ca="1">+VLOOKUP($A34,INDIRECT(Adrese!E$2),7,FALSE)</f>
        <v>0.36283185840707971</v>
      </c>
      <c r="BB34" s="4">
        <f ca="1">+VLOOKUP($A34,INDIRECT(Adrese!F$2),7,FALSE)</f>
        <v>0.39823008849557517</v>
      </c>
      <c r="BC34" s="4" t="str">
        <f t="shared" ca="1" si="9"/>
        <v>0.38 (0.02)</v>
      </c>
      <c r="BD34">
        <f t="shared" ca="1" si="23"/>
        <v>0.37787610619469031</v>
      </c>
      <c r="BE34" s="4">
        <f t="shared" ca="1" si="11"/>
        <v>1.5199614192316477E-2</v>
      </c>
      <c r="BG34" t="s">
        <v>94</v>
      </c>
      <c r="BH34" s="4">
        <f ca="1">+VLOOKUP($BG34,INDIRECT(Adrese!B$2),8,FALSE)</f>
        <v>3.1582369705782751E-2</v>
      </c>
      <c r="BI34" s="4">
        <f ca="1">+VLOOKUP($BG34,INDIRECT(Adrese!C$2),8,FALSE)</f>
        <v>3.2732122748672633E-2</v>
      </c>
      <c r="BJ34" s="4">
        <f ca="1">+VLOOKUP($BG34,INDIRECT(Adrese!D$2),8,FALSE)</f>
        <v>3.3325343942385288E-2</v>
      </c>
      <c r="BK34" s="4">
        <f ca="1">+VLOOKUP($BG34,INDIRECT(Adrese!E$2),8,FALSE)</f>
        <v>3.2825023501518162E-2</v>
      </c>
      <c r="BL34" s="4">
        <f ca="1">+VLOOKUP($BG34,INDIRECT(Adrese!F$2),8,FALSE)</f>
        <v>3.2220531247749588E-2</v>
      </c>
      <c r="BM34" s="4" t="str">
        <f t="shared" ca="1" si="12"/>
        <v>0.03 (0.00)</v>
      </c>
      <c r="BN34" s="4">
        <f t="shared" ca="1" si="24"/>
        <v>3.2537078229221687E-2</v>
      </c>
      <c r="BO34" s="4">
        <f t="shared" ca="1" si="14"/>
        <v>6.6219106667960901E-4</v>
      </c>
      <c r="BQ34" t="s">
        <v>94</v>
      </c>
      <c r="BR34" s="4">
        <f ca="1">+VLOOKUP($BG34,INDIRECT(Adrese!B$2),9,FALSE)</f>
        <v>4.7081646314565309E-2</v>
      </c>
      <c r="BS34" s="4">
        <f ca="1">+VLOOKUP($BG34,INDIRECT(Adrese!C$2),9,FALSE)</f>
        <v>4.750340648573529E-2</v>
      </c>
      <c r="BT34" s="4">
        <f ca="1">+VLOOKUP($BG34,INDIRECT(Adrese!D$2),9,FALSE)</f>
        <v>4.1217740622868017E-2</v>
      </c>
      <c r="BU34" s="4">
        <f ca="1">+VLOOKUP($BG34,INDIRECT(Adrese!E$2),9,FALSE)</f>
        <v>4.4414773385233239E-2</v>
      </c>
      <c r="BV34" s="4">
        <f ca="1">+VLOOKUP($BG34,INDIRECT(Adrese!F$2),9,FALSE)</f>
        <v>4.6027083403595008E-2</v>
      </c>
      <c r="BW34" s="4" t="str">
        <f t="shared" ca="1" si="15"/>
        <v>0.05 (0.00)</v>
      </c>
      <c r="BX34" s="4">
        <f t="shared" ca="1" si="25"/>
        <v>4.5248930042399368E-2</v>
      </c>
      <c r="BY34" s="4">
        <f t="shared" ca="1" si="17"/>
        <v>2.5491832557799064E-3</v>
      </c>
    </row>
    <row r="35" spans="1:77" x14ac:dyDescent="0.25">
      <c r="A35" t="s">
        <v>95</v>
      </c>
      <c r="B35" s="11">
        <f ca="1">+VLOOKUP($A35,INDIRECT(Adrese!B$2),2,FALSE)</f>
        <v>58</v>
      </c>
      <c r="C35" s="11">
        <f ca="1">+VLOOKUP($A35,INDIRECT(Adrese!C$2),2,FALSE)</f>
        <v>47</v>
      </c>
      <c r="D35" s="11">
        <f ca="1">+VLOOKUP($A35,INDIRECT(Adrese!D$2),2,FALSE)</f>
        <v>45</v>
      </c>
      <c r="E35" s="11">
        <f ca="1">+VLOOKUP($A35,INDIRECT(Adrese!E$2),2,FALSE)</f>
        <v>88</v>
      </c>
      <c r="F35" s="11">
        <f ca="1">+VLOOKUP($A35,INDIRECT(Adrese!F$2),2,FALSE)</f>
        <v>29</v>
      </c>
      <c r="G35" s="4">
        <f t="shared" ca="1" si="18"/>
        <v>53.4</v>
      </c>
      <c r="J35" t="s">
        <v>95</v>
      </c>
      <c r="K35">
        <f ca="1">+VLOOKUP($A35,INDIRECT(Adrese!B$2),3,FALSE)</f>
        <v>68</v>
      </c>
      <c r="L35">
        <f ca="1">+VLOOKUP($A35,INDIRECT(Adrese!C$2),3,FALSE)</f>
        <v>64</v>
      </c>
      <c r="M35">
        <f ca="1">+VLOOKUP($A35,INDIRECT(Adrese!D$2),3,FALSE)</f>
        <v>67</v>
      </c>
      <c r="N35">
        <f ca="1">+VLOOKUP($A35,INDIRECT(Adrese!E$2),3,FALSE)</f>
        <v>56</v>
      </c>
      <c r="O35">
        <f ca="1">+VLOOKUP($A35,INDIRECT(Adrese!F$2),3,FALSE)</f>
        <v>72</v>
      </c>
      <c r="P35">
        <f t="shared" ca="1" si="1"/>
        <v>327</v>
      </c>
      <c r="Q35" s="4">
        <f t="shared" ca="1" si="19"/>
        <v>65.400000000000006</v>
      </c>
      <c r="R35" s="4"/>
      <c r="T35" t="s">
        <v>95</v>
      </c>
      <c r="U35">
        <f ca="1">+VLOOKUP($T35,INDIRECT(Adrese!B$2),4,FALSE)</f>
        <v>97151</v>
      </c>
      <c r="V35">
        <f ca="1">+VLOOKUP($T35,INDIRECT(Adrese!C$2),4,FALSE)</f>
        <v>97615</v>
      </c>
      <c r="W35">
        <f ca="1">+VLOOKUP($T35,INDIRECT(Adrese!D$2),4,FALSE)</f>
        <v>97551</v>
      </c>
      <c r="X35">
        <f ca="1">+VLOOKUP($T35,INDIRECT(Adrese!E$2),4,FALSE)</f>
        <v>96119</v>
      </c>
      <c r="Y35">
        <f ca="1">+VLOOKUP($T35,INDIRECT(Adrese!F$2),4,FALSE)</f>
        <v>99073</v>
      </c>
      <c r="Z35">
        <f t="shared" ca="1" si="3"/>
        <v>487509</v>
      </c>
      <c r="AA35" s="4">
        <f t="shared" ca="1" si="20"/>
        <v>97501.8</v>
      </c>
      <c r="AC35" t="s">
        <v>95</v>
      </c>
      <c r="AD35">
        <f ca="1">+VLOOKUP($A35,INDIRECT(Adrese!B$2),5,FALSE)</f>
        <v>26926</v>
      </c>
      <c r="AE35">
        <f ca="1">+VLOOKUP($A35,INDIRECT(Adrese!C$2),5,FALSE)</f>
        <v>27406</v>
      </c>
      <c r="AF35">
        <f ca="1">+VLOOKUP($A35,INDIRECT(Adrese!D$2),5,FALSE)</f>
        <v>27269</v>
      </c>
      <c r="AG35">
        <f ca="1">+VLOOKUP($A35,INDIRECT(Adrese!E$2),5,FALSE)</f>
        <v>26826</v>
      </c>
      <c r="AH35">
        <f ca="1">+VLOOKUP($A35,INDIRECT(Adrese!F$2),5,FALSE)</f>
        <v>27747</v>
      </c>
      <c r="AI35" s="4">
        <f t="shared" ca="1" si="21"/>
        <v>27234.799999999999</v>
      </c>
      <c r="AJ35" s="4"/>
      <c r="AK35" s="4"/>
      <c r="AM35" t="s">
        <v>95</v>
      </c>
      <c r="AN35" s="4">
        <f ca="1">+VLOOKUP($A35,INDIRECT(Adrese!B$2),6,FALSE)</f>
        <v>0.59265486725663719</v>
      </c>
      <c r="AO35" s="4">
        <f ca="1">+VLOOKUP($A35,INDIRECT(Adrese!C$2),6,FALSE)</f>
        <v>0.60280973451327435</v>
      </c>
      <c r="AP35" s="4">
        <f ca="1">+VLOOKUP($A35,INDIRECT(Adrese!D$2),6,FALSE)</f>
        <v>0.60022123893805313</v>
      </c>
      <c r="AQ35" s="4">
        <f ca="1">+VLOOKUP($A35,INDIRECT(Adrese!E$2),6,FALSE)</f>
        <v>0.59046460176991156</v>
      </c>
      <c r="AR35" s="4">
        <f ca="1">+VLOOKUP($A35,INDIRECT(Adrese!F$2),6,FALSE)</f>
        <v>0.61050884955752216</v>
      </c>
      <c r="AS35" s="4" t="str">
        <f t="shared" ca="1" si="6"/>
        <v>0.60 (0.01)</v>
      </c>
      <c r="AT35" s="4">
        <f t="shared" ca="1" si="22"/>
        <v>0.5993318584070797</v>
      </c>
      <c r="AU35" s="4">
        <f t="shared" ca="1" si="8"/>
        <v>8.0780907739464256E-3</v>
      </c>
      <c r="AW35" t="s">
        <v>95</v>
      </c>
      <c r="AX35" s="4">
        <f ca="1">+VLOOKUP($A35,INDIRECT(Adrese!B$2),7,FALSE)</f>
        <v>0.69911504424778759</v>
      </c>
      <c r="AY35" s="4">
        <f ca="1">+VLOOKUP($A35,INDIRECT(Adrese!C$2),7,FALSE)</f>
        <v>0.7168141592920354</v>
      </c>
      <c r="AZ35" s="4">
        <f ca="1">+VLOOKUP($A35,INDIRECT(Adrese!D$2),7,FALSE)</f>
        <v>0.70353982300884954</v>
      </c>
      <c r="BA35" s="4">
        <f ca="1">+VLOOKUP($A35,INDIRECT(Adrese!E$2),7,FALSE)</f>
        <v>0.75221238938053092</v>
      </c>
      <c r="BB35" s="4">
        <f ca="1">+VLOOKUP($A35,INDIRECT(Adrese!F$2),7,FALSE)</f>
        <v>0.68141592920353977</v>
      </c>
      <c r="BC35" s="4" t="str">
        <f t="shared" ca="1" si="9"/>
        <v>0.71 (0.03)</v>
      </c>
      <c r="BD35">
        <f t="shared" ca="1" si="23"/>
        <v>0.71061946902654871</v>
      </c>
      <c r="BE35" s="4">
        <f t="shared" ca="1" si="11"/>
        <v>2.6474823542746176E-2</v>
      </c>
      <c r="BG35" t="s">
        <v>95</v>
      </c>
      <c r="BH35" s="4">
        <f ca="1">+VLOOKUP($BG35,INDIRECT(Adrese!B$2),8,FALSE)</f>
        <v>8.3335926198979574E-2</v>
      </c>
      <c r="BI35" s="4">
        <f ca="1">+VLOOKUP($BG35,INDIRECT(Adrese!C$2),8,FALSE)</f>
        <v>8.4593395378360525E-2</v>
      </c>
      <c r="BJ35" s="4">
        <f ca="1">+VLOOKUP($BG35,INDIRECT(Adrese!D$2),8,FALSE)</f>
        <v>8.3878670872594027E-2</v>
      </c>
      <c r="BK35" s="4">
        <f ca="1">+VLOOKUP($BG35,INDIRECT(Adrese!E$2),8,FALSE)</f>
        <v>8.2354972037562466E-2</v>
      </c>
      <c r="BL35" s="4">
        <f ca="1">+VLOOKUP($BG35,INDIRECT(Adrese!F$2),8,FALSE)</f>
        <v>8.4872918003610118E-2</v>
      </c>
      <c r="BM35" s="4" t="str">
        <f t="shared" ca="1" si="12"/>
        <v>0.08 (0.00)</v>
      </c>
      <c r="BN35" s="4">
        <f t="shared" ca="1" si="24"/>
        <v>8.380717649822135E-2</v>
      </c>
      <c r="BO35" s="4">
        <f t="shared" ca="1" si="14"/>
        <v>1.0111912738764587E-3</v>
      </c>
      <c r="BQ35" t="s">
        <v>95</v>
      </c>
      <c r="BR35" s="4">
        <f ca="1">+VLOOKUP($BG35,INDIRECT(Adrese!B$2),9,FALSE)</f>
        <v>1.896129401624045E-2</v>
      </c>
      <c r="BS35" s="4">
        <f ca="1">+VLOOKUP($BG35,INDIRECT(Adrese!C$2),9,FALSE)</f>
        <v>1.435667809643318E-2</v>
      </c>
      <c r="BT35" s="4">
        <f ca="1">+VLOOKUP($BG35,INDIRECT(Adrese!D$2),9,FALSE)</f>
        <v>1.7481134502190781E-2</v>
      </c>
      <c r="BU35" s="4">
        <f ca="1">+VLOOKUP($BG35,INDIRECT(Adrese!E$2),9,FALSE)</f>
        <v>1.7343957456099929E-2</v>
      </c>
      <c r="BV35" s="4">
        <f ca="1">+VLOOKUP($BG35,INDIRECT(Adrese!F$2),9,FALSE)</f>
        <v>1.0248761036944561E-2</v>
      </c>
      <c r="BW35" s="4" t="str">
        <f t="shared" ca="1" si="15"/>
        <v>0.02 (0.00)</v>
      </c>
      <c r="BX35" s="4">
        <f t="shared" ca="1" si="25"/>
        <v>1.5678365021581781E-2</v>
      </c>
      <c r="BY35" s="4">
        <f t="shared" ca="1" si="17"/>
        <v>3.4651570851913431E-3</v>
      </c>
    </row>
    <row r="36" spans="1:77" x14ac:dyDescent="0.25">
      <c r="A36" t="s">
        <v>96</v>
      </c>
      <c r="B36" s="11">
        <f ca="1">+VLOOKUP($A36,INDIRECT(Adrese!B$2),2,FALSE)</f>
        <v>3</v>
      </c>
      <c r="C36" s="11">
        <f ca="1">+VLOOKUP($A36,INDIRECT(Adrese!C$2),2,FALSE)</f>
        <v>1</v>
      </c>
      <c r="D36" s="11">
        <f ca="1">+VLOOKUP($A36,INDIRECT(Adrese!D$2),2,FALSE)</f>
        <v>1</v>
      </c>
      <c r="E36" s="11">
        <f ca="1">+VLOOKUP($A36,INDIRECT(Adrese!E$2),2,FALSE)</f>
        <v>1</v>
      </c>
      <c r="F36" s="11">
        <f ca="1">+VLOOKUP($A36,INDIRECT(Adrese!F$2),2,FALSE)</f>
        <v>1</v>
      </c>
      <c r="G36" s="4">
        <f t="shared" ca="1" si="18"/>
        <v>1.4</v>
      </c>
      <c r="J36" t="s">
        <v>96</v>
      </c>
      <c r="K36">
        <f ca="1">+VLOOKUP($A36,INDIRECT(Adrese!B$2),3,FALSE)</f>
        <v>125</v>
      </c>
      <c r="L36">
        <f ca="1">+VLOOKUP($A36,INDIRECT(Adrese!C$2),3,FALSE)</f>
        <v>124</v>
      </c>
      <c r="M36">
        <f ca="1">+VLOOKUP($A36,INDIRECT(Adrese!D$2),3,FALSE)</f>
        <v>130</v>
      </c>
      <c r="N36">
        <f ca="1">+VLOOKUP($A36,INDIRECT(Adrese!E$2),3,FALSE)</f>
        <v>130</v>
      </c>
      <c r="O36">
        <f ca="1">+VLOOKUP($A36,INDIRECT(Adrese!F$2),3,FALSE)</f>
        <v>131</v>
      </c>
      <c r="P36">
        <f t="shared" ca="1" si="1"/>
        <v>640</v>
      </c>
      <c r="Q36" s="4">
        <f t="shared" ca="1" si="19"/>
        <v>128</v>
      </c>
      <c r="R36" s="4"/>
      <c r="T36" t="s">
        <v>96</v>
      </c>
      <c r="U36">
        <f ca="1">+VLOOKUP($T36,INDIRECT(Adrese!B$2),4,FALSE)</f>
        <v>104650</v>
      </c>
      <c r="V36">
        <f ca="1">+VLOOKUP($T36,INDIRECT(Adrese!C$2),4,FALSE)</f>
        <v>107813</v>
      </c>
      <c r="W36">
        <f ca="1">+VLOOKUP($T36,INDIRECT(Adrese!D$2),4,FALSE)</f>
        <v>107000</v>
      </c>
      <c r="X36">
        <f ca="1">+VLOOKUP($T36,INDIRECT(Adrese!E$2),4,FALSE)</f>
        <v>107732</v>
      </c>
      <c r="Y36">
        <f ca="1">+VLOOKUP($T36,INDIRECT(Adrese!F$2),4,FALSE)</f>
        <v>106502</v>
      </c>
      <c r="Z36">
        <f t="shared" ca="1" si="3"/>
        <v>533697</v>
      </c>
      <c r="AA36" s="4">
        <f t="shared" ca="1" si="20"/>
        <v>106739.4</v>
      </c>
      <c r="AC36" t="s">
        <v>96</v>
      </c>
      <c r="AD36">
        <f ca="1">+VLOOKUP($A36,INDIRECT(Adrese!B$2),5,FALSE)</f>
        <v>19634</v>
      </c>
      <c r="AE36">
        <f ca="1">+VLOOKUP($A36,INDIRECT(Adrese!C$2),5,FALSE)</f>
        <v>20561</v>
      </c>
      <c r="AF36">
        <f ca="1">+VLOOKUP($A36,INDIRECT(Adrese!D$2),5,FALSE)</f>
        <v>20085</v>
      </c>
      <c r="AG36">
        <f ca="1">+VLOOKUP($A36,INDIRECT(Adrese!E$2),5,FALSE)</f>
        <v>20745</v>
      </c>
      <c r="AH36">
        <f ca="1">+VLOOKUP($A36,INDIRECT(Adrese!F$2),5,FALSE)</f>
        <v>19865</v>
      </c>
      <c r="AI36" s="4">
        <f t="shared" ca="1" si="21"/>
        <v>20178</v>
      </c>
      <c r="AJ36" s="4"/>
      <c r="AK36" s="4"/>
      <c r="AM36" t="s">
        <v>96</v>
      </c>
      <c r="AN36" s="4">
        <f ca="1">+VLOOKUP($A36,INDIRECT(Adrese!B$2),6,FALSE)</f>
        <v>0.43055309734513281</v>
      </c>
      <c r="AO36" s="4">
        <f ca="1">+VLOOKUP($A36,INDIRECT(Adrese!C$2),6,FALSE)</f>
        <v>0.45311946902654859</v>
      </c>
      <c r="AP36" s="4">
        <f ca="1">+VLOOKUP($A36,INDIRECT(Adrese!D$2),6,FALSE)</f>
        <v>0.44050884955752212</v>
      </c>
      <c r="AQ36" s="4">
        <f ca="1">+VLOOKUP($A36,INDIRECT(Adrese!E$2),6,FALSE)</f>
        <v>0.45526548672566369</v>
      </c>
      <c r="AR36" s="4">
        <f ca="1">+VLOOKUP($A36,INDIRECT(Adrese!F$2),6,FALSE)</f>
        <v>0.43584070796460178</v>
      </c>
      <c r="AS36" s="4" t="str">
        <f t="shared" ca="1" si="6"/>
        <v>0.44 (0.01)</v>
      </c>
      <c r="AT36" s="4">
        <f t="shared" ca="1" si="22"/>
        <v>0.44305752212389377</v>
      </c>
      <c r="AU36" s="4">
        <f t="shared" ca="1" si="8"/>
        <v>1.0784432677451517E-2</v>
      </c>
      <c r="AW36" t="s">
        <v>96</v>
      </c>
      <c r="AX36" s="4">
        <f ca="1">+VLOOKUP($A36,INDIRECT(Adrese!B$2),7,FALSE)</f>
        <v>0.44690265486725661</v>
      </c>
      <c r="AY36" s="4">
        <f ca="1">+VLOOKUP($A36,INDIRECT(Adrese!C$2),7,FALSE)</f>
        <v>0.45132743362831862</v>
      </c>
      <c r="AZ36" s="4">
        <f ca="1">+VLOOKUP($A36,INDIRECT(Adrese!D$2),7,FALSE)</f>
        <v>0.4247787610619469</v>
      </c>
      <c r="BA36" s="4">
        <f ca="1">+VLOOKUP($A36,INDIRECT(Adrese!E$2),7,FALSE)</f>
        <v>0.4247787610619469</v>
      </c>
      <c r="BB36" s="4">
        <f ca="1">+VLOOKUP($A36,INDIRECT(Adrese!F$2),7,FALSE)</f>
        <v>0.42035398230088489</v>
      </c>
      <c r="BC36" s="4" t="str">
        <f t="shared" ca="1" si="9"/>
        <v>0.43 (0.01)</v>
      </c>
      <c r="BD36">
        <f t="shared" ca="1" si="23"/>
        <v>0.4336283185840708</v>
      </c>
      <c r="BE36" s="4">
        <f t="shared" ca="1" si="11"/>
        <v>1.4337921899132456E-2</v>
      </c>
      <c r="BG36" t="s">
        <v>96</v>
      </c>
      <c r="BH36" s="4">
        <f ca="1">+VLOOKUP($BG36,INDIRECT(Adrese!B$2),8,FALSE)</f>
        <v>6.4217353943221339E-2</v>
      </c>
      <c r="BI36" s="4">
        <f ca="1">+VLOOKUP($BG36,INDIRECT(Adrese!C$2),8,FALSE)</f>
        <v>6.6555813310375911E-2</v>
      </c>
      <c r="BJ36" s="4">
        <f ca="1">+VLOOKUP($BG36,INDIRECT(Adrese!D$2),8,FALSE)</f>
        <v>6.5714055094324625E-2</v>
      </c>
      <c r="BK36" s="4">
        <f ca="1">+VLOOKUP($BG36,INDIRECT(Adrese!E$2),8,FALSE)</f>
        <v>6.6131571484168553E-2</v>
      </c>
      <c r="BL36" s="4">
        <f ca="1">+VLOOKUP($BG36,INDIRECT(Adrese!F$2),8,FALSE)</f>
        <v>6.5030741485515478E-2</v>
      </c>
      <c r="BM36" s="4" t="str">
        <f t="shared" ca="1" si="12"/>
        <v>0.07 (0.00)</v>
      </c>
      <c r="BN36" s="4">
        <f t="shared" ca="1" si="24"/>
        <v>6.5529907063521173E-2</v>
      </c>
      <c r="BO36" s="4">
        <f t="shared" ca="1" si="14"/>
        <v>9.2471024752782704E-4</v>
      </c>
      <c r="BQ36" t="s">
        <v>96</v>
      </c>
      <c r="BR36" s="4">
        <f ca="1">+VLOOKUP($BG36,INDIRECT(Adrese!B$2),9,FALSE)</f>
        <v>3.6288131753416233E-2</v>
      </c>
      <c r="BS36" s="4">
        <f ca="1">+VLOOKUP($BG36,INDIRECT(Adrese!C$2),9,FALSE)</f>
        <v>2.1699576653338892E-2</v>
      </c>
      <c r="BT36" s="4">
        <f ca="1">+VLOOKUP($BG36,INDIRECT(Adrese!D$2),9,FALSE)</f>
        <v>3.2058673614914678E-2</v>
      </c>
      <c r="BU36" s="4">
        <f ca="1">+VLOOKUP($BG36,INDIRECT(Adrese!E$2),9,FALSE)</f>
        <v>1.044233549773131E-2</v>
      </c>
      <c r="BV36" s="4">
        <f ca="1">+VLOOKUP($BG36,INDIRECT(Adrese!F$2),9,FALSE)</f>
        <v>3.0361871949768901E-2</v>
      </c>
      <c r="BW36" s="4" t="str">
        <f t="shared" ca="1" si="15"/>
        <v>0.03 (0.01)</v>
      </c>
      <c r="BX36" s="4">
        <f t="shared" ca="1" si="25"/>
        <v>2.6170117893834006E-2</v>
      </c>
      <c r="BY36" s="4">
        <f t="shared" ca="1" si="17"/>
        <v>1.0270941693566137E-2</v>
      </c>
    </row>
    <row r="37" spans="1:77" x14ac:dyDescent="0.25">
      <c r="A37" t="s">
        <v>97</v>
      </c>
      <c r="B37" s="11">
        <f ca="1">+VLOOKUP($A37,INDIRECT(Adrese!B$2),2,FALSE)</f>
        <v>71</v>
      </c>
      <c r="C37" s="11">
        <f ca="1">+VLOOKUP($A37,INDIRECT(Adrese!C$2),2,FALSE)</f>
        <v>48</v>
      </c>
      <c r="D37" s="11">
        <f ca="1">+VLOOKUP($A37,INDIRECT(Adrese!D$2),2,FALSE)</f>
        <v>42</v>
      </c>
      <c r="E37" s="11">
        <f ca="1">+VLOOKUP($A37,INDIRECT(Adrese!E$2),2,FALSE)</f>
        <v>64</v>
      </c>
      <c r="F37" s="11">
        <f ca="1">+VLOOKUP($A37,INDIRECT(Adrese!F$2),2,FALSE)</f>
        <v>60</v>
      </c>
      <c r="G37" s="4">
        <f t="shared" ca="1" si="18"/>
        <v>57</v>
      </c>
      <c r="J37" t="s">
        <v>97</v>
      </c>
      <c r="K37">
        <f ca="1">+VLOOKUP($A37,INDIRECT(Adrese!B$2),3,FALSE)</f>
        <v>193</v>
      </c>
      <c r="L37">
        <f ca="1">+VLOOKUP($A37,INDIRECT(Adrese!C$2),3,FALSE)</f>
        <v>199</v>
      </c>
      <c r="M37">
        <f ca="1">+VLOOKUP($A37,INDIRECT(Adrese!D$2),3,FALSE)</f>
        <v>198</v>
      </c>
      <c r="N37">
        <f ca="1">+VLOOKUP($A37,INDIRECT(Adrese!E$2),3,FALSE)</f>
        <v>196</v>
      </c>
      <c r="O37">
        <f ca="1">+VLOOKUP($A37,INDIRECT(Adrese!F$2),3,FALSE)</f>
        <v>200</v>
      </c>
      <c r="P37">
        <f t="shared" ca="1" si="1"/>
        <v>986</v>
      </c>
      <c r="Q37" s="4">
        <f t="shared" ca="1" si="19"/>
        <v>197.2</v>
      </c>
      <c r="R37" s="4"/>
      <c r="T37" t="s">
        <v>97</v>
      </c>
      <c r="U37">
        <f ca="1">+VLOOKUP($T37,INDIRECT(Adrese!B$2),4,FALSE)</f>
        <v>96678</v>
      </c>
      <c r="V37">
        <f ca="1">+VLOOKUP($T37,INDIRECT(Adrese!C$2),4,FALSE)</f>
        <v>97593</v>
      </c>
      <c r="W37">
        <f ca="1">+VLOOKUP($T37,INDIRECT(Adrese!D$2),4,FALSE)</f>
        <v>97804</v>
      </c>
      <c r="X37">
        <f ca="1">+VLOOKUP($T37,INDIRECT(Adrese!E$2),4,FALSE)</f>
        <v>96922</v>
      </c>
      <c r="Y37">
        <f ca="1">+VLOOKUP($T37,INDIRECT(Adrese!F$2),4,FALSE)</f>
        <v>97226</v>
      </c>
      <c r="Z37">
        <f t="shared" ca="1" si="3"/>
        <v>486223</v>
      </c>
      <c r="AA37" s="4">
        <f t="shared" ca="1" si="20"/>
        <v>97244.6</v>
      </c>
      <c r="AC37" t="s">
        <v>97</v>
      </c>
      <c r="AD37">
        <f ca="1">+VLOOKUP($A37,INDIRECT(Adrese!B$2),5,FALSE)</f>
        <v>5660</v>
      </c>
      <c r="AE37">
        <f ca="1">+VLOOKUP($A37,INDIRECT(Adrese!C$2),5,FALSE)</f>
        <v>5499</v>
      </c>
      <c r="AF37">
        <f ca="1">+VLOOKUP($A37,INDIRECT(Adrese!D$2),5,FALSE)</f>
        <v>5566</v>
      </c>
      <c r="AG37">
        <f ca="1">+VLOOKUP($A37,INDIRECT(Adrese!E$2),5,FALSE)</f>
        <v>5662</v>
      </c>
      <c r="AH37">
        <f ca="1">+VLOOKUP($A37,INDIRECT(Adrese!F$2),5,FALSE)</f>
        <v>5568</v>
      </c>
      <c r="AI37" s="4">
        <f t="shared" ca="1" si="21"/>
        <v>5591</v>
      </c>
      <c r="AJ37" s="4"/>
      <c r="AK37" s="4"/>
      <c r="AM37" t="s">
        <v>97</v>
      </c>
      <c r="AN37" s="4">
        <f ca="1">+VLOOKUP($A37,INDIRECT(Adrese!B$2),6,FALSE)</f>
        <v>0.124646017699115</v>
      </c>
      <c r="AO37" s="4">
        <f ca="1">+VLOOKUP($A37,INDIRECT(Adrese!C$2),6,FALSE)</f>
        <v>0.1206194690265487</v>
      </c>
      <c r="AP37" s="4">
        <f ca="1">+VLOOKUP($A37,INDIRECT(Adrese!D$2),6,FALSE)</f>
        <v>0.1225663716814159</v>
      </c>
      <c r="AQ37" s="4">
        <f ca="1">+VLOOKUP($A37,INDIRECT(Adrese!E$2),6,FALSE)</f>
        <v>0.12477876106194689</v>
      </c>
      <c r="AR37" s="4">
        <f ca="1">+VLOOKUP($A37,INDIRECT(Adrese!F$2),6,FALSE)</f>
        <v>0.1226769911504425</v>
      </c>
      <c r="AS37" s="4" t="str">
        <f t="shared" ca="1" si="6"/>
        <v>0.12 (0.00)</v>
      </c>
      <c r="AT37" s="4">
        <f t="shared" ca="1" si="22"/>
        <v>0.1230575221238938</v>
      </c>
      <c r="AU37" s="4">
        <f t="shared" ca="1" si="8"/>
        <v>1.7187289750527517E-3</v>
      </c>
      <c r="AW37" t="s">
        <v>97</v>
      </c>
      <c r="AX37" s="4">
        <f ca="1">+VLOOKUP($A37,INDIRECT(Adrese!B$2),7,FALSE)</f>
        <v>0.14601769911504431</v>
      </c>
      <c r="AY37" s="4">
        <f ca="1">+VLOOKUP($A37,INDIRECT(Adrese!C$2),7,FALSE)</f>
        <v>0.1194690265486726</v>
      </c>
      <c r="AZ37" s="4">
        <f ca="1">+VLOOKUP($A37,INDIRECT(Adrese!D$2),7,FALSE)</f>
        <v>0.1238938053097345</v>
      </c>
      <c r="BA37" s="4">
        <f ca="1">+VLOOKUP($A37,INDIRECT(Adrese!E$2),7,FALSE)</f>
        <v>0.13274336283185839</v>
      </c>
      <c r="BB37" s="4">
        <f ca="1">+VLOOKUP($A37,INDIRECT(Adrese!F$2),7,FALSE)</f>
        <v>0.1150442477876106</v>
      </c>
      <c r="BC37" s="4" t="str">
        <f t="shared" ca="1" si="9"/>
        <v>0.13 (0.01)</v>
      </c>
      <c r="BD37">
        <f t="shared" ca="1" si="23"/>
        <v>0.12743362831858407</v>
      </c>
      <c r="BE37" s="4">
        <f t="shared" ca="1" si="11"/>
        <v>1.2278262765939497E-2</v>
      </c>
      <c r="BG37" t="s">
        <v>97</v>
      </c>
      <c r="BH37" s="4">
        <f ca="1">+VLOOKUP($BG37,INDIRECT(Adrese!B$2),8,FALSE)</f>
        <v>1.5973983496607679E-2</v>
      </c>
      <c r="BI37" s="4">
        <f ca="1">+VLOOKUP($BG37,INDIRECT(Adrese!C$2),8,FALSE)</f>
        <v>1.534019081446304E-2</v>
      </c>
      <c r="BJ37" s="4">
        <f ca="1">+VLOOKUP($BG37,INDIRECT(Adrese!D$2),8,FALSE)</f>
        <v>1.572578751978488E-2</v>
      </c>
      <c r="BK37" s="4">
        <f ca="1">+VLOOKUP($BG37,INDIRECT(Adrese!E$2),8,FALSE)</f>
        <v>1.5847582749810699E-2</v>
      </c>
      <c r="BL37" s="4">
        <f ca="1">+VLOOKUP($BG37,INDIRECT(Adrese!F$2),8,FALSE)</f>
        <v>1.577070503866029E-2</v>
      </c>
      <c r="BM37" s="4" t="str">
        <f t="shared" ca="1" si="12"/>
        <v>0.02 (0.00)</v>
      </c>
      <c r="BN37" s="4">
        <f t="shared" ca="1" si="24"/>
        <v>1.5731649923865318E-2</v>
      </c>
      <c r="BO37" s="4">
        <f t="shared" ca="1" si="14"/>
        <v>2.3820468336969899E-4</v>
      </c>
      <c r="BQ37" t="s">
        <v>97</v>
      </c>
      <c r="BR37" s="4">
        <f ca="1">+VLOOKUP($BG37,INDIRECT(Adrese!B$2),9,FALSE)</f>
        <v>8.9360777714673115E-2</v>
      </c>
      <c r="BS37" s="4">
        <f ca="1">+VLOOKUP($BG37,INDIRECT(Adrese!C$2),9,FALSE)</f>
        <v>8.8327462147100702E-2</v>
      </c>
      <c r="BT37" s="4">
        <f ca="1">+VLOOKUP($BG37,INDIRECT(Adrese!D$2),9,FALSE)</f>
        <v>9.0271978700704761E-2</v>
      </c>
      <c r="BU37" s="4">
        <f ca="1">+VLOOKUP($BG37,INDIRECT(Adrese!E$2),9,FALSE)</f>
        <v>8.7724107318823977E-2</v>
      </c>
      <c r="BV37" s="4">
        <f ca="1">+VLOOKUP($BG37,INDIRECT(Adrese!F$2),9,FALSE)</f>
        <v>8.935954473430921E-2</v>
      </c>
      <c r="BW37" s="4" t="str">
        <f t="shared" ca="1" si="15"/>
        <v>0.09 (0.00)</v>
      </c>
      <c r="BX37" s="4">
        <f t="shared" ca="1" si="25"/>
        <v>8.9008774123122358E-2</v>
      </c>
      <c r="BY37" s="4">
        <f t="shared" ca="1" si="17"/>
        <v>9.9463399822483892E-4</v>
      </c>
    </row>
    <row r="38" spans="1:77" x14ac:dyDescent="0.25">
      <c r="A38" t="s">
        <v>98</v>
      </c>
      <c r="B38" s="11">
        <f ca="1">+VLOOKUP($A38,INDIRECT(Adrese!B$2),2,FALSE)</f>
        <v>22</v>
      </c>
      <c r="C38" s="11">
        <f ca="1">+VLOOKUP($A38,INDIRECT(Adrese!C$2),2,FALSE)</f>
        <v>14</v>
      </c>
      <c r="D38" s="11">
        <f ca="1">+VLOOKUP($A38,INDIRECT(Adrese!D$2),2,FALSE)</f>
        <v>15</v>
      </c>
      <c r="E38" s="11">
        <f ca="1">+VLOOKUP($A38,INDIRECT(Adrese!E$2),2,FALSE)</f>
        <v>25</v>
      </c>
      <c r="F38" s="11">
        <f ca="1">+VLOOKUP($A38,INDIRECT(Adrese!F$2),2,FALSE)</f>
        <v>9</v>
      </c>
      <c r="G38" s="4">
        <f t="shared" ca="1" si="18"/>
        <v>17</v>
      </c>
      <c r="J38" t="s">
        <v>98</v>
      </c>
      <c r="K38">
        <f ca="1">+VLOOKUP($A38,INDIRECT(Adrese!B$2),3,FALSE)</f>
        <v>145</v>
      </c>
      <c r="L38">
        <f ca="1">+VLOOKUP($A38,INDIRECT(Adrese!C$2),3,FALSE)</f>
        <v>155</v>
      </c>
      <c r="M38">
        <f ca="1">+VLOOKUP($A38,INDIRECT(Adrese!D$2),3,FALSE)</f>
        <v>152</v>
      </c>
      <c r="N38">
        <f ca="1">+VLOOKUP($A38,INDIRECT(Adrese!E$2),3,FALSE)</f>
        <v>142</v>
      </c>
      <c r="O38">
        <f ca="1">+VLOOKUP($A38,INDIRECT(Adrese!F$2),3,FALSE)</f>
        <v>155</v>
      </c>
      <c r="P38">
        <f t="shared" ca="1" si="1"/>
        <v>749</v>
      </c>
      <c r="Q38" s="4">
        <f t="shared" ca="1" si="19"/>
        <v>149.80000000000001</v>
      </c>
      <c r="R38" s="4"/>
      <c r="T38" t="s">
        <v>98</v>
      </c>
      <c r="U38">
        <f ca="1">+VLOOKUP($T38,INDIRECT(Adrese!B$2),4,FALSE)</f>
        <v>99651</v>
      </c>
      <c r="V38">
        <f ca="1">+VLOOKUP($T38,INDIRECT(Adrese!C$2),4,FALSE)</f>
        <v>100632</v>
      </c>
      <c r="W38">
        <f ca="1">+VLOOKUP($T38,INDIRECT(Adrese!D$2),4,FALSE)</f>
        <v>101020</v>
      </c>
      <c r="X38">
        <f ca="1">+VLOOKUP($T38,INDIRECT(Adrese!E$2),4,FALSE)</f>
        <v>99480</v>
      </c>
      <c r="Y38">
        <f ca="1">+VLOOKUP($T38,INDIRECT(Adrese!F$2),4,FALSE)</f>
        <v>101695</v>
      </c>
      <c r="Z38">
        <f t="shared" ca="1" si="3"/>
        <v>502478</v>
      </c>
      <c r="AA38" s="4">
        <f t="shared" ca="1" si="20"/>
        <v>100495.6</v>
      </c>
      <c r="AC38" t="s">
        <v>98</v>
      </c>
      <c r="AD38">
        <f ca="1">+VLOOKUP($A38,INDIRECT(Adrese!B$2),5,FALSE)</f>
        <v>20297</v>
      </c>
      <c r="AE38">
        <f ca="1">+VLOOKUP($A38,INDIRECT(Adrese!C$2),5,FALSE)</f>
        <v>20558</v>
      </c>
      <c r="AF38">
        <f ca="1">+VLOOKUP($A38,INDIRECT(Adrese!D$2),5,FALSE)</f>
        <v>20878</v>
      </c>
      <c r="AG38">
        <f ca="1">+VLOOKUP($A38,INDIRECT(Adrese!E$2),5,FALSE)</f>
        <v>20236</v>
      </c>
      <c r="AH38">
        <f ca="1">+VLOOKUP($A38,INDIRECT(Adrese!F$2),5,FALSE)</f>
        <v>20967</v>
      </c>
      <c r="AI38" s="4">
        <f t="shared" ca="1" si="21"/>
        <v>20587.2</v>
      </c>
      <c r="AJ38" s="4"/>
      <c r="AK38" s="4"/>
      <c r="AM38" t="s">
        <v>98</v>
      </c>
      <c r="AN38" s="4">
        <f ca="1">+VLOOKUP($A38,INDIRECT(Adrese!B$2),6,FALSE)</f>
        <v>0.44626106194690268</v>
      </c>
      <c r="AO38" s="4">
        <f ca="1">+VLOOKUP($A38,INDIRECT(Adrese!C$2),6,FALSE)</f>
        <v>0.45172566371681422</v>
      </c>
      <c r="AP38" s="4">
        <f ca="1">+VLOOKUP($A38,INDIRECT(Adrese!D$2),6,FALSE)</f>
        <v>0.45836283185840709</v>
      </c>
      <c r="AQ38" s="4">
        <f ca="1">+VLOOKUP($A38,INDIRECT(Adrese!E$2),6,FALSE)</f>
        <v>0.44460176991150441</v>
      </c>
      <c r="AR38" s="4">
        <f ca="1">+VLOOKUP($A38,INDIRECT(Adrese!F$2),6,FALSE)</f>
        <v>0.46037610619469033</v>
      </c>
      <c r="AS38" s="4" t="str">
        <f t="shared" ca="1" si="6"/>
        <v>0.45 (0.01)</v>
      </c>
      <c r="AT38" s="4">
        <f t="shared" ca="1" si="22"/>
        <v>0.45226548672566375</v>
      </c>
      <c r="AU38" s="4">
        <f t="shared" ca="1" si="8"/>
        <v>7.0362782607613986E-3</v>
      </c>
      <c r="AW38" t="s">
        <v>98</v>
      </c>
      <c r="AX38" s="4">
        <f ca="1">+VLOOKUP($A38,INDIRECT(Adrese!B$2),7,FALSE)</f>
        <v>0.3584070796460177</v>
      </c>
      <c r="AY38" s="4">
        <f ca="1">+VLOOKUP($A38,INDIRECT(Adrese!C$2),7,FALSE)</f>
        <v>0.31415929203539822</v>
      </c>
      <c r="AZ38" s="4">
        <f ca="1">+VLOOKUP($A38,INDIRECT(Adrese!D$2),7,FALSE)</f>
        <v>0.32743362831858408</v>
      </c>
      <c r="BA38" s="4">
        <f ca="1">+VLOOKUP($A38,INDIRECT(Adrese!E$2),7,FALSE)</f>
        <v>0.37168141592920362</v>
      </c>
      <c r="BB38" s="4">
        <f ca="1">+VLOOKUP($A38,INDIRECT(Adrese!F$2),7,FALSE)</f>
        <v>0.31415929203539822</v>
      </c>
      <c r="BC38" s="4" t="str">
        <f t="shared" ca="1" si="9"/>
        <v>0.34 (0.03)</v>
      </c>
      <c r="BD38">
        <f t="shared" ca="1" si="23"/>
        <v>0.33716814159292036</v>
      </c>
      <c r="BE38" s="4">
        <f t="shared" ca="1" si="11"/>
        <v>2.6437821674848979E-2</v>
      </c>
      <c r="BG38" t="s">
        <v>98</v>
      </c>
      <c r="BH38" s="4">
        <f ca="1">+VLOOKUP($BG38,INDIRECT(Adrese!B$2),8,FALSE)</f>
        <v>6.8114897406282945E-2</v>
      </c>
      <c r="BI38" s="4">
        <f ca="1">+VLOOKUP($BG38,INDIRECT(Adrese!C$2),8,FALSE)</f>
        <v>6.9106658779950175E-2</v>
      </c>
      <c r="BJ38" s="4">
        <f ca="1">+VLOOKUP($BG38,INDIRECT(Adrese!D$2),8,FALSE)</f>
        <v>6.976232673558827E-2</v>
      </c>
      <c r="BK38" s="4">
        <f ca="1">+VLOOKUP($BG38,INDIRECT(Adrese!E$2),8,FALSE)</f>
        <v>6.7825621789697949E-2</v>
      </c>
      <c r="BL38" s="4">
        <f ca="1">+VLOOKUP($BG38,INDIRECT(Adrese!F$2),8,FALSE)</f>
        <v>6.9950376251763036E-2</v>
      </c>
      <c r="BM38" s="4" t="str">
        <f t="shared" ca="1" si="12"/>
        <v>0.07 (0.00)</v>
      </c>
      <c r="BN38" s="4">
        <f t="shared" ca="1" si="24"/>
        <v>6.8951976192656472E-2</v>
      </c>
      <c r="BO38" s="4">
        <f t="shared" ca="1" si="14"/>
        <v>9.5482623012336024E-4</v>
      </c>
      <c r="BQ38" t="s">
        <v>98</v>
      </c>
      <c r="BR38" s="4">
        <f ca="1">+VLOOKUP($BG38,INDIRECT(Adrese!B$2),9,FALSE)</f>
        <v>6.748156941120606E-2</v>
      </c>
      <c r="BS38" s="4">
        <f ca="1">+VLOOKUP($BG38,INDIRECT(Adrese!C$2),9,FALSE)</f>
        <v>6.5592058426732797E-2</v>
      </c>
      <c r="BT38" s="4">
        <f ca="1">+VLOOKUP($BG38,INDIRECT(Adrese!D$2),9,FALSE)</f>
        <v>6.2650712940362396E-2</v>
      </c>
      <c r="BU38" s="4">
        <f ca="1">+VLOOKUP($BG38,INDIRECT(Adrese!E$2),9,FALSE)</f>
        <v>6.9939027925014857E-2</v>
      </c>
      <c r="BV38" s="4">
        <f ca="1">+VLOOKUP($BG38,INDIRECT(Adrese!F$2),9,FALSE)</f>
        <v>5.9934109468091343E-2</v>
      </c>
      <c r="BW38" s="4" t="str">
        <f t="shared" ca="1" si="15"/>
        <v>0.07 (0.00)</v>
      </c>
      <c r="BX38" s="4">
        <f t="shared" ca="1" si="25"/>
        <v>6.5119495634281488E-2</v>
      </c>
      <c r="BY38" s="4">
        <f t="shared" ca="1" si="17"/>
        <v>3.9374394377620671E-3</v>
      </c>
    </row>
    <row r="39" spans="1:77" x14ac:dyDescent="0.25">
      <c r="A39" t="s">
        <v>99</v>
      </c>
      <c r="B39" s="11">
        <f ca="1">+VLOOKUP($A39,INDIRECT(Adrese!B$2),2,FALSE)</f>
        <v>26</v>
      </c>
      <c r="C39" s="11">
        <f ca="1">+VLOOKUP($A39,INDIRECT(Adrese!C$2),2,FALSE)</f>
        <v>15</v>
      </c>
      <c r="D39" s="11">
        <f ca="1">+VLOOKUP($A39,INDIRECT(Adrese!D$2),2,FALSE)</f>
        <v>21</v>
      </c>
      <c r="E39" s="11">
        <f ca="1">+VLOOKUP($A39,INDIRECT(Adrese!E$2),2,FALSE)</f>
        <v>18</v>
      </c>
      <c r="F39" s="11">
        <f ca="1">+VLOOKUP($A39,INDIRECT(Adrese!F$2),2,FALSE)</f>
        <v>26</v>
      </c>
      <c r="G39" s="4">
        <f t="shared" ca="1" si="18"/>
        <v>21.2</v>
      </c>
      <c r="J39" t="s">
        <v>99</v>
      </c>
      <c r="K39">
        <f ca="1">+VLOOKUP($A39,INDIRECT(Adrese!B$2),3,FALSE)</f>
        <v>102</v>
      </c>
      <c r="L39">
        <f ca="1">+VLOOKUP($A39,INDIRECT(Adrese!C$2),3,FALSE)</f>
        <v>111</v>
      </c>
      <c r="M39">
        <f ca="1">+VLOOKUP($A39,INDIRECT(Adrese!D$2),3,FALSE)</f>
        <v>104</v>
      </c>
      <c r="N39">
        <f ca="1">+VLOOKUP($A39,INDIRECT(Adrese!E$2),3,FALSE)</f>
        <v>112</v>
      </c>
      <c r="O39">
        <f ca="1">+VLOOKUP($A39,INDIRECT(Adrese!F$2),3,FALSE)</f>
        <v>108</v>
      </c>
      <c r="P39">
        <f t="shared" ca="1" si="1"/>
        <v>537</v>
      </c>
      <c r="Q39" s="4">
        <f t="shared" ca="1" si="19"/>
        <v>107.4</v>
      </c>
      <c r="R39" s="4"/>
      <c r="T39" t="s">
        <v>99</v>
      </c>
      <c r="U39">
        <f ca="1">+VLOOKUP($T39,INDIRECT(Adrese!B$2),4,FALSE)</f>
        <v>99263</v>
      </c>
      <c r="V39">
        <f ca="1">+VLOOKUP($T39,INDIRECT(Adrese!C$2),4,FALSE)</f>
        <v>100162</v>
      </c>
      <c r="W39">
        <f ca="1">+VLOOKUP($T39,INDIRECT(Adrese!D$2),4,FALSE)</f>
        <v>99394</v>
      </c>
      <c r="X39">
        <f ca="1">+VLOOKUP($T39,INDIRECT(Adrese!E$2),4,FALSE)</f>
        <v>100145</v>
      </c>
      <c r="Y39">
        <f ca="1">+VLOOKUP($T39,INDIRECT(Adrese!F$2),4,FALSE)</f>
        <v>99538</v>
      </c>
      <c r="Z39">
        <f t="shared" ca="1" si="3"/>
        <v>498502</v>
      </c>
      <c r="AA39" s="4">
        <f t="shared" ca="1" si="20"/>
        <v>99700.4</v>
      </c>
      <c r="AC39" t="s">
        <v>99</v>
      </c>
      <c r="AD39">
        <f ca="1">+VLOOKUP($A39,INDIRECT(Adrese!B$2),5,FALSE)</f>
        <v>21006</v>
      </c>
      <c r="AE39">
        <f ca="1">+VLOOKUP($A39,INDIRECT(Adrese!C$2),5,FALSE)</f>
        <v>20941</v>
      </c>
      <c r="AF39">
        <f ca="1">+VLOOKUP($A39,INDIRECT(Adrese!D$2),5,FALSE)</f>
        <v>20774</v>
      </c>
      <c r="AG39">
        <f ca="1">+VLOOKUP($A39,INDIRECT(Adrese!E$2),5,FALSE)</f>
        <v>20915</v>
      </c>
      <c r="AH39">
        <f ca="1">+VLOOKUP($A39,INDIRECT(Adrese!F$2),5,FALSE)</f>
        <v>20828</v>
      </c>
      <c r="AI39" s="4">
        <f t="shared" ca="1" si="21"/>
        <v>20892.8</v>
      </c>
      <c r="AJ39" s="4"/>
      <c r="AK39" s="4"/>
      <c r="AM39" t="s">
        <v>99</v>
      </c>
      <c r="AN39" s="4">
        <f ca="1">+VLOOKUP($A39,INDIRECT(Adrese!B$2),6,FALSE)</f>
        <v>0.46188053097345128</v>
      </c>
      <c r="AO39" s="4">
        <f ca="1">+VLOOKUP($A39,INDIRECT(Adrese!C$2),6,FALSE)</f>
        <v>0.46053097345132737</v>
      </c>
      <c r="AP39" s="4">
        <f ca="1">+VLOOKUP($A39,INDIRECT(Adrese!D$2),6,FALSE)</f>
        <v>0.45650442477876108</v>
      </c>
      <c r="AQ39" s="4">
        <f ca="1">+VLOOKUP($A39,INDIRECT(Adrese!E$2),6,FALSE)</f>
        <v>0.45995575221238938</v>
      </c>
      <c r="AR39" s="4">
        <f ca="1">+VLOOKUP($A39,INDIRECT(Adrese!F$2),6,FALSE)</f>
        <v>0.45827433628318592</v>
      </c>
      <c r="AS39" s="4" t="str">
        <f t="shared" ca="1" si="6"/>
        <v>0.46 (0.00)</v>
      </c>
      <c r="AT39" s="4">
        <f t="shared" ca="1" si="22"/>
        <v>0.45942920353982303</v>
      </c>
      <c r="AU39" s="4">
        <f t="shared" ca="1" si="8"/>
        <v>2.0849583815359318E-3</v>
      </c>
      <c r="AW39" t="s">
        <v>99</v>
      </c>
      <c r="AX39" s="4">
        <f ca="1">+VLOOKUP($A39,INDIRECT(Adrese!B$2),7,FALSE)</f>
        <v>0.54867256637168138</v>
      </c>
      <c r="AY39" s="4">
        <f ca="1">+VLOOKUP($A39,INDIRECT(Adrese!C$2),7,FALSE)</f>
        <v>0.50884955752212391</v>
      </c>
      <c r="AZ39" s="4">
        <f ca="1">+VLOOKUP($A39,INDIRECT(Adrese!D$2),7,FALSE)</f>
        <v>0.53982300884955747</v>
      </c>
      <c r="BA39" s="4">
        <f ca="1">+VLOOKUP($A39,INDIRECT(Adrese!E$2),7,FALSE)</f>
        <v>0.50442477876106195</v>
      </c>
      <c r="BB39" s="4">
        <f ca="1">+VLOOKUP($A39,INDIRECT(Adrese!F$2),7,FALSE)</f>
        <v>0.52212389380530977</v>
      </c>
      <c r="BC39" s="4" t="str">
        <f t="shared" ca="1" si="9"/>
        <v>0.52 (0.02)</v>
      </c>
      <c r="BD39">
        <f t="shared" ca="1" si="23"/>
        <v>0.52477876106194699</v>
      </c>
      <c r="BE39" s="4">
        <f t="shared" ca="1" si="11"/>
        <v>1.9185383529804222E-2</v>
      </c>
      <c r="BG39" t="s">
        <v>99</v>
      </c>
      <c r="BH39" s="4">
        <f ca="1">+VLOOKUP($BG39,INDIRECT(Adrese!B$2),8,FALSE)</f>
        <v>6.7894814719705099E-2</v>
      </c>
      <c r="BI39" s="4">
        <f ca="1">+VLOOKUP($BG39,INDIRECT(Adrese!C$2),8,FALSE)</f>
        <v>6.7271366206728023E-2</v>
      </c>
      <c r="BJ39" s="4">
        <f ca="1">+VLOOKUP($BG39,INDIRECT(Adrese!D$2),8,FALSE)</f>
        <v>6.6902518498431068E-2</v>
      </c>
      <c r="BK39" s="4">
        <f ca="1">+VLOOKUP($BG39,INDIRECT(Adrese!E$2),8,FALSE)</f>
        <v>6.7405786045888622E-2</v>
      </c>
      <c r="BL39" s="4">
        <f ca="1">+VLOOKUP($BG39,INDIRECT(Adrese!F$2),8,FALSE)</f>
        <v>6.6796669772869646E-2</v>
      </c>
      <c r="BM39" s="4" t="str">
        <f t="shared" ca="1" si="12"/>
        <v>0.07 (0.00)</v>
      </c>
      <c r="BN39" s="4">
        <f t="shared" ca="1" si="24"/>
        <v>6.7254231048724494E-2</v>
      </c>
      <c r="BO39" s="4">
        <f t="shared" ca="1" si="14"/>
        <v>4.3779961441509801E-4</v>
      </c>
      <c r="BQ39" t="s">
        <v>99</v>
      </c>
      <c r="BR39" s="4">
        <f ca="1">+VLOOKUP($BG39,INDIRECT(Adrese!B$2),9,FALSE)</f>
        <v>5.1477158576986988E-2</v>
      </c>
      <c r="BS39" s="4">
        <f ca="1">+VLOOKUP($BG39,INDIRECT(Adrese!C$2),9,FALSE)</f>
        <v>4.8957984883367202E-2</v>
      </c>
      <c r="BT39" s="4">
        <f ca="1">+VLOOKUP($BG39,INDIRECT(Adrese!D$2),9,FALSE)</f>
        <v>5.2897858730014749E-2</v>
      </c>
      <c r="BU39" s="4">
        <f ca="1">+VLOOKUP($BG39,INDIRECT(Adrese!E$2),9,FALSE)</f>
        <v>5.0908827476317843E-2</v>
      </c>
      <c r="BV39" s="4">
        <f ca="1">+VLOOKUP($BG39,INDIRECT(Adrese!F$2),9,FALSE)</f>
        <v>5.1690064584713993E-2</v>
      </c>
      <c r="BW39" s="4" t="str">
        <f t="shared" ca="1" si="15"/>
        <v>0.05 (0.00)</v>
      </c>
      <c r="BX39" s="4">
        <f t="shared" ca="1" si="25"/>
        <v>5.1186378850280156E-2</v>
      </c>
      <c r="BY39" s="4">
        <f t="shared" ca="1" si="17"/>
        <v>1.4413700066459871E-3</v>
      </c>
    </row>
    <row r="40" spans="1:77" x14ac:dyDescent="0.25">
      <c r="A40" t="s">
        <v>100</v>
      </c>
      <c r="B40" s="11">
        <f ca="1">+VLOOKUP($A40,INDIRECT(Adrese!B$2),2,FALSE)</f>
        <v>63</v>
      </c>
      <c r="C40" s="11">
        <f ca="1">+VLOOKUP($A40,INDIRECT(Adrese!C$2),2,FALSE)</f>
        <v>66</v>
      </c>
      <c r="D40" s="11">
        <f ca="1">+VLOOKUP($A40,INDIRECT(Adrese!D$2),2,FALSE)</f>
        <v>94</v>
      </c>
      <c r="E40" s="11">
        <f ca="1">+VLOOKUP($A40,INDIRECT(Adrese!E$2),2,FALSE)</f>
        <v>101</v>
      </c>
      <c r="F40" s="11">
        <f ca="1">+VLOOKUP($A40,INDIRECT(Adrese!F$2),2,FALSE)</f>
        <v>98</v>
      </c>
      <c r="G40" s="4">
        <f t="shared" ca="1" si="18"/>
        <v>84.4</v>
      </c>
      <c r="J40" t="s">
        <v>100</v>
      </c>
      <c r="K40">
        <f ca="1">+VLOOKUP($A40,INDIRECT(Adrese!B$2),3,FALSE)</f>
        <v>200</v>
      </c>
      <c r="L40">
        <f ca="1">+VLOOKUP($A40,INDIRECT(Adrese!C$2),3,FALSE)</f>
        <v>199</v>
      </c>
      <c r="M40">
        <f ca="1">+VLOOKUP($A40,INDIRECT(Adrese!D$2),3,FALSE)</f>
        <v>193</v>
      </c>
      <c r="N40">
        <f ca="1">+VLOOKUP($A40,INDIRECT(Adrese!E$2),3,FALSE)</f>
        <v>198</v>
      </c>
      <c r="O40">
        <f ca="1">+VLOOKUP($A40,INDIRECT(Adrese!F$2),3,FALSE)</f>
        <v>198</v>
      </c>
      <c r="P40">
        <f t="shared" ca="1" si="1"/>
        <v>988</v>
      </c>
      <c r="Q40" s="4">
        <f t="shared" ca="1" si="19"/>
        <v>197.6</v>
      </c>
      <c r="R40" s="4"/>
      <c r="T40" t="s">
        <v>100</v>
      </c>
      <c r="U40">
        <f ca="1">+VLOOKUP($T40,INDIRECT(Adrese!B$2),4,FALSE)</f>
        <v>96897</v>
      </c>
      <c r="V40">
        <f ca="1">+VLOOKUP($T40,INDIRECT(Adrese!C$2),4,FALSE)</f>
        <v>96849</v>
      </c>
      <c r="W40">
        <f ca="1">+VLOOKUP($T40,INDIRECT(Adrese!D$2),4,FALSE)</f>
        <v>95951</v>
      </c>
      <c r="X40">
        <f ca="1">+VLOOKUP($T40,INDIRECT(Adrese!E$2),4,FALSE)</f>
        <v>95510</v>
      </c>
      <c r="Y40">
        <f ca="1">+VLOOKUP($T40,INDIRECT(Adrese!F$2),4,FALSE)</f>
        <v>95474</v>
      </c>
      <c r="Z40">
        <f t="shared" ca="1" si="3"/>
        <v>480681</v>
      </c>
      <c r="AA40" s="4">
        <f t="shared" ca="1" si="20"/>
        <v>96136.2</v>
      </c>
      <c r="AC40" t="s">
        <v>100</v>
      </c>
      <c r="AD40">
        <f ca="1">+VLOOKUP($A40,INDIRECT(Adrese!B$2),5,FALSE)</f>
        <v>14554</v>
      </c>
      <c r="AE40">
        <f ca="1">+VLOOKUP($A40,INDIRECT(Adrese!C$2),5,FALSE)</f>
        <v>15028</v>
      </c>
      <c r="AF40">
        <f ca="1">+VLOOKUP($A40,INDIRECT(Adrese!D$2),5,FALSE)</f>
        <v>14323</v>
      </c>
      <c r="AG40">
        <f ca="1">+VLOOKUP($A40,INDIRECT(Adrese!E$2),5,FALSE)</f>
        <v>14138</v>
      </c>
      <c r="AH40">
        <f ca="1">+VLOOKUP($A40,INDIRECT(Adrese!F$2),5,FALSE)</f>
        <v>14165</v>
      </c>
      <c r="AI40" s="4">
        <f t="shared" ca="1" si="21"/>
        <v>14441.6</v>
      </c>
      <c r="AJ40" s="4"/>
      <c r="AK40" s="4"/>
      <c r="AM40" t="s">
        <v>100</v>
      </c>
      <c r="AN40" s="4">
        <f ca="1">+VLOOKUP($A40,INDIRECT(Adrese!B$2),6,FALSE)</f>
        <v>0.32146017699115043</v>
      </c>
      <c r="AO40" s="4">
        <f ca="1">+VLOOKUP($A40,INDIRECT(Adrese!C$2),6,FALSE)</f>
        <v>0.33168141592920353</v>
      </c>
      <c r="AP40" s="4">
        <f ca="1">+VLOOKUP($A40,INDIRECT(Adrese!D$2),6,FALSE)</f>
        <v>0.31621681415929198</v>
      </c>
      <c r="AQ40" s="4">
        <f ca="1">+VLOOKUP($A40,INDIRECT(Adrese!E$2),6,FALSE)</f>
        <v>0.3121017699115044</v>
      </c>
      <c r="AR40" s="4">
        <f ca="1">+VLOOKUP($A40,INDIRECT(Adrese!F$2),6,FALSE)</f>
        <v>0.31214601769911499</v>
      </c>
      <c r="AS40" s="4" t="str">
        <f t="shared" ca="1" si="6"/>
        <v>0.32 (0.01)</v>
      </c>
      <c r="AT40" s="4">
        <f t="shared" ca="1" si="22"/>
        <v>0.31872123893805304</v>
      </c>
      <c r="AU40" s="4">
        <f t="shared" ca="1" si="8"/>
        <v>8.1974236395885788E-3</v>
      </c>
      <c r="AW40" t="s">
        <v>100</v>
      </c>
      <c r="AX40" s="4">
        <f ca="1">+VLOOKUP($A40,INDIRECT(Adrese!B$2),7,FALSE)</f>
        <v>0.1150442477876106</v>
      </c>
      <c r="AY40" s="4">
        <f ca="1">+VLOOKUP($A40,INDIRECT(Adrese!C$2),7,FALSE)</f>
        <v>0.1194690265486726</v>
      </c>
      <c r="AZ40" s="4">
        <f ca="1">+VLOOKUP($A40,INDIRECT(Adrese!D$2),7,FALSE)</f>
        <v>0.14601769911504431</v>
      </c>
      <c r="BA40" s="4">
        <f ca="1">+VLOOKUP($A40,INDIRECT(Adrese!E$2),7,FALSE)</f>
        <v>0.1238938053097345</v>
      </c>
      <c r="BB40" s="4">
        <f ca="1">+VLOOKUP($A40,INDIRECT(Adrese!F$2),7,FALSE)</f>
        <v>0.1238938053097345</v>
      </c>
      <c r="BC40" s="4" t="str">
        <f t="shared" ca="1" si="9"/>
        <v>0.13 (0.01)</v>
      </c>
      <c r="BD40">
        <f t="shared" ca="1" si="23"/>
        <v>0.1256637168141593</v>
      </c>
      <c r="BE40" s="4">
        <f t="shared" ca="1" si="11"/>
        <v>1.1955093881510023E-2</v>
      </c>
      <c r="BG40" t="s">
        <v>100</v>
      </c>
      <c r="BH40" s="4">
        <f ca="1">+VLOOKUP($BG40,INDIRECT(Adrese!B$2),8,FALSE)</f>
        <v>5.0507492055620253E-2</v>
      </c>
      <c r="BI40" s="4">
        <f ca="1">+VLOOKUP($BG40,INDIRECT(Adrese!C$2),8,FALSE)</f>
        <v>5.2127471212293483E-2</v>
      </c>
      <c r="BJ40" s="4">
        <f ca="1">+VLOOKUP($BG40,INDIRECT(Adrese!D$2),8,FALSE)</f>
        <v>4.9339222737270191E-2</v>
      </c>
      <c r="BK40" s="4">
        <f ca="1">+VLOOKUP($BG40,INDIRECT(Adrese!E$2),8,FALSE)</f>
        <v>4.9295639429861857E-2</v>
      </c>
      <c r="BL40" s="4">
        <f ca="1">+VLOOKUP($BG40,INDIRECT(Adrese!F$2),8,FALSE)</f>
        <v>4.8977099737965123E-2</v>
      </c>
      <c r="BM40" s="4" t="str">
        <f t="shared" ca="1" si="12"/>
        <v>0.05 (0.00)</v>
      </c>
      <c r="BN40" s="4">
        <f t="shared" ca="1" si="24"/>
        <v>5.0049385034602177E-2</v>
      </c>
      <c r="BO40" s="4">
        <f t="shared" ca="1" si="14"/>
        <v>1.29909226839541E-3</v>
      </c>
      <c r="BQ40" t="s">
        <v>100</v>
      </c>
      <c r="BR40" s="4">
        <f ca="1">+VLOOKUP($BG40,INDIRECT(Adrese!B$2),9,FALSE)</f>
        <v>0.1090791102118405</v>
      </c>
      <c r="BS40" s="4">
        <f ca="1">+VLOOKUP($BG40,INDIRECT(Adrese!C$2),9,FALSE)</f>
        <v>0.1040226409435253</v>
      </c>
      <c r="BT40" s="4">
        <f ca="1">+VLOOKUP($BG40,INDIRECT(Adrese!D$2),9,FALSE)</f>
        <v>0.1093132186343915</v>
      </c>
      <c r="BU40" s="4">
        <f ca="1">+VLOOKUP($BG40,INDIRECT(Adrese!E$2),9,FALSE)</f>
        <v>0.11142901826051529</v>
      </c>
      <c r="BV40" s="4">
        <f ca="1">+VLOOKUP($BG40,INDIRECT(Adrese!F$2),9,FALSE)</f>
        <v>0.10930441558519841</v>
      </c>
      <c r="BW40" s="4" t="str">
        <f t="shared" ca="1" si="15"/>
        <v>0.11 (0.00)</v>
      </c>
      <c r="BX40" s="4">
        <f t="shared" ca="1" si="25"/>
        <v>0.1086296807270942</v>
      </c>
      <c r="BY40" s="4">
        <f t="shared" ca="1" si="17"/>
        <v>2.7470704511633514E-3</v>
      </c>
    </row>
    <row r="41" spans="1:77" x14ac:dyDescent="0.25">
      <c r="A41" t="s">
        <v>101</v>
      </c>
      <c r="B41" s="11">
        <f ca="1">+VLOOKUP($A41,INDIRECT(Adrese!B$2),2,FALSE)</f>
        <v>84</v>
      </c>
      <c r="C41" s="11">
        <f ca="1">+VLOOKUP($A41,INDIRECT(Adrese!C$2),2,FALSE)</f>
        <v>73</v>
      </c>
      <c r="D41" s="11">
        <f ca="1">+VLOOKUP($A41,INDIRECT(Adrese!D$2),2,FALSE)</f>
        <v>49</v>
      </c>
      <c r="E41" s="11">
        <f ca="1">+VLOOKUP($A41,INDIRECT(Adrese!E$2),2,FALSE)</f>
        <v>43</v>
      </c>
      <c r="F41" s="11">
        <f ca="1">+VLOOKUP($A41,INDIRECT(Adrese!F$2),2,FALSE)</f>
        <v>81</v>
      </c>
      <c r="G41" s="4">
        <f t="shared" ca="1" si="18"/>
        <v>66</v>
      </c>
      <c r="J41" t="s">
        <v>101</v>
      </c>
      <c r="K41">
        <f ca="1">+VLOOKUP($A41,INDIRECT(Adrese!B$2),3,FALSE)</f>
        <v>81</v>
      </c>
      <c r="L41">
        <f ca="1">+VLOOKUP($A41,INDIRECT(Adrese!C$2),3,FALSE)</f>
        <v>78</v>
      </c>
      <c r="M41">
        <f ca="1">+VLOOKUP($A41,INDIRECT(Adrese!D$2),3,FALSE)</f>
        <v>83</v>
      </c>
      <c r="N41">
        <f ca="1">+VLOOKUP($A41,INDIRECT(Adrese!E$2),3,FALSE)</f>
        <v>83</v>
      </c>
      <c r="O41">
        <f ca="1">+VLOOKUP($A41,INDIRECT(Adrese!F$2),3,FALSE)</f>
        <v>86</v>
      </c>
      <c r="P41">
        <f t="shared" ca="1" si="1"/>
        <v>411</v>
      </c>
      <c r="Q41" s="4">
        <f t="shared" ca="1" si="19"/>
        <v>82.2</v>
      </c>
      <c r="R41" s="4"/>
      <c r="T41" t="s">
        <v>101</v>
      </c>
      <c r="U41">
        <f ca="1">+VLOOKUP($T41,INDIRECT(Adrese!B$2),4,FALSE)</f>
        <v>96381</v>
      </c>
      <c r="V41">
        <f ca="1">+VLOOKUP($T41,INDIRECT(Adrese!C$2),4,FALSE)</f>
        <v>96582</v>
      </c>
      <c r="W41">
        <f ca="1">+VLOOKUP($T41,INDIRECT(Adrese!D$2),4,FALSE)</f>
        <v>97342</v>
      </c>
      <c r="X41">
        <f ca="1">+VLOOKUP($T41,INDIRECT(Adrese!E$2),4,FALSE)</f>
        <v>97814</v>
      </c>
      <c r="Y41">
        <f ca="1">+VLOOKUP($T41,INDIRECT(Adrese!F$2),4,FALSE)</f>
        <v>96290</v>
      </c>
      <c r="Z41">
        <f t="shared" ca="1" si="3"/>
        <v>484409</v>
      </c>
      <c r="AA41" s="4">
        <f t="shared" ca="1" si="20"/>
        <v>96881.8</v>
      </c>
      <c r="AC41" t="s">
        <v>101</v>
      </c>
      <c r="AD41">
        <f ca="1">+VLOOKUP($A41,INDIRECT(Adrese!B$2),5,FALSE)</f>
        <v>22481</v>
      </c>
      <c r="AE41">
        <f ca="1">+VLOOKUP($A41,INDIRECT(Adrese!C$2),5,FALSE)</f>
        <v>22727</v>
      </c>
      <c r="AF41">
        <f ca="1">+VLOOKUP($A41,INDIRECT(Adrese!D$2),5,FALSE)</f>
        <v>23212</v>
      </c>
      <c r="AG41">
        <f ca="1">+VLOOKUP($A41,INDIRECT(Adrese!E$2),5,FALSE)</f>
        <v>22982</v>
      </c>
      <c r="AH41">
        <f ca="1">+VLOOKUP($A41,INDIRECT(Adrese!F$2),5,FALSE)</f>
        <v>22456</v>
      </c>
      <c r="AI41" s="4">
        <f t="shared" ca="1" si="21"/>
        <v>22771.599999999999</v>
      </c>
      <c r="AJ41" s="4"/>
      <c r="AK41" s="4"/>
      <c r="AM41" t="s">
        <v>101</v>
      </c>
      <c r="AN41" s="4">
        <f ca="1">+VLOOKUP($A41,INDIRECT(Adrese!B$2),6,FALSE)</f>
        <v>0.49435840707964601</v>
      </c>
      <c r="AO41" s="4">
        <f ca="1">+VLOOKUP($A41,INDIRECT(Adrese!C$2),6,FALSE)</f>
        <v>0.49988938053097343</v>
      </c>
      <c r="AP41" s="4">
        <f ca="1">+VLOOKUP($A41,INDIRECT(Adrese!D$2),6,FALSE)</f>
        <v>0.51070796460176993</v>
      </c>
      <c r="AQ41" s="4">
        <f ca="1">+VLOOKUP($A41,INDIRECT(Adrese!E$2),6,FALSE)</f>
        <v>0.50632743362831856</v>
      </c>
      <c r="AR41" s="4">
        <f ca="1">+VLOOKUP($A41,INDIRECT(Adrese!F$2),6,FALSE)</f>
        <v>0.49422566371681409</v>
      </c>
      <c r="AS41" s="4" t="str">
        <f t="shared" ca="1" si="6"/>
        <v>0.50 (0.01)</v>
      </c>
      <c r="AT41" s="4">
        <f t="shared" ca="1" si="22"/>
        <v>0.50110176991150435</v>
      </c>
      <c r="AU41" s="4">
        <f t="shared" ca="1" si="8"/>
        <v>7.3111251596673799E-3</v>
      </c>
      <c r="AW41" t="s">
        <v>101</v>
      </c>
      <c r="AX41" s="4">
        <f ca="1">+VLOOKUP($A41,INDIRECT(Adrese!B$2),7,FALSE)</f>
        <v>0.6415929203539823</v>
      </c>
      <c r="AY41" s="4">
        <f ca="1">+VLOOKUP($A41,INDIRECT(Adrese!C$2),7,FALSE)</f>
        <v>0.65486725663716816</v>
      </c>
      <c r="AZ41" s="4">
        <f ca="1">+VLOOKUP($A41,INDIRECT(Adrese!D$2),7,FALSE)</f>
        <v>0.63274336283185839</v>
      </c>
      <c r="BA41" s="4">
        <f ca="1">+VLOOKUP($A41,INDIRECT(Adrese!E$2),7,FALSE)</f>
        <v>0.63274336283185839</v>
      </c>
      <c r="BB41" s="4">
        <f ca="1">+VLOOKUP($A41,INDIRECT(Adrese!F$2),7,FALSE)</f>
        <v>0.61946902654867253</v>
      </c>
      <c r="BC41" s="4" t="str">
        <f t="shared" ca="1" si="9"/>
        <v>0.64 (0.01)</v>
      </c>
      <c r="BD41">
        <f t="shared" ca="1" si="23"/>
        <v>0.63628318584070798</v>
      </c>
      <c r="BE41" s="4">
        <f t="shared" ca="1" si="11"/>
        <v>1.3051222304205884E-2</v>
      </c>
      <c r="BG41" t="s">
        <v>101</v>
      </c>
      <c r="BH41" s="4">
        <f ca="1">+VLOOKUP($BG41,INDIRECT(Adrese!B$2),8,FALSE)</f>
        <v>7.0697263007214781E-2</v>
      </c>
      <c r="BI41" s="4">
        <f ca="1">+VLOOKUP($BG41,INDIRECT(Adrese!C$2),8,FALSE)</f>
        <v>7.1532393904097505E-2</v>
      </c>
      <c r="BJ41" s="4">
        <f ca="1">+VLOOKUP($BG41,INDIRECT(Adrese!D$2),8,FALSE)</f>
        <v>7.3322628968393644E-2</v>
      </c>
      <c r="BK41" s="4">
        <f ca="1">+VLOOKUP($BG41,INDIRECT(Adrese!E$2),8,FALSE)</f>
        <v>7.2225311855315236E-2</v>
      </c>
      <c r="BL41" s="4">
        <f ca="1">+VLOOKUP($BG41,INDIRECT(Adrese!F$2),8,FALSE)</f>
        <v>7.0889279901890798E-2</v>
      </c>
      <c r="BM41" s="4" t="str">
        <f t="shared" ca="1" si="12"/>
        <v>0.07 (0.00)</v>
      </c>
      <c r="BN41" s="4">
        <f t="shared" ca="1" si="24"/>
        <v>7.173337552738239E-2</v>
      </c>
      <c r="BO41" s="4">
        <f t="shared" ca="1" si="14"/>
        <v>1.0716981901200669E-3</v>
      </c>
      <c r="BQ41" t="s">
        <v>101</v>
      </c>
      <c r="BR41" s="4">
        <f ca="1">+VLOOKUP($BG41,INDIRECT(Adrese!B$2),9,FALSE)</f>
        <v>5.182332298631253E-2</v>
      </c>
      <c r="BS41" s="4">
        <f ca="1">+VLOOKUP($BG41,INDIRECT(Adrese!C$2),9,FALSE)</f>
        <v>4.7858505858649363E-2</v>
      </c>
      <c r="BT41" s="4">
        <f ca="1">+VLOOKUP($BG41,INDIRECT(Adrese!D$2),9,FALSE)</f>
        <v>5.1442545259352122E-2</v>
      </c>
      <c r="BU41" s="4">
        <f ca="1">+VLOOKUP($BG41,INDIRECT(Adrese!E$2),9,FALSE)</f>
        <v>4.6931075947447637E-2</v>
      </c>
      <c r="BV41" s="4">
        <f ca="1">+VLOOKUP($BG41,INDIRECT(Adrese!F$2),9,FALSE)</f>
        <v>5.2015625279784539E-2</v>
      </c>
      <c r="BW41" s="4" t="str">
        <f t="shared" ca="1" si="15"/>
        <v>0.05 (0.00)</v>
      </c>
      <c r="BX41" s="4">
        <f t="shared" ca="1" si="25"/>
        <v>5.001421506630923E-2</v>
      </c>
      <c r="BY41" s="4">
        <f t="shared" ca="1" si="17"/>
        <v>2.4223681833808867E-3</v>
      </c>
    </row>
    <row r="42" spans="1:77" x14ac:dyDescent="0.25">
      <c r="A42" t="s">
        <v>102</v>
      </c>
      <c r="B42" s="11">
        <f ca="1">+VLOOKUP($A42,INDIRECT(Adrese!B$2),2,FALSE)</f>
        <v>111</v>
      </c>
      <c r="C42" s="11">
        <f ca="1">+VLOOKUP($A42,INDIRECT(Adrese!C$2),2,FALSE)</f>
        <v>109</v>
      </c>
      <c r="D42" s="11">
        <f ca="1">+VLOOKUP($A42,INDIRECT(Adrese!D$2),2,FALSE)</f>
        <v>88</v>
      </c>
      <c r="E42" s="11">
        <f ca="1">+VLOOKUP($A42,INDIRECT(Adrese!E$2),2,FALSE)</f>
        <v>114</v>
      </c>
      <c r="F42" s="11">
        <f ca="1">+VLOOKUP($A42,INDIRECT(Adrese!F$2),2,FALSE)</f>
        <v>120</v>
      </c>
      <c r="G42" s="4">
        <f t="shared" ca="1" si="18"/>
        <v>108.4</v>
      </c>
      <c r="J42" t="s">
        <v>102</v>
      </c>
      <c r="K42">
        <f ca="1">+VLOOKUP($A42,INDIRECT(Adrese!B$2),3,FALSE)</f>
        <v>184</v>
      </c>
      <c r="L42">
        <f ca="1">+VLOOKUP($A42,INDIRECT(Adrese!C$2),3,FALSE)</f>
        <v>178</v>
      </c>
      <c r="M42">
        <f ca="1">+VLOOKUP($A42,INDIRECT(Adrese!D$2),3,FALSE)</f>
        <v>181</v>
      </c>
      <c r="N42">
        <f ca="1">+VLOOKUP($A42,INDIRECT(Adrese!E$2),3,FALSE)</f>
        <v>185</v>
      </c>
      <c r="O42">
        <f ca="1">+VLOOKUP($A42,INDIRECT(Adrese!F$2),3,FALSE)</f>
        <v>183</v>
      </c>
      <c r="P42">
        <f t="shared" ca="1" si="1"/>
        <v>911</v>
      </c>
      <c r="Q42" s="4">
        <f t="shared" ca="1" si="19"/>
        <v>182.2</v>
      </c>
      <c r="R42" s="4"/>
      <c r="T42" t="s">
        <v>102</v>
      </c>
      <c r="U42">
        <f ca="1">+VLOOKUP($T42,INDIRECT(Adrese!B$2),4,FALSE)</f>
        <v>95212</v>
      </c>
      <c r="V42">
        <f ca="1">+VLOOKUP($T42,INDIRECT(Adrese!C$2),4,FALSE)</f>
        <v>95226</v>
      </c>
      <c r="W42">
        <f ca="1">+VLOOKUP($T42,INDIRECT(Adrese!D$2),4,FALSE)</f>
        <v>96138</v>
      </c>
      <c r="X42">
        <f ca="1">+VLOOKUP($T42,INDIRECT(Adrese!E$2),4,FALSE)</f>
        <v>95069</v>
      </c>
      <c r="Y42">
        <f ca="1">+VLOOKUP($T42,INDIRECT(Adrese!F$2),4,FALSE)</f>
        <v>94855</v>
      </c>
      <c r="Z42">
        <f t="shared" ca="1" si="3"/>
        <v>476500</v>
      </c>
      <c r="AA42" s="4">
        <f t="shared" ca="1" si="20"/>
        <v>95300</v>
      </c>
      <c r="AC42" t="s">
        <v>102</v>
      </c>
      <c r="AD42">
        <f ca="1">+VLOOKUP($A42,INDIRECT(Adrese!B$2),5,FALSE)</f>
        <v>9636</v>
      </c>
      <c r="AE42">
        <f ca="1">+VLOOKUP($A42,INDIRECT(Adrese!C$2),5,FALSE)</f>
        <v>9889</v>
      </c>
      <c r="AF42">
        <f ca="1">+VLOOKUP($A42,INDIRECT(Adrese!D$2),5,FALSE)</f>
        <v>10234</v>
      </c>
      <c r="AG42">
        <f ca="1">+VLOOKUP($A42,INDIRECT(Adrese!E$2),5,FALSE)</f>
        <v>9905</v>
      </c>
      <c r="AH42">
        <f ca="1">+VLOOKUP($A42,INDIRECT(Adrese!F$2),5,FALSE)</f>
        <v>10313</v>
      </c>
      <c r="AI42" s="4">
        <f t="shared" ca="1" si="21"/>
        <v>9995.4</v>
      </c>
      <c r="AJ42" s="4"/>
      <c r="AK42" s="4"/>
      <c r="AM42" t="s">
        <v>102</v>
      </c>
      <c r="AN42" s="4">
        <f ca="1">+VLOOKUP($A42,INDIRECT(Adrese!B$2),6,FALSE)</f>
        <v>0.21245575221238941</v>
      </c>
      <c r="AO42" s="4">
        <f ca="1">+VLOOKUP($A42,INDIRECT(Adrese!C$2),6,FALSE)</f>
        <v>0.21823008849557521</v>
      </c>
      <c r="AP42" s="4">
        <f ca="1">+VLOOKUP($A42,INDIRECT(Adrese!D$2),6,FALSE)</f>
        <v>0.22511061946902661</v>
      </c>
      <c r="AQ42" s="4">
        <f ca="1">+VLOOKUP($A42,INDIRECT(Adrese!E$2),6,FALSE)</f>
        <v>0.21862831858407081</v>
      </c>
      <c r="AR42" s="4">
        <f ca="1">+VLOOKUP($A42,INDIRECT(Adrese!F$2),6,FALSE)</f>
        <v>0.2275221238938053</v>
      </c>
      <c r="AS42" s="4" t="str">
        <f t="shared" ca="1" si="6"/>
        <v>0.22 (0.01)</v>
      </c>
      <c r="AT42" s="4">
        <f t="shared" ca="1" si="22"/>
        <v>0.22038938053097348</v>
      </c>
      <c r="AU42" s="4">
        <f t="shared" ca="1" si="8"/>
        <v>5.9973424231615407E-3</v>
      </c>
      <c r="AW42" t="s">
        <v>102</v>
      </c>
      <c r="AX42" s="4">
        <f ca="1">+VLOOKUP($A42,INDIRECT(Adrese!B$2),7,FALSE)</f>
        <v>0.18584070796460181</v>
      </c>
      <c r="AY42" s="4">
        <f ca="1">+VLOOKUP($A42,INDIRECT(Adrese!C$2),7,FALSE)</f>
        <v>0.21238938053097339</v>
      </c>
      <c r="AZ42" s="4">
        <f ca="1">+VLOOKUP($A42,INDIRECT(Adrese!D$2),7,FALSE)</f>
        <v>0.19911504424778759</v>
      </c>
      <c r="BA42" s="4">
        <f ca="1">+VLOOKUP($A42,INDIRECT(Adrese!E$2),7,FALSE)</f>
        <v>0.1814159292035398</v>
      </c>
      <c r="BB42" s="4">
        <f ca="1">+VLOOKUP($A42,INDIRECT(Adrese!F$2),7,FALSE)</f>
        <v>0.19026548672566371</v>
      </c>
      <c r="BC42" s="4" t="str">
        <f t="shared" ca="1" si="9"/>
        <v>0.19 (0.01)</v>
      </c>
      <c r="BD42">
        <f t="shared" ca="1" si="23"/>
        <v>0.19380530973451324</v>
      </c>
      <c r="BE42" s="4">
        <f t="shared" ca="1" si="11"/>
        <v>1.2278262765939452E-2</v>
      </c>
      <c r="BG42" t="s">
        <v>102</v>
      </c>
      <c r="BH42" s="4">
        <f ca="1">+VLOOKUP($BG42,INDIRECT(Adrese!B$2),8,FALSE)</f>
        <v>2.9276846112154489E-2</v>
      </c>
      <c r="BI42" s="4">
        <f ca="1">+VLOOKUP($BG42,INDIRECT(Adrese!C$2),8,FALSE)</f>
        <v>3.0447776002145519E-2</v>
      </c>
      <c r="BJ42" s="4">
        <f ca="1">+VLOOKUP($BG42,INDIRECT(Adrese!D$2),8,FALSE)</f>
        <v>3.1135170528998179E-2</v>
      </c>
      <c r="BK42" s="4">
        <f ca="1">+VLOOKUP($BG42,INDIRECT(Adrese!E$2),8,FALSE)</f>
        <v>3.0433696138980341E-2</v>
      </c>
      <c r="BL42" s="4">
        <f ca="1">+VLOOKUP($BG42,INDIRECT(Adrese!F$2),8,FALSE)</f>
        <v>3.1713110398157683E-2</v>
      </c>
      <c r="BM42" s="4" t="str">
        <f t="shared" ca="1" si="12"/>
        <v>0.03 (0.00)</v>
      </c>
      <c r="BN42" s="4">
        <f t="shared" ca="1" si="24"/>
        <v>3.0601319836087243E-2</v>
      </c>
      <c r="BO42" s="4">
        <f t="shared" ca="1" si="14"/>
        <v>9.1200039396811632E-4</v>
      </c>
      <c r="BQ42" t="s">
        <v>102</v>
      </c>
      <c r="BR42" s="4">
        <f ca="1">+VLOOKUP($BG42,INDIRECT(Adrese!B$2),9,FALSE)</f>
        <v>8.9049874792915762E-2</v>
      </c>
      <c r="BS42" s="4">
        <f ca="1">+VLOOKUP($BG42,INDIRECT(Adrese!C$2),9,FALSE)</f>
        <v>9.128357725281519E-2</v>
      </c>
      <c r="BT42" s="4">
        <f ca="1">+VLOOKUP($BG42,INDIRECT(Adrese!D$2),9,FALSE)</f>
        <v>8.9105179228213219E-2</v>
      </c>
      <c r="BU42" s="4">
        <f ca="1">+VLOOKUP($BG42,INDIRECT(Adrese!E$2),9,FALSE)</f>
        <v>9.0932232291844245E-2</v>
      </c>
      <c r="BV42" s="4">
        <f ca="1">+VLOOKUP($BG42,INDIRECT(Adrese!F$2),9,FALSE)</f>
        <v>8.9073424430495873E-2</v>
      </c>
      <c r="BW42" s="4" t="str">
        <f t="shared" ca="1" si="15"/>
        <v>0.09 (0.00)</v>
      </c>
      <c r="BX42" s="4">
        <f t="shared" ca="1" si="25"/>
        <v>8.9888857599256855E-2</v>
      </c>
      <c r="BY42" s="4">
        <f t="shared" ca="1" si="17"/>
        <v>1.1199161634299765E-3</v>
      </c>
    </row>
    <row r="43" spans="1:77" x14ac:dyDescent="0.25">
      <c r="A43" t="s">
        <v>103</v>
      </c>
      <c r="B43" s="11">
        <f ca="1">+VLOOKUP($A43,INDIRECT(Adrese!B$2),2,FALSE)</f>
        <v>43</v>
      </c>
      <c r="C43" s="11">
        <f ca="1">+VLOOKUP($A43,INDIRECT(Adrese!C$2),2,FALSE)</f>
        <v>29</v>
      </c>
      <c r="D43" s="11">
        <f ca="1">+VLOOKUP($A43,INDIRECT(Adrese!D$2),2,FALSE)</f>
        <v>53</v>
      </c>
      <c r="E43" s="11">
        <f ca="1">+VLOOKUP($A43,INDIRECT(Adrese!E$2),2,FALSE)</f>
        <v>55</v>
      </c>
      <c r="F43" s="11">
        <f ca="1">+VLOOKUP($A43,INDIRECT(Adrese!F$2),2,FALSE)</f>
        <v>38</v>
      </c>
      <c r="G43" s="4">
        <f t="shared" ca="1" si="18"/>
        <v>43.6</v>
      </c>
      <c r="J43" t="s">
        <v>103</v>
      </c>
      <c r="K43">
        <f ca="1">+VLOOKUP($A43,INDIRECT(Adrese!B$2),3,FALSE)</f>
        <v>137</v>
      </c>
      <c r="L43">
        <f ca="1">+VLOOKUP($A43,INDIRECT(Adrese!C$2),3,FALSE)</f>
        <v>134</v>
      </c>
      <c r="M43">
        <f ca="1">+VLOOKUP($A43,INDIRECT(Adrese!D$2),3,FALSE)</f>
        <v>123</v>
      </c>
      <c r="N43">
        <f ca="1">+VLOOKUP($A43,INDIRECT(Adrese!E$2),3,FALSE)</f>
        <v>122</v>
      </c>
      <c r="O43">
        <f ca="1">+VLOOKUP($A43,INDIRECT(Adrese!F$2),3,FALSE)</f>
        <v>127</v>
      </c>
      <c r="P43">
        <f t="shared" ca="1" si="1"/>
        <v>643</v>
      </c>
      <c r="Q43" s="4">
        <f t="shared" ca="1" si="19"/>
        <v>128.6</v>
      </c>
      <c r="R43" s="4"/>
      <c r="T43" t="s">
        <v>103</v>
      </c>
      <c r="U43">
        <f ca="1">+VLOOKUP($T43,INDIRECT(Adrese!B$2),4,FALSE)</f>
        <v>98013</v>
      </c>
      <c r="V43">
        <f ca="1">+VLOOKUP($T43,INDIRECT(Adrese!C$2),4,FALSE)</f>
        <v>98793</v>
      </c>
      <c r="W43">
        <f ca="1">+VLOOKUP($T43,INDIRECT(Adrese!D$2),4,FALSE)</f>
        <v>97113</v>
      </c>
      <c r="X43">
        <f ca="1">+VLOOKUP($T43,INDIRECT(Adrese!E$2),4,FALSE)</f>
        <v>97238</v>
      </c>
      <c r="Y43">
        <f ca="1">+VLOOKUP($T43,INDIRECT(Adrese!F$2),4,FALSE)</f>
        <v>98353</v>
      </c>
      <c r="Z43">
        <f t="shared" ca="1" si="3"/>
        <v>489510</v>
      </c>
      <c r="AA43" s="4">
        <f t="shared" ca="1" si="20"/>
        <v>97902</v>
      </c>
      <c r="AC43" t="s">
        <v>103</v>
      </c>
      <c r="AD43">
        <f ca="1">+VLOOKUP($A43,INDIRECT(Adrese!B$2),5,FALSE)</f>
        <v>13436</v>
      </c>
      <c r="AE43">
        <f ca="1">+VLOOKUP($A43,INDIRECT(Adrese!C$2),5,FALSE)</f>
        <v>13512</v>
      </c>
      <c r="AF43">
        <f ca="1">+VLOOKUP($A43,INDIRECT(Adrese!D$2),5,FALSE)</f>
        <v>13799</v>
      </c>
      <c r="AG43">
        <f ca="1">+VLOOKUP($A43,INDIRECT(Adrese!E$2),5,FALSE)</f>
        <v>13369</v>
      </c>
      <c r="AH43">
        <f ca="1">+VLOOKUP($A43,INDIRECT(Adrese!F$2),5,FALSE)</f>
        <v>13631</v>
      </c>
      <c r="AI43" s="4">
        <f t="shared" ca="1" si="21"/>
        <v>13549.4</v>
      </c>
      <c r="AJ43" s="4"/>
      <c r="AK43" s="4"/>
      <c r="AM43" t="s">
        <v>103</v>
      </c>
      <c r="AN43" s="4">
        <f ca="1">+VLOOKUP($A43,INDIRECT(Adrese!B$2),6,FALSE)</f>
        <v>0.29420353982300879</v>
      </c>
      <c r="AO43" s="4">
        <f ca="1">+VLOOKUP($A43,INDIRECT(Adrese!C$2),6,FALSE)</f>
        <v>0.29617256637168138</v>
      </c>
      <c r="AP43" s="4">
        <f ca="1">+VLOOKUP($A43,INDIRECT(Adrese!D$2),6,FALSE)</f>
        <v>0.30294247787610618</v>
      </c>
      <c r="AQ43" s="4">
        <f ca="1">+VLOOKUP($A43,INDIRECT(Adrese!E$2),6,FALSE)</f>
        <v>0.29287610619469029</v>
      </c>
      <c r="AR43" s="4">
        <f ca="1">+VLOOKUP($A43,INDIRECT(Adrese!F$2),6,FALSE)</f>
        <v>0.29891592920353982</v>
      </c>
      <c r="AS43" s="4" t="str">
        <f t="shared" ca="1" si="6"/>
        <v>0.30 (0.00)</v>
      </c>
      <c r="AT43" s="4">
        <f t="shared" ca="1" si="22"/>
        <v>0.29702212389380528</v>
      </c>
      <c r="AU43" s="4">
        <f t="shared" ca="1" si="8"/>
        <v>4.0153678765414702E-3</v>
      </c>
      <c r="AW43" t="s">
        <v>103</v>
      </c>
      <c r="AX43" s="4">
        <f ca="1">+VLOOKUP($A43,INDIRECT(Adrese!B$2),7,FALSE)</f>
        <v>0.39380530973451328</v>
      </c>
      <c r="AY43" s="4">
        <f ca="1">+VLOOKUP($A43,INDIRECT(Adrese!C$2),7,FALSE)</f>
        <v>0.40707964601769908</v>
      </c>
      <c r="AZ43" s="4">
        <f ca="1">+VLOOKUP($A43,INDIRECT(Adrese!D$2),7,FALSE)</f>
        <v>0.45575221238938052</v>
      </c>
      <c r="BA43" s="4">
        <f ca="1">+VLOOKUP($A43,INDIRECT(Adrese!E$2),7,FALSE)</f>
        <v>0.46017699115044253</v>
      </c>
      <c r="BB43" s="4">
        <f ca="1">+VLOOKUP($A43,INDIRECT(Adrese!F$2),7,FALSE)</f>
        <v>0.43805309734513281</v>
      </c>
      <c r="BC43" s="4" t="str">
        <f t="shared" ca="1" si="9"/>
        <v>0.43 (0.03)</v>
      </c>
      <c r="BD43">
        <f t="shared" ca="1" si="23"/>
        <v>0.43097345132743364</v>
      </c>
      <c r="BE43" s="4">
        <f t="shared" ca="1" si="11"/>
        <v>2.9450550959811944E-2</v>
      </c>
      <c r="BG43" t="s">
        <v>103</v>
      </c>
      <c r="BH43" s="4">
        <f ca="1">+VLOOKUP($BG43,INDIRECT(Adrese!B$2),8,FALSE)</f>
        <v>3.8716659988047929E-2</v>
      </c>
      <c r="BI43" s="4">
        <f ca="1">+VLOOKUP($BG43,INDIRECT(Adrese!C$2),8,FALSE)</f>
        <v>3.9073865241540703E-2</v>
      </c>
      <c r="BJ43" s="4">
        <f ca="1">+VLOOKUP($BG43,INDIRECT(Adrese!D$2),8,FALSE)</f>
        <v>4.0558177572800211E-2</v>
      </c>
      <c r="BK43" s="4">
        <f ca="1">+VLOOKUP($BG43,INDIRECT(Adrese!E$2),8,FALSE)</f>
        <v>3.8946319363410323E-2</v>
      </c>
      <c r="BL43" s="4">
        <f ca="1">+VLOOKUP($BG43,INDIRECT(Adrese!F$2),8,FALSE)</f>
        <v>3.9415343601984579E-2</v>
      </c>
      <c r="BM43" s="4" t="str">
        <f t="shared" ca="1" si="12"/>
        <v>0.04 (0.00)</v>
      </c>
      <c r="BN43" s="4">
        <f t="shared" ca="1" si="24"/>
        <v>3.9342073153556742E-2</v>
      </c>
      <c r="BO43" s="4">
        <f t="shared" ca="1" si="14"/>
        <v>7.2525455724030516E-4</v>
      </c>
      <c r="BQ43" t="s">
        <v>103</v>
      </c>
      <c r="BR43" s="4">
        <f ca="1">+VLOOKUP($BG43,INDIRECT(Adrese!B$2),9,FALSE)</f>
        <v>4.9171940603729973E-2</v>
      </c>
      <c r="BS43" s="4">
        <f ca="1">+VLOOKUP($BG43,INDIRECT(Adrese!C$2),9,FALSE)</f>
        <v>4.9124079454579667E-2</v>
      </c>
      <c r="BT43" s="4">
        <f ca="1">+VLOOKUP($BG43,INDIRECT(Adrese!D$2),9,FALSE)</f>
        <v>5.0970325187742832E-2</v>
      </c>
      <c r="BU43" s="4">
        <f ca="1">+VLOOKUP($BG43,INDIRECT(Adrese!E$2),9,FALSE)</f>
        <v>5.1558558997608153E-2</v>
      </c>
      <c r="BV43" s="4">
        <f ca="1">+VLOOKUP($BG43,INDIRECT(Adrese!F$2),9,FALSE)</f>
        <v>4.7313270087924852E-2</v>
      </c>
      <c r="BW43" s="4" t="str">
        <f t="shared" ca="1" si="15"/>
        <v>0.05 (0.00)</v>
      </c>
      <c r="BX43" s="4">
        <f t="shared" ca="1" si="25"/>
        <v>4.9627634866317091E-2</v>
      </c>
      <c r="BY43" s="4">
        <f t="shared" ca="1" si="17"/>
        <v>1.6843986271930943E-3</v>
      </c>
    </row>
    <row r="44" spans="1:77" x14ac:dyDescent="0.25">
      <c r="A44" t="s">
        <v>104</v>
      </c>
      <c r="B44" s="11">
        <f ca="1">+VLOOKUP($A44,INDIRECT(Adrese!B$2),2,FALSE)</f>
        <v>50</v>
      </c>
      <c r="C44" s="11">
        <f ca="1">+VLOOKUP($A44,INDIRECT(Adrese!C$2),2,FALSE)</f>
        <v>68</v>
      </c>
      <c r="D44" s="11">
        <f ca="1">+VLOOKUP($A44,INDIRECT(Adrese!D$2),2,FALSE)</f>
        <v>79</v>
      </c>
      <c r="E44" s="11">
        <f ca="1">+VLOOKUP($A44,INDIRECT(Adrese!E$2),2,FALSE)</f>
        <v>49</v>
      </c>
      <c r="F44" s="11">
        <f ca="1">+VLOOKUP($A44,INDIRECT(Adrese!F$2),2,FALSE)</f>
        <v>77</v>
      </c>
      <c r="G44" s="4">
        <f t="shared" ca="1" si="18"/>
        <v>64.599999999999994</v>
      </c>
      <c r="J44" t="s">
        <v>104</v>
      </c>
      <c r="K44">
        <f ca="1">+VLOOKUP($A44,INDIRECT(Adrese!B$2),3,FALSE)</f>
        <v>137</v>
      </c>
      <c r="L44">
        <f ca="1">+VLOOKUP($A44,INDIRECT(Adrese!C$2),3,FALSE)</f>
        <v>131</v>
      </c>
      <c r="M44">
        <f ca="1">+VLOOKUP($A44,INDIRECT(Adrese!D$2),3,FALSE)</f>
        <v>131</v>
      </c>
      <c r="N44">
        <f ca="1">+VLOOKUP($A44,INDIRECT(Adrese!E$2),3,FALSE)</f>
        <v>131</v>
      </c>
      <c r="O44">
        <f ca="1">+VLOOKUP($A44,INDIRECT(Adrese!F$2),3,FALSE)</f>
        <v>131</v>
      </c>
      <c r="P44">
        <f t="shared" ca="1" si="1"/>
        <v>661</v>
      </c>
      <c r="Q44" s="4">
        <f t="shared" ca="1" si="19"/>
        <v>132.19999999999999</v>
      </c>
      <c r="R44" s="4"/>
      <c r="T44" t="s">
        <v>104</v>
      </c>
      <c r="U44">
        <f ca="1">+VLOOKUP($T44,INDIRECT(Adrese!B$2),4,FALSE)</f>
        <v>97549</v>
      </c>
      <c r="V44">
        <f ca="1">+VLOOKUP($T44,INDIRECT(Adrese!C$2),4,FALSE)</f>
        <v>96814</v>
      </c>
      <c r="W44">
        <f ca="1">+VLOOKUP($T44,INDIRECT(Adrese!D$2),4,FALSE)</f>
        <v>96396</v>
      </c>
      <c r="X44">
        <f ca="1">+VLOOKUP($T44,INDIRECT(Adrese!E$2),4,FALSE)</f>
        <v>97521</v>
      </c>
      <c r="Y44">
        <f ca="1">+VLOOKUP($T44,INDIRECT(Adrese!F$2),4,FALSE)</f>
        <v>96609</v>
      </c>
      <c r="Z44">
        <f t="shared" ca="1" si="3"/>
        <v>484889</v>
      </c>
      <c r="AA44" s="4">
        <f t="shared" ca="1" si="20"/>
        <v>96977.8</v>
      </c>
      <c r="AC44" t="s">
        <v>104</v>
      </c>
      <c r="AD44">
        <f ca="1">+VLOOKUP($A44,INDIRECT(Adrese!B$2),5,FALSE)</f>
        <v>19395</v>
      </c>
      <c r="AE44">
        <f ca="1">+VLOOKUP($A44,INDIRECT(Adrese!C$2),5,FALSE)</f>
        <v>19218</v>
      </c>
      <c r="AF44">
        <f ca="1">+VLOOKUP($A44,INDIRECT(Adrese!D$2),5,FALSE)</f>
        <v>19221</v>
      </c>
      <c r="AG44">
        <f ca="1">+VLOOKUP($A44,INDIRECT(Adrese!E$2),5,FALSE)</f>
        <v>19459</v>
      </c>
      <c r="AH44">
        <f ca="1">+VLOOKUP($A44,INDIRECT(Adrese!F$2),5,FALSE)</f>
        <v>19783</v>
      </c>
      <c r="AI44" s="4">
        <f t="shared" ca="1" si="21"/>
        <v>19415.2</v>
      </c>
      <c r="AJ44" s="4"/>
      <c r="AK44" s="4"/>
      <c r="AM44" t="s">
        <v>104</v>
      </c>
      <c r="AN44" s="4">
        <f ca="1">+VLOOKUP($A44,INDIRECT(Adrese!B$2),6,FALSE)</f>
        <v>0.42738938053097347</v>
      </c>
      <c r="AO44" s="4">
        <f ca="1">+VLOOKUP($A44,INDIRECT(Adrese!C$2),6,FALSE)</f>
        <v>0.42356194690265492</v>
      </c>
      <c r="AP44" s="4">
        <f ca="1">+VLOOKUP($A44,INDIRECT(Adrese!D$2),6,FALSE)</f>
        <v>0.42378318584070801</v>
      </c>
      <c r="AQ44" s="4">
        <f ca="1">+VLOOKUP($A44,INDIRECT(Adrese!E$2),6,FALSE)</f>
        <v>0.4288274336283186</v>
      </c>
      <c r="AR44" s="4">
        <f ca="1">+VLOOKUP($A44,INDIRECT(Adrese!F$2),6,FALSE)</f>
        <v>0.43606194690265487</v>
      </c>
      <c r="AS44" s="4" t="str">
        <f t="shared" ca="1" si="6"/>
        <v>0.43 (0.01)</v>
      </c>
      <c r="AT44" s="4">
        <f t="shared" ca="1" si="22"/>
        <v>0.427924778761062</v>
      </c>
      <c r="AU44" s="4">
        <f t="shared" ca="1" si="8"/>
        <v>5.0867975235253876E-3</v>
      </c>
      <c r="AW44" t="s">
        <v>104</v>
      </c>
      <c r="AX44" s="4">
        <f ca="1">+VLOOKUP($A44,INDIRECT(Adrese!B$2),7,FALSE)</f>
        <v>0.39380530973451328</v>
      </c>
      <c r="AY44" s="4">
        <f ca="1">+VLOOKUP($A44,INDIRECT(Adrese!C$2),7,FALSE)</f>
        <v>0.42035398230088489</v>
      </c>
      <c r="AZ44" s="4">
        <f ca="1">+VLOOKUP($A44,INDIRECT(Adrese!D$2),7,FALSE)</f>
        <v>0.42035398230088489</v>
      </c>
      <c r="BA44" s="4">
        <f ca="1">+VLOOKUP($A44,INDIRECT(Adrese!E$2),7,FALSE)</f>
        <v>0.42035398230088489</v>
      </c>
      <c r="BB44" s="4">
        <f ca="1">+VLOOKUP($A44,INDIRECT(Adrese!F$2),7,FALSE)</f>
        <v>0.42035398230088489</v>
      </c>
      <c r="BC44" s="4" t="str">
        <f t="shared" ca="1" si="9"/>
        <v>0.42 (0.01)</v>
      </c>
      <c r="BD44">
        <f t="shared" ca="1" si="23"/>
        <v>0.41504424778761057</v>
      </c>
      <c r="BE44" s="4">
        <f t="shared" ca="1" si="11"/>
        <v>1.1872927314158144E-2</v>
      </c>
      <c r="BG44" t="s">
        <v>104</v>
      </c>
      <c r="BH44" s="4">
        <f ca="1">+VLOOKUP($BG44,INDIRECT(Adrese!B$2),8,FALSE)</f>
        <v>6.0423936748606341E-2</v>
      </c>
      <c r="BI44" s="4">
        <f ca="1">+VLOOKUP($BG44,INDIRECT(Adrese!C$2),8,FALSE)</f>
        <v>6.0220694843602762E-2</v>
      </c>
      <c r="BJ44" s="4">
        <f ca="1">+VLOOKUP($BG44,INDIRECT(Adrese!D$2),8,FALSE)</f>
        <v>6.0705626238012483E-2</v>
      </c>
      <c r="BK44" s="4">
        <f ca="1">+VLOOKUP($BG44,INDIRECT(Adrese!E$2),8,FALSE)</f>
        <v>6.1511657149303199E-2</v>
      </c>
      <c r="BL44" s="4">
        <f ca="1">+VLOOKUP($BG44,INDIRECT(Adrese!F$2),8,FALSE)</f>
        <v>6.2555041346544146E-2</v>
      </c>
      <c r="BM44" s="4" t="str">
        <f t="shared" ca="1" si="12"/>
        <v>0.06 (0.00)</v>
      </c>
      <c r="BN44" s="4">
        <f t="shared" ca="1" si="24"/>
        <v>6.1083391265213782E-2</v>
      </c>
      <c r="BO44" s="4">
        <f t="shared" ca="1" si="14"/>
        <v>9.5799235650204529E-4</v>
      </c>
      <c r="BQ44" t="s">
        <v>104</v>
      </c>
      <c r="BR44" s="4">
        <f ca="1">+VLOOKUP($BG44,INDIRECT(Adrese!B$2),9,FALSE)</f>
        <v>5.1161709287845983E-2</v>
      </c>
      <c r="BS44" s="4">
        <f ca="1">+VLOOKUP($BG44,INDIRECT(Adrese!C$2),9,FALSE)</f>
        <v>5.1447724403981293E-2</v>
      </c>
      <c r="BT44" s="4">
        <f ca="1">+VLOOKUP($BG44,INDIRECT(Adrese!D$2),9,FALSE)</f>
        <v>5.5619471693584763E-2</v>
      </c>
      <c r="BU44" s="4">
        <f ca="1">+VLOOKUP($BG44,INDIRECT(Adrese!E$2),9,FALSE)</f>
        <v>5.4084323325269933E-2</v>
      </c>
      <c r="BV44" s="4">
        <f ca="1">+VLOOKUP($BG44,INDIRECT(Adrese!F$2),9,FALSE)</f>
        <v>4.8093042278717621E-2</v>
      </c>
      <c r="BW44" s="4" t="str">
        <f t="shared" ca="1" si="15"/>
        <v>0.05 (0.00)</v>
      </c>
      <c r="BX44" s="4">
        <f t="shared" ca="1" si="25"/>
        <v>5.2081254197879921E-2</v>
      </c>
      <c r="BY44" s="4">
        <f t="shared" ca="1" si="17"/>
        <v>2.9018970575077963E-3</v>
      </c>
    </row>
    <row r="45" spans="1:77" x14ac:dyDescent="0.25">
      <c r="A45" t="s">
        <v>105</v>
      </c>
      <c r="B45" s="11">
        <f ca="1">+VLOOKUP($A45,INDIRECT(Adrese!B$2),2,FALSE)</f>
        <v>107</v>
      </c>
      <c r="C45" s="11">
        <f ca="1">+VLOOKUP($A45,INDIRECT(Adrese!C$2),2,FALSE)</f>
        <v>90</v>
      </c>
      <c r="D45" s="11">
        <f ca="1">+VLOOKUP($A45,INDIRECT(Adrese!D$2),2,FALSE)</f>
        <v>125</v>
      </c>
      <c r="E45" s="11">
        <f ca="1">+VLOOKUP($A45,INDIRECT(Adrese!E$2),2,FALSE)</f>
        <v>148</v>
      </c>
      <c r="F45" s="11">
        <f ca="1">+VLOOKUP($A45,INDIRECT(Adrese!F$2),2,FALSE)</f>
        <v>133</v>
      </c>
      <c r="G45" s="4">
        <f t="shared" ca="1" si="18"/>
        <v>120.6</v>
      </c>
      <c r="J45" t="s">
        <v>105</v>
      </c>
      <c r="K45">
        <f ca="1">+VLOOKUP($A45,INDIRECT(Adrese!B$2),3,FALSE)</f>
        <v>190</v>
      </c>
      <c r="L45">
        <f ca="1">+VLOOKUP($A45,INDIRECT(Adrese!C$2),3,FALSE)</f>
        <v>192</v>
      </c>
      <c r="M45">
        <f ca="1">+VLOOKUP($A45,INDIRECT(Adrese!D$2),3,FALSE)</f>
        <v>197</v>
      </c>
      <c r="N45">
        <f ca="1">+VLOOKUP($A45,INDIRECT(Adrese!E$2),3,FALSE)</f>
        <v>196</v>
      </c>
      <c r="O45">
        <f ca="1">+VLOOKUP($A45,INDIRECT(Adrese!F$2),3,FALSE)</f>
        <v>189</v>
      </c>
      <c r="P45">
        <f t="shared" ca="1" si="1"/>
        <v>964</v>
      </c>
      <c r="Q45" s="4">
        <f t="shared" ca="1" si="19"/>
        <v>192.8</v>
      </c>
      <c r="R45" s="4"/>
      <c r="T45" t="s">
        <v>105</v>
      </c>
      <c r="U45">
        <f ca="1">+VLOOKUP($T45,INDIRECT(Adrese!B$2),4,FALSE)</f>
        <v>95363</v>
      </c>
      <c r="V45">
        <f ca="1">+VLOOKUP($T45,INDIRECT(Adrese!C$2),4,FALSE)</f>
        <v>95858</v>
      </c>
      <c r="W45">
        <f ca="1">+VLOOKUP($T45,INDIRECT(Adrese!D$2),4,FALSE)</f>
        <v>94786</v>
      </c>
      <c r="X45">
        <f ca="1">+VLOOKUP($T45,INDIRECT(Adrese!E$2),4,FALSE)</f>
        <v>93818</v>
      </c>
      <c r="Y45">
        <f ca="1">+VLOOKUP($T45,INDIRECT(Adrese!F$2),4,FALSE)</f>
        <v>94272</v>
      </c>
      <c r="Z45">
        <f t="shared" ca="1" si="3"/>
        <v>474097</v>
      </c>
      <c r="AA45" s="4">
        <f t="shared" ca="1" si="20"/>
        <v>94819.4</v>
      </c>
      <c r="AC45" t="s">
        <v>105</v>
      </c>
      <c r="AD45">
        <f ca="1">+VLOOKUP($A45,INDIRECT(Adrese!B$2),5,FALSE)</f>
        <v>14085</v>
      </c>
      <c r="AE45">
        <f ca="1">+VLOOKUP($A45,INDIRECT(Adrese!C$2),5,FALSE)</f>
        <v>14329</v>
      </c>
      <c r="AF45">
        <f ca="1">+VLOOKUP($A45,INDIRECT(Adrese!D$2),5,FALSE)</f>
        <v>13888</v>
      </c>
      <c r="AG45">
        <f ca="1">+VLOOKUP($A45,INDIRECT(Adrese!E$2),5,FALSE)</f>
        <v>13373</v>
      </c>
      <c r="AH45">
        <f ca="1">+VLOOKUP($A45,INDIRECT(Adrese!F$2),5,FALSE)</f>
        <v>13725</v>
      </c>
      <c r="AI45" s="4">
        <f t="shared" ca="1" si="21"/>
        <v>13880</v>
      </c>
      <c r="AJ45" s="4"/>
      <c r="AK45" s="4"/>
      <c r="AM45" t="s">
        <v>105</v>
      </c>
      <c r="AN45" s="4">
        <f ca="1">+VLOOKUP($A45,INDIRECT(Adrese!B$2),6,FALSE)</f>
        <v>0.31106194690265487</v>
      </c>
      <c r="AO45" s="4">
        <f ca="1">+VLOOKUP($A45,INDIRECT(Adrese!C$2),6,FALSE)</f>
        <v>0.3163495575221239</v>
      </c>
      <c r="AP45" s="4">
        <f ca="1">+VLOOKUP($A45,INDIRECT(Adrese!D$2),6,FALSE)</f>
        <v>0.30606194690265492</v>
      </c>
      <c r="AQ45" s="4">
        <f ca="1">+VLOOKUP($A45,INDIRECT(Adrese!E$2),6,FALSE)</f>
        <v>0.29537610619469029</v>
      </c>
      <c r="AR45" s="4">
        <f ca="1">+VLOOKUP($A45,INDIRECT(Adrese!F$2),6,FALSE)</f>
        <v>0.30249999999999999</v>
      </c>
      <c r="AS45" s="4" t="str">
        <f t="shared" ca="1" si="6"/>
        <v>0.31 (0.01)</v>
      </c>
      <c r="AT45" s="4">
        <f t="shared" ca="1" si="22"/>
        <v>0.30626991150442479</v>
      </c>
      <c r="AU45" s="4">
        <f t="shared" ca="1" si="8"/>
        <v>8.0232995589905372E-3</v>
      </c>
      <c r="AW45" t="s">
        <v>105</v>
      </c>
      <c r="AX45" s="4">
        <f ca="1">+VLOOKUP($A45,INDIRECT(Adrese!B$2),7,FALSE)</f>
        <v>0.15929203539823009</v>
      </c>
      <c r="AY45" s="4">
        <f ca="1">+VLOOKUP($A45,INDIRECT(Adrese!C$2),7,FALSE)</f>
        <v>0.15044247787610621</v>
      </c>
      <c r="AZ45" s="4">
        <f ca="1">+VLOOKUP($A45,INDIRECT(Adrese!D$2),7,FALSE)</f>
        <v>0.12831858407079649</v>
      </c>
      <c r="BA45" s="4">
        <f ca="1">+VLOOKUP($A45,INDIRECT(Adrese!E$2),7,FALSE)</f>
        <v>0.13274336283185839</v>
      </c>
      <c r="BB45" s="4">
        <f ca="1">+VLOOKUP($A45,INDIRECT(Adrese!F$2),7,FALSE)</f>
        <v>0.16371681415929201</v>
      </c>
      <c r="BC45" s="4" t="str">
        <f t="shared" ca="1" si="9"/>
        <v>0.15 (0.02)</v>
      </c>
      <c r="BD45">
        <f t="shared" ca="1" si="23"/>
        <v>0.14690265486725665</v>
      </c>
      <c r="BE45" s="4">
        <f t="shared" ca="1" si="11"/>
        <v>1.5768610337349952E-2</v>
      </c>
      <c r="BG45" t="s">
        <v>105</v>
      </c>
      <c r="BH45" s="4">
        <f ca="1">+VLOOKUP($BG45,INDIRECT(Adrese!B$2),8,FALSE)</f>
        <v>4.8633554218978893E-2</v>
      </c>
      <c r="BI45" s="4">
        <f ca="1">+VLOOKUP($BG45,INDIRECT(Adrese!C$2),8,FALSE)</f>
        <v>4.9524024752593702E-2</v>
      </c>
      <c r="BJ45" s="4">
        <f ca="1">+VLOOKUP($BG45,INDIRECT(Adrese!D$2),8,FALSE)</f>
        <v>4.7902554696393339E-2</v>
      </c>
      <c r="BK45" s="4">
        <f ca="1">+VLOOKUP($BG45,INDIRECT(Adrese!E$2),8,FALSE)</f>
        <v>4.6264957788234237E-2</v>
      </c>
      <c r="BL45" s="4">
        <f ca="1">+VLOOKUP($BG45,INDIRECT(Adrese!F$2),8,FALSE)</f>
        <v>4.7459293618064453E-2</v>
      </c>
      <c r="BM45" s="4" t="str">
        <f t="shared" ca="1" si="12"/>
        <v>0.05 (0.00)</v>
      </c>
      <c r="BN45" s="4">
        <f t="shared" ca="1" si="24"/>
        <v>4.7956877014852926E-2</v>
      </c>
      <c r="BO45" s="4">
        <f t="shared" ca="1" si="14"/>
        <v>1.2274948972331953E-3</v>
      </c>
      <c r="BQ45" t="s">
        <v>105</v>
      </c>
      <c r="BR45" s="4">
        <f ca="1">+VLOOKUP($BG45,INDIRECT(Adrese!B$2),9,FALSE)</f>
        <v>0.10456715406267759</v>
      </c>
      <c r="BS45" s="4">
        <f ca="1">+VLOOKUP($BG45,INDIRECT(Adrese!C$2),9,FALSE)</f>
        <v>0.10555176912636589</v>
      </c>
      <c r="BT45" s="4">
        <f ca="1">+VLOOKUP($BG45,INDIRECT(Adrese!D$2),9,FALSE)</f>
        <v>0.106728276545121</v>
      </c>
      <c r="BU45" s="4">
        <f ca="1">+VLOOKUP($BG45,INDIRECT(Adrese!E$2),9,FALSE)</f>
        <v>0.1119433678137083</v>
      </c>
      <c r="BV45" s="4">
        <f ca="1">+VLOOKUP($BG45,INDIRECT(Adrese!F$2),9,FALSE)</f>
        <v>0.1067464187717555</v>
      </c>
      <c r="BW45" s="4" t="str">
        <f t="shared" ca="1" si="15"/>
        <v>0.11 (0.00)</v>
      </c>
      <c r="BX45" s="4">
        <f t="shared" ca="1" si="25"/>
        <v>0.10710739726392564</v>
      </c>
      <c r="BY45" s="4">
        <f t="shared" ca="1" si="17"/>
        <v>2.8519056599691402E-3</v>
      </c>
    </row>
    <row r="46" spans="1:77" x14ac:dyDescent="0.25">
      <c r="A46" t="s">
        <v>106</v>
      </c>
      <c r="B46" s="11">
        <f ca="1">+VLOOKUP($A46,INDIRECT(Adrese!B$2),2,FALSE)</f>
        <v>34</v>
      </c>
      <c r="C46" s="11">
        <f ca="1">+VLOOKUP($A46,INDIRECT(Adrese!C$2),2,FALSE)</f>
        <v>39</v>
      </c>
      <c r="D46" s="11">
        <f ca="1">+VLOOKUP($A46,INDIRECT(Adrese!D$2),2,FALSE)</f>
        <v>70</v>
      </c>
      <c r="E46" s="11">
        <f ca="1">+VLOOKUP($A46,INDIRECT(Adrese!E$2),2,FALSE)</f>
        <v>85</v>
      </c>
      <c r="F46" s="11">
        <f ca="1">+VLOOKUP($A46,INDIRECT(Adrese!F$2),2,FALSE)</f>
        <v>67</v>
      </c>
      <c r="G46" s="4">
        <f t="shared" ca="1" si="18"/>
        <v>59</v>
      </c>
      <c r="J46" t="s">
        <v>106</v>
      </c>
      <c r="K46">
        <f ca="1">+VLOOKUP($A46,INDIRECT(Adrese!B$2),3,FALSE)</f>
        <v>189</v>
      </c>
      <c r="L46">
        <f ca="1">+VLOOKUP($A46,INDIRECT(Adrese!C$2),3,FALSE)</f>
        <v>189</v>
      </c>
      <c r="M46">
        <f ca="1">+VLOOKUP($A46,INDIRECT(Adrese!D$2),3,FALSE)</f>
        <v>190</v>
      </c>
      <c r="N46">
        <f ca="1">+VLOOKUP($A46,INDIRECT(Adrese!E$2),3,FALSE)</f>
        <v>194</v>
      </c>
      <c r="O46">
        <f ca="1">+VLOOKUP($A46,INDIRECT(Adrese!F$2),3,FALSE)</f>
        <v>186</v>
      </c>
      <c r="P46">
        <f t="shared" ca="1" si="1"/>
        <v>948</v>
      </c>
      <c r="Q46" s="4">
        <f t="shared" ca="1" si="19"/>
        <v>189.6</v>
      </c>
      <c r="R46" s="4"/>
      <c r="T46" t="s">
        <v>106</v>
      </c>
      <c r="U46">
        <f ca="1">+VLOOKUP($T46,INDIRECT(Adrese!B$2),4,FALSE)</f>
        <v>98461</v>
      </c>
      <c r="V46">
        <f ca="1">+VLOOKUP($T46,INDIRECT(Adrese!C$2),4,FALSE)</f>
        <v>98213</v>
      </c>
      <c r="W46">
        <f ca="1">+VLOOKUP($T46,INDIRECT(Adrese!D$2),4,FALSE)</f>
        <v>96735</v>
      </c>
      <c r="X46">
        <f ca="1">+VLOOKUP($T46,INDIRECT(Adrese!E$2),4,FALSE)</f>
        <v>96187</v>
      </c>
      <c r="Y46">
        <f ca="1">+VLOOKUP($T46,INDIRECT(Adrese!F$2),4,FALSE)</f>
        <v>96840</v>
      </c>
      <c r="Z46">
        <f t="shared" ca="1" si="3"/>
        <v>486436</v>
      </c>
      <c r="AA46" s="4">
        <f t="shared" ca="1" si="20"/>
        <v>97287.2</v>
      </c>
      <c r="AC46" t="s">
        <v>106</v>
      </c>
      <c r="AD46">
        <f ca="1">+VLOOKUP($A46,INDIRECT(Adrese!B$2),5,FALSE)</f>
        <v>6679</v>
      </c>
      <c r="AE46">
        <f ca="1">+VLOOKUP($A46,INDIRECT(Adrese!C$2),5,FALSE)</f>
        <v>6733</v>
      </c>
      <c r="AF46">
        <f ca="1">+VLOOKUP($A46,INDIRECT(Adrese!D$2),5,FALSE)</f>
        <v>6725</v>
      </c>
      <c r="AG46">
        <f ca="1">+VLOOKUP($A46,INDIRECT(Adrese!E$2),5,FALSE)</f>
        <v>6705</v>
      </c>
      <c r="AH46">
        <f ca="1">+VLOOKUP($A46,INDIRECT(Adrese!F$2),5,FALSE)</f>
        <v>6690</v>
      </c>
      <c r="AI46" s="4">
        <f t="shared" ca="1" si="21"/>
        <v>6706.4</v>
      </c>
      <c r="AJ46" s="4"/>
      <c r="AK46" s="4"/>
      <c r="AM46" t="s">
        <v>106</v>
      </c>
      <c r="AN46" s="4">
        <f ca="1">+VLOOKUP($A46,INDIRECT(Adrese!B$2),6,FALSE)</f>
        <v>0.1471902654867257</v>
      </c>
      <c r="AO46" s="4">
        <f ca="1">+VLOOKUP($A46,INDIRECT(Adrese!C$2),6,FALSE)</f>
        <v>0.14831858407079651</v>
      </c>
      <c r="AP46" s="4">
        <f ca="1">+VLOOKUP($A46,INDIRECT(Adrese!D$2),6,FALSE)</f>
        <v>0.14805309734513281</v>
      </c>
      <c r="AQ46" s="4">
        <f ca="1">+VLOOKUP($A46,INDIRECT(Adrese!E$2),6,FALSE)</f>
        <v>0.14761061946902651</v>
      </c>
      <c r="AR46" s="4">
        <f ca="1">+VLOOKUP($A46,INDIRECT(Adrese!F$2),6,FALSE)</f>
        <v>0.14743362831858409</v>
      </c>
      <c r="AS46" s="4" t="str">
        <f t="shared" ca="1" si="6"/>
        <v>0.15 (0.00)</v>
      </c>
      <c r="AT46" s="4">
        <f t="shared" ca="1" si="22"/>
        <v>0.14772123893805314</v>
      </c>
      <c r="AU46" s="4">
        <f t="shared" ca="1" si="8"/>
        <v>4.5930397106255392E-4</v>
      </c>
      <c r="AW46" t="s">
        <v>106</v>
      </c>
      <c r="AX46" s="4">
        <f ca="1">+VLOOKUP($A46,INDIRECT(Adrese!B$2),7,FALSE)</f>
        <v>0.16371681415929201</v>
      </c>
      <c r="AY46" s="4">
        <f ca="1">+VLOOKUP($A46,INDIRECT(Adrese!C$2),7,FALSE)</f>
        <v>0.16371681415929201</v>
      </c>
      <c r="AZ46" s="4">
        <f ca="1">+VLOOKUP($A46,INDIRECT(Adrese!D$2),7,FALSE)</f>
        <v>0.15929203539823009</v>
      </c>
      <c r="BA46" s="4">
        <f ca="1">+VLOOKUP($A46,INDIRECT(Adrese!E$2),7,FALSE)</f>
        <v>0.1415929203539823</v>
      </c>
      <c r="BB46" s="4">
        <f ca="1">+VLOOKUP($A46,INDIRECT(Adrese!F$2),7,FALSE)</f>
        <v>0.1769911504424779</v>
      </c>
      <c r="BC46" s="4" t="str">
        <f t="shared" ca="1" si="9"/>
        <v>0.16 (0.01)</v>
      </c>
      <c r="BD46">
        <f t="shared" ca="1" si="23"/>
        <v>0.16106194690265488</v>
      </c>
      <c r="BE46" s="4">
        <f t="shared" ca="1" si="11"/>
        <v>1.2747663974237116E-2</v>
      </c>
      <c r="BG46" t="s">
        <v>106</v>
      </c>
      <c r="BH46" s="4">
        <f ca="1">+VLOOKUP($BG46,INDIRECT(Adrese!B$2),8,FALSE)</f>
        <v>1.9174685360660321E-2</v>
      </c>
      <c r="BI46" s="4">
        <f ca="1">+VLOOKUP($BG46,INDIRECT(Adrese!C$2),8,FALSE)</f>
        <v>1.9429888319554389E-2</v>
      </c>
      <c r="BJ46" s="4">
        <f ca="1">+VLOOKUP($BG46,INDIRECT(Adrese!D$2),8,FALSE)</f>
        <v>1.9246205738157052E-2</v>
      </c>
      <c r="BK46" s="4">
        <f ca="1">+VLOOKUP($BG46,INDIRECT(Adrese!E$2),8,FALSE)</f>
        <v>1.915752291950824E-2</v>
      </c>
      <c r="BL46" s="4">
        <f ca="1">+VLOOKUP($BG46,INDIRECT(Adrese!F$2),8,FALSE)</f>
        <v>1.919692690867383E-2</v>
      </c>
      <c r="BM46" s="4" t="str">
        <f t="shared" ca="1" si="12"/>
        <v>0.02 (0.00)</v>
      </c>
      <c r="BN46" s="4">
        <f t="shared" ca="1" si="24"/>
        <v>1.9241045849310766E-2</v>
      </c>
      <c r="BO46" s="4">
        <f t="shared" ca="1" si="14"/>
        <v>1.1069595543680522E-4</v>
      </c>
      <c r="BQ46" t="s">
        <v>106</v>
      </c>
      <c r="BR46" s="4">
        <f ca="1">+VLOOKUP($BG46,INDIRECT(Adrese!B$2),9,FALSE)</f>
        <v>8.7384107833359176E-2</v>
      </c>
      <c r="BS46" s="4">
        <f ca="1">+VLOOKUP($BG46,INDIRECT(Adrese!C$2),9,FALSE)</f>
        <v>8.7106738785764845E-2</v>
      </c>
      <c r="BT46" s="4">
        <f ca="1">+VLOOKUP($BG46,INDIRECT(Adrese!D$2),9,FALSE)</f>
        <v>8.4709223824889032E-2</v>
      </c>
      <c r="BU46" s="4">
        <f ca="1">+VLOOKUP($BG46,INDIRECT(Adrese!E$2),9,FALSE)</f>
        <v>8.7230479876294953E-2</v>
      </c>
      <c r="BV46" s="4">
        <f ca="1">+VLOOKUP($BG46,INDIRECT(Adrese!F$2),9,FALSE)</f>
        <v>8.6408313235987175E-2</v>
      </c>
      <c r="BW46" s="4" t="str">
        <f t="shared" ca="1" si="15"/>
        <v>0.09 (0.00)</v>
      </c>
      <c r="BX46" s="4">
        <f t="shared" ca="1" si="25"/>
        <v>8.6567772711259039E-2</v>
      </c>
      <c r="BY46" s="4">
        <f t="shared" ca="1" si="17"/>
        <v>1.1040493121814751E-3</v>
      </c>
    </row>
    <row r="47" spans="1:77" x14ac:dyDescent="0.25">
      <c r="A47" t="s">
        <v>107</v>
      </c>
      <c r="B47" s="11">
        <f ca="1">+VLOOKUP($A47,INDIRECT(Adrese!B$2),2,FALSE)</f>
        <v>152</v>
      </c>
      <c r="C47" s="11">
        <f ca="1">+VLOOKUP($A47,INDIRECT(Adrese!C$2),2,FALSE)</f>
        <v>150</v>
      </c>
      <c r="D47" s="11">
        <f ca="1">+VLOOKUP($A47,INDIRECT(Adrese!D$2),2,FALSE)</f>
        <v>149</v>
      </c>
      <c r="E47" s="11">
        <f ca="1">+VLOOKUP($A47,INDIRECT(Adrese!E$2),2,FALSE)</f>
        <v>125</v>
      </c>
      <c r="F47" s="11">
        <f ca="1">+VLOOKUP($A47,INDIRECT(Adrese!F$2),2,FALSE)</f>
        <v>140</v>
      </c>
      <c r="G47" s="4">
        <f t="shared" ca="1" si="18"/>
        <v>143.19999999999999</v>
      </c>
      <c r="J47" t="s">
        <v>107</v>
      </c>
      <c r="K47">
        <f ca="1">+VLOOKUP($A47,INDIRECT(Adrese!B$2),3,FALSE)</f>
        <v>85</v>
      </c>
      <c r="L47">
        <f ca="1">+VLOOKUP($A47,INDIRECT(Adrese!C$2),3,FALSE)</f>
        <v>88</v>
      </c>
      <c r="M47">
        <f ca="1">+VLOOKUP($A47,INDIRECT(Adrese!D$2),3,FALSE)</f>
        <v>91</v>
      </c>
      <c r="N47">
        <f ca="1">+VLOOKUP($A47,INDIRECT(Adrese!E$2),3,FALSE)</f>
        <v>88</v>
      </c>
      <c r="O47">
        <f ca="1">+VLOOKUP($A47,INDIRECT(Adrese!F$2),3,FALSE)</f>
        <v>86</v>
      </c>
      <c r="P47">
        <f t="shared" ca="1" si="1"/>
        <v>438</v>
      </c>
      <c r="Q47" s="4">
        <f t="shared" ca="1" si="19"/>
        <v>87.6</v>
      </c>
      <c r="R47" s="4"/>
      <c r="T47" t="s">
        <v>107</v>
      </c>
      <c r="U47">
        <f ca="1">+VLOOKUP($T47,INDIRECT(Adrese!B$2),4,FALSE)</f>
        <v>93256</v>
      </c>
      <c r="V47">
        <f ca="1">+VLOOKUP($T47,INDIRECT(Adrese!C$2),4,FALSE)</f>
        <v>93564</v>
      </c>
      <c r="W47">
        <f ca="1">+VLOOKUP($T47,INDIRECT(Adrese!D$2),4,FALSE)</f>
        <v>93540</v>
      </c>
      <c r="X47">
        <f ca="1">+VLOOKUP($T47,INDIRECT(Adrese!E$2),4,FALSE)</f>
        <v>94506</v>
      </c>
      <c r="Y47">
        <f ca="1">+VLOOKUP($T47,INDIRECT(Adrese!F$2),4,FALSE)</f>
        <v>94055</v>
      </c>
      <c r="Z47">
        <f t="shared" ca="1" si="3"/>
        <v>468921</v>
      </c>
      <c r="AA47" s="4">
        <f t="shared" ca="1" si="20"/>
        <v>93784.2</v>
      </c>
      <c r="AC47" t="s">
        <v>107</v>
      </c>
      <c r="AD47">
        <f ca="1">+VLOOKUP($A47,INDIRECT(Adrese!B$2),5,FALSE)</f>
        <v>22686</v>
      </c>
      <c r="AE47">
        <f ca="1">+VLOOKUP($A47,INDIRECT(Adrese!C$2),5,FALSE)</f>
        <v>22861</v>
      </c>
      <c r="AF47">
        <f ca="1">+VLOOKUP($A47,INDIRECT(Adrese!D$2),5,FALSE)</f>
        <v>22565</v>
      </c>
      <c r="AG47">
        <f ca="1">+VLOOKUP($A47,INDIRECT(Adrese!E$2),5,FALSE)</f>
        <v>22783</v>
      </c>
      <c r="AH47">
        <f ca="1">+VLOOKUP($A47,INDIRECT(Adrese!F$2),5,FALSE)</f>
        <v>22762</v>
      </c>
      <c r="AI47" s="4">
        <f t="shared" ca="1" si="21"/>
        <v>22731.4</v>
      </c>
      <c r="AJ47" s="4"/>
      <c r="AK47" s="4"/>
      <c r="AM47" t="s">
        <v>107</v>
      </c>
      <c r="AN47" s="4">
        <f ca="1">+VLOOKUP($A47,INDIRECT(Adrese!B$2),6,FALSE)</f>
        <v>0.49969026548672568</v>
      </c>
      <c r="AO47" s="4">
        <f ca="1">+VLOOKUP($A47,INDIRECT(Adrese!C$2),6,FALSE)</f>
        <v>0.50340707964601772</v>
      </c>
      <c r="AP47" s="4">
        <f ca="1">+VLOOKUP($A47,INDIRECT(Adrese!D$2),6,FALSE)</f>
        <v>0.49692477876106189</v>
      </c>
      <c r="AQ47" s="4">
        <f ca="1">+VLOOKUP($A47,INDIRECT(Adrese!E$2),6,FALSE)</f>
        <v>0.50132743362831855</v>
      </c>
      <c r="AR47" s="4">
        <f ca="1">+VLOOKUP($A47,INDIRECT(Adrese!F$2),6,FALSE)</f>
        <v>0.50159292035398229</v>
      </c>
      <c r="AS47" s="4" t="str">
        <f t="shared" ca="1" si="6"/>
        <v>0.50 (0.00)</v>
      </c>
      <c r="AT47" s="4">
        <f t="shared" ca="1" si="22"/>
        <v>0.50058849557522123</v>
      </c>
      <c r="AU47" s="4">
        <f t="shared" ca="1" si="8"/>
        <v>2.4356186551308034E-3</v>
      </c>
      <c r="AW47" t="s">
        <v>107</v>
      </c>
      <c r="AX47" s="4">
        <f ca="1">+VLOOKUP($A47,INDIRECT(Adrese!B$2),7,FALSE)</f>
        <v>0.62389380530973448</v>
      </c>
      <c r="AY47" s="4">
        <f ca="1">+VLOOKUP($A47,INDIRECT(Adrese!C$2),7,FALSE)</f>
        <v>0.61061946902654862</v>
      </c>
      <c r="AZ47" s="4">
        <f ca="1">+VLOOKUP($A47,INDIRECT(Adrese!D$2),7,FALSE)</f>
        <v>0.59734513274336287</v>
      </c>
      <c r="BA47" s="4">
        <f ca="1">+VLOOKUP($A47,INDIRECT(Adrese!E$2),7,FALSE)</f>
        <v>0.61061946902654862</v>
      </c>
      <c r="BB47" s="4">
        <f ca="1">+VLOOKUP($A47,INDIRECT(Adrese!F$2),7,FALSE)</f>
        <v>0.61946902654867253</v>
      </c>
      <c r="BC47" s="4" t="str">
        <f t="shared" ca="1" si="9"/>
        <v>0.61 (0.01)</v>
      </c>
      <c r="BD47">
        <f t="shared" ca="1" si="23"/>
        <v>0.61238938053097347</v>
      </c>
      <c r="BE47" s="4">
        <f t="shared" ca="1" si="11"/>
        <v>1.0186605693116203E-2</v>
      </c>
      <c r="BG47" t="s">
        <v>107</v>
      </c>
      <c r="BH47" s="4">
        <f ca="1">+VLOOKUP($BG47,INDIRECT(Adrese!B$2),8,FALSE)</f>
        <v>6.7509164059672E-2</v>
      </c>
      <c r="BI47" s="4">
        <f ca="1">+VLOOKUP($BG47,INDIRECT(Adrese!C$2),8,FALSE)</f>
        <v>6.8054338336549433E-2</v>
      </c>
      <c r="BJ47" s="4">
        <f ca="1">+VLOOKUP($BG47,INDIRECT(Adrese!D$2),8,FALSE)</f>
        <v>6.7317627706555472E-2</v>
      </c>
      <c r="BK47" s="4">
        <f ca="1">+VLOOKUP($BG47,INDIRECT(Adrese!E$2),8,FALSE)</f>
        <v>6.7567230802788647E-2</v>
      </c>
      <c r="BL47" s="4">
        <f ca="1">+VLOOKUP($BG47,INDIRECT(Adrese!F$2),8,FALSE)</f>
        <v>6.7703830339602949E-2</v>
      </c>
      <c r="BM47" s="4" t="str">
        <f t="shared" ca="1" si="12"/>
        <v>0.07 (0.00)</v>
      </c>
      <c r="BN47" s="4">
        <f t="shared" ca="1" si="24"/>
        <v>6.7630438249033697E-2</v>
      </c>
      <c r="BO47" s="4">
        <f t="shared" ca="1" si="14"/>
        <v>2.7460459250786999E-4</v>
      </c>
      <c r="BQ47" t="s">
        <v>107</v>
      </c>
      <c r="BR47" s="4">
        <f ca="1">+VLOOKUP($BG47,INDIRECT(Adrese!B$2),9,FALSE)</f>
        <v>2.1559516407831259E-2</v>
      </c>
      <c r="BS47" s="4">
        <f ca="1">+VLOOKUP($BG47,INDIRECT(Adrese!C$2),9,FALSE)</f>
        <v>1.865247926772956E-2</v>
      </c>
      <c r="BT47" s="4">
        <f ca="1">+VLOOKUP($BG47,INDIRECT(Adrese!D$2),9,FALSE)</f>
        <v>2.0941469601221271E-2</v>
      </c>
      <c r="BU47" s="4">
        <f ca="1">+VLOOKUP($BG47,INDIRECT(Adrese!E$2),9,FALSE)</f>
        <v>1.8115121638217321E-2</v>
      </c>
      <c r="BV47" s="4">
        <f ca="1">+VLOOKUP($BG47,INDIRECT(Adrese!F$2),9,FALSE)</f>
        <v>2.1601572060359429E-2</v>
      </c>
      <c r="BW47" s="4" t="str">
        <f t="shared" ca="1" si="15"/>
        <v>0.02 (0.00)</v>
      </c>
      <c r="BX47" s="4">
        <f t="shared" ca="1" si="25"/>
        <v>2.0174031795071767E-2</v>
      </c>
      <c r="BY47" s="4">
        <f t="shared" ca="1" si="17"/>
        <v>1.6658806030879216E-3</v>
      </c>
    </row>
    <row r="48" spans="1:77" x14ac:dyDescent="0.25">
      <c r="A48" t="s">
        <v>108</v>
      </c>
      <c r="B48" s="11">
        <f ca="1">+VLOOKUP($A48,INDIRECT(Adrese!B$2),2,FALSE)</f>
        <v>28</v>
      </c>
      <c r="C48" s="11">
        <f ca="1">+VLOOKUP($A48,INDIRECT(Adrese!C$2),2,FALSE)</f>
        <v>43</v>
      </c>
      <c r="D48" s="11">
        <f ca="1">+VLOOKUP($A48,INDIRECT(Adrese!D$2),2,FALSE)</f>
        <v>44</v>
      </c>
      <c r="E48" s="11">
        <f ca="1">+VLOOKUP($A48,INDIRECT(Adrese!E$2),2,FALSE)</f>
        <v>52</v>
      </c>
      <c r="F48" s="11">
        <f ca="1">+VLOOKUP($A48,INDIRECT(Adrese!F$2),2,FALSE)</f>
        <v>102</v>
      </c>
      <c r="G48" s="4">
        <f t="shared" ca="1" si="18"/>
        <v>53.8</v>
      </c>
      <c r="J48" t="s">
        <v>108</v>
      </c>
      <c r="K48">
        <f ca="1">+VLOOKUP($A48,INDIRECT(Adrese!B$2),3,FALSE)</f>
        <v>77</v>
      </c>
      <c r="L48">
        <f ca="1">+VLOOKUP($A48,INDIRECT(Adrese!C$2),3,FALSE)</f>
        <v>77</v>
      </c>
      <c r="M48">
        <f ca="1">+VLOOKUP($A48,INDIRECT(Adrese!D$2),3,FALSE)</f>
        <v>75</v>
      </c>
      <c r="N48">
        <f ca="1">+VLOOKUP($A48,INDIRECT(Adrese!E$2),3,FALSE)</f>
        <v>76</v>
      </c>
      <c r="O48">
        <f ca="1">+VLOOKUP($A48,INDIRECT(Adrese!F$2),3,FALSE)</f>
        <v>64</v>
      </c>
      <c r="P48">
        <f t="shared" ca="1" si="1"/>
        <v>369</v>
      </c>
      <c r="Q48" s="4">
        <f t="shared" ca="1" si="19"/>
        <v>73.8</v>
      </c>
      <c r="R48" s="4"/>
      <c r="T48" t="s">
        <v>108</v>
      </c>
      <c r="U48">
        <f ca="1">+VLOOKUP($T48,INDIRECT(Adrese!B$2),4,FALSE)</f>
        <v>98945</v>
      </c>
      <c r="V48">
        <f ca="1">+VLOOKUP($T48,INDIRECT(Adrese!C$2),4,FALSE)</f>
        <v>97811</v>
      </c>
      <c r="W48">
        <f ca="1">+VLOOKUP($T48,INDIRECT(Adrese!D$2),4,FALSE)</f>
        <v>97695</v>
      </c>
      <c r="X48">
        <f ca="1">+VLOOKUP($T48,INDIRECT(Adrese!E$2),4,FALSE)</f>
        <v>97378</v>
      </c>
      <c r="Y48">
        <f ca="1">+VLOOKUP($T48,INDIRECT(Adrese!F$2),4,FALSE)</f>
        <v>95339</v>
      </c>
      <c r="Z48">
        <f t="shared" ca="1" si="3"/>
        <v>487168</v>
      </c>
      <c r="AA48" s="4">
        <f t="shared" ca="1" si="20"/>
        <v>97433.600000000006</v>
      </c>
      <c r="AC48" t="s">
        <v>108</v>
      </c>
      <c r="AD48">
        <f ca="1">+VLOOKUP($A48,INDIRECT(Adrese!B$2),5,FALSE)</f>
        <v>25511</v>
      </c>
      <c r="AE48">
        <f ca="1">+VLOOKUP($A48,INDIRECT(Adrese!C$2),5,FALSE)</f>
        <v>25319</v>
      </c>
      <c r="AF48">
        <f ca="1">+VLOOKUP($A48,INDIRECT(Adrese!D$2),5,FALSE)</f>
        <v>25153</v>
      </c>
      <c r="AG48">
        <f ca="1">+VLOOKUP($A48,INDIRECT(Adrese!E$2),5,FALSE)</f>
        <v>25162</v>
      </c>
      <c r="AH48">
        <f ca="1">+VLOOKUP($A48,INDIRECT(Adrese!F$2),5,FALSE)</f>
        <v>24436</v>
      </c>
      <c r="AI48" s="4">
        <f t="shared" ca="1" si="21"/>
        <v>25116.2</v>
      </c>
      <c r="AJ48" s="4"/>
      <c r="AK48" s="4"/>
      <c r="AM48" t="s">
        <v>108</v>
      </c>
      <c r="AN48" s="4">
        <f ca="1">+VLOOKUP($A48,INDIRECT(Adrese!B$2),6,FALSE)</f>
        <v>0.56159292035398234</v>
      </c>
      <c r="AO48" s="4">
        <f ca="1">+VLOOKUP($A48,INDIRECT(Adrese!C$2),6,FALSE)</f>
        <v>0.55730088495575225</v>
      </c>
      <c r="AP48" s="4">
        <f ca="1">+VLOOKUP($A48,INDIRECT(Adrese!D$2),6,FALSE)</f>
        <v>0.55393805309734512</v>
      </c>
      <c r="AQ48" s="4">
        <f ca="1">+VLOOKUP($A48,INDIRECT(Adrese!E$2),6,FALSE)</f>
        <v>0.55382743362831854</v>
      </c>
      <c r="AR48" s="4">
        <f ca="1">+VLOOKUP($A48,INDIRECT(Adrese!F$2),6,FALSE)</f>
        <v>0.53745575221238939</v>
      </c>
      <c r="AS48" s="4" t="str">
        <f t="shared" ca="1" si="6"/>
        <v>0.55 (0.01)</v>
      </c>
      <c r="AT48" s="4">
        <f t="shared" ca="1" si="22"/>
        <v>0.55282300884955748</v>
      </c>
      <c r="AU48" s="4">
        <f t="shared" ca="1" si="8"/>
        <v>9.1565207854999945E-3</v>
      </c>
      <c r="AW48" t="s">
        <v>108</v>
      </c>
      <c r="AX48" s="4">
        <f ca="1">+VLOOKUP($A48,INDIRECT(Adrese!B$2),7,FALSE)</f>
        <v>0.65929203539823011</v>
      </c>
      <c r="AY48" s="4">
        <f ca="1">+VLOOKUP($A48,INDIRECT(Adrese!C$2),7,FALSE)</f>
        <v>0.65929203539823011</v>
      </c>
      <c r="AZ48" s="4">
        <f ca="1">+VLOOKUP($A48,INDIRECT(Adrese!D$2),7,FALSE)</f>
        <v>0.66814159292035402</v>
      </c>
      <c r="BA48" s="4">
        <f ca="1">+VLOOKUP($A48,INDIRECT(Adrese!E$2),7,FALSE)</f>
        <v>0.66371681415929207</v>
      </c>
      <c r="BB48" s="4">
        <f ca="1">+VLOOKUP($A48,INDIRECT(Adrese!F$2),7,FALSE)</f>
        <v>0.7168141592920354</v>
      </c>
      <c r="BC48" s="4" t="str">
        <f t="shared" ca="1" si="9"/>
        <v>0.67 (0.02)</v>
      </c>
      <c r="BD48">
        <f t="shared" ca="1" si="23"/>
        <v>0.67345132743362834</v>
      </c>
      <c r="BE48" s="4">
        <f t="shared" ca="1" si="11"/>
        <v>2.4516628632203649E-2</v>
      </c>
      <c r="BG48" t="s">
        <v>108</v>
      </c>
      <c r="BH48" s="4">
        <f ca="1">+VLOOKUP($BG48,INDIRECT(Adrese!B$2),8,FALSE)</f>
        <v>7.9758817546498342E-2</v>
      </c>
      <c r="BI48" s="4">
        <f ca="1">+VLOOKUP($BG48,INDIRECT(Adrese!C$2),8,FALSE)</f>
        <v>7.9423919071359428E-2</v>
      </c>
      <c r="BJ48" s="4">
        <f ca="1">+VLOOKUP($BG48,INDIRECT(Adrese!D$2),8,FALSE)</f>
        <v>7.8919980463375061E-2</v>
      </c>
      <c r="BK48" s="4">
        <f ca="1">+VLOOKUP($BG48,INDIRECT(Adrese!E$2),8,FALSE)</f>
        <v>7.8937251370986769E-2</v>
      </c>
      <c r="BL48" s="4">
        <f ca="1">+VLOOKUP($BG48,INDIRECT(Adrese!F$2),8,FALSE)</f>
        <v>7.6844666563473954E-2</v>
      </c>
      <c r="BM48" s="4" t="str">
        <f t="shared" ca="1" si="12"/>
        <v>0.08 (0.00)</v>
      </c>
      <c r="BN48" s="4">
        <f t="shared" ca="1" si="24"/>
        <v>7.8776927003138708E-2</v>
      </c>
      <c r="BO48" s="4">
        <f t="shared" ca="1" si="14"/>
        <v>1.1360574784737463E-3</v>
      </c>
      <c r="BQ48" t="s">
        <v>108</v>
      </c>
      <c r="BR48" s="4">
        <f ca="1">+VLOOKUP($BG48,INDIRECT(Adrese!B$2),9,FALSE)</f>
        <v>3.1358110055076598E-2</v>
      </c>
      <c r="BS48" s="4">
        <f ca="1">+VLOOKUP($BG48,INDIRECT(Adrese!C$2),9,FALSE)</f>
        <v>3.0553364097958391E-2</v>
      </c>
      <c r="BT48" s="4">
        <f ca="1">+VLOOKUP($BG48,INDIRECT(Adrese!D$2),9,FALSE)</f>
        <v>3.5514847463027813E-2</v>
      </c>
      <c r="BU48" s="4">
        <f ca="1">+VLOOKUP($BG48,INDIRECT(Adrese!E$2),9,FALSE)</f>
        <v>3.7976336034027842E-2</v>
      </c>
      <c r="BV48" s="4">
        <f ca="1">+VLOOKUP($BG48,INDIRECT(Adrese!F$2),9,FALSE)</f>
        <v>4.0993433410946072E-2</v>
      </c>
      <c r="BW48" s="4" t="str">
        <f t="shared" ca="1" si="15"/>
        <v>0.04 (0.00)</v>
      </c>
      <c r="BX48" s="4">
        <f t="shared" ca="1" si="25"/>
        <v>3.5279218212207343E-2</v>
      </c>
      <c r="BY48" s="4">
        <f t="shared" ca="1" si="17"/>
        <v>4.4071251206200647E-3</v>
      </c>
    </row>
    <row r="49" spans="1:77" x14ac:dyDescent="0.25">
      <c r="A49" t="s">
        <v>109</v>
      </c>
      <c r="B49" s="11">
        <f ca="1">+VLOOKUP($A49,INDIRECT(Adrese!B$2),2,FALSE)</f>
        <v>4</v>
      </c>
      <c r="C49" s="11">
        <f ca="1">+VLOOKUP($A49,INDIRECT(Adrese!C$2),2,FALSE)</f>
        <v>5</v>
      </c>
      <c r="D49" s="11">
        <f ca="1">+VLOOKUP($A49,INDIRECT(Adrese!D$2),2,FALSE)</f>
        <v>3</v>
      </c>
      <c r="E49" s="11">
        <f ca="1">+VLOOKUP($A49,INDIRECT(Adrese!E$2),2,FALSE)</f>
        <v>4</v>
      </c>
      <c r="F49" s="11">
        <f ca="1">+VLOOKUP($A49,INDIRECT(Adrese!F$2),2,FALSE)</f>
        <v>3</v>
      </c>
      <c r="G49" s="4">
        <f t="shared" ca="1" si="18"/>
        <v>3.8</v>
      </c>
      <c r="J49" t="s">
        <v>109</v>
      </c>
      <c r="K49">
        <f ca="1">+VLOOKUP($A49,INDIRECT(Adrese!B$2),3,FALSE)</f>
        <v>124</v>
      </c>
      <c r="L49">
        <f ca="1">+VLOOKUP($A49,INDIRECT(Adrese!C$2),3,FALSE)</f>
        <v>124</v>
      </c>
      <c r="M49">
        <f ca="1">+VLOOKUP($A49,INDIRECT(Adrese!D$2),3,FALSE)</f>
        <v>121</v>
      </c>
      <c r="N49">
        <f ca="1">+VLOOKUP($A49,INDIRECT(Adrese!E$2),3,FALSE)</f>
        <v>129</v>
      </c>
      <c r="O49">
        <f ca="1">+VLOOKUP($A49,INDIRECT(Adrese!F$2),3,FALSE)</f>
        <v>122</v>
      </c>
      <c r="P49">
        <f t="shared" ca="1" si="1"/>
        <v>620</v>
      </c>
      <c r="Q49" s="4">
        <f t="shared" ca="1" si="19"/>
        <v>124</v>
      </c>
      <c r="R49" s="4"/>
      <c r="T49" t="s">
        <v>109</v>
      </c>
      <c r="U49">
        <f ca="1">+VLOOKUP($T49,INDIRECT(Adrese!B$2),4,FALSE)</f>
        <v>104388</v>
      </c>
      <c r="V49">
        <f ca="1">+VLOOKUP($T49,INDIRECT(Adrese!C$2),4,FALSE)</f>
        <v>103039</v>
      </c>
      <c r="W49">
        <f ca="1">+VLOOKUP($T49,INDIRECT(Adrese!D$2),4,FALSE)</f>
        <v>105232</v>
      </c>
      <c r="X49">
        <f ca="1">+VLOOKUP($T49,INDIRECT(Adrese!E$2),4,FALSE)</f>
        <v>103410</v>
      </c>
      <c r="Y49">
        <f ca="1">+VLOOKUP($T49,INDIRECT(Adrese!F$2),4,FALSE)</f>
        <v>104965</v>
      </c>
      <c r="Z49">
        <f t="shared" ca="1" si="3"/>
        <v>521034</v>
      </c>
      <c r="AA49" s="4">
        <f t="shared" ca="1" si="20"/>
        <v>104206.8</v>
      </c>
      <c r="AC49" t="s">
        <v>109</v>
      </c>
      <c r="AD49">
        <f ca="1">+VLOOKUP($A49,INDIRECT(Adrese!B$2),5,FALSE)</f>
        <v>15789</v>
      </c>
      <c r="AE49">
        <f ca="1">+VLOOKUP($A49,INDIRECT(Adrese!C$2),5,FALSE)</f>
        <v>15811</v>
      </c>
      <c r="AF49">
        <f ca="1">+VLOOKUP($A49,INDIRECT(Adrese!D$2),5,FALSE)</f>
        <v>15304</v>
      </c>
      <c r="AG49">
        <f ca="1">+VLOOKUP($A49,INDIRECT(Adrese!E$2),5,FALSE)</f>
        <v>15935</v>
      </c>
      <c r="AH49">
        <f ca="1">+VLOOKUP($A49,INDIRECT(Adrese!F$2),5,FALSE)</f>
        <v>14835</v>
      </c>
      <c r="AI49" s="4">
        <f t="shared" ca="1" si="21"/>
        <v>15534.8</v>
      </c>
      <c r="AJ49" s="4"/>
      <c r="AK49" s="4"/>
      <c r="AM49" t="s">
        <v>109</v>
      </c>
      <c r="AN49" s="4">
        <f ca="1">+VLOOKUP($A49,INDIRECT(Adrese!B$2),6,FALSE)</f>
        <v>0.34716814159292042</v>
      </c>
      <c r="AO49" s="4">
        <f ca="1">+VLOOKUP($A49,INDIRECT(Adrese!C$2),6,FALSE)</f>
        <v>0.3470353982300885</v>
      </c>
      <c r="AP49" s="4">
        <f ca="1">+VLOOKUP($A49,INDIRECT(Adrese!D$2),6,FALSE)</f>
        <v>0.33528761061946899</v>
      </c>
      <c r="AQ49" s="4">
        <f ca="1">+VLOOKUP($A49,INDIRECT(Adrese!E$2),6,FALSE)</f>
        <v>0.35019911504424778</v>
      </c>
      <c r="AR49" s="4">
        <f ca="1">+VLOOKUP($A49,INDIRECT(Adrese!F$2),6,FALSE)</f>
        <v>0.32486725663716809</v>
      </c>
      <c r="AS49" s="4" t="str">
        <f t="shared" ca="1" si="6"/>
        <v>0.34 (0.01)</v>
      </c>
      <c r="AT49" s="4">
        <f t="shared" ca="1" si="22"/>
        <v>0.34091150442477874</v>
      </c>
      <c r="AU49" s="4">
        <f t="shared" ca="1" si="8"/>
        <v>1.0629597400830944E-2</v>
      </c>
      <c r="AW49" t="s">
        <v>109</v>
      </c>
      <c r="AX49" s="4">
        <f ca="1">+VLOOKUP($A49,INDIRECT(Adrese!B$2),7,FALSE)</f>
        <v>0.45132743362831862</v>
      </c>
      <c r="AY49" s="4">
        <f ca="1">+VLOOKUP($A49,INDIRECT(Adrese!C$2),7,FALSE)</f>
        <v>0.45132743362831862</v>
      </c>
      <c r="AZ49" s="4">
        <f ca="1">+VLOOKUP($A49,INDIRECT(Adrese!D$2),7,FALSE)</f>
        <v>0.46460176991150443</v>
      </c>
      <c r="BA49" s="4">
        <f ca="1">+VLOOKUP($A49,INDIRECT(Adrese!E$2),7,FALSE)</f>
        <v>0.42920353982300891</v>
      </c>
      <c r="BB49" s="4">
        <f ca="1">+VLOOKUP($A49,INDIRECT(Adrese!F$2),7,FALSE)</f>
        <v>0.46017699115044253</v>
      </c>
      <c r="BC49" s="4" t="str">
        <f t="shared" ca="1" si="9"/>
        <v>0.45 (0.01)</v>
      </c>
      <c r="BD49">
        <f t="shared" ca="1" si="23"/>
        <v>0.45132743362831862</v>
      </c>
      <c r="BE49" s="4">
        <f t="shared" ca="1" si="11"/>
        <v>1.3638084077364977E-2</v>
      </c>
      <c r="BG49" t="s">
        <v>109</v>
      </c>
      <c r="BH49" s="4">
        <f ca="1">+VLOOKUP($BG49,INDIRECT(Adrese!B$2),8,FALSE)</f>
        <v>4.7077286907559947E-2</v>
      </c>
      <c r="BI49" s="4">
        <f ca="1">+VLOOKUP($BG49,INDIRECT(Adrese!C$2),8,FALSE)</f>
        <v>4.758827467690363E-2</v>
      </c>
      <c r="BJ49" s="4">
        <f ca="1">+VLOOKUP($BG49,INDIRECT(Adrese!D$2),8,FALSE)</f>
        <v>4.575857337414669E-2</v>
      </c>
      <c r="BK49" s="4">
        <f ca="1">+VLOOKUP($BG49,INDIRECT(Adrese!E$2),8,FALSE)</f>
        <v>4.8386745843809947E-2</v>
      </c>
      <c r="BL49" s="4">
        <f ca="1">+VLOOKUP($BG49,INDIRECT(Adrese!F$2),8,FALSE)</f>
        <v>4.4046923596368283E-2</v>
      </c>
      <c r="BM49" s="4" t="str">
        <f t="shared" ca="1" si="12"/>
        <v>0.05 (0.00)</v>
      </c>
      <c r="BN49" s="4">
        <f t="shared" ca="1" si="24"/>
        <v>4.6571560879757695E-2</v>
      </c>
      <c r="BO49" s="4">
        <f t="shared" ca="1" si="14"/>
        <v>1.7043403644214088E-3</v>
      </c>
      <c r="BQ49" t="s">
        <v>109</v>
      </c>
      <c r="BR49" s="4">
        <f ca="1">+VLOOKUP($BG49,INDIRECT(Adrese!B$2),9,FALSE)</f>
        <v>3.4631922243105719E-2</v>
      </c>
      <c r="BS49" s="4">
        <f ca="1">+VLOOKUP($BG49,INDIRECT(Adrese!C$2),9,FALSE)</f>
        <v>3.2969236937702637E-2</v>
      </c>
      <c r="BT49" s="4">
        <f ca="1">+VLOOKUP($BG49,INDIRECT(Adrese!D$2),9,FALSE)</f>
        <v>3.1831807313733237E-2</v>
      </c>
      <c r="BU49" s="4">
        <f ca="1">+VLOOKUP($BG49,INDIRECT(Adrese!E$2),9,FALSE)</f>
        <v>4.1063684609657827E-2</v>
      </c>
      <c r="BV49" s="4">
        <f ca="1">+VLOOKUP($BG49,INDIRECT(Adrese!F$2),9,FALSE)</f>
        <v>3.431006441383036E-2</v>
      </c>
      <c r="BW49" s="4" t="str">
        <f t="shared" ca="1" si="15"/>
        <v>0.03 (0.00)</v>
      </c>
      <c r="BX49" s="4">
        <f t="shared" ca="1" si="25"/>
        <v>3.4961343103605956E-2</v>
      </c>
      <c r="BY49" s="4">
        <f t="shared" ca="1" si="17"/>
        <v>3.5893500500750915E-3</v>
      </c>
    </row>
    <row r="50" spans="1:77" x14ac:dyDescent="0.25">
      <c r="A50" t="s">
        <v>110</v>
      </c>
      <c r="B50" s="11">
        <f ca="1">+VLOOKUP($A50,INDIRECT(Adrese!B$2),2,FALSE)</f>
        <v>49</v>
      </c>
      <c r="C50" s="11">
        <f ca="1">+VLOOKUP($A50,INDIRECT(Adrese!C$2),2,FALSE)</f>
        <v>44</v>
      </c>
      <c r="D50" s="11">
        <f ca="1">+VLOOKUP($A50,INDIRECT(Adrese!D$2),2,FALSE)</f>
        <v>67</v>
      </c>
      <c r="E50" s="11">
        <f ca="1">+VLOOKUP($A50,INDIRECT(Adrese!E$2),2,FALSE)</f>
        <v>54</v>
      </c>
      <c r="F50" s="11">
        <f ca="1">+VLOOKUP($A50,INDIRECT(Adrese!F$2),2,FALSE)</f>
        <v>48</v>
      </c>
      <c r="G50" s="4">
        <f t="shared" ca="1" si="18"/>
        <v>52.4</v>
      </c>
      <c r="J50" t="s">
        <v>110</v>
      </c>
      <c r="K50">
        <f ca="1">+VLOOKUP($A50,INDIRECT(Adrese!B$2),3,FALSE)</f>
        <v>202</v>
      </c>
      <c r="L50">
        <f ca="1">+VLOOKUP($A50,INDIRECT(Adrese!C$2),3,FALSE)</f>
        <v>196</v>
      </c>
      <c r="M50">
        <f ca="1">+VLOOKUP($A50,INDIRECT(Adrese!D$2),3,FALSE)</f>
        <v>190</v>
      </c>
      <c r="N50">
        <f ca="1">+VLOOKUP($A50,INDIRECT(Adrese!E$2),3,FALSE)</f>
        <v>199</v>
      </c>
      <c r="O50">
        <f ca="1">+VLOOKUP($A50,INDIRECT(Adrese!F$2),3,FALSE)</f>
        <v>195</v>
      </c>
      <c r="P50">
        <f t="shared" ca="1" si="1"/>
        <v>982</v>
      </c>
      <c r="Q50" s="4">
        <f t="shared" ca="1" si="19"/>
        <v>196.4</v>
      </c>
      <c r="R50" s="4"/>
      <c r="T50" t="s">
        <v>110</v>
      </c>
      <c r="U50">
        <f ca="1">+VLOOKUP($T50,INDIRECT(Adrese!B$2),4,FALSE)</f>
        <v>97550</v>
      </c>
      <c r="V50">
        <f ca="1">+VLOOKUP($T50,INDIRECT(Adrese!C$2),4,FALSE)</f>
        <v>97783</v>
      </c>
      <c r="W50">
        <f ca="1">+VLOOKUP($T50,INDIRECT(Adrese!D$2),4,FALSE)</f>
        <v>96807</v>
      </c>
      <c r="X50">
        <f ca="1">+VLOOKUP($T50,INDIRECT(Adrese!E$2),4,FALSE)</f>
        <v>97372</v>
      </c>
      <c r="Y50">
        <f ca="1">+VLOOKUP($T50,INDIRECT(Adrese!F$2),4,FALSE)</f>
        <v>97630</v>
      </c>
      <c r="Z50">
        <f t="shared" ca="1" si="3"/>
        <v>487142</v>
      </c>
      <c r="AA50" s="4">
        <f t="shared" ca="1" si="20"/>
        <v>97428.4</v>
      </c>
      <c r="AC50" t="s">
        <v>110</v>
      </c>
      <c r="AD50">
        <f ca="1">+VLOOKUP($A50,INDIRECT(Adrese!B$2),5,FALSE)</f>
        <v>6083</v>
      </c>
      <c r="AE50">
        <f ca="1">+VLOOKUP($A50,INDIRECT(Adrese!C$2),5,FALSE)</f>
        <v>6092</v>
      </c>
      <c r="AF50">
        <f ca="1">+VLOOKUP($A50,INDIRECT(Adrese!D$2),5,FALSE)</f>
        <v>6001</v>
      </c>
      <c r="AG50">
        <f ca="1">+VLOOKUP($A50,INDIRECT(Adrese!E$2),5,FALSE)</f>
        <v>5979</v>
      </c>
      <c r="AH50">
        <f ca="1">+VLOOKUP($A50,INDIRECT(Adrese!F$2),5,FALSE)</f>
        <v>6083</v>
      </c>
      <c r="AI50" s="4">
        <f t="shared" ca="1" si="21"/>
        <v>6047.6</v>
      </c>
      <c r="AJ50" s="4"/>
      <c r="AK50" s="4"/>
      <c r="AM50" t="s">
        <v>110</v>
      </c>
      <c r="AN50" s="4">
        <f ca="1">+VLOOKUP($A50,INDIRECT(Adrese!B$2),6,FALSE)</f>
        <v>0.13411504424778761</v>
      </c>
      <c r="AO50" s="4">
        <f ca="1">+VLOOKUP($A50,INDIRECT(Adrese!C$2),6,FALSE)</f>
        <v>0.13404867256637171</v>
      </c>
      <c r="AP50" s="4">
        <f ca="1">+VLOOKUP($A50,INDIRECT(Adrese!D$2),6,FALSE)</f>
        <v>0.13179203539823009</v>
      </c>
      <c r="AQ50" s="4">
        <f ca="1">+VLOOKUP($A50,INDIRECT(Adrese!E$2),6,FALSE)</f>
        <v>0.1316592920353982</v>
      </c>
      <c r="AR50" s="4">
        <f ca="1">+VLOOKUP($A50,INDIRECT(Adrese!F$2),6,FALSE)</f>
        <v>0.13382743362831859</v>
      </c>
      <c r="AS50" s="4" t="str">
        <f t="shared" ca="1" si="6"/>
        <v>0.13 (0.00)</v>
      </c>
      <c r="AT50" s="4">
        <f t="shared" ca="1" si="22"/>
        <v>0.13308849557522123</v>
      </c>
      <c r="AU50" s="4">
        <f t="shared" ca="1" si="8"/>
        <v>1.2495202305849724E-3</v>
      </c>
      <c r="AW50" t="s">
        <v>110</v>
      </c>
      <c r="AX50" s="4">
        <f ca="1">+VLOOKUP($A50,INDIRECT(Adrese!B$2),7,FALSE)</f>
        <v>0.1061946902654867</v>
      </c>
      <c r="AY50" s="4">
        <f ca="1">+VLOOKUP($A50,INDIRECT(Adrese!C$2),7,FALSE)</f>
        <v>0.13274336283185839</v>
      </c>
      <c r="AZ50" s="4">
        <f ca="1">+VLOOKUP($A50,INDIRECT(Adrese!D$2),7,FALSE)</f>
        <v>0.15929203539823009</v>
      </c>
      <c r="BA50" s="4">
        <f ca="1">+VLOOKUP($A50,INDIRECT(Adrese!E$2),7,FALSE)</f>
        <v>0.1194690265486726</v>
      </c>
      <c r="BB50" s="4">
        <f ca="1">+VLOOKUP($A50,INDIRECT(Adrese!F$2),7,FALSE)</f>
        <v>0.13716814159292029</v>
      </c>
      <c r="BC50" s="4" t="str">
        <f t="shared" ca="1" si="9"/>
        <v>0.13 (0.02)</v>
      </c>
      <c r="BD50">
        <f t="shared" ca="1" si="23"/>
        <v>0.1309734513274336</v>
      </c>
      <c r="BE50" s="4">
        <f t="shared" ca="1" si="11"/>
        <v>1.9936071373573089E-2</v>
      </c>
      <c r="BG50" t="s">
        <v>110</v>
      </c>
      <c r="BH50" s="4">
        <f ca="1">+VLOOKUP($BG50,INDIRECT(Adrese!B$2),8,FALSE)</f>
        <v>1.7410385678374409E-2</v>
      </c>
      <c r="BI50" s="4">
        <f ca="1">+VLOOKUP($BG50,INDIRECT(Adrese!C$2),8,FALSE)</f>
        <v>1.732622939402342E-2</v>
      </c>
      <c r="BJ50" s="4">
        <f ca="1">+VLOOKUP($BG50,INDIRECT(Adrese!D$2),8,FALSE)</f>
        <v>1.695900232029952E-2</v>
      </c>
      <c r="BK50" s="4">
        <f ca="1">+VLOOKUP($BG50,INDIRECT(Adrese!E$2),8,FALSE)</f>
        <v>1.6956339438184621E-2</v>
      </c>
      <c r="BL50" s="4">
        <f ca="1">+VLOOKUP($BG50,INDIRECT(Adrese!F$2),8,FALSE)</f>
        <v>1.7336516597376419E-2</v>
      </c>
      <c r="BM50" s="4" t="str">
        <f t="shared" ca="1" si="12"/>
        <v>0.02 (0.00)</v>
      </c>
      <c r="BN50" s="4">
        <f t="shared" ca="1" si="24"/>
        <v>1.7197694685651677E-2</v>
      </c>
      <c r="BO50" s="4">
        <f t="shared" ca="1" si="14"/>
        <v>2.2150426269814397E-4</v>
      </c>
      <c r="BQ50" t="s">
        <v>110</v>
      </c>
      <c r="BR50" s="4">
        <f ca="1">+VLOOKUP($BG50,INDIRECT(Adrese!B$2),9,FALSE)</f>
        <v>8.8015866869112572E-2</v>
      </c>
      <c r="BS50" s="4">
        <f ca="1">+VLOOKUP($BG50,INDIRECT(Adrese!C$2),9,FALSE)</f>
        <v>8.8275573686500824E-2</v>
      </c>
      <c r="BT50" s="4">
        <f ca="1">+VLOOKUP($BG50,INDIRECT(Adrese!D$2),9,FALSE)</f>
        <v>8.7752778345750307E-2</v>
      </c>
      <c r="BU50" s="4">
        <f ca="1">+VLOOKUP($BG50,INDIRECT(Adrese!E$2),9,FALSE)</f>
        <v>8.7599950676358465E-2</v>
      </c>
      <c r="BV50" s="4">
        <f ca="1">+VLOOKUP($BG50,INDIRECT(Adrese!F$2),9,FALSE)</f>
        <v>8.8720578583087142E-2</v>
      </c>
      <c r="BW50" s="4" t="str">
        <f t="shared" ca="1" si="15"/>
        <v>0.09 (0.00)</v>
      </c>
      <c r="BX50" s="4">
        <f t="shared" ca="1" si="25"/>
        <v>8.8072949632161862E-2</v>
      </c>
      <c r="BY50" s="4">
        <f t="shared" ca="1" si="17"/>
        <v>4.4440293432430585E-4</v>
      </c>
    </row>
    <row r="51" spans="1:77" x14ac:dyDescent="0.25">
      <c r="A51" t="s">
        <v>111</v>
      </c>
      <c r="B51" s="11">
        <f ca="1">+VLOOKUP($A51,INDIRECT(Adrese!B$2),2,FALSE)</f>
        <v>11</v>
      </c>
      <c r="C51" s="11">
        <f ca="1">+VLOOKUP($A51,INDIRECT(Adrese!C$2),2,FALSE)</f>
        <v>11</v>
      </c>
      <c r="D51" s="11">
        <f ca="1">+VLOOKUP($A51,INDIRECT(Adrese!D$2),2,FALSE)</f>
        <v>8</v>
      </c>
      <c r="E51" s="11">
        <f ca="1">+VLOOKUP($A51,INDIRECT(Adrese!E$2),2,FALSE)</f>
        <v>6</v>
      </c>
      <c r="F51" s="11">
        <f ca="1">+VLOOKUP($A51,INDIRECT(Adrese!F$2),2,FALSE)</f>
        <v>12</v>
      </c>
      <c r="G51" s="4">
        <f t="shared" ca="1" si="18"/>
        <v>9.6</v>
      </c>
      <c r="J51" t="s">
        <v>111</v>
      </c>
      <c r="K51">
        <f ca="1">+VLOOKUP($A51,INDIRECT(Adrese!B$2),3,FALSE)</f>
        <v>95</v>
      </c>
      <c r="L51">
        <f ca="1">+VLOOKUP($A51,INDIRECT(Adrese!C$2),3,FALSE)</f>
        <v>99</v>
      </c>
      <c r="M51">
        <f ca="1">+VLOOKUP($A51,INDIRECT(Adrese!D$2),3,FALSE)</f>
        <v>108</v>
      </c>
      <c r="N51">
        <f ca="1">+VLOOKUP($A51,INDIRECT(Adrese!E$2),3,FALSE)</f>
        <v>105</v>
      </c>
      <c r="O51">
        <f ca="1">+VLOOKUP($A51,INDIRECT(Adrese!F$2),3,FALSE)</f>
        <v>116</v>
      </c>
      <c r="P51">
        <f t="shared" ca="1" si="1"/>
        <v>523</v>
      </c>
      <c r="Q51" s="4">
        <f t="shared" ca="1" si="19"/>
        <v>104.6</v>
      </c>
      <c r="R51" s="4"/>
      <c r="T51" t="s">
        <v>111</v>
      </c>
      <c r="U51">
        <f ca="1">+VLOOKUP($T51,INDIRECT(Adrese!B$2),4,FALSE)</f>
        <v>101230</v>
      </c>
      <c r="V51">
        <f ca="1">+VLOOKUP($T51,INDIRECT(Adrese!C$2),4,FALSE)</f>
        <v>101784</v>
      </c>
      <c r="W51">
        <f ca="1">+VLOOKUP($T51,INDIRECT(Adrese!D$2),4,FALSE)</f>
        <v>102376</v>
      </c>
      <c r="X51">
        <f ca="1">+VLOOKUP($T51,INDIRECT(Adrese!E$2),4,FALSE)</f>
        <v>102047</v>
      </c>
      <c r="Y51">
        <f ca="1">+VLOOKUP($T51,INDIRECT(Adrese!F$2),4,FALSE)</f>
        <v>101396</v>
      </c>
      <c r="Z51">
        <f t="shared" ca="1" si="3"/>
        <v>508833</v>
      </c>
      <c r="AA51" s="4">
        <f t="shared" ca="1" si="20"/>
        <v>101766.6</v>
      </c>
      <c r="AC51" t="s">
        <v>111</v>
      </c>
      <c r="AD51">
        <f ca="1">+VLOOKUP($A51,INDIRECT(Adrese!B$2),5,FALSE)</f>
        <v>22647</v>
      </c>
      <c r="AE51">
        <f ca="1">+VLOOKUP($A51,INDIRECT(Adrese!C$2),5,FALSE)</f>
        <v>23045</v>
      </c>
      <c r="AF51">
        <f ca="1">+VLOOKUP($A51,INDIRECT(Adrese!D$2),5,FALSE)</f>
        <v>22891</v>
      </c>
      <c r="AG51">
        <f ca="1">+VLOOKUP($A51,INDIRECT(Adrese!E$2),5,FALSE)</f>
        <v>22810</v>
      </c>
      <c r="AH51">
        <f ca="1">+VLOOKUP($A51,INDIRECT(Adrese!F$2),5,FALSE)</f>
        <v>22373</v>
      </c>
      <c r="AI51" s="4">
        <f t="shared" ca="1" si="21"/>
        <v>22753.200000000001</v>
      </c>
      <c r="AJ51" s="4"/>
      <c r="AK51" s="4"/>
      <c r="AM51" t="s">
        <v>111</v>
      </c>
      <c r="AN51" s="4">
        <f ca="1">+VLOOKUP($A51,INDIRECT(Adrese!B$2),6,FALSE)</f>
        <v>0.4971017699115044</v>
      </c>
      <c r="AO51" s="4">
        <f ca="1">+VLOOKUP($A51,INDIRECT(Adrese!C$2),6,FALSE)</f>
        <v>0.50586283185840708</v>
      </c>
      <c r="AP51" s="4">
        <f ca="1">+VLOOKUP($A51,INDIRECT(Adrese!D$2),6,FALSE)</f>
        <v>0.50249999999999995</v>
      </c>
      <c r="AQ51" s="4">
        <f ca="1">+VLOOKUP($A51,INDIRECT(Adrese!E$2),6,FALSE)</f>
        <v>0.50055309734513276</v>
      </c>
      <c r="AR51" s="4">
        <f ca="1">+VLOOKUP($A51,INDIRECT(Adrese!F$2),6,FALSE)</f>
        <v>0.4911283185840708</v>
      </c>
      <c r="AS51" s="4" t="str">
        <f t="shared" ca="1" si="6"/>
        <v>0.50 (0.01)</v>
      </c>
      <c r="AT51" s="4">
        <f t="shared" ca="1" si="22"/>
        <v>0.49942920353982301</v>
      </c>
      <c r="AU51" s="4">
        <f t="shared" ca="1" si="8"/>
        <v>5.6215242565961915E-3</v>
      </c>
      <c r="AW51" t="s">
        <v>111</v>
      </c>
      <c r="AX51" s="4">
        <f ca="1">+VLOOKUP($A51,INDIRECT(Adrese!B$2),7,FALSE)</f>
        <v>0.57964601769911506</v>
      </c>
      <c r="AY51" s="4">
        <f ca="1">+VLOOKUP($A51,INDIRECT(Adrese!C$2),7,FALSE)</f>
        <v>0.56194690265486724</v>
      </c>
      <c r="AZ51" s="4">
        <f ca="1">+VLOOKUP($A51,INDIRECT(Adrese!D$2),7,FALSE)</f>
        <v>0.52212389380530977</v>
      </c>
      <c r="BA51" s="4">
        <f ca="1">+VLOOKUP($A51,INDIRECT(Adrese!E$2),7,FALSE)</f>
        <v>0.53539823008849563</v>
      </c>
      <c r="BB51" s="4">
        <f ca="1">+VLOOKUP($A51,INDIRECT(Adrese!F$2),7,FALSE)</f>
        <v>0.48672566371681408</v>
      </c>
      <c r="BC51" s="4" t="str">
        <f t="shared" ca="1" si="9"/>
        <v>0.54 (0.04)</v>
      </c>
      <c r="BD51">
        <f t="shared" ca="1" si="23"/>
        <v>0.53716814159292037</v>
      </c>
      <c r="BE51" s="4">
        <f t="shared" ca="1" si="11"/>
        <v>3.6028677851012908E-2</v>
      </c>
      <c r="BG51" t="s">
        <v>111</v>
      </c>
      <c r="BH51" s="4">
        <f ca="1">+VLOOKUP($BG51,INDIRECT(Adrese!B$2),8,FALSE)</f>
        <v>7.6517753736866395E-2</v>
      </c>
      <c r="BI51" s="4">
        <f ca="1">+VLOOKUP($BG51,INDIRECT(Adrese!C$2),8,FALSE)</f>
        <v>7.7797765472008201E-2</v>
      </c>
      <c r="BJ51" s="4">
        <f ca="1">+VLOOKUP($BG51,INDIRECT(Adrese!D$2),8,FALSE)</f>
        <v>7.6714799921142232E-2</v>
      </c>
      <c r="BK51" s="4">
        <f ca="1">+VLOOKUP($BG51,INDIRECT(Adrese!E$2),8,FALSE)</f>
        <v>7.7162865614377185E-2</v>
      </c>
      <c r="BL51" s="4">
        <f ca="1">+VLOOKUP($BG51,INDIRECT(Adrese!F$2),8,FALSE)</f>
        <v>7.5563104906753539E-2</v>
      </c>
      <c r="BM51" s="4" t="str">
        <f t="shared" ca="1" si="12"/>
        <v>0.08 (0.00)</v>
      </c>
      <c r="BN51" s="4">
        <f t="shared" ca="1" si="24"/>
        <v>7.6751257930229508E-2</v>
      </c>
      <c r="BO51" s="4">
        <f t="shared" ca="1" si="14"/>
        <v>8.2646232863164255E-4</v>
      </c>
      <c r="BQ51" t="s">
        <v>111</v>
      </c>
      <c r="BR51" s="4">
        <f ca="1">+VLOOKUP($BG51,INDIRECT(Adrese!B$2),9,FALSE)</f>
        <v>4.6355705159655231E-2</v>
      </c>
      <c r="BS51" s="4">
        <f ca="1">+VLOOKUP($BG51,INDIRECT(Adrese!C$2),9,FALSE)</f>
        <v>4.3205632272231037E-2</v>
      </c>
      <c r="BT51" s="4">
        <f ca="1">+VLOOKUP($BG51,INDIRECT(Adrese!D$2),9,FALSE)</f>
        <v>4.2234938541170081E-2</v>
      </c>
      <c r="BU51" s="4">
        <f ca="1">+VLOOKUP($BG51,INDIRECT(Adrese!E$2),9,FALSE)</f>
        <v>4.6355702489860588E-2</v>
      </c>
      <c r="BV51" s="4">
        <f ca="1">+VLOOKUP($BG51,INDIRECT(Adrese!F$2),9,FALSE)</f>
        <v>4.9482210354740742E-2</v>
      </c>
      <c r="BW51" s="4" t="str">
        <f t="shared" ca="1" si="15"/>
        <v>0.05 (0.00)</v>
      </c>
      <c r="BX51" s="4">
        <f t="shared" ca="1" si="25"/>
        <v>4.5526837763531537E-2</v>
      </c>
      <c r="BY51" s="4">
        <f t="shared" ca="1" si="17"/>
        <v>2.8828634052459885E-3</v>
      </c>
    </row>
    <row r="52" spans="1:77" x14ac:dyDescent="0.25">
      <c r="A52" t="s">
        <v>112</v>
      </c>
      <c r="B52" s="11">
        <f ca="1">+VLOOKUP($A52,INDIRECT(Adrese!B$2),2,FALSE)</f>
        <v>145</v>
      </c>
      <c r="C52" s="11">
        <f ca="1">+VLOOKUP($A52,INDIRECT(Adrese!C$2),2,FALSE)</f>
        <v>163</v>
      </c>
      <c r="D52" s="11">
        <f ca="1">+VLOOKUP($A52,INDIRECT(Adrese!D$2),2,FALSE)</f>
        <v>157</v>
      </c>
      <c r="E52" s="11">
        <f ca="1">+VLOOKUP($A52,INDIRECT(Adrese!E$2),2,FALSE)</f>
        <v>137</v>
      </c>
      <c r="F52" s="11">
        <f ca="1">+VLOOKUP($A52,INDIRECT(Adrese!F$2),2,FALSE)</f>
        <v>154</v>
      </c>
      <c r="G52" s="4">
        <f t="shared" ca="1" si="18"/>
        <v>151.19999999999999</v>
      </c>
      <c r="J52" t="s">
        <v>112</v>
      </c>
      <c r="K52">
        <f ca="1">+VLOOKUP($A52,INDIRECT(Adrese!B$2),3,FALSE)</f>
        <v>88</v>
      </c>
      <c r="L52">
        <f ca="1">+VLOOKUP($A52,INDIRECT(Adrese!C$2),3,FALSE)</f>
        <v>84</v>
      </c>
      <c r="M52">
        <f ca="1">+VLOOKUP($A52,INDIRECT(Adrese!D$2),3,FALSE)</f>
        <v>86</v>
      </c>
      <c r="N52">
        <f ca="1">+VLOOKUP($A52,INDIRECT(Adrese!E$2),3,FALSE)</f>
        <v>86</v>
      </c>
      <c r="O52">
        <f ca="1">+VLOOKUP($A52,INDIRECT(Adrese!F$2),3,FALSE)</f>
        <v>92</v>
      </c>
      <c r="P52">
        <f t="shared" ca="1" si="1"/>
        <v>436</v>
      </c>
      <c r="Q52" s="4">
        <f t="shared" ca="1" si="19"/>
        <v>87.2</v>
      </c>
      <c r="R52" s="4"/>
      <c r="T52" t="s">
        <v>112</v>
      </c>
      <c r="U52">
        <f ca="1">+VLOOKUP($T52,INDIRECT(Adrese!B$2),4,FALSE)</f>
        <v>93723</v>
      </c>
      <c r="V52">
        <f ca="1">+VLOOKUP($T52,INDIRECT(Adrese!C$2),4,FALSE)</f>
        <v>92805</v>
      </c>
      <c r="W52">
        <f ca="1">+VLOOKUP($T52,INDIRECT(Adrese!D$2),4,FALSE)</f>
        <v>93108</v>
      </c>
      <c r="X52">
        <f ca="1">+VLOOKUP($T52,INDIRECT(Adrese!E$2),4,FALSE)</f>
        <v>94244</v>
      </c>
      <c r="Y52">
        <f ca="1">+VLOOKUP($T52,INDIRECT(Adrese!F$2),4,FALSE)</f>
        <v>93369</v>
      </c>
      <c r="Z52">
        <f t="shared" ca="1" si="3"/>
        <v>467249</v>
      </c>
      <c r="AA52" s="4">
        <f t="shared" ca="1" si="20"/>
        <v>93449.8</v>
      </c>
      <c r="AC52" t="s">
        <v>112</v>
      </c>
      <c r="AD52">
        <f ca="1">+VLOOKUP($A52,INDIRECT(Adrese!B$2),5,FALSE)</f>
        <v>22760</v>
      </c>
      <c r="AE52">
        <f ca="1">+VLOOKUP($A52,INDIRECT(Adrese!C$2),5,FALSE)</f>
        <v>22668</v>
      </c>
      <c r="AF52">
        <f ca="1">+VLOOKUP($A52,INDIRECT(Adrese!D$2),5,FALSE)</f>
        <v>22450</v>
      </c>
      <c r="AG52">
        <f ca="1">+VLOOKUP($A52,INDIRECT(Adrese!E$2),5,FALSE)</f>
        <v>22887</v>
      </c>
      <c r="AH52">
        <f ca="1">+VLOOKUP($A52,INDIRECT(Adrese!F$2),5,FALSE)</f>
        <v>22656</v>
      </c>
      <c r="AI52" s="4">
        <f t="shared" ca="1" si="21"/>
        <v>22684.2</v>
      </c>
      <c r="AJ52" s="4"/>
      <c r="AK52" s="4"/>
      <c r="AM52" t="s">
        <v>112</v>
      </c>
      <c r="AN52" s="4">
        <f ca="1">+VLOOKUP($A52,INDIRECT(Adrese!B$2),6,FALSE)</f>
        <v>0.50106194690265482</v>
      </c>
      <c r="AO52" s="4">
        <f ca="1">+VLOOKUP($A52,INDIRECT(Adrese!C$2),6,FALSE)</f>
        <v>0.49880530973451331</v>
      </c>
      <c r="AP52" s="4">
        <f ca="1">+VLOOKUP($A52,INDIRECT(Adrese!D$2),6,FALSE)</f>
        <v>0.49484513274336278</v>
      </c>
      <c r="AQ52" s="4">
        <f ca="1">+VLOOKUP($A52,INDIRECT(Adrese!E$2),6,FALSE)</f>
        <v>0.50367256637168145</v>
      </c>
      <c r="AR52" s="4">
        <f ca="1">+VLOOKUP($A52,INDIRECT(Adrese!F$2),6,FALSE)</f>
        <v>0.49831858407079638</v>
      </c>
      <c r="AS52" s="4" t="str">
        <f t="shared" ca="1" si="6"/>
        <v>0.50 (0.00)</v>
      </c>
      <c r="AT52" s="4">
        <f t="shared" ca="1" si="22"/>
        <v>0.49934070796460173</v>
      </c>
      <c r="AU52" s="4">
        <f t="shared" ca="1" si="8"/>
        <v>3.2889681447889033E-3</v>
      </c>
      <c r="AW52" t="s">
        <v>112</v>
      </c>
      <c r="AX52" s="4">
        <f ca="1">+VLOOKUP($A52,INDIRECT(Adrese!B$2),7,FALSE)</f>
        <v>0.61061946902654862</v>
      </c>
      <c r="AY52" s="4">
        <f ca="1">+VLOOKUP($A52,INDIRECT(Adrese!C$2),7,FALSE)</f>
        <v>0.62831858407079644</v>
      </c>
      <c r="AZ52" s="4">
        <f ca="1">+VLOOKUP($A52,INDIRECT(Adrese!D$2),7,FALSE)</f>
        <v>0.61946902654867253</v>
      </c>
      <c r="BA52" s="4">
        <f ca="1">+VLOOKUP($A52,INDIRECT(Adrese!E$2),7,FALSE)</f>
        <v>0.61946902654867253</v>
      </c>
      <c r="BB52" s="4">
        <f ca="1">+VLOOKUP($A52,INDIRECT(Adrese!F$2),7,FALSE)</f>
        <v>0.59292035398230092</v>
      </c>
      <c r="BC52" s="4" t="str">
        <f t="shared" ca="1" si="9"/>
        <v>0.61 (0.01)</v>
      </c>
      <c r="BD52">
        <f t="shared" ca="1" si="23"/>
        <v>0.61415929203539821</v>
      </c>
      <c r="BE52" s="4">
        <f t="shared" ca="1" si="11"/>
        <v>1.3421018485046969E-2</v>
      </c>
      <c r="BG52" t="s">
        <v>112</v>
      </c>
      <c r="BH52" s="4">
        <f ca="1">+VLOOKUP($BG52,INDIRECT(Adrese!B$2),8,FALSE)</f>
        <v>6.767637843205393E-2</v>
      </c>
      <c r="BI52" s="4">
        <f ca="1">+VLOOKUP($BG52,INDIRECT(Adrese!C$2),8,FALSE)</f>
        <v>6.760871007643407E-2</v>
      </c>
      <c r="BJ52" s="4">
        <f ca="1">+VLOOKUP($BG52,INDIRECT(Adrese!D$2),8,FALSE)</f>
        <v>6.6880111359843522E-2</v>
      </c>
      <c r="BK52" s="4">
        <f ca="1">+VLOOKUP($BG52,INDIRECT(Adrese!E$2),8,FALSE)</f>
        <v>6.8296620398771837E-2</v>
      </c>
      <c r="BL52" s="4">
        <f ca="1">+VLOOKUP($BG52,INDIRECT(Adrese!F$2),8,FALSE)</f>
        <v>6.7241459575421478E-2</v>
      </c>
      <c r="BM52" s="4" t="str">
        <f t="shared" ca="1" si="12"/>
        <v>0.07 (0.00)</v>
      </c>
      <c r="BN52" s="4">
        <f t="shared" ca="1" si="24"/>
        <v>6.7540655968504976E-2</v>
      </c>
      <c r="BO52" s="4">
        <f t="shared" ca="1" si="14"/>
        <v>5.2923809155530621E-4</v>
      </c>
      <c r="BQ52" t="s">
        <v>112</v>
      </c>
      <c r="BR52" s="4">
        <f ca="1">+VLOOKUP($BG52,INDIRECT(Adrese!B$2),9,FALSE)</f>
        <v>1.8986925355755389E-2</v>
      </c>
      <c r="BS52" s="4">
        <f ca="1">+VLOOKUP($BG52,INDIRECT(Adrese!C$2),9,FALSE)</f>
        <v>2.0881501503229111E-2</v>
      </c>
      <c r="BT52" s="4">
        <f ca="1">+VLOOKUP($BG52,INDIRECT(Adrese!D$2),9,FALSE)</f>
        <v>1.9783162913103822E-2</v>
      </c>
      <c r="BU52" s="4">
        <f ca="1">+VLOOKUP($BG52,INDIRECT(Adrese!E$2),9,FALSE)</f>
        <v>2.126617867220431E-2</v>
      </c>
      <c r="BV52" s="4">
        <f ca="1">+VLOOKUP($BG52,INDIRECT(Adrese!F$2),9,FALSE)</f>
        <v>2.0841156492608721E-2</v>
      </c>
      <c r="BW52" s="4" t="str">
        <f t="shared" ca="1" si="15"/>
        <v>0.02 (0.00)</v>
      </c>
      <c r="BX52" s="4">
        <f t="shared" ca="1" si="25"/>
        <v>2.0351784987380269E-2</v>
      </c>
      <c r="BY52" s="4">
        <f t="shared" ca="1" si="17"/>
        <v>9.4105960830495985E-4</v>
      </c>
    </row>
    <row r="53" spans="1:77" x14ac:dyDescent="0.25">
      <c r="A53" t="s">
        <v>113</v>
      </c>
      <c r="B53" s="11">
        <f ca="1">+VLOOKUP($A53,INDIRECT(Adrese!B$2),2,FALSE)</f>
        <v>15</v>
      </c>
      <c r="C53" s="11">
        <f ca="1">+VLOOKUP($A53,INDIRECT(Adrese!C$2),2,FALSE)</f>
        <v>18</v>
      </c>
      <c r="D53" s="11">
        <f ca="1">+VLOOKUP($A53,INDIRECT(Adrese!D$2),2,FALSE)</f>
        <v>30</v>
      </c>
      <c r="E53" s="11">
        <f ca="1">+VLOOKUP($A53,INDIRECT(Adrese!E$2),2,FALSE)</f>
        <v>24</v>
      </c>
      <c r="F53" s="11">
        <f ca="1">+VLOOKUP($A53,INDIRECT(Adrese!F$2),2,FALSE)</f>
        <v>20</v>
      </c>
      <c r="G53" s="4">
        <f t="shared" ca="1" si="18"/>
        <v>21.4</v>
      </c>
      <c r="J53" t="s">
        <v>113</v>
      </c>
      <c r="K53">
        <f ca="1">+VLOOKUP($A53,INDIRECT(Adrese!B$2),3,FALSE)</f>
        <v>162</v>
      </c>
      <c r="L53">
        <f ca="1">+VLOOKUP($A53,INDIRECT(Adrese!C$2),3,FALSE)</f>
        <v>153</v>
      </c>
      <c r="M53">
        <f ca="1">+VLOOKUP($A53,INDIRECT(Adrese!D$2),3,FALSE)</f>
        <v>157</v>
      </c>
      <c r="N53">
        <f ca="1">+VLOOKUP($A53,INDIRECT(Adrese!E$2),3,FALSE)</f>
        <v>156</v>
      </c>
      <c r="O53">
        <f ca="1">+VLOOKUP($A53,INDIRECT(Adrese!F$2),3,FALSE)</f>
        <v>157</v>
      </c>
      <c r="P53">
        <f t="shared" ca="1" si="1"/>
        <v>785</v>
      </c>
      <c r="Q53" s="4">
        <f t="shared" ca="1" si="19"/>
        <v>157</v>
      </c>
      <c r="R53" s="4"/>
      <c r="T53" t="s">
        <v>113</v>
      </c>
      <c r="U53">
        <f ca="1">+VLOOKUP($T53,INDIRECT(Adrese!B$2),4,FALSE)</f>
        <v>100819</v>
      </c>
      <c r="V53">
        <f ca="1">+VLOOKUP($T53,INDIRECT(Adrese!C$2),4,FALSE)</f>
        <v>100003</v>
      </c>
      <c r="W53">
        <f ca="1">+VLOOKUP($T53,INDIRECT(Adrese!D$2),4,FALSE)</f>
        <v>98542</v>
      </c>
      <c r="X53">
        <f ca="1">+VLOOKUP($T53,INDIRECT(Adrese!E$2),4,FALSE)</f>
        <v>99575</v>
      </c>
      <c r="Y53">
        <f ca="1">+VLOOKUP($T53,INDIRECT(Adrese!F$2),4,FALSE)</f>
        <v>100072</v>
      </c>
      <c r="Z53">
        <f t="shared" ca="1" si="3"/>
        <v>499011</v>
      </c>
      <c r="AA53" s="4">
        <f t="shared" ca="1" si="20"/>
        <v>99802.2</v>
      </c>
      <c r="AC53" t="s">
        <v>113</v>
      </c>
      <c r="AD53">
        <f ca="1">+VLOOKUP($A53,INDIRECT(Adrese!B$2),5,FALSE)</f>
        <v>15241</v>
      </c>
      <c r="AE53">
        <f ca="1">+VLOOKUP($A53,INDIRECT(Adrese!C$2),5,FALSE)</f>
        <v>15642</v>
      </c>
      <c r="AF53">
        <f ca="1">+VLOOKUP($A53,INDIRECT(Adrese!D$2),5,FALSE)</f>
        <v>15352</v>
      </c>
      <c r="AG53">
        <f ca="1">+VLOOKUP($A53,INDIRECT(Adrese!E$2),5,FALSE)</f>
        <v>15779</v>
      </c>
      <c r="AH53">
        <f ca="1">+VLOOKUP($A53,INDIRECT(Adrese!F$2),5,FALSE)</f>
        <v>15731</v>
      </c>
      <c r="AI53" s="4">
        <f t="shared" ca="1" si="21"/>
        <v>15549</v>
      </c>
      <c r="AJ53" s="4"/>
      <c r="AK53" s="4"/>
      <c r="AM53" t="s">
        <v>113</v>
      </c>
      <c r="AN53" s="4">
        <f ca="1">+VLOOKUP($A53,INDIRECT(Adrese!B$2),6,FALSE)</f>
        <v>0.333141592920354</v>
      </c>
      <c r="AO53" s="4">
        <f ca="1">+VLOOKUP($A53,INDIRECT(Adrese!C$2),6,FALSE)</f>
        <v>0.34546460176991151</v>
      </c>
      <c r="AP53" s="4">
        <f ca="1">+VLOOKUP($A53,INDIRECT(Adrese!D$2),6,FALSE)</f>
        <v>0.33557522123893813</v>
      </c>
      <c r="AQ53" s="4">
        <f ca="1">+VLOOKUP($A53,INDIRECT(Adrese!E$2),6,FALSE)</f>
        <v>0.34495575221238939</v>
      </c>
      <c r="AR53" s="4">
        <f ca="1">+VLOOKUP($A53,INDIRECT(Adrese!F$2),6,FALSE)</f>
        <v>0.3441150442477876</v>
      </c>
      <c r="AS53" s="4" t="str">
        <f t="shared" ca="1" si="6"/>
        <v>0.34 (0.01)</v>
      </c>
      <c r="AT53" s="4">
        <f t="shared" ca="1" si="22"/>
        <v>0.34065044247787613</v>
      </c>
      <c r="AU53" s="4">
        <f t="shared" ca="1" si="8"/>
        <v>5.8278636592864492E-3</v>
      </c>
      <c r="AW53" t="s">
        <v>113</v>
      </c>
      <c r="AX53" s="4">
        <f ca="1">+VLOOKUP($A53,INDIRECT(Adrese!B$2),7,FALSE)</f>
        <v>0.2831858407079646</v>
      </c>
      <c r="AY53" s="4">
        <f ca="1">+VLOOKUP($A53,INDIRECT(Adrese!C$2),7,FALSE)</f>
        <v>0.32300884955752213</v>
      </c>
      <c r="AZ53" s="4">
        <f ca="1">+VLOOKUP($A53,INDIRECT(Adrese!D$2),7,FALSE)</f>
        <v>0.30530973451327431</v>
      </c>
      <c r="BA53" s="4">
        <f ca="1">+VLOOKUP($A53,INDIRECT(Adrese!E$2),7,FALSE)</f>
        <v>0.30973451327433632</v>
      </c>
      <c r="BB53" s="4">
        <f ca="1">+VLOOKUP($A53,INDIRECT(Adrese!F$2),7,FALSE)</f>
        <v>0.30530973451327431</v>
      </c>
      <c r="BC53" s="4" t="str">
        <f t="shared" ca="1" si="9"/>
        <v>0.31 (0.01)</v>
      </c>
      <c r="BD53">
        <f t="shared" ca="1" si="23"/>
        <v>0.30530973451327431</v>
      </c>
      <c r="BE53" s="4">
        <f t="shared" ca="1" si="11"/>
        <v>1.4337921899132439E-2</v>
      </c>
      <c r="BG53" t="s">
        <v>113</v>
      </c>
      <c r="BH53" s="4">
        <f ca="1">+VLOOKUP($BG53,INDIRECT(Adrese!B$2),8,FALSE)</f>
        <v>5.1578457808079008E-2</v>
      </c>
      <c r="BI53" s="4">
        <f ca="1">+VLOOKUP($BG53,INDIRECT(Adrese!C$2),8,FALSE)</f>
        <v>5.2956155554405082E-2</v>
      </c>
      <c r="BJ53" s="4">
        <f ca="1">+VLOOKUP($BG53,INDIRECT(Adrese!D$2),8,FALSE)</f>
        <v>5.287163440563436E-2</v>
      </c>
      <c r="BK53" s="4">
        <f ca="1">+VLOOKUP($BG53,INDIRECT(Adrese!E$2),8,FALSE)</f>
        <v>5.4366814972658037E-2</v>
      </c>
      <c r="BL53" s="4">
        <f ca="1">+VLOOKUP($BG53,INDIRECT(Adrese!F$2),8,FALSE)</f>
        <v>5.3495240470340627E-2</v>
      </c>
      <c r="BM53" s="4" t="str">
        <f t="shared" ca="1" si="12"/>
        <v>0.05 (0.00)</v>
      </c>
      <c r="BN53" s="4">
        <f t="shared" ca="1" si="24"/>
        <v>5.305366064222343E-2</v>
      </c>
      <c r="BO53" s="4">
        <f t="shared" ca="1" si="14"/>
        <v>1.0171321491040575E-3</v>
      </c>
      <c r="BQ53" t="s">
        <v>113</v>
      </c>
      <c r="BR53" s="4">
        <f ca="1">+VLOOKUP($BG53,INDIRECT(Adrese!B$2),9,FALSE)</f>
        <v>7.8040234881938897E-2</v>
      </c>
      <c r="BS53" s="4">
        <f ca="1">+VLOOKUP($BG53,INDIRECT(Adrese!C$2),9,FALSE)</f>
        <v>7.280204312520204E-2</v>
      </c>
      <c r="BT53" s="4">
        <f ca="1">+VLOOKUP($BG53,INDIRECT(Adrese!D$2),9,FALSE)</f>
        <v>8.0699585373328817E-2</v>
      </c>
      <c r="BU53" s="4">
        <f ca="1">+VLOOKUP($BG53,INDIRECT(Adrese!E$2),9,FALSE)</f>
        <v>8.3572585111945721E-2</v>
      </c>
      <c r="BV53" s="4">
        <f ca="1">+VLOOKUP($BG53,INDIRECT(Adrese!F$2),9,FALSE)</f>
        <v>7.6079204736571177E-2</v>
      </c>
      <c r="BW53" s="4" t="str">
        <f t="shared" ca="1" si="15"/>
        <v>0.08 (0.00)</v>
      </c>
      <c r="BX53" s="4">
        <f t="shared" ca="1" si="25"/>
        <v>7.8238730645797339E-2</v>
      </c>
      <c r="BY53" s="4">
        <f t="shared" ca="1" si="17"/>
        <v>4.1462734284400055E-3</v>
      </c>
    </row>
    <row r="54" spans="1:77" x14ac:dyDescent="0.25">
      <c r="A54" t="s">
        <v>11</v>
      </c>
      <c r="B54" s="11">
        <f ca="1">+VLOOKUP($A54,INDIRECT(Adrese!B$2),2,FALSE)</f>
        <v>69</v>
      </c>
      <c r="C54" s="11">
        <f ca="1">+VLOOKUP($A54,INDIRECT(Adrese!C$2),2,FALSE)</f>
        <v>83</v>
      </c>
      <c r="D54" s="11">
        <f ca="1">+VLOOKUP($A54,INDIRECT(Adrese!D$2),2,FALSE)</f>
        <v>63</v>
      </c>
      <c r="E54" s="11">
        <f ca="1">+VLOOKUP($A54,INDIRECT(Adrese!E$2),2,FALSE)</f>
        <v>41</v>
      </c>
      <c r="F54" s="11">
        <f ca="1">+VLOOKUP($A54,INDIRECT(Adrese!F$2),2,FALSE)</f>
        <v>32</v>
      </c>
      <c r="G54" s="4">
        <f t="shared" ca="1" si="18"/>
        <v>57.6</v>
      </c>
      <c r="J54" t="s">
        <v>11</v>
      </c>
      <c r="K54">
        <f ca="1">+VLOOKUP($A54,INDIRECT(Adrese!B$2),3,FALSE)</f>
        <v>198</v>
      </c>
      <c r="L54">
        <f ca="1">+VLOOKUP($A54,INDIRECT(Adrese!C$2),3,FALSE)</f>
        <v>198</v>
      </c>
      <c r="M54">
        <f ca="1">+VLOOKUP($A54,INDIRECT(Adrese!D$2),3,FALSE)</f>
        <v>199</v>
      </c>
      <c r="N54">
        <f ca="1">+VLOOKUP($A54,INDIRECT(Adrese!E$2),3,FALSE)</f>
        <v>196</v>
      </c>
      <c r="O54">
        <f ca="1">+VLOOKUP($A54,INDIRECT(Adrese!F$2),3,FALSE)</f>
        <v>196</v>
      </c>
      <c r="P54">
        <f t="shared" ca="1" si="1"/>
        <v>987</v>
      </c>
      <c r="Q54" s="4">
        <f t="shared" ca="1" si="19"/>
        <v>197.4</v>
      </c>
      <c r="R54" s="4"/>
      <c r="T54" t="s">
        <v>11</v>
      </c>
      <c r="U54">
        <f ca="1">+VLOOKUP($T54,INDIRECT(Adrese!B$2),4,FALSE)</f>
        <v>96731</v>
      </c>
      <c r="V54">
        <f ca="1">+VLOOKUP($T54,INDIRECT(Adrese!C$2),4,FALSE)</f>
        <v>96033</v>
      </c>
      <c r="W54">
        <f ca="1">+VLOOKUP($T54,INDIRECT(Adrese!D$2),4,FALSE)</f>
        <v>96887</v>
      </c>
      <c r="X54">
        <f ca="1">+VLOOKUP($T54,INDIRECT(Adrese!E$2),4,FALSE)</f>
        <v>98120</v>
      </c>
      <c r="Y54">
        <f ca="1">+VLOOKUP($T54,INDIRECT(Adrese!F$2),4,FALSE)</f>
        <v>98939</v>
      </c>
      <c r="Z54">
        <f t="shared" ca="1" si="3"/>
        <v>486710</v>
      </c>
      <c r="AA54" s="4">
        <f t="shared" ca="1" si="20"/>
        <v>97342</v>
      </c>
      <c r="AC54" t="s">
        <v>11</v>
      </c>
      <c r="AD54">
        <f ca="1">+VLOOKUP($A54,INDIRECT(Adrese!B$2),5,FALSE)</f>
        <v>5610</v>
      </c>
      <c r="AE54">
        <f ca="1">+VLOOKUP($A54,INDIRECT(Adrese!C$2),5,FALSE)</f>
        <v>5406</v>
      </c>
      <c r="AF54">
        <f ca="1">+VLOOKUP($A54,INDIRECT(Adrese!D$2),5,FALSE)</f>
        <v>5390</v>
      </c>
      <c r="AG54">
        <f ca="1">+VLOOKUP($A54,INDIRECT(Adrese!E$2),5,FALSE)</f>
        <v>5517</v>
      </c>
      <c r="AH54">
        <f ca="1">+VLOOKUP($A54,INDIRECT(Adrese!F$2),5,FALSE)</f>
        <v>5537</v>
      </c>
      <c r="AI54" s="4">
        <f t="shared" ca="1" si="21"/>
        <v>5492</v>
      </c>
      <c r="AJ54" s="4"/>
      <c r="AK54" s="4"/>
      <c r="AM54" t="s">
        <v>11</v>
      </c>
      <c r="AN54" s="4">
        <f ca="1">+VLOOKUP($A54,INDIRECT(Adrese!B$2),6,FALSE)</f>
        <v>0.12353982300884959</v>
      </c>
      <c r="AO54" s="4">
        <f ca="1">+VLOOKUP($A54,INDIRECT(Adrese!C$2),6,FALSE)</f>
        <v>0.1191150442477876</v>
      </c>
      <c r="AP54" s="4">
        <f ca="1">+VLOOKUP($A54,INDIRECT(Adrese!D$2),6,FALSE)</f>
        <v>0.11869469026548669</v>
      </c>
      <c r="AQ54" s="4">
        <f ca="1">+VLOOKUP($A54,INDIRECT(Adrese!E$2),6,FALSE)</f>
        <v>0.121570796460177</v>
      </c>
      <c r="AR54" s="4">
        <f ca="1">+VLOOKUP($A54,INDIRECT(Adrese!F$2),6,FALSE)</f>
        <v>0.121858407079646</v>
      </c>
      <c r="AS54" s="4" t="str">
        <f t="shared" ca="1" si="6"/>
        <v>0.12 (0.00)</v>
      </c>
      <c r="AT54" s="4">
        <f t="shared" ca="1" si="22"/>
        <v>0.12095575221238937</v>
      </c>
      <c r="AU54" s="4">
        <f t="shared" ca="1" si="8"/>
        <v>2.0230604326068112E-3</v>
      </c>
      <c r="AW54" t="s">
        <v>11</v>
      </c>
      <c r="AX54" s="4">
        <f ca="1">+VLOOKUP($A54,INDIRECT(Adrese!B$2),7,FALSE)</f>
        <v>0.1238938053097345</v>
      </c>
      <c r="AY54" s="4">
        <f ca="1">+VLOOKUP($A54,INDIRECT(Adrese!C$2),7,FALSE)</f>
        <v>0.1238938053097345</v>
      </c>
      <c r="AZ54" s="4">
        <f ca="1">+VLOOKUP($A54,INDIRECT(Adrese!D$2),7,FALSE)</f>
        <v>0.1194690265486726</v>
      </c>
      <c r="BA54" s="4">
        <f ca="1">+VLOOKUP($A54,INDIRECT(Adrese!E$2),7,FALSE)</f>
        <v>0.13274336283185839</v>
      </c>
      <c r="BB54" s="4">
        <f ca="1">+VLOOKUP($A54,INDIRECT(Adrese!F$2),7,FALSE)</f>
        <v>0.13274336283185839</v>
      </c>
      <c r="BC54" s="4" t="str">
        <f t="shared" ca="1" si="9"/>
        <v>0.13 (0.01)</v>
      </c>
      <c r="BD54">
        <f t="shared" ca="1" si="23"/>
        <v>0.12654867256637167</v>
      </c>
      <c r="BE54" s="4">
        <f t="shared" ca="1" si="11"/>
        <v>5.9364636570790729E-3</v>
      </c>
      <c r="BG54" t="s">
        <v>11</v>
      </c>
      <c r="BH54" s="4">
        <f ca="1">+VLOOKUP($BG54,INDIRECT(Adrese!B$2),8,FALSE)</f>
        <v>1.5873119310255718E-2</v>
      </c>
      <c r="BI54" s="4">
        <f ca="1">+VLOOKUP($BG54,INDIRECT(Adrese!C$2),8,FALSE)</f>
        <v>1.532350019049407E-2</v>
      </c>
      <c r="BJ54" s="4">
        <f ca="1">+VLOOKUP($BG54,INDIRECT(Adrese!D$2),8,FALSE)</f>
        <v>1.510972244807781E-2</v>
      </c>
      <c r="BK54" s="4">
        <f ca="1">+VLOOKUP($BG54,INDIRECT(Adrese!E$2),8,FALSE)</f>
        <v>1.548951230616475E-2</v>
      </c>
      <c r="BL54" s="4">
        <f ca="1">+VLOOKUP($BG54,INDIRECT(Adrese!F$2),8,FALSE)</f>
        <v>1.551864995313001E-2</v>
      </c>
      <c r="BM54" s="4" t="str">
        <f t="shared" ca="1" si="12"/>
        <v>0.02 (0.00)</v>
      </c>
      <c r="BN54" s="4">
        <f t="shared" ca="1" si="24"/>
        <v>1.5462900841624471E-2</v>
      </c>
      <c r="BO54" s="4">
        <f t="shared" ca="1" si="14"/>
        <v>2.8118625708264131E-4</v>
      </c>
      <c r="BQ54" t="s">
        <v>11</v>
      </c>
      <c r="BR54" s="4">
        <f ca="1">+VLOOKUP($BG54,INDIRECT(Adrese!B$2),9,FALSE)</f>
        <v>8.9882080707295808E-2</v>
      </c>
      <c r="BS54" s="4">
        <f ca="1">+VLOOKUP($BG54,INDIRECT(Adrese!C$2),9,FALSE)</f>
        <v>9.1815438851050077E-2</v>
      </c>
      <c r="BT54" s="4">
        <f ca="1">+VLOOKUP($BG54,INDIRECT(Adrese!D$2),9,FALSE)</f>
        <v>9.0040830947771613E-2</v>
      </c>
      <c r="BU54" s="4">
        <f ca="1">+VLOOKUP($BG54,INDIRECT(Adrese!E$2),9,FALSE)</f>
        <v>9.0423298126344753E-2</v>
      </c>
      <c r="BV54" s="4">
        <f ca="1">+VLOOKUP($BG54,INDIRECT(Adrese!F$2),9,FALSE)</f>
        <v>9.0245585631559017E-2</v>
      </c>
      <c r="BW54" s="4" t="str">
        <f t="shared" ca="1" si="15"/>
        <v>0.09 (0.00)</v>
      </c>
      <c r="BX54" s="4">
        <f t="shared" ca="1" si="25"/>
        <v>9.0481446852804265E-2</v>
      </c>
      <c r="BY54" s="4">
        <f t="shared" ca="1" si="17"/>
        <v>7.7329305467096761E-4</v>
      </c>
    </row>
    <row r="55" spans="1:77" x14ac:dyDescent="0.25">
      <c r="A55" t="s">
        <v>114</v>
      </c>
      <c r="B55" s="11">
        <f ca="1">+VLOOKUP($A55,INDIRECT(Adrese!B$2),2,FALSE)</f>
        <v>55</v>
      </c>
      <c r="C55" s="11">
        <f ca="1">+VLOOKUP($A55,INDIRECT(Adrese!C$2),2,FALSE)</f>
        <v>57</v>
      </c>
      <c r="D55" s="11">
        <f ca="1">+VLOOKUP($A55,INDIRECT(Adrese!D$2),2,FALSE)</f>
        <v>65</v>
      </c>
      <c r="E55" s="11">
        <f ca="1">+VLOOKUP($A55,INDIRECT(Adrese!E$2),2,FALSE)</f>
        <v>53</v>
      </c>
      <c r="F55" s="11">
        <f ca="1">+VLOOKUP($A55,INDIRECT(Adrese!F$2),2,FALSE)</f>
        <v>65</v>
      </c>
      <c r="G55" s="4">
        <f t="shared" ca="1" si="18"/>
        <v>59</v>
      </c>
      <c r="J55" t="s">
        <v>114</v>
      </c>
      <c r="K55">
        <f ca="1">+VLOOKUP($A55,INDIRECT(Adrese!B$2),3,FALSE)</f>
        <v>180</v>
      </c>
      <c r="L55">
        <f ca="1">+VLOOKUP($A55,INDIRECT(Adrese!C$2),3,FALSE)</f>
        <v>184</v>
      </c>
      <c r="M55">
        <f ca="1">+VLOOKUP($A55,INDIRECT(Adrese!D$2),3,FALSE)</f>
        <v>179</v>
      </c>
      <c r="N55">
        <f ca="1">+VLOOKUP($A55,INDIRECT(Adrese!E$2),3,FALSE)</f>
        <v>183</v>
      </c>
      <c r="O55">
        <f ca="1">+VLOOKUP($A55,INDIRECT(Adrese!F$2),3,FALSE)</f>
        <v>177</v>
      </c>
      <c r="P55">
        <f t="shared" ca="1" si="1"/>
        <v>903</v>
      </c>
      <c r="Q55" s="4">
        <f t="shared" ca="1" si="19"/>
        <v>180.6</v>
      </c>
      <c r="R55" s="4"/>
      <c r="T55" t="s">
        <v>114</v>
      </c>
      <c r="U55">
        <f ca="1">+VLOOKUP($T55,INDIRECT(Adrese!B$2),4,FALSE)</f>
        <v>97333</v>
      </c>
      <c r="V55">
        <f ca="1">+VLOOKUP($T55,INDIRECT(Adrese!C$2),4,FALSE)</f>
        <v>97106</v>
      </c>
      <c r="W55">
        <f ca="1">+VLOOKUP($T55,INDIRECT(Adrese!D$2),4,FALSE)</f>
        <v>96839</v>
      </c>
      <c r="X55">
        <f ca="1">+VLOOKUP($T55,INDIRECT(Adrese!E$2),4,FALSE)</f>
        <v>97376</v>
      </c>
      <c r="Y55">
        <f ca="1">+VLOOKUP($T55,INDIRECT(Adrese!F$2),4,FALSE)</f>
        <v>96956</v>
      </c>
      <c r="Z55">
        <f t="shared" ca="1" si="3"/>
        <v>485610</v>
      </c>
      <c r="AA55" s="4">
        <f t="shared" ca="1" si="20"/>
        <v>97122</v>
      </c>
      <c r="AC55" t="s">
        <v>114</v>
      </c>
      <c r="AD55">
        <f ca="1">+VLOOKUP($A55,INDIRECT(Adrese!B$2),5,FALSE)</f>
        <v>9351</v>
      </c>
      <c r="AE55">
        <f ca="1">+VLOOKUP($A55,INDIRECT(Adrese!C$2),5,FALSE)</f>
        <v>9444</v>
      </c>
      <c r="AF55">
        <f ca="1">+VLOOKUP($A55,INDIRECT(Adrese!D$2),5,FALSE)</f>
        <v>9291</v>
      </c>
      <c r="AG55">
        <f ca="1">+VLOOKUP($A55,INDIRECT(Adrese!E$2),5,FALSE)</f>
        <v>9293</v>
      </c>
      <c r="AH55">
        <f ca="1">+VLOOKUP($A55,INDIRECT(Adrese!F$2),5,FALSE)</f>
        <v>9342</v>
      </c>
      <c r="AI55" s="4">
        <f t="shared" ca="1" si="21"/>
        <v>9344.2000000000007</v>
      </c>
      <c r="AJ55" s="4"/>
      <c r="AK55" s="4"/>
      <c r="AM55" t="s">
        <v>114</v>
      </c>
      <c r="AN55" s="4">
        <f ca="1">+VLOOKUP($A55,INDIRECT(Adrese!B$2),6,FALSE)</f>
        <v>0.2060398230088496</v>
      </c>
      <c r="AO55" s="4">
        <f ca="1">+VLOOKUP($A55,INDIRECT(Adrese!C$2),6,FALSE)</f>
        <v>0.20827433628318581</v>
      </c>
      <c r="AP55" s="4">
        <f ca="1">+VLOOKUP($A55,INDIRECT(Adrese!D$2),6,FALSE)</f>
        <v>0.20482300884955751</v>
      </c>
      <c r="AQ55" s="4">
        <f ca="1">+VLOOKUP($A55,INDIRECT(Adrese!E$2),6,FALSE)</f>
        <v>0.20486725663716809</v>
      </c>
      <c r="AR55" s="4">
        <f ca="1">+VLOOKUP($A55,INDIRECT(Adrese!F$2),6,FALSE)</f>
        <v>0.2059955752212389</v>
      </c>
      <c r="AS55" s="4" t="str">
        <f t="shared" ca="1" si="6"/>
        <v>0.21 (0.00)</v>
      </c>
      <c r="AT55" s="4">
        <f t="shared" ca="1" si="22"/>
        <v>0.20599999999999996</v>
      </c>
      <c r="AU55" s="4">
        <f t="shared" ca="1" si="8"/>
        <v>1.4002345048219648E-3</v>
      </c>
      <c r="AW55" t="s">
        <v>114</v>
      </c>
      <c r="AX55" s="4">
        <f ca="1">+VLOOKUP($A55,INDIRECT(Adrese!B$2),7,FALSE)</f>
        <v>0.2035398230088496</v>
      </c>
      <c r="AY55" s="4">
        <f ca="1">+VLOOKUP($A55,INDIRECT(Adrese!C$2),7,FALSE)</f>
        <v>0.18584070796460181</v>
      </c>
      <c r="AZ55" s="4">
        <f ca="1">+VLOOKUP($A55,INDIRECT(Adrese!D$2),7,FALSE)</f>
        <v>0.20796460176991149</v>
      </c>
      <c r="BA55" s="4">
        <f ca="1">+VLOOKUP($A55,INDIRECT(Adrese!E$2),7,FALSE)</f>
        <v>0.19026548672566371</v>
      </c>
      <c r="BB55" s="4">
        <f ca="1">+VLOOKUP($A55,INDIRECT(Adrese!F$2),7,FALSE)</f>
        <v>0.2168141592920354</v>
      </c>
      <c r="BC55" s="4" t="str">
        <f t="shared" ca="1" si="9"/>
        <v>0.20 (0.01)</v>
      </c>
      <c r="BD55">
        <f t="shared" ca="1" si="23"/>
        <v>0.20088495575221241</v>
      </c>
      <c r="BE55" s="4">
        <f t="shared" ca="1" si="11"/>
        <v>1.2747663974237102E-2</v>
      </c>
      <c r="BG55" t="s">
        <v>114</v>
      </c>
      <c r="BH55" s="4">
        <f ca="1">+VLOOKUP($BG55,INDIRECT(Adrese!B$2),8,FALSE)</f>
        <v>2.870099734800742E-2</v>
      </c>
      <c r="BI55" s="4">
        <f ca="1">+VLOOKUP($BG55,INDIRECT(Adrese!C$2),8,FALSE)</f>
        <v>2.902531625603404E-2</v>
      </c>
      <c r="BJ55" s="4">
        <f ca="1">+VLOOKUP($BG55,INDIRECT(Adrese!D$2),8,FALSE)</f>
        <v>2.8637380669450929E-2</v>
      </c>
      <c r="BK55" s="4">
        <f ca="1">+VLOOKUP($BG55,INDIRECT(Adrese!E$2),8,FALSE)</f>
        <v>2.8725281031531991E-2</v>
      </c>
      <c r="BL55" s="4">
        <f ca="1">+VLOOKUP($BG55,INDIRECT(Adrese!F$2),8,FALSE)</f>
        <v>2.8541100255566009E-2</v>
      </c>
      <c r="BM55" s="4" t="str">
        <f t="shared" ca="1" si="12"/>
        <v>0.03 (0.00)</v>
      </c>
      <c r="BN55" s="4">
        <f t="shared" ca="1" si="24"/>
        <v>2.8726015112118076E-2</v>
      </c>
      <c r="BO55" s="4">
        <f t="shared" ca="1" si="14"/>
        <v>1.8183589493372531E-4</v>
      </c>
      <c r="BQ55" t="s">
        <v>114</v>
      </c>
      <c r="BR55" s="4">
        <f ca="1">+VLOOKUP($BG55,INDIRECT(Adrese!B$2),9,FALSE)</f>
        <v>9.0662059372709658E-2</v>
      </c>
      <c r="BS55" s="4">
        <f ca="1">+VLOOKUP($BG55,INDIRECT(Adrese!C$2),9,FALSE)</f>
        <v>9.0014179098813984E-2</v>
      </c>
      <c r="BT55" s="4">
        <f ca="1">+VLOOKUP($BG55,INDIRECT(Adrese!D$2),9,FALSE)</f>
        <v>9.1238653874899475E-2</v>
      </c>
      <c r="BU55" s="4">
        <f ca="1">+VLOOKUP($BG55,INDIRECT(Adrese!E$2),9,FALSE)</f>
        <v>9.1240878729252392E-2</v>
      </c>
      <c r="BV55" s="4">
        <f ca="1">+VLOOKUP($BG55,INDIRECT(Adrese!F$2),9,FALSE)</f>
        <v>8.8954181921897732E-2</v>
      </c>
      <c r="BW55" s="4" t="str">
        <f t="shared" ca="1" si="15"/>
        <v>0.09 (0.00)</v>
      </c>
      <c r="BX55" s="4">
        <f t="shared" ca="1" si="25"/>
        <v>9.0421990599514654E-2</v>
      </c>
      <c r="BY55" s="4">
        <f t="shared" ca="1" si="17"/>
        <v>9.6383637413752167E-4</v>
      </c>
    </row>
    <row r="56" spans="1:77" x14ac:dyDescent="0.25">
      <c r="A56" t="s">
        <v>5</v>
      </c>
      <c r="B56" s="11">
        <f ca="1">+VLOOKUP($A56,INDIRECT(Adrese!B$2),2,FALSE)</f>
        <v>41</v>
      </c>
      <c r="C56" s="11">
        <f ca="1">+VLOOKUP($A56,INDIRECT(Adrese!C$2),2,FALSE)</f>
        <v>25</v>
      </c>
      <c r="D56" s="11">
        <f ca="1">+VLOOKUP($A56,INDIRECT(Adrese!D$2),2,FALSE)</f>
        <v>28</v>
      </c>
      <c r="E56" s="11">
        <f ca="1">+VLOOKUP($A56,INDIRECT(Adrese!E$2),2,FALSE)</f>
        <v>27</v>
      </c>
      <c r="F56" s="11">
        <f ca="1">+VLOOKUP($A56,INDIRECT(Adrese!F$2),2,FALSE)</f>
        <v>23</v>
      </c>
      <c r="G56" s="4">
        <f t="shared" ca="1" si="18"/>
        <v>28.8</v>
      </c>
      <c r="J56" t="s">
        <v>5</v>
      </c>
      <c r="K56">
        <f ca="1">+VLOOKUP($A56,INDIRECT(Adrese!B$2),3,FALSE)</f>
        <v>141</v>
      </c>
      <c r="L56">
        <f ca="1">+VLOOKUP($A56,INDIRECT(Adrese!C$2),3,FALSE)</f>
        <v>147</v>
      </c>
      <c r="M56">
        <f ca="1">+VLOOKUP($A56,INDIRECT(Adrese!D$2),3,FALSE)</f>
        <v>144</v>
      </c>
      <c r="N56">
        <f ca="1">+VLOOKUP($A56,INDIRECT(Adrese!E$2),3,FALSE)</f>
        <v>142</v>
      </c>
      <c r="O56">
        <f ca="1">+VLOOKUP($A56,INDIRECT(Adrese!F$2),3,FALSE)</f>
        <v>149</v>
      </c>
      <c r="P56">
        <f t="shared" ca="1" si="1"/>
        <v>723</v>
      </c>
      <c r="Q56" s="4">
        <f t="shared" ca="1" si="19"/>
        <v>144.6</v>
      </c>
      <c r="R56" s="4"/>
      <c r="T56" t="s">
        <v>5</v>
      </c>
      <c r="U56">
        <f ca="1">+VLOOKUP($T56,INDIRECT(Adrese!B$2),4,FALSE)</f>
        <v>98064</v>
      </c>
      <c r="V56">
        <f ca="1">+VLOOKUP($T56,INDIRECT(Adrese!C$2),4,FALSE)</f>
        <v>99099</v>
      </c>
      <c r="W56">
        <f ca="1">+VLOOKUP($T56,INDIRECT(Adrese!D$2),4,FALSE)</f>
        <v>98847</v>
      </c>
      <c r="X56">
        <f ca="1">+VLOOKUP($T56,INDIRECT(Adrese!E$2),4,FALSE)</f>
        <v>99245</v>
      </c>
      <c r="Y56">
        <f ca="1">+VLOOKUP($T56,INDIRECT(Adrese!F$2),4,FALSE)</f>
        <v>99830</v>
      </c>
      <c r="Z56">
        <f t="shared" ca="1" si="3"/>
        <v>495085</v>
      </c>
      <c r="AA56" s="4">
        <f t="shared" ca="1" si="20"/>
        <v>99017</v>
      </c>
      <c r="AC56" t="s">
        <v>5</v>
      </c>
      <c r="AD56">
        <f ca="1">+VLOOKUP($A56,INDIRECT(Adrese!B$2),5,FALSE)</f>
        <v>18344</v>
      </c>
      <c r="AE56">
        <f ca="1">+VLOOKUP($A56,INDIRECT(Adrese!C$2),5,FALSE)</f>
        <v>18616</v>
      </c>
      <c r="AF56">
        <f ca="1">+VLOOKUP($A56,INDIRECT(Adrese!D$2),5,FALSE)</f>
        <v>18781</v>
      </c>
      <c r="AG56">
        <f ca="1">+VLOOKUP($A56,INDIRECT(Adrese!E$2),5,FALSE)</f>
        <v>19067</v>
      </c>
      <c r="AH56">
        <f ca="1">+VLOOKUP($A56,INDIRECT(Adrese!F$2),5,FALSE)</f>
        <v>18914</v>
      </c>
      <c r="AI56" s="4">
        <f t="shared" ca="1" si="21"/>
        <v>18744.400000000001</v>
      </c>
      <c r="AJ56" s="4"/>
      <c r="AK56" s="4"/>
      <c r="AM56" t="s">
        <v>5</v>
      </c>
      <c r="AN56" s="4">
        <f ca="1">+VLOOKUP($A56,INDIRECT(Adrese!B$2),6,FALSE)</f>
        <v>0.40400442477876108</v>
      </c>
      <c r="AO56" s="4">
        <f ca="1">+VLOOKUP($A56,INDIRECT(Adrese!C$2),6,FALSE)</f>
        <v>0.41042035398230092</v>
      </c>
      <c r="AP56" s="4">
        <f ca="1">+VLOOKUP($A56,INDIRECT(Adrese!D$2),6,FALSE)</f>
        <v>0.41285398230088488</v>
      </c>
      <c r="AQ56" s="4">
        <f ca="1">+VLOOKUP($A56,INDIRECT(Adrese!E$2),6,FALSE)</f>
        <v>0.42022123893805308</v>
      </c>
      <c r="AR56" s="4">
        <f ca="1">+VLOOKUP($A56,INDIRECT(Adrese!F$2),6,FALSE)</f>
        <v>0.41701327433628321</v>
      </c>
      <c r="AS56" s="4" t="str">
        <f t="shared" ca="1" si="6"/>
        <v>0.41 (0.01)</v>
      </c>
      <c r="AT56" s="4">
        <f t="shared" ca="1" si="22"/>
        <v>0.41290265486725664</v>
      </c>
      <c r="AU56" s="4">
        <f t="shared" ca="1" si="8"/>
        <v>6.2410245679381925E-3</v>
      </c>
      <c r="AW56" t="s">
        <v>5</v>
      </c>
      <c r="AX56" s="4">
        <f ca="1">+VLOOKUP($A56,INDIRECT(Adrese!B$2),7,FALSE)</f>
        <v>0.37610619469026552</v>
      </c>
      <c r="AY56" s="4">
        <f ca="1">+VLOOKUP($A56,INDIRECT(Adrese!C$2),7,FALSE)</f>
        <v>0.34955752212389379</v>
      </c>
      <c r="AZ56" s="4">
        <f ca="1">+VLOOKUP($A56,INDIRECT(Adrese!D$2),7,FALSE)</f>
        <v>0.36283185840707971</v>
      </c>
      <c r="BA56" s="4">
        <f ca="1">+VLOOKUP($A56,INDIRECT(Adrese!E$2),7,FALSE)</f>
        <v>0.37168141592920362</v>
      </c>
      <c r="BB56" s="4">
        <f ca="1">+VLOOKUP($A56,INDIRECT(Adrese!F$2),7,FALSE)</f>
        <v>0.34070796460176989</v>
      </c>
      <c r="BC56" s="4" t="str">
        <f t="shared" ca="1" si="9"/>
        <v>0.36 (0.01)</v>
      </c>
      <c r="BD56">
        <f t="shared" ca="1" si="23"/>
        <v>0.36017699115044255</v>
      </c>
      <c r="BE56" s="4">
        <f t="shared" ca="1" si="11"/>
        <v>1.4874102932718276E-2</v>
      </c>
      <c r="BG56" t="s">
        <v>5</v>
      </c>
      <c r="BH56" s="4">
        <f ca="1">+VLOOKUP($BG56,INDIRECT(Adrese!B$2),8,FALSE)</f>
        <v>6.0144547761612932E-2</v>
      </c>
      <c r="BI56" s="4">
        <f ca="1">+VLOOKUP($BG56,INDIRECT(Adrese!C$2),8,FALSE)</f>
        <v>6.1194252268831323E-2</v>
      </c>
      <c r="BJ56" s="4">
        <f ca="1">+VLOOKUP($BG56,INDIRECT(Adrese!D$2),8,FALSE)</f>
        <v>6.1716186464355498E-2</v>
      </c>
      <c r="BK56" s="4">
        <f ca="1">+VLOOKUP($BG56,INDIRECT(Adrese!E$2),8,FALSE)</f>
        <v>6.2370053821306212E-2</v>
      </c>
      <c r="BL56" s="4">
        <f ca="1">+VLOOKUP($BG56,INDIRECT(Adrese!F$2),8,FALSE)</f>
        <v>6.2062694692250238E-2</v>
      </c>
      <c r="BM56" s="4" t="str">
        <f t="shared" ca="1" si="12"/>
        <v>0.06 (0.00)</v>
      </c>
      <c r="BN56" s="4">
        <f t="shared" ca="1" si="24"/>
        <v>6.1497547001671239E-2</v>
      </c>
      <c r="BO56" s="4">
        <f t="shared" ca="1" si="14"/>
        <v>8.7336388688878783E-4</v>
      </c>
      <c r="BQ56" t="s">
        <v>5</v>
      </c>
      <c r="BR56" s="4">
        <f ca="1">+VLOOKUP($BG56,INDIRECT(Adrese!B$2),9,FALSE)</f>
        <v>7.3781025241369605E-2</v>
      </c>
      <c r="BS56" s="4">
        <f ca="1">+VLOOKUP($BG56,INDIRECT(Adrese!C$2),9,FALSE)</f>
        <v>7.3228700793533774E-2</v>
      </c>
      <c r="BT56" s="4">
        <f ca="1">+VLOOKUP($BG56,INDIRECT(Adrese!D$2),9,FALSE)</f>
        <v>7.0543146905675411E-2</v>
      </c>
      <c r="BU56" s="4">
        <f ca="1">+VLOOKUP($BG56,INDIRECT(Adrese!E$2),9,FALSE)</f>
        <v>6.7798795712741236E-2</v>
      </c>
      <c r="BV56" s="4">
        <f ca="1">+VLOOKUP($BG56,INDIRECT(Adrese!F$2),9,FALSE)</f>
        <v>7.1549703471476725E-2</v>
      </c>
      <c r="BW56" s="4" t="str">
        <f t="shared" ca="1" si="15"/>
        <v>0.07 (0.00)</v>
      </c>
      <c r="BX56" s="4">
        <f t="shared" ca="1" si="25"/>
        <v>7.1380274424959339E-2</v>
      </c>
      <c r="BY56" s="4">
        <f t="shared" ca="1" si="17"/>
        <v>2.384154093905925E-3</v>
      </c>
    </row>
    <row r="57" spans="1:77" x14ac:dyDescent="0.25">
      <c r="A57" t="s">
        <v>115</v>
      </c>
      <c r="B57" s="11">
        <f ca="1">+VLOOKUP($A57,INDIRECT(Adrese!B$2),2,FALSE)</f>
        <v>52</v>
      </c>
      <c r="C57" s="11">
        <f ca="1">+VLOOKUP($A57,INDIRECT(Adrese!C$2),2,FALSE)</f>
        <v>51</v>
      </c>
      <c r="D57" s="11">
        <f ca="1">+VLOOKUP($A57,INDIRECT(Adrese!D$2),2,FALSE)</f>
        <v>69</v>
      </c>
      <c r="E57" s="11">
        <f ca="1">+VLOOKUP($A57,INDIRECT(Adrese!E$2),2,FALSE)</f>
        <v>70</v>
      </c>
      <c r="F57" s="11">
        <f ca="1">+VLOOKUP($A57,INDIRECT(Adrese!F$2),2,FALSE)</f>
        <v>73</v>
      </c>
      <c r="G57" s="4">
        <f t="shared" ca="1" si="18"/>
        <v>63</v>
      </c>
      <c r="J57" t="s">
        <v>115</v>
      </c>
      <c r="K57">
        <f ca="1">+VLOOKUP($A57,INDIRECT(Adrese!B$2),3,FALSE)</f>
        <v>200</v>
      </c>
      <c r="L57">
        <f ca="1">+VLOOKUP($A57,INDIRECT(Adrese!C$2),3,FALSE)</f>
        <v>201</v>
      </c>
      <c r="M57">
        <f ca="1">+VLOOKUP($A57,INDIRECT(Adrese!D$2),3,FALSE)</f>
        <v>203</v>
      </c>
      <c r="N57">
        <f ca="1">+VLOOKUP($A57,INDIRECT(Adrese!E$2),3,FALSE)</f>
        <v>196</v>
      </c>
      <c r="O57">
        <f ca="1">+VLOOKUP($A57,INDIRECT(Adrese!F$2),3,FALSE)</f>
        <v>198</v>
      </c>
      <c r="P57">
        <f t="shared" ca="1" si="1"/>
        <v>998</v>
      </c>
      <c r="Q57" s="4">
        <f t="shared" ca="1" si="19"/>
        <v>199.6</v>
      </c>
      <c r="R57" s="4"/>
      <c r="T57" t="s">
        <v>115</v>
      </c>
      <c r="U57">
        <f ca="1">+VLOOKUP($T57,INDIRECT(Adrese!B$2),4,FALSE)</f>
        <v>97490</v>
      </c>
      <c r="V57">
        <f ca="1">+VLOOKUP($T57,INDIRECT(Adrese!C$2),4,FALSE)</f>
        <v>97483</v>
      </c>
      <c r="W57">
        <f ca="1">+VLOOKUP($T57,INDIRECT(Adrese!D$2),4,FALSE)</f>
        <v>96763</v>
      </c>
      <c r="X57">
        <f ca="1">+VLOOKUP($T57,INDIRECT(Adrese!E$2),4,FALSE)</f>
        <v>96721</v>
      </c>
      <c r="Y57">
        <f ca="1">+VLOOKUP($T57,INDIRECT(Adrese!F$2),4,FALSE)</f>
        <v>96742</v>
      </c>
      <c r="Z57">
        <f t="shared" ca="1" si="3"/>
        <v>485199</v>
      </c>
      <c r="AA57" s="4">
        <f t="shared" ca="1" si="20"/>
        <v>97039.8</v>
      </c>
      <c r="AC57" t="s">
        <v>115</v>
      </c>
      <c r="AD57">
        <f ca="1">+VLOOKUP($A57,INDIRECT(Adrese!B$2),5,FALSE)</f>
        <v>5596</v>
      </c>
      <c r="AE57">
        <f ca="1">+VLOOKUP($A57,INDIRECT(Adrese!C$2),5,FALSE)</f>
        <v>5590</v>
      </c>
      <c r="AF57">
        <f ca="1">+VLOOKUP($A57,INDIRECT(Adrese!D$2),5,FALSE)</f>
        <v>5537</v>
      </c>
      <c r="AG57">
        <f ca="1">+VLOOKUP($A57,INDIRECT(Adrese!E$2),5,FALSE)</f>
        <v>5585</v>
      </c>
      <c r="AH57">
        <f ca="1">+VLOOKUP($A57,INDIRECT(Adrese!F$2),5,FALSE)</f>
        <v>5355</v>
      </c>
      <c r="AI57" s="4">
        <f t="shared" ca="1" si="21"/>
        <v>5532.6</v>
      </c>
      <c r="AJ57" s="4"/>
      <c r="AK57" s="4"/>
      <c r="AM57" t="s">
        <v>115</v>
      </c>
      <c r="AN57" s="4">
        <f ca="1">+VLOOKUP($A57,INDIRECT(Adrese!B$2),6,FALSE)</f>
        <v>0.1233407079646018</v>
      </c>
      <c r="AO57" s="4">
        <f ca="1">+VLOOKUP($A57,INDIRECT(Adrese!C$2),6,FALSE)</f>
        <v>0.1230530973451327</v>
      </c>
      <c r="AP57" s="4">
        <f ca="1">+VLOOKUP($A57,INDIRECT(Adrese!D$2),6,FALSE)</f>
        <v>0.12192477876106191</v>
      </c>
      <c r="AQ57" s="4">
        <f ca="1">+VLOOKUP($A57,INDIRECT(Adrese!E$2),6,FALSE)</f>
        <v>0.12303097345132739</v>
      </c>
      <c r="AR57" s="4">
        <f ca="1">+VLOOKUP($A57,INDIRECT(Adrese!F$2),6,FALSE)</f>
        <v>0.1180088495575221</v>
      </c>
      <c r="AS57" s="4" t="str">
        <f t="shared" ca="1" si="6"/>
        <v>0.12 (0.00)</v>
      </c>
      <c r="AT57" s="4">
        <f t="shared" ca="1" si="22"/>
        <v>0.12187168141592916</v>
      </c>
      <c r="AU57" s="4">
        <f t="shared" ca="1" si="8"/>
        <v>2.2260969159160269E-3</v>
      </c>
      <c r="AW57" t="s">
        <v>115</v>
      </c>
      <c r="AX57" s="4">
        <f ca="1">+VLOOKUP($A57,INDIRECT(Adrese!B$2),7,FALSE)</f>
        <v>0.1150442477876106</v>
      </c>
      <c r="AY57" s="4">
        <f ca="1">+VLOOKUP($A57,INDIRECT(Adrese!C$2),7,FALSE)</f>
        <v>0.11061946902654871</v>
      </c>
      <c r="AZ57" s="4">
        <f ca="1">+VLOOKUP($A57,INDIRECT(Adrese!D$2),7,FALSE)</f>
        <v>0.1017699115044248</v>
      </c>
      <c r="BA57" s="4">
        <f ca="1">+VLOOKUP($A57,INDIRECT(Adrese!E$2),7,FALSE)</f>
        <v>0.13274336283185839</v>
      </c>
      <c r="BB57" s="4">
        <f ca="1">+VLOOKUP($A57,INDIRECT(Adrese!F$2),7,FALSE)</f>
        <v>0.1238938053097345</v>
      </c>
      <c r="BC57" s="4" t="str">
        <f t="shared" ca="1" si="9"/>
        <v>0.12 (0.01)</v>
      </c>
      <c r="BD57">
        <f t="shared" ca="1" si="23"/>
        <v>0.1168141592920354</v>
      </c>
      <c r="BE57" s="4">
        <f t="shared" ca="1" si="11"/>
        <v>1.195509388150998E-2</v>
      </c>
      <c r="BG57" t="s">
        <v>115</v>
      </c>
      <c r="BH57" s="4">
        <f ca="1">+VLOOKUP($BG57,INDIRECT(Adrese!B$2),8,FALSE)</f>
        <v>1.5861107331150578E-2</v>
      </c>
      <c r="BI57" s="4">
        <f ca="1">+VLOOKUP($BG57,INDIRECT(Adrese!C$2),8,FALSE)</f>
        <v>1.5811235994669111E-2</v>
      </c>
      <c r="BJ57" s="4">
        <f ca="1">+VLOOKUP($BG57,INDIRECT(Adrese!D$2),8,FALSE)</f>
        <v>1.5692585125803911E-2</v>
      </c>
      <c r="BK57" s="4">
        <f ca="1">+VLOOKUP($BG57,INDIRECT(Adrese!E$2),8,FALSE)</f>
        <v>1.573703934540915E-2</v>
      </c>
      <c r="BL57" s="4">
        <f ca="1">+VLOOKUP($BG57,INDIRECT(Adrese!F$2),8,FALSE)</f>
        <v>1.513521623543914E-2</v>
      </c>
      <c r="BM57" s="4" t="str">
        <f t="shared" ca="1" si="12"/>
        <v>0.02 (0.00)</v>
      </c>
      <c r="BN57" s="4">
        <f t="shared" ca="1" si="24"/>
        <v>1.5647436806494379E-2</v>
      </c>
      <c r="BO57" s="4">
        <f t="shared" ca="1" si="14"/>
        <v>2.9365037301277183E-4</v>
      </c>
      <c r="BQ57" t="s">
        <v>115</v>
      </c>
      <c r="BR57" s="4">
        <f ca="1">+VLOOKUP($BG57,INDIRECT(Adrese!B$2),9,FALSE)</f>
        <v>8.9832022123970595E-2</v>
      </c>
      <c r="BS57" s="4">
        <f ca="1">+VLOOKUP($BG57,INDIRECT(Adrese!C$2),9,FALSE)</f>
        <v>9.1286150234787033E-2</v>
      </c>
      <c r="BT57" s="4">
        <f ca="1">+VLOOKUP($BG57,INDIRECT(Adrese!D$2),9,FALSE)</f>
        <v>8.9252641230850652E-2</v>
      </c>
      <c r="BU57" s="4">
        <f ca="1">+VLOOKUP($BG57,INDIRECT(Adrese!E$2),9,FALSE)</f>
        <v>8.9388372420416209E-2</v>
      </c>
      <c r="BV57" s="4">
        <f ca="1">+VLOOKUP($BG57,INDIRECT(Adrese!F$2),9,FALSE)</f>
        <v>9.1243280509684638E-2</v>
      </c>
      <c r="BW57" s="4" t="str">
        <f t="shared" ca="1" si="15"/>
        <v>0.09 (0.00)</v>
      </c>
      <c r="BX57" s="4">
        <f t="shared" ca="1" si="25"/>
        <v>9.0200493303941823E-2</v>
      </c>
      <c r="BY57" s="4">
        <f t="shared" ca="1" si="17"/>
        <v>9.9496118270314855E-4</v>
      </c>
    </row>
    <row r="58" spans="1:77" x14ac:dyDescent="0.25">
      <c r="A58" t="s">
        <v>116</v>
      </c>
      <c r="B58" s="11">
        <f ca="1">+VLOOKUP($A58,INDIRECT(Adrese!B$2),2,FALSE)</f>
        <v>147</v>
      </c>
      <c r="C58" s="11">
        <f ca="1">+VLOOKUP($A58,INDIRECT(Adrese!C$2),2,FALSE)</f>
        <v>139</v>
      </c>
      <c r="D58" s="11">
        <f ca="1">+VLOOKUP($A58,INDIRECT(Adrese!D$2),2,FALSE)</f>
        <v>161</v>
      </c>
      <c r="E58" s="11">
        <f ca="1">+VLOOKUP($A58,INDIRECT(Adrese!E$2),2,FALSE)</f>
        <v>161</v>
      </c>
      <c r="F58" s="11">
        <f ca="1">+VLOOKUP($A58,INDIRECT(Adrese!F$2),2,FALSE)</f>
        <v>118</v>
      </c>
      <c r="G58" s="4">
        <f t="shared" ca="1" si="18"/>
        <v>145.19999999999999</v>
      </c>
      <c r="J58" t="s">
        <v>116</v>
      </c>
      <c r="K58">
        <f ca="1">+VLOOKUP($A58,INDIRECT(Adrese!B$2),3,FALSE)</f>
        <v>65</v>
      </c>
      <c r="L58">
        <f ca="1">+VLOOKUP($A58,INDIRECT(Adrese!C$2),3,FALSE)</f>
        <v>64</v>
      </c>
      <c r="M58">
        <f ca="1">+VLOOKUP($A58,INDIRECT(Adrese!D$2),3,FALSE)</f>
        <v>61</v>
      </c>
      <c r="N58">
        <f ca="1">+VLOOKUP($A58,INDIRECT(Adrese!E$2),3,FALSE)</f>
        <v>60</v>
      </c>
      <c r="O58">
        <f ca="1">+VLOOKUP($A58,INDIRECT(Adrese!F$2),3,FALSE)</f>
        <v>69</v>
      </c>
      <c r="P58">
        <f t="shared" ca="1" si="1"/>
        <v>319</v>
      </c>
      <c r="Q58" s="4">
        <f t="shared" ca="1" si="19"/>
        <v>63.8</v>
      </c>
      <c r="R58" s="4"/>
      <c r="T58" t="s">
        <v>116</v>
      </c>
      <c r="U58">
        <f ca="1">+VLOOKUP($T58,INDIRECT(Adrese!B$2),4,FALSE)</f>
        <v>93555</v>
      </c>
      <c r="V58">
        <f ca="1">+VLOOKUP($T58,INDIRECT(Adrese!C$2),4,FALSE)</f>
        <v>93948</v>
      </c>
      <c r="W58">
        <f ca="1">+VLOOKUP($T58,INDIRECT(Adrese!D$2),4,FALSE)</f>
        <v>92761</v>
      </c>
      <c r="X58">
        <f ca="1">+VLOOKUP($T58,INDIRECT(Adrese!E$2),4,FALSE)</f>
        <v>92630</v>
      </c>
      <c r="Y58">
        <f ca="1">+VLOOKUP($T58,INDIRECT(Adrese!F$2),4,FALSE)</f>
        <v>94956</v>
      </c>
      <c r="Z58">
        <f t="shared" ca="1" si="3"/>
        <v>467850</v>
      </c>
      <c r="AA58" s="4">
        <f t="shared" ca="1" si="20"/>
        <v>93570</v>
      </c>
      <c r="AC58" t="s">
        <v>116</v>
      </c>
      <c r="AD58">
        <f ca="1">+VLOOKUP($A58,INDIRECT(Adrese!B$2),5,FALSE)</f>
        <v>27283</v>
      </c>
      <c r="AE58">
        <f ca="1">+VLOOKUP($A58,INDIRECT(Adrese!C$2),5,FALSE)</f>
        <v>27394</v>
      </c>
      <c r="AF58">
        <f ca="1">+VLOOKUP($A58,INDIRECT(Adrese!D$2),5,FALSE)</f>
        <v>27101</v>
      </c>
      <c r="AG58">
        <f ca="1">+VLOOKUP($A58,INDIRECT(Adrese!E$2),5,FALSE)</f>
        <v>27255</v>
      </c>
      <c r="AH58">
        <f ca="1">+VLOOKUP($A58,INDIRECT(Adrese!F$2),5,FALSE)</f>
        <v>27390</v>
      </c>
      <c r="AI58" s="4">
        <f t="shared" ca="1" si="21"/>
        <v>27284.6</v>
      </c>
      <c r="AJ58" s="4"/>
      <c r="AK58" s="4"/>
      <c r="AM58" t="s">
        <v>116</v>
      </c>
      <c r="AN58" s="4">
        <f ca="1">+VLOOKUP($A58,INDIRECT(Adrese!B$2),6,FALSE)</f>
        <v>0.60055309734513274</v>
      </c>
      <c r="AO58" s="4">
        <f ca="1">+VLOOKUP($A58,INDIRECT(Adrese!C$2),6,FALSE)</f>
        <v>0.60309734513274338</v>
      </c>
      <c r="AP58" s="4">
        <f ca="1">+VLOOKUP($A58,INDIRECT(Adrese!D$2),6,FALSE)</f>
        <v>0.59688053097345128</v>
      </c>
      <c r="AQ58" s="4">
        <f ca="1">+VLOOKUP($A58,INDIRECT(Adrese!E$2),6,FALSE)</f>
        <v>0.60006637168141597</v>
      </c>
      <c r="AR58" s="4">
        <f ca="1">+VLOOKUP($A58,INDIRECT(Adrese!F$2),6,FALSE)</f>
        <v>0.60309734513274338</v>
      </c>
      <c r="AS58" s="4" t="str">
        <f t="shared" ca="1" si="6"/>
        <v>0.60 (0.00)</v>
      </c>
      <c r="AT58" s="4">
        <f t="shared" ca="1" si="22"/>
        <v>0.60073893805309742</v>
      </c>
      <c r="AU58" s="4">
        <f t="shared" ca="1" si="8"/>
        <v>2.5738276647808683E-3</v>
      </c>
      <c r="AW58" t="s">
        <v>116</v>
      </c>
      <c r="AX58" s="4">
        <f ca="1">+VLOOKUP($A58,INDIRECT(Adrese!B$2),7,FALSE)</f>
        <v>0.71238938053097345</v>
      </c>
      <c r="AY58" s="4">
        <f ca="1">+VLOOKUP($A58,INDIRECT(Adrese!C$2),7,FALSE)</f>
        <v>0.7168141592920354</v>
      </c>
      <c r="AZ58" s="4">
        <f ca="1">+VLOOKUP($A58,INDIRECT(Adrese!D$2),7,FALSE)</f>
        <v>0.73008849557522126</v>
      </c>
      <c r="BA58" s="4">
        <f ca="1">+VLOOKUP($A58,INDIRECT(Adrese!E$2),7,FALSE)</f>
        <v>0.73451327433628322</v>
      </c>
      <c r="BB58" s="4">
        <f ca="1">+VLOOKUP($A58,INDIRECT(Adrese!F$2),7,FALSE)</f>
        <v>0.69469026548672563</v>
      </c>
      <c r="BC58" s="4" t="str">
        <f t="shared" ca="1" si="9"/>
        <v>0.72 (0.02)</v>
      </c>
      <c r="BD58">
        <f t="shared" ca="1" si="23"/>
        <v>0.71769911504424777</v>
      </c>
      <c r="BE58" s="4">
        <f t="shared" ca="1" si="11"/>
        <v>1.5768610337349991E-2</v>
      </c>
      <c r="BG58" t="s">
        <v>116</v>
      </c>
      <c r="BH58" s="4">
        <f ca="1">+VLOOKUP($BG58,INDIRECT(Adrese!B$2),8,FALSE)</f>
        <v>8.1776181999897612E-2</v>
      </c>
      <c r="BI58" s="4">
        <f ca="1">+VLOOKUP($BG58,INDIRECT(Adrese!C$2),8,FALSE)</f>
        <v>8.2235329731765366E-2</v>
      </c>
      <c r="BJ58" s="4">
        <f ca="1">+VLOOKUP($BG58,INDIRECT(Adrese!D$2),8,FALSE)</f>
        <v>8.1302479133879696E-2</v>
      </c>
      <c r="BK58" s="4">
        <f ca="1">+VLOOKUP($BG58,INDIRECT(Adrese!E$2),8,FALSE)</f>
        <v>8.1835559229821095E-2</v>
      </c>
      <c r="BL58" s="4">
        <f ca="1">+VLOOKUP($BG58,INDIRECT(Adrese!F$2),8,FALSE)</f>
        <v>8.2143019287577126E-2</v>
      </c>
      <c r="BM58" s="4" t="str">
        <f t="shared" ca="1" si="12"/>
        <v>0.08 (0.00)</v>
      </c>
      <c r="BN58" s="4">
        <f t="shared" ca="1" si="24"/>
        <v>8.1858513876588185E-2</v>
      </c>
      <c r="BO58" s="4">
        <f t="shared" ca="1" si="14"/>
        <v>3.6722391208273265E-4</v>
      </c>
      <c r="BQ58" t="s">
        <v>116</v>
      </c>
      <c r="BR58" s="4">
        <f ca="1">+VLOOKUP($BG58,INDIRECT(Adrese!B$2),9,FALSE)</f>
        <v>2.9564123321285298E-3</v>
      </c>
      <c r="BS58" s="4">
        <f ca="1">+VLOOKUP($BG58,INDIRECT(Adrese!C$2),9,FALSE)</f>
        <v>3.0996746017231029E-3</v>
      </c>
      <c r="BT58" s="4">
        <f ca="1">+VLOOKUP($BG58,INDIRECT(Adrese!D$2),9,FALSE)</f>
        <v>2.337114231154768E-3</v>
      </c>
      <c r="BU58" s="4">
        <f ca="1">+VLOOKUP($BG58,INDIRECT(Adrese!E$2),9,FALSE)</f>
        <v>1.5214633045096909E-3</v>
      </c>
      <c r="BV58" s="4">
        <f ca="1">+VLOOKUP($BG58,INDIRECT(Adrese!F$2),9,FALSE)</f>
        <v>7.8740073461800949E-4</v>
      </c>
      <c r="BW58" s="4" t="str">
        <f t="shared" ca="1" si="15"/>
        <v>0.00 (0.00)</v>
      </c>
      <c r="BX58" s="4">
        <f t="shared" ca="1" si="25"/>
        <v>2.1404130408268201E-3</v>
      </c>
      <c r="BY58" s="4">
        <f t="shared" ca="1" si="17"/>
        <v>9.7960068659811903E-4</v>
      </c>
    </row>
    <row r="59" spans="1:77" x14ac:dyDescent="0.25">
      <c r="A59" t="s">
        <v>117</v>
      </c>
      <c r="B59" s="11">
        <f ca="1">+VLOOKUP($A59,INDIRECT(Adrese!B$2),2,FALSE)</f>
        <v>93</v>
      </c>
      <c r="C59" s="11">
        <f ca="1">+VLOOKUP($A59,INDIRECT(Adrese!C$2),2,FALSE)</f>
        <v>67</v>
      </c>
      <c r="D59" s="11">
        <f ca="1">+VLOOKUP($A59,INDIRECT(Adrese!D$2),2,FALSE)</f>
        <v>110</v>
      </c>
      <c r="E59" s="11">
        <f ca="1">+VLOOKUP($A59,INDIRECT(Adrese!E$2),2,FALSE)</f>
        <v>57</v>
      </c>
      <c r="F59" s="11">
        <f ca="1">+VLOOKUP($A59,INDIRECT(Adrese!F$2),2,FALSE)</f>
        <v>84</v>
      </c>
      <c r="G59" s="4">
        <f t="shared" ca="1" si="18"/>
        <v>82.2</v>
      </c>
      <c r="J59" t="s">
        <v>117</v>
      </c>
      <c r="K59">
        <f ca="1">+VLOOKUP($A59,INDIRECT(Adrese!B$2),3,FALSE)</f>
        <v>52</v>
      </c>
      <c r="L59">
        <f ca="1">+VLOOKUP($A59,INDIRECT(Adrese!C$2),3,FALSE)</f>
        <v>52</v>
      </c>
      <c r="M59">
        <f ca="1">+VLOOKUP($A59,INDIRECT(Adrese!D$2),3,FALSE)</f>
        <v>51</v>
      </c>
      <c r="N59">
        <f ca="1">+VLOOKUP($A59,INDIRECT(Adrese!E$2),3,FALSE)</f>
        <v>52</v>
      </c>
      <c r="O59">
        <f ca="1">+VLOOKUP($A59,INDIRECT(Adrese!F$2),3,FALSE)</f>
        <v>50</v>
      </c>
      <c r="P59">
        <f t="shared" ca="1" si="1"/>
        <v>257</v>
      </c>
      <c r="Q59" s="4">
        <f t="shared" ca="1" si="19"/>
        <v>51.4</v>
      </c>
      <c r="R59" s="4"/>
      <c r="T59" t="s">
        <v>117</v>
      </c>
      <c r="U59">
        <f ca="1">+VLOOKUP($T59,INDIRECT(Adrese!B$2),4,FALSE)</f>
        <v>95915</v>
      </c>
      <c r="V59">
        <f ca="1">+VLOOKUP($T59,INDIRECT(Adrese!C$2),4,FALSE)</f>
        <v>96824</v>
      </c>
      <c r="W59">
        <f ca="1">+VLOOKUP($T59,INDIRECT(Adrese!D$2),4,FALSE)</f>
        <v>95512</v>
      </c>
      <c r="X59">
        <f ca="1">+VLOOKUP($T59,INDIRECT(Adrese!E$2),4,FALSE)</f>
        <v>97149</v>
      </c>
      <c r="Y59">
        <f ca="1">+VLOOKUP($T59,INDIRECT(Adrese!F$2),4,FALSE)</f>
        <v>96164</v>
      </c>
      <c r="Z59">
        <f t="shared" ca="1" si="3"/>
        <v>481564</v>
      </c>
      <c r="AA59" s="4">
        <f t="shared" ca="1" si="20"/>
        <v>96312.8</v>
      </c>
      <c r="AC59" t="s">
        <v>117</v>
      </c>
      <c r="AD59">
        <f ca="1">+VLOOKUP($A59,INDIRECT(Adrese!B$2),5,FALSE)</f>
        <v>30136</v>
      </c>
      <c r="AE59">
        <f ca="1">+VLOOKUP($A59,INDIRECT(Adrese!C$2),5,FALSE)</f>
        <v>30154</v>
      </c>
      <c r="AF59">
        <f ca="1">+VLOOKUP($A59,INDIRECT(Adrese!D$2),5,FALSE)</f>
        <v>29903</v>
      </c>
      <c r="AG59">
        <f ca="1">+VLOOKUP($A59,INDIRECT(Adrese!E$2),5,FALSE)</f>
        <v>30191</v>
      </c>
      <c r="AH59">
        <f ca="1">+VLOOKUP($A59,INDIRECT(Adrese!F$2),5,FALSE)</f>
        <v>30001</v>
      </c>
      <c r="AI59" s="4">
        <f t="shared" ca="1" si="21"/>
        <v>30077</v>
      </c>
      <c r="AJ59" s="4"/>
      <c r="AK59" s="4"/>
      <c r="AM59" t="s">
        <v>117</v>
      </c>
      <c r="AN59" s="4">
        <f ca="1">+VLOOKUP($A59,INDIRECT(Adrese!B$2),6,FALSE)</f>
        <v>0.66309734513274332</v>
      </c>
      <c r="AO59" s="4">
        <f ca="1">+VLOOKUP($A59,INDIRECT(Adrese!C$2),6,FALSE)</f>
        <v>0.66365044247787608</v>
      </c>
      <c r="AP59" s="4">
        <f ca="1">+VLOOKUP($A59,INDIRECT(Adrese!D$2),6,FALSE)</f>
        <v>0.65800884955752215</v>
      </c>
      <c r="AQ59" s="4">
        <f ca="1">+VLOOKUP($A59,INDIRECT(Adrese!E$2),6,FALSE)</f>
        <v>0.66457964601769914</v>
      </c>
      <c r="AR59" s="4">
        <f ca="1">+VLOOKUP($A59,INDIRECT(Adrese!F$2),6,FALSE)</f>
        <v>0.66035398230088493</v>
      </c>
      <c r="AS59" s="4" t="str">
        <f t="shared" ca="1" si="6"/>
        <v>0.66 (0.00)</v>
      </c>
      <c r="AT59" s="4">
        <f t="shared" ca="1" si="22"/>
        <v>0.6619380530973451</v>
      </c>
      <c r="AU59" s="4">
        <f t="shared" ca="1" si="8"/>
        <v>2.7019515778559391E-3</v>
      </c>
      <c r="AW59" t="s">
        <v>117</v>
      </c>
      <c r="AX59" s="4">
        <f ca="1">+VLOOKUP($A59,INDIRECT(Adrese!B$2),7,FALSE)</f>
        <v>0.76991150442477874</v>
      </c>
      <c r="AY59" s="4">
        <f ca="1">+VLOOKUP($A59,INDIRECT(Adrese!C$2),7,FALSE)</f>
        <v>0.76991150442477874</v>
      </c>
      <c r="AZ59" s="4">
        <f ca="1">+VLOOKUP($A59,INDIRECT(Adrese!D$2),7,FALSE)</f>
        <v>0.77433628318584069</v>
      </c>
      <c r="BA59" s="4">
        <f ca="1">+VLOOKUP($A59,INDIRECT(Adrese!E$2),7,FALSE)</f>
        <v>0.76991150442477874</v>
      </c>
      <c r="BB59" s="4">
        <f ca="1">+VLOOKUP($A59,INDIRECT(Adrese!F$2),7,FALSE)</f>
        <v>0.77876106194690264</v>
      </c>
      <c r="BC59" s="4" t="str">
        <f t="shared" ca="1" si="9"/>
        <v>0.77 (0.00)</v>
      </c>
      <c r="BD59">
        <f t="shared" ca="1" si="23"/>
        <v>0.77256637168141595</v>
      </c>
      <c r="BE59" s="4">
        <f t="shared" ca="1" si="11"/>
        <v>3.9576424380527312E-3</v>
      </c>
      <c r="BG59" t="s">
        <v>117</v>
      </c>
      <c r="BH59" s="4">
        <f ca="1">+VLOOKUP($BG59,INDIRECT(Adrese!B$2),8,FALSE)</f>
        <v>9.0673809823896584E-2</v>
      </c>
      <c r="BI59" s="4">
        <f ca="1">+VLOOKUP($BG59,INDIRECT(Adrese!C$2),8,FALSE)</f>
        <v>9.1025188668714618E-2</v>
      </c>
      <c r="BJ59" s="4">
        <f ca="1">+VLOOKUP($BG59,INDIRECT(Adrese!D$2),8,FALSE)</f>
        <v>9.0375438552466575E-2</v>
      </c>
      <c r="BK59" s="4">
        <f ca="1">+VLOOKUP($BG59,INDIRECT(Adrese!E$2),8,FALSE)</f>
        <v>9.1085392700073389E-2</v>
      </c>
      <c r="BL59" s="4">
        <f ca="1">+VLOOKUP($BG59,INDIRECT(Adrese!F$2),8,FALSE)</f>
        <v>9.0404147457286574E-2</v>
      </c>
      <c r="BM59" s="4" t="str">
        <f t="shared" ca="1" si="12"/>
        <v>0.09 (0.00)</v>
      </c>
      <c r="BN59" s="4">
        <f t="shared" ca="1" si="24"/>
        <v>9.0712795440487548E-2</v>
      </c>
      <c r="BO59" s="4">
        <f t="shared" ca="1" si="14"/>
        <v>3.3429454550710635E-4</v>
      </c>
      <c r="BQ59" t="s">
        <v>117</v>
      </c>
      <c r="BR59" s="4">
        <f ca="1">+VLOOKUP($BG59,INDIRECT(Adrese!B$2),9,FALSE)</f>
        <v>-1.1398481176962899E-2</v>
      </c>
      <c r="BS59" s="4">
        <f ca="1">+VLOOKUP($BG59,INDIRECT(Adrese!C$2),9,FALSE)</f>
        <v>-7.977553885258953E-3</v>
      </c>
      <c r="BT59" s="4">
        <f ca="1">+VLOOKUP($BG59,INDIRECT(Adrese!D$2),9,FALSE)</f>
        <v>-6.2971247157484313E-3</v>
      </c>
      <c r="BU59" s="4">
        <f ca="1">+VLOOKUP($BG59,INDIRECT(Adrese!E$2),9,FALSE)</f>
        <v>-1.0409731838076541E-2</v>
      </c>
      <c r="BV59" s="4">
        <f ca="1">+VLOOKUP($BG59,INDIRECT(Adrese!F$2),9,FALSE)</f>
        <v>-7.0518432105592839E-3</v>
      </c>
      <c r="BW59" s="4" t="str">
        <f t="shared" ca="1" si="15"/>
        <v>-0.01 (0.00)</v>
      </c>
      <c r="BX59" s="4">
        <f t="shared" ca="1" si="25"/>
        <v>-8.6269469653212222E-3</v>
      </c>
      <c r="BY59" s="4">
        <f t="shared" ca="1" si="17"/>
        <v>2.1903457897172189E-3</v>
      </c>
    </row>
    <row r="60" spans="1:77" x14ac:dyDescent="0.25">
      <c r="A60" t="s">
        <v>118</v>
      </c>
      <c r="B60" s="11">
        <f ca="1">+VLOOKUP($A60,INDIRECT(Adrese!B$2),2,FALSE)</f>
        <v>65</v>
      </c>
      <c r="C60" s="11">
        <f ca="1">+VLOOKUP($A60,INDIRECT(Adrese!C$2),2,FALSE)</f>
        <v>40</v>
      </c>
      <c r="D60" s="11">
        <f ca="1">+VLOOKUP($A60,INDIRECT(Adrese!D$2),2,FALSE)</f>
        <v>52</v>
      </c>
      <c r="E60" s="11">
        <f ca="1">+VLOOKUP($A60,INDIRECT(Adrese!E$2),2,FALSE)</f>
        <v>72</v>
      </c>
      <c r="F60" s="11">
        <f ca="1">+VLOOKUP($A60,INDIRECT(Adrese!F$2),2,FALSE)</f>
        <v>42</v>
      </c>
      <c r="G60" s="4">
        <f t="shared" ca="1" si="18"/>
        <v>54.2</v>
      </c>
      <c r="J60" t="s">
        <v>118</v>
      </c>
      <c r="K60">
        <f ca="1">+VLOOKUP($A60,INDIRECT(Adrese!B$2),3,FALSE)</f>
        <v>118</v>
      </c>
      <c r="L60">
        <f ca="1">+VLOOKUP($A60,INDIRECT(Adrese!C$2),3,FALSE)</f>
        <v>115</v>
      </c>
      <c r="M60">
        <f ca="1">+VLOOKUP($A60,INDIRECT(Adrese!D$2),3,FALSE)</f>
        <v>112</v>
      </c>
      <c r="N60">
        <f ca="1">+VLOOKUP($A60,INDIRECT(Adrese!E$2),3,FALSE)</f>
        <v>110</v>
      </c>
      <c r="O60">
        <f ca="1">+VLOOKUP($A60,INDIRECT(Adrese!F$2),3,FALSE)</f>
        <v>116</v>
      </c>
      <c r="P60">
        <f t="shared" ca="1" si="1"/>
        <v>571</v>
      </c>
      <c r="Q60" s="4">
        <f t="shared" ca="1" si="19"/>
        <v>114.2</v>
      </c>
      <c r="R60" s="4"/>
      <c r="T60" t="s">
        <v>118</v>
      </c>
      <c r="U60">
        <f ca="1">+VLOOKUP($T60,INDIRECT(Adrese!B$2),4,FALSE)</f>
        <v>96858</v>
      </c>
      <c r="V60">
        <f ca="1">+VLOOKUP($T60,INDIRECT(Adrese!C$2),4,FALSE)</f>
        <v>98093</v>
      </c>
      <c r="W60">
        <f ca="1">+VLOOKUP($T60,INDIRECT(Adrese!D$2),4,FALSE)</f>
        <v>97164</v>
      </c>
      <c r="X60">
        <f ca="1">+VLOOKUP($T60,INDIRECT(Adrese!E$2),4,FALSE)</f>
        <v>96695</v>
      </c>
      <c r="Y60">
        <f ca="1">+VLOOKUP($T60,INDIRECT(Adrese!F$2),4,FALSE)</f>
        <v>97851</v>
      </c>
      <c r="Z60">
        <f t="shared" ca="1" si="3"/>
        <v>486661</v>
      </c>
      <c r="AA60" s="4">
        <f t="shared" ca="1" si="20"/>
        <v>97332.2</v>
      </c>
      <c r="AC60" t="s">
        <v>118</v>
      </c>
      <c r="AD60">
        <f ca="1">+VLOOKUP($A60,INDIRECT(Adrese!B$2),5,FALSE)</f>
        <v>16909</v>
      </c>
      <c r="AE60">
        <f ca="1">+VLOOKUP($A60,INDIRECT(Adrese!C$2),5,FALSE)</f>
        <v>17380</v>
      </c>
      <c r="AF60">
        <f ca="1">+VLOOKUP($A60,INDIRECT(Adrese!D$2),5,FALSE)</f>
        <v>16846</v>
      </c>
      <c r="AG60">
        <f ca="1">+VLOOKUP($A60,INDIRECT(Adrese!E$2),5,FALSE)</f>
        <v>17798</v>
      </c>
      <c r="AH60">
        <f ca="1">+VLOOKUP($A60,INDIRECT(Adrese!F$2),5,FALSE)</f>
        <v>16912</v>
      </c>
      <c r="AI60" s="4">
        <f t="shared" ca="1" si="21"/>
        <v>17169</v>
      </c>
      <c r="AJ60" s="4"/>
      <c r="AK60" s="4"/>
      <c r="AM60" t="s">
        <v>118</v>
      </c>
      <c r="AN60" s="4">
        <f ca="1">+VLOOKUP($A60,INDIRECT(Adrese!B$2),6,FALSE)</f>
        <v>0.37203539823008852</v>
      </c>
      <c r="AO60" s="4">
        <f ca="1">+VLOOKUP($A60,INDIRECT(Adrese!C$2),6,FALSE)</f>
        <v>0.38230088495575221</v>
      </c>
      <c r="AP60" s="4">
        <f ca="1">+VLOOKUP($A60,INDIRECT(Adrese!D$2),6,FALSE)</f>
        <v>0.37079646017699108</v>
      </c>
      <c r="AQ60" s="4">
        <f ca="1">+VLOOKUP($A60,INDIRECT(Adrese!E$2),6,FALSE)</f>
        <v>0.39130530973451327</v>
      </c>
      <c r="AR60" s="4">
        <f ca="1">+VLOOKUP($A60,INDIRECT(Adrese!F$2),6,FALSE)</f>
        <v>0.37185840707964601</v>
      </c>
      <c r="AS60" s="4" t="str">
        <f t="shared" ca="1" si="6"/>
        <v>0.38 (0.01)</v>
      </c>
      <c r="AT60" s="4">
        <f t="shared" ca="1" si="22"/>
        <v>0.37765929203539822</v>
      </c>
      <c r="AU60" s="4">
        <f t="shared" ca="1" si="8"/>
        <v>8.946159690097235E-3</v>
      </c>
      <c r="AW60" t="s">
        <v>118</v>
      </c>
      <c r="AX60" s="4">
        <f ca="1">+VLOOKUP($A60,INDIRECT(Adrese!B$2),7,FALSE)</f>
        <v>0.47787610619469029</v>
      </c>
      <c r="AY60" s="4">
        <f ca="1">+VLOOKUP($A60,INDIRECT(Adrese!C$2),7,FALSE)</f>
        <v>0.49115044247787609</v>
      </c>
      <c r="AZ60" s="4">
        <f ca="1">+VLOOKUP($A60,INDIRECT(Adrese!D$2),7,FALSE)</f>
        <v>0.50442477876106195</v>
      </c>
      <c r="BA60" s="4">
        <f ca="1">+VLOOKUP($A60,INDIRECT(Adrese!E$2),7,FALSE)</f>
        <v>0.51327433628318586</v>
      </c>
      <c r="BB60" s="4">
        <f ca="1">+VLOOKUP($A60,INDIRECT(Adrese!F$2),7,FALSE)</f>
        <v>0.48672566371681408</v>
      </c>
      <c r="BC60" s="4" t="str">
        <f t="shared" ca="1" si="9"/>
        <v>0.49 (0.01)</v>
      </c>
      <c r="BD60">
        <f t="shared" ca="1" si="23"/>
        <v>0.49469026548672568</v>
      </c>
      <c r="BE60" s="4">
        <f t="shared" ca="1" si="11"/>
        <v>1.4131610108558696E-2</v>
      </c>
      <c r="BG60" t="s">
        <v>118</v>
      </c>
      <c r="BH60" s="4">
        <f ca="1">+VLOOKUP($BG60,INDIRECT(Adrese!B$2),8,FALSE)</f>
        <v>4.484163766151484E-2</v>
      </c>
      <c r="BI60" s="4">
        <f ca="1">+VLOOKUP($BG60,INDIRECT(Adrese!C$2),8,FALSE)</f>
        <v>4.6979527887284808E-2</v>
      </c>
      <c r="BJ60" s="4">
        <f ca="1">+VLOOKUP($BG60,INDIRECT(Adrese!D$2),8,FALSE)</f>
        <v>4.4940487593267749E-2</v>
      </c>
      <c r="BK60" s="4">
        <f ca="1">+VLOOKUP($BG60,INDIRECT(Adrese!E$2),8,FALSE)</f>
        <v>4.8196859127215178E-2</v>
      </c>
      <c r="BL60" s="4">
        <f ca="1">+VLOOKUP($BG60,INDIRECT(Adrese!F$2),8,FALSE)</f>
        <v>4.6495937545143758E-2</v>
      </c>
      <c r="BM60" s="4" t="str">
        <f t="shared" ca="1" si="12"/>
        <v>0.05 (0.00)</v>
      </c>
      <c r="BN60" s="4">
        <f t="shared" ca="1" si="24"/>
        <v>4.6290889962885259E-2</v>
      </c>
      <c r="BO60" s="4">
        <f t="shared" ca="1" si="14"/>
        <v>1.4206428078676133E-3</v>
      </c>
      <c r="BQ60" t="s">
        <v>118</v>
      </c>
      <c r="BR60" s="4">
        <f ca="1">+VLOOKUP($BG60,INDIRECT(Adrese!B$2),9,FALSE)</f>
        <v>-1.503830502718344E-3</v>
      </c>
      <c r="BS60" s="4">
        <f ca="1">+VLOOKUP($BG60,INDIRECT(Adrese!C$2),9,FALSE)</f>
        <v>-4.4694865436675276E-3</v>
      </c>
      <c r="BT60" s="4">
        <f ca="1">+VLOOKUP($BG60,INDIRECT(Adrese!D$2),9,FALSE)</f>
        <v>-1.0408237820479741E-3</v>
      </c>
      <c r="BU60" s="4">
        <f ca="1">+VLOOKUP($BG60,INDIRECT(Adrese!E$2),9,FALSE)</f>
        <v>-5.1305499724770094E-3</v>
      </c>
      <c r="BV60" s="4">
        <f ca="1">+VLOOKUP($BG60,INDIRECT(Adrese!F$2),9,FALSE)</f>
        <v>2.5226869687888539E-3</v>
      </c>
      <c r="BW60" s="4" t="str">
        <f t="shared" ca="1" si="15"/>
        <v>0.00 (0.00)</v>
      </c>
      <c r="BX60" s="4">
        <f t="shared" ca="1" si="25"/>
        <v>-1.9244007664244E-3</v>
      </c>
      <c r="BY60" s="4">
        <f t="shared" ca="1" si="17"/>
        <v>3.0614960110914198E-3</v>
      </c>
    </row>
    <row r="61" spans="1:77" x14ac:dyDescent="0.25">
      <c r="A61" t="s">
        <v>119</v>
      </c>
      <c r="B61" s="11">
        <f ca="1">+VLOOKUP($A61,INDIRECT(Adrese!B$2),2,FALSE)</f>
        <v>72</v>
      </c>
      <c r="C61" s="11">
        <f ca="1">+VLOOKUP($A61,INDIRECT(Adrese!C$2),2,FALSE)</f>
        <v>38</v>
      </c>
      <c r="D61" s="11">
        <f ca="1">+VLOOKUP($A61,INDIRECT(Adrese!D$2),2,FALSE)</f>
        <v>37</v>
      </c>
      <c r="E61" s="11">
        <f ca="1">+VLOOKUP($A61,INDIRECT(Adrese!E$2),2,FALSE)</f>
        <v>42</v>
      </c>
      <c r="F61" s="11">
        <f ca="1">+VLOOKUP($A61,INDIRECT(Adrese!F$2),2,FALSE)</f>
        <v>83</v>
      </c>
      <c r="G61" s="4">
        <f t="shared" ca="1" si="18"/>
        <v>54.4</v>
      </c>
      <c r="J61" t="s">
        <v>119</v>
      </c>
      <c r="K61">
        <f ca="1">+VLOOKUP($A61,INDIRECT(Adrese!B$2),3,FALSE)</f>
        <v>103</v>
      </c>
      <c r="L61">
        <f ca="1">+VLOOKUP($A61,INDIRECT(Adrese!C$2),3,FALSE)</f>
        <v>109</v>
      </c>
      <c r="M61">
        <f ca="1">+VLOOKUP($A61,INDIRECT(Adrese!D$2),3,FALSE)</f>
        <v>100</v>
      </c>
      <c r="N61">
        <f ca="1">+VLOOKUP($A61,INDIRECT(Adrese!E$2),3,FALSE)</f>
        <v>108</v>
      </c>
      <c r="O61">
        <f ca="1">+VLOOKUP($A61,INDIRECT(Adrese!F$2),3,FALSE)</f>
        <v>100</v>
      </c>
      <c r="P61">
        <f t="shared" ca="1" si="1"/>
        <v>520</v>
      </c>
      <c r="Q61" s="4">
        <f t="shared" ca="1" si="19"/>
        <v>104</v>
      </c>
      <c r="R61" s="4"/>
      <c r="T61" t="s">
        <v>119</v>
      </c>
      <c r="U61">
        <f ca="1">+VLOOKUP($T61,INDIRECT(Adrese!B$2),4,FALSE)</f>
        <v>96662</v>
      </c>
      <c r="V61">
        <f ca="1">+VLOOKUP($T61,INDIRECT(Adrese!C$2),4,FALSE)</f>
        <v>98246</v>
      </c>
      <c r="W61">
        <f ca="1">+VLOOKUP($T61,INDIRECT(Adrese!D$2),4,FALSE)</f>
        <v>98134</v>
      </c>
      <c r="X61">
        <f ca="1">+VLOOKUP($T61,INDIRECT(Adrese!E$2),4,FALSE)</f>
        <v>97874</v>
      </c>
      <c r="Y61">
        <f ca="1">+VLOOKUP($T61,INDIRECT(Adrese!F$2),4,FALSE)</f>
        <v>96220</v>
      </c>
      <c r="Z61">
        <f t="shared" ca="1" si="3"/>
        <v>487136</v>
      </c>
      <c r="AA61" s="4">
        <f t="shared" ca="1" si="20"/>
        <v>97427.199999999997</v>
      </c>
      <c r="AC61" t="s">
        <v>119</v>
      </c>
      <c r="AD61">
        <f ca="1">+VLOOKUP($A61,INDIRECT(Adrese!B$2),5,FALSE)</f>
        <v>22108</v>
      </c>
      <c r="AE61">
        <f ca="1">+VLOOKUP($A61,INDIRECT(Adrese!C$2),5,FALSE)</f>
        <v>22682</v>
      </c>
      <c r="AF61">
        <f ca="1">+VLOOKUP($A61,INDIRECT(Adrese!D$2),5,FALSE)</f>
        <v>22833</v>
      </c>
      <c r="AG61">
        <f ca="1">+VLOOKUP($A61,INDIRECT(Adrese!E$2),5,FALSE)</f>
        <v>22585</v>
      </c>
      <c r="AH61">
        <f ca="1">+VLOOKUP($A61,INDIRECT(Adrese!F$2),5,FALSE)</f>
        <v>22096</v>
      </c>
      <c r="AI61" s="4">
        <f t="shared" ca="1" si="21"/>
        <v>22460.799999999999</v>
      </c>
      <c r="AJ61" s="4"/>
      <c r="AK61" s="4"/>
      <c r="AM61" t="s">
        <v>119</v>
      </c>
      <c r="AN61" s="4">
        <f ca="1">+VLOOKUP($A61,INDIRECT(Adrese!B$2),6,FALSE)</f>
        <v>0.48654867256637169</v>
      </c>
      <c r="AO61" s="4">
        <f ca="1">+VLOOKUP($A61,INDIRECT(Adrese!C$2),6,FALSE)</f>
        <v>0.49957964601769911</v>
      </c>
      <c r="AP61" s="4">
        <f ca="1">+VLOOKUP($A61,INDIRECT(Adrese!D$2),6,FALSE)</f>
        <v>0.50243362831858407</v>
      </c>
      <c r="AQ61" s="4">
        <f ca="1">+VLOOKUP($A61,INDIRECT(Adrese!E$2),6,FALSE)</f>
        <v>0.49716814159292028</v>
      </c>
      <c r="AR61" s="4">
        <f ca="1">+VLOOKUP($A61,INDIRECT(Adrese!F$2),6,FALSE)</f>
        <v>0.48683628318584071</v>
      </c>
      <c r="AS61" s="4" t="str">
        <f t="shared" ca="1" si="6"/>
        <v>0.49 (0.01)</v>
      </c>
      <c r="AT61" s="4">
        <f t="shared" ca="1" si="22"/>
        <v>0.49451327433628317</v>
      </c>
      <c r="AU61" s="4">
        <f t="shared" ca="1" si="8"/>
        <v>7.3793550505246702E-3</v>
      </c>
      <c r="AW61" t="s">
        <v>119</v>
      </c>
      <c r="AX61" s="4">
        <f ca="1">+VLOOKUP($A61,INDIRECT(Adrese!B$2),7,FALSE)</f>
        <v>0.54424778761061943</v>
      </c>
      <c r="AY61" s="4">
        <f ca="1">+VLOOKUP($A61,INDIRECT(Adrese!C$2),7,FALSE)</f>
        <v>0.51769911504424782</v>
      </c>
      <c r="AZ61" s="4">
        <f ca="1">+VLOOKUP($A61,INDIRECT(Adrese!D$2),7,FALSE)</f>
        <v>0.55752212389380529</v>
      </c>
      <c r="BA61" s="4">
        <f ca="1">+VLOOKUP($A61,INDIRECT(Adrese!E$2),7,FALSE)</f>
        <v>0.52212389380530977</v>
      </c>
      <c r="BB61" s="4">
        <f ca="1">+VLOOKUP($A61,INDIRECT(Adrese!F$2),7,FALSE)</f>
        <v>0.55752212389380529</v>
      </c>
      <c r="BC61" s="4" t="str">
        <f t="shared" ca="1" si="9"/>
        <v>0.54 (0.02)</v>
      </c>
      <c r="BD61">
        <f t="shared" ca="1" si="23"/>
        <v>0.53982300884955747</v>
      </c>
      <c r="BE61" s="4">
        <f t="shared" ca="1" si="11"/>
        <v>1.9031693068678347E-2</v>
      </c>
      <c r="BG61" t="s">
        <v>119</v>
      </c>
      <c r="BH61" s="4">
        <f ca="1">+VLOOKUP($BG61,INDIRECT(Adrese!B$2),8,FALSE)</f>
        <v>7.1010804919235865E-2</v>
      </c>
      <c r="BI61" s="4">
        <f ca="1">+VLOOKUP($BG61,INDIRECT(Adrese!C$2),8,FALSE)</f>
        <v>7.3078133744699056E-2</v>
      </c>
      <c r="BJ61" s="4">
        <f ca="1">+VLOOKUP($BG61,INDIRECT(Adrese!D$2),8,FALSE)</f>
        <v>7.3639367132251762E-2</v>
      </c>
      <c r="BK61" s="4">
        <f ca="1">+VLOOKUP($BG61,INDIRECT(Adrese!E$2),8,FALSE)</f>
        <v>7.2151344277862933E-2</v>
      </c>
      <c r="BL61" s="4">
        <f ca="1">+VLOOKUP($BG61,INDIRECT(Adrese!F$2),8,FALSE)</f>
        <v>7.1288780376630598E-2</v>
      </c>
      <c r="BM61" s="4" t="str">
        <f t="shared" ca="1" si="12"/>
        <v>0.07 (0.00)</v>
      </c>
      <c r="BN61" s="4">
        <f t="shared" ca="1" si="24"/>
        <v>7.2233686090136043E-2</v>
      </c>
      <c r="BO61" s="4">
        <f t="shared" ca="1" si="14"/>
        <v>1.1273970433110902E-3</v>
      </c>
      <c r="BQ61" t="s">
        <v>119</v>
      </c>
      <c r="BR61" s="4">
        <f ca="1">+VLOOKUP($BG61,INDIRECT(Adrese!B$2),9,FALSE)</f>
        <v>6.7011849722873884E-2</v>
      </c>
      <c r="BS61" s="4">
        <f ca="1">+VLOOKUP($BG61,INDIRECT(Adrese!C$2),9,FALSE)</f>
        <v>5.7937478379387043E-2</v>
      </c>
      <c r="BT61" s="4">
        <f ca="1">+VLOOKUP($BG61,INDIRECT(Adrese!D$2),9,FALSE)</f>
        <v>5.7608173056153178E-2</v>
      </c>
      <c r="BU61" s="4">
        <f ca="1">+VLOOKUP($BG61,INDIRECT(Adrese!E$2),9,FALSE)</f>
        <v>5.8144668416131681E-2</v>
      </c>
      <c r="BV61" s="4">
        <f ca="1">+VLOOKUP($BG61,INDIRECT(Adrese!F$2),9,FALSE)</f>
        <v>6.2181415843685063E-2</v>
      </c>
      <c r="BW61" s="4" t="str">
        <f t="shared" ca="1" si="15"/>
        <v>0.06 (0.00)</v>
      </c>
      <c r="BX61" s="4">
        <f t="shared" ca="1" si="25"/>
        <v>6.0576717083646169E-2</v>
      </c>
      <c r="BY61" s="4">
        <f t="shared" ca="1" si="17"/>
        <v>4.052119368222847E-3</v>
      </c>
    </row>
    <row r="62" spans="1:77" x14ac:dyDescent="0.25">
      <c r="A62" t="s">
        <v>120</v>
      </c>
      <c r="B62" s="11">
        <f ca="1">+VLOOKUP($A62,INDIRECT(Adrese!B$2),2,FALSE)</f>
        <v>92</v>
      </c>
      <c r="C62" s="11">
        <f ca="1">+VLOOKUP($A62,INDIRECT(Adrese!C$2),2,FALSE)</f>
        <v>145</v>
      </c>
      <c r="D62" s="11">
        <f ca="1">+VLOOKUP($A62,INDIRECT(Adrese!D$2),2,FALSE)</f>
        <v>145</v>
      </c>
      <c r="E62" s="11">
        <f ca="1">+VLOOKUP($A62,INDIRECT(Adrese!E$2),2,FALSE)</f>
        <v>134</v>
      </c>
      <c r="F62" s="11">
        <f ca="1">+VLOOKUP($A62,INDIRECT(Adrese!F$2),2,FALSE)</f>
        <v>95</v>
      </c>
      <c r="G62" s="4">
        <f t="shared" ca="1" si="18"/>
        <v>122.2</v>
      </c>
      <c r="J62" t="s">
        <v>120</v>
      </c>
      <c r="K62">
        <f ca="1">+VLOOKUP($A62,INDIRECT(Adrese!B$2),3,FALSE)</f>
        <v>68</v>
      </c>
      <c r="L62">
        <f ca="1">+VLOOKUP($A62,INDIRECT(Adrese!C$2),3,FALSE)</f>
        <v>66</v>
      </c>
      <c r="M62">
        <f ca="1">+VLOOKUP($A62,INDIRECT(Adrese!D$2),3,FALSE)</f>
        <v>68</v>
      </c>
      <c r="N62">
        <f ca="1">+VLOOKUP($A62,INDIRECT(Adrese!E$2),3,FALSE)</f>
        <v>65</v>
      </c>
      <c r="O62">
        <f ca="1">+VLOOKUP($A62,INDIRECT(Adrese!F$2),3,FALSE)</f>
        <v>65</v>
      </c>
      <c r="P62">
        <f t="shared" ca="1" si="1"/>
        <v>332</v>
      </c>
      <c r="Q62" s="4">
        <f t="shared" ca="1" si="19"/>
        <v>66.400000000000006</v>
      </c>
      <c r="R62" s="4"/>
      <c r="T62" t="s">
        <v>120</v>
      </c>
      <c r="U62">
        <f ca="1">+VLOOKUP($T62,INDIRECT(Adrese!B$2),4,FALSE)</f>
        <v>96048</v>
      </c>
      <c r="V62">
        <f ca="1">+VLOOKUP($T62,INDIRECT(Adrese!C$2),4,FALSE)</f>
        <v>93818</v>
      </c>
      <c r="W62">
        <f ca="1">+VLOOKUP($T62,INDIRECT(Adrese!D$2),4,FALSE)</f>
        <v>93873</v>
      </c>
      <c r="X62">
        <f ca="1">+VLOOKUP($T62,INDIRECT(Adrese!E$2),4,FALSE)</f>
        <v>94279</v>
      </c>
      <c r="Y62">
        <f ca="1">+VLOOKUP($T62,INDIRECT(Adrese!F$2),4,FALSE)</f>
        <v>95697</v>
      </c>
      <c r="Z62">
        <f t="shared" ca="1" si="3"/>
        <v>473715</v>
      </c>
      <c r="AA62" s="4">
        <f t="shared" ca="1" si="20"/>
        <v>94743</v>
      </c>
      <c r="AC62" t="s">
        <v>120</v>
      </c>
      <c r="AD62">
        <f ca="1">+VLOOKUP($A62,INDIRECT(Adrese!B$2),5,FALSE)</f>
        <v>26531</v>
      </c>
      <c r="AE62">
        <f ca="1">+VLOOKUP($A62,INDIRECT(Adrese!C$2),5,FALSE)</f>
        <v>26042</v>
      </c>
      <c r="AF62">
        <f ca="1">+VLOOKUP($A62,INDIRECT(Adrese!D$2),5,FALSE)</f>
        <v>25624</v>
      </c>
      <c r="AG62">
        <f ca="1">+VLOOKUP($A62,INDIRECT(Adrese!E$2),5,FALSE)</f>
        <v>25774</v>
      </c>
      <c r="AH62">
        <f ca="1">+VLOOKUP($A62,INDIRECT(Adrese!F$2),5,FALSE)</f>
        <v>26251</v>
      </c>
      <c r="AI62" s="4">
        <f t="shared" ca="1" si="21"/>
        <v>26044.400000000001</v>
      </c>
      <c r="AJ62" s="4"/>
      <c r="AK62" s="4"/>
      <c r="AM62" t="s">
        <v>120</v>
      </c>
      <c r="AN62" s="4">
        <f ca="1">+VLOOKUP($A62,INDIRECT(Adrese!B$2),6,FALSE)</f>
        <v>0.58442477876106191</v>
      </c>
      <c r="AO62" s="4">
        <f ca="1">+VLOOKUP($A62,INDIRECT(Adrese!C$2),6,FALSE)</f>
        <v>0.57320796460176993</v>
      </c>
      <c r="AP62" s="4">
        <f ca="1">+VLOOKUP($A62,INDIRECT(Adrese!D$2),6,FALSE)</f>
        <v>0.56407079646017699</v>
      </c>
      <c r="AQ62" s="4">
        <f ca="1">+VLOOKUP($A62,INDIRECT(Adrese!E$2),6,FALSE)</f>
        <v>0.56743362831858402</v>
      </c>
      <c r="AR62" s="4">
        <f ca="1">+VLOOKUP($A62,INDIRECT(Adrese!F$2),6,FALSE)</f>
        <v>0.57741150442477873</v>
      </c>
      <c r="AS62" s="4" t="str">
        <f t="shared" ca="1" si="6"/>
        <v>0.57 (0.01)</v>
      </c>
      <c r="AT62" s="4">
        <f t="shared" ca="1" si="22"/>
        <v>0.57330973451327427</v>
      </c>
      <c r="AU62" s="4">
        <f t="shared" ca="1" si="8"/>
        <v>8.0663759290082408E-3</v>
      </c>
      <c r="AW62" t="s">
        <v>120</v>
      </c>
      <c r="AX62" s="4">
        <f ca="1">+VLOOKUP($A62,INDIRECT(Adrese!B$2),7,FALSE)</f>
        <v>0.69911504424778759</v>
      </c>
      <c r="AY62" s="4">
        <f ca="1">+VLOOKUP($A62,INDIRECT(Adrese!C$2),7,FALSE)</f>
        <v>0.70796460176991149</v>
      </c>
      <c r="AZ62" s="4">
        <f ca="1">+VLOOKUP($A62,INDIRECT(Adrese!D$2),7,FALSE)</f>
        <v>0.69911504424778759</v>
      </c>
      <c r="BA62" s="4">
        <f ca="1">+VLOOKUP($A62,INDIRECT(Adrese!E$2),7,FALSE)</f>
        <v>0.71238938053097345</v>
      </c>
      <c r="BB62" s="4">
        <f ca="1">+VLOOKUP($A62,INDIRECT(Adrese!F$2),7,FALSE)</f>
        <v>0.71238938053097345</v>
      </c>
      <c r="BC62" s="4" t="str">
        <f t="shared" ca="1" si="9"/>
        <v>0.71 (0.01)</v>
      </c>
      <c r="BD62">
        <f t="shared" ca="1" si="23"/>
        <v>0.70619469026548676</v>
      </c>
      <c r="BE62" s="4">
        <f t="shared" ca="1" si="11"/>
        <v>6.7105092425235064E-3</v>
      </c>
      <c r="BG62" t="s">
        <v>120</v>
      </c>
      <c r="BH62" s="4">
        <f ca="1">+VLOOKUP($BG62,INDIRECT(Adrese!B$2),8,FALSE)</f>
        <v>8.0680982808551946E-2</v>
      </c>
      <c r="BI62" s="4">
        <f ca="1">+VLOOKUP($BG62,INDIRECT(Adrese!C$2),8,FALSE)</f>
        <v>7.8978229787910123E-2</v>
      </c>
      <c r="BJ62" s="4">
        <f ca="1">+VLOOKUP($BG62,INDIRECT(Adrese!D$2),8,FALSE)</f>
        <v>7.7181706135090872E-2</v>
      </c>
      <c r="BK62" s="4">
        <f ca="1">+VLOOKUP($BG62,INDIRECT(Adrese!E$2),8,FALSE)</f>
        <v>7.793285807076554E-2</v>
      </c>
      <c r="BL62" s="4">
        <f ca="1">+VLOOKUP($BG62,INDIRECT(Adrese!F$2),8,FALSE)</f>
        <v>7.9569998924486685E-2</v>
      </c>
      <c r="BM62" s="4" t="str">
        <f t="shared" ca="1" si="12"/>
        <v>0.08 (0.00)</v>
      </c>
      <c r="BN62" s="4">
        <f t="shared" ca="1" si="24"/>
        <v>7.8868755145361041E-2</v>
      </c>
      <c r="BO62" s="4">
        <f t="shared" ca="1" si="14"/>
        <v>1.3702129702757894E-3</v>
      </c>
      <c r="BQ62" t="s">
        <v>120</v>
      </c>
      <c r="BR62" s="4">
        <f ca="1">+VLOOKUP($BG62,INDIRECT(Adrese!B$2),9,FALSE)</f>
        <v>1.5035825023455679E-2</v>
      </c>
      <c r="BS62" s="4">
        <f ca="1">+VLOOKUP($BG62,INDIRECT(Adrese!C$2),9,FALSE)</f>
        <v>1.3055208219580051E-2</v>
      </c>
      <c r="BT62" s="4">
        <f ca="1">+VLOOKUP($BG62,INDIRECT(Adrese!D$2),9,FALSE)</f>
        <v>1.3426106297348099E-2</v>
      </c>
      <c r="BU62" s="4">
        <f ca="1">+VLOOKUP($BG62,INDIRECT(Adrese!E$2),9,FALSE)</f>
        <v>1.44499982672672E-2</v>
      </c>
      <c r="BV62" s="4">
        <f ca="1">+VLOOKUP($BG62,INDIRECT(Adrese!F$2),9,FALSE)</f>
        <v>1.301873004736981E-2</v>
      </c>
      <c r="BW62" s="4" t="str">
        <f t="shared" ca="1" si="15"/>
        <v>0.01 (0.00)</v>
      </c>
      <c r="BX62" s="4">
        <f t="shared" ca="1" si="25"/>
        <v>1.3797173571004167E-2</v>
      </c>
      <c r="BY62" s="4">
        <f t="shared" ca="1" si="17"/>
        <v>9.0202762270507751E-4</v>
      </c>
    </row>
    <row r="63" spans="1:77" x14ac:dyDescent="0.25">
      <c r="A63" t="s">
        <v>121</v>
      </c>
      <c r="B63" s="11">
        <f ca="1">+VLOOKUP($A63,INDIRECT(Adrese!B$2),2,FALSE)</f>
        <v>46</v>
      </c>
      <c r="C63" s="11">
        <f ca="1">+VLOOKUP($A63,INDIRECT(Adrese!C$2),2,FALSE)</f>
        <v>61</v>
      </c>
      <c r="D63" s="11">
        <f ca="1">+VLOOKUP($A63,INDIRECT(Adrese!D$2),2,FALSE)</f>
        <v>51</v>
      </c>
      <c r="E63" s="11">
        <f ca="1">+VLOOKUP($A63,INDIRECT(Adrese!E$2),2,FALSE)</f>
        <v>60</v>
      </c>
      <c r="F63" s="11">
        <f ca="1">+VLOOKUP($A63,INDIRECT(Adrese!F$2),2,FALSE)</f>
        <v>50</v>
      </c>
      <c r="G63" s="4">
        <f t="shared" ca="1" si="18"/>
        <v>53.6</v>
      </c>
      <c r="J63" t="s">
        <v>121</v>
      </c>
      <c r="K63">
        <f ca="1">+VLOOKUP($A63,INDIRECT(Adrese!B$2),3,FALSE)</f>
        <v>101</v>
      </c>
      <c r="L63">
        <f ca="1">+VLOOKUP($A63,INDIRECT(Adrese!C$2),3,FALSE)</f>
        <v>97</v>
      </c>
      <c r="M63">
        <f ca="1">+VLOOKUP($A63,INDIRECT(Adrese!D$2),3,FALSE)</f>
        <v>94</v>
      </c>
      <c r="N63">
        <f ca="1">+VLOOKUP($A63,INDIRECT(Adrese!E$2),3,FALSE)</f>
        <v>98</v>
      </c>
      <c r="O63">
        <f ca="1">+VLOOKUP($A63,INDIRECT(Adrese!F$2),3,FALSE)</f>
        <v>103</v>
      </c>
      <c r="P63">
        <f t="shared" ca="1" si="1"/>
        <v>493</v>
      </c>
      <c r="Q63" s="4">
        <f t="shared" ca="1" si="19"/>
        <v>98.6</v>
      </c>
      <c r="R63" s="4"/>
      <c r="T63" t="s">
        <v>121</v>
      </c>
      <c r="U63">
        <f ca="1">+VLOOKUP($T63,INDIRECT(Adrese!B$2),4,FALSE)</f>
        <v>97769</v>
      </c>
      <c r="V63">
        <f ca="1">+VLOOKUP($T63,INDIRECT(Adrese!C$2),4,FALSE)</f>
        <v>97016</v>
      </c>
      <c r="W63">
        <f ca="1">+VLOOKUP($T63,INDIRECT(Adrese!D$2),4,FALSE)</f>
        <v>97176</v>
      </c>
      <c r="X63">
        <f ca="1">+VLOOKUP($T63,INDIRECT(Adrese!E$2),4,FALSE)</f>
        <v>97006</v>
      </c>
      <c r="Y63">
        <f ca="1">+VLOOKUP($T63,INDIRECT(Adrese!F$2),4,FALSE)</f>
        <v>97595</v>
      </c>
      <c r="Z63">
        <f t="shared" ca="1" si="3"/>
        <v>486562</v>
      </c>
      <c r="AA63" s="4">
        <f t="shared" ca="1" si="20"/>
        <v>97312.4</v>
      </c>
      <c r="AC63" t="s">
        <v>121</v>
      </c>
      <c r="AD63">
        <f ca="1">+VLOOKUP($A63,INDIRECT(Adrese!B$2),5,FALSE)</f>
        <v>22972</v>
      </c>
      <c r="AE63">
        <f ca="1">+VLOOKUP($A63,INDIRECT(Adrese!C$2),5,FALSE)</f>
        <v>22898</v>
      </c>
      <c r="AF63">
        <f ca="1">+VLOOKUP($A63,INDIRECT(Adrese!D$2),5,FALSE)</f>
        <v>22893</v>
      </c>
      <c r="AG63">
        <f ca="1">+VLOOKUP($A63,INDIRECT(Adrese!E$2),5,FALSE)</f>
        <v>22563</v>
      </c>
      <c r="AH63">
        <f ca="1">+VLOOKUP($A63,INDIRECT(Adrese!F$2),5,FALSE)</f>
        <v>23038</v>
      </c>
      <c r="AI63" s="4">
        <f t="shared" ca="1" si="21"/>
        <v>22872.799999999999</v>
      </c>
      <c r="AJ63" s="4"/>
      <c r="AK63" s="4"/>
      <c r="AM63" t="s">
        <v>121</v>
      </c>
      <c r="AN63" s="4">
        <f ca="1">+VLOOKUP($A63,INDIRECT(Adrese!B$2),6,FALSE)</f>
        <v>0.5053982300884956</v>
      </c>
      <c r="AO63" s="4">
        <f ca="1">+VLOOKUP($A63,INDIRECT(Adrese!C$2),6,FALSE)</f>
        <v>0.50431415929203538</v>
      </c>
      <c r="AP63" s="4">
        <f ca="1">+VLOOKUP($A63,INDIRECT(Adrese!D$2),6,FALSE)</f>
        <v>0.50415929203539822</v>
      </c>
      <c r="AQ63" s="4">
        <f ca="1">+VLOOKUP($A63,INDIRECT(Adrese!E$2),6,FALSE)</f>
        <v>0.49701327433628317</v>
      </c>
      <c r="AR63" s="4">
        <f ca="1">+VLOOKUP($A63,INDIRECT(Adrese!F$2),6,FALSE)</f>
        <v>0.50741150442477878</v>
      </c>
      <c r="AS63" s="4" t="str">
        <f t="shared" ca="1" si="6"/>
        <v>0.50 (0.00)</v>
      </c>
      <c r="AT63" s="4">
        <f t="shared" ca="1" si="22"/>
        <v>0.50365929203539817</v>
      </c>
      <c r="AU63" s="4">
        <f t="shared" ca="1" si="8"/>
        <v>3.9354607655361345E-3</v>
      </c>
      <c r="AW63" t="s">
        <v>121</v>
      </c>
      <c r="AX63" s="4">
        <f ca="1">+VLOOKUP($A63,INDIRECT(Adrese!B$2),7,FALSE)</f>
        <v>0.55309734513274333</v>
      </c>
      <c r="AY63" s="4">
        <f ca="1">+VLOOKUP($A63,INDIRECT(Adrese!C$2),7,FALSE)</f>
        <v>0.57079646017699115</v>
      </c>
      <c r="AZ63" s="4">
        <f ca="1">+VLOOKUP($A63,INDIRECT(Adrese!D$2),7,FALSE)</f>
        <v>0.58407079646017701</v>
      </c>
      <c r="BA63" s="4">
        <f ca="1">+VLOOKUP($A63,INDIRECT(Adrese!E$2),7,FALSE)</f>
        <v>0.5663716814159292</v>
      </c>
      <c r="BB63" s="4">
        <f ca="1">+VLOOKUP($A63,INDIRECT(Adrese!F$2),7,FALSE)</f>
        <v>0.54424778761061943</v>
      </c>
      <c r="BC63" s="4" t="str">
        <f t="shared" ca="1" si="9"/>
        <v>0.56 (0.02)</v>
      </c>
      <c r="BD63">
        <f t="shared" ca="1" si="23"/>
        <v>0.56371681415929209</v>
      </c>
      <c r="BE63" s="4">
        <f t="shared" ca="1" si="11"/>
        <v>1.5518299041371867E-2</v>
      </c>
      <c r="BG63" t="s">
        <v>121</v>
      </c>
      <c r="BH63" s="4">
        <f ca="1">+VLOOKUP($BG63,INDIRECT(Adrese!B$2),8,FALSE)</f>
        <v>7.3842313950528135E-2</v>
      </c>
      <c r="BI63" s="4">
        <f ca="1">+VLOOKUP($BG63,INDIRECT(Adrese!C$2),8,FALSE)</f>
        <v>7.3509709909055698E-2</v>
      </c>
      <c r="BJ63" s="4">
        <f ca="1">+VLOOKUP($BG63,INDIRECT(Adrese!D$2),8,FALSE)</f>
        <v>7.398298436890613E-2</v>
      </c>
      <c r="BK63" s="4">
        <f ca="1">+VLOOKUP($BG63,INDIRECT(Adrese!E$2),8,FALSE)</f>
        <v>7.268285291941208E-2</v>
      </c>
      <c r="BL63" s="4">
        <f ca="1">+VLOOKUP($BG63,INDIRECT(Adrese!F$2),8,FALSE)</f>
        <v>7.3586518668028428E-2</v>
      </c>
      <c r="BM63" s="4" t="str">
        <f t="shared" ca="1" si="12"/>
        <v>0.07 (0.00)</v>
      </c>
      <c r="BN63" s="4">
        <f t="shared" ca="1" si="24"/>
        <v>7.35208759631861E-2</v>
      </c>
      <c r="BO63" s="4">
        <f t="shared" ca="1" si="14"/>
        <v>5.0586135099050069E-4</v>
      </c>
      <c r="BQ63" t="s">
        <v>121</v>
      </c>
      <c r="BR63" s="4">
        <f ca="1">+VLOOKUP($BG63,INDIRECT(Adrese!B$2),9,FALSE)</f>
        <v>6.1864379938538008E-2</v>
      </c>
      <c r="BS63" s="4">
        <f ca="1">+VLOOKUP($BG63,INDIRECT(Adrese!C$2),9,FALSE)</f>
        <v>5.8604232911043462E-2</v>
      </c>
      <c r="BT63" s="4">
        <f ca="1">+VLOOKUP($BG63,INDIRECT(Adrese!D$2),9,FALSE)</f>
        <v>6.5026738272890988E-2</v>
      </c>
      <c r="BU63" s="4">
        <f ca="1">+VLOOKUP($BG63,INDIRECT(Adrese!E$2),9,FALSE)</f>
        <v>6.2695408422255391E-2</v>
      </c>
      <c r="BV63" s="4">
        <f ca="1">+VLOOKUP($BG63,INDIRECT(Adrese!F$2),9,FALSE)</f>
        <v>5.7401828025489217E-2</v>
      </c>
      <c r="BW63" s="4" t="str">
        <f t="shared" ca="1" si="15"/>
        <v>0.06 (0.00)</v>
      </c>
      <c r="BX63" s="4">
        <f t="shared" ca="1" si="25"/>
        <v>6.1118517514043416E-2</v>
      </c>
      <c r="BY63" s="4">
        <f t="shared" ca="1" si="17"/>
        <v>3.1005037095516246E-3</v>
      </c>
    </row>
    <row r="64" spans="1:77" x14ac:dyDescent="0.25">
      <c r="A64" t="s">
        <v>7</v>
      </c>
      <c r="B64" s="11">
        <f ca="1">+VLOOKUP($A64,INDIRECT(Adrese!B$2),2,FALSE)</f>
        <v>37</v>
      </c>
      <c r="C64" s="11">
        <f ca="1">+VLOOKUP($A64,INDIRECT(Adrese!C$2),2,FALSE)</f>
        <v>69</v>
      </c>
      <c r="D64" s="11">
        <f ca="1">+VLOOKUP($A64,INDIRECT(Adrese!D$2),2,FALSE)</f>
        <v>71</v>
      </c>
      <c r="E64" s="11">
        <f ca="1">+VLOOKUP($A64,INDIRECT(Adrese!E$2),2,FALSE)</f>
        <v>35</v>
      </c>
      <c r="F64" s="11">
        <f ca="1">+VLOOKUP($A64,INDIRECT(Adrese!F$2),2,FALSE)</f>
        <v>61</v>
      </c>
      <c r="G64" s="4">
        <f t="shared" ca="1" si="18"/>
        <v>54.6</v>
      </c>
      <c r="J64" t="s">
        <v>7</v>
      </c>
      <c r="K64">
        <f ca="1">+VLOOKUP($A64,INDIRECT(Adrese!B$2),3,FALSE)</f>
        <v>107</v>
      </c>
      <c r="L64">
        <f ca="1">+VLOOKUP($A64,INDIRECT(Adrese!C$2),3,FALSE)</f>
        <v>99</v>
      </c>
      <c r="M64">
        <f ca="1">+VLOOKUP($A64,INDIRECT(Adrese!D$2),3,FALSE)</f>
        <v>102</v>
      </c>
      <c r="N64">
        <f ca="1">+VLOOKUP($A64,INDIRECT(Adrese!E$2),3,FALSE)</f>
        <v>113</v>
      </c>
      <c r="O64">
        <f ca="1">+VLOOKUP($A64,INDIRECT(Adrese!F$2),3,FALSE)</f>
        <v>100</v>
      </c>
      <c r="P64">
        <f t="shared" ca="1" si="1"/>
        <v>521</v>
      </c>
      <c r="Q64" s="4">
        <f t="shared" ca="1" si="19"/>
        <v>104.2</v>
      </c>
      <c r="R64" s="4"/>
      <c r="T64" t="s">
        <v>7</v>
      </c>
      <c r="U64">
        <f ca="1">+VLOOKUP($T64,INDIRECT(Adrese!B$2),4,FALSE)</f>
        <v>98266</v>
      </c>
      <c r="V64">
        <f ca="1">+VLOOKUP($T64,INDIRECT(Adrese!C$2),4,FALSE)</f>
        <v>96807</v>
      </c>
      <c r="W64">
        <f ca="1">+VLOOKUP($T64,INDIRECT(Adrese!D$2),4,FALSE)</f>
        <v>96651</v>
      </c>
      <c r="X64">
        <f ca="1">+VLOOKUP($T64,INDIRECT(Adrese!E$2),4,FALSE)</f>
        <v>98528</v>
      </c>
      <c r="Y64">
        <f ca="1">+VLOOKUP($T64,INDIRECT(Adrese!F$2),4,FALSE)</f>
        <v>97160</v>
      </c>
      <c r="Z64">
        <f t="shared" ca="1" si="3"/>
        <v>487412</v>
      </c>
      <c r="AA64" s="4">
        <f t="shared" ca="1" si="20"/>
        <v>97482.4</v>
      </c>
      <c r="AC64" t="s">
        <v>7</v>
      </c>
      <c r="AD64">
        <f ca="1">+VLOOKUP($A64,INDIRECT(Adrese!B$2),5,FALSE)</f>
        <v>22784</v>
      </c>
      <c r="AE64">
        <f ca="1">+VLOOKUP($A64,INDIRECT(Adrese!C$2),5,FALSE)</f>
        <v>22354</v>
      </c>
      <c r="AF64">
        <f ca="1">+VLOOKUP($A64,INDIRECT(Adrese!D$2),5,FALSE)</f>
        <v>22051</v>
      </c>
      <c r="AG64">
        <f ca="1">+VLOOKUP($A64,INDIRECT(Adrese!E$2),5,FALSE)</f>
        <v>22565</v>
      </c>
      <c r="AH64">
        <f ca="1">+VLOOKUP($A64,INDIRECT(Adrese!F$2),5,FALSE)</f>
        <v>22396</v>
      </c>
      <c r="AI64" s="4">
        <f t="shared" ca="1" si="21"/>
        <v>22430</v>
      </c>
      <c r="AJ64" s="4"/>
      <c r="AK64" s="4"/>
      <c r="AM64" t="s">
        <v>7</v>
      </c>
      <c r="AN64" s="4">
        <f ca="1">+VLOOKUP($A64,INDIRECT(Adrese!B$2),6,FALSE)</f>
        <v>0.50172566371681415</v>
      </c>
      <c r="AO64" s="4">
        <f ca="1">+VLOOKUP($A64,INDIRECT(Adrese!C$2),6,FALSE)</f>
        <v>0.49174778761061949</v>
      </c>
      <c r="AP64" s="4">
        <f ca="1">+VLOOKUP($A64,INDIRECT(Adrese!D$2),6,FALSE)</f>
        <v>0.48599557522123887</v>
      </c>
      <c r="AQ64" s="4">
        <f ca="1">+VLOOKUP($A64,INDIRECT(Adrese!E$2),6,FALSE)</f>
        <v>0.49716814159292028</v>
      </c>
      <c r="AR64" s="4">
        <f ca="1">+VLOOKUP($A64,INDIRECT(Adrese!F$2),6,FALSE)</f>
        <v>0.49334070796460178</v>
      </c>
      <c r="AS64" s="4" t="str">
        <f t="shared" ca="1" si="6"/>
        <v>0.49 (0.01)</v>
      </c>
      <c r="AT64" s="4">
        <f t="shared" ca="1" si="22"/>
        <v>0.49399557522123894</v>
      </c>
      <c r="AU64" s="4">
        <f t="shared" ca="1" si="8"/>
        <v>5.9012889650994545E-3</v>
      </c>
      <c r="AW64" t="s">
        <v>7</v>
      </c>
      <c r="AX64" s="4">
        <f ca="1">+VLOOKUP($A64,INDIRECT(Adrese!B$2),7,FALSE)</f>
        <v>0.52654867256637172</v>
      </c>
      <c r="AY64" s="4">
        <f ca="1">+VLOOKUP($A64,INDIRECT(Adrese!C$2),7,FALSE)</f>
        <v>0.56194690265486724</v>
      </c>
      <c r="AZ64" s="4">
        <f ca="1">+VLOOKUP($A64,INDIRECT(Adrese!D$2),7,FALSE)</f>
        <v>0.54867256637168138</v>
      </c>
      <c r="BA64" s="4">
        <f ca="1">+VLOOKUP($A64,INDIRECT(Adrese!E$2),7,FALSE)</f>
        <v>0.5</v>
      </c>
      <c r="BB64" s="4">
        <f ca="1">+VLOOKUP($A64,INDIRECT(Adrese!F$2),7,FALSE)</f>
        <v>0.55752212389380529</v>
      </c>
      <c r="BC64" s="4" t="str">
        <f t="shared" ca="1" si="9"/>
        <v>0.54 (0.03)</v>
      </c>
      <c r="BD64">
        <f t="shared" ca="1" si="23"/>
        <v>0.5389380530973451</v>
      </c>
      <c r="BE64" s="4">
        <f t="shared" ca="1" si="11"/>
        <v>2.5686593404778732E-2</v>
      </c>
      <c r="BG64" t="s">
        <v>7</v>
      </c>
      <c r="BH64" s="4">
        <f ca="1">+VLOOKUP($BG64,INDIRECT(Adrese!B$2),8,FALSE)</f>
        <v>7.2760519346417557E-2</v>
      </c>
      <c r="BI64" s="4">
        <f ca="1">+VLOOKUP($BG64,INDIRECT(Adrese!C$2),8,FALSE)</f>
        <v>7.2345921499482393E-2</v>
      </c>
      <c r="BJ64" s="4">
        <f ca="1">+VLOOKUP($BG64,INDIRECT(Adrese!D$2),8,FALSE)</f>
        <v>7.0820975526356716E-2</v>
      </c>
      <c r="BK64" s="4">
        <f ca="1">+VLOOKUP($BG64,INDIRECT(Adrese!E$2),8,FALSE)</f>
        <v>7.3042010699998577E-2</v>
      </c>
      <c r="BL64" s="4">
        <f ca="1">+VLOOKUP($BG64,INDIRECT(Adrese!F$2),8,FALSE)</f>
        <v>7.1772704646469246E-2</v>
      </c>
      <c r="BM64" s="4" t="str">
        <f t="shared" ca="1" si="12"/>
        <v>0.07 (0.00)</v>
      </c>
      <c r="BN64" s="4">
        <f t="shared" ca="1" si="24"/>
        <v>7.2148426343744895E-2</v>
      </c>
      <c r="BO64" s="4">
        <f t="shared" ca="1" si="14"/>
        <v>8.8253153606403212E-4</v>
      </c>
      <c r="BQ64" t="s">
        <v>7</v>
      </c>
      <c r="BR64" s="4">
        <f ca="1">+VLOOKUP($BG64,INDIRECT(Adrese!B$2),9,FALSE)</f>
        <v>6.0623479284245017E-2</v>
      </c>
      <c r="BS64" s="4">
        <f ca="1">+VLOOKUP($BG64,INDIRECT(Adrese!C$2),9,FALSE)</f>
        <v>6.331475264186226E-2</v>
      </c>
      <c r="BT64" s="4">
        <f ca="1">+VLOOKUP($BG64,INDIRECT(Adrese!D$2),9,FALSE)</f>
        <v>6.4464255372747178E-2</v>
      </c>
      <c r="BU64" s="4">
        <f ca="1">+VLOOKUP($BG64,INDIRECT(Adrese!E$2),9,FALSE)</f>
        <v>5.9575854202617642E-2</v>
      </c>
      <c r="BV64" s="4">
        <f ca="1">+VLOOKUP($BG64,INDIRECT(Adrese!F$2),9,FALSE)</f>
        <v>6.2558921556135239E-2</v>
      </c>
      <c r="BW64" s="4" t="str">
        <f t="shared" ca="1" si="15"/>
        <v>0.06 (0.00)</v>
      </c>
      <c r="BX64" s="4">
        <f t="shared" ca="1" si="25"/>
        <v>6.2107452611521466E-2</v>
      </c>
      <c r="BY64" s="4">
        <f t="shared" ca="1" si="17"/>
        <v>1.9891634024486906E-3</v>
      </c>
    </row>
    <row r="65" spans="1:77" x14ac:dyDescent="0.25">
      <c r="A65" t="s">
        <v>122</v>
      </c>
      <c r="B65" s="11">
        <f ca="1">+VLOOKUP($A65,INDIRECT(Adrese!B$2),2,FALSE)</f>
        <v>44</v>
      </c>
      <c r="C65" s="11">
        <f ca="1">+VLOOKUP($A65,INDIRECT(Adrese!C$2),2,FALSE)</f>
        <v>21</v>
      </c>
      <c r="D65" s="11">
        <f ca="1">+VLOOKUP($A65,INDIRECT(Adrese!D$2),2,FALSE)</f>
        <v>17</v>
      </c>
      <c r="E65" s="11">
        <f ca="1">+VLOOKUP($A65,INDIRECT(Adrese!E$2),2,FALSE)</f>
        <v>48</v>
      </c>
      <c r="F65" s="11">
        <f ca="1">+VLOOKUP($A65,INDIRECT(Adrese!F$2),2,FALSE)</f>
        <v>37</v>
      </c>
      <c r="G65" s="4">
        <f t="shared" ca="1" si="18"/>
        <v>33.4</v>
      </c>
      <c r="J65" t="s">
        <v>122</v>
      </c>
      <c r="K65">
        <f ca="1">+VLOOKUP($A65,INDIRECT(Adrese!B$2),3,FALSE)</f>
        <v>139</v>
      </c>
      <c r="L65">
        <f ca="1">+VLOOKUP($A65,INDIRECT(Adrese!C$2),3,FALSE)</f>
        <v>137</v>
      </c>
      <c r="M65">
        <f ca="1">+VLOOKUP($A65,INDIRECT(Adrese!D$2),3,FALSE)</f>
        <v>124</v>
      </c>
      <c r="N65">
        <f ca="1">+VLOOKUP($A65,INDIRECT(Adrese!E$2),3,FALSE)</f>
        <v>142</v>
      </c>
      <c r="O65">
        <f ca="1">+VLOOKUP($A65,INDIRECT(Adrese!F$2),3,FALSE)</f>
        <v>132</v>
      </c>
      <c r="P65">
        <f t="shared" ca="1" si="1"/>
        <v>674</v>
      </c>
      <c r="Q65" s="4">
        <f t="shared" ca="1" si="19"/>
        <v>134.80000000000001</v>
      </c>
      <c r="R65" s="4"/>
      <c r="T65" t="s">
        <v>122</v>
      </c>
      <c r="U65">
        <f ca="1">+VLOOKUP($T65,INDIRECT(Adrese!B$2),4,FALSE)</f>
        <v>97919</v>
      </c>
      <c r="V65">
        <f ca="1">+VLOOKUP($T65,INDIRECT(Adrese!C$2),4,FALSE)</f>
        <v>99860</v>
      </c>
      <c r="W65">
        <f ca="1">+VLOOKUP($T65,INDIRECT(Adrese!D$2),4,FALSE)</f>
        <v>100881</v>
      </c>
      <c r="X65">
        <f ca="1">+VLOOKUP($T65,INDIRECT(Adrese!E$2),4,FALSE)</f>
        <v>97542</v>
      </c>
      <c r="Y65">
        <f ca="1">+VLOOKUP($T65,INDIRECT(Adrese!F$2),4,FALSE)</f>
        <v>98424</v>
      </c>
      <c r="Z65">
        <f t="shared" ca="1" si="3"/>
        <v>494626</v>
      </c>
      <c r="AA65" s="4">
        <f t="shared" ca="1" si="20"/>
        <v>98925.2</v>
      </c>
      <c r="AC65" t="s">
        <v>122</v>
      </c>
      <c r="AD65">
        <f ca="1">+VLOOKUP($A65,INDIRECT(Adrese!B$2),5,FALSE)</f>
        <v>18122</v>
      </c>
      <c r="AE65">
        <f ca="1">+VLOOKUP($A65,INDIRECT(Adrese!C$2),5,FALSE)</f>
        <v>19120</v>
      </c>
      <c r="AF65">
        <f ca="1">+VLOOKUP($A65,INDIRECT(Adrese!D$2),5,FALSE)</f>
        <v>19365</v>
      </c>
      <c r="AG65">
        <f ca="1">+VLOOKUP($A65,INDIRECT(Adrese!E$2),5,FALSE)</f>
        <v>17379</v>
      </c>
      <c r="AH65">
        <f ca="1">+VLOOKUP($A65,INDIRECT(Adrese!F$2),5,FALSE)</f>
        <v>18770</v>
      </c>
      <c r="AI65" s="4">
        <f t="shared" ca="1" si="21"/>
        <v>18551.2</v>
      </c>
      <c r="AJ65" s="4"/>
      <c r="AK65" s="4"/>
      <c r="AM65" t="s">
        <v>122</v>
      </c>
      <c r="AN65" s="4">
        <f ca="1">+VLOOKUP($A65,INDIRECT(Adrese!B$2),6,FALSE)</f>
        <v>0.39703539823008849</v>
      </c>
      <c r="AO65" s="4">
        <f ca="1">+VLOOKUP($A65,INDIRECT(Adrese!C$2),6,FALSE)</f>
        <v>0.41911504424778762</v>
      </c>
      <c r="AP65" s="4">
        <f ca="1">+VLOOKUP($A65,INDIRECT(Adrese!D$2),6,FALSE)</f>
        <v>0.42785398230088489</v>
      </c>
      <c r="AQ65" s="4">
        <f ca="1">+VLOOKUP($A65,INDIRECT(Adrese!E$2),6,FALSE)</f>
        <v>0.38389380530973449</v>
      </c>
      <c r="AR65" s="4">
        <f ca="1">+VLOOKUP($A65,INDIRECT(Adrese!F$2),6,FALSE)</f>
        <v>0.41141592920353981</v>
      </c>
      <c r="AS65" s="4" t="str">
        <f t="shared" ca="1" si="6"/>
        <v>0.41 (0.02)</v>
      </c>
      <c r="AT65" s="4">
        <f t="shared" ca="1" si="22"/>
        <v>0.40786283185840705</v>
      </c>
      <c r="AU65" s="4">
        <f t="shared" ca="1" si="8"/>
        <v>1.7540171272539748E-2</v>
      </c>
      <c r="AW65" t="s">
        <v>122</v>
      </c>
      <c r="AX65" s="4">
        <f ca="1">+VLOOKUP($A65,INDIRECT(Adrese!B$2),7,FALSE)</f>
        <v>0.38495575221238942</v>
      </c>
      <c r="AY65" s="4">
        <f ca="1">+VLOOKUP($A65,INDIRECT(Adrese!C$2),7,FALSE)</f>
        <v>0.39380530973451328</v>
      </c>
      <c r="AZ65" s="4">
        <f ca="1">+VLOOKUP($A65,INDIRECT(Adrese!D$2),7,FALSE)</f>
        <v>0.45132743362831862</v>
      </c>
      <c r="BA65" s="4">
        <f ca="1">+VLOOKUP($A65,INDIRECT(Adrese!E$2),7,FALSE)</f>
        <v>0.37168141592920362</v>
      </c>
      <c r="BB65" s="4">
        <f ca="1">+VLOOKUP($A65,INDIRECT(Adrese!F$2),7,FALSE)</f>
        <v>0.41592920353982299</v>
      </c>
      <c r="BC65" s="4" t="str">
        <f t="shared" ca="1" si="9"/>
        <v>0.40 (0.03)</v>
      </c>
      <c r="BD65">
        <f t="shared" ca="1" si="23"/>
        <v>0.40353982300884966</v>
      </c>
      <c r="BE65" s="4">
        <f t="shared" ca="1" si="11"/>
        <v>3.119390572037975E-2</v>
      </c>
      <c r="BG65" t="s">
        <v>122</v>
      </c>
      <c r="BH65" s="4">
        <f ca="1">+VLOOKUP($BG65,INDIRECT(Adrese!B$2),8,FALSE)</f>
        <v>6.308781535484316E-2</v>
      </c>
      <c r="BI65" s="4">
        <f ca="1">+VLOOKUP($BG65,INDIRECT(Adrese!C$2),8,FALSE)</f>
        <v>6.512127706527826E-2</v>
      </c>
      <c r="BJ65" s="4">
        <f ca="1">+VLOOKUP($BG65,INDIRECT(Adrese!D$2),8,FALSE)</f>
        <v>6.587570721435472E-2</v>
      </c>
      <c r="BK65" s="4">
        <f ca="1">+VLOOKUP($BG65,INDIRECT(Adrese!E$2),8,FALSE)</f>
        <v>6.0180553135481152E-2</v>
      </c>
      <c r="BL65" s="4">
        <f ca="1">+VLOOKUP($BG65,INDIRECT(Adrese!F$2),8,FALSE)</f>
        <v>6.4724502161653472E-2</v>
      </c>
      <c r="BM65" s="4" t="str">
        <f t="shared" ca="1" si="12"/>
        <v>0.06 (0.00)</v>
      </c>
      <c r="BN65" s="4">
        <f t="shared" ca="1" si="24"/>
        <v>6.3797970986322144E-2</v>
      </c>
      <c r="BO65" s="4">
        <f t="shared" ca="1" si="14"/>
        <v>2.2647637713041108E-3</v>
      </c>
      <c r="BQ65" t="s">
        <v>122</v>
      </c>
      <c r="BR65" s="4">
        <f ca="1">+VLOOKUP($BG65,INDIRECT(Adrese!B$2),9,FALSE)</f>
        <v>8.6568734311159856E-2</v>
      </c>
      <c r="BS65" s="4">
        <f ca="1">+VLOOKUP($BG65,INDIRECT(Adrese!C$2),9,FALSE)</f>
        <v>6.7506189343604875E-2</v>
      </c>
      <c r="BT65" s="4">
        <f ca="1">+VLOOKUP($BG65,INDIRECT(Adrese!D$2),9,FALSE)</f>
        <v>7.3193177636539583E-2</v>
      </c>
      <c r="BU65" s="4">
        <f ca="1">+VLOOKUP($BG65,INDIRECT(Adrese!E$2),9,FALSE)</f>
        <v>9.1744311551297156E-2</v>
      </c>
      <c r="BV65" s="4">
        <f ca="1">+VLOOKUP($BG65,INDIRECT(Adrese!F$2),9,FALSE)</f>
        <v>8.3082614201121202E-2</v>
      </c>
      <c r="BW65" s="4" t="str">
        <f t="shared" ca="1" si="15"/>
        <v>0.08 (0.01)</v>
      </c>
      <c r="BX65" s="4">
        <f t="shared" ca="1" si="25"/>
        <v>8.041900540874454E-2</v>
      </c>
      <c r="BY65" s="4">
        <f t="shared" ca="1" si="17"/>
        <v>9.901135570229664E-3</v>
      </c>
    </row>
    <row r="66" spans="1:77" x14ac:dyDescent="0.25">
      <c r="A66" t="s">
        <v>12</v>
      </c>
      <c r="B66" s="11">
        <f ca="1">+VLOOKUP($A66,INDIRECT(Adrese!B$2),2,FALSE)</f>
        <v>61</v>
      </c>
      <c r="C66" s="11">
        <f ca="1">+VLOOKUP($A66,INDIRECT(Adrese!C$2),2,FALSE)</f>
        <v>52</v>
      </c>
      <c r="D66" s="11">
        <f ca="1">+VLOOKUP($A66,INDIRECT(Adrese!D$2),2,FALSE)</f>
        <v>46</v>
      </c>
      <c r="E66" s="11">
        <f ca="1">+VLOOKUP($A66,INDIRECT(Adrese!E$2),2,FALSE)</f>
        <v>56</v>
      </c>
      <c r="F66" s="11">
        <f ca="1">+VLOOKUP($A66,INDIRECT(Adrese!F$2),2,FALSE)</f>
        <v>40</v>
      </c>
      <c r="G66" s="4">
        <f t="shared" ca="1" si="18"/>
        <v>51</v>
      </c>
      <c r="J66" t="s">
        <v>12</v>
      </c>
      <c r="K66">
        <f ca="1">+VLOOKUP($A66,INDIRECT(Adrese!B$2),3,FALSE)</f>
        <v>191</v>
      </c>
      <c r="L66">
        <f ca="1">+VLOOKUP($A66,INDIRECT(Adrese!C$2),3,FALSE)</f>
        <v>195</v>
      </c>
      <c r="M66">
        <f ca="1">+VLOOKUP($A66,INDIRECT(Adrese!D$2),3,FALSE)</f>
        <v>193</v>
      </c>
      <c r="N66">
        <f ca="1">+VLOOKUP($A66,INDIRECT(Adrese!E$2),3,FALSE)</f>
        <v>194</v>
      </c>
      <c r="O66">
        <f ca="1">+VLOOKUP($A66,INDIRECT(Adrese!F$2),3,FALSE)</f>
        <v>193</v>
      </c>
      <c r="P66">
        <f t="shared" ca="1" si="1"/>
        <v>966</v>
      </c>
      <c r="Q66" s="4">
        <f t="shared" ca="1" si="19"/>
        <v>193.2</v>
      </c>
      <c r="R66" s="4"/>
      <c r="T66" t="s">
        <v>12</v>
      </c>
      <c r="U66">
        <f ca="1">+VLOOKUP($T66,INDIRECT(Adrese!B$2),4,FALSE)</f>
        <v>97070</v>
      </c>
      <c r="V66">
        <f ca="1">+VLOOKUP($T66,INDIRECT(Adrese!C$2),4,FALSE)</f>
        <v>97440</v>
      </c>
      <c r="W66">
        <f ca="1">+VLOOKUP($T66,INDIRECT(Adrese!D$2),4,FALSE)</f>
        <v>97477</v>
      </c>
      <c r="X66">
        <f ca="1">+VLOOKUP($T66,INDIRECT(Adrese!E$2),4,FALSE)</f>
        <v>97217</v>
      </c>
      <c r="Y66">
        <f ca="1">+VLOOKUP($T66,INDIRECT(Adrese!F$2),4,FALSE)</f>
        <v>97967</v>
      </c>
      <c r="Z66">
        <f t="shared" ca="1" si="3"/>
        <v>487171</v>
      </c>
      <c r="AA66" s="4">
        <f t="shared" ca="1" si="20"/>
        <v>97434.2</v>
      </c>
      <c r="AC66" t="s">
        <v>12</v>
      </c>
      <c r="AD66">
        <f ca="1">+VLOOKUP($A66,INDIRECT(Adrese!B$2),5,FALSE)</f>
        <v>6659</v>
      </c>
      <c r="AE66">
        <f ca="1">+VLOOKUP($A66,INDIRECT(Adrese!C$2),5,FALSE)</f>
        <v>6551</v>
      </c>
      <c r="AF66">
        <f ca="1">+VLOOKUP($A66,INDIRECT(Adrese!D$2),5,FALSE)</f>
        <v>6530</v>
      </c>
      <c r="AG66">
        <f ca="1">+VLOOKUP($A66,INDIRECT(Adrese!E$2),5,FALSE)</f>
        <v>6517</v>
      </c>
      <c r="AH66">
        <f ca="1">+VLOOKUP($A66,INDIRECT(Adrese!F$2),5,FALSE)</f>
        <v>6450</v>
      </c>
      <c r="AI66" s="4">
        <f t="shared" ca="1" si="21"/>
        <v>6541.4</v>
      </c>
      <c r="AJ66" s="4"/>
      <c r="AK66" s="4"/>
      <c r="AM66" t="s">
        <v>12</v>
      </c>
      <c r="AN66" s="4">
        <f ca="1">+VLOOKUP($A66,INDIRECT(Adrese!B$2),6,FALSE)</f>
        <v>0.14674778761061949</v>
      </c>
      <c r="AO66" s="4">
        <f ca="1">+VLOOKUP($A66,INDIRECT(Adrese!C$2),6,FALSE)</f>
        <v>0.14440265486725659</v>
      </c>
      <c r="AP66" s="4">
        <f ca="1">+VLOOKUP($A66,INDIRECT(Adrese!D$2),6,FALSE)</f>
        <v>0.14384955752212389</v>
      </c>
      <c r="AQ66" s="4">
        <f ca="1">+VLOOKUP($A66,INDIRECT(Adrese!E$2),6,FALSE)</f>
        <v>0.14358407079646021</v>
      </c>
      <c r="AR66" s="4">
        <f ca="1">+VLOOKUP($A66,INDIRECT(Adrese!F$2),6,FALSE)</f>
        <v>0.14201327433628319</v>
      </c>
      <c r="AS66" s="4" t="str">
        <f t="shared" ca="1" si="6"/>
        <v>0.14 (0.00)</v>
      </c>
      <c r="AT66" s="4">
        <f t="shared" ca="1" si="22"/>
        <v>0.14411946902654865</v>
      </c>
      <c r="AU66" s="4">
        <f t="shared" ca="1" si="8"/>
        <v>1.7163778982245354E-3</v>
      </c>
      <c r="AW66" t="s">
        <v>12</v>
      </c>
      <c r="AX66" s="4">
        <f ca="1">+VLOOKUP($A66,INDIRECT(Adrese!B$2),7,FALSE)</f>
        <v>0.1548672566371681</v>
      </c>
      <c r="AY66" s="4">
        <f ca="1">+VLOOKUP($A66,INDIRECT(Adrese!C$2),7,FALSE)</f>
        <v>0.13716814159292029</v>
      </c>
      <c r="AZ66" s="4">
        <f ca="1">+VLOOKUP($A66,INDIRECT(Adrese!D$2),7,FALSE)</f>
        <v>0.14601769911504431</v>
      </c>
      <c r="BA66" s="4">
        <f ca="1">+VLOOKUP($A66,INDIRECT(Adrese!E$2),7,FALSE)</f>
        <v>0.1415929203539823</v>
      </c>
      <c r="BB66" s="4">
        <f ca="1">+VLOOKUP($A66,INDIRECT(Adrese!F$2),7,FALSE)</f>
        <v>0.14601769911504431</v>
      </c>
      <c r="BC66" s="4" t="str">
        <f t="shared" ca="1" si="9"/>
        <v>0.15 (0.01)</v>
      </c>
      <c r="BD66">
        <f t="shared" ca="1" si="23"/>
        <v>0.14513274336283186</v>
      </c>
      <c r="BE66" s="4">
        <f t="shared" ca="1" si="11"/>
        <v>6.5630075107041361E-3</v>
      </c>
      <c r="BG66" t="s">
        <v>12</v>
      </c>
      <c r="BH66" s="4">
        <f ca="1">+VLOOKUP($BG66,INDIRECT(Adrese!B$2),8,FALSE)</f>
        <v>1.8668422882062791E-2</v>
      </c>
      <c r="BI66" s="4">
        <f ca="1">+VLOOKUP($BG66,INDIRECT(Adrese!C$2),8,FALSE)</f>
        <v>1.855588805425518E-2</v>
      </c>
      <c r="BJ66" s="4">
        <f ca="1">+VLOOKUP($BG66,INDIRECT(Adrese!D$2),8,FALSE)</f>
        <v>1.8404958670009151E-2</v>
      </c>
      <c r="BK66" s="4">
        <f ca="1">+VLOOKUP($BG66,INDIRECT(Adrese!E$2),8,FALSE)</f>
        <v>1.8281818276934449E-2</v>
      </c>
      <c r="BL66" s="4">
        <f ca="1">+VLOOKUP($BG66,INDIRECT(Adrese!F$2),8,FALSE)</f>
        <v>1.8165906591799889E-2</v>
      </c>
      <c r="BM66" s="4" t="str">
        <f t="shared" ca="1" si="12"/>
        <v>0.02 (0.00)</v>
      </c>
      <c r="BN66" s="4">
        <f t="shared" ca="1" si="24"/>
        <v>1.8415398895012293E-2</v>
      </c>
      <c r="BO66" s="4">
        <f t="shared" ca="1" si="14"/>
        <v>2.0245834823125279E-4</v>
      </c>
      <c r="BQ66" t="s">
        <v>12</v>
      </c>
      <c r="BR66" s="4">
        <f ca="1">+VLOOKUP($BG66,INDIRECT(Adrese!B$2),9,FALSE)</f>
        <v>8.3969355037912835E-2</v>
      </c>
      <c r="BS66" s="4">
        <f ca="1">+VLOOKUP($BG66,INDIRECT(Adrese!C$2),9,FALSE)</f>
        <v>8.5841383058198356E-2</v>
      </c>
      <c r="BT66" s="4">
        <f ca="1">+VLOOKUP($BG66,INDIRECT(Adrese!D$2),9,FALSE)</f>
        <v>8.4455923977951861E-2</v>
      </c>
      <c r="BU66" s="4">
        <f ca="1">+VLOOKUP($BG66,INDIRECT(Adrese!E$2),9,FALSE)</f>
        <v>8.4184702775036743E-2</v>
      </c>
      <c r="BV66" s="4">
        <f ca="1">+VLOOKUP($BG66,INDIRECT(Adrese!F$2),9,FALSE)</f>
        <v>8.5873665236224E-2</v>
      </c>
      <c r="BW66" s="4" t="str">
        <f t="shared" ca="1" si="15"/>
        <v>0.08 (0.00)</v>
      </c>
      <c r="BX66" s="4">
        <f t="shared" ca="1" si="25"/>
        <v>8.4865006017064773E-2</v>
      </c>
      <c r="BY66" s="4">
        <f t="shared" ca="1" si="17"/>
        <v>9.2236880356261577E-4</v>
      </c>
    </row>
    <row r="67" spans="1:77" x14ac:dyDescent="0.25">
      <c r="A67" t="s">
        <v>123</v>
      </c>
      <c r="B67" s="11">
        <f ca="1">+VLOOKUP($A67,INDIRECT(Adrese!B$2),2,FALSE)</f>
        <v>120</v>
      </c>
      <c r="C67" s="11">
        <f ca="1">+VLOOKUP($A67,INDIRECT(Adrese!C$2),2,FALSE)</f>
        <v>97</v>
      </c>
      <c r="D67" s="11">
        <f ca="1">+VLOOKUP($A67,INDIRECT(Adrese!D$2),2,FALSE)</f>
        <v>121</v>
      </c>
      <c r="E67" s="11">
        <f ca="1">+VLOOKUP($A67,INDIRECT(Adrese!E$2),2,FALSE)</f>
        <v>150</v>
      </c>
      <c r="F67" s="11">
        <f ca="1">+VLOOKUP($A67,INDIRECT(Adrese!F$2),2,FALSE)</f>
        <v>78</v>
      </c>
      <c r="G67" s="4">
        <f t="shared" ca="1" si="18"/>
        <v>113.2</v>
      </c>
      <c r="J67" t="s">
        <v>123</v>
      </c>
      <c r="K67">
        <f ca="1">+VLOOKUP($A67,INDIRECT(Adrese!B$2),3,FALSE)</f>
        <v>58</v>
      </c>
      <c r="L67">
        <f ca="1">+VLOOKUP($A67,INDIRECT(Adrese!C$2),3,FALSE)</f>
        <v>63</v>
      </c>
      <c r="M67">
        <f ca="1">+VLOOKUP($A67,INDIRECT(Adrese!D$2),3,FALSE)</f>
        <v>62</v>
      </c>
      <c r="N67">
        <f ca="1">+VLOOKUP($A67,INDIRECT(Adrese!E$2),3,FALSE)</f>
        <v>62</v>
      </c>
      <c r="O67">
        <f ca="1">+VLOOKUP($A67,INDIRECT(Adrese!F$2),3,FALSE)</f>
        <v>66</v>
      </c>
      <c r="P67">
        <f t="shared" ca="1" si="1"/>
        <v>311</v>
      </c>
      <c r="Q67" s="4">
        <f t="shared" ca="1" si="19"/>
        <v>62.2</v>
      </c>
      <c r="R67" s="4"/>
      <c r="T67" t="s">
        <v>123</v>
      </c>
      <c r="U67">
        <f ca="1">+VLOOKUP($T67,INDIRECT(Adrese!B$2),4,FALSE)</f>
        <v>94606</v>
      </c>
      <c r="V67">
        <f ca="1">+VLOOKUP($T67,INDIRECT(Adrese!C$2),4,FALSE)</f>
        <v>95632</v>
      </c>
      <c r="W67">
        <f ca="1">+VLOOKUP($T67,INDIRECT(Adrese!D$2),4,FALSE)</f>
        <v>94854</v>
      </c>
      <c r="X67">
        <f ca="1">+VLOOKUP($T67,INDIRECT(Adrese!E$2),4,FALSE)</f>
        <v>93606</v>
      </c>
      <c r="Y67">
        <f ca="1">+VLOOKUP($T67,INDIRECT(Adrese!F$2),4,FALSE)</f>
        <v>96595</v>
      </c>
      <c r="Z67">
        <f t="shared" ca="1" si="3"/>
        <v>475293</v>
      </c>
      <c r="AA67" s="4">
        <f t="shared" ca="1" si="20"/>
        <v>95058.6</v>
      </c>
      <c r="AC67" t="s">
        <v>123</v>
      </c>
      <c r="AD67">
        <f ca="1">+VLOOKUP($A67,INDIRECT(Adrese!B$2),5,FALSE)</f>
        <v>28726</v>
      </c>
      <c r="AE67">
        <f ca="1">+VLOOKUP($A67,INDIRECT(Adrese!C$2),5,FALSE)</f>
        <v>28790</v>
      </c>
      <c r="AF67">
        <f ca="1">+VLOOKUP($A67,INDIRECT(Adrese!D$2),5,FALSE)</f>
        <v>28732</v>
      </c>
      <c r="AG67">
        <f ca="1">+VLOOKUP($A67,INDIRECT(Adrese!E$2),5,FALSE)</f>
        <v>28604</v>
      </c>
      <c r="AH67">
        <f ca="1">+VLOOKUP($A67,INDIRECT(Adrese!F$2),5,FALSE)</f>
        <v>29025</v>
      </c>
      <c r="AI67" s="4">
        <f t="shared" ca="1" si="21"/>
        <v>28775.4</v>
      </c>
      <c r="AJ67" s="4"/>
      <c r="AK67" s="4"/>
      <c r="AM67" t="s">
        <v>123</v>
      </c>
      <c r="AN67" s="4">
        <f ca="1">+VLOOKUP($A67,INDIRECT(Adrese!B$2),6,FALSE)</f>
        <v>0.63245575221238937</v>
      </c>
      <c r="AO67" s="4">
        <f ca="1">+VLOOKUP($A67,INDIRECT(Adrese!C$2),6,FALSE)</f>
        <v>0.6338716814159292</v>
      </c>
      <c r="AP67" s="4">
        <f ca="1">+VLOOKUP($A67,INDIRECT(Adrese!D$2),6,FALSE)</f>
        <v>0.63245575221238937</v>
      </c>
      <c r="AQ67" s="4">
        <f ca="1">+VLOOKUP($A67,INDIRECT(Adrese!E$2),6,FALSE)</f>
        <v>0.62982300884955755</v>
      </c>
      <c r="AR67" s="4">
        <f ca="1">+VLOOKUP($A67,INDIRECT(Adrese!F$2),6,FALSE)</f>
        <v>0.63909292035398235</v>
      </c>
      <c r="AS67" s="4" t="str">
        <f t="shared" ca="1" si="6"/>
        <v>0.63 (0.00)</v>
      </c>
      <c r="AT67" s="4">
        <f t="shared" ca="1" si="22"/>
        <v>0.63353982300884959</v>
      </c>
      <c r="AU67" s="4">
        <f t="shared" ca="1" si="8"/>
        <v>3.4319144294788122E-3</v>
      </c>
      <c r="AW67" t="s">
        <v>123</v>
      </c>
      <c r="AX67" s="4">
        <f ca="1">+VLOOKUP($A67,INDIRECT(Adrese!B$2),7,FALSE)</f>
        <v>0.74336283185840712</v>
      </c>
      <c r="AY67" s="4">
        <f ca="1">+VLOOKUP($A67,INDIRECT(Adrese!C$2),7,FALSE)</f>
        <v>0.72123893805309736</v>
      </c>
      <c r="AZ67" s="4">
        <f ca="1">+VLOOKUP($A67,INDIRECT(Adrese!D$2),7,FALSE)</f>
        <v>0.72566371681415931</v>
      </c>
      <c r="BA67" s="4">
        <f ca="1">+VLOOKUP($A67,INDIRECT(Adrese!E$2),7,FALSE)</f>
        <v>0.72566371681415931</v>
      </c>
      <c r="BB67" s="4">
        <f ca="1">+VLOOKUP($A67,INDIRECT(Adrese!F$2),7,FALSE)</f>
        <v>0.70796460176991149</v>
      </c>
      <c r="BC67" s="4" t="str">
        <f t="shared" ca="1" si="9"/>
        <v>0.72 (0.01)</v>
      </c>
      <c r="BD67">
        <f t="shared" ca="1" si="23"/>
        <v>0.72477876106194683</v>
      </c>
      <c r="BE67" s="4">
        <f t="shared" ca="1" si="11"/>
        <v>1.2670638109094138E-2</v>
      </c>
      <c r="BG67" t="s">
        <v>123</v>
      </c>
      <c r="BH67" s="4">
        <f ca="1">+VLOOKUP($BG67,INDIRECT(Adrese!B$2),8,FALSE)</f>
        <v>8.5837687425090084E-2</v>
      </c>
      <c r="BI67" s="4">
        <f ca="1">+VLOOKUP($BG67,INDIRECT(Adrese!C$2),8,FALSE)</f>
        <v>8.6264757071328385E-2</v>
      </c>
      <c r="BJ67" s="4">
        <f ca="1">+VLOOKUP($BG67,INDIRECT(Adrese!D$2),8,FALSE)</f>
        <v>8.596739510797323E-2</v>
      </c>
      <c r="BK67" s="4">
        <f ca="1">+VLOOKUP($BG67,INDIRECT(Adrese!E$2),8,FALSE)</f>
        <v>8.6045624971024554E-2</v>
      </c>
      <c r="BL67" s="4">
        <f ca="1">+VLOOKUP($BG67,INDIRECT(Adrese!F$2),8,FALSE)</f>
        <v>8.6933286538731183E-2</v>
      </c>
      <c r="BM67" s="4" t="str">
        <f t="shared" ca="1" si="12"/>
        <v>0.09 (0.00)</v>
      </c>
      <c r="BN67" s="4">
        <f t="shared" ca="1" si="24"/>
        <v>8.6209750222829493E-2</v>
      </c>
      <c r="BO67" s="4">
        <f t="shared" ca="1" si="14"/>
        <v>4.3319579269917723E-4</v>
      </c>
      <c r="BQ67" t="s">
        <v>123</v>
      </c>
      <c r="BR67" s="4">
        <f ca="1">+VLOOKUP($BG67,INDIRECT(Adrese!B$2),9,FALSE)</f>
        <v>-3.795983806269782E-3</v>
      </c>
      <c r="BS67" s="4">
        <f ca="1">+VLOOKUP($BG67,INDIRECT(Adrese!C$2),9,FALSE)</f>
        <v>-4.0079051366125823E-3</v>
      </c>
      <c r="BT67" s="4">
        <f ca="1">+VLOOKUP($BG67,INDIRECT(Adrese!D$2),9,FALSE)</f>
        <v>-2.591951471323599E-3</v>
      </c>
      <c r="BU67" s="4">
        <f ca="1">+VLOOKUP($BG67,INDIRECT(Adrese!E$2),9,FALSE)</f>
        <v>3.2343694901609197E-4</v>
      </c>
      <c r="BV67" s="4">
        <f ca="1">+VLOOKUP($BG67,INDIRECT(Adrese!F$2),9,FALSE)</f>
        <v>-4.154953863929044E-3</v>
      </c>
      <c r="BW67" s="4" t="str">
        <f t="shared" ca="1" si="15"/>
        <v>0.00 (0.00)</v>
      </c>
      <c r="BX67" s="4">
        <f t="shared" ca="1" si="25"/>
        <v>-2.8454714658237832E-3</v>
      </c>
      <c r="BY67" s="4">
        <f t="shared" ca="1" si="17"/>
        <v>1.8758813147775034E-3</v>
      </c>
    </row>
    <row r="68" spans="1:77" x14ac:dyDescent="0.25">
      <c r="A68" t="s">
        <v>124</v>
      </c>
      <c r="B68" s="11">
        <f ca="1">+VLOOKUP($A68,INDIRECT(Adrese!B$2),2,FALSE)</f>
        <v>88</v>
      </c>
      <c r="C68" s="11">
        <f ca="1">+VLOOKUP($A68,INDIRECT(Adrese!C$2),2,FALSE)</f>
        <v>74</v>
      </c>
      <c r="D68" s="11">
        <f ca="1">+VLOOKUP($A68,INDIRECT(Adrese!D$2),2,FALSE)</f>
        <v>76</v>
      </c>
      <c r="E68" s="11">
        <f ca="1">+VLOOKUP($A68,INDIRECT(Adrese!E$2),2,FALSE)</f>
        <v>71</v>
      </c>
      <c r="F68" s="11">
        <f ca="1">+VLOOKUP($A68,INDIRECT(Adrese!F$2),2,FALSE)</f>
        <v>51</v>
      </c>
      <c r="G68" s="4">
        <f t="shared" ca="1" si="18"/>
        <v>72</v>
      </c>
      <c r="J68" t="s">
        <v>124</v>
      </c>
      <c r="K68">
        <f ca="1">+VLOOKUP($A68,INDIRECT(Adrese!B$2),3,FALSE)</f>
        <v>28</v>
      </c>
      <c r="L68">
        <f ca="1">+VLOOKUP($A68,INDIRECT(Adrese!C$2),3,FALSE)</f>
        <v>23</v>
      </c>
      <c r="M68">
        <f ca="1">+VLOOKUP($A68,INDIRECT(Adrese!D$2),3,FALSE)</f>
        <v>24</v>
      </c>
      <c r="N68">
        <f ca="1">+VLOOKUP($A68,INDIRECT(Adrese!E$2),3,FALSE)</f>
        <v>21</v>
      </c>
      <c r="O68">
        <f ca="1">+VLOOKUP($A68,INDIRECT(Adrese!F$2),3,FALSE)</f>
        <v>25</v>
      </c>
      <c r="P68">
        <f t="shared" ref="P68:P131" ca="1" si="26">SUM(K68:O68)</f>
        <v>121</v>
      </c>
      <c r="Q68" s="4">
        <f t="shared" ca="1" si="19"/>
        <v>24.2</v>
      </c>
      <c r="R68" s="4"/>
      <c r="T68" t="s">
        <v>124</v>
      </c>
      <c r="U68">
        <f ca="1">+VLOOKUP($T68,INDIRECT(Adrese!B$2),4,FALSE)</f>
        <v>96170</v>
      </c>
      <c r="V68">
        <f ca="1">+VLOOKUP($T68,INDIRECT(Adrese!C$2),4,FALSE)</f>
        <v>96439</v>
      </c>
      <c r="W68">
        <f ca="1">+VLOOKUP($T68,INDIRECT(Adrese!D$2),4,FALSE)</f>
        <v>96569</v>
      </c>
      <c r="X68">
        <f ca="1">+VLOOKUP($T68,INDIRECT(Adrese!E$2),4,FALSE)</f>
        <v>96699</v>
      </c>
      <c r="Y68">
        <f ca="1">+VLOOKUP($T68,INDIRECT(Adrese!F$2),4,FALSE)</f>
        <v>97579</v>
      </c>
      <c r="Z68">
        <f t="shared" ref="Z68:Z131" ca="1" si="27">SUM(U68:Y68)</f>
        <v>483456</v>
      </c>
      <c r="AA68" s="4">
        <f t="shared" ca="1" si="20"/>
        <v>96691.199999999997</v>
      </c>
      <c r="AC68" t="s">
        <v>124</v>
      </c>
      <c r="AD68">
        <f ca="1">+VLOOKUP($A68,INDIRECT(Adrese!B$2),5,FALSE)</f>
        <v>32153</v>
      </c>
      <c r="AE68">
        <f ca="1">+VLOOKUP($A68,INDIRECT(Adrese!C$2),5,FALSE)</f>
        <v>32217</v>
      </c>
      <c r="AF68">
        <f ca="1">+VLOOKUP($A68,INDIRECT(Adrese!D$2),5,FALSE)</f>
        <v>32048</v>
      </c>
      <c r="AG68">
        <f ca="1">+VLOOKUP($A68,INDIRECT(Adrese!E$2),5,FALSE)</f>
        <v>32277</v>
      </c>
      <c r="AH68">
        <f ca="1">+VLOOKUP($A68,INDIRECT(Adrese!F$2),5,FALSE)</f>
        <v>32720</v>
      </c>
      <c r="AI68" s="4">
        <f t="shared" ca="1" si="21"/>
        <v>32283</v>
      </c>
      <c r="AJ68" s="4"/>
      <c r="AK68" s="4"/>
      <c r="AM68" t="s">
        <v>124</v>
      </c>
      <c r="AN68" s="4">
        <f ca="1">+VLOOKUP($A68,INDIRECT(Adrese!B$2),6,FALSE)</f>
        <v>0.70747787610619473</v>
      </c>
      <c r="AO68" s="4">
        <f ca="1">+VLOOKUP($A68,INDIRECT(Adrese!C$2),6,FALSE)</f>
        <v>0.70880530973451328</v>
      </c>
      <c r="AP68" s="4">
        <f ca="1">+VLOOKUP($A68,INDIRECT(Adrese!D$2),6,FALSE)</f>
        <v>0.70506637168141595</v>
      </c>
      <c r="AQ68" s="4">
        <f ca="1">+VLOOKUP($A68,INDIRECT(Adrese!E$2),6,FALSE)</f>
        <v>0.71013274336283183</v>
      </c>
      <c r="AR68" s="4">
        <f ca="1">+VLOOKUP($A68,INDIRECT(Adrese!F$2),6,FALSE)</f>
        <v>0.72004424778761067</v>
      </c>
      <c r="AS68" s="4" t="str">
        <f t="shared" ref="AS68:AS131" ca="1" si="28">TEXT(AT68,"0.00")&amp;" ("&amp;TEXT(AU68,"0.00")&amp;")"</f>
        <v>0.71 (0.01)</v>
      </c>
      <c r="AT68" s="4">
        <f t="shared" ca="1" si="22"/>
        <v>0.71030530973451333</v>
      </c>
      <c r="AU68" s="4">
        <f t="shared" ref="AU68:AU131" ca="1" si="29">_xlfn.STDEV.S(AN68:AR68)</f>
        <v>5.7568990437874097E-3</v>
      </c>
      <c r="AW68" t="s">
        <v>124</v>
      </c>
      <c r="AX68" s="4">
        <f ca="1">+VLOOKUP($A68,INDIRECT(Adrese!B$2),7,FALSE)</f>
        <v>0.87610619469026552</v>
      </c>
      <c r="AY68" s="4">
        <f ca="1">+VLOOKUP($A68,INDIRECT(Adrese!C$2),7,FALSE)</f>
        <v>0.89823008849557517</v>
      </c>
      <c r="AZ68" s="4">
        <f ca="1">+VLOOKUP($A68,INDIRECT(Adrese!D$2),7,FALSE)</f>
        <v>0.89380530973451322</v>
      </c>
      <c r="BA68" s="4">
        <f ca="1">+VLOOKUP($A68,INDIRECT(Adrese!E$2),7,FALSE)</f>
        <v>0.90707964601769908</v>
      </c>
      <c r="BB68" s="4">
        <f ca="1">+VLOOKUP($A68,INDIRECT(Adrese!F$2),7,FALSE)</f>
        <v>0.88938053097345138</v>
      </c>
      <c r="BC68" s="4" t="str">
        <f t="shared" ref="BC68:BC131" ca="1" si="30">TEXT(BD68,"0.00")&amp;" ("&amp;TEXT(BE68,"0.00")&amp;")"</f>
        <v>0.89 (0.01)</v>
      </c>
      <c r="BD68">
        <f t="shared" ca="1" si="23"/>
        <v>0.89292035398230085</v>
      </c>
      <c r="BE68" s="4">
        <f t="shared" ref="BE68:BE131" ca="1" si="31">_xlfn.STDEV.S(AX68:BB68)</f>
        <v>1.1453255845614822E-2</v>
      </c>
      <c r="BG68" t="s">
        <v>124</v>
      </c>
      <c r="BH68" s="4">
        <f ca="1">+VLOOKUP($BG68,INDIRECT(Adrese!B$2),8,FALSE)</f>
        <v>9.8270070632438866E-2</v>
      </c>
      <c r="BI68" s="4">
        <f ca="1">+VLOOKUP($BG68,INDIRECT(Adrese!C$2),8,FALSE)</f>
        <v>9.8689021568459073E-2</v>
      </c>
      <c r="BJ68" s="4">
        <f ca="1">+VLOOKUP($BG68,INDIRECT(Adrese!D$2),8,FALSE)</f>
        <v>9.7852107499639587E-2</v>
      </c>
      <c r="BK68" s="4">
        <f ca="1">+VLOOKUP($BG68,INDIRECT(Adrese!E$2),8,FALSE)</f>
        <v>9.8372444955481489E-2</v>
      </c>
      <c r="BL68" s="4">
        <f ca="1">+VLOOKUP($BG68,INDIRECT(Adrese!F$2),8,FALSE)</f>
        <v>9.975543877386539E-2</v>
      </c>
      <c r="BM68" s="4" t="str">
        <f t="shared" ref="BM68:BM131" ca="1" si="32">TEXT(BN68,"0.00")&amp;" ("&amp;TEXT(BO68,"0.00")&amp;")"</f>
        <v>0.10 (0.00)</v>
      </c>
      <c r="BN68" s="4">
        <f t="shared" ca="1" si="24"/>
        <v>9.8587816685976881E-2</v>
      </c>
      <c r="BO68" s="4">
        <f t="shared" ref="BO68:BO131" ca="1" si="33">_xlfn.STDEV.S(BH68:BL68)</f>
        <v>7.1801798585759699E-4</v>
      </c>
      <c r="BQ68" t="s">
        <v>124</v>
      </c>
      <c r="BR68" s="4">
        <f ca="1">+VLOOKUP($BG68,INDIRECT(Adrese!B$2),9,FALSE)</f>
        <v>-1.733375128850757E-2</v>
      </c>
      <c r="BS68" s="4">
        <f ca="1">+VLOOKUP($BG68,INDIRECT(Adrese!C$2),9,FALSE)</f>
        <v>-1.71777225693618E-2</v>
      </c>
      <c r="BT68" s="4">
        <f ca="1">+VLOOKUP($BG68,INDIRECT(Adrese!D$2),9,FALSE)</f>
        <v>-1.7001631401654699E-2</v>
      </c>
      <c r="BU68" s="4">
        <f ca="1">+VLOOKUP($BG68,INDIRECT(Adrese!E$2),9,FALSE)</f>
        <v>-1.7683446645712642E-2</v>
      </c>
      <c r="BV68" s="4">
        <f ca="1">+VLOOKUP($BG68,INDIRECT(Adrese!F$2),9,FALSE)</f>
        <v>-2.135177105351202E-2</v>
      </c>
      <c r="BW68" s="4" t="str">
        <f t="shared" ref="BW68:BW131" ca="1" si="34">TEXT(BX68,"0.00")&amp;" ("&amp;TEXT(BY68,"0.00")&amp;")"</f>
        <v>-0.02 (0.00)</v>
      </c>
      <c r="BX68" s="4">
        <f t="shared" ca="1" si="25"/>
        <v>-1.8109664591749747E-2</v>
      </c>
      <c r="BY68" s="4">
        <f t="shared" ref="BY68:BY131" ca="1" si="35">_xlfn.STDEV.S(BR68:BV68)</f>
        <v>1.8297001792997197E-3</v>
      </c>
    </row>
    <row r="69" spans="1:77" x14ac:dyDescent="0.25">
      <c r="A69" t="s">
        <v>125</v>
      </c>
      <c r="B69" s="11">
        <f ca="1">+VLOOKUP($A69,INDIRECT(Adrese!B$2),2,FALSE)</f>
        <v>39</v>
      </c>
      <c r="C69" s="11">
        <f ca="1">+VLOOKUP($A69,INDIRECT(Adrese!C$2),2,FALSE)</f>
        <v>46</v>
      </c>
      <c r="D69" s="11">
        <f ca="1">+VLOOKUP($A69,INDIRECT(Adrese!D$2),2,FALSE)</f>
        <v>97</v>
      </c>
      <c r="E69" s="11">
        <f ca="1">+VLOOKUP($A69,INDIRECT(Adrese!E$2),2,FALSE)</f>
        <v>30</v>
      </c>
      <c r="F69" s="11">
        <f ca="1">+VLOOKUP($A69,INDIRECT(Adrese!F$2),2,FALSE)</f>
        <v>63</v>
      </c>
      <c r="G69" s="4">
        <f t="shared" ca="1" si="18"/>
        <v>55</v>
      </c>
      <c r="J69" t="s">
        <v>125</v>
      </c>
      <c r="K69">
        <f ca="1">+VLOOKUP($A69,INDIRECT(Adrese!B$2),3,FALSE)</f>
        <v>142</v>
      </c>
      <c r="L69">
        <f ca="1">+VLOOKUP($A69,INDIRECT(Adrese!C$2),3,FALSE)</f>
        <v>135</v>
      </c>
      <c r="M69">
        <f ca="1">+VLOOKUP($A69,INDIRECT(Adrese!D$2),3,FALSE)</f>
        <v>139</v>
      </c>
      <c r="N69">
        <f ca="1">+VLOOKUP($A69,INDIRECT(Adrese!E$2),3,FALSE)</f>
        <v>133</v>
      </c>
      <c r="O69">
        <f ca="1">+VLOOKUP($A69,INDIRECT(Adrese!F$2),3,FALSE)</f>
        <v>136</v>
      </c>
      <c r="P69">
        <f t="shared" ca="1" si="26"/>
        <v>685</v>
      </c>
      <c r="Q69" s="4">
        <f t="shared" ca="1" si="19"/>
        <v>137</v>
      </c>
      <c r="R69" s="4"/>
      <c r="T69" t="s">
        <v>125</v>
      </c>
      <c r="U69">
        <f ca="1">+VLOOKUP($T69,INDIRECT(Adrese!B$2),4,FALSE)</f>
        <v>98208</v>
      </c>
      <c r="V69">
        <f ca="1">+VLOOKUP($T69,INDIRECT(Adrese!C$2),4,FALSE)</f>
        <v>97659</v>
      </c>
      <c r="W69">
        <f ca="1">+VLOOKUP($T69,INDIRECT(Adrese!D$2),4,FALSE)</f>
        <v>95929</v>
      </c>
      <c r="X69">
        <f ca="1">+VLOOKUP($T69,INDIRECT(Adrese!E$2),4,FALSE)</f>
        <v>98807</v>
      </c>
      <c r="Y69">
        <f ca="1">+VLOOKUP($T69,INDIRECT(Adrese!F$2),4,FALSE)</f>
        <v>97106</v>
      </c>
      <c r="Z69">
        <f t="shared" ca="1" si="27"/>
        <v>487709</v>
      </c>
      <c r="AA69" s="4">
        <f t="shared" ca="1" si="20"/>
        <v>97541.8</v>
      </c>
      <c r="AC69" t="s">
        <v>125</v>
      </c>
      <c r="AD69">
        <f ca="1">+VLOOKUP($A69,INDIRECT(Adrese!B$2),5,FALSE)</f>
        <v>21133</v>
      </c>
      <c r="AE69">
        <f ca="1">+VLOOKUP($A69,INDIRECT(Adrese!C$2),5,FALSE)</f>
        <v>20730</v>
      </c>
      <c r="AF69">
        <f ca="1">+VLOOKUP($A69,INDIRECT(Adrese!D$2),5,FALSE)</f>
        <v>20059</v>
      </c>
      <c r="AG69">
        <f ca="1">+VLOOKUP($A69,INDIRECT(Adrese!E$2),5,FALSE)</f>
        <v>21407</v>
      </c>
      <c r="AH69">
        <f ca="1">+VLOOKUP($A69,INDIRECT(Adrese!F$2),5,FALSE)</f>
        <v>20567</v>
      </c>
      <c r="AI69" s="4">
        <f t="shared" ca="1" si="21"/>
        <v>20779.2</v>
      </c>
      <c r="AJ69" s="4"/>
      <c r="AK69" s="4"/>
      <c r="AM69" t="s">
        <v>125</v>
      </c>
      <c r="AN69" s="4">
        <f ca="1">+VLOOKUP($A69,INDIRECT(Adrese!B$2),6,FALSE)</f>
        <v>0.46632743362831858</v>
      </c>
      <c r="AO69" s="4">
        <f ca="1">+VLOOKUP($A69,INDIRECT(Adrese!C$2),6,FALSE)</f>
        <v>0.45721238938053099</v>
      </c>
      <c r="AP69" s="4">
        <f ca="1">+VLOOKUP($A69,INDIRECT(Adrese!D$2),6,FALSE)</f>
        <v>0.44183628318584067</v>
      </c>
      <c r="AQ69" s="4">
        <f ca="1">+VLOOKUP($A69,INDIRECT(Adrese!E$2),6,FALSE)</f>
        <v>0.47130530973451329</v>
      </c>
      <c r="AR69" s="4">
        <f ca="1">+VLOOKUP($A69,INDIRECT(Adrese!F$2),6,FALSE)</f>
        <v>0.45305309734513272</v>
      </c>
      <c r="AS69" s="4" t="str">
        <f t="shared" ca="1" si="28"/>
        <v>0.46 (0.01)</v>
      </c>
      <c r="AT69" s="4">
        <f t="shared" ca="1" si="22"/>
        <v>0.45794690265486721</v>
      </c>
      <c r="AU69" s="4">
        <f t="shared" ca="1" si="29"/>
        <v>1.1540377365342682E-2</v>
      </c>
      <c r="AW69" t="s">
        <v>125</v>
      </c>
      <c r="AX69" s="4">
        <f ca="1">+VLOOKUP($A69,INDIRECT(Adrese!B$2),7,FALSE)</f>
        <v>0.37168141592920362</v>
      </c>
      <c r="AY69" s="4">
        <f ca="1">+VLOOKUP($A69,INDIRECT(Adrese!C$2),7,FALSE)</f>
        <v>0.40265486725663718</v>
      </c>
      <c r="AZ69" s="4">
        <f ca="1">+VLOOKUP($A69,INDIRECT(Adrese!D$2),7,FALSE)</f>
        <v>0.38495575221238942</v>
      </c>
      <c r="BA69" s="4">
        <f ca="1">+VLOOKUP($A69,INDIRECT(Adrese!E$2),7,FALSE)</f>
        <v>0.41150442477876098</v>
      </c>
      <c r="BB69" s="4">
        <f ca="1">+VLOOKUP($A69,INDIRECT(Adrese!F$2),7,FALSE)</f>
        <v>0.39823008849557517</v>
      </c>
      <c r="BC69" s="4" t="str">
        <f t="shared" ca="1" si="30"/>
        <v>0.39 (0.02)</v>
      </c>
      <c r="BD69">
        <f t="shared" ca="1" si="23"/>
        <v>0.39380530973451328</v>
      </c>
      <c r="BE69" s="4">
        <f t="shared" ca="1" si="31"/>
        <v>1.5643955335985504E-2</v>
      </c>
      <c r="BG69" t="s">
        <v>125</v>
      </c>
      <c r="BH69" s="4">
        <f ca="1">+VLOOKUP($BG69,INDIRECT(Adrese!B$2),8,FALSE)</f>
        <v>6.917032481546341E-2</v>
      </c>
      <c r="BI69" s="4">
        <f ca="1">+VLOOKUP($BG69,INDIRECT(Adrese!C$2),8,FALSE)</f>
        <v>6.8042630215922342E-2</v>
      </c>
      <c r="BJ69" s="4">
        <f ca="1">+VLOOKUP($BG69,INDIRECT(Adrese!D$2),8,FALSE)</f>
        <v>6.6194076189792672E-2</v>
      </c>
      <c r="BK69" s="4">
        <f ca="1">+VLOOKUP($BG69,INDIRECT(Adrese!E$2),8,FALSE)</f>
        <v>7.0310188862988302E-2</v>
      </c>
      <c r="BL69" s="4">
        <f ca="1">+VLOOKUP($BG69,INDIRECT(Adrese!F$2),8,FALSE)</f>
        <v>6.7621268158655212E-2</v>
      </c>
      <c r="BM69" s="4" t="str">
        <f t="shared" ca="1" si="32"/>
        <v>0.07 (0.00)</v>
      </c>
      <c r="BN69" s="4">
        <f t="shared" ca="1" si="24"/>
        <v>6.8267697648564385E-2</v>
      </c>
      <c r="BO69" s="4">
        <f t="shared" ca="1" si="33"/>
        <v>1.5616448501789618E-3</v>
      </c>
      <c r="BQ69" t="s">
        <v>125</v>
      </c>
      <c r="BR69" s="4">
        <f ca="1">+VLOOKUP($BG69,INDIRECT(Adrese!B$2),9,FALSE)</f>
        <v>7.6433730103823552E-2</v>
      </c>
      <c r="BS69" s="4">
        <f ca="1">+VLOOKUP($BG69,INDIRECT(Adrese!C$2),9,FALSE)</f>
        <v>7.5575459075041276E-2</v>
      </c>
      <c r="BT69" s="4">
        <f ca="1">+VLOOKUP($BG69,INDIRECT(Adrese!D$2),9,FALSE)</f>
        <v>8.2318337160569188E-2</v>
      </c>
      <c r="BU69" s="4">
        <f ca="1">+VLOOKUP($BG69,INDIRECT(Adrese!E$2),9,FALSE)</f>
        <v>7.1238744162637493E-2</v>
      </c>
      <c r="BV69" s="4">
        <f ca="1">+VLOOKUP($BG69,INDIRECT(Adrese!F$2),9,FALSE)</f>
        <v>7.4662123495601279E-2</v>
      </c>
      <c r="BW69" s="4" t="str">
        <f t="shared" ca="1" si="34"/>
        <v>0.08 (0.00)</v>
      </c>
      <c r="BX69" s="4">
        <f t="shared" ca="1" si="25"/>
        <v>7.6045678799534569E-2</v>
      </c>
      <c r="BY69" s="4">
        <f t="shared" ca="1" si="35"/>
        <v>4.0230206064834923E-3</v>
      </c>
    </row>
    <row r="70" spans="1:77" x14ac:dyDescent="0.25">
      <c r="A70" t="s">
        <v>126</v>
      </c>
      <c r="B70" s="11">
        <f ca="1">+VLOOKUP($A70,INDIRECT(Adrese!B$2),2,FALSE)</f>
        <v>38</v>
      </c>
      <c r="C70" s="11">
        <f ca="1">+VLOOKUP($A70,INDIRECT(Adrese!C$2),2,FALSE)</f>
        <v>36</v>
      </c>
      <c r="D70" s="11">
        <f ca="1">+VLOOKUP($A70,INDIRECT(Adrese!D$2),2,FALSE)</f>
        <v>84</v>
      </c>
      <c r="E70" s="11">
        <f ca="1">+VLOOKUP($A70,INDIRECT(Adrese!E$2),2,FALSE)</f>
        <v>63</v>
      </c>
      <c r="F70" s="11">
        <f ca="1">+VLOOKUP($A70,INDIRECT(Adrese!F$2),2,FALSE)</f>
        <v>55</v>
      </c>
      <c r="G70" s="4">
        <f t="shared" ca="1" si="18"/>
        <v>55.2</v>
      </c>
      <c r="J70" t="s">
        <v>126</v>
      </c>
      <c r="K70">
        <f ca="1">+VLOOKUP($A70,INDIRECT(Adrese!B$2),3,FALSE)</f>
        <v>105</v>
      </c>
      <c r="L70">
        <f ca="1">+VLOOKUP($A70,INDIRECT(Adrese!C$2),3,FALSE)</f>
        <v>98</v>
      </c>
      <c r="M70">
        <f ca="1">+VLOOKUP($A70,INDIRECT(Adrese!D$2),3,FALSE)</f>
        <v>95</v>
      </c>
      <c r="N70">
        <f ca="1">+VLOOKUP($A70,INDIRECT(Adrese!E$2),3,FALSE)</f>
        <v>101</v>
      </c>
      <c r="O70">
        <f ca="1">+VLOOKUP($A70,INDIRECT(Adrese!F$2),3,FALSE)</f>
        <v>106</v>
      </c>
      <c r="P70">
        <f t="shared" ca="1" si="26"/>
        <v>505</v>
      </c>
      <c r="Q70" s="4">
        <f t="shared" ca="1" si="19"/>
        <v>101</v>
      </c>
      <c r="R70" s="4"/>
      <c r="T70" t="s">
        <v>126</v>
      </c>
      <c r="U70">
        <f ca="1">+VLOOKUP($T70,INDIRECT(Adrese!B$2),4,FALSE)</f>
        <v>98222</v>
      </c>
      <c r="V70">
        <f ca="1">+VLOOKUP($T70,INDIRECT(Adrese!C$2),4,FALSE)</f>
        <v>98333</v>
      </c>
      <c r="W70">
        <f ca="1">+VLOOKUP($T70,INDIRECT(Adrese!D$2),4,FALSE)</f>
        <v>96251</v>
      </c>
      <c r="X70">
        <f ca="1">+VLOOKUP($T70,INDIRECT(Adrese!E$2),4,FALSE)</f>
        <v>96946</v>
      </c>
      <c r="Y70">
        <f ca="1">+VLOOKUP($T70,INDIRECT(Adrese!F$2),4,FALSE)</f>
        <v>97455</v>
      </c>
      <c r="Z70">
        <f t="shared" ca="1" si="27"/>
        <v>487207</v>
      </c>
      <c r="AA70" s="4">
        <f t="shared" ca="1" si="20"/>
        <v>97441.4</v>
      </c>
      <c r="AC70" t="s">
        <v>126</v>
      </c>
      <c r="AD70">
        <f ca="1">+VLOOKUP($A70,INDIRECT(Adrese!B$2),5,FALSE)</f>
        <v>22789</v>
      </c>
      <c r="AE70">
        <f ca="1">+VLOOKUP($A70,INDIRECT(Adrese!C$2),5,FALSE)</f>
        <v>22747</v>
      </c>
      <c r="AF70">
        <f ca="1">+VLOOKUP($A70,INDIRECT(Adrese!D$2),5,FALSE)</f>
        <v>22135</v>
      </c>
      <c r="AG70">
        <f ca="1">+VLOOKUP($A70,INDIRECT(Adrese!E$2),5,FALSE)</f>
        <v>22195</v>
      </c>
      <c r="AH70">
        <f ca="1">+VLOOKUP($A70,INDIRECT(Adrese!F$2),5,FALSE)</f>
        <v>22486</v>
      </c>
      <c r="AI70" s="4">
        <f t="shared" ca="1" si="21"/>
        <v>22470.400000000001</v>
      </c>
      <c r="AJ70" s="4"/>
      <c r="AK70" s="4"/>
      <c r="AM70" t="s">
        <v>126</v>
      </c>
      <c r="AN70" s="4">
        <f ca="1">+VLOOKUP($A70,INDIRECT(Adrese!B$2),6,FALSE)</f>
        <v>0.50188053097345131</v>
      </c>
      <c r="AO70" s="4">
        <f ca="1">+VLOOKUP($A70,INDIRECT(Adrese!C$2),6,FALSE)</f>
        <v>0.50130530973451326</v>
      </c>
      <c r="AP70" s="4">
        <f ca="1">+VLOOKUP($A70,INDIRECT(Adrese!D$2),6,FALSE)</f>
        <v>0.48807522123893798</v>
      </c>
      <c r="AQ70" s="4">
        <f ca="1">+VLOOKUP($A70,INDIRECT(Adrese!E$2),6,FALSE)</f>
        <v>0.48851769911504422</v>
      </c>
      <c r="AR70" s="4">
        <f ca="1">+VLOOKUP($A70,INDIRECT(Adrese!F$2),6,FALSE)</f>
        <v>0.49482300884955749</v>
      </c>
      <c r="AS70" s="4" t="str">
        <f t="shared" ca="1" si="28"/>
        <v>0.49 (0.01)</v>
      </c>
      <c r="AT70" s="4">
        <f t="shared" ca="1" si="22"/>
        <v>0.49492035398230083</v>
      </c>
      <c r="AU70" s="4">
        <f t="shared" ca="1" si="29"/>
        <v>6.6534019757598971E-3</v>
      </c>
      <c r="AW70" t="s">
        <v>126</v>
      </c>
      <c r="AX70" s="4">
        <f ca="1">+VLOOKUP($A70,INDIRECT(Adrese!B$2),7,FALSE)</f>
        <v>0.53539823008849563</v>
      </c>
      <c r="AY70" s="4">
        <f ca="1">+VLOOKUP($A70,INDIRECT(Adrese!C$2),7,FALSE)</f>
        <v>0.5663716814159292</v>
      </c>
      <c r="AZ70" s="4">
        <f ca="1">+VLOOKUP($A70,INDIRECT(Adrese!D$2),7,FALSE)</f>
        <v>0.57964601769911506</v>
      </c>
      <c r="BA70" s="4">
        <f ca="1">+VLOOKUP($A70,INDIRECT(Adrese!E$2),7,FALSE)</f>
        <v>0.55309734513274333</v>
      </c>
      <c r="BB70" s="4">
        <f ca="1">+VLOOKUP($A70,INDIRECT(Adrese!F$2),7,FALSE)</f>
        <v>0.53097345132743368</v>
      </c>
      <c r="BC70" s="4" t="str">
        <f t="shared" ca="1" si="30"/>
        <v>0.55 (0.02)</v>
      </c>
      <c r="BD70">
        <f t="shared" ca="1" si="23"/>
        <v>0.55309734513274333</v>
      </c>
      <c r="BE70" s="4">
        <f t="shared" ca="1" si="31"/>
        <v>2.0516855078530297E-2</v>
      </c>
      <c r="BG70" t="s">
        <v>126</v>
      </c>
      <c r="BH70" s="4">
        <f ca="1">+VLOOKUP($BG70,INDIRECT(Adrese!B$2),8,FALSE)</f>
        <v>7.3025170492319463E-2</v>
      </c>
      <c r="BI70" s="4">
        <f ca="1">+VLOOKUP($BG70,INDIRECT(Adrese!C$2),8,FALSE)</f>
        <v>7.2981342021434081E-2</v>
      </c>
      <c r="BJ70" s="4">
        <f ca="1">+VLOOKUP($BG70,INDIRECT(Adrese!D$2),8,FALSE)</f>
        <v>7.0904800246492192E-2</v>
      </c>
      <c r="BK70" s="4">
        <f ca="1">+VLOOKUP($BG70,INDIRECT(Adrese!E$2),8,FALSE)</f>
        <v>7.1140570587675075E-2</v>
      </c>
      <c r="BL70" s="4">
        <f ca="1">+VLOOKUP($BG70,INDIRECT(Adrese!F$2),8,FALSE)</f>
        <v>7.2458102075163941E-2</v>
      </c>
      <c r="BM70" s="4" t="str">
        <f t="shared" ca="1" si="32"/>
        <v>0.07 (0.00)</v>
      </c>
      <c r="BN70" s="4">
        <f t="shared" ca="1" si="24"/>
        <v>7.2101997084616953E-2</v>
      </c>
      <c r="BO70" s="4">
        <f t="shared" ca="1" si="33"/>
        <v>1.0136479419805122E-3</v>
      </c>
      <c r="BQ70" t="s">
        <v>126</v>
      </c>
      <c r="BR70" s="4">
        <f ca="1">+VLOOKUP($BG70,INDIRECT(Adrese!B$2),9,FALSE)</f>
        <v>5.8882276076622567E-2</v>
      </c>
      <c r="BS70" s="4">
        <f ca="1">+VLOOKUP($BG70,INDIRECT(Adrese!C$2),9,FALSE)</f>
        <v>5.909409032236887E-2</v>
      </c>
      <c r="BT70" s="4">
        <f ca="1">+VLOOKUP($BG70,INDIRECT(Adrese!D$2),9,FALSE)</f>
        <v>6.2914671913472095E-2</v>
      </c>
      <c r="BU70" s="4">
        <f ca="1">+VLOOKUP($BG70,INDIRECT(Adrese!E$2),9,FALSE)</f>
        <v>6.2055771900869347E-2</v>
      </c>
      <c r="BV70" s="4">
        <f ca="1">+VLOOKUP($BG70,INDIRECT(Adrese!F$2),9,FALSE)</f>
        <v>6.4568409782754174E-2</v>
      </c>
      <c r="BW70" s="4" t="str">
        <f t="shared" ca="1" si="34"/>
        <v>0.06 (0.00)</v>
      </c>
      <c r="BX70" s="4">
        <f t="shared" ca="1" si="25"/>
        <v>6.150304399921741E-2</v>
      </c>
      <c r="BY70" s="4">
        <f t="shared" ca="1" si="35"/>
        <v>2.4681040906812325E-3</v>
      </c>
    </row>
    <row r="71" spans="1:77" x14ac:dyDescent="0.25">
      <c r="A71" t="s">
        <v>127</v>
      </c>
      <c r="B71" s="11">
        <f ca="1">+VLOOKUP($A71,INDIRECT(Adrese!B$2),2,FALSE)</f>
        <v>30</v>
      </c>
      <c r="C71" s="11">
        <f ca="1">+VLOOKUP($A71,INDIRECT(Adrese!C$2),2,FALSE)</f>
        <v>49</v>
      </c>
      <c r="D71" s="11">
        <f ca="1">+VLOOKUP($A71,INDIRECT(Adrese!D$2),2,FALSE)</f>
        <v>29</v>
      </c>
      <c r="E71" s="11">
        <f ca="1">+VLOOKUP($A71,INDIRECT(Adrese!E$2),2,FALSE)</f>
        <v>50</v>
      </c>
      <c r="F71" s="11">
        <f ca="1">+VLOOKUP($A71,INDIRECT(Adrese!F$2),2,FALSE)</f>
        <v>46</v>
      </c>
      <c r="G71" s="4">
        <f t="shared" ca="1" si="18"/>
        <v>40.799999999999997</v>
      </c>
      <c r="J71" t="s">
        <v>127</v>
      </c>
      <c r="K71">
        <f ca="1">+VLOOKUP($A71,INDIRECT(Adrese!B$2),3,FALSE)</f>
        <v>81</v>
      </c>
      <c r="L71">
        <f ca="1">+VLOOKUP($A71,INDIRECT(Adrese!C$2),3,FALSE)</f>
        <v>80</v>
      </c>
      <c r="M71">
        <f ca="1">+VLOOKUP($A71,INDIRECT(Adrese!D$2),3,FALSE)</f>
        <v>87</v>
      </c>
      <c r="N71">
        <f ca="1">+VLOOKUP($A71,INDIRECT(Adrese!E$2),3,FALSE)</f>
        <v>88</v>
      </c>
      <c r="O71">
        <f ca="1">+VLOOKUP($A71,INDIRECT(Adrese!F$2),3,FALSE)</f>
        <v>81</v>
      </c>
      <c r="P71">
        <f t="shared" ca="1" si="26"/>
        <v>417</v>
      </c>
      <c r="Q71" s="4">
        <f t="shared" ca="1" si="19"/>
        <v>83.4</v>
      </c>
      <c r="R71" s="4"/>
      <c r="T71" t="s">
        <v>127</v>
      </c>
      <c r="U71">
        <f ca="1">+VLOOKUP($T71,INDIRECT(Adrese!B$2),4,FALSE)</f>
        <v>98736</v>
      </c>
      <c r="V71">
        <f ca="1">+VLOOKUP($T71,INDIRECT(Adrese!C$2),4,FALSE)</f>
        <v>97587</v>
      </c>
      <c r="W71">
        <f ca="1">+VLOOKUP($T71,INDIRECT(Adrese!D$2),4,FALSE)</f>
        <v>98711</v>
      </c>
      <c r="X71">
        <f ca="1">+VLOOKUP($T71,INDIRECT(Adrese!E$2),4,FALSE)</f>
        <v>97383</v>
      </c>
      <c r="Y71">
        <f ca="1">+VLOOKUP($T71,INDIRECT(Adrese!F$2),4,FALSE)</f>
        <v>97665</v>
      </c>
      <c r="Z71">
        <f t="shared" ca="1" si="27"/>
        <v>490082</v>
      </c>
      <c r="AA71" s="4">
        <f t="shared" ca="1" si="20"/>
        <v>98016.4</v>
      </c>
      <c r="AC71" t="s">
        <v>127</v>
      </c>
      <c r="AD71">
        <f ca="1">+VLOOKUP($A71,INDIRECT(Adrese!B$2),5,FALSE)</f>
        <v>23881</v>
      </c>
      <c r="AE71">
        <f ca="1">+VLOOKUP($A71,INDIRECT(Adrese!C$2),5,FALSE)</f>
        <v>23239</v>
      </c>
      <c r="AF71">
        <f ca="1">+VLOOKUP($A71,INDIRECT(Adrese!D$2),5,FALSE)</f>
        <v>23874</v>
      </c>
      <c r="AG71">
        <f ca="1">+VLOOKUP($A71,INDIRECT(Adrese!E$2),5,FALSE)</f>
        <v>23310</v>
      </c>
      <c r="AH71">
        <f ca="1">+VLOOKUP($A71,INDIRECT(Adrese!F$2),5,FALSE)</f>
        <v>23358</v>
      </c>
      <c r="AI71" s="4">
        <f t="shared" ca="1" si="21"/>
        <v>23532.400000000001</v>
      </c>
      <c r="AJ71" s="4"/>
      <c r="AK71" s="4"/>
      <c r="AM71" t="s">
        <v>127</v>
      </c>
      <c r="AN71" s="4">
        <f ca="1">+VLOOKUP($A71,INDIRECT(Adrese!B$2),6,FALSE)</f>
        <v>0.52555309734513278</v>
      </c>
      <c r="AO71" s="4">
        <f ca="1">+VLOOKUP($A71,INDIRECT(Adrese!C$2),6,FALSE)</f>
        <v>0.51099557522123895</v>
      </c>
      <c r="AP71" s="4">
        <f ca="1">+VLOOKUP($A71,INDIRECT(Adrese!D$2),6,FALSE)</f>
        <v>0.52460176991150442</v>
      </c>
      <c r="AQ71" s="4">
        <f ca="1">+VLOOKUP($A71,INDIRECT(Adrese!E$2),6,FALSE)</f>
        <v>0.5119247787610619</v>
      </c>
      <c r="AR71" s="4">
        <f ca="1">+VLOOKUP($A71,INDIRECT(Adrese!F$2),6,FALSE)</f>
        <v>0.51336283185840703</v>
      </c>
      <c r="AS71" s="4" t="str">
        <f t="shared" ca="1" si="28"/>
        <v>0.52 (0.01)</v>
      </c>
      <c r="AT71" s="4">
        <f t="shared" ca="1" si="22"/>
        <v>0.51728761061946904</v>
      </c>
      <c r="AU71" s="4">
        <f t="shared" ca="1" si="29"/>
        <v>7.1688346381891368E-3</v>
      </c>
      <c r="AW71" t="s">
        <v>127</v>
      </c>
      <c r="AX71" s="4">
        <f ca="1">+VLOOKUP($A71,INDIRECT(Adrese!B$2),7,FALSE)</f>
        <v>0.6415929203539823</v>
      </c>
      <c r="AY71" s="4">
        <f ca="1">+VLOOKUP($A71,INDIRECT(Adrese!C$2),7,FALSE)</f>
        <v>0.64601769911504425</v>
      </c>
      <c r="AZ71" s="4">
        <f ca="1">+VLOOKUP($A71,INDIRECT(Adrese!D$2),7,FALSE)</f>
        <v>0.61504424778761058</v>
      </c>
      <c r="BA71" s="4">
        <f ca="1">+VLOOKUP($A71,INDIRECT(Adrese!E$2),7,FALSE)</f>
        <v>0.61061946902654862</v>
      </c>
      <c r="BB71" s="4">
        <f ca="1">+VLOOKUP($A71,INDIRECT(Adrese!F$2),7,FALSE)</f>
        <v>0.6415929203539823</v>
      </c>
      <c r="BC71" s="4" t="str">
        <f t="shared" ca="1" si="30"/>
        <v>0.63 (0.02)</v>
      </c>
      <c r="BD71">
        <f t="shared" ca="1" si="23"/>
        <v>0.63097345132743354</v>
      </c>
      <c r="BE71" s="4">
        <f t="shared" ca="1" si="31"/>
        <v>1.6732451682468202E-2</v>
      </c>
      <c r="BG71" t="s">
        <v>127</v>
      </c>
      <c r="BH71" s="4">
        <f ca="1">+VLOOKUP($BG71,INDIRECT(Adrese!B$2),8,FALSE)</f>
        <v>7.6649784106796751E-2</v>
      </c>
      <c r="BI71" s="4">
        <f ca="1">+VLOOKUP($BG71,INDIRECT(Adrese!C$2),8,FALSE)</f>
        <v>7.4777496827345039E-2</v>
      </c>
      <c r="BJ71" s="4">
        <f ca="1">+VLOOKUP($BG71,INDIRECT(Adrese!D$2),8,FALSE)</f>
        <v>7.680243764499857E-2</v>
      </c>
      <c r="BK71" s="4">
        <f ca="1">+VLOOKUP($BG71,INDIRECT(Adrese!E$2),8,FALSE)</f>
        <v>7.5207895429819677E-2</v>
      </c>
      <c r="BL71" s="4">
        <f ca="1">+VLOOKUP($BG71,INDIRECT(Adrese!F$2),8,FALSE)</f>
        <v>7.4855300673504141E-2</v>
      </c>
      <c r="BM71" s="4" t="str">
        <f t="shared" ca="1" si="32"/>
        <v>0.08 (0.00)</v>
      </c>
      <c r="BN71" s="4">
        <f t="shared" ca="1" si="24"/>
        <v>7.5658582936492844E-2</v>
      </c>
      <c r="BO71" s="4">
        <f t="shared" ca="1" si="33"/>
        <v>9.8939093747356746E-4</v>
      </c>
      <c r="BQ71" t="s">
        <v>127</v>
      </c>
      <c r="BR71" s="4">
        <f ca="1">+VLOOKUP($BG71,INDIRECT(Adrese!B$2),9,FALSE)</f>
        <v>4.7797659054003593E-2</v>
      </c>
      <c r="BS71" s="4">
        <f ca="1">+VLOOKUP($BG71,INDIRECT(Adrese!C$2),9,FALSE)</f>
        <v>5.5772957616253303E-2</v>
      </c>
      <c r="BT71" s="4">
        <f ca="1">+VLOOKUP($BG71,INDIRECT(Adrese!D$2),9,FALSE)</f>
        <v>5.0669663197657623E-2</v>
      </c>
      <c r="BU71" s="4">
        <f ca="1">+VLOOKUP($BG71,INDIRECT(Adrese!E$2),9,FALSE)</f>
        <v>6.0295828501916629E-2</v>
      </c>
      <c r="BV71" s="4">
        <f ca="1">+VLOOKUP($BG71,INDIRECT(Adrese!F$2),9,FALSE)</f>
        <v>5.5705099351777497E-2</v>
      </c>
      <c r="BW71" s="4" t="str">
        <f t="shared" ca="1" si="34"/>
        <v>0.05 (0.00)</v>
      </c>
      <c r="BX71" s="4">
        <f t="shared" ca="1" si="25"/>
        <v>5.404824154432173E-2</v>
      </c>
      <c r="BY71" s="4">
        <f t="shared" ca="1" si="35"/>
        <v>4.8794656272084583E-3</v>
      </c>
    </row>
    <row r="72" spans="1:77" x14ac:dyDescent="0.25">
      <c r="A72" t="s">
        <v>128</v>
      </c>
      <c r="B72" s="11">
        <f ca="1">+VLOOKUP($A72,INDIRECT(Adrese!B$2),2,FALSE)</f>
        <v>27</v>
      </c>
      <c r="C72" s="11">
        <f ca="1">+VLOOKUP($A72,INDIRECT(Adrese!C$2),2,FALSE)</f>
        <v>30</v>
      </c>
      <c r="D72" s="11">
        <f ca="1">+VLOOKUP($A72,INDIRECT(Adrese!D$2),2,FALSE)</f>
        <v>41</v>
      </c>
      <c r="E72" s="11">
        <f ca="1">+VLOOKUP($A72,INDIRECT(Adrese!E$2),2,FALSE)</f>
        <v>33</v>
      </c>
      <c r="F72" s="11">
        <f ca="1">+VLOOKUP($A72,INDIRECT(Adrese!F$2),2,FALSE)</f>
        <v>36</v>
      </c>
      <c r="G72" s="4">
        <f t="shared" ca="1" si="18"/>
        <v>33.4</v>
      </c>
      <c r="J72" t="s">
        <v>128</v>
      </c>
      <c r="K72">
        <f ca="1">+VLOOKUP($A72,INDIRECT(Adrese!B$2),3,FALSE)</f>
        <v>32</v>
      </c>
      <c r="L72">
        <f ca="1">+VLOOKUP($A72,INDIRECT(Adrese!C$2),3,FALSE)</f>
        <v>42</v>
      </c>
      <c r="M72">
        <f ca="1">+VLOOKUP($A72,INDIRECT(Adrese!D$2),3,FALSE)</f>
        <v>33</v>
      </c>
      <c r="N72">
        <f ca="1">+VLOOKUP($A72,INDIRECT(Adrese!E$2),3,FALSE)</f>
        <v>35</v>
      </c>
      <c r="O72">
        <f ca="1">+VLOOKUP($A72,INDIRECT(Adrese!F$2),3,FALSE)</f>
        <v>43</v>
      </c>
      <c r="P72">
        <f t="shared" ca="1" si="26"/>
        <v>185</v>
      </c>
      <c r="Q72" s="4">
        <f t="shared" ca="1" si="19"/>
        <v>37</v>
      </c>
      <c r="R72" s="4"/>
      <c r="T72" t="s">
        <v>128</v>
      </c>
      <c r="U72">
        <f ca="1">+VLOOKUP($T72,INDIRECT(Adrese!B$2),4,FALSE)</f>
        <v>98950</v>
      </c>
      <c r="V72">
        <f ca="1">+VLOOKUP($T72,INDIRECT(Adrese!C$2),4,FALSE)</f>
        <v>98650</v>
      </c>
      <c r="W72">
        <f ca="1">+VLOOKUP($T72,INDIRECT(Adrese!D$2),4,FALSE)</f>
        <v>97879</v>
      </c>
      <c r="X72">
        <f ca="1">+VLOOKUP($T72,INDIRECT(Adrese!E$2),4,FALSE)</f>
        <v>98634</v>
      </c>
      <c r="Y72">
        <f ca="1">+VLOOKUP($T72,INDIRECT(Adrese!F$2),4,FALSE)</f>
        <v>98473</v>
      </c>
      <c r="Z72">
        <f t="shared" ca="1" si="27"/>
        <v>492586</v>
      </c>
      <c r="AA72" s="4">
        <f t="shared" ca="1" si="20"/>
        <v>98517.2</v>
      </c>
      <c r="AC72" t="s">
        <v>128</v>
      </c>
      <c r="AD72">
        <f ca="1">+VLOOKUP($A72,INDIRECT(Adrese!B$2),5,FALSE)</f>
        <v>27887</v>
      </c>
      <c r="AE72">
        <f ca="1">+VLOOKUP($A72,INDIRECT(Adrese!C$2),5,FALSE)</f>
        <v>27508</v>
      </c>
      <c r="AF72">
        <f ca="1">+VLOOKUP($A72,INDIRECT(Adrese!D$2),5,FALSE)</f>
        <v>27072</v>
      </c>
      <c r="AG72">
        <f ca="1">+VLOOKUP($A72,INDIRECT(Adrese!E$2),5,FALSE)</f>
        <v>27270</v>
      </c>
      <c r="AH72">
        <f ca="1">+VLOOKUP($A72,INDIRECT(Adrese!F$2),5,FALSE)</f>
        <v>27059</v>
      </c>
      <c r="AI72" s="4">
        <f t="shared" ca="1" si="21"/>
        <v>27359.200000000001</v>
      </c>
      <c r="AJ72" s="4"/>
      <c r="AK72" s="4"/>
      <c r="AM72" t="s">
        <v>128</v>
      </c>
      <c r="AN72" s="4">
        <f ca="1">+VLOOKUP($A72,INDIRECT(Adrese!B$2),6,FALSE)</f>
        <v>0.61298672566371681</v>
      </c>
      <c r="AO72" s="4">
        <f ca="1">+VLOOKUP($A72,INDIRECT(Adrese!C$2),6,FALSE)</f>
        <v>0.60462389380530979</v>
      </c>
      <c r="AP72" s="4">
        <f ca="1">+VLOOKUP($A72,INDIRECT(Adrese!D$2),6,FALSE)</f>
        <v>0.59484513274336281</v>
      </c>
      <c r="AQ72" s="4">
        <f ca="1">+VLOOKUP($A72,INDIRECT(Adrese!E$2),6,FALSE)</f>
        <v>0.59931415929203535</v>
      </c>
      <c r="AR72" s="4">
        <f ca="1">+VLOOKUP($A72,INDIRECT(Adrese!F$2),6,FALSE)</f>
        <v>0.59477876106194694</v>
      </c>
      <c r="AS72" s="4" t="str">
        <f t="shared" ca="1" si="28"/>
        <v>0.60 (0.01)</v>
      </c>
      <c r="AT72" s="4">
        <f t="shared" ca="1" si="22"/>
        <v>0.60130973451327441</v>
      </c>
      <c r="AU72" s="4">
        <f t="shared" ca="1" si="29"/>
        <v>7.6772844298880578E-3</v>
      </c>
      <c r="AW72" t="s">
        <v>128</v>
      </c>
      <c r="AX72" s="4">
        <f ca="1">+VLOOKUP($A72,INDIRECT(Adrese!B$2),7,FALSE)</f>
        <v>0.8584070796460177</v>
      </c>
      <c r="AY72" s="4">
        <f ca="1">+VLOOKUP($A72,INDIRECT(Adrese!C$2),7,FALSE)</f>
        <v>0.81415929203539827</v>
      </c>
      <c r="AZ72" s="4">
        <f ca="1">+VLOOKUP($A72,INDIRECT(Adrese!D$2),7,FALSE)</f>
        <v>0.85398230088495575</v>
      </c>
      <c r="BA72" s="4">
        <f ca="1">+VLOOKUP($A72,INDIRECT(Adrese!E$2),7,FALSE)</f>
        <v>0.84513274336283184</v>
      </c>
      <c r="BB72" s="4">
        <f ca="1">+VLOOKUP($A72,INDIRECT(Adrese!F$2),7,FALSE)</f>
        <v>0.80973451327433632</v>
      </c>
      <c r="BC72" s="4" t="str">
        <f t="shared" ca="1" si="30"/>
        <v>0.84 (0.02)</v>
      </c>
      <c r="BD72">
        <f t="shared" ca="1" si="23"/>
        <v>0.83628318584070804</v>
      </c>
      <c r="BE72" s="4">
        <f t="shared" ca="1" si="31"/>
        <v>2.2777942789794225E-2</v>
      </c>
      <c r="BG72" t="s">
        <v>128</v>
      </c>
      <c r="BH72" s="4">
        <f ca="1">+VLOOKUP($BG72,INDIRECT(Adrese!B$2),8,FALSE)</f>
        <v>8.8938087943313343E-2</v>
      </c>
      <c r="BI72" s="4">
        <f ca="1">+VLOOKUP($BG72,INDIRECT(Adrese!C$2),8,FALSE)</f>
        <v>8.8730199299944551E-2</v>
      </c>
      <c r="BJ72" s="4">
        <f ca="1">+VLOOKUP($BG72,INDIRECT(Adrese!D$2),8,FALSE)</f>
        <v>8.71398607514801E-2</v>
      </c>
      <c r="BK72" s="4">
        <f ca="1">+VLOOKUP($BG72,INDIRECT(Adrese!E$2),8,FALSE)</f>
        <v>8.7223503347715184E-2</v>
      </c>
      <c r="BL72" s="4">
        <f ca="1">+VLOOKUP($BG72,INDIRECT(Adrese!F$2),8,FALSE)</f>
        <v>8.6442020948717543E-2</v>
      </c>
      <c r="BM72" s="4" t="str">
        <f t="shared" ca="1" si="32"/>
        <v>0.09 (0.00)</v>
      </c>
      <c r="BN72" s="4">
        <f t="shared" ca="1" si="24"/>
        <v>8.7694734458234141E-2</v>
      </c>
      <c r="BO72" s="4">
        <f t="shared" ca="1" si="33"/>
        <v>1.0859730721995656E-3</v>
      </c>
      <c r="BQ72" t="s">
        <v>128</v>
      </c>
      <c r="BR72" s="4">
        <f ca="1">+VLOOKUP($BG72,INDIRECT(Adrese!B$2),9,FALSE)</f>
        <v>2.5213333062520431E-2</v>
      </c>
      <c r="BS72" s="4">
        <f ca="1">+VLOOKUP($BG72,INDIRECT(Adrese!C$2),9,FALSE)</f>
        <v>2.882797017876379E-2</v>
      </c>
      <c r="BT72" s="4">
        <f ca="1">+VLOOKUP($BG72,INDIRECT(Adrese!D$2),9,FALSE)</f>
        <v>3.5856632562619457E-2</v>
      </c>
      <c r="BU72" s="4">
        <f ca="1">+VLOOKUP($BG72,INDIRECT(Adrese!E$2),9,FALSE)</f>
        <v>2.9816206733043409E-2</v>
      </c>
      <c r="BV72" s="4">
        <f ca="1">+VLOOKUP($BG72,INDIRECT(Adrese!F$2),9,FALSE)</f>
        <v>2.4180493494917629E-2</v>
      </c>
      <c r="BW72" s="4" t="str">
        <f t="shared" ca="1" si="34"/>
        <v>0.03 (0.00)</v>
      </c>
      <c r="BX72" s="4">
        <f t="shared" ca="1" si="25"/>
        <v>2.8778927206372946E-2</v>
      </c>
      <c r="BY72" s="4">
        <f t="shared" ca="1" si="35"/>
        <v>4.6106214694104763E-3</v>
      </c>
    </row>
    <row r="73" spans="1:77" x14ac:dyDescent="0.25">
      <c r="A73" t="s">
        <v>129</v>
      </c>
      <c r="B73" s="11">
        <f ca="1">+VLOOKUP($A73,INDIRECT(Adrese!B$2),2,FALSE)</f>
        <v>104</v>
      </c>
      <c r="C73" s="11">
        <f ca="1">+VLOOKUP($A73,INDIRECT(Adrese!C$2),2,FALSE)</f>
        <v>103</v>
      </c>
      <c r="D73" s="11">
        <f ca="1">+VLOOKUP($A73,INDIRECT(Adrese!D$2),2,FALSE)</f>
        <v>115</v>
      </c>
      <c r="E73" s="11">
        <f ca="1">+VLOOKUP($A73,INDIRECT(Adrese!E$2),2,FALSE)</f>
        <v>115</v>
      </c>
      <c r="F73" s="11">
        <f ca="1">+VLOOKUP($A73,INDIRECT(Adrese!F$2),2,FALSE)</f>
        <v>128</v>
      </c>
      <c r="G73" s="4">
        <f t="shared" ca="1" si="18"/>
        <v>113</v>
      </c>
      <c r="J73" t="s">
        <v>129</v>
      </c>
      <c r="K73">
        <f ca="1">+VLOOKUP($A73,INDIRECT(Adrese!B$2),3,FALSE)</f>
        <v>163</v>
      </c>
      <c r="L73">
        <f ca="1">+VLOOKUP($A73,INDIRECT(Adrese!C$2),3,FALSE)</f>
        <v>170</v>
      </c>
      <c r="M73">
        <f ca="1">+VLOOKUP($A73,INDIRECT(Adrese!D$2),3,FALSE)</f>
        <v>164</v>
      </c>
      <c r="N73">
        <f ca="1">+VLOOKUP($A73,INDIRECT(Adrese!E$2),3,FALSE)</f>
        <v>162</v>
      </c>
      <c r="O73">
        <f ca="1">+VLOOKUP($A73,INDIRECT(Adrese!F$2),3,FALSE)</f>
        <v>162</v>
      </c>
      <c r="P73">
        <f t="shared" ca="1" si="26"/>
        <v>821</v>
      </c>
      <c r="Q73" s="4">
        <f t="shared" ca="1" si="19"/>
        <v>164.2</v>
      </c>
      <c r="R73" s="4"/>
      <c r="T73" t="s">
        <v>129</v>
      </c>
      <c r="U73">
        <f ca="1">+VLOOKUP($T73,INDIRECT(Adrese!B$2),4,FALSE)</f>
        <v>95397</v>
      </c>
      <c r="V73">
        <f ca="1">+VLOOKUP($T73,INDIRECT(Adrese!C$2),4,FALSE)</f>
        <v>95380</v>
      </c>
      <c r="W73">
        <f ca="1">+VLOOKUP($T73,INDIRECT(Adrese!D$2),4,FALSE)</f>
        <v>95330</v>
      </c>
      <c r="X73">
        <f ca="1">+VLOOKUP($T73,INDIRECT(Adrese!E$2),4,FALSE)</f>
        <v>95067</v>
      </c>
      <c r="Y73">
        <f ca="1">+VLOOKUP($T73,INDIRECT(Adrese!F$2),4,FALSE)</f>
        <v>94534</v>
      </c>
      <c r="Z73">
        <f t="shared" ca="1" si="27"/>
        <v>475708</v>
      </c>
      <c r="AA73" s="4">
        <f t="shared" ca="1" si="20"/>
        <v>95141.6</v>
      </c>
      <c r="AC73" t="s">
        <v>129</v>
      </c>
      <c r="AD73">
        <f ca="1">+VLOOKUP($A73,INDIRECT(Adrese!B$2),5,FALSE)</f>
        <v>8757</v>
      </c>
      <c r="AE73">
        <f ca="1">+VLOOKUP($A73,INDIRECT(Adrese!C$2),5,FALSE)</f>
        <v>8711</v>
      </c>
      <c r="AF73">
        <f ca="1">+VLOOKUP($A73,INDIRECT(Adrese!D$2),5,FALSE)</f>
        <v>8828</v>
      </c>
      <c r="AG73">
        <f ca="1">+VLOOKUP($A73,INDIRECT(Adrese!E$2),5,FALSE)</f>
        <v>8915</v>
      </c>
      <c r="AH73">
        <f ca="1">+VLOOKUP($A73,INDIRECT(Adrese!F$2),5,FALSE)</f>
        <v>8747</v>
      </c>
      <c r="AI73" s="4">
        <f t="shared" ca="1" si="21"/>
        <v>8791.6</v>
      </c>
      <c r="AJ73" s="4"/>
      <c r="AK73" s="4"/>
      <c r="AM73" t="s">
        <v>129</v>
      </c>
      <c r="AN73" s="4">
        <f ca="1">+VLOOKUP($A73,INDIRECT(Adrese!B$2),6,FALSE)</f>
        <v>0.1930973451327434</v>
      </c>
      <c r="AO73" s="4">
        <f ca="1">+VLOOKUP($A73,INDIRECT(Adrese!C$2),6,FALSE)</f>
        <v>0.19205752212389379</v>
      </c>
      <c r="AP73" s="4">
        <f ca="1">+VLOOKUP($A73,INDIRECT(Adrese!D$2),6,FALSE)</f>
        <v>0.19449115044247789</v>
      </c>
      <c r="AQ73" s="4">
        <f ca="1">+VLOOKUP($A73,INDIRECT(Adrese!E$2),6,FALSE)</f>
        <v>0.19652654867256639</v>
      </c>
      <c r="AR73" s="4">
        <f ca="1">+VLOOKUP($A73,INDIRECT(Adrese!F$2),6,FALSE)</f>
        <v>0.1927212389380531</v>
      </c>
      <c r="AS73" s="4" t="str">
        <f t="shared" ca="1" si="28"/>
        <v>0.19 (0.00)</v>
      </c>
      <c r="AT73" s="4">
        <f t="shared" ca="1" si="22"/>
        <v>0.19377876106194689</v>
      </c>
      <c r="AU73" s="4">
        <f t="shared" ca="1" si="29"/>
        <v>1.7750478567868664E-3</v>
      </c>
      <c r="AW73" t="s">
        <v>129</v>
      </c>
      <c r="AX73" s="4">
        <f ca="1">+VLOOKUP($A73,INDIRECT(Adrese!B$2),7,FALSE)</f>
        <v>0.27876106194690259</v>
      </c>
      <c r="AY73" s="4">
        <f ca="1">+VLOOKUP($A73,INDIRECT(Adrese!C$2),7,FALSE)</f>
        <v>0.247787610619469</v>
      </c>
      <c r="AZ73" s="4">
        <f ca="1">+VLOOKUP($A73,INDIRECT(Adrese!D$2),7,FALSE)</f>
        <v>0.27433628318584069</v>
      </c>
      <c r="BA73" s="4">
        <f ca="1">+VLOOKUP($A73,INDIRECT(Adrese!E$2),7,FALSE)</f>
        <v>0.2831858407079646</v>
      </c>
      <c r="BB73" s="4">
        <f ca="1">+VLOOKUP($A73,INDIRECT(Adrese!F$2),7,FALSE)</f>
        <v>0.2831858407079646</v>
      </c>
      <c r="BC73" s="4" t="str">
        <f t="shared" ca="1" si="30"/>
        <v>0.27 (0.01)</v>
      </c>
      <c r="BD73">
        <f t="shared" ca="1" si="23"/>
        <v>0.27345132743362832</v>
      </c>
      <c r="BE73" s="4">
        <f t="shared" ca="1" si="31"/>
        <v>1.4808142062550017E-2</v>
      </c>
      <c r="BG73" t="s">
        <v>129</v>
      </c>
      <c r="BH73" s="4">
        <f ca="1">+VLOOKUP($BG73,INDIRECT(Adrese!B$2),8,FALSE)</f>
        <v>2.6641378634585228E-2</v>
      </c>
      <c r="BI73" s="4">
        <f ca="1">+VLOOKUP($BG73,INDIRECT(Adrese!C$2),8,FALSE)</f>
        <v>2.6274715949877282E-2</v>
      </c>
      <c r="BJ73" s="4">
        <f ca="1">+VLOOKUP($BG73,INDIRECT(Adrese!D$2),8,FALSE)</f>
        <v>2.6890767685346591E-2</v>
      </c>
      <c r="BK73" s="4">
        <f ca="1">+VLOOKUP($BG73,INDIRECT(Adrese!E$2),8,FALSE)</f>
        <v>2.726344340526447E-2</v>
      </c>
      <c r="BL73" s="4">
        <f ca="1">+VLOOKUP($BG73,INDIRECT(Adrese!F$2),8,FALSE)</f>
        <v>2.668247363515355E-2</v>
      </c>
      <c r="BM73" s="4" t="str">
        <f t="shared" ca="1" si="32"/>
        <v>0.03 (0.00)</v>
      </c>
      <c r="BN73" s="4">
        <f t="shared" ca="1" si="24"/>
        <v>2.6750555862045423E-2</v>
      </c>
      <c r="BO73" s="4">
        <f t="shared" ca="1" si="33"/>
        <v>3.6252291858906787E-4</v>
      </c>
      <c r="BQ73" t="s">
        <v>129</v>
      </c>
      <c r="BR73" s="4">
        <f ca="1">+VLOOKUP($BG73,INDIRECT(Adrese!B$2),9,FALSE)</f>
        <v>9.0485283917766834E-2</v>
      </c>
      <c r="BS73" s="4">
        <f ca="1">+VLOOKUP($BG73,INDIRECT(Adrese!C$2),9,FALSE)</f>
        <v>9.0480752562876063E-2</v>
      </c>
      <c r="BT73" s="4">
        <f ca="1">+VLOOKUP($BG73,INDIRECT(Adrese!D$2),9,FALSE)</f>
        <v>9.1859757711748896E-2</v>
      </c>
      <c r="BU73" s="4">
        <f ca="1">+VLOOKUP($BG73,INDIRECT(Adrese!E$2),9,FALSE)</f>
        <v>9.1229723857685102E-2</v>
      </c>
      <c r="BV73" s="4">
        <f ca="1">+VLOOKUP($BG73,INDIRECT(Adrese!F$2),9,FALSE)</f>
        <v>9.2348161424068709E-2</v>
      </c>
      <c r="BW73" s="4" t="str">
        <f t="shared" ca="1" si="34"/>
        <v>0.09 (0.00)</v>
      </c>
      <c r="BX73" s="4">
        <f t="shared" ca="1" si="25"/>
        <v>9.1280735894829129E-2</v>
      </c>
      <c r="BY73" s="4">
        <f t="shared" ca="1" si="35"/>
        <v>8.2915362450062462E-4</v>
      </c>
    </row>
    <row r="74" spans="1:77" x14ac:dyDescent="0.25">
      <c r="A74" t="s">
        <v>130</v>
      </c>
      <c r="B74" s="11">
        <f ca="1">+VLOOKUP($A74,INDIRECT(Adrese!B$2),2,FALSE)</f>
        <v>172</v>
      </c>
      <c r="C74" s="11">
        <f ca="1">+VLOOKUP($A74,INDIRECT(Adrese!C$2),2,FALSE)</f>
        <v>171</v>
      </c>
      <c r="D74" s="11">
        <f ca="1">+VLOOKUP($A74,INDIRECT(Adrese!D$2),2,FALSE)</f>
        <v>174</v>
      </c>
      <c r="E74" s="11">
        <f ca="1">+VLOOKUP($A74,INDIRECT(Adrese!E$2),2,FALSE)</f>
        <v>167</v>
      </c>
      <c r="F74" s="11">
        <f ca="1">+VLOOKUP($A74,INDIRECT(Adrese!F$2),2,FALSE)</f>
        <v>173</v>
      </c>
      <c r="G74" s="4">
        <f t="shared" ca="1" si="18"/>
        <v>171.4</v>
      </c>
      <c r="J74" t="s">
        <v>130</v>
      </c>
      <c r="K74">
        <f ca="1">+VLOOKUP($A74,INDIRECT(Adrese!B$2),3,FALSE)</f>
        <v>85</v>
      </c>
      <c r="L74">
        <f ca="1">+VLOOKUP($A74,INDIRECT(Adrese!C$2),3,FALSE)</f>
        <v>85</v>
      </c>
      <c r="M74">
        <f ca="1">+VLOOKUP($A74,INDIRECT(Adrese!D$2),3,FALSE)</f>
        <v>89</v>
      </c>
      <c r="N74">
        <f ca="1">+VLOOKUP($A74,INDIRECT(Adrese!E$2),3,FALSE)</f>
        <v>85</v>
      </c>
      <c r="O74">
        <f ca="1">+VLOOKUP($A74,INDIRECT(Adrese!F$2),3,FALSE)</f>
        <v>86</v>
      </c>
      <c r="P74">
        <f t="shared" ca="1" si="26"/>
        <v>430</v>
      </c>
      <c r="Q74" s="4">
        <f t="shared" ca="1" si="19"/>
        <v>86</v>
      </c>
      <c r="R74" s="4"/>
      <c r="T74" t="s">
        <v>130</v>
      </c>
      <c r="U74">
        <f ca="1">+VLOOKUP($T74,INDIRECT(Adrese!B$2),4,FALSE)</f>
        <v>91928</v>
      </c>
      <c r="V74">
        <f ca="1">+VLOOKUP($T74,INDIRECT(Adrese!C$2),4,FALSE)</f>
        <v>92021</v>
      </c>
      <c r="W74">
        <f ca="1">+VLOOKUP($T74,INDIRECT(Adrese!D$2),4,FALSE)</f>
        <v>91493</v>
      </c>
      <c r="X74">
        <f ca="1">+VLOOKUP($T74,INDIRECT(Adrese!E$2),4,FALSE)</f>
        <v>92187</v>
      </c>
      <c r="Y74">
        <f ca="1">+VLOOKUP($T74,INDIRECT(Adrese!F$2),4,FALSE)</f>
        <v>91929</v>
      </c>
      <c r="Z74">
        <f t="shared" ca="1" si="27"/>
        <v>459558</v>
      </c>
      <c r="AA74" s="4">
        <f t="shared" ca="1" si="20"/>
        <v>91911.6</v>
      </c>
      <c r="AC74" t="s">
        <v>130</v>
      </c>
      <c r="AD74">
        <f ca="1">+VLOOKUP($A74,INDIRECT(Adrese!B$2),5,FALSE)</f>
        <v>23186</v>
      </c>
      <c r="AE74">
        <f ca="1">+VLOOKUP($A74,INDIRECT(Adrese!C$2),5,FALSE)</f>
        <v>23147</v>
      </c>
      <c r="AF74">
        <f ca="1">+VLOOKUP($A74,INDIRECT(Adrese!D$2),5,FALSE)</f>
        <v>23090</v>
      </c>
      <c r="AG74">
        <f ca="1">+VLOOKUP($A74,INDIRECT(Adrese!E$2),5,FALSE)</f>
        <v>23131</v>
      </c>
      <c r="AH74">
        <f ca="1">+VLOOKUP($A74,INDIRECT(Adrese!F$2),5,FALSE)</f>
        <v>23162</v>
      </c>
      <c r="AI74" s="4">
        <f t="shared" ca="1" si="21"/>
        <v>23143.200000000001</v>
      </c>
      <c r="AJ74" s="4"/>
      <c r="AK74" s="4"/>
      <c r="AM74" t="s">
        <v>130</v>
      </c>
      <c r="AN74" s="4">
        <f ca="1">+VLOOKUP($A74,INDIRECT(Adrese!B$2),6,FALSE)</f>
        <v>0.51055309734513277</v>
      </c>
      <c r="AO74" s="4">
        <f ca="1">+VLOOKUP($A74,INDIRECT(Adrese!C$2),6,FALSE)</f>
        <v>0.50991150442477873</v>
      </c>
      <c r="AP74" s="4">
        <f ca="1">+VLOOKUP($A74,INDIRECT(Adrese!D$2),6,FALSE)</f>
        <v>0.50858407079646017</v>
      </c>
      <c r="AQ74" s="4">
        <f ca="1">+VLOOKUP($A74,INDIRECT(Adrese!E$2),6,FALSE)</f>
        <v>0.50940265486725667</v>
      </c>
      <c r="AR74" s="4">
        <f ca="1">+VLOOKUP($A74,INDIRECT(Adrese!F$2),6,FALSE)</f>
        <v>0.51022123893805305</v>
      </c>
      <c r="AS74" s="4" t="str">
        <f t="shared" ca="1" si="28"/>
        <v>0.51 (0.00)</v>
      </c>
      <c r="AT74" s="4">
        <f t="shared" ca="1" si="22"/>
        <v>0.50973451327433628</v>
      </c>
      <c r="AU74" s="4">
        <f t="shared" ca="1" si="29"/>
        <v>7.7005771167951219E-4</v>
      </c>
      <c r="AW74" t="s">
        <v>130</v>
      </c>
      <c r="AX74" s="4">
        <f ca="1">+VLOOKUP($A74,INDIRECT(Adrese!B$2),7,FALSE)</f>
        <v>0.62389380530973448</v>
      </c>
      <c r="AY74" s="4">
        <f ca="1">+VLOOKUP($A74,INDIRECT(Adrese!C$2),7,FALSE)</f>
        <v>0.62389380530973448</v>
      </c>
      <c r="AZ74" s="4">
        <f ca="1">+VLOOKUP($A74,INDIRECT(Adrese!D$2),7,FALSE)</f>
        <v>0.60619469026548678</v>
      </c>
      <c r="BA74" s="4">
        <f ca="1">+VLOOKUP($A74,INDIRECT(Adrese!E$2),7,FALSE)</f>
        <v>0.62389380530973448</v>
      </c>
      <c r="BB74" s="4">
        <f ca="1">+VLOOKUP($A74,INDIRECT(Adrese!F$2),7,FALSE)</f>
        <v>0.61946902654867253</v>
      </c>
      <c r="BC74" s="4" t="str">
        <f t="shared" ca="1" si="30"/>
        <v>0.62 (0.01)</v>
      </c>
      <c r="BD74">
        <f t="shared" ca="1" si="23"/>
        <v>0.61946902654867264</v>
      </c>
      <c r="BE74" s="4">
        <f t="shared" ca="1" si="31"/>
        <v>7.6639416264109254E-3</v>
      </c>
      <c r="BG74" t="s">
        <v>130</v>
      </c>
      <c r="BH74" s="4">
        <f ca="1">+VLOOKUP($BG74,INDIRECT(Adrese!B$2),8,FALSE)</f>
        <v>6.5052886618441247E-2</v>
      </c>
      <c r="BI74" s="4">
        <f ca="1">+VLOOKUP($BG74,INDIRECT(Adrese!C$2),8,FALSE)</f>
        <v>6.4978772853712369E-2</v>
      </c>
      <c r="BJ74" s="4">
        <f ca="1">+VLOOKUP($BG74,INDIRECT(Adrese!D$2),8,FALSE)</f>
        <v>6.4796284347269584E-2</v>
      </c>
      <c r="BK74" s="4">
        <f ca="1">+VLOOKUP($BG74,INDIRECT(Adrese!E$2),8,FALSE)</f>
        <v>6.4961643127105353E-2</v>
      </c>
      <c r="BL74" s="4">
        <f ca="1">+VLOOKUP($BG74,INDIRECT(Adrese!F$2),8,FALSE)</f>
        <v>6.5252730874392956E-2</v>
      </c>
      <c r="BM74" s="4" t="str">
        <f t="shared" ca="1" si="32"/>
        <v>0.07 (0.00)</v>
      </c>
      <c r="BN74" s="4">
        <f t="shared" ca="1" si="24"/>
        <v>6.5008463564184299E-2</v>
      </c>
      <c r="BO74" s="4">
        <f t="shared" ca="1" si="33"/>
        <v>1.6563034013520979E-4</v>
      </c>
      <c r="BQ74" t="s">
        <v>130</v>
      </c>
      <c r="BR74" s="4">
        <f ca="1">+VLOOKUP($BG74,INDIRECT(Adrese!B$2),9,FALSE)</f>
        <v>-2.2811409574177428E-3</v>
      </c>
      <c r="BS74" s="4">
        <f ca="1">+VLOOKUP($BG74,INDIRECT(Adrese!C$2),9,FALSE)</f>
        <v>-2.4274930919643599E-3</v>
      </c>
      <c r="BT74" s="4">
        <f ca="1">+VLOOKUP($BG74,INDIRECT(Adrese!D$2),9,FALSE)</f>
        <v>-1.514921500248541E-3</v>
      </c>
      <c r="BU74" s="4">
        <f ca="1">+VLOOKUP($BG74,INDIRECT(Adrese!E$2),9,FALSE)</f>
        <v>-1.995807624927634E-3</v>
      </c>
      <c r="BV74" s="4">
        <f ca="1">+VLOOKUP($BG74,INDIRECT(Adrese!F$2),9,FALSE)</f>
        <v>-1.8447336641413421E-3</v>
      </c>
      <c r="BW74" s="4" t="str">
        <f t="shared" ca="1" si="34"/>
        <v>0.00 (0.00)</v>
      </c>
      <c r="BX74" s="4">
        <f t="shared" ca="1" si="25"/>
        <v>-2.0128193677399239E-3</v>
      </c>
      <c r="BY74" s="4">
        <f t="shared" ca="1" si="35"/>
        <v>3.6069213418426658E-4</v>
      </c>
    </row>
    <row r="75" spans="1:77" x14ac:dyDescent="0.25">
      <c r="A75" t="s">
        <v>131</v>
      </c>
      <c r="B75" s="11">
        <f ca="1">+VLOOKUP($A75,INDIRECT(Adrese!B$2),2,FALSE)</f>
        <v>95</v>
      </c>
      <c r="C75" s="11">
        <f ca="1">+VLOOKUP($A75,INDIRECT(Adrese!C$2),2,FALSE)</f>
        <v>151</v>
      </c>
      <c r="D75" s="11">
        <f ca="1">+VLOOKUP($A75,INDIRECT(Adrese!D$2),2,FALSE)</f>
        <v>62</v>
      </c>
      <c r="E75" s="11">
        <f ca="1">+VLOOKUP($A75,INDIRECT(Adrese!E$2),2,FALSE)</f>
        <v>77</v>
      </c>
      <c r="F75" s="11">
        <f ca="1">+VLOOKUP($A75,INDIRECT(Adrese!F$2),2,FALSE)</f>
        <v>117</v>
      </c>
      <c r="G75" s="4">
        <f t="shared" ca="1" si="18"/>
        <v>100.4</v>
      </c>
      <c r="J75" t="s">
        <v>131</v>
      </c>
      <c r="K75">
        <f ca="1">+VLOOKUP($A75,INDIRECT(Adrese!B$2),3,FALSE)</f>
        <v>22</v>
      </c>
      <c r="L75">
        <f ca="1">+VLOOKUP($A75,INDIRECT(Adrese!C$2),3,FALSE)</f>
        <v>14</v>
      </c>
      <c r="M75">
        <f ca="1">+VLOOKUP($A75,INDIRECT(Adrese!D$2),3,FALSE)</f>
        <v>23</v>
      </c>
      <c r="N75">
        <f ca="1">+VLOOKUP($A75,INDIRECT(Adrese!E$2),3,FALSE)</f>
        <v>26</v>
      </c>
      <c r="O75">
        <f ca="1">+VLOOKUP($A75,INDIRECT(Adrese!F$2),3,FALSE)</f>
        <v>11</v>
      </c>
      <c r="P75">
        <f t="shared" ca="1" si="26"/>
        <v>96</v>
      </c>
      <c r="Q75" s="4">
        <f t="shared" ca="1" si="19"/>
        <v>19.2</v>
      </c>
      <c r="R75" s="4"/>
      <c r="T75" t="s">
        <v>131</v>
      </c>
      <c r="U75">
        <f ca="1">+VLOOKUP($T75,INDIRECT(Adrese!B$2),4,FALSE)</f>
        <v>95881</v>
      </c>
      <c r="V75">
        <f ca="1">+VLOOKUP($T75,INDIRECT(Adrese!C$2),4,FALSE)</f>
        <v>93554</v>
      </c>
      <c r="W75">
        <f ca="1">+VLOOKUP($T75,INDIRECT(Adrese!D$2),4,FALSE)</f>
        <v>96904</v>
      </c>
      <c r="X75">
        <f ca="1">+VLOOKUP($T75,INDIRECT(Adrese!E$2),4,FALSE)</f>
        <v>96538</v>
      </c>
      <c r="Y75">
        <f ca="1">+VLOOKUP($T75,INDIRECT(Adrese!F$2),4,FALSE)</f>
        <v>94971</v>
      </c>
      <c r="Z75">
        <f t="shared" ca="1" si="27"/>
        <v>477848</v>
      </c>
      <c r="AA75" s="4">
        <f t="shared" ca="1" si="20"/>
        <v>95569.600000000006</v>
      </c>
      <c r="AC75" t="s">
        <v>131</v>
      </c>
      <c r="AD75">
        <f ca="1">+VLOOKUP($A75,INDIRECT(Adrese!B$2),5,FALSE)</f>
        <v>33136</v>
      </c>
      <c r="AE75">
        <f ca="1">+VLOOKUP($A75,INDIRECT(Adrese!C$2),5,FALSE)</f>
        <v>31949</v>
      </c>
      <c r="AF75">
        <f ca="1">+VLOOKUP($A75,INDIRECT(Adrese!D$2),5,FALSE)</f>
        <v>32854</v>
      </c>
      <c r="AG75">
        <f ca="1">+VLOOKUP($A75,INDIRECT(Adrese!E$2),5,FALSE)</f>
        <v>32996</v>
      </c>
      <c r="AH75">
        <f ca="1">+VLOOKUP($A75,INDIRECT(Adrese!F$2),5,FALSE)</f>
        <v>32573</v>
      </c>
      <c r="AI75" s="4">
        <f t="shared" ca="1" si="21"/>
        <v>32701.599999999999</v>
      </c>
      <c r="AJ75" s="4"/>
      <c r="AK75" s="4"/>
      <c r="AM75" t="s">
        <v>131</v>
      </c>
      <c r="AN75" s="4">
        <f ca="1">+VLOOKUP($A75,INDIRECT(Adrese!B$2),6,FALSE)</f>
        <v>0.72931415929203536</v>
      </c>
      <c r="AO75" s="4">
        <f ca="1">+VLOOKUP($A75,INDIRECT(Adrese!C$2),6,FALSE)</f>
        <v>0.70298672566371678</v>
      </c>
      <c r="AP75" s="4">
        <f ca="1">+VLOOKUP($A75,INDIRECT(Adrese!D$2),6,FALSE)</f>
        <v>0.72307522123893808</v>
      </c>
      <c r="AQ75" s="4">
        <f ca="1">+VLOOKUP($A75,INDIRECT(Adrese!E$2),6,FALSE)</f>
        <v>0.72603982300884951</v>
      </c>
      <c r="AR75" s="4">
        <f ca="1">+VLOOKUP($A75,INDIRECT(Adrese!F$2),6,FALSE)</f>
        <v>0.71672566371681412</v>
      </c>
      <c r="AS75" s="4" t="str">
        <f t="shared" ca="1" si="28"/>
        <v>0.72 (0.01)</v>
      </c>
      <c r="AT75" s="4">
        <f t="shared" ca="1" si="22"/>
        <v>0.71962831858407084</v>
      </c>
      <c r="AU75" s="4">
        <f t="shared" ca="1" si="29"/>
        <v>1.0394374167384215E-2</v>
      </c>
      <c r="AW75" t="s">
        <v>131</v>
      </c>
      <c r="AX75" s="4">
        <f ca="1">+VLOOKUP($A75,INDIRECT(Adrese!B$2),7,FALSE)</f>
        <v>0.90265486725663713</v>
      </c>
      <c r="AY75" s="4">
        <f ca="1">+VLOOKUP($A75,INDIRECT(Adrese!C$2),7,FALSE)</f>
        <v>0.93805309734513276</v>
      </c>
      <c r="AZ75" s="4">
        <f ca="1">+VLOOKUP($A75,INDIRECT(Adrese!D$2),7,FALSE)</f>
        <v>0.89823008849557517</v>
      </c>
      <c r="BA75" s="4">
        <f ca="1">+VLOOKUP($A75,INDIRECT(Adrese!E$2),7,FALSE)</f>
        <v>0.88495575221238942</v>
      </c>
      <c r="BB75" s="4">
        <f ca="1">+VLOOKUP($A75,INDIRECT(Adrese!F$2),7,FALSE)</f>
        <v>0.95132743362831862</v>
      </c>
      <c r="BC75" s="4" t="str">
        <f t="shared" ca="1" si="30"/>
        <v>0.92 (0.03)</v>
      </c>
      <c r="BD75">
        <f t="shared" ca="1" si="23"/>
        <v>0.91504424778761062</v>
      </c>
      <c r="BE75" s="4">
        <f t="shared" ca="1" si="31"/>
        <v>2.8228562668560334E-2</v>
      </c>
      <c r="BG75" t="s">
        <v>131</v>
      </c>
      <c r="BH75" s="4">
        <f ca="1">+VLOOKUP($BG75,INDIRECT(Adrese!B$2),8,FALSE)</f>
        <v>0.10088286585428111</v>
      </c>
      <c r="BI75" s="4">
        <f ca="1">+VLOOKUP($BG75,INDIRECT(Adrese!C$2),8,FALSE)</f>
        <v>9.8858876453698896E-2</v>
      </c>
      <c r="BJ75" s="4">
        <f ca="1">+VLOOKUP($BG75,INDIRECT(Adrese!D$2),8,FALSE)</f>
        <v>0.1006880066563253</v>
      </c>
      <c r="BK75" s="4">
        <f ca="1">+VLOOKUP($BG75,INDIRECT(Adrese!E$2),8,FALSE)</f>
        <v>0.100687780813824</v>
      </c>
      <c r="BL75" s="4">
        <f ca="1">+VLOOKUP($BG75,INDIRECT(Adrese!F$2),8,FALSE)</f>
        <v>0.1002030037615802</v>
      </c>
      <c r="BM75" s="4" t="str">
        <f t="shared" ca="1" si="32"/>
        <v>0.10 (0.00)</v>
      </c>
      <c r="BN75" s="4">
        <f t="shared" ca="1" si="24"/>
        <v>0.10026410670794191</v>
      </c>
      <c r="BO75" s="4">
        <f t="shared" ca="1" si="33"/>
        <v>8.2469076521245275E-4</v>
      </c>
      <c r="BQ75" t="s">
        <v>131</v>
      </c>
      <c r="BR75" s="4">
        <f ca="1">+VLOOKUP($BG75,INDIRECT(Adrese!B$2),9,FALSE)</f>
        <v>-2.5076366505923261E-2</v>
      </c>
      <c r="BS75" s="4">
        <f ca="1">+VLOOKUP($BG75,INDIRECT(Adrese!C$2),9,FALSE)</f>
        <v>-1.150788376571741E-2</v>
      </c>
      <c r="BT75" s="4">
        <f ca="1">+VLOOKUP($BG75,INDIRECT(Adrese!D$2),9,FALSE)</f>
        <v>-1.9226398596349659E-2</v>
      </c>
      <c r="BU75" s="4">
        <f ca="1">+VLOOKUP($BG75,INDIRECT(Adrese!E$2),9,FALSE)</f>
        <v>-2.514907239726279E-2</v>
      </c>
      <c r="BV75" s="4">
        <f ca="1">+VLOOKUP($BG75,INDIRECT(Adrese!F$2),9,FALSE)</f>
        <v>-1.581071552262614E-2</v>
      </c>
      <c r="BW75" s="4" t="str">
        <f t="shared" ca="1" si="34"/>
        <v>-0.02 (0.01)</v>
      </c>
      <c r="BX75" s="4">
        <f t="shared" ca="1" si="25"/>
        <v>-1.935408735757585E-2</v>
      </c>
      <c r="BY75" s="4">
        <f t="shared" ca="1" si="35"/>
        <v>5.9258128017842075E-3</v>
      </c>
    </row>
    <row r="76" spans="1:77" x14ac:dyDescent="0.25">
      <c r="A76" t="s">
        <v>132</v>
      </c>
      <c r="B76" s="11">
        <f ca="1">+VLOOKUP($A76,INDIRECT(Adrese!B$2),2,FALSE)</f>
        <v>131</v>
      </c>
      <c r="C76" s="11">
        <f ca="1">+VLOOKUP($A76,INDIRECT(Adrese!C$2),2,FALSE)</f>
        <v>91</v>
      </c>
      <c r="D76" s="11">
        <f ca="1">+VLOOKUP($A76,INDIRECT(Adrese!D$2),2,FALSE)</f>
        <v>106</v>
      </c>
      <c r="E76" s="11">
        <f ca="1">+VLOOKUP($A76,INDIRECT(Adrese!E$2),2,FALSE)</f>
        <v>98</v>
      </c>
      <c r="F76" s="11">
        <f ca="1">+VLOOKUP($A76,INDIRECT(Adrese!F$2),2,FALSE)</f>
        <v>69</v>
      </c>
      <c r="G76" s="4">
        <f t="shared" ca="1" si="18"/>
        <v>99</v>
      </c>
      <c r="J76" t="s">
        <v>132</v>
      </c>
      <c r="K76">
        <f ca="1">+VLOOKUP($A76,INDIRECT(Adrese!B$2),3,FALSE)</f>
        <v>136</v>
      </c>
      <c r="L76">
        <f ca="1">+VLOOKUP($A76,INDIRECT(Adrese!C$2),3,FALSE)</f>
        <v>151</v>
      </c>
      <c r="M76">
        <f ca="1">+VLOOKUP($A76,INDIRECT(Adrese!D$2),3,FALSE)</f>
        <v>155</v>
      </c>
      <c r="N76">
        <f ca="1">+VLOOKUP($A76,INDIRECT(Adrese!E$2),3,FALSE)</f>
        <v>153</v>
      </c>
      <c r="O76">
        <f ca="1">+VLOOKUP($A76,INDIRECT(Adrese!F$2),3,FALSE)</f>
        <v>141</v>
      </c>
      <c r="P76">
        <f t="shared" ca="1" si="26"/>
        <v>736</v>
      </c>
      <c r="Q76" s="4">
        <f t="shared" ca="1" si="19"/>
        <v>147.19999999999999</v>
      </c>
      <c r="R76" s="4"/>
      <c r="T76" t="s">
        <v>132</v>
      </c>
      <c r="U76">
        <f ca="1">+VLOOKUP($T76,INDIRECT(Adrese!B$2),4,FALSE)</f>
        <v>94265</v>
      </c>
      <c r="V76">
        <f ca="1">+VLOOKUP($T76,INDIRECT(Adrese!C$2),4,FALSE)</f>
        <v>95846</v>
      </c>
      <c r="W76">
        <f ca="1">+VLOOKUP($T76,INDIRECT(Adrese!D$2),4,FALSE)</f>
        <v>95588</v>
      </c>
      <c r="X76">
        <f ca="1">+VLOOKUP($T76,INDIRECT(Adrese!E$2),4,FALSE)</f>
        <v>95727</v>
      </c>
      <c r="Y76">
        <f ca="1">+VLOOKUP($T76,INDIRECT(Adrese!F$2),4,FALSE)</f>
        <v>96794</v>
      </c>
      <c r="Z76">
        <f t="shared" ca="1" si="27"/>
        <v>478220</v>
      </c>
      <c r="AA76" s="4">
        <f t="shared" ca="1" si="20"/>
        <v>95644</v>
      </c>
      <c r="AC76" t="s">
        <v>132</v>
      </c>
      <c r="AD76">
        <f ca="1">+VLOOKUP($A76,INDIRECT(Adrese!B$2),5,FALSE)</f>
        <v>17957</v>
      </c>
      <c r="AE76">
        <f ca="1">+VLOOKUP($A76,INDIRECT(Adrese!C$2),5,FALSE)</f>
        <v>17839</v>
      </c>
      <c r="AF76">
        <f ca="1">+VLOOKUP($A76,INDIRECT(Adrese!D$2),5,FALSE)</f>
        <v>17979</v>
      </c>
      <c r="AG76">
        <f ca="1">+VLOOKUP($A76,INDIRECT(Adrese!E$2),5,FALSE)</f>
        <v>18579</v>
      </c>
      <c r="AH76">
        <f ca="1">+VLOOKUP($A76,INDIRECT(Adrese!F$2),5,FALSE)</f>
        <v>18964</v>
      </c>
      <c r="AI76" s="4">
        <f t="shared" ca="1" si="21"/>
        <v>18263.599999999999</v>
      </c>
      <c r="AJ76" s="4"/>
      <c r="AK76" s="4"/>
      <c r="AM76" t="s">
        <v>132</v>
      </c>
      <c r="AN76" s="4">
        <f ca="1">+VLOOKUP($A76,INDIRECT(Adrese!B$2),6,FALSE)</f>
        <v>0.39626106194690258</v>
      </c>
      <c r="AO76" s="4">
        <f ca="1">+VLOOKUP($A76,INDIRECT(Adrese!C$2),6,FALSE)</f>
        <v>0.39400442477876108</v>
      </c>
      <c r="AP76" s="4">
        <f ca="1">+VLOOKUP($A76,INDIRECT(Adrese!D$2),6,FALSE)</f>
        <v>0.39690265486725662</v>
      </c>
      <c r="AQ76" s="4">
        <f ca="1">+VLOOKUP($A76,INDIRECT(Adrese!E$2),6,FALSE)</f>
        <v>0.41006637168141591</v>
      </c>
      <c r="AR76" s="4">
        <f ca="1">+VLOOKUP($A76,INDIRECT(Adrese!F$2),6,FALSE)</f>
        <v>0.41887168141592918</v>
      </c>
      <c r="AS76" s="4" t="str">
        <f t="shared" ca="1" si="28"/>
        <v>0.40 (0.01)</v>
      </c>
      <c r="AT76" s="4">
        <f t="shared" ca="1" si="22"/>
        <v>0.40322123893805306</v>
      </c>
      <c r="AU76" s="4">
        <f t="shared" ca="1" si="29"/>
        <v>1.0783209444343965E-2</v>
      </c>
      <c r="AW76" t="s">
        <v>132</v>
      </c>
      <c r="AX76" s="4">
        <f ca="1">+VLOOKUP($A76,INDIRECT(Adrese!B$2),7,FALSE)</f>
        <v>0.39823008849557517</v>
      </c>
      <c r="AY76" s="4">
        <f ca="1">+VLOOKUP($A76,INDIRECT(Adrese!C$2),7,FALSE)</f>
        <v>0.33185840707964598</v>
      </c>
      <c r="AZ76" s="4">
        <f ca="1">+VLOOKUP($A76,INDIRECT(Adrese!D$2),7,FALSE)</f>
        <v>0.31415929203539822</v>
      </c>
      <c r="BA76" s="4">
        <f ca="1">+VLOOKUP($A76,INDIRECT(Adrese!E$2),7,FALSE)</f>
        <v>0.32300884955752213</v>
      </c>
      <c r="BB76" s="4">
        <f ca="1">+VLOOKUP($A76,INDIRECT(Adrese!F$2),7,FALSE)</f>
        <v>0.37610619469026552</v>
      </c>
      <c r="BC76" s="4" t="str">
        <f t="shared" ca="1" si="30"/>
        <v>0.35 (0.04)</v>
      </c>
      <c r="BD76">
        <f t="shared" ca="1" si="23"/>
        <v>0.34867256637168137</v>
      </c>
      <c r="BE76" s="4">
        <f t="shared" ca="1" si="31"/>
        <v>3.6541279331084205E-2</v>
      </c>
      <c r="BG76" t="s">
        <v>132</v>
      </c>
      <c r="BH76" s="4">
        <f ca="1">+VLOOKUP($BG76,INDIRECT(Adrese!B$2),8,FALSE)</f>
        <v>5.9952225295086752E-2</v>
      </c>
      <c r="BI76" s="4">
        <f ca="1">+VLOOKUP($BG76,INDIRECT(Adrese!C$2),8,FALSE)</f>
        <v>5.9516561060046269E-2</v>
      </c>
      <c r="BJ76" s="4">
        <f ca="1">+VLOOKUP($BG76,INDIRECT(Adrese!D$2),8,FALSE)</f>
        <v>5.9634278812881442E-2</v>
      </c>
      <c r="BK76" s="4">
        <f ca="1">+VLOOKUP($BG76,INDIRECT(Adrese!E$2),8,FALSE)</f>
        <v>6.1862937001855078E-2</v>
      </c>
      <c r="BL76" s="4">
        <f ca="1">+VLOOKUP($BG76,INDIRECT(Adrese!F$2),8,FALSE)</f>
        <v>6.2947030659203651E-2</v>
      </c>
      <c r="BM76" s="4" t="str">
        <f t="shared" ca="1" si="32"/>
        <v>0.06 (0.00)</v>
      </c>
      <c r="BN76" s="4">
        <f t="shared" ca="1" si="24"/>
        <v>6.0782606565814648E-2</v>
      </c>
      <c r="BO76" s="4">
        <f t="shared" ca="1" si="33"/>
        <v>1.538091870848969E-3</v>
      </c>
      <c r="BQ76" t="s">
        <v>132</v>
      </c>
      <c r="BR76" s="4">
        <f ca="1">+VLOOKUP($BG76,INDIRECT(Adrese!B$2),9,FALSE)</f>
        <v>8.1830801276486356E-2</v>
      </c>
      <c r="BS76" s="4">
        <f ca="1">+VLOOKUP($BG76,INDIRECT(Adrese!C$2),9,FALSE)</f>
        <v>8.0002937802730406E-2</v>
      </c>
      <c r="BT76" s="4">
        <f ca="1">+VLOOKUP($BG76,INDIRECT(Adrese!D$2),9,FALSE)</f>
        <v>8.2753894662662142E-2</v>
      </c>
      <c r="BU76" s="4">
        <f ca="1">+VLOOKUP($BG76,INDIRECT(Adrese!E$2),9,FALSE)</f>
        <v>8.0224774997102954E-2</v>
      </c>
      <c r="BV76" s="4">
        <f ca="1">+VLOOKUP($BG76,INDIRECT(Adrese!F$2),9,FALSE)</f>
        <v>7.9067181439543818E-2</v>
      </c>
      <c r="BW76" s="4" t="str">
        <f t="shared" ca="1" si="34"/>
        <v>0.08 (0.00)</v>
      </c>
      <c r="BX76" s="4">
        <f t="shared" ca="1" si="25"/>
        <v>8.0775918035705135E-2</v>
      </c>
      <c r="BY76" s="4">
        <f t="shared" ca="1" si="35"/>
        <v>1.4871287799901177E-3</v>
      </c>
    </row>
    <row r="77" spans="1:77" x14ac:dyDescent="0.25">
      <c r="A77" t="s">
        <v>133</v>
      </c>
      <c r="B77" s="11">
        <f ca="1">+VLOOKUP($A77,INDIRECT(Adrese!B$2),2,FALSE)</f>
        <v>18</v>
      </c>
      <c r="C77" s="11">
        <f ca="1">+VLOOKUP($A77,INDIRECT(Adrese!C$2),2,FALSE)</f>
        <v>37</v>
      </c>
      <c r="D77" s="11">
        <f ca="1">+VLOOKUP($A77,INDIRECT(Adrese!D$2),2,FALSE)</f>
        <v>64</v>
      </c>
      <c r="E77" s="11">
        <f ca="1">+VLOOKUP($A77,INDIRECT(Adrese!E$2),2,FALSE)</f>
        <v>36</v>
      </c>
      <c r="F77" s="11">
        <f ca="1">+VLOOKUP($A77,INDIRECT(Adrese!F$2),2,FALSE)</f>
        <v>14</v>
      </c>
      <c r="G77" s="4">
        <f t="shared" ca="1" si="18"/>
        <v>33.799999999999997</v>
      </c>
      <c r="J77" t="s">
        <v>133</v>
      </c>
      <c r="K77">
        <f ca="1">+VLOOKUP($A77,INDIRECT(Adrese!B$2),3,FALSE)</f>
        <v>63</v>
      </c>
      <c r="L77">
        <f ca="1">+VLOOKUP($A77,INDIRECT(Adrese!C$2),3,FALSE)</f>
        <v>62</v>
      </c>
      <c r="M77">
        <f ca="1">+VLOOKUP($A77,INDIRECT(Adrese!D$2),3,FALSE)</f>
        <v>63</v>
      </c>
      <c r="N77">
        <f ca="1">+VLOOKUP($A77,INDIRECT(Adrese!E$2),3,FALSE)</f>
        <v>58</v>
      </c>
      <c r="O77">
        <f ca="1">+VLOOKUP($A77,INDIRECT(Adrese!F$2),3,FALSE)</f>
        <v>63</v>
      </c>
      <c r="P77">
        <f t="shared" ca="1" si="26"/>
        <v>309</v>
      </c>
      <c r="Q77" s="4">
        <f t="shared" ca="1" si="19"/>
        <v>61.8</v>
      </c>
      <c r="R77" s="4"/>
      <c r="T77" t="s">
        <v>133</v>
      </c>
      <c r="U77">
        <f ca="1">+VLOOKUP($T77,INDIRECT(Adrese!B$2),4,FALSE)</f>
        <v>100397</v>
      </c>
      <c r="V77">
        <f ca="1">+VLOOKUP($T77,INDIRECT(Adrese!C$2),4,FALSE)</f>
        <v>98324</v>
      </c>
      <c r="W77">
        <f ca="1">+VLOOKUP($T77,INDIRECT(Adrese!D$2),4,FALSE)</f>
        <v>96856</v>
      </c>
      <c r="X77">
        <f ca="1">+VLOOKUP($T77,INDIRECT(Adrese!E$2),4,FALSE)</f>
        <v>98503</v>
      </c>
      <c r="Y77">
        <f ca="1">+VLOOKUP($T77,INDIRECT(Adrese!F$2),4,FALSE)</f>
        <v>100454</v>
      </c>
      <c r="Z77">
        <f t="shared" ca="1" si="27"/>
        <v>494534</v>
      </c>
      <c r="AA77" s="4">
        <f t="shared" ca="1" si="20"/>
        <v>98906.8</v>
      </c>
      <c r="AC77" t="s">
        <v>133</v>
      </c>
      <c r="AD77">
        <f ca="1">+VLOOKUP($A77,INDIRECT(Adrese!B$2),5,FALSE)</f>
        <v>24492</v>
      </c>
      <c r="AE77">
        <f ca="1">+VLOOKUP($A77,INDIRECT(Adrese!C$2),5,FALSE)</f>
        <v>25907</v>
      </c>
      <c r="AF77">
        <f ca="1">+VLOOKUP($A77,INDIRECT(Adrese!D$2),5,FALSE)</f>
        <v>25169</v>
      </c>
      <c r="AG77">
        <f ca="1">+VLOOKUP($A77,INDIRECT(Adrese!E$2),5,FALSE)</f>
        <v>25973</v>
      </c>
      <c r="AH77">
        <f ca="1">+VLOOKUP($A77,INDIRECT(Adrese!F$2),5,FALSE)</f>
        <v>25469</v>
      </c>
      <c r="AI77" s="4">
        <f t="shared" ca="1" si="21"/>
        <v>25402</v>
      </c>
      <c r="AJ77" s="4"/>
      <c r="AK77" s="4"/>
      <c r="AM77" t="s">
        <v>133</v>
      </c>
      <c r="AN77" s="4">
        <f ca="1">+VLOOKUP($A77,INDIRECT(Adrese!B$2),6,FALSE)</f>
        <v>0.5381858407079646</v>
      </c>
      <c r="AO77" s="4">
        <f ca="1">+VLOOKUP($A77,INDIRECT(Adrese!C$2),6,FALSE)</f>
        <v>0.56938053097345132</v>
      </c>
      <c r="AP77" s="4">
        <f ca="1">+VLOOKUP($A77,INDIRECT(Adrese!D$2),6,FALSE)</f>
        <v>0.55296460176991147</v>
      </c>
      <c r="AQ77" s="4">
        <f ca="1">+VLOOKUP($A77,INDIRECT(Adrese!E$2),6,FALSE)</f>
        <v>0.57121681415929204</v>
      </c>
      <c r="AR77" s="4">
        <f ca="1">+VLOOKUP($A77,INDIRECT(Adrese!F$2),6,FALSE)</f>
        <v>0.55955752212389376</v>
      </c>
      <c r="AS77" s="4" t="str">
        <f t="shared" ca="1" si="28"/>
        <v>0.56 (0.01)</v>
      </c>
      <c r="AT77" s="4">
        <f t="shared" ca="1" si="22"/>
        <v>0.55826106194690261</v>
      </c>
      <c r="AU77" s="4">
        <f t="shared" ca="1" si="29"/>
        <v>1.3455871525197598E-2</v>
      </c>
      <c r="AW77" t="s">
        <v>133</v>
      </c>
      <c r="AX77" s="4">
        <f ca="1">+VLOOKUP($A77,INDIRECT(Adrese!B$2),7,FALSE)</f>
        <v>0.72123893805309736</v>
      </c>
      <c r="AY77" s="4">
        <f ca="1">+VLOOKUP($A77,INDIRECT(Adrese!C$2),7,FALSE)</f>
        <v>0.72566371681415931</v>
      </c>
      <c r="AZ77" s="4">
        <f ca="1">+VLOOKUP($A77,INDIRECT(Adrese!D$2),7,FALSE)</f>
        <v>0.72123893805309736</v>
      </c>
      <c r="BA77" s="4">
        <f ca="1">+VLOOKUP($A77,INDIRECT(Adrese!E$2),7,FALSE)</f>
        <v>0.74336283185840712</v>
      </c>
      <c r="BB77" s="4">
        <f ca="1">+VLOOKUP($A77,INDIRECT(Adrese!F$2),7,FALSE)</f>
        <v>0.72123893805309736</v>
      </c>
      <c r="BC77" s="4" t="str">
        <f t="shared" ca="1" si="30"/>
        <v>0.73 (0.01)</v>
      </c>
      <c r="BD77">
        <f t="shared" ca="1" si="23"/>
        <v>0.72654867256637179</v>
      </c>
      <c r="BE77" s="4">
        <f t="shared" ca="1" si="31"/>
        <v>9.5926917649021386E-3</v>
      </c>
      <c r="BG77" t="s">
        <v>133</v>
      </c>
      <c r="BH77" s="4">
        <f ca="1">+VLOOKUP($BG77,INDIRECT(Adrese!B$2),8,FALSE)</f>
        <v>7.5747451904112958E-2</v>
      </c>
      <c r="BI77" s="4">
        <f ca="1">+VLOOKUP($BG77,INDIRECT(Adrese!C$2),8,FALSE)</f>
        <v>8.2589734219831776E-2</v>
      </c>
      <c r="BJ77" s="4">
        <f ca="1">+VLOOKUP($BG77,INDIRECT(Adrese!D$2),8,FALSE)</f>
        <v>8.0392582633315876E-2</v>
      </c>
      <c r="BK77" s="4">
        <f ca="1">+VLOOKUP($BG77,INDIRECT(Adrese!E$2),8,FALSE)</f>
        <v>8.1368076983842685E-2</v>
      </c>
      <c r="BL77" s="4">
        <f ca="1">+VLOOKUP($BG77,INDIRECT(Adrese!F$2),8,FALSE)</f>
        <v>8.0320662838526874E-2</v>
      </c>
      <c r="BM77" s="4" t="str">
        <f t="shared" ca="1" si="32"/>
        <v>0.08 (0.00)</v>
      </c>
      <c r="BN77" s="4">
        <f t="shared" ca="1" si="24"/>
        <v>8.008370171592602E-2</v>
      </c>
      <c r="BO77" s="4">
        <f t="shared" ca="1" si="33"/>
        <v>2.5925103261447593E-3</v>
      </c>
      <c r="BQ77" t="s">
        <v>133</v>
      </c>
      <c r="BR77" s="4">
        <f ca="1">+VLOOKUP($BG77,INDIRECT(Adrese!B$2),9,FALSE)</f>
        <v>3.1581602904255028E-3</v>
      </c>
      <c r="BS77" s="4">
        <f ca="1">+VLOOKUP($BG77,INDIRECT(Adrese!C$2),9,FALSE)</f>
        <v>2.4638194611564392E-2</v>
      </c>
      <c r="BT77" s="4">
        <f ca="1">+VLOOKUP($BG77,INDIRECT(Adrese!D$2),9,FALSE)</f>
        <v>2.2183814171032899E-2</v>
      </c>
      <c r="BU77" s="4">
        <f ca="1">+VLOOKUP($BG77,INDIRECT(Adrese!E$2),9,FALSE)</f>
        <v>9.729894564405735E-3</v>
      </c>
      <c r="BV77" s="4">
        <f ca="1">+VLOOKUP($BG77,INDIRECT(Adrese!F$2),9,FALSE)</f>
        <v>1.611071838307691E-2</v>
      </c>
      <c r="BW77" s="4" t="str">
        <f t="shared" ca="1" si="34"/>
        <v>0.02 (0.01)</v>
      </c>
      <c r="BX77" s="4">
        <f t="shared" ca="1" si="25"/>
        <v>1.5164156404101087E-2</v>
      </c>
      <c r="BY77" s="4">
        <f t="shared" ca="1" si="35"/>
        <v>8.8544355992537099E-3</v>
      </c>
    </row>
    <row r="78" spans="1:77" x14ac:dyDescent="0.25">
      <c r="A78" t="s">
        <v>134</v>
      </c>
      <c r="B78" s="11">
        <f ca="1">+VLOOKUP($A78,INDIRECT(Adrese!B$2),2,FALSE)</f>
        <v>13</v>
      </c>
      <c r="C78" s="11">
        <f ca="1">+VLOOKUP($A78,INDIRECT(Adrese!C$2),2,FALSE)</f>
        <v>24</v>
      </c>
      <c r="D78" s="11">
        <f ca="1">+VLOOKUP($A78,INDIRECT(Adrese!D$2),2,FALSE)</f>
        <v>12</v>
      </c>
      <c r="E78" s="11">
        <f ca="1">+VLOOKUP($A78,INDIRECT(Adrese!E$2),2,FALSE)</f>
        <v>10</v>
      </c>
      <c r="F78" s="11">
        <f ca="1">+VLOOKUP($A78,INDIRECT(Adrese!F$2),2,FALSE)</f>
        <v>22</v>
      </c>
      <c r="G78" s="4">
        <f t="shared" ca="1" si="18"/>
        <v>16.2</v>
      </c>
      <c r="J78" t="s">
        <v>134</v>
      </c>
      <c r="K78">
        <f ca="1">+VLOOKUP($A78,INDIRECT(Adrese!B$2),3,FALSE)</f>
        <v>75</v>
      </c>
      <c r="L78">
        <f ca="1">+VLOOKUP($A78,INDIRECT(Adrese!C$2),3,FALSE)</f>
        <v>74</v>
      </c>
      <c r="M78">
        <f ca="1">+VLOOKUP($A78,INDIRECT(Adrese!D$2),3,FALSE)</f>
        <v>85</v>
      </c>
      <c r="N78">
        <f ca="1">+VLOOKUP($A78,INDIRECT(Adrese!E$2),3,FALSE)</f>
        <v>86</v>
      </c>
      <c r="O78">
        <f ca="1">+VLOOKUP($A78,INDIRECT(Adrese!F$2),3,FALSE)</f>
        <v>83</v>
      </c>
      <c r="P78">
        <f t="shared" ca="1" si="26"/>
        <v>403</v>
      </c>
      <c r="Q78" s="4">
        <f t="shared" ca="1" si="19"/>
        <v>80.599999999999994</v>
      </c>
      <c r="R78" s="4"/>
      <c r="T78" t="s">
        <v>134</v>
      </c>
      <c r="U78">
        <f ca="1">+VLOOKUP($T78,INDIRECT(Adrese!B$2),4,FALSE)</f>
        <v>101002</v>
      </c>
      <c r="V78">
        <f ca="1">+VLOOKUP($T78,INDIRECT(Adrese!C$2),4,FALSE)</f>
        <v>99528</v>
      </c>
      <c r="W78">
        <f ca="1">+VLOOKUP($T78,INDIRECT(Adrese!D$2),4,FALSE)</f>
        <v>101506</v>
      </c>
      <c r="X78">
        <f ca="1">+VLOOKUP($T78,INDIRECT(Adrese!E$2),4,FALSE)</f>
        <v>101596</v>
      </c>
      <c r="Y78">
        <f ca="1">+VLOOKUP($T78,INDIRECT(Adrese!F$2),4,FALSE)</f>
        <v>99918</v>
      </c>
      <c r="Z78">
        <f t="shared" ca="1" si="27"/>
        <v>503550</v>
      </c>
      <c r="AA78" s="4">
        <f t="shared" ca="1" si="20"/>
        <v>100710</v>
      </c>
      <c r="AC78" t="s">
        <v>134</v>
      </c>
      <c r="AD78">
        <f ca="1">+VLOOKUP($A78,INDIRECT(Adrese!B$2),5,FALSE)</f>
        <v>25587</v>
      </c>
      <c r="AE78">
        <f ca="1">+VLOOKUP($A78,INDIRECT(Adrese!C$2),5,FALSE)</f>
        <v>25454</v>
      </c>
      <c r="AF78">
        <f ca="1">+VLOOKUP($A78,INDIRECT(Adrese!D$2),5,FALSE)</f>
        <v>25604</v>
      </c>
      <c r="AG78">
        <f ca="1">+VLOOKUP($A78,INDIRECT(Adrese!E$2),5,FALSE)</f>
        <v>25320</v>
      </c>
      <c r="AH78">
        <f ca="1">+VLOOKUP($A78,INDIRECT(Adrese!F$2),5,FALSE)</f>
        <v>24836</v>
      </c>
      <c r="AI78" s="4">
        <f t="shared" ca="1" si="21"/>
        <v>25360.2</v>
      </c>
      <c r="AJ78" s="4"/>
      <c r="AK78" s="4"/>
      <c r="AM78" t="s">
        <v>134</v>
      </c>
      <c r="AN78" s="4">
        <f ca="1">+VLOOKUP($A78,INDIRECT(Adrese!B$2),6,FALSE)</f>
        <v>0.56201327433628323</v>
      </c>
      <c r="AO78" s="4">
        <f ca="1">+VLOOKUP($A78,INDIRECT(Adrese!C$2),6,FALSE)</f>
        <v>0.55907079646017699</v>
      </c>
      <c r="AP78" s="4">
        <f ca="1">+VLOOKUP($A78,INDIRECT(Adrese!D$2),6,FALSE)</f>
        <v>0.56258849557522128</v>
      </c>
      <c r="AQ78" s="4">
        <f ca="1">+VLOOKUP($A78,INDIRECT(Adrese!E$2),6,FALSE)</f>
        <v>0.55621681415929203</v>
      </c>
      <c r="AR78" s="4">
        <f ca="1">+VLOOKUP($A78,INDIRECT(Adrese!F$2),6,FALSE)</f>
        <v>0.5455088495575221</v>
      </c>
      <c r="AS78" s="4" t="str">
        <f t="shared" ca="1" si="28"/>
        <v>0.56 (0.01)</v>
      </c>
      <c r="AT78" s="4">
        <f t="shared" ca="1" si="22"/>
        <v>0.5570796460176991</v>
      </c>
      <c r="AU78" s="4">
        <f t="shared" ca="1" si="29"/>
        <v>6.951269694391346E-3</v>
      </c>
      <c r="AW78" t="s">
        <v>134</v>
      </c>
      <c r="AX78" s="4">
        <f ca="1">+VLOOKUP($A78,INDIRECT(Adrese!B$2),7,FALSE)</f>
        <v>0.66814159292035402</v>
      </c>
      <c r="AY78" s="4">
        <f ca="1">+VLOOKUP($A78,INDIRECT(Adrese!C$2),7,FALSE)</f>
        <v>0.67256637168141598</v>
      </c>
      <c r="AZ78" s="4">
        <f ca="1">+VLOOKUP($A78,INDIRECT(Adrese!D$2),7,FALSE)</f>
        <v>0.62389380530973448</v>
      </c>
      <c r="BA78" s="4">
        <f ca="1">+VLOOKUP($A78,INDIRECT(Adrese!E$2),7,FALSE)</f>
        <v>0.61946902654867253</v>
      </c>
      <c r="BB78" s="4">
        <f ca="1">+VLOOKUP($A78,INDIRECT(Adrese!F$2),7,FALSE)</f>
        <v>0.63274336283185839</v>
      </c>
      <c r="BC78" s="4" t="str">
        <f t="shared" ca="1" si="30"/>
        <v>0.64 (0.03)</v>
      </c>
      <c r="BD78">
        <f t="shared" ca="1" si="23"/>
        <v>0.64336283185840704</v>
      </c>
      <c r="BE78" s="4">
        <f t="shared" ca="1" si="31"/>
        <v>2.5147384492712997E-2</v>
      </c>
      <c r="BG78" t="s">
        <v>134</v>
      </c>
      <c r="BH78" s="4">
        <f ca="1">+VLOOKUP($BG78,INDIRECT(Adrese!B$2),8,FALSE)</f>
        <v>8.5127001524277782E-2</v>
      </c>
      <c r="BI78" s="4">
        <f ca="1">+VLOOKUP($BG78,INDIRECT(Adrese!C$2),8,FALSE)</f>
        <v>8.4323141985161679E-2</v>
      </c>
      <c r="BJ78" s="4">
        <f ca="1">+VLOOKUP($BG78,INDIRECT(Adrese!D$2),8,FALSE)</f>
        <v>8.526950614892545E-2</v>
      </c>
      <c r="BK78" s="4">
        <f ca="1">+VLOOKUP($BG78,INDIRECT(Adrese!E$2),8,FALSE)</f>
        <v>8.335196336859324E-2</v>
      </c>
      <c r="BL78" s="4">
        <f ca="1">+VLOOKUP($BG78,INDIRECT(Adrese!F$2),8,FALSE)</f>
        <v>8.2735504039090996E-2</v>
      </c>
      <c r="BM78" s="4" t="str">
        <f t="shared" ca="1" si="32"/>
        <v>0.08 (0.00)</v>
      </c>
      <c r="BN78" s="4">
        <f t="shared" ca="1" si="24"/>
        <v>8.4161423413209827E-2</v>
      </c>
      <c r="BO78" s="4">
        <f t="shared" ca="1" si="33"/>
        <v>1.1039489299325457E-3</v>
      </c>
      <c r="BQ78" t="s">
        <v>134</v>
      </c>
      <c r="BR78" s="4">
        <f ca="1">+VLOOKUP($BG78,INDIRECT(Adrese!B$2),9,FALSE)</f>
        <v>3.1910323776398943E-2</v>
      </c>
      <c r="BS78" s="4">
        <f ca="1">+VLOOKUP($BG78,INDIRECT(Adrese!C$2),9,FALSE)</f>
        <v>3.1444909482541229E-2</v>
      </c>
      <c r="BT78" s="4">
        <f ca="1">+VLOOKUP($BG78,INDIRECT(Adrese!D$2),9,FALSE)</f>
        <v>3.2709564451359557E-2</v>
      </c>
      <c r="BU78" s="4">
        <f ca="1">+VLOOKUP($BG78,INDIRECT(Adrese!E$2),9,FALSE)</f>
        <v>2.8886021097282721E-2</v>
      </c>
      <c r="BV78" s="4">
        <f ca="1">+VLOOKUP($BG78,INDIRECT(Adrese!F$2),9,FALSE)</f>
        <v>3.5123353513180688E-2</v>
      </c>
      <c r="BW78" s="4" t="str">
        <f t="shared" ca="1" si="34"/>
        <v>0.03 (0.00)</v>
      </c>
      <c r="BX78" s="4">
        <f t="shared" ca="1" si="25"/>
        <v>3.2014834464152632E-2</v>
      </c>
      <c r="BY78" s="4">
        <f t="shared" ca="1" si="35"/>
        <v>2.2511525096335742E-3</v>
      </c>
    </row>
    <row r="79" spans="1:77" x14ac:dyDescent="0.25">
      <c r="A79" t="s">
        <v>135</v>
      </c>
      <c r="B79" s="11">
        <f ca="1">+VLOOKUP($A79,INDIRECT(Adrese!B$2),2,FALSE)</f>
        <v>12</v>
      </c>
      <c r="C79" s="11">
        <f ca="1">+VLOOKUP($A79,INDIRECT(Adrese!C$2),2,FALSE)</f>
        <v>10</v>
      </c>
      <c r="D79" s="11">
        <f ca="1">+VLOOKUP($A79,INDIRECT(Adrese!D$2),2,FALSE)</f>
        <v>16</v>
      </c>
      <c r="E79" s="11">
        <f ca="1">+VLOOKUP($A79,INDIRECT(Adrese!E$2),2,FALSE)</f>
        <v>14</v>
      </c>
      <c r="F79" s="11">
        <f ca="1">+VLOOKUP($A79,INDIRECT(Adrese!F$2),2,FALSE)</f>
        <v>18</v>
      </c>
      <c r="G79" s="4">
        <f t="shared" ca="1" si="18"/>
        <v>14</v>
      </c>
      <c r="J79" t="s">
        <v>135</v>
      </c>
      <c r="K79">
        <f ca="1">+VLOOKUP($A79,INDIRECT(Adrese!B$2),3,FALSE)</f>
        <v>35</v>
      </c>
      <c r="L79">
        <f ca="1">+VLOOKUP($A79,INDIRECT(Adrese!C$2),3,FALSE)</f>
        <v>31</v>
      </c>
      <c r="M79">
        <f ca="1">+VLOOKUP($A79,INDIRECT(Adrese!D$2),3,FALSE)</f>
        <v>24</v>
      </c>
      <c r="N79">
        <f ca="1">+VLOOKUP($A79,INDIRECT(Adrese!E$2),3,FALSE)</f>
        <v>28</v>
      </c>
      <c r="O79">
        <f ca="1">+VLOOKUP($A79,INDIRECT(Adrese!F$2),3,FALSE)</f>
        <v>27</v>
      </c>
      <c r="P79">
        <f t="shared" ca="1" si="26"/>
        <v>145</v>
      </c>
      <c r="Q79" s="4">
        <f t="shared" ca="1" si="19"/>
        <v>29</v>
      </c>
      <c r="R79" s="4"/>
      <c r="T79" t="s">
        <v>135</v>
      </c>
      <c r="U79">
        <f ca="1">+VLOOKUP($T79,INDIRECT(Adrese!B$2),4,FALSE)</f>
        <v>101005</v>
      </c>
      <c r="V79">
        <f ca="1">+VLOOKUP($T79,INDIRECT(Adrese!C$2),4,FALSE)</f>
        <v>101812</v>
      </c>
      <c r="W79">
        <f ca="1">+VLOOKUP($T79,INDIRECT(Adrese!D$2),4,FALSE)</f>
        <v>100989</v>
      </c>
      <c r="X79">
        <f ca="1">+VLOOKUP($T79,INDIRECT(Adrese!E$2),4,FALSE)</f>
        <v>100611</v>
      </c>
      <c r="Y79">
        <f ca="1">+VLOOKUP($T79,INDIRECT(Adrese!F$2),4,FALSE)</f>
        <v>100326</v>
      </c>
      <c r="Z79">
        <f t="shared" ca="1" si="27"/>
        <v>504743</v>
      </c>
      <c r="AA79" s="4">
        <f t="shared" ca="1" si="20"/>
        <v>100948.6</v>
      </c>
      <c r="AC79" t="s">
        <v>135</v>
      </c>
      <c r="AD79">
        <f ca="1">+VLOOKUP($A79,INDIRECT(Adrese!B$2),5,FALSE)</f>
        <v>28268</v>
      </c>
      <c r="AE79">
        <f ca="1">+VLOOKUP($A79,INDIRECT(Adrese!C$2),5,FALSE)</f>
        <v>29268</v>
      </c>
      <c r="AF79">
        <f ca="1">+VLOOKUP($A79,INDIRECT(Adrese!D$2),5,FALSE)</f>
        <v>28815</v>
      </c>
      <c r="AG79">
        <f ca="1">+VLOOKUP($A79,INDIRECT(Adrese!E$2),5,FALSE)</f>
        <v>28497</v>
      </c>
      <c r="AH79">
        <f ca="1">+VLOOKUP($A79,INDIRECT(Adrese!F$2),5,FALSE)</f>
        <v>28164</v>
      </c>
      <c r="AI79" s="4">
        <f t="shared" ca="1" si="21"/>
        <v>28602.400000000001</v>
      </c>
      <c r="AJ79" s="4"/>
      <c r="AK79" s="4"/>
      <c r="AM79" t="s">
        <v>135</v>
      </c>
      <c r="AN79" s="4">
        <f ca="1">+VLOOKUP($A79,INDIRECT(Adrese!B$2),6,FALSE)</f>
        <v>0.62157079646017699</v>
      </c>
      <c r="AO79" s="4">
        <f ca="1">+VLOOKUP($A79,INDIRECT(Adrese!C$2),6,FALSE)</f>
        <v>0.64365044247787606</v>
      </c>
      <c r="AP79" s="4">
        <f ca="1">+VLOOKUP($A79,INDIRECT(Adrese!D$2),6,FALSE)</f>
        <v>0.6334734513274336</v>
      </c>
      <c r="AQ79" s="4">
        <f ca="1">+VLOOKUP($A79,INDIRECT(Adrese!E$2),6,FALSE)</f>
        <v>0.62646017699115042</v>
      </c>
      <c r="AR79" s="4">
        <f ca="1">+VLOOKUP($A79,INDIRECT(Adrese!F$2),6,FALSE)</f>
        <v>0.61911504424778763</v>
      </c>
      <c r="AS79" s="4" t="str">
        <f t="shared" ca="1" si="28"/>
        <v>0.63 (0.01)</v>
      </c>
      <c r="AT79" s="4">
        <f t="shared" ca="1" si="22"/>
        <v>0.62885398230088485</v>
      </c>
      <c r="AU79" s="4">
        <f t="shared" ca="1" si="29"/>
        <v>9.9234160210810891E-3</v>
      </c>
      <c r="AW79" t="s">
        <v>135</v>
      </c>
      <c r="AX79" s="4">
        <f ca="1">+VLOOKUP($A79,INDIRECT(Adrese!B$2),7,FALSE)</f>
        <v>0.84513274336283184</v>
      </c>
      <c r="AY79" s="4">
        <f ca="1">+VLOOKUP($A79,INDIRECT(Adrese!C$2),7,FALSE)</f>
        <v>0.86283185840707965</v>
      </c>
      <c r="AZ79" s="4">
        <f ca="1">+VLOOKUP($A79,INDIRECT(Adrese!D$2),7,FALSE)</f>
        <v>0.89380530973451322</v>
      </c>
      <c r="BA79" s="4">
        <f ca="1">+VLOOKUP($A79,INDIRECT(Adrese!E$2),7,FALSE)</f>
        <v>0.87610619469026552</v>
      </c>
      <c r="BB79" s="4">
        <f ca="1">+VLOOKUP($A79,INDIRECT(Adrese!F$2),7,FALSE)</f>
        <v>0.88053097345132747</v>
      </c>
      <c r="BC79" s="4" t="str">
        <f t="shared" ca="1" si="30"/>
        <v>0.87 (0.02)</v>
      </c>
      <c r="BD79">
        <f t="shared" ca="1" si="23"/>
        <v>0.87168141592920367</v>
      </c>
      <c r="BE79" s="4">
        <f t="shared" ca="1" si="31"/>
        <v>1.8510177578187507E-2</v>
      </c>
      <c r="BG79" t="s">
        <v>135</v>
      </c>
      <c r="BH79" s="4">
        <f ca="1">+VLOOKUP($BG79,INDIRECT(Adrese!B$2),8,FALSE)</f>
        <v>8.9851148547363133E-2</v>
      </c>
      <c r="BI79" s="4">
        <f ca="1">+VLOOKUP($BG79,INDIRECT(Adrese!C$2),8,FALSE)</f>
        <v>9.2497399085077203E-2</v>
      </c>
      <c r="BJ79" s="4">
        <f ca="1">+VLOOKUP($BG79,INDIRECT(Adrese!D$2),8,FALSE)</f>
        <v>9.0832632103557617E-2</v>
      </c>
      <c r="BK79" s="4">
        <f ca="1">+VLOOKUP($BG79,INDIRECT(Adrese!E$2),8,FALSE)</f>
        <v>9.065436953353935E-2</v>
      </c>
      <c r="BL79" s="4">
        <f ca="1">+VLOOKUP($BG79,INDIRECT(Adrese!F$2),8,FALSE)</f>
        <v>8.9429675961848504E-2</v>
      </c>
      <c r="BM79" s="4" t="str">
        <f t="shared" ca="1" si="32"/>
        <v>0.09 (0.00)</v>
      </c>
      <c r="BN79" s="4">
        <f t="shared" ca="1" si="24"/>
        <v>9.0653045046277164E-2</v>
      </c>
      <c r="BO79" s="4">
        <f t="shared" ca="1" si="33"/>
        <v>1.1804199462006706E-3</v>
      </c>
      <c r="BQ79" t="s">
        <v>135</v>
      </c>
      <c r="BR79" s="4">
        <f ca="1">+VLOOKUP($BG79,INDIRECT(Adrese!B$2),9,FALSE)</f>
        <v>1.336475727318715E-2</v>
      </c>
      <c r="BS79" s="4">
        <f ca="1">+VLOOKUP($BG79,INDIRECT(Adrese!C$2),9,FALSE)</f>
        <v>5.6664336927870424E-3</v>
      </c>
      <c r="BT79" s="4">
        <f ca="1">+VLOOKUP($BG79,INDIRECT(Adrese!D$2),9,FALSE)</f>
        <v>8.0819468628450832E-3</v>
      </c>
      <c r="BU79" s="4">
        <f ca="1">+VLOOKUP($BG79,INDIRECT(Adrese!E$2),9,FALSE)</f>
        <v>1.233116650260691E-2</v>
      </c>
      <c r="BV79" s="4">
        <f ca="1">+VLOOKUP($BG79,INDIRECT(Adrese!F$2),9,FALSE)</f>
        <v>1.223294121221183E-2</v>
      </c>
      <c r="BW79" s="4" t="str">
        <f t="shared" ca="1" si="34"/>
        <v>0.01 (0.00)</v>
      </c>
      <c r="BX79" s="4">
        <f t="shared" ca="1" si="25"/>
        <v>1.0335449108727603E-2</v>
      </c>
      <c r="BY79" s="4">
        <f t="shared" ca="1" si="35"/>
        <v>3.3029550966054188E-3</v>
      </c>
    </row>
    <row r="80" spans="1:77" x14ac:dyDescent="0.25">
      <c r="A80" t="s">
        <v>136</v>
      </c>
      <c r="B80" s="11">
        <f ca="1">+VLOOKUP($A80,INDIRECT(Adrese!B$2),2,FALSE)</f>
        <v>134</v>
      </c>
      <c r="C80" s="11">
        <f ca="1">+VLOOKUP($A80,INDIRECT(Adrese!C$2),2,FALSE)</f>
        <v>102</v>
      </c>
      <c r="D80" s="11">
        <f ca="1">+VLOOKUP($A80,INDIRECT(Adrese!D$2),2,FALSE)</f>
        <v>104</v>
      </c>
      <c r="E80" s="11">
        <f ca="1">+VLOOKUP($A80,INDIRECT(Adrese!E$2),2,FALSE)</f>
        <v>122</v>
      </c>
      <c r="F80" s="11">
        <f ca="1">+VLOOKUP($A80,INDIRECT(Adrese!F$2),2,FALSE)</f>
        <v>116</v>
      </c>
      <c r="G80" s="4">
        <f t="shared" ca="1" si="18"/>
        <v>115.6</v>
      </c>
      <c r="J80" t="s">
        <v>136</v>
      </c>
      <c r="K80">
        <f ca="1">+VLOOKUP($A80,INDIRECT(Adrese!B$2),3,FALSE)</f>
        <v>169</v>
      </c>
      <c r="L80">
        <f ca="1">+VLOOKUP($A80,INDIRECT(Adrese!C$2),3,FALSE)</f>
        <v>169</v>
      </c>
      <c r="M80">
        <f ca="1">+VLOOKUP($A80,INDIRECT(Adrese!D$2),3,FALSE)</f>
        <v>165</v>
      </c>
      <c r="N80">
        <f ca="1">+VLOOKUP($A80,INDIRECT(Adrese!E$2),3,FALSE)</f>
        <v>166</v>
      </c>
      <c r="O80">
        <f ca="1">+VLOOKUP($A80,INDIRECT(Adrese!F$2),3,FALSE)</f>
        <v>167</v>
      </c>
      <c r="P80">
        <f t="shared" ca="1" si="26"/>
        <v>836</v>
      </c>
      <c r="Q80" s="4">
        <f t="shared" ca="1" si="19"/>
        <v>167.2</v>
      </c>
      <c r="R80" s="4"/>
      <c r="T80" t="s">
        <v>136</v>
      </c>
      <c r="U80">
        <f ca="1">+VLOOKUP($T80,INDIRECT(Adrese!B$2),4,FALSE)</f>
        <v>94152</v>
      </c>
      <c r="V80">
        <f ca="1">+VLOOKUP($T80,INDIRECT(Adrese!C$2),4,FALSE)</f>
        <v>95474</v>
      </c>
      <c r="W80">
        <f ca="1">+VLOOKUP($T80,INDIRECT(Adrese!D$2),4,FALSE)</f>
        <v>95650</v>
      </c>
      <c r="X80">
        <f ca="1">+VLOOKUP($T80,INDIRECT(Adrese!E$2),4,FALSE)</f>
        <v>94705</v>
      </c>
      <c r="Y80">
        <f ca="1">+VLOOKUP($T80,INDIRECT(Adrese!F$2),4,FALSE)</f>
        <v>94997</v>
      </c>
      <c r="Z80">
        <f t="shared" ca="1" si="27"/>
        <v>474978</v>
      </c>
      <c r="AA80" s="4">
        <f t="shared" ca="1" si="20"/>
        <v>94995.6</v>
      </c>
      <c r="AC80" t="s">
        <v>136</v>
      </c>
      <c r="AD80">
        <f ca="1">+VLOOKUP($A80,INDIRECT(Adrese!B$2),5,FALSE)</f>
        <v>7801</v>
      </c>
      <c r="AE80">
        <f ca="1">+VLOOKUP($A80,INDIRECT(Adrese!C$2),5,FALSE)</f>
        <v>7744</v>
      </c>
      <c r="AF80">
        <f ca="1">+VLOOKUP($A80,INDIRECT(Adrese!D$2),5,FALSE)</f>
        <v>7698</v>
      </c>
      <c r="AG80">
        <f ca="1">+VLOOKUP($A80,INDIRECT(Adrese!E$2),5,FALSE)</f>
        <v>7698</v>
      </c>
      <c r="AH80">
        <f ca="1">+VLOOKUP($A80,INDIRECT(Adrese!F$2),5,FALSE)</f>
        <v>7624</v>
      </c>
      <c r="AI80" s="4">
        <f t="shared" ca="1" si="21"/>
        <v>7713</v>
      </c>
      <c r="AJ80" s="4"/>
      <c r="AK80" s="4"/>
      <c r="AM80" t="s">
        <v>136</v>
      </c>
      <c r="AN80" s="4">
        <f ca="1">+VLOOKUP($A80,INDIRECT(Adrese!B$2),6,FALSE)</f>
        <v>0.17201327433628319</v>
      </c>
      <c r="AO80" s="4">
        <f ca="1">+VLOOKUP($A80,INDIRECT(Adrese!C$2),6,FALSE)</f>
        <v>0.1705088495575221</v>
      </c>
      <c r="AP80" s="4">
        <f ca="1">+VLOOKUP($A80,INDIRECT(Adrese!D$2),6,FALSE)</f>
        <v>0.16960176991150441</v>
      </c>
      <c r="AQ80" s="4">
        <f ca="1">+VLOOKUP($A80,INDIRECT(Adrese!E$2),6,FALSE)</f>
        <v>0.16949115044247789</v>
      </c>
      <c r="AR80" s="4">
        <f ca="1">+VLOOKUP($A80,INDIRECT(Adrese!F$2),6,FALSE)</f>
        <v>0.16796460176991149</v>
      </c>
      <c r="AS80" s="4" t="str">
        <f t="shared" ca="1" si="28"/>
        <v>0.17 (0.00)</v>
      </c>
      <c r="AT80" s="4">
        <f t="shared" ca="1" si="22"/>
        <v>0.16991592920353982</v>
      </c>
      <c r="AU80" s="4">
        <f t="shared" ca="1" si="29"/>
        <v>1.4863733516398906E-3</v>
      </c>
      <c r="AW80" t="s">
        <v>136</v>
      </c>
      <c r="AX80" s="4">
        <f ca="1">+VLOOKUP($A80,INDIRECT(Adrese!B$2),7,FALSE)</f>
        <v>0.25221238938053098</v>
      </c>
      <c r="AY80" s="4">
        <f ca="1">+VLOOKUP($A80,INDIRECT(Adrese!C$2),7,FALSE)</f>
        <v>0.25221238938053098</v>
      </c>
      <c r="AZ80" s="4">
        <f ca="1">+VLOOKUP($A80,INDIRECT(Adrese!D$2),7,FALSE)</f>
        <v>0.26991150442477868</v>
      </c>
      <c r="BA80" s="4">
        <f ca="1">+VLOOKUP($A80,INDIRECT(Adrese!E$2),7,FALSE)</f>
        <v>0.26548672566371678</v>
      </c>
      <c r="BB80" s="4">
        <f ca="1">+VLOOKUP($A80,INDIRECT(Adrese!F$2),7,FALSE)</f>
        <v>0.26106194690265488</v>
      </c>
      <c r="BC80" s="4" t="str">
        <f t="shared" ca="1" si="30"/>
        <v>0.26 (0.01)</v>
      </c>
      <c r="BD80">
        <f t="shared" ca="1" si="23"/>
        <v>0.26017699115044246</v>
      </c>
      <c r="BE80" s="4">
        <f t="shared" ca="1" si="31"/>
        <v>7.915284876105419E-3</v>
      </c>
      <c r="BG80" t="s">
        <v>136</v>
      </c>
      <c r="BH80" s="4">
        <f ca="1">+VLOOKUP($BG80,INDIRECT(Adrese!B$2),8,FALSE)</f>
        <v>2.320759630698584E-2</v>
      </c>
      <c r="BI80" s="4">
        <f ca="1">+VLOOKUP($BG80,INDIRECT(Adrese!C$2),8,FALSE)</f>
        <v>2.3230243162675489E-2</v>
      </c>
      <c r="BJ80" s="4">
        <f ca="1">+VLOOKUP($BG80,INDIRECT(Adrese!D$2),8,FALSE)</f>
        <v>2.304892511217408E-2</v>
      </c>
      <c r="BK80" s="4">
        <f ca="1">+VLOOKUP($BG80,INDIRECT(Adrese!E$2),8,FALSE)</f>
        <v>2.2834011484419631E-2</v>
      </c>
      <c r="BL80" s="4">
        <f ca="1">+VLOOKUP($BG80,INDIRECT(Adrese!F$2),8,FALSE)</f>
        <v>2.2685544836978731E-2</v>
      </c>
      <c r="BM80" s="4" t="str">
        <f t="shared" ca="1" si="32"/>
        <v>0.02 (0.00)</v>
      </c>
      <c r="BN80" s="4">
        <f t="shared" ca="1" si="24"/>
        <v>2.3001264180646758E-2</v>
      </c>
      <c r="BO80" s="4">
        <f t="shared" ca="1" si="33"/>
        <v>2.3713290225419272E-4</v>
      </c>
      <c r="BQ80" t="s">
        <v>136</v>
      </c>
      <c r="BR80" s="4">
        <f ca="1">+VLOOKUP($BG80,INDIRECT(Adrese!B$2),9,FALSE)</f>
        <v>8.9555282250693355E-2</v>
      </c>
      <c r="BS80" s="4">
        <f ca="1">+VLOOKUP($BG80,INDIRECT(Adrese!C$2),9,FALSE)</f>
        <v>9.2169945107111656E-2</v>
      </c>
      <c r="BT80" s="4">
        <f ca="1">+VLOOKUP($BG80,INDIRECT(Adrese!D$2),9,FALSE)</f>
        <v>9.0970878627186974E-2</v>
      </c>
      <c r="BU80" s="4">
        <f ca="1">+VLOOKUP($BG80,INDIRECT(Adrese!E$2),9,FALSE)</f>
        <v>8.966197152112311E-2</v>
      </c>
      <c r="BV80" s="4">
        <f ca="1">+VLOOKUP($BG80,INDIRECT(Adrese!F$2),9,FALSE)</f>
        <v>8.9951032324443431E-2</v>
      </c>
      <c r="BW80" s="4" t="str">
        <f t="shared" ca="1" si="34"/>
        <v>0.09 (0.00)</v>
      </c>
      <c r="BX80" s="4">
        <f t="shared" ca="1" si="25"/>
        <v>9.0461821966111702E-2</v>
      </c>
      <c r="BY80" s="4">
        <f t="shared" ca="1" si="35"/>
        <v>1.1067186179218591E-3</v>
      </c>
    </row>
    <row r="81" spans="1:77" x14ac:dyDescent="0.25">
      <c r="A81" t="s">
        <v>137</v>
      </c>
      <c r="B81" s="11">
        <f ca="1">+VLOOKUP($A81,INDIRECT(Adrese!B$2),2,FALSE)</f>
        <v>24</v>
      </c>
      <c r="C81" s="11">
        <f ca="1">+VLOOKUP($A81,INDIRECT(Adrese!C$2),2,FALSE)</f>
        <v>63</v>
      </c>
      <c r="D81" s="11">
        <f ca="1">+VLOOKUP($A81,INDIRECT(Adrese!D$2),2,FALSE)</f>
        <v>35</v>
      </c>
      <c r="E81" s="11">
        <f ca="1">+VLOOKUP($A81,INDIRECT(Adrese!E$2),2,FALSE)</f>
        <v>31</v>
      </c>
      <c r="F81" s="11">
        <f ca="1">+VLOOKUP($A81,INDIRECT(Adrese!F$2),2,FALSE)</f>
        <v>27</v>
      </c>
      <c r="G81" s="4">
        <f t="shared" ca="1" si="18"/>
        <v>36</v>
      </c>
      <c r="J81" t="s">
        <v>137</v>
      </c>
      <c r="K81">
        <f ca="1">+VLOOKUP($A81,INDIRECT(Adrese!B$2),3,FALSE)</f>
        <v>67</v>
      </c>
      <c r="L81">
        <f ca="1">+VLOOKUP($A81,INDIRECT(Adrese!C$2),3,FALSE)</f>
        <v>70</v>
      </c>
      <c r="M81">
        <f ca="1">+VLOOKUP($A81,INDIRECT(Adrese!D$2),3,FALSE)</f>
        <v>65</v>
      </c>
      <c r="N81">
        <f ca="1">+VLOOKUP($A81,INDIRECT(Adrese!E$2),3,FALSE)</f>
        <v>59</v>
      </c>
      <c r="O81">
        <f ca="1">+VLOOKUP($A81,INDIRECT(Adrese!F$2),3,FALSE)</f>
        <v>73</v>
      </c>
      <c r="P81">
        <f t="shared" ca="1" si="26"/>
        <v>334</v>
      </c>
      <c r="Q81" s="4">
        <f t="shared" ca="1" si="19"/>
        <v>66.8</v>
      </c>
      <c r="R81" s="4"/>
      <c r="T81" t="s">
        <v>137</v>
      </c>
      <c r="U81">
        <f ca="1">+VLOOKUP($T81,INDIRECT(Adrese!B$2),4,FALSE)</f>
        <v>99635</v>
      </c>
      <c r="V81">
        <f ca="1">+VLOOKUP($T81,INDIRECT(Adrese!C$2),4,FALSE)</f>
        <v>96980</v>
      </c>
      <c r="W81">
        <f ca="1">+VLOOKUP($T81,INDIRECT(Adrese!D$2),4,FALSE)</f>
        <v>98211</v>
      </c>
      <c r="X81">
        <f ca="1">+VLOOKUP($T81,INDIRECT(Adrese!E$2),4,FALSE)</f>
        <v>98703</v>
      </c>
      <c r="Y81">
        <f ca="1">+VLOOKUP($T81,INDIRECT(Adrese!F$2),4,FALSE)</f>
        <v>99498</v>
      </c>
      <c r="Z81">
        <f t="shared" ca="1" si="27"/>
        <v>493027</v>
      </c>
      <c r="AA81" s="4">
        <f t="shared" ca="1" si="20"/>
        <v>98605.4</v>
      </c>
      <c r="AC81" t="s">
        <v>137</v>
      </c>
      <c r="AD81">
        <f ca="1">+VLOOKUP($A81,INDIRECT(Adrese!B$2),5,FALSE)</f>
        <v>27878</v>
      </c>
      <c r="AE81">
        <f ca="1">+VLOOKUP($A81,INDIRECT(Adrese!C$2),5,FALSE)</f>
        <v>26831</v>
      </c>
      <c r="AF81">
        <f ca="1">+VLOOKUP($A81,INDIRECT(Adrese!D$2),5,FALSE)</f>
        <v>27292</v>
      </c>
      <c r="AG81">
        <f ca="1">+VLOOKUP($A81,INDIRECT(Adrese!E$2),5,FALSE)</f>
        <v>27722</v>
      </c>
      <c r="AH81">
        <f ca="1">+VLOOKUP($A81,INDIRECT(Adrese!F$2),5,FALSE)</f>
        <v>27687</v>
      </c>
      <c r="AI81" s="4">
        <f t="shared" ca="1" si="21"/>
        <v>27482</v>
      </c>
      <c r="AJ81" s="4"/>
      <c r="AK81" s="4"/>
      <c r="AM81" t="s">
        <v>137</v>
      </c>
      <c r="AN81" s="4">
        <f ca="1">+VLOOKUP($A81,INDIRECT(Adrese!B$2),6,FALSE)</f>
        <v>0.61283185840707965</v>
      </c>
      <c r="AO81" s="4">
        <f ca="1">+VLOOKUP($A81,INDIRECT(Adrese!C$2),6,FALSE)</f>
        <v>0.58953539823008849</v>
      </c>
      <c r="AP81" s="4">
        <f ca="1">+VLOOKUP($A81,INDIRECT(Adrese!D$2),6,FALSE)</f>
        <v>0.59982300884955753</v>
      </c>
      <c r="AQ81" s="4">
        <f ca="1">+VLOOKUP($A81,INDIRECT(Adrese!E$2),6,FALSE)</f>
        <v>0.60935840707964606</v>
      </c>
      <c r="AR81" s="4">
        <f ca="1">+VLOOKUP($A81,INDIRECT(Adrese!F$2),6,FALSE)</f>
        <v>0.60847345132743358</v>
      </c>
      <c r="AS81" s="4" t="str">
        <f t="shared" ca="1" si="28"/>
        <v>0.60 (0.01)</v>
      </c>
      <c r="AT81" s="4">
        <f t="shared" ca="1" si="22"/>
        <v>0.60400442477876104</v>
      </c>
      <c r="AU81" s="4">
        <f t="shared" ca="1" si="29"/>
        <v>9.39943984597604E-3</v>
      </c>
      <c r="AW81" t="s">
        <v>137</v>
      </c>
      <c r="AX81" s="4">
        <f ca="1">+VLOOKUP($A81,INDIRECT(Adrese!B$2),7,FALSE)</f>
        <v>0.70353982300884954</v>
      </c>
      <c r="AY81" s="4">
        <f ca="1">+VLOOKUP($A81,INDIRECT(Adrese!C$2),7,FALSE)</f>
        <v>0.69026548672566368</v>
      </c>
      <c r="AZ81" s="4">
        <f ca="1">+VLOOKUP($A81,INDIRECT(Adrese!D$2),7,FALSE)</f>
        <v>0.71238938053097345</v>
      </c>
      <c r="BA81" s="4">
        <f ca="1">+VLOOKUP($A81,INDIRECT(Adrese!E$2),7,FALSE)</f>
        <v>0.73893805309734517</v>
      </c>
      <c r="BB81" s="4">
        <f ca="1">+VLOOKUP($A81,INDIRECT(Adrese!F$2),7,FALSE)</f>
        <v>0.67699115044247793</v>
      </c>
      <c r="BC81" s="4" t="str">
        <f t="shared" ca="1" si="30"/>
        <v>0.70 (0.02)</v>
      </c>
      <c r="BD81">
        <f t="shared" ca="1" si="23"/>
        <v>0.70442477876106191</v>
      </c>
      <c r="BE81" s="4">
        <f t="shared" ca="1" si="31"/>
        <v>2.3497200083808418E-2</v>
      </c>
      <c r="BG81" t="s">
        <v>137</v>
      </c>
      <c r="BH81" s="4">
        <f ca="1">+VLOOKUP($BG81,INDIRECT(Adrese!B$2),8,FALSE)</f>
        <v>9.0426206649674545E-2</v>
      </c>
      <c r="BI81" s="4">
        <f ca="1">+VLOOKUP($BG81,INDIRECT(Adrese!C$2),8,FALSE)</f>
        <v>8.8380997838236247E-2</v>
      </c>
      <c r="BJ81" s="4">
        <f ca="1">+VLOOKUP($BG81,INDIRECT(Adrese!D$2),8,FALSE)</f>
        <v>8.976217672930667E-2</v>
      </c>
      <c r="BK81" s="4">
        <f ca="1">+VLOOKUP($BG81,INDIRECT(Adrese!E$2),8,FALSE)</f>
        <v>9.0219637111474515E-2</v>
      </c>
      <c r="BL81" s="4">
        <f ca="1">+VLOOKUP($BG81,INDIRECT(Adrese!F$2),8,FALSE)</f>
        <v>9.00559741403332E-2</v>
      </c>
      <c r="BM81" s="4" t="str">
        <f t="shared" ca="1" si="32"/>
        <v>0.09 (0.00)</v>
      </c>
      <c r="BN81" s="4">
        <f t="shared" ca="1" si="24"/>
        <v>8.9768998493805041E-2</v>
      </c>
      <c r="BO81" s="4">
        <f t="shared" ca="1" si="33"/>
        <v>8.1301062445502173E-4</v>
      </c>
      <c r="BQ81" t="s">
        <v>137</v>
      </c>
      <c r="BR81" s="4">
        <f ca="1">+VLOOKUP($BG81,INDIRECT(Adrese!B$2),9,FALSE)</f>
        <v>9.1351836891677141E-3</v>
      </c>
      <c r="BS81" s="4">
        <f ca="1">+VLOOKUP($BG81,INDIRECT(Adrese!C$2),9,FALSE)</f>
        <v>3.1868958813908978E-2</v>
      </c>
      <c r="BT81" s="4">
        <f ca="1">+VLOOKUP($BG81,INDIRECT(Adrese!D$2),9,FALSE)</f>
        <v>3.4884808202007192E-2</v>
      </c>
      <c r="BU81" s="4">
        <f ca="1">+VLOOKUP($BG81,INDIRECT(Adrese!E$2),9,FALSE)</f>
        <v>1.6566491957819039E-2</v>
      </c>
      <c r="BV81" s="4">
        <f ca="1">+VLOOKUP($BG81,INDIRECT(Adrese!F$2),9,FALSE)</f>
        <v>1.458553785124282E-2</v>
      </c>
      <c r="BW81" s="4" t="str">
        <f t="shared" ca="1" si="34"/>
        <v>0.02 (0.01)</v>
      </c>
      <c r="BX81" s="4">
        <f t="shared" ca="1" si="25"/>
        <v>2.1408196102829149E-2</v>
      </c>
      <c r="BY81" s="4">
        <f t="shared" ca="1" si="35"/>
        <v>1.130999810478394E-2</v>
      </c>
    </row>
    <row r="82" spans="1:77" x14ac:dyDescent="0.25">
      <c r="A82" t="s">
        <v>138</v>
      </c>
      <c r="B82" s="11">
        <f ca="1">+VLOOKUP($A82,INDIRECT(Adrese!B$2),2,FALSE)</f>
        <v>169</v>
      </c>
      <c r="C82" s="11">
        <f ca="1">+VLOOKUP($A82,INDIRECT(Adrese!C$2),2,FALSE)</f>
        <v>140</v>
      </c>
      <c r="D82" s="11">
        <f ca="1">+VLOOKUP($A82,INDIRECT(Adrese!D$2),2,FALSE)</f>
        <v>127</v>
      </c>
      <c r="E82" s="11">
        <f ca="1">+VLOOKUP($A82,INDIRECT(Adrese!E$2),2,FALSE)</f>
        <v>127</v>
      </c>
      <c r="F82" s="11">
        <f ca="1">+VLOOKUP($A82,INDIRECT(Adrese!F$2),2,FALSE)</f>
        <v>125</v>
      </c>
      <c r="G82" s="4">
        <f t="shared" ca="1" si="18"/>
        <v>137.6</v>
      </c>
      <c r="J82" t="s">
        <v>138</v>
      </c>
      <c r="K82">
        <f ca="1">+VLOOKUP($A82,INDIRECT(Adrese!B$2),3,FALSE)</f>
        <v>167</v>
      </c>
      <c r="L82">
        <f ca="1">+VLOOKUP($A82,INDIRECT(Adrese!C$2),3,FALSE)</f>
        <v>183</v>
      </c>
      <c r="M82">
        <f ca="1">+VLOOKUP($A82,INDIRECT(Adrese!D$2),3,FALSE)</f>
        <v>182</v>
      </c>
      <c r="N82">
        <f ca="1">+VLOOKUP($A82,INDIRECT(Adrese!E$2),3,FALSE)</f>
        <v>165</v>
      </c>
      <c r="O82">
        <f ca="1">+VLOOKUP($A82,INDIRECT(Adrese!F$2),3,FALSE)</f>
        <v>165</v>
      </c>
      <c r="P82">
        <f t="shared" ca="1" si="26"/>
        <v>862</v>
      </c>
      <c r="Q82" s="4">
        <f t="shared" ca="1" si="19"/>
        <v>172.4</v>
      </c>
      <c r="R82" s="4"/>
      <c r="T82" t="s">
        <v>138</v>
      </c>
      <c r="U82">
        <f ca="1">+VLOOKUP($T82,INDIRECT(Adrese!B$2),4,FALSE)</f>
        <v>92098</v>
      </c>
      <c r="V82">
        <f ca="1">+VLOOKUP($T82,INDIRECT(Adrese!C$2),4,FALSE)</f>
        <v>93947</v>
      </c>
      <c r="W82">
        <f ca="1">+VLOOKUP($T82,INDIRECT(Adrese!D$2),4,FALSE)</f>
        <v>94660</v>
      </c>
      <c r="X82">
        <f ca="1">+VLOOKUP($T82,INDIRECT(Adrese!E$2),4,FALSE)</f>
        <v>94444</v>
      </c>
      <c r="Y82">
        <f ca="1">+VLOOKUP($T82,INDIRECT(Adrese!F$2),4,FALSE)</f>
        <v>94604</v>
      </c>
      <c r="Z82">
        <f t="shared" ca="1" si="27"/>
        <v>469753</v>
      </c>
      <c r="AA82" s="4">
        <f t="shared" ca="1" si="20"/>
        <v>93950.6</v>
      </c>
      <c r="AC82" t="s">
        <v>138</v>
      </c>
      <c r="AD82">
        <f ca="1">+VLOOKUP($A82,INDIRECT(Adrese!B$2),5,FALSE)</f>
        <v>16200</v>
      </c>
      <c r="AE82">
        <f ca="1">+VLOOKUP($A82,INDIRECT(Adrese!C$2),5,FALSE)</f>
        <v>16900</v>
      </c>
      <c r="AF82">
        <f ca="1">+VLOOKUP($A82,INDIRECT(Adrese!D$2),5,FALSE)</f>
        <v>17258</v>
      </c>
      <c r="AG82">
        <f ca="1">+VLOOKUP($A82,INDIRECT(Adrese!E$2),5,FALSE)</f>
        <v>17430</v>
      </c>
      <c r="AH82">
        <f ca="1">+VLOOKUP($A82,INDIRECT(Adrese!F$2),5,FALSE)</f>
        <v>17565</v>
      </c>
      <c r="AI82" s="4">
        <f t="shared" ca="1" si="21"/>
        <v>17070.599999999999</v>
      </c>
      <c r="AJ82" s="4"/>
      <c r="AK82" s="4"/>
      <c r="AM82" t="s">
        <v>138</v>
      </c>
      <c r="AN82" s="4">
        <f ca="1">+VLOOKUP($A82,INDIRECT(Adrese!B$2),6,FALSE)</f>
        <v>0.35769911504424778</v>
      </c>
      <c r="AO82" s="4">
        <f ca="1">+VLOOKUP($A82,INDIRECT(Adrese!C$2),6,FALSE)</f>
        <v>0.3721017699115044</v>
      </c>
      <c r="AP82" s="4">
        <f ca="1">+VLOOKUP($A82,INDIRECT(Adrese!D$2),6,FALSE)</f>
        <v>0.38015486725663722</v>
      </c>
      <c r="AQ82" s="4">
        <f ca="1">+VLOOKUP($A82,INDIRECT(Adrese!E$2),6,FALSE)</f>
        <v>0.38438053097345132</v>
      </c>
      <c r="AR82" s="4">
        <f ca="1">+VLOOKUP($A82,INDIRECT(Adrese!F$2),6,FALSE)</f>
        <v>0.38701327433628319</v>
      </c>
      <c r="AS82" s="4" t="str">
        <f t="shared" ca="1" si="28"/>
        <v>0.38 (0.01)</v>
      </c>
      <c r="AT82" s="4">
        <f t="shared" ca="1" si="22"/>
        <v>0.37626991150442485</v>
      </c>
      <c r="AU82" s="4">
        <f t="shared" ca="1" si="29"/>
        <v>1.1816754628586827E-2</v>
      </c>
      <c r="AW82" t="s">
        <v>138</v>
      </c>
      <c r="AX82" s="4">
        <f ca="1">+VLOOKUP($A82,INDIRECT(Adrese!B$2),7,FALSE)</f>
        <v>0.26106194690265488</v>
      </c>
      <c r="AY82" s="4">
        <f ca="1">+VLOOKUP($A82,INDIRECT(Adrese!C$2),7,FALSE)</f>
        <v>0.19026548672566371</v>
      </c>
      <c r="AZ82" s="4">
        <f ca="1">+VLOOKUP($A82,INDIRECT(Adrese!D$2),7,FALSE)</f>
        <v>0.19469026548672569</v>
      </c>
      <c r="BA82" s="4">
        <f ca="1">+VLOOKUP($A82,INDIRECT(Adrese!E$2),7,FALSE)</f>
        <v>0.26991150442477868</v>
      </c>
      <c r="BB82" s="4">
        <f ca="1">+VLOOKUP($A82,INDIRECT(Adrese!F$2),7,FALSE)</f>
        <v>0.26991150442477868</v>
      </c>
      <c r="BC82" s="4" t="str">
        <f t="shared" ca="1" si="30"/>
        <v>0.24 (0.04)</v>
      </c>
      <c r="BD82">
        <f t="shared" ca="1" si="23"/>
        <v>0.23716814159292032</v>
      </c>
      <c r="BE82" s="4">
        <f t="shared" ca="1" si="31"/>
        <v>4.0985968767820811E-2</v>
      </c>
      <c r="BG82" t="s">
        <v>138</v>
      </c>
      <c r="BH82" s="4">
        <f ca="1">+VLOOKUP($BG82,INDIRECT(Adrese!B$2),8,FALSE)</f>
        <v>5.4656058252859047E-2</v>
      </c>
      <c r="BI82" s="4">
        <f ca="1">+VLOOKUP($BG82,INDIRECT(Adrese!C$2),8,FALSE)</f>
        <v>5.7326404389612173E-2</v>
      </c>
      <c r="BJ82" s="4">
        <f ca="1">+VLOOKUP($BG82,INDIRECT(Adrese!D$2),8,FALSE)</f>
        <v>5.803287464332705E-2</v>
      </c>
      <c r="BK82" s="4">
        <f ca="1">+VLOOKUP($BG82,INDIRECT(Adrese!E$2),8,FALSE)</f>
        <v>5.7876877066690237E-2</v>
      </c>
      <c r="BL82" s="4">
        <f ca="1">+VLOOKUP($BG82,INDIRECT(Adrese!F$2),8,FALSE)</f>
        <v>5.9216883884729253E-2</v>
      </c>
      <c r="BM82" s="4" t="str">
        <f t="shared" ca="1" si="32"/>
        <v>0.06 (0.00)</v>
      </c>
      <c r="BN82" s="4">
        <f t="shared" ca="1" si="24"/>
        <v>5.7421819647443549E-2</v>
      </c>
      <c r="BO82" s="4">
        <f t="shared" ca="1" si="33"/>
        <v>1.6927242275389092E-3</v>
      </c>
      <c r="BQ82" t="s">
        <v>138</v>
      </c>
      <c r="BR82" s="4">
        <f ca="1">+VLOOKUP($BG82,INDIRECT(Adrese!B$2),9,FALSE)</f>
        <v>0.1072998851954612</v>
      </c>
      <c r="BS82" s="4">
        <f ca="1">+VLOOKUP($BG82,INDIRECT(Adrese!C$2),9,FALSE)</f>
        <v>0.1030636521324631</v>
      </c>
      <c r="BT82" s="4">
        <f ca="1">+VLOOKUP($BG82,INDIRECT(Adrese!D$2),9,FALSE)</f>
        <v>0.1014900283739885</v>
      </c>
      <c r="BU82" s="4">
        <f ca="1">+VLOOKUP($BG82,INDIRECT(Adrese!E$2),9,FALSE)</f>
        <v>9.6088508630740629E-2</v>
      </c>
      <c r="BV82" s="4">
        <f ca="1">+VLOOKUP($BG82,INDIRECT(Adrese!F$2),9,FALSE)</f>
        <v>9.8683745528881539E-2</v>
      </c>
      <c r="BW82" s="4" t="str">
        <f t="shared" ca="1" si="34"/>
        <v>0.10 (0.00)</v>
      </c>
      <c r="BX82" s="4">
        <f t="shared" ca="1" si="25"/>
        <v>0.10132516397230699</v>
      </c>
      <c r="BY82" s="4">
        <f t="shared" ca="1" si="35"/>
        <v>4.2762853508617081E-3</v>
      </c>
    </row>
    <row r="83" spans="1:77" x14ac:dyDescent="0.25">
      <c r="A83" t="s">
        <v>139</v>
      </c>
      <c r="B83" s="11">
        <f ca="1">+VLOOKUP($A83,INDIRECT(Adrese!B$2),2,FALSE)</f>
        <v>127</v>
      </c>
      <c r="C83" s="11">
        <f ca="1">+VLOOKUP($A83,INDIRECT(Adrese!C$2),2,FALSE)</f>
        <v>136</v>
      </c>
      <c r="D83" s="11">
        <f ca="1">+VLOOKUP($A83,INDIRECT(Adrese!D$2),2,FALSE)</f>
        <v>136</v>
      </c>
      <c r="E83" s="11">
        <f ca="1">+VLOOKUP($A83,INDIRECT(Adrese!E$2),2,FALSE)</f>
        <v>116</v>
      </c>
      <c r="F83" s="11">
        <f ca="1">+VLOOKUP($A83,INDIRECT(Adrese!F$2),2,FALSE)</f>
        <v>122</v>
      </c>
      <c r="G83" s="4">
        <f t="shared" ca="1" si="18"/>
        <v>127.4</v>
      </c>
      <c r="J83" t="s">
        <v>139</v>
      </c>
      <c r="K83">
        <f ca="1">+VLOOKUP($A83,INDIRECT(Adrese!B$2),3,FALSE)</f>
        <v>183</v>
      </c>
      <c r="L83">
        <f ca="1">+VLOOKUP($A83,INDIRECT(Adrese!C$2),3,FALSE)</f>
        <v>172</v>
      </c>
      <c r="M83">
        <f ca="1">+VLOOKUP($A83,INDIRECT(Adrese!D$2),3,FALSE)</f>
        <v>179</v>
      </c>
      <c r="N83">
        <f ca="1">+VLOOKUP($A83,INDIRECT(Adrese!E$2),3,FALSE)</f>
        <v>172</v>
      </c>
      <c r="O83">
        <f ca="1">+VLOOKUP($A83,INDIRECT(Adrese!F$2),3,FALSE)</f>
        <v>176</v>
      </c>
      <c r="P83">
        <f t="shared" ca="1" si="26"/>
        <v>882</v>
      </c>
      <c r="Q83" s="4">
        <f t="shared" ca="1" si="19"/>
        <v>176.4</v>
      </c>
      <c r="R83" s="4"/>
      <c r="T83" t="s">
        <v>139</v>
      </c>
      <c r="U83">
        <f ca="1">+VLOOKUP($T83,INDIRECT(Adrese!B$2),4,FALSE)</f>
        <v>94462</v>
      </c>
      <c r="V83">
        <f ca="1">+VLOOKUP($T83,INDIRECT(Adrese!C$2),4,FALSE)</f>
        <v>94198</v>
      </c>
      <c r="W83">
        <f ca="1">+VLOOKUP($T83,INDIRECT(Adrese!D$2),4,FALSE)</f>
        <v>94130</v>
      </c>
      <c r="X83">
        <f ca="1">+VLOOKUP($T83,INDIRECT(Adrese!E$2),4,FALSE)</f>
        <v>94888</v>
      </c>
      <c r="Y83">
        <f ca="1">+VLOOKUP($T83,INDIRECT(Adrese!F$2),4,FALSE)</f>
        <v>94759</v>
      </c>
      <c r="Z83">
        <f t="shared" ca="1" si="27"/>
        <v>472437</v>
      </c>
      <c r="AA83" s="4">
        <f t="shared" ca="1" si="20"/>
        <v>94487.4</v>
      </c>
      <c r="AC83" t="s">
        <v>139</v>
      </c>
      <c r="AD83">
        <f ca="1">+VLOOKUP($A83,INDIRECT(Adrese!B$2),5,FALSE)</f>
        <v>8377</v>
      </c>
      <c r="AE83">
        <f ca="1">+VLOOKUP($A83,INDIRECT(Adrese!C$2),5,FALSE)</f>
        <v>8564</v>
      </c>
      <c r="AF83">
        <f ca="1">+VLOOKUP($A83,INDIRECT(Adrese!D$2),5,FALSE)</f>
        <v>8588</v>
      </c>
      <c r="AG83">
        <f ca="1">+VLOOKUP($A83,INDIRECT(Adrese!E$2),5,FALSE)</f>
        <v>8497</v>
      </c>
      <c r="AH83">
        <f ca="1">+VLOOKUP($A83,INDIRECT(Adrese!F$2),5,FALSE)</f>
        <v>8642</v>
      </c>
      <c r="AI83" s="4">
        <f t="shared" ca="1" si="21"/>
        <v>8533.6</v>
      </c>
      <c r="AJ83" s="4"/>
      <c r="AK83" s="4"/>
      <c r="AM83" t="s">
        <v>139</v>
      </c>
      <c r="AN83" s="4">
        <f ca="1">+VLOOKUP($A83,INDIRECT(Adrese!B$2),6,FALSE)</f>
        <v>0.18469026548672571</v>
      </c>
      <c r="AO83" s="4">
        <f ca="1">+VLOOKUP($A83,INDIRECT(Adrese!C$2),6,FALSE)</f>
        <v>0.18896017699115039</v>
      </c>
      <c r="AP83" s="4">
        <f ca="1">+VLOOKUP($A83,INDIRECT(Adrese!D$2),6,FALSE)</f>
        <v>0.18944690265486719</v>
      </c>
      <c r="AQ83" s="4">
        <f ca="1">+VLOOKUP($A83,INDIRECT(Adrese!E$2),6,FALSE)</f>
        <v>0.18712389380530969</v>
      </c>
      <c r="AR83" s="4">
        <f ca="1">+VLOOKUP($A83,INDIRECT(Adrese!F$2),6,FALSE)</f>
        <v>0.19050884955752209</v>
      </c>
      <c r="AS83" s="4" t="str">
        <f t="shared" ca="1" si="28"/>
        <v>0.19 (0.00)</v>
      </c>
      <c r="AT83" s="4">
        <f t="shared" ca="1" si="22"/>
        <v>0.18814601769911501</v>
      </c>
      <c r="AU83" s="4">
        <f t="shared" ca="1" si="29"/>
        <v>2.2871976313676235E-3</v>
      </c>
      <c r="AW83" t="s">
        <v>139</v>
      </c>
      <c r="AX83" s="4">
        <f ca="1">+VLOOKUP($A83,INDIRECT(Adrese!B$2),7,FALSE)</f>
        <v>0.19026548672566371</v>
      </c>
      <c r="AY83" s="4">
        <f ca="1">+VLOOKUP($A83,INDIRECT(Adrese!C$2),7,FALSE)</f>
        <v>0.23893805309734509</v>
      </c>
      <c r="AZ83" s="4">
        <f ca="1">+VLOOKUP($A83,INDIRECT(Adrese!D$2),7,FALSE)</f>
        <v>0.20796460176991149</v>
      </c>
      <c r="BA83" s="4">
        <f ca="1">+VLOOKUP($A83,INDIRECT(Adrese!E$2),7,FALSE)</f>
        <v>0.23893805309734509</v>
      </c>
      <c r="BB83" s="4">
        <f ca="1">+VLOOKUP($A83,INDIRECT(Adrese!F$2),7,FALSE)</f>
        <v>0.22123893805309741</v>
      </c>
      <c r="BC83" s="4" t="str">
        <f t="shared" ca="1" si="30"/>
        <v>0.22 (0.02)</v>
      </c>
      <c r="BD83">
        <f t="shared" ca="1" si="23"/>
        <v>0.21946902654867256</v>
      </c>
      <c r="BE83" s="4">
        <f t="shared" ca="1" si="31"/>
        <v>2.0895077793128474E-2</v>
      </c>
      <c r="BG83" t="s">
        <v>139</v>
      </c>
      <c r="BH83" s="4">
        <f ca="1">+VLOOKUP($BG83,INDIRECT(Adrese!B$2),8,FALSE)</f>
        <v>2.5427716782776489E-2</v>
      </c>
      <c r="BI83" s="4">
        <f ca="1">+VLOOKUP($BG83,INDIRECT(Adrese!C$2),8,FALSE)</f>
        <v>2.631641817039828E-2</v>
      </c>
      <c r="BJ83" s="4">
        <f ca="1">+VLOOKUP($BG83,INDIRECT(Adrese!D$2),8,FALSE)</f>
        <v>2.6169137812300729E-2</v>
      </c>
      <c r="BK83" s="4">
        <f ca="1">+VLOOKUP($BG83,INDIRECT(Adrese!E$2),8,FALSE)</f>
        <v>2.5680863677631258E-2</v>
      </c>
      <c r="BL83" s="4">
        <f ca="1">+VLOOKUP($BG83,INDIRECT(Adrese!F$2),8,FALSE)</f>
        <v>2.6364543169674119E-2</v>
      </c>
      <c r="BM83" s="4" t="str">
        <f t="shared" ca="1" si="32"/>
        <v>0.03 (0.00)</v>
      </c>
      <c r="BN83" s="4">
        <f t="shared" ca="1" si="24"/>
        <v>2.5991735922556176E-2</v>
      </c>
      <c r="BO83" s="4">
        <f t="shared" ca="1" si="33"/>
        <v>4.1552207485128726E-4</v>
      </c>
      <c r="BQ83" t="s">
        <v>139</v>
      </c>
      <c r="BR83" s="4">
        <f ca="1">+VLOOKUP($BG83,INDIRECT(Adrese!B$2),9,FALSE)</f>
        <v>9.3235830556030186E-2</v>
      </c>
      <c r="BS83" s="4">
        <f ca="1">+VLOOKUP($BG83,INDIRECT(Adrese!C$2),9,FALSE)</f>
        <v>9.5434409746799814E-2</v>
      </c>
      <c r="BT83" s="4">
        <f ca="1">+VLOOKUP($BG83,INDIRECT(Adrese!D$2),9,FALSE)</f>
        <v>9.3066559697165971E-2</v>
      </c>
      <c r="BU83" s="4">
        <f ca="1">+VLOOKUP($BG83,INDIRECT(Adrese!E$2),9,FALSE)</f>
        <v>9.1886077455097442E-2</v>
      </c>
      <c r="BV83" s="4">
        <f ca="1">+VLOOKUP($BG83,INDIRECT(Adrese!F$2),9,FALSE)</f>
        <v>9.1746047731357E-2</v>
      </c>
      <c r="BW83" s="4" t="str">
        <f t="shared" ca="1" si="34"/>
        <v>0.09 (0.00)</v>
      </c>
      <c r="BX83" s="4">
        <f t="shared" ca="1" si="25"/>
        <v>9.3073785037290066E-2</v>
      </c>
      <c r="BY83" s="4">
        <f t="shared" ca="1" si="35"/>
        <v>1.4809115123122559E-3</v>
      </c>
    </row>
    <row r="84" spans="1:77" x14ac:dyDescent="0.25">
      <c r="A84" t="s">
        <v>140</v>
      </c>
      <c r="B84" s="11">
        <f ca="1">+VLOOKUP($A84,INDIRECT(Adrese!B$2),2,FALSE)</f>
        <v>99</v>
      </c>
      <c r="C84" s="11">
        <f ca="1">+VLOOKUP($A84,INDIRECT(Adrese!C$2),2,FALSE)</f>
        <v>56</v>
      </c>
      <c r="D84" s="11">
        <f ca="1">+VLOOKUP($A84,INDIRECT(Adrese!D$2),2,FALSE)</f>
        <v>23</v>
      </c>
      <c r="E84" s="11">
        <f ca="1">+VLOOKUP($A84,INDIRECT(Adrese!E$2),2,FALSE)</f>
        <v>34</v>
      </c>
      <c r="F84" s="11">
        <f ca="1">+VLOOKUP($A84,INDIRECT(Adrese!F$2),2,FALSE)</f>
        <v>72</v>
      </c>
      <c r="G84" s="4">
        <f t="shared" ref="G84:G147" ca="1" si="36">AVERAGE(B84:F84)</f>
        <v>56.8</v>
      </c>
      <c r="J84" t="s">
        <v>140</v>
      </c>
      <c r="K84">
        <f ca="1">+VLOOKUP($A84,INDIRECT(Adrese!B$2),3,FALSE)</f>
        <v>193</v>
      </c>
      <c r="L84">
        <f ca="1">+VLOOKUP($A84,INDIRECT(Adrese!C$2),3,FALSE)</f>
        <v>197</v>
      </c>
      <c r="M84">
        <f ca="1">+VLOOKUP($A84,INDIRECT(Adrese!D$2),3,FALSE)</f>
        <v>199</v>
      </c>
      <c r="N84">
        <f ca="1">+VLOOKUP($A84,INDIRECT(Adrese!E$2),3,FALSE)</f>
        <v>195</v>
      </c>
      <c r="O84">
        <f ca="1">+VLOOKUP($A84,INDIRECT(Adrese!F$2),3,FALSE)</f>
        <v>199</v>
      </c>
      <c r="P84">
        <f t="shared" ca="1" si="26"/>
        <v>983</v>
      </c>
      <c r="Q84" s="4">
        <f t="shared" ref="Q84:Q147" ca="1" si="37">AVERAGE(K84:O84)</f>
        <v>196.6</v>
      </c>
      <c r="R84" s="4"/>
      <c r="T84" t="s">
        <v>140</v>
      </c>
      <c r="U84">
        <f ca="1">+VLOOKUP($T84,INDIRECT(Adrese!B$2),4,FALSE)</f>
        <v>95561</v>
      </c>
      <c r="V84">
        <f ca="1">+VLOOKUP($T84,INDIRECT(Adrese!C$2),4,FALSE)</f>
        <v>97222</v>
      </c>
      <c r="W84">
        <f ca="1">+VLOOKUP($T84,INDIRECT(Adrese!D$2),4,FALSE)</f>
        <v>99325</v>
      </c>
      <c r="X84">
        <f ca="1">+VLOOKUP($T84,INDIRECT(Adrese!E$2),4,FALSE)</f>
        <v>98583</v>
      </c>
      <c r="Y84">
        <f ca="1">+VLOOKUP($T84,INDIRECT(Adrese!F$2),4,FALSE)</f>
        <v>96743</v>
      </c>
      <c r="Z84">
        <f t="shared" ca="1" si="27"/>
        <v>487434</v>
      </c>
      <c r="AA84" s="4">
        <f t="shared" ref="AA84:AA147" ca="1" si="38">AVERAGE(U84:Y84)</f>
        <v>97486.8</v>
      </c>
      <c r="AC84" t="s">
        <v>140</v>
      </c>
      <c r="AD84">
        <f ca="1">+VLOOKUP($A84,INDIRECT(Adrese!B$2),5,FALSE)</f>
        <v>6822</v>
      </c>
      <c r="AE84">
        <f ca="1">+VLOOKUP($A84,INDIRECT(Adrese!C$2),5,FALSE)</f>
        <v>6711</v>
      </c>
      <c r="AF84">
        <f ca="1">+VLOOKUP($A84,INDIRECT(Adrese!D$2),5,FALSE)</f>
        <v>7607</v>
      </c>
      <c r="AG84">
        <f ca="1">+VLOOKUP($A84,INDIRECT(Adrese!E$2),5,FALSE)</f>
        <v>7029</v>
      </c>
      <c r="AH84">
        <f ca="1">+VLOOKUP($A84,INDIRECT(Adrese!F$2),5,FALSE)</f>
        <v>7898</v>
      </c>
      <c r="AI84" s="4">
        <f t="shared" ref="AI84:AI147" ca="1" si="39">AVERAGE(AD84:AH84)</f>
        <v>7213.4</v>
      </c>
      <c r="AJ84" s="4"/>
      <c r="AK84" s="4"/>
      <c r="AM84" t="s">
        <v>140</v>
      </c>
      <c r="AN84" s="4">
        <f ca="1">+VLOOKUP($A84,INDIRECT(Adrese!B$2),6,FALSE)</f>
        <v>0.14683628318584069</v>
      </c>
      <c r="AO84" s="4">
        <f ca="1">+VLOOKUP($A84,INDIRECT(Adrese!C$2),6,FALSE)</f>
        <v>0.1479646017699115</v>
      </c>
      <c r="AP84" s="4">
        <f ca="1">+VLOOKUP($A84,INDIRECT(Adrese!D$2),6,FALSE)</f>
        <v>0.1678097345132743</v>
      </c>
      <c r="AQ84" s="4">
        <f ca="1">+VLOOKUP($A84,INDIRECT(Adrese!E$2),6,FALSE)</f>
        <v>0.15502212389380529</v>
      </c>
      <c r="AR84" s="4">
        <f ca="1">+VLOOKUP($A84,INDIRECT(Adrese!F$2),6,FALSE)</f>
        <v>0.17396017699115041</v>
      </c>
      <c r="AS84" s="4" t="str">
        <f t="shared" ca="1" si="28"/>
        <v>0.16 (0.01)</v>
      </c>
      <c r="AT84" s="4">
        <f t="shared" ref="AT84:AT147" ca="1" si="40">AVERAGE(AN84:AR84)</f>
        <v>0.15831858407079644</v>
      </c>
      <c r="AU84" s="4">
        <f t="shared" ca="1" si="29"/>
        <v>1.2089832490630276E-2</v>
      </c>
      <c r="AW84" t="s">
        <v>140</v>
      </c>
      <c r="AX84" s="4">
        <f ca="1">+VLOOKUP($A84,INDIRECT(Adrese!B$2),7,FALSE)</f>
        <v>0.14601769911504431</v>
      </c>
      <c r="AY84" s="4">
        <f ca="1">+VLOOKUP($A84,INDIRECT(Adrese!C$2),7,FALSE)</f>
        <v>0.12831858407079649</v>
      </c>
      <c r="AZ84" s="4">
        <f ca="1">+VLOOKUP($A84,INDIRECT(Adrese!D$2),7,FALSE)</f>
        <v>0.1194690265486726</v>
      </c>
      <c r="BA84" s="4">
        <f ca="1">+VLOOKUP($A84,INDIRECT(Adrese!E$2),7,FALSE)</f>
        <v>0.13716814159292029</v>
      </c>
      <c r="BB84" s="4">
        <f ca="1">+VLOOKUP($A84,INDIRECT(Adrese!F$2),7,FALSE)</f>
        <v>0.1194690265486726</v>
      </c>
      <c r="BC84" s="4" t="str">
        <f t="shared" ca="1" si="30"/>
        <v>0.13 (0.01)</v>
      </c>
      <c r="BD84">
        <f t="shared" ref="BD84:BD147" ca="1" si="41">AVERAGE(AX84:BB84)</f>
        <v>0.13008849557522126</v>
      </c>
      <c r="BE84" s="4">
        <f t="shared" ca="1" si="31"/>
        <v>1.153841133664185E-2</v>
      </c>
      <c r="BG84" t="s">
        <v>140</v>
      </c>
      <c r="BH84" s="4">
        <f ca="1">+VLOOKUP($BG84,INDIRECT(Adrese!B$2),8,FALSE)</f>
        <v>2.090625388581302E-2</v>
      </c>
      <c r="BI84" s="4">
        <f ca="1">+VLOOKUP($BG84,INDIRECT(Adrese!C$2),8,FALSE)</f>
        <v>2.0921928865156082E-2</v>
      </c>
      <c r="BJ84" s="4">
        <f ca="1">+VLOOKUP($BG84,INDIRECT(Adrese!D$2),8,FALSE)</f>
        <v>2.4173697736946189E-2</v>
      </c>
      <c r="BK84" s="4">
        <f ca="1">+VLOOKUP($BG84,INDIRECT(Adrese!E$2),8,FALSE)</f>
        <v>2.181524213108544E-2</v>
      </c>
      <c r="BL84" s="4">
        <f ca="1">+VLOOKUP($BG84,INDIRECT(Adrese!F$2),8,FALSE)</f>
        <v>2.565827872267424E-2</v>
      </c>
      <c r="BM84" s="4" t="str">
        <f t="shared" ca="1" si="32"/>
        <v>0.02 (0.00)</v>
      </c>
      <c r="BN84" s="4">
        <f t="shared" ref="BN84:BN147" ca="1" si="42">AVERAGE(BH84:BL84)</f>
        <v>2.2695080268334993E-2</v>
      </c>
      <c r="BO84" s="4">
        <f t="shared" ca="1" si="33"/>
        <v>2.1263193299362066E-3</v>
      </c>
      <c r="BQ84" t="s">
        <v>140</v>
      </c>
      <c r="BR84" s="4">
        <f ca="1">+VLOOKUP($BG84,INDIRECT(Adrese!B$2),9,FALSE)</f>
        <v>9.6886131495506608E-2</v>
      </c>
      <c r="BS84" s="4">
        <f ca="1">+VLOOKUP($BG84,INDIRECT(Adrese!C$2),9,FALSE)</f>
        <v>9.7801296362878015E-2</v>
      </c>
      <c r="BT84" s="4">
        <f ca="1">+VLOOKUP($BG84,INDIRECT(Adrese!D$2),9,FALSE)</f>
        <v>9.4003174639966436E-2</v>
      </c>
      <c r="BU84" s="4">
        <f ca="1">+VLOOKUP($BG84,INDIRECT(Adrese!E$2),9,FALSE)</f>
        <v>9.3371402567446943E-2</v>
      </c>
      <c r="BV84" s="4">
        <f ca="1">+VLOOKUP($BG84,INDIRECT(Adrese!F$2),9,FALSE)</f>
        <v>0.10197251773459</v>
      </c>
      <c r="BW84" s="4" t="str">
        <f t="shared" ca="1" si="34"/>
        <v>0.10 (0.00)</v>
      </c>
      <c r="BX84" s="4">
        <f t="shared" ref="BX84:BX147" ca="1" si="43">AVERAGE(BR84:BV84)</f>
        <v>9.6806904560077595E-2</v>
      </c>
      <c r="BY84" s="4">
        <f t="shared" ca="1" si="35"/>
        <v>3.4402843937589652E-3</v>
      </c>
    </row>
    <row r="85" spans="1:77" x14ac:dyDescent="0.25">
      <c r="A85" t="s">
        <v>6</v>
      </c>
      <c r="B85" s="11">
        <f ca="1">+VLOOKUP($A85,INDIRECT(Adrese!B$2),2,FALSE)</f>
        <v>184</v>
      </c>
      <c r="C85" s="11">
        <f ca="1">+VLOOKUP($A85,INDIRECT(Adrese!C$2),2,FALSE)</f>
        <v>191</v>
      </c>
      <c r="D85" s="11">
        <f ca="1">+VLOOKUP($A85,INDIRECT(Adrese!D$2),2,FALSE)</f>
        <v>185</v>
      </c>
      <c r="E85" s="11">
        <f ca="1">+VLOOKUP($A85,INDIRECT(Adrese!E$2),2,FALSE)</f>
        <v>186</v>
      </c>
      <c r="F85" s="11">
        <f ca="1">+VLOOKUP($A85,INDIRECT(Adrese!F$2),2,FALSE)</f>
        <v>180</v>
      </c>
      <c r="G85" s="4">
        <f t="shared" ca="1" si="36"/>
        <v>185.2</v>
      </c>
      <c r="J85" t="s">
        <v>6</v>
      </c>
      <c r="K85">
        <f ca="1">+VLOOKUP($A85,INDIRECT(Adrese!B$2),3,FALSE)</f>
        <v>56</v>
      </c>
      <c r="L85">
        <f ca="1">+VLOOKUP($A85,INDIRECT(Adrese!C$2),3,FALSE)</f>
        <v>53</v>
      </c>
      <c r="M85">
        <f ca="1">+VLOOKUP($A85,INDIRECT(Adrese!D$2),3,FALSE)</f>
        <v>64</v>
      </c>
      <c r="N85">
        <f ca="1">+VLOOKUP($A85,INDIRECT(Adrese!E$2),3,FALSE)</f>
        <v>63</v>
      </c>
      <c r="O85">
        <f ca="1">+VLOOKUP($A85,INDIRECT(Adrese!F$2),3,FALSE)</f>
        <v>61</v>
      </c>
      <c r="P85">
        <f t="shared" ca="1" si="26"/>
        <v>297</v>
      </c>
      <c r="Q85" s="4">
        <f t="shared" ca="1" si="37"/>
        <v>59.4</v>
      </c>
      <c r="R85" s="4"/>
      <c r="T85" t="s">
        <v>6</v>
      </c>
      <c r="U85">
        <f ca="1">+VLOOKUP($T85,INDIRECT(Adrese!B$2),4,FALSE)</f>
        <v>90445</v>
      </c>
      <c r="V85">
        <f ca="1">+VLOOKUP($T85,INDIRECT(Adrese!C$2),4,FALSE)</f>
        <v>89327</v>
      </c>
      <c r="W85">
        <f ca="1">+VLOOKUP($T85,INDIRECT(Adrese!D$2),4,FALSE)</f>
        <v>89975</v>
      </c>
      <c r="X85">
        <f ca="1">+VLOOKUP($T85,INDIRECT(Adrese!E$2),4,FALSE)</f>
        <v>90286</v>
      </c>
      <c r="Y85">
        <f ca="1">+VLOOKUP($T85,INDIRECT(Adrese!F$2),4,FALSE)</f>
        <v>90975</v>
      </c>
      <c r="Z85">
        <f t="shared" ca="1" si="27"/>
        <v>451008</v>
      </c>
      <c r="AA85" s="4">
        <f t="shared" ca="1" si="38"/>
        <v>90201.600000000006</v>
      </c>
      <c r="AC85" t="s">
        <v>6</v>
      </c>
      <c r="AD85">
        <f ca="1">+VLOOKUP($A85,INDIRECT(Adrese!B$2),5,FALSE)</f>
        <v>29417</v>
      </c>
      <c r="AE85">
        <f ca="1">+VLOOKUP($A85,INDIRECT(Adrese!C$2),5,FALSE)</f>
        <v>29021</v>
      </c>
      <c r="AF85">
        <f ca="1">+VLOOKUP($A85,INDIRECT(Adrese!D$2),5,FALSE)</f>
        <v>28948</v>
      </c>
      <c r="AG85">
        <f ca="1">+VLOOKUP($A85,INDIRECT(Adrese!E$2),5,FALSE)</f>
        <v>29150</v>
      </c>
      <c r="AH85">
        <f ca="1">+VLOOKUP($A85,INDIRECT(Adrese!F$2),5,FALSE)</f>
        <v>29138</v>
      </c>
      <c r="AI85" s="4">
        <f t="shared" ca="1" si="39"/>
        <v>29134.799999999999</v>
      </c>
      <c r="AJ85" s="4"/>
      <c r="AK85" s="4"/>
      <c r="AM85" t="s">
        <v>6</v>
      </c>
      <c r="AN85" s="4">
        <f ca="1">+VLOOKUP($A85,INDIRECT(Adrese!B$2),6,FALSE)</f>
        <v>0.64758849557522125</v>
      </c>
      <c r="AO85" s="4">
        <f ca="1">+VLOOKUP($A85,INDIRECT(Adrese!C$2),6,FALSE)</f>
        <v>0.63882743362831862</v>
      </c>
      <c r="AP85" s="4">
        <f ca="1">+VLOOKUP($A85,INDIRECT(Adrese!D$2),6,FALSE)</f>
        <v>0.6369690265486726</v>
      </c>
      <c r="AQ85" s="4">
        <f ca="1">+VLOOKUP($A85,INDIRECT(Adrese!E$2),6,FALSE)</f>
        <v>0.64168141592920358</v>
      </c>
      <c r="AR85" s="4">
        <f ca="1">+VLOOKUP($A85,INDIRECT(Adrese!F$2),6,FALSE)</f>
        <v>0.64110619469026553</v>
      </c>
      <c r="AS85" s="4" t="str">
        <f t="shared" ca="1" si="28"/>
        <v>0.64 (0.00)</v>
      </c>
      <c r="AT85" s="4">
        <f t="shared" ca="1" si="40"/>
        <v>0.64123451327433634</v>
      </c>
      <c r="AU85" s="4">
        <f t="shared" ca="1" si="29"/>
        <v>4.0180121998007398E-3</v>
      </c>
      <c r="AW85" t="s">
        <v>6</v>
      </c>
      <c r="AX85" s="4">
        <f ca="1">+VLOOKUP($A85,INDIRECT(Adrese!B$2),7,FALSE)</f>
        <v>0.75221238938053092</v>
      </c>
      <c r="AY85" s="4">
        <f ca="1">+VLOOKUP($A85,INDIRECT(Adrese!C$2),7,FALSE)</f>
        <v>0.76548672566371678</v>
      </c>
      <c r="AZ85" s="4">
        <f ca="1">+VLOOKUP($A85,INDIRECT(Adrese!D$2),7,FALSE)</f>
        <v>0.7168141592920354</v>
      </c>
      <c r="BA85" s="4">
        <f ca="1">+VLOOKUP($A85,INDIRECT(Adrese!E$2),7,FALSE)</f>
        <v>0.72123893805309736</v>
      </c>
      <c r="BB85" s="4">
        <f ca="1">+VLOOKUP($A85,INDIRECT(Adrese!F$2),7,FALSE)</f>
        <v>0.73008849557522126</v>
      </c>
      <c r="BC85" s="4" t="str">
        <f t="shared" ca="1" si="30"/>
        <v>0.74 (0.02)</v>
      </c>
      <c r="BD85">
        <f t="shared" ca="1" si="41"/>
        <v>0.73716814159292032</v>
      </c>
      <c r="BE85" s="4">
        <f t="shared" ca="1" si="31"/>
        <v>2.0895077793128464E-2</v>
      </c>
      <c r="BG85" t="s">
        <v>6</v>
      </c>
      <c r="BH85" s="4">
        <f ca="1">+VLOOKUP($BG85,INDIRECT(Adrese!B$2),8,FALSE)</f>
        <v>8.4268015460558329E-2</v>
      </c>
      <c r="BI85" s="4">
        <f ca="1">+VLOOKUP($BG85,INDIRECT(Adrese!C$2),8,FALSE)</f>
        <v>8.3136845323080744E-2</v>
      </c>
      <c r="BJ85" s="4">
        <f ca="1">+VLOOKUP($BG85,INDIRECT(Adrese!D$2),8,FALSE)</f>
        <v>8.2744503573317058E-2</v>
      </c>
      <c r="BK85" s="4">
        <f ca="1">+VLOOKUP($BG85,INDIRECT(Adrese!E$2),8,FALSE)</f>
        <v>8.385961487834509E-2</v>
      </c>
      <c r="BL85" s="4">
        <f ca="1">+VLOOKUP($BG85,INDIRECT(Adrese!F$2),8,FALSE)</f>
        <v>8.3702674850298114E-2</v>
      </c>
      <c r="BM85" s="4" t="str">
        <f t="shared" ca="1" si="32"/>
        <v>0.08 (0.00)</v>
      </c>
      <c r="BN85" s="4">
        <f t="shared" ca="1" si="42"/>
        <v>8.3542330817119856E-2</v>
      </c>
      <c r="BO85" s="4">
        <f t="shared" ca="1" si="33"/>
        <v>6.0289808073918795E-4</v>
      </c>
      <c r="BQ85" t="s">
        <v>6</v>
      </c>
      <c r="BR85" s="4">
        <f ca="1">+VLOOKUP($BG85,INDIRECT(Adrese!B$2),9,FALSE)</f>
        <v>-2.8804254010457869E-2</v>
      </c>
      <c r="BS85" s="4">
        <f ca="1">+VLOOKUP($BG85,INDIRECT(Adrese!C$2),9,FALSE)</f>
        <v>-2.6562568668402779E-2</v>
      </c>
      <c r="BT85" s="4">
        <f ca="1">+VLOOKUP($BG85,INDIRECT(Adrese!D$2),9,FALSE)</f>
        <v>-2.5933103073821649E-2</v>
      </c>
      <c r="BU85" s="4">
        <f ca="1">+VLOOKUP($BG85,INDIRECT(Adrese!E$2),9,FALSE)</f>
        <v>-2.2861035350532671E-2</v>
      </c>
      <c r="BV85" s="4">
        <f ca="1">+VLOOKUP($BG85,INDIRECT(Adrese!F$2),9,FALSE)</f>
        <v>-2.4521564238272359E-2</v>
      </c>
      <c r="BW85" s="4" t="str">
        <f t="shared" ca="1" si="34"/>
        <v>-0.03 (0.00)</v>
      </c>
      <c r="BX85" s="4">
        <f t="shared" ca="1" si="43"/>
        <v>-2.5736505068297465E-2</v>
      </c>
      <c r="BY85" s="4">
        <f t="shared" ca="1" si="35"/>
        <v>2.2291547017628541E-3</v>
      </c>
    </row>
    <row r="86" spans="1:77" x14ac:dyDescent="0.25">
      <c r="A86" t="s">
        <v>9</v>
      </c>
      <c r="B86" s="11">
        <f ca="1">+VLOOKUP($A86,INDIRECT(Adrese!B$2),2,FALSE)</f>
        <v>77</v>
      </c>
      <c r="C86" s="11">
        <f ca="1">+VLOOKUP($A86,INDIRECT(Adrese!C$2),2,FALSE)</f>
        <v>77</v>
      </c>
      <c r="D86" s="11">
        <f ca="1">+VLOOKUP($A86,INDIRECT(Adrese!D$2),2,FALSE)</f>
        <v>75</v>
      </c>
      <c r="E86" s="11">
        <f ca="1">+VLOOKUP($A86,INDIRECT(Adrese!E$2),2,FALSE)</f>
        <v>100</v>
      </c>
      <c r="F86" s="11">
        <f ca="1">+VLOOKUP($A86,INDIRECT(Adrese!F$2),2,FALSE)</f>
        <v>87</v>
      </c>
      <c r="G86" s="4">
        <f t="shared" ca="1" si="36"/>
        <v>83.2</v>
      </c>
      <c r="J86" t="s">
        <v>9</v>
      </c>
      <c r="K86">
        <f ca="1">+VLOOKUP($A86,INDIRECT(Adrese!B$2),3,FALSE)</f>
        <v>168</v>
      </c>
      <c r="L86">
        <f ca="1">+VLOOKUP($A86,INDIRECT(Adrese!C$2),3,FALSE)</f>
        <v>170</v>
      </c>
      <c r="M86">
        <f ca="1">+VLOOKUP($A86,INDIRECT(Adrese!D$2),3,FALSE)</f>
        <v>170</v>
      </c>
      <c r="N86">
        <f ca="1">+VLOOKUP($A86,INDIRECT(Adrese!E$2),3,FALSE)</f>
        <v>172</v>
      </c>
      <c r="O86">
        <f ca="1">+VLOOKUP($A86,INDIRECT(Adrese!F$2),3,FALSE)</f>
        <v>166</v>
      </c>
      <c r="P86">
        <f t="shared" ca="1" si="26"/>
        <v>846</v>
      </c>
      <c r="Q86" s="4">
        <f t="shared" ca="1" si="37"/>
        <v>169.2</v>
      </c>
      <c r="R86" s="4"/>
      <c r="T86" t="s">
        <v>9</v>
      </c>
      <c r="U86">
        <f ca="1">+VLOOKUP($T86,INDIRECT(Adrese!B$2),4,FALSE)</f>
        <v>96474</v>
      </c>
      <c r="V86">
        <f ca="1">+VLOOKUP($T86,INDIRECT(Adrese!C$2),4,FALSE)</f>
        <v>96119</v>
      </c>
      <c r="W86">
        <f ca="1">+VLOOKUP($T86,INDIRECT(Adrese!D$2),4,FALSE)</f>
        <v>96575</v>
      </c>
      <c r="X86">
        <f ca="1">+VLOOKUP($T86,INDIRECT(Adrese!E$2),4,FALSE)</f>
        <v>95514</v>
      </c>
      <c r="Y86">
        <f ca="1">+VLOOKUP($T86,INDIRECT(Adrese!F$2),4,FALSE)</f>
        <v>95989</v>
      </c>
      <c r="Z86">
        <f t="shared" ca="1" si="27"/>
        <v>480671</v>
      </c>
      <c r="AA86" s="4">
        <f t="shared" ca="1" si="38"/>
        <v>96134.2</v>
      </c>
      <c r="AC86" t="s">
        <v>9</v>
      </c>
      <c r="AD86">
        <f ca="1">+VLOOKUP($A86,INDIRECT(Adrese!B$2),5,FALSE)</f>
        <v>15116</v>
      </c>
      <c r="AE86">
        <f ca="1">+VLOOKUP($A86,INDIRECT(Adrese!C$2),5,FALSE)</f>
        <v>14731</v>
      </c>
      <c r="AF86">
        <f ca="1">+VLOOKUP($A86,INDIRECT(Adrese!D$2),5,FALSE)</f>
        <v>14813</v>
      </c>
      <c r="AG86">
        <f ca="1">+VLOOKUP($A86,INDIRECT(Adrese!E$2),5,FALSE)</f>
        <v>14407</v>
      </c>
      <c r="AH86">
        <f ca="1">+VLOOKUP($A86,INDIRECT(Adrese!F$2),5,FALSE)</f>
        <v>14494</v>
      </c>
      <c r="AI86" s="4">
        <f t="shared" ca="1" si="39"/>
        <v>14712.2</v>
      </c>
      <c r="AJ86" s="4"/>
      <c r="AK86" s="4"/>
      <c r="AM86" t="s">
        <v>9</v>
      </c>
      <c r="AN86" s="4">
        <f ca="1">+VLOOKUP($A86,INDIRECT(Adrese!B$2),6,FALSE)</f>
        <v>0.33362831858407083</v>
      </c>
      <c r="AO86" s="4">
        <f ca="1">+VLOOKUP($A86,INDIRECT(Adrese!C$2),6,FALSE)</f>
        <v>0.32515486725663723</v>
      </c>
      <c r="AP86" s="4">
        <f ca="1">+VLOOKUP($A86,INDIRECT(Adrese!D$2),6,FALSE)</f>
        <v>0.32703539823008848</v>
      </c>
      <c r="AQ86" s="4">
        <f ca="1">+VLOOKUP($A86,INDIRECT(Adrese!E$2),6,FALSE)</f>
        <v>0.31809734513274329</v>
      </c>
      <c r="AR86" s="4">
        <f ca="1">+VLOOKUP($A86,INDIRECT(Adrese!F$2),6,FALSE)</f>
        <v>0.31984513274336279</v>
      </c>
      <c r="AS86" s="4" t="str">
        <f t="shared" ca="1" si="28"/>
        <v>0.32 (0.01)</v>
      </c>
      <c r="AT86" s="4">
        <f t="shared" ca="1" si="40"/>
        <v>0.32475221238938057</v>
      </c>
      <c r="AU86" s="4">
        <f t="shared" ca="1" si="29"/>
        <v>6.1750914681601727E-3</v>
      </c>
      <c r="AW86" t="s">
        <v>9</v>
      </c>
      <c r="AX86" s="4">
        <f ca="1">+VLOOKUP($A86,INDIRECT(Adrese!B$2),7,FALSE)</f>
        <v>0.25663716814159288</v>
      </c>
      <c r="AY86" s="4">
        <f ca="1">+VLOOKUP($A86,INDIRECT(Adrese!C$2),7,FALSE)</f>
        <v>0.247787610619469</v>
      </c>
      <c r="AZ86" s="4">
        <f ca="1">+VLOOKUP($A86,INDIRECT(Adrese!D$2),7,FALSE)</f>
        <v>0.247787610619469</v>
      </c>
      <c r="BA86" s="4">
        <f ca="1">+VLOOKUP($A86,INDIRECT(Adrese!E$2),7,FALSE)</f>
        <v>0.23893805309734509</v>
      </c>
      <c r="BB86" s="4">
        <f ca="1">+VLOOKUP($A86,INDIRECT(Adrese!F$2),7,FALSE)</f>
        <v>0.26548672566371678</v>
      </c>
      <c r="BC86" s="4" t="str">
        <f t="shared" ca="1" si="30"/>
        <v>0.25 (0.01)</v>
      </c>
      <c r="BD86">
        <f t="shared" ca="1" si="41"/>
        <v>0.25132743362831855</v>
      </c>
      <c r="BE86" s="4">
        <f t="shared" ca="1" si="31"/>
        <v>1.0090048009726887E-2</v>
      </c>
      <c r="BG86" t="s">
        <v>9</v>
      </c>
      <c r="BH86" s="4">
        <f ca="1">+VLOOKUP($BG86,INDIRECT(Adrese!B$2),8,FALSE)</f>
        <v>5.0627833717302173E-2</v>
      </c>
      <c r="BI86" s="4">
        <f ca="1">+VLOOKUP($BG86,INDIRECT(Adrese!C$2),8,FALSE)</f>
        <v>4.8663644399212627E-2</v>
      </c>
      <c r="BJ86" s="4">
        <f ca="1">+VLOOKUP($BG86,INDIRECT(Adrese!D$2),8,FALSE)</f>
        <v>4.9943071343313689E-2</v>
      </c>
      <c r="BK86" s="4">
        <f ca="1">+VLOOKUP($BG86,INDIRECT(Adrese!E$2),8,FALSE)</f>
        <v>4.741001811651032E-2</v>
      </c>
      <c r="BL86" s="4">
        <f ca="1">+VLOOKUP($BG86,INDIRECT(Adrese!F$2),8,FALSE)</f>
        <v>4.8076412478861359E-2</v>
      </c>
      <c r="BM86" s="4" t="str">
        <f t="shared" ca="1" si="32"/>
        <v>0.05 (0.00)</v>
      </c>
      <c r="BN86" s="4">
        <f t="shared" ca="1" si="42"/>
        <v>4.8944196011040039E-2</v>
      </c>
      <c r="BO86" s="4">
        <f t="shared" ca="1" si="33"/>
        <v>1.3245609775559145E-3</v>
      </c>
      <c r="BQ86" t="s">
        <v>9</v>
      </c>
      <c r="BR86" s="4">
        <f ca="1">+VLOOKUP($BG86,INDIRECT(Adrese!B$2),9,FALSE)</f>
        <v>9.6513226626496626E-2</v>
      </c>
      <c r="BS86" s="4">
        <f ca="1">+VLOOKUP($BG86,INDIRECT(Adrese!C$2),9,FALSE)</f>
        <v>9.64132161046206E-2</v>
      </c>
      <c r="BT86" s="4">
        <f ca="1">+VLOOKUP($BG86,INDIRECT(Adrese!D$2),9,FALSE)</f>
        <v>0.1001293415929848</v>
      </c>
      <c r="BU86" s="4">
        <f ca="1">+VLOOKUP($BG86,INDIRECT(Adrese!E$2),9,FALSE)</f>
        <v>9.7780293853452313E-2</v>
      </c>
      <c r="BV86" s="4">
        <f ca="1">+VLOOKUP($BG86,INDIRECT(Adrese!F$2),9,FALSE)</f>
        <v>9.5925183320652266E-2</v>
      </c>
      <c r="BW86" s="4" t="str">
        <f t="shared" ca="1" si="34"/>
        <v>0.10 (0.00)</v>
      </c>
      <c r="BX86" s="4">
        <f t="shared" ca="1" si="43"/>
        <v>9.7352252299641312E-2</v>
      </c>
      <c r="BY86" s="4">
        <f t="shared" ca="1" si="35"/>
        <v>1.6968885821953411E-3</v>
      </c>
    </row>
    <row r="87" spans="1:77" x14ac:dyDescent="0.25">
      <c r="A87" t="s">
        <v>141</v>
      </c>
      <c r="B87" s="11">
        <f ca="1">+VLOOKUP($A87,INDIRECT(Adrese!B$2),2,FALSE)</f>
        <v>96</v>
      </c>
      <c r="C87" s="11">
        <f ca="1">+VLOOKUP($A87,INDIRECT(Adrese!C$2),2,FALSE)</f>
        <v>64</v>
      </c>
      <c r="D87" s="11">
        <f ca="1">+VLOOKUP($A87,INDIRECT(Adrese!D$2),2,FALSE)</f>
        <v>87</v>
      </c>
      <c r="E87" s="11">
        <f ca="1">+VLOOKUP($A87,INDIRECT(Adrese!E$2),2,FALSE)</f>
        <v>61</v>
      </c>
      <c r="F87" s="11">
        <f ca="1">+VLOOKUP($A87,INDIRECT(Adrese!F$2),2,FALSE)</f>
        <v>74</v>
      </c>
      <c r="G87" s="4">
        <f t="shared" ca="1" si="36"/>
        <v>76.400000000000006</v>
      </c>
      <c r="J87" t="s">
        <v>141</v>
      </c>
      <c r="K87">
        <f ca="1">+VLOOKUP($A87,INDIRECT(Adrese!B$2),3,FALSE)</f>
        <v>27</v>
      </c>
      <c r="L87">
        <f ca="1">+VLOOKUP($A87,INDIRECT(Adrese!C$2),3,FALSE)</f>
        <v>20</v>
      </c>
      <c r="M87">
        <f ca="1">+VLOOKUP($A87,INDIRECT(Adrese!D$2),3,FALSE)</f>
        <v>20</v>
      </c>
      <c r="N87">
        <f ca="1">+VLOOKUP($A87,INDIRECT(Adrese!E$2),3,FALSE)</f>
        <v>31</v>
      </c>
      <c r="O87">
        <f ca="1">+VLOOKUP($A87,INDIRECT(Adrese!F$2),3,FALSE)</f>
        <v>24</v>
      </c>
      <c r="P87">
        <f t="shared" ca="1" si="26"/>
        <v>122</v>
      </c>
      <c r="Q87" s="4">
        <f t="shared" ca="1" si="37"/>
        <v>24.4</v>
      </c>
      <c r="R87" s="4"/>
      <c r="T87" t="s">
        <v>141</v>
      </c>
      <c r="U87">
        <f ca="1">+VLOOKUP($T87,INDIRECT(Adrese!B$2),4,FALSE)</f>
        <v>95827</v>
      </c>
      <c r="V87">
        <f ca="1">+VLOOKUP($T87,INDIRECT(Adrese!C$2),4,FALSE)</f>
        <v>96904</v>
      </c>
      <c r="W87">
        <f ca="1">+VLOOKUP($T87,INDIRECT(Adrese!D$2),4,FALSE)</f>
        <v>96183</v>
      </c>
      <c r="X87">
        <f ca="1">+VLOOKUP($T87,INDIRECT(Adrese!E$2),4,FALSE)</f>
        <v>96984</v>
      </c>
      <c r="Y87">
        <f ca="1">+VLOOKUP($T87,INDIRECT(Adrese!F$2),4,FALSE)</f>
        <v>96673</v>
      </c>
      <c r="Z87">
        <f t="shared" ca="1" si="27"/>
        <v>482571</v>
      </c>
      <c r="AA87" s="4">
        <f t="shared" ca="1" si="38"/>
        <v>96514.2</v>
      </c>
      <c r="AC87" t="s">
        <v>141</v>
      </c>
      <c r="AD87">
        <f ca="1">+VLOOKUP($A87,INDIRECT(Adrese!B$2),5,FALSE)</f>
        <v>30371</v>
      </c>
      <c r="AE87">
        <f ca="1">+VLOOKUP($A87,INDIRECT(Adrese!C$2),5,FALSE)</f>
        <v>31055</v>
      </c>
      <c r="AF87">
        <f ca="1">+VLOOKUP($A87,INDIRECT(Adrese!D$2),5,FALSE)</f>
        <v>30749</v>
      </c>
      <c r="AG87">
        <f ca="1">+VLOOKUP($A87,INDIRECT(Adrese!E$2),5,FALSE)</f>
        <v>30787</v>
      </c>
      <c r="AH87">
        <f ca="1">+VLOOKUP($A87,INDIRECT(Adrese!F$2),5,FALSE)</f>
        <v>30779</v>
      </c>
      <c r="AI87" s="4">
        <f t="shared" ca="1" si="39"/>
        <v>30748.2</v>
      </c>
      <c r="AJ87" s="4"/>
      <c r="AK87" s="4"/>
      <c r="AM87" t="s">
        <v>141</v>
      </c>
      <c r="AN87" s="4">
        <f ca="1">+VLOOKUP($A87,INDIRECT(Adrese!B$2),6,FALSE)</f>
        <v>0.66794247787610617</v>
      </c>
      <c r="AO87" s="4">
        <f ca="1">+VLOOKUP($A87,INDIRECT(Adrese!C$2),6,FALSE)</f>
        <v>0.68316371681415933</v>
      </c>
      <c r="AP87" s="4">
        <f ca="1">+VLOOKUP($A87,INDIRECT(Adrese!D$2),6,FALSE)</f>
        <v>0.6763274336283186</v>
      </c>
      <c r="AQ87" s="4">
        <f ca="1">+VLOOKUP($A87,INDIRECT(Adrese!E$2),6,FALSE)</f>
        <v>0.67712389380530968</v>
      </c>
      <c r="AR87" s="4">
        <f ca="1">+VLOOKUP($A87,INDIRECT(Adrese!F$2),6,FALSE)</f>
        <v>0.67723451327433626</v>
      </c>
      <c r="AS87" s="4" t="str">
        <f t="shared" ca="1" si="28"/>
        <v>0.68 (0.01)</v>
      </c>
      <c r="AT87" s="4">
        <f t="shared" ca="1" si="40"/>
        <v>0.67635840707964601</v>
      </c>
      <c r="AU87" s="4">
        <f t="shared" ca="1" si="29"/>
        <v>5.4427611624956861E-3</v>
      </c>
      <c r="AW87" t="s">
        <v>141</v>
      </c>
      <c r="AX87" s="4">
        <f ca="1">+VLOOKUP($A87,INDIRECT(Adrese!B$2),7,FALSE)</f>
        <v>0.88053097345132747</v>
      </c>
      <c r="AY87" s="4">
        <f ca="1">+VLOOKUP($A87,INDIRECT(Adrese!C$2),7,FALSE)</f>
        <v>0.91150442477876104</v>
      </c>
      <c r="AZ87" s="4">
        <f ca="1">+VLOOKUP($A87,INDIRECT(Adrese!D$2),7,FALSE)</f>
        <v>0.91150442477876104</v>
      </c>
      <c r="BA87" s="4">
        <f ca="1">+VLOOKUP($A87,INDIRECT(Adrese!E$2),7,FALSE)</f>
        <v>0.86283185840707965</v>
      </c>
      <c r="BB87" s="4">
        <f ca="1">+VLOOKUP($A87,INDIRECT(Adrese!F$2),7,FALSE)</f>
        <v>0.89380530973451322</v>
      </c>
      <c r="BC87" s="4" t="str">
        <f t="shared" ca="1" si="30"/>
        <v>0.89 (0.02)</v>
      </c>
      <c r="BD87">
        <f t="shared" ca="1" si="41"/>
        <v>0.89203539823008848</v>
      </c>
      <c r="BE87" s="4">
        <f t="shared" ca="1" si="31"/>
        <v>2.0895077793128464E-2</v>
      </c>
      <c r="BG87" t="s">
        <v>141</v>
      </c>
      <c r="BH87" s="4">
        <f ca="1">+VLOOKUP($BG87,INDIRECT(Adrese!B$2),8,FALSE)</f>
        <v>9.4376204939953953E-2</v>
      </c>
      <c r="BI87" s="4">
        <f ca="1">+VLOOKUP($BG87,INDIRECT(Adrese!C$2),8,FALSE)</f>
        <v>9.6354663635387111E-2</v>
      </c>
      <c r="BJ87" s="4">
        <f ca="1">+VLOOKUP($BG87,INDIRECT(Adrese!D$2),8,FALSE)</f>
        <v>9.5640814646230726E-2</v>
      </c>
      <c r="BK87" s="4">
        <f ca="1">+VLOOKUP($BG87,INDIRECT(Adrese!E$2),8,FALSE)</f>
        <v>9.5629157603330905E-2</v>
      </c>
      <c r="BL87" s="4">
        <f ca="1">+VLOOKUP($BG87,INDIRECT(Adrese!F$2),8,FALSE)</f>
        <v>9.5289698193708236E-2</v>
      </c>
      <c r="BM87" s="4" t="str">
        <f t="shared" ca="1" si="32"/>
        <v>0.10 (0.00)</v>
      </c>
      <c r="BN87" s="4">
        <f t="shared" ca="1" si="42"/>
        <v>9.5458107803722186E-2</v>
      </c>
      <c r="BO87" s="4">
        <f t="shared" ca="1" si="33"/>
        <v>7.1856241672400368E-4</v>
      </c>
      <c r="BQ87" t="s">
        <v>141</v>
      </c>
      <c r="BR87" s="4">
        <f ca="1">+VLOOKUP($BG87,INDIRECT(Adrese!B$2),9,FALSE)</f>
        <v>-2.0582234364661992E-3</v>
      </c>
      <c r="BS87" s="4">
        <f ca="1">+VLOOKUP($BG87,INDIRECT(Adrese!C$2),9,FALSE)</f>
        <v>-7.1460991809700327E-3</v>
      </c>
      <c r="BT87" s="4">
        <f ca="1">+VLOOKUP($BG87,INDIRECT(Adrese!D$2),9,FALSE)</f>
        <v>-3.374021667547529E-3</v>
      </c>
      <c r="BU87" s="4">
        <f ca="1">+VLOOKUP($BG87,INDIRECT(Adrese!E$2),9,FALSE)</f>
        <v>-6.1457759740277578E-3</v>
      </c>
      <c r="BV87" s="4">
        <f ca="1">+VLOOKUP($BG87,INDIRECT(Adrese!F$2),9,FALSE)</f>
        <v>-7.3897009083816944E-3</v>
      </c>
      <c r="BW87" s="4" t="str">
        <f t="shared" ca="1" si="34"/>
        <v>-0.01 (0.00)</v>
      </c>
      <c r="BX87" s="4">
        <f t="shared" ca="1" si="43"/>
        <v>-5.2227642334786422E-3</v>
      </c>
      <c r="BY87" s="4">
        <f t="shared" ca="1" si="35"/>
        <v>2.3811210635704158E-3</v>
      </c>
    </row>
    <row r="88" spans="1:77" x14ac:dyDescent="0.25">
      <c r="A88" t="s">
        <v>142</v>
      </c>
      <c r="B88" s="11">
        <f ca="1">+VLOOKUP($A88,INDIRECT(Adrese!B$2),2,FALSE)</f>
        <v>83</v>
      </c>
      <c r="C88" s="11">
        <f ca="1">+VLOOKUP($A88,INDIRECT(Adrese!C$2),2,FALSE)</f>
        <v>106</v>
      </c>
      <c r="D88" s="11">
        <f ca="1">+VLOOKUP($A88,INDIRECT(Adrese!D$2),2,FALSE)</f>
        <v>95</v>
      </c>
      <c r="E88" s="11">
        <f ca="1">+VLOOKUP($A88,INDIRECT(Adrese!E$2),2,FALSE)</f>
        <v>103</v>
      </c>
      <c r="F88" s="11">
        <f ca="1">+VLOOKUP($A88,INDIRECT(Adrese!F$2),2,FALSE)</f>
        <v>79</v>
      </c>
      <c r="G88" s="4">
        <f t="shared" ca="1" si="36"/>
        <v>93.2</v>
      </c>
      <c r="J88" t="s">
        <v>142</v>
      </c>
      <c r="K88">
        <f ca="1">+VLOOKUP($A88,INDIRECT(Adrese!B$2),3,FALSE)</f>
        <v>198</v>
      </c>
      <c r="L88">
        <f ca="1">+VLOOKUP($A88,INDIRECT(Adrese!C$2),3,FALSE)</f>
        <v>195</v>
      </c>
      <c r="M88">
        <f ca="1">+VLOOKUP($A88,INDIRECT(Adrese!D$2),3,FALSE)</f>
        <v>202</v>
      </c>
      <c r="N88">
        <f ca="1">+VLOOKUP($A88,INDIRECT(Adrese!E$2),3,FALSE)</f>
        <v>193</v>
      </c>
      <c r="O88">
        <f ca="1">+VLOOKUP($A88,INDIRECT(Adrese!F$2),3,FALSE)</f>
        <v>199</v>
      </c>
      <c r="P88">
        <f t="shared" ca="1" si="26"/>
        <v>987</v>
      </c>
      <c r="Q88" s="4">
        <f t="shared" ca="1" si="37"/>
        <v>197.4</v>
      </c>
      <c r="R88" s="4"/>
      <c r="T88" t="s">
        <v>142</v>
      </c>
      <c r="U88">
        <f ca="1">+VLOOKUP($T88,INDIRECT(Adrese!B$2),4,FALSE)</f>
        <v>96408</v>
      </c>
      <c r="V88">
        <f ca="1">+VLOOKUP($T88,INDIRECT(Adrese!C$2),4,FALSE)</f>
        <v>95372</v>
      </c>
      <c r="W88">
        <f ca="1">+VLOOKUP($T88,INDIRECT(Adrese!D$2),4,FALSE)</f>
        <v>95936</v>
      </c>
      <c r="X88">
        <f ca="1">+VLOOKUP($T88,INDIRECT(Adrese!E$2),4,FALSE)</f>
        <v>95470</v>
      </c>
      <c r="Y88">
        <f ca="1">+VLOOKUP($T88,INDIRECT(Adrese!F$2),4,FALSE)</f>
        <v>96440</v>
      </c>
      <c r="Z88">
        <f t="shared" ca="1" si="27"/>
        <v>479626</v>
      </c>
      <c r="AA88" s="4">
        <f t="shared" ca="1" si="38"/>
        <v>95925.2</v>
      </c>
      <c r="AC88" t="s">
        <v>142</v>
      </c>
      <c r="AD88">
        <f ca="1">+VLOOKUP($A88,INDIRECT(Adrese!B$2),5,FALSE)</f>
        <v>6320</v>
      </c>
      <c r="AE88">
        <f ca="1">+VLOOKUP($A88,INDIRECT(Adrese!C$2),5,FALSE)</f>
        <v>6417</v>
      </c>
      <c r="AF88">
        <f ca="1">+VLOOKUP($A88,INDIRECT(Adrese!D$2),5,FALSE)</f>
        <v>6352</v>
      </c>
      <c r="AG88">
        <f ca="1">+VLOOKUP($A88,INDIRECT(Adrese!E$2),5,FALSE)</f>
        <v>6418</v>
      </c>
      <c r="AH88">
        <f ca="1">+VLOOKUP($A88,INDIRECT(Adrese!F$2),5,FALSE)</f>
        <v>6240</v>
      </c>
      <c r="AI88" s="4">
        <f t="shared" ca="1" si="39"/>
        <v>6349.4</v>
      </c>
      <c r="AJ88" s="4"/>
      <c r="AK88" s="4"/>
      <c r="AM88" t="s">
        <v>142</v>
      </c>
      <c r="AN88" s="4">
        <f ca="1">+VLOOKUP($A88,INDIRECT(Adrese!B$2),6,FALSE)</f>
        <v>0.13931415929203539</v>
      </c>
      <c r="AO88" s="4">
        <f ca="1">+VLOOKUP($A88,INDIRECT(Adrese!C$2),6,FALSE)</f>
        <v>0.1415929203539823</v>
      </c>
      <c r="AP88" s="4">
        <f ca="1">+VLOOKUP($A88,INDIRECT(Adrese!D$2),6,FALSE)</f>
        <v>0.13991150442477879</v>
      </c>
      <c r="AQ88" s="4">
        <f ca="1">+VLOOKUP($A88,INDIRECT(Adrese!E$2),6,FALSE)</f>
        <v>0.14115044247787609</v>
      </c>
      <c r="AR88" s="4">
        <f ca="1">+VLOOKUP($A88,INDIRECT(Adrese!F$2),6,FALSE)</f>
        <v>0.13767699115044249</v>
      </c>
      <c r="AS88" s="4" t="str">
        <f t="shared" ca="1" si="28"/>
        <v>0.14 (0.00)</v>
      </c>
      <c r="AT88" s="4">
        <f t="shared" ca="1" si="40"/>
        <v>0.13992920353982302</v>
      </c>
      <c r="AU88" s="4">
        <f t="shared" ca="1" si="29"/>
        <v>1.5580782645475836E-3</v>
      </c>
      <c r="AW88" t="s">
        <v>142</v>
      </c>
      <c r="AX88" s="4">
        <f ca="1">+VLOOKUP($A88,INDIRECT(Adrese!B$2),7,FALSE)</f>
        <v>0.1238938053097345</v>
      </c>
      <c r="AY88" s="4">
        <f ca="1">+VLOOKUP($A88,INDIRECT(Adrese!C$2),7,FALSE)</f>
        <v>0.13716814159292029</v>
      </c>
      <c r="AZ88" s="4">
        <f ca="1">+VLOOKUP($A88,INDIRECT(Adrese!D$2),7,FALSE)</f>
        <v>0.1061946902654867</v>
      </c>
      <c r="BA88" s="4">
        <f ca="1">+VLOOKUP($A88,INDIRECT(Adrese!E$2),7,FALSE)</f>
        <v>0.14601769911504431</v>
      </c>
      <c r="BB88" s="4">
        <f ca="1">+VLOOKUP($A88,INDIRECT(Adrese!F$2),7,FALSE)</f>
        <v>0.1194690265486726</v>
      </c>
      <c r="BC88" s="4" t="str">
        <f t="shared" ca="1" si="30"/>
        <v>0.13 (0.02)</v>
      </c>
      <c r="BD88">
        <f t="shared" ca="1" si="41"/>
        <v>0.12654867256637167</v>
      </c>
      <c r="BE88" s="4">
        <f t="shared" ca="1" si="31"/>
        <v>1.5518299041371801E-2</v>
      </c>
      <c r="BG88" t="s">
        <v>142</v>
      </c>
      <c r="BH88" s="4">
        <f ca="1">+VLOOKUP($BG88,INDIRECT(Adrese!B$2),8,FALSE)</f>
        <v>1.9144409773458361E-2</v>
      </c>
      <c r="BI88" s="4">
        <f ca="1">+VLOOKUP($BG88,INDIRECT(Adrese!C$2),8,FALSE)</f>
        <v>1.932841353470963E-2</v>
      </c>
      <c r="BJ88" s="4">
        <f ca="1">+VLOOKUP($BG88,INDIRECT(Adrese!D$2),8,FALSE)</f>
        <v>1.9334107727161341E-2</v>
      </c>
      <c r="BK88" s="4">
        <f ca="1">+VLOOKUP($BG88,INDIRECT(Adrese!E$2),8,FALSE)</f>
        <v>1.979105009087927E-2</v>
      </c>
      <c r="BL88" s="4">
        <f ca="1">+VLOOKUP($BG88,INDIRECT(Adrese!F$2),8,FALSE)</f>
        <v>1.9041393261435641E-2</v>
      </c>
      <c r="BM88" s="4" t="str">
        <f t="shared" ca="1" si="32"/>
        <v>0.02 (0.00)</v>
      </c>
      <c r="BN88" s="4">
        <f t="shared" ca="1" si="42"/>
        <v>1.932787487752885E-2</v>
      </c>
      <c r="BO88" s="4">
        <f t="shared" ca="1" si="33"/>
        <v>2.8735934715930136E-4</v>
      </c>
      <c r="BQ88" t="s">
        <v>142</v>
      </c>
      <c r="BR88" s="4">
        <f ca="1">+VLOOKUP($BG88,INDIRECT(Adrese!B$2),9,FALSE)</f>
        <v>9.8741073412049407E-2</v>
      </c>
      <c r="BS88" s="4">
        <f ca="1">+VLOOKUP($BG88,INDIRECT(Adrese!C$2),9,FALSE)</f>
        <v>9.8065247870705655E-2</v>
      </c>
      <c r="BT88" s="4">
        <f ca="1">+VLOOKUP($BG88,INDIRECT(Adrese!D$2),9,FALSE)</f>
        <v>9.9411995175978415E-2</v>
      </c>
      <c r="BU88" s="4">
        <f ca="1">+VLOOKUP($BG88,INDIRECT(Adrese!E$2),9,FALSE)</f>
        <v>0.1003475252523125</v>
      </c>
      <c r="BV88" s="4">
        <f ca="1">+VLOOKUP($BG88,INDIRECT(Adrese!F$2),9,FALSE)</f>
        <v>9.9276542801296164E-2</v>
      </c>
      <c r="BW88" s="4" t="str">
        <f t="shared" ca="1" si="34"/>
        <v>0.10 (0.00)</v>
      </c>
      <c r="BX88" s="4">
        <f t="shared" ca="1" si="43"/>
        <v>9.9168476902468425E-2</v>
      </c>
      <c r="BY88" s="4">
        <f t="shared" ca="1" si="35"/>
        <v>8.4571307773962897E-4</v>
      </c>
    </row>
    <row r="89" spans="1:77" x14ac:dyDescent="0.25">
      <c r="A89" t="s">
        <v>143</v>
      </c>
      <c r="B89" s="11">
        <f ca="1">+VLOOKUP($A89,INDIRECT(Adrese!B$2),2,FALSE)</f>
        <v>47</v>
      </c>
      <c r="C89" s="11">
        <f ca="1">+VLOOKUP($A89,INDIRECT(Adrese!C$2),2,FALSE)</f>
        <v>59</v>
      </c>
      <c r="D89" s="11">
        <f ca="1">+VLOOKUP($A89,INDIRECT(Adrese!D$2),2,FALSE)</f>
        <v>31</v>
      </c>
      <c r="E89" s="11">
        <f ca="1">+VLOOKUP($A89,INDIRECT(Adrese!E$2),2,FALSE)</f>
        <v>40</v>
      </c>
      <c r="F89" s="11">
        <f ca="1">+VLOOKUP($A89,INDIRECT(Adrese!F$2),2,FALSE)</f>
        <v>68</v>
      </c>
      <c r="G89" s="4">
        <f t="shared" ca="1" si="36"/>
        <v>49</v>
      </c>
      <c r="J89" t="s">
        <v>143</v>
      </c>
      <c r="K89">
        <f ca="1">+VLOOKUP($A89,INDIRECT(Adrese!B$2),3,FALSE)</f>
        <v>58</v>
      </c>
      <c r="L89">
        <f ca="1">+VLOOKUP($A89,INDIRECT(Adrese!C$2),3,FALSE)</f>
        <v>69</v>
      </c>
      <c r="M89">
        <f ca="1">+VLOOKUP($A89,INDIRECT(Adrese!D$2),3,FALSE)</f>
        <v>66</v>
      </c>
      <c r="N89">
        <f ca="1">+VLOOKUP($A89,INDIRECT(Adrese!E$2),3,FALSE)</f>
        <v>67</v>
      </c>
      <c r="O89">
        <f ca="1">+VLOOKUP($A89,INDIRECT(Adrese!F$2),3,FALSE)</f>
        <v>65</v>
      </c>
      <c r="P89">
        <f t="shared" ca="1" si="26"/>
        <v>325</v>
      </c>
      <c r="Q89" s="4">
        <f t="shared" ca="1" si="37"/>
        <v>65</v>
      </c>
      <c r="R89" s="4"/>
      <c r="T89" t="s">
        <v>143</v>
      </c>
      <c r="U89">
        <f ca="1">+VLOOKUP($T89,INDIRECT(Adrese!B$2),4,FALSE)</f>
        <v>97755</v>
      </c>
      <c r="V89">
        <f ca="1">+VLOOKUP($T89,INDIRECT(Adrese!C$2),4,FALSE)</f>
        <v>97064</v>
      </c>
      <c r="W89">
        <f ca="1">+VLOOKUP($T89,INDIRECT(Adrese!D$2),4,FALSE)</f>
        <v>98436</v>
      </c>
      <c r="X89">
        <f ca="1">+VLOOKUP($T89,INDIRECT(Adrese!E$2),4,FALSE)</f>
        <v>98159</v>
      </c>
      <c r="Y89">
        <f ca="1">+VLOOKUP($T89,INDIRECT(Adrese!F$2),4,FALSE)</f>
        <v>96798</v>
      </c>
      <c r="Z89">
        <f t="shared" ca="1" si="27"/>
        <v>488212</v>
      </c>
      <c r="AA89" s="4">
        <f t="shared" ca="1" si="38"/>
        <v>97642.4</v>
      </c>
      <c r="AC89" t="s">
        <v>143</v>
      </c>
      <c r="AD89">
        <f ca="1">+VLOOKUP($A89,INDIRECT(Adrese!B$2),5,FALSE)</f>
        <v>26180</v>
      </c>
      <c r="AE89">
        <f ca="1">+VLOOKUP($A89,INDIRECT(Adrese!C$2),5,FALSE)</f>
        <v>25529</v>
      </c>
      <c r="AF89">
        <f ca="1">+VLOOKUP($A89,INDIRECT(Adrese!D$2),5,FALSE)</f>
        <v>26399</v>
      </c>
      <c r="AG89">
        <f ca="1">+VLOOKUP($A89,INDIRECT(Adrese!E$2),5,FALSE)</f>
        <v>26345</v>
      </c>
      <c r="AH89">
        <f ca="1">+VLOOKUP($A89,INDIRECT(Adrese!F$2),5,FALSE)</f>
        <v>25503</v>
      </c>
      <c r="AI89" s="4">
        <f t="shared" ca="1" si="39"/>
        <v>25991.200000000001</v>
      </c>
      <c r="AJ89" s="4"/>
      <c r="AK89" s="4"/>
      <c r="AM89" t="s">
        <v>143</v>
      </c>
      <c r="AN89" s="4">
        <f ca="1">+VLOOKUP($A89,INDIRECT(Adrese!B$2),6,FALSE)</f>
        <v>0.57515486725663711</v>
      </c>
      <c r="AO89" s="4">
        <f ca="1">+VLOOKUP($A89,INDIRECT(Adrese!C$2),6,FALSE)</f>
        <v>0.56073008849557526</v>
      </c>
      <c r="AP89" s="4">
        <f ca="1">+VLOOKUP($A89,INDIRECT(Adrese!D$2),6,FALSE)</f>
        <v>0.58015486725663712</v>
      </c>
      <c r="AQ89" s="4">
        <f ca="1">+VLOOKUP($A89,INDIRECT(Adrese!E$2),6,FALSE)</f>
        <v>0.57887168141592915</v>
      </c>
      <c r="AR89" s="4">
        <f ca="1">+VLOOKUP($A89,INDIRECT(Adrese!F$2),6,FALSE)</f>
        <v>0.56030973451327437</v>
      </c>
      <c r="AS89" s="4" t="str">
        <f t="shared" ca="1" si="28"/>
        <v>0.57 (0.01)</v>
      </c>
      <c r="AT89" s="4">
        <f t="shared" ca="1" si="40"/>
        <v>0.57104424778761054</v>
      </c>
      <c r="AU89" s="4">
        <f t="shared" ca="1" si="29"/>
        <v>9.7823943116276055E-3</v>
      </c>
      <c r="AW89" t="s">
        <v>143</v>
      </c>
      <c r="AX89" s="4">
        <f ca="1">+VLOOKUP($A89,INDIRECT(Adrese!B$2),7,FALSE)</f>
        <v>0.74336283185840712</v>
      </c>
      <c r="AY89" s="4">
        <f ca="1">+VLOOKUP($A89,INDIRECT(Adrese!C$2),7,FALSE)</f>
        <v>0.69469026548672563</v>
      </c>
      <c r="AZ89" s="4">
        <f ca="1">+VLOOKUP($A89,INDIRECT(Adrese!D$2),7,FALSE)</f>
        <v>0.70796460176991149</v>
      </c>
      <c r="BA89" s="4">
        <f ca="1">+VLOOKUP($A89,INDIRECT(Adrese!E$2),7,FALSE)</f>
        <v>0.70353982300884954</v>
      </c>
      <c r="BB89" s="4">
        <f ca="1">+VLOOKUP($A89,INDIRECT(Adrese!F$2),7,FALSE)</f>
        <v>0.71238938053097345</v>
      </c>
      <c r="BC89" s="4" t="str">
        <f t="shared" ca="1" si="30"/>
        <v>0.71 (0.02)</v>
      </c>
      <c r="BD89">
        <f t="shared" ca="1" si="41"/>
        <v>0.71238938053097356</v>
      </c>
      <c r="BE89" s="4">
        <f t="shared" ca="1" si="31"/>
        <v>1.8510177578187542E-2</v>
      </c>
      <c r="BG89" t="s">
        <v>143</v>
      </c>
      <c r="BH89" s="4">
        <f ca="1">+VLOOKUP($BG89,INDIRECT(Adrese!B$2),8,FALSE)</f>
        <v>8.6957038523567301E-2</v>
      </c>
      <c r="BI89" s="4">
        <f ca="1">+VLOOKUP($BG89,INDIRECT(Adrese!C$2),8,FALSE)</f>
        <v>8.4387348870166065E-2</v>
      </c>
      <c r="BJ89" s="4">
        <f ca="1">+VLOOKUP($BG89,INDIRECT(Adrese!D$2),8,FALSE)</f>
        <v>8.7359220390103312E-2</v>
      </c>
      <c r="BK89" s="4">
        <f ca="1">+VLOOKUP($BG89,INDIRECT(Adrese!E$2),8,FALSE)</f>
        <v>8.6406470219334411E-2</v>
      </c>
      <c r="BL89" s="4">
        <f ca="1">+VLOOKUP($BG89,INDIRECT(Adrese!F$2),8,FALSE)</f>
        <v>8.5095271475426559E-2</v>
      </c>
      <c r="BM89" s="4" t="str">
        <f t="shared" ca="1" si="32"/>
        <v>0.09 (0.00)</v>
      </c>
      <c r="BN89" s="4">
        <f t="shared" ca="1" si="42"/>
        <v>8.6041069895719524E-2</v>
      </c>
      <c r="BO89" s="4">
        <f t="shared" ca="1" si="33"/>
        <v>1.2589047354476112E-3</v>
      </c>
      <c r="BQ89" t="s">
        <v>143</v>
      </c>
      <c r="BR89" s="4">
        <f ca="1">+VLOOKUP($BG89,INDIRECT(Adrese!B$2),9,FALSE)</f>
        <v>4.71111460354246E-2</v>
      </c>
      <c r="BS89" s="4">
        <f ca="1">+VLOOKUP($BG89,INDIRECT(Adrese!C$2),9,FALSE)</f>
        <v>4.4560281210390393E-2</v>
      </c>
      <c r="BT89" s="4">
        <f ca="1">+VLOOKUP($BG89,INDIRECT(Adrese!D$2),9,FALSE)</f>
        <v>3.6745229229655972E-2</v>
      </c>
      <c r="BU89" s="4">
        <f ca="1">+VLOOKUP($BG89,INDIRECT(Adrese!E$2),9,FALSE)</f>
        <v>3.9624743316918419E-2</v>
      </c>
      <c r="BV89" s="4">
        <f ca="1">+VLOOKUP($BG89,INDIRECT(Adrese!F$2),9,FALSE)</f>
        <v>5.1940804319844457E-2</v>
      </c>
      <c r="BW89" s="4" t="str">
        <f t="shared" ca="1" si="34"/>
        <v>0.04 (0.01)</v>
      </c>
      <c r="BX89" s="4">
        <f t="shared" ca="1" si="43"/>
        <v>4.3996440822446768E-2</v>
      </c>
      <c r="BY89" s="4">
        <f t="shared" ca="1" si="35"/>
        <v>6.017142689202221E-3</v>
      </c>
    </row>
    <row r="90" spans="1:77" x14ac:dyDescent="0.25">
      <c r="A90" t="s">
        <v>144</v>
      </c>
      <c r="B90" s="11">
        <f ca="1">+VLOOKUP($A90,INDIRECT(Adrese!B$2),2,FALSE)</f>
        <v>146</v>
      </c>
      <c r="C90" s="11">
        <f ca="1">+VLOOKUP($A90,INDIRECT(Adrese!C$2),2,FALSE)</f>
        <v>138</v>
      </c>
      <c r="D90" s="11">
        <f ca="1">+VLOOKUP($A90,INDIRECT(Adrese!D$2),2,FALSE)</f>
        <v>131</v>
      </c>
      <c r="E90" s="11">
        <f ca="1">+VLOOKUP($A90,INDIRECT(Adrese!E$2),2,FALSE)</f>
        <v>139</v>
      </c>
      <c r="F90" s="11">
        <f ca="1">+VLOOKUP($A90,INDIRECT(Adrese!F$2),2,FALSE)</f>
        <v>104</v>
      </c>
      <c r="G90" s="4">
        <f t="shared" ca="1" si="36"/>
        <v>131.6</v>
      </c>
      <c r="J90" t="s">
        <v>144</v>
      </c>
      <c r="K90">
        <f ca="1">+VLOOKUP($A90,INDIRECT(Adrese!B$2),3,FALSE)</f>
        <v>198</v>
      </c>
      <c r="L90">
        <f ca="1">+VLOOKUP($A90,INDIRECT(Adrese!C$2),3,FALSE)</f>
        <v>198</v>
      </c>
      <c r="M90">
        <f ca="1">+VLOOKUP($A90,INDIRECT(Adrese!D$2),3,FALSE)</f>
        <v>194</v>
      </c>
      <c r="N90">
        <f ca="1">+VLOOKUP($A90,INDIRECT(Adrese!E$2),3,FALSE)</f>
        <v>198</v>
      </c>
      <c r="O90">
        <f ca="1">+VLOOKUP($A90,INDIRECT(Adrese!F$2),3,FALSE)</f>
        <v>191</v>
      </c>
      <c r="P90">
        <f t="shared" ca="1" si="26"/>
        <v>979</v>
      </c>
      <c r="Q90" s="4">
        <f t="shared" ca="1" si="37"/>
        <v>195.8</v>
      </c>
      <c r="R90" s="4"/>
      <c r="T90" t="s">
        <v>144</v>
      </c>
      <c r="U90">
        <f ca="1">+VLOOKUP($T90,INDIRECT(Adrese!B$2),4,FALSE)</f>
        <v>93676</v>
      </c>
      <c r="V90">
        <f ca="1">+VLOOKUP($T90,INDIRECT(Adrese!C$2),4,FALSE)</f>
        <v>94041</v>
      </c>
      <c r="W90">
        <f ca="1">+VLOOKUP($T90,INDIRECT(Adrese!D$2),4,FALSE)</f>
        <v>94438</v>
      </c>
      <c r="X90">
        <f ca="1">+VLOOKUP($T90,INDIRECT(Adrese!E$2),4,FALSE)</f>
        <v>94172</v>
      </c>
      <c r="Y90">
        <f ca="1">+VLOOKUP($T90,INDIRECT(Adrese!F$2),4,FALSE)</f>
        <v>95301</v>
      </c>
      <c r="Z90">
        <f t="shared" ca="1" si="27"/>
        <v>471628</v>
      </c>
      <c r="AA90" s="4">
        <f t="shared" ca="1" si="38"/>
        <v>94325.6</v>
      </c>
      <c r="AC90" t="s">
        <v>144</v>
      </c>
      <c r="AD90">
        <f ca="1">+VLOOKUP($A90,INDIRECT(Adrese!B$2),5,FALSE)</f>
        <v>7187</v>
      </c>
      <c r="AE90">
        <f ca="1">+VLOOKUP($A90,INDIRECT(Adrese!C$2),5,FALSE)</f>
        <v>7414</v>
      </c>
      <c r="AF90">
        <f ca="1">+VLOOKUP($A90,INDIRECT(Adrese!D$2),5,FALSE)</f>
        <v>7345</v>
      </c>
      <c r="AG90">
        <f ca="1">+VLOOKUP($A90,INDIRECT(Adrese!E$2),5,FALSE)</f>
        <v>7449</v>
      </c>
      <c r="AH90">
        <f ca="1">+VLOOKUP($A90,INDIRECT(Adrese!F$2),5,FALSE)</f>
        <v>7680</v>
      </c>
      <c r="AI90" s="4">
        <f t="shared" ca="1" si="39"/>
        <v>7415</v>
      </c>
      <c r="AJ90" s="4"/>
      <c r="AK90" s="4"/>
      <c r="AM90" t="s">
        <v>144</v>
      </c>
      <c r="AN90" s="4">
        <f ca="1">+VLOOKUP($A90,INDIRECT(Adrese!B$2),6,FALSE)</f>
        <v>0.1584734513274336</v>
      </c>
      <c r="AO90" s="4">
        <f ca="1">+VLOOKUP($A90,INDIRECT(Adrese!C$2),6,FALSE)</f>
        <v>0.16365044247787611</v>
      </c>
      <c r="AP90" s="4">
        <f ca="1">+VLOOKUP($A90,INDIRECT(Adrese!D$2),6,FALSE)</f>
        <v>0.1620353982300885</v>
      </c>
      <c r="AQ90" s="4">
        <f ca="1">+VLOOKUP($A90,INDIRECT(Adrese!E$2),6,FALSE)</f>
        <v>0.16429203539823009</v>
      </c>
      <c r="AR90" s="4">
        <f ca="1">+VLOOKUP($A90,INDIRECT(Adrese!F$2),6,FALSE)</f>
        <v>0.169358407079646</v>
      </c>
      <c r="AS90" s="4" t="str">
        <f t="shared" ca="1" si="28"/>
        <v>0.16 (0.00)</v>
      </c>
      <c r="AT90" s="4">
        <f t="shared" ca="1" si="40"/>
        <v>0.16356194690265485</v>
      </c>
      <c r="AU90" s="4">
        <f t="shared" ca="1" si="29"/>
        <v>3.9485107740263826E-3</v>
      </c>
      <c r="AW90" t="s">
        <v>144</v>
      </c>
      <c r="AX90" s="4">
        <f ca="1">+VLOOKUP($A90,INDIRECT(Adrese!B$2),7,FALSE)</f>
        <v>0.1238938053097345</v>
      </c>
      <c r="AY90" s="4">
        <f ca="1">+VLOOKUP($A90,INDIRECT(Adrese!C$2),7,FALSE)</f>
        <v>0.1238938053097345</v>
      </c>
      <c r="AZ90" s="4">
        <f ca="1">+VLOOKUP($A90,INDIRECT(Adrese!D$2),7,FALSE)</f>
        <v>0.1415929203539823</v>
      </c>
      <c r="BA90" s="4">
        <f ca="1">+VLOOKUP($A90,INDIRECT(Adrese!E$2),7,FALSE)</f>
        <v>0.1238938053097345</v>
      </c>
      <c r="BB90" s="4">
        <f ca="1">+VLOOKUP($A90,INDIRECT(Adrese!F$2),7,FALSE)</f>
        <v>0.1548672566371681</v>
      </c>
      <c r="BC90" s="4" t="str">
        <f t="shared" ca="1" si="30"/>
        <v>0.13 (0.01)</v>
      </c>
      <c r="BD90">
        <f t="shared" ca="1" si="41"/>
        <v>0.13362831858407076</v>
      </c>
      <c r="BE90" s="4">
        <f t="shared" ca="1" si="31"/>
        <v>1.4131610108558677E-2</v>
      </c>
      <c r="BG90" t="s">
        <v>144</v>
      </c>
      <c r="BH90" s="4">
        <f ca="1">+VLOOKUP($BG90,INDIRECT(Adrese!B$2),8,FALSE)</f>
        <v>2.3365711178896239E-2</v>
      </c>
      <c r="BI90" s="4">
        <f ca="1">+VLOOKUP($BG90,INDIRECT(Adrese!C$2),8,FALSE)</f>
        <v>2.377179447888754E-2</v>
      </c>
      <c r="BJ90" s="4">
        <f ca="1">+VLOOKUP($BG90,INDIRECT(Adrese!D$2),8,FALSE)</f>
        <v>2.3834288821261519E-2</v>
      </c>
      <c r="BK90" s="4">
        <f ca="1">+VLOOKUP($BG90,INDIRECT(Adrese!E$2),8,FALSE)</f>
        <v>2.4216464719476829E-2</v>
      </c>
      <c r="BL90" s="4">
        <f ca="1">+VLOOKUP($BG90,INDIRECT(Adrese!F$2),8,FALSE)</f>
        <v>2.4813563387005421E-2</v>
      </c>
      <c r="BM90" s="4" t="str">
        <f t="shared" ca="1" si="32"/>
        <v>0.02 (0.00)</v>
      </c>
      <c r="BN90" s="4">
        <f t="shared" ca="1" si="42"/>
        <v>2.4000364517105514E-2</v>
      </c>
      <c r="BO90" s="4">
        <f t="shared" ca="1" si="33"/>
        <v>5.4557354185586632E-4</v>
      </c>
      <c r="BQ90" t="s">
        <v>144</v>
      </c>
      <c r="BR90" s="4">
        <f ca="1">+VLOOKUP($BG90,INDIRECT(Adrese!B$2),9,FALSE)</f>
        <v>0.1114957066244161</v>
      </c>
      <c r="BS90" s="4">
        <f ca="1">+VLOOKUP($BG90,INDIRECT(Adrese!C$2),9,FALSE)</f>
        <v>0.1081763195889002</v>
      </c>
      <c r="BT90" s="4">
        <f ca="1">+VLOOKUP($BG90,INDIRECT(Adrese!D$2),9,FALSE)</f>
        <v>0.1087347781503758</v>
      </c>
      <c r="BU90" s="4">
        <f ca="1">+VLOOKUP($BG90,INDIRECT(Adrese!E$2),9,FALSE)</f>
        <v>0.10842072247242571</v>
      </c>
      <c r="BV90" s="4">
        <f ca="1">+VLOOKUP($BG90,INDIRECT(Adrese!F$2),9,FALSE)</f>
        <v>0.1071791130880764</v>
      </c>
      <c r="BW90" s="4" t="str">
        <f t="shared" ca="1" si="34"/>
        <v>0.11 (0.00)</v>
      </c>
      <c r="BX90" s="4">
        <f t="shared" ca="1" si="43"/>
        <v>0.10880132798483884</v>
      </c>
      <c r="BY90" s="4">
        <f t="shared" ca="1" si="35"/>
        <v>1.6148670499632708E-3</v>
      </c>
    </row>
    <row r="91" spans="1:77" x14ac:dyDescent="0.25">
      <c r="A91" t="s">
        <v>145</v>
      </c>
      <c r="B91" s="11">
        <f ca="1">+VLOOKUP($A91,INDIRECT(Adrese!B$2),2,FALSE)</f>
        <v>56</v>
      </c>
      <c r="C91" s="11">
        <f ca="1">+VLOOKUP($A91,INDIRECT(Adrese!C$2),2,FALSE)</f>
        <v>55</v>
      </c>
      <c r="D91" s="11">
        <f ca="1">+VLOOKUP($A91,INDIRECT(Adrese!D$2),2,FALSE)</f>
        <v>48</v>
      </c>
      <c r="E91" s="11">
        <f ca="1">+VLOOKUP($A91,INDIRECT(Adrese!E$2),2,FALSE)</f>
        <v>38</v>
      </c>
      <c r="F91" s="11">
        <f ca="1">+VLOOKUP($A91,INDIRECT(Adrese!F$2),2,FALSE)</f>
        <v>59</v>
      </c>
      <c r="G91" s="4">
        <f t="shared" ca="1" si="36"/>
        <v>51.2</v>
      </c>
      <c r="J91" t="s">
        <v>145</v>
      </c>
      <c r="K91">
        <f ca="1">+VLOOKUP($A91,INDIRECT(Adrese!B$2),3,FALSE)</f>
        <v>63</v>
      </c>
      <c r="L91">
        <f ca="1">+VLOOKUP($A91,INDIRECT(Adrese!C$2),3,FALSE)</f>
        <v>64</v>
      </c>
      <c r="M91">
        <f ca="1">+VLOOKUP($A91,INDIRECT(Adrese!D$2),3,FALSE)</f>
        <v>63</v>
      </c>
      <c r="N91">
        <f ca="1">+VLOOKUP($A91,INDIRECT(Adrese!E$2),3,FALSE)</f>
        <v>54</v>
      </c>
      <c r="O91">
        <f ca="1">+VLOOKUP($A91,INDIRECT(Adrese!F$2),3,FALSE)</f>
        <v>77</v>
      </c>
      <c r="P91">
        <f t="shared" ca="1" si="26"/>
        <v>321</v>
      </c>
      <c r="Q91" s="4">
        <f t="shared" ca="1" si="37"/>
        <v>64.2</v>
      </c>
      <c r="R91" s="4"/>
      <c r="T91" t="s">
        <v>145</v>
      </c>
      <c r="U91">
        <f ca="1">+VLOOKUP($T91,INDIRECT(Adrese!B$2),4,FALSE)</f>
        <v>97254</v>
      </c>
      <c r="V91">
        <f ca="1">+VLOOKUP($T91,INDIRECT(Adrese!C$2),4,FALSE)</f>
        <v>97325</v>
      </c>
      <c r="W91">
        <f ca="1">+VLOOKUP($T91,INDIRECT(Adrese!D$2),4,FALSE)</f>
        <v>97400</v>
      </c>
      <c r="X91">
        <f ca="1">+VLOOKUP($T91,INDIRECT(Adrese!E$2),4,FALSE)</f>
        <v>98302</v>
      </c>
      <c r="Y91">
        <f ca="1">+VLOOKUP($T91,INDIRECT(Adrese!F$2),4,FALSE)</f>
        <v>97229</v>
      </c>
      <c r="Z91">
        <f t="shared" ca="1" si="27"/>
        <v>487510</v>
      </c>
      <c r="AA91" s="4">
        <f t="shared" ca="1" si="38"/>
        <v>97502</v>
      </c>
      <c r="AC91" t="s">
        <v>145</v>
      </c>
      <c r="AD91">
        <f ca="1">+VLOOKUP($A91,INDIRECT(Adrese!B$2),5,FALSE)</f>
        <v>24167</v>
      </c>
      <c r="AE91">
        <f ca="1">+VLOOKUP($A91,INDIRECT(Adrese!C$2),5,FALSE)</f>
        <v>24302</v>
      </c>
      <c r="AF91">
        <f ca="1">+VLOOKUP($A91,INDIRECT(Adrese!D$2),5,FALSE)</f>
        <v>24355</v>
      </c>
      <c r="AG91">
        <f ca="1">+VLOOKUP($A91,INDIRECT(Adrese!E$2),5,FALSE)</f>
        <v>24881</v>
      </c>
      <c r="AH91">
        <f ca="1">+VLOOKUP($A91,INDIRECT(Adrese!F$2),5,FALSE)</f>
        <v>24180</v>
      </c>
      <c r="AI91" s="4">
        <f t="shared" ca="1" si="39"/>
        <v>24377</v>
      </c>
      <c r="AJ91" s="4"/>
      <c r="AK91" s="4"/>
      <c r="AM91" t="s">
        <v>145</v>
      </c>
      <c r="AN91" s="4">
        <f ca="1">+VLOOKUP($A91,INDIRECT(Adrese!B$2),6,FALSE)</f>
        <v>0.53230088495575223</v>
      </c>
      <c r="AO91" s="4">
        <f ca="1">+VLOOKUP($A91,INDIRECT(Adrese!C$2),6,FALSE)</f>
        <v>0.53367256637168137</v>
      </c>
      <c r="AP91" s="4">
        <f ca="1">+VLOOKUP($A91,INDIRECT(Adrese!D$2),6,FALSE)</f>
        <v>0.53475663716814159</v>
      </c>
      <c r="AQ91" s="4">
        <f ca="1">+VLOOKUP($A91,INDIRECT(Adrese!E$2),6,FALSE)</f>
        <v>0.54646017699115046</v>
      </c>
      <c r="AR91" s="4">
        <f ca="1">+VLOOKUP($A91,INDIRECT(Adrese!F$2),6,FALSE)</f>
        <v>0.53095132743362827</v>
      </c>
      <c r="AS91" s="4" t="str">
        <f t="shared" ca="1" si="28"/>
        <v>0.54 (0.01)</v>
      </c>
      <c r="AT91" s="4">
        <f t="shared" ca="1" si="40"/>
        <v>0.53562831858407078</v>
      </c>
      <c r="AU91" s="4">
        <f t="shared" ca="1" si="29"/>
        <v>6.2221381479831313E-3</v>
      </c>
      <c r="AW91" t="s">
        <v>145</v>
      </c>
      <c r="AX91" s="4">
        <f ca="1">+VLOOKUP($A91,INDIRECT(Adrese!B$2),7,FALSE)</f>
        <v>0.72123893805309736</v>
      </c>
      <c r="AY91" s="4">
        <f ca="1">+VLOOKUP($A91,INDIRECT(Adrese!C$2),7,FALSE)</f>
        <v>0.7168141592920354</v>
      </c>
      <c r="AZ91" s="4">
        <f ca="1">+VLOOKUP($A91,INDIRECT(Adrese!D$2),7,FALSE)</f>
        <v>0.72123893805309736</v>
      </c>
      <c r="BA91" s="4">
        <f ca="1">+VLOOKUP($A91,INDIRECT(Adrese!E$2),7,FALSE)</f>
        <v>0.76106194690265483</v>
      </c>
      <c r="BB91" s="4">
        <f ca="1">+VLOOKUP($A91,INDIRECT(Adrese!F$2),7,FALSE)</f>
        <v>0.65929203539823011</v>
      </c>
      <c r="BC91" s="4" t="str">
        <f t="shared" ca="1" si="30"/>
        <v>0.72 (0.04)</v>
      </c>
      <c r="BD91">
        <f t="shared" ca="1" si="41"/>
        <v>0.71592920353982303</v>
      </c>
      <c r="BE91" s="4">
        <f t="shared" ca="1" si="31"/>
        <v>3.6407083948184427E-2</v>
      </c>
      <c r="BG91" t="s">
        <v>145</v>
      </c>
      <c r="BH91" s="4">
        <f ca="1">+VLOOKUP($BG91,INDIRECT(Adrese!B$2),8,FALSE)</f>
        <v>8.0717060649861228E-2</v>
      </c>
      <c r="BI91" s="4">
        <f ca="1">+VLOOKUP($BG91,INDIRECT(Adrese!C$2),8,FALSE)</f>
        <v>8.0865041323131437E-2</v>
      </c>
      <c r="BJ91" s="4">
        <f ca="1">+VLOOKUP($BG91,INDIRECT(Adrese!D$2),8,FALSE)</f>
        <v>8.0943673160110474E-2</v>
      </c>
      <c r="BK91" s="4">
        <f ca="1">+VLOOKUP($BG91,INDIRECT(Adrese!E$2),8,FALSE)</f>
        <v>8.2109779290515272E-2</v>
      </c>
      <c r="BL91" s="4">
        <f ca="1">+VLOOKUP($BG91,INDIRECT(Adrese!F$2),8,FALSE)</f>
        <v>8.1024515367081565E-2</v>
      </c>
      <c r="BM91" s="4" t="str">
        <f t="shared" ca="1" si="32"/>
        <v>0.08 (0.00)</v>
      </c>
      <c r="BN91" s="4">
        <f t="shared" ca="1" si="42"/>
        <v>8.1132013958139987E-2</v>
      </c>
      <c r="BO91" s="4">
        <f t="shared" ca="1" si="33"/>
        <v>5.5823693096475346E-4</v>
      </c>
      <c r="BQ91" t="s">
        <v>145</v>
      </c>
      <c r="BR91" s="4">
        <f ca="1">+VLOOKUP($BG91,INDIRECT(Adrese!B$2),9,FALSE)</f>
        <v>6.1412952338460697E-2</v>
      </c>
      <c r="BS91" s="4">
        <f ca="1">+VLOOKUP($BG91,INDIRECT(Adrese!C$2),9,FALSE)</f>
        <v>5.7508076677107833E-2</v>
      </c>
      <c r="BT91" s="4">
        <f ca="1">+VLOOKUP($BG91,INDIRECT(Adrese!D$2),9,FALSE)</f>
        <v>5.7921495077852873E-2</v>
      </c>
      <c r="BU91" s="4">
        <f ca="1">+VLOOKUP($BG91,INDIRECT(Adrese!E$2),9,FALSE)</f>
        <v>5.071420664935878E-2</v>
      </c>
      <c r="BV91" s="4">
        <f ca="1">+VLOOKUP($BG91,INDIRECT(Adrese!F$2),9,FALSE)</f>
        <v>5.702287684715953E-2</v>
      </c>
      <c r="BW91" s="4" t="str">
        <f t="shared" ca="1" si="34"/>
        <v>0.06 (0.00)</v>
      </c>
      <c r="BX91" s="4">
        <f t="shared" ca="1" si="43"/>
        <v>5.6915921517987945E-2</v>
      </c>
      <c r="BY91" s="4">
        <f t="shared" ca="1" si="35"/>
        <v>3.874848992905008E-3</v>
      </c>
    </row>
    <row r="92" spans="1:77" x14ac:dyDescent="0.25">
      <c r="A92" t="s">
        <v>146</v>
      </c>
      <c r="B92" s="11">
        <f ca="1">+VLOOKUP($A92,INDIRECT(Adrese!B$2),2,FALSE)</f>
        <v>215</v>
      </c>
      <c r="C92" s="11">
        <f ca="1">+VLOOKUP($A92,INDIRECT(Adrese!C$2),2,FALSE)</f>
        <v>182</v>
      </c>
      <c r="D92" s="11">
        <f ca="1">+VLOOKUP($A92,INDIRECT(Adrese!D$2),2,FALSE)</f>
        <v>206</v>
      </c>
      <c r="E92" s="11">
        <f ca="1">+VLOOKUP($A92,INDIRECT(Adrese!E$2),2,FALSE)</f>
        <v>216</v>
      </c>
      <c r="F92" s="11">
        <f ca="1">+VLOOKUP($A92,INDIRECT(Adrese!F$2),2,FALSE)</f>
        <v>206</v>
      </c>
      <c r="G92" s="4">
        <f t="shared" ca="1" si="36"/>
        <v>205</v>
      </c>
      <c r="J92" t="s">
        <v>146</v>
      </c>
      <c r="K92">
        <f ca="1">+VLOOKUP($A92,INDIRECT(Adrese!B$2),3,FALSE)</f>
        <v>83</v>
      </c>
      <c r="L92">
        <f ca="1">+VLOOKUP($A92,INDIRECT(Adrese!C$2),3,FALSE)</f>
        <v>81</v>
      </c>
      <c r="M92">
        <f ca="1">+VLOOKUP($A92,INDIRECT(Adrese!D$2),3,FALSE)</f>
        <v>79</v>
      </c>
      <c r="N92">
        <f ca="1">+VLOOKUP($A92,INDIRECT(Adrese!E$2),3,FALSE)</f>
        <v>82</v>
      </c>
      <c r="O92">
        <f ca="1">+VLOOKUP($A92,INDIRECT(Adrese!F$2),3,FALSE)</f>
        <v>82</v>
      </c>
      <c r="P92">
        <f t="shared" ca="1" si="26"/>
        <v>407</v>
      </c>
      <c r="Q92" s="4">
        <f t="shared" ca="1" si="37"/>
        <v>81.400000000000006</v>
      </c>
      <c r="R92" s="4"/>
      <c r="T92" t="s">
        <v>146</v>
      </c>
      <c r="U92">
        <f ca="1">+VLOOKUP($T92,INDIRECT(Adrese!B$2),4,FALSE)</f>
        <v>87298</v>
      </c>
      <c r="V92">
        <f ca="1">+VLOOKUP($T92,INDIRECT(Adrese!C$2),4,FALSE)</f>
        <v>90204</v>
      </c>
      <c r="W92">
        <f ca="1">+VLOOKUP($T92,INDIRECT(Adrese!D$2),4,FALSE)</f>
        <v>87965</v>
      </c>
      <c r="X92">
        <f ca="1">+VLOOKUP($T92,INDIRECT(Adrese!E$2),4,FALSE)</f>
        <v>87178</v>
      </c>
      <c r="Y92">
        <f ca="1">+VLOOKUP($T92,INDIRECT(Adrese!F$2),4,FALSE)</f>
        <v>88022</v>
      </c>
      <c r="Z92">
        <f t="shared" ca="1" si="27"/>
        <v>440667</v>
      </c>
      <c r="AA92" s="4">
        <f t="shared" ca="1" si="38"/>
        <v>88133.4</v>
      </c>
      <c r="AC92" t="s">
        <v>146</v>
      </c>
      <c r="AD92">
        <f ca="1">+VLOOKUP($A92,INDIRECT(Adrese!B$2),5,FALSE)</f>
        <v>22098</v>
      </c>
      <c r="AE92">
        <f ca="1">+VLOOKUP($A92,INDIRECT(Adrese!C$2),5,FALSE)</f>
        <v>22195</v>
      </c>
      <c r="AF92">
        <f ca="1">+VLOOKUP($A92,INDIRECT(Adrese!D$2),5,FALSE)</f>
        <v>22182</v>
      </c>
      <c r="AG92">
        <f ca="1">+VLOOKUP($A92,INDIRECT(Adrese!E$2),5,FALSE)</f>
        <v>22097</v>
      </c>
      <c r="AH92">
        <f ca="1">+VLOOKUP($A92,INDIRECT(Adrese!F$2),5,FALSE)</f>
        <v>21988</v>
      </c>
      <c r="AI92" s="4">
        <f t="shared" ca="1" si="39"/>
        <v>22112</v>
      </c>
      <c r="AJ92" s="4"/>
      <c r="AK92" s="4"/>
      <c r="AM92" t="s">
        <v>146</v>
      </c>
      <c r="AN92" s="4">
        <f ca="1">+VLOOKUP($A92,INDIRECT(Adrese!B$2),6,FALSE)</f>
        <v>0.48568584070796461</v>
      </c>
      <c r="AO92" s="4">
        <f ca="1">+VLOOKUP($A92,INDIRECT(Adrese!C$2),6,FALSE)</f>
        <v>0.48758849557522121</v>
      </c>
      <c r="AP92" s="4">
        <f ca="1">+VLOOKUP($A92,INDIRECT(Adrese!D$2),6,FALSE)</f>
        <v>0.48723451327433631</v>
      </c>
      <c r="AQ92" s="4">
        <f ca="1">+VLOOKUP($A92,INDIRECT(Adrese!E$2),6,FALSE)</f>
        <v>0.4857300884955752</v>
      </c>
      <c r="AR92" s="4">
        <f ca="1">+VLOOKUP($A92,INDIRECT(Adrese!F$2),6,FALSE)</f>
        <v>0.48318584070796461</v>
      </c>
      <c r="AS92" s="4" t="str">
        <f t="shared" ca="1" si="28"/>
        <v>0.49 (0.00)</v>
      </c>
      <c r="AT92" s="4">
        <f t="shared" ca="1" si="40"/>
        <v>0.48588495575221236</v>
      </c>
      <c r="AU92" s="4">
        <f t="shared" ca="1" si="29"/>
        <v>1.7372540203009334E-3</v>
      </c>
      <c r="AW92" t="s">
        <v>146</v>
      </c>
      <c r="AX92" s="4">
        <f ca="1">+VLOOKUP($A92,INDIRECT(Adrese!B$2),7,FALSE)</f>
        <v>0.63274336283185839</v>
      </c>
      <c r="AY92" s="4">
        <f ca="1">+VLOOKUP($A92,INDIRECT(Adrese!C$2),7,FALSE)</f>
        <v>0.6415929203539823</v>
      </c>
      <c r="AZ92" s="4">
        <f ca="1">+VLOOKUP($A92,INDIRECT(Adrese!D$2),7,FALSE)</f>
        <v>0.65044247787610621</v>
      </c>
      <c r="BA92" s="4">
        <f ca="1">+VLOOKUP($A92,INDIRECT(Adrese!E$2),7,FALSE)</f>
        <v>0.63716814159292035</v>
      </c>
      <c r="BB92" s="4">
        <f ca="1">+VLOOKUP($A92,INDIRECT(Adrese!F$2),7,FALSE)</f>
        <v>0.63716814159292035</v>
      </c>
      <c r="BC92" s="4" t="str">
        <f t="shared" ca="1" si="30"/>
        <v>0.64 (0.01)</v>
      </c>
      <c r="BD92">
        <f t="shared" ca="1" si="41"/>
        <v>0.63982300884955756</v>
      </c>
      <c r="BE92" s="4">
        <f t="shared" ca="1" si="31"/>
        <v>6.7105092425235064E-3</v>
      </c>
      <c r="BG92" t="s">
        <v>146</v>
      </c>
      <c r="BH92" s="4">
        <f ca="1">+VLOOKUP($BG92,INDIRECT(Adrese!B$2),8,FALSE)</f>
        <v>6.0568441186141637E-2</v>
      </c>
      <c r="BI92" s="4">
        <f ca="1">+VLOOKUP($BG92,INDIRECT(Adrese!C$2),8,FALSE)</f>
        <v>6.1254984474607442E-2</v>
      </c>
      <c r="BJ92" s="4">
        <f ca="1">+VLOOKUP($BG92,INDIRECT(Adrese!D$2),8,FALSE)</f>
        <v>6.1072671133269023E-2</v>
      </c>
      <c r="BK92" s="4">
        <f ca="1">+VLOOKUP($BG92,INDIRECT(Adrese!E$2),8,FALSE)</f>
        <v>6.06460657494041E-2</v>
      </c>
      <c r="BL92" s="4">
        <f ca="1">+VLOOKUP($BG92,INDIRECT(Adrese!F$2),8,FALSE)</f>
        <v>6.0471474115700613E-2</v>
      </c>
      <c r="BM92" s="4" t="str">
        <f t="shared" ca="1" si="32"/>
        <v>0.06 (0.00)</v>
      </c>
      <c r="BN92" s="4">
        <f t="shared" ca="1" si="42"/>
        <v>6.0802727331824569E-2</v>
      </c>
      <c r="BO92" s="4">
        <f t="shared" ca="1" si="33"/>
        <v>3.4152881349687182E-4</v>
      </c>
      <c r="BQ92" t="s">
        <v>146</v>
      </c>
      <c r="BR92" s="4">
        <f ca="1">+VLOOKUP($BG92,INDIRECT(Adrese!B$2),9,FALSE)</f>
        <v>-5.2485187238700886E-3</v>
      </c>
      <c r="BS92" s="4">
        <f ca="1">+VLOOKUP($BG92,INDIRECT(Adrese!C$2),9,FALSE)</f>
        <v>-4.3777579077717427E-3</v>
      </c>
      <c r="BT92" s="4">
        <f ca="1">+VLOOKUP($BG92,INDIRECT(Adrese!D$2),9,FALSE)</f>
        <v>-3.6127242818564461E-3</v>
      </c>
      <c r="BU92" s="4">
        <f ca="1">+VLOOKUP($BG92,INDIRECT(Adrese!E$2),9,FALSE)</f>
        <v>-3.9283939358123179E-3</v>
      </c>
      <c r="BV92" s="4">
        <f ca="1">+VLOOKUP($BG92,INDIRECT(Adrese!F$2),9,FALSE)</f>
        <v>-4.5095943834705856E-3</v>
      </c>
      <c r="BW92" s="4" t="str">
        <f t="shared" ca="1" si="34"/>
        <v>0.00 (0.00)</v>
      </c>
      <c r="BX92" s="4">
        <f t="shared" ca="1" si="43"/>
        <v>-4.335397846556237E-3</v>
      </c>
      <c r="BY92" s="4">
        <f t="shared" ca="1" si="35"/>
        <v>6.2326515411225629E-4</v>
      </c>
    </row>
    <row r="93" spans="1:77" x14ac:dyDescent="0.25">
      <c r="A93" t="s">
        <v>147</v>
      </c>
      <c r="B93" s="11">
        <f ca="1">+VLOOKUP($A93,INDIRECT(Adrese!B$2),2,FALSE)</f>
        <v>90</v>
      </c>
      <c r="C93" s="11">
        <f ca="1">+VLOOKUP($A93,INDIRECT(Adrese!C$2),2,FALSE)</f>
        <v>75</v>
      </c>
      <c r="D93" s="11">
        <f ca="1">+VLOOKUP($A93,INDIRECT(Adrese!D$2),2,FALSE)</f>
        <v>77</v>
      </c>
      <c r="E93" s="11">
        <f ca="1">+VLOOKUP($A93,INDIRECT(Adrese!E$2),2,FALSE)</f>
        <v>82</v>
      </c>
      <c r="F93" s="11">
        <f ca="1">+VLOOKUP($A93,INDIRECT(Adrese!F$2),2,FALSE)</f>
        <v>70</v>
      </c>
      <c r="G93" s="4">
        <f t="shared" ca="1" si="36"/>
        <v>78.8</v>
      </c>
      <c r="J93" t="s">
        <v>147</v>
      </c>
      <c r="K93">
        <f ca="1">+VLOOKUP($A93,INDIRECT(Adrese!B$2),3,FALSE)</f>
        <v>92</v>
      </c>
      <c r="L93">
        <f ca="1">+VLOOKUP($A93,INDIRECT(Adrese!C$2),3,FALSE)</f>
        <v>90</v>
      </c>
      <c r="M93">
        <f ca="1">+VLOOKUP($A93,INDIRECT(Adrese!D$2),3,FALSE)</f>
        <v>101</v>
      </c>
      <c r="N93">
        <f ca="1">+VLOOKUP($A93,INDIRECT(Adrese!E$2),3,FALSE)</f>
        <v>91</v>
      </c>
      <c r="O93">
        <f ca="1">+VLOOKUP($A93,INDIRECT(Adrese!F$2),3,FALSE)</f>
        <v>107</v>
      </c>
      <c r="P93">
        <f t="shared" ca="1" si="26"/>
        <v>481</v>
      </c>
      <c r="Q93" s="4">
        <f t="shared" ca="1" si="37"/>
        <v>96.2</v>
      </c>
      <c r="R93" s="4"/>
      <c r="T93" t="s">
        <v>147</v>
      </c>
      <c r="U93">
        <f ca="1">+VLOOKUP($T93,INDIRECT(Adrese!B$2),4,FALSE)</f>
        <v>96079</v>
      </c>
      <c r="V93">
        <f ca="1">+VLOOKUP($T93,INDIRECT(Adrese!C$2),4,FALSE)</f>
        <v>96373</v>
      </c>
      <c r="W93">
        <f ca="1">+VLOOKUP($T93,INDIRECT(Adrese!D$2),4,FALSE)</f>
        <v>96532</v>
      </c>
      <c r="X93">
        <f ca="1">+VLOOKUP($T93,INDIRECT(Adrese!E$2),4,FALSE)</f>
        <v>96220</v>
      </c>
      <c r="Y93">
        <f ca="1">+VLOOKUP($T93,INDIRECT(Adrese!F$2),4,FALSE)</f>
        <v>96789</v>
      </c>
      <c r="Z93">
        <f t="shared" ca="1" si="27"/>
        <v>481993</v>
      </c>
      <c r="AA93" s="4">
        <f t="shared" ca="1" si="38"/>
        <v>96398.6</v>
      </c>
      <c r="AC93" t="s">
        <v>147</v>
      </c>
      <c r="AD93">
        <f ca="1">+VLOOKUP($A93,INDIRECT(Adrese!B$2),5,FALSE)</f>
        <v>22518</v>
      </c>
      <c r="AE93">
        <f ca="1">+VLOOKUP($A93,INDIRECT(Adrese!C$2),5,FALSE)</f>
        <v>22833</v>
      </c>
      <c r="AF93">
        <f ca="1">+VLOOKUP($A93,INDIRECT(Adrese!D$2),5,FALSE)</f>
        <v>22852</v>
      </c>
      <c r="AG93">
        <f ca="1">+VLOOKUP($A93,INDIRECT(Adrese!E$2),5,FALSE)</f>
        <v>22804</v>
      </c>
      <c r="AH93">
        <f ca="1">+VLOOKUP($A93,INDIRECT(Adrese!F$2),5,FALSE)</f>
        <v>22687</v>
      </c>
      <c r="AI93" s="4">
        <f t="shared" ca="1" si="39"/>
        <v>22738.799999999999</v>
      </c>
      <c r="AJ93" s="4"/>
      <c r="AK93" s="4"/>
      <c r="AM93" t="s">
        <v>147</v>
      </c>
      <c r="AN93" s="4">
        <f ca="1">+VLOOKUP($A93,INDIRECT(Adrese!B$2),6,FALSE)</f>
        <v>0.49415929203539821</v>
      </c>
      <c r="AO93" s="4">
        <f ca="1">+VLOOKUP($A93,INDIRECT(Adrese!C$2),6,FALSE)</f>
        <v>0.50119469026548669</v>
      </c>
      <c r="AP93" s="4">
        <f ca="1">+VLOOKUP($A93,INDIRECT(Adrese!D$2),6,FALSE)</f>
        <v>0.50172566371681415</v>
      </c>
      <c r="AQ93" s="4">
        <f ca="1">+VLOOKUP($A93,INDIRECT(Adrese!E$2),6,FALSE)</f>
        <v>0.50055309734513276</v>
      </c>
      <c r="AR93" s="4">
        <f ca="1">+VLOOKUP($A93,INDIRECT(Adrese!F$2),6,FALSE)</f>
        <v>0.50019911504424774</v>
      </c>
      <c r="AS93" s="4" t="str">
        <f t="shared" ca="1" si="28"/>
        <v>0.50 (0.00)</v>
      </c>
      <c r="AT93" s="4">
        <f t="shared" ca="1" si="40"/>
        <v>0.49956637168141593</v>
      </c>
      <c r="AU93" s="4">
        <f t="shared" ca="1" si="29"/>
        <v>3.0791421493002158E-3</v>
      </c>
      <c r="AW93" t="s">
        <v>147</v>
      </c>
      <c r="AX93" s="4">
        <f ca="1">+VLOOKUP($A93,INDIRECT(Adrese!B$2),7,FALSE)</f>
        <v>0.59292035398230092</v>
      </c>
      <c r="AY93" s="4">
        <f ca="1">+VLOOKUP($A93,INDIRECT(Adrese!C$2),7,FALSE)</f>
        <v>0.60176991150442483</v>
      </c>
      <c r="AZ93" s="4">
        <f ca="1">+VLOOKUP($A93,INDIRECT(Adrese!D$2),7,FALSE)</f>
        <v>0.55309734513274333</v>
      </c>
      <c r="BA93" s="4">
        <f ca="1">+VLOOKUP($A93,INDIRECT(Adrese!E$2),7,FALSE)</f>
        <v>0.59734513274336287</v>
      </c>
      <c r="BB93" s="4">
        <f ca="1">+VLOOKUP($A93,INDIRECT(Adrese!F$2),7,FALSE)</f>
        <v>0.52654867256637172</v>
      </c>
      <c r="BC93" s="4" t="str">
        <f t="shared" ca="1" si="30"/>
        <v>0.57 (0.03)</v>
      </c>
      <c r="BD93">
        <f t="shared" ca="1" si="41"/>
        <v>0.57433628318584073</v>
      </c>
      <c r="BE93" s="4">
        <f t="shared" ca="1" si="31"/>
        <v>3.3023200277956279E-2</v>
      </c>
      <c r="BG93" t="s">
        <v>147</v>
      </c>
      <c r="BH93" s="4">
        <f ca="1">+VLOOKUP($BG93,INDIRECT(Adrese!B$2),8,FALSE)</f>
        <v>7.4880301131036886E-2</v>
      </c>
      <c r="BI93" s="4">
        <f ca="1">+VLOOKUP($BG93,INDIRECT(Adrese!C$2),8,FALSE)</f>
        <v>7.6433747566451743E-2</v>
      </c>
      <c r="BJ93" s="4">
        <f ca="1">+VLOOKUP($BG93,INDIRECT(Adrese!D$2),8,FALSE)</f>
        <v>7.6712081880668942E-2</v>
      </c>
      <c r="BK93" s="4">
        <f ca="1">+VLOOKUP($BG93,INDIRECT(Adrese!E$2),8,FALSE)</f>
        <v>7.6302269114577201E-2</v>
      </c>
      <c r="BL93" s="4">
        <f ca="1">+VLOOKUP($BG93,INDIRECT(Adrese!F$2),8,FALSE)</f>
        <v>7.5608437113003801E-2</v>
      </c>
      <c r="BM93" s="4" t="str">
        <f t="shared" ca="1" si="32"/>
        <v>0.08 (0.00)</v>
      </c>
      <c r="BN93" s="4">
        <f t="shared" ca="1" si="42"/>
        <v>7.5987367361147723E-2</v>
      </c>
      <c r="BO93" s="4">
        <f t="shared" ca="1" si="33"/>
        <v>7.404075410906018E-4</v>
      </c>
      <c r="BQ93" t="s">
        <v>147</v>
      </c>
      <c r="BR93" s="4">
        <f ca="1">+VLOOKUP($BG93,INDIRECT(Adrese!B$2),9,FALSE)</f>
        <v>7.1197561606929499E-2</v>
      </c>
      <c r="BS93" s="4">
        <f ca="1">+VLOOKUP($BG93,INDIRECT(Adrese!C$2),9,FALSE)</f>
        <v>7.3456420855213422E-2</v>
      </c>
      <c r="BT93" s="4">
        <f ca="1">+VLOOKUP($BG93,INDIRECT(Adrese!D$2),9,FALSE)</f>
        <v>7.1906007188375018E-2</v>
      </c>
      <c r="BU93" s="4">
        <f ca="1">+VLOOKUP($BG93,INDIRECT(Adrese!E$2),9,FALSE)</f>
        <v>7.2794473482281255E-2</v>
      </c>
      <c r="BV93" s="4">
        <f ca="1">+VLOOKUP($BG93,INDIRECT(Adrese!F$2),9,FALSE)</f>
        <v>6.8582306446708902E-2</v>
      </c>
      <c r="BW93" s="4" t="str">
        <f t="shared" ca="1" si="34"/>
        <v>0.07 (0.00)</v>
      </c>
      <c r="BX93" s="4">
        <f t="shared" ca="1" si="43"/>
        <v>7.1587353915901611E-2</v>
      </c>
      <c r="BY93" s="4">
        <f t="shared" ca="1" si="35"/>
        <v>1.8864210237549259E-3</v>
      </c>
    </row>
    <row r="94" spans="1:77" x14ac:dyDescent="0.25">
      <c r="A94" t="s">
        <v>148</v>
      </c>
      <c r="B94" s="11">
        <f ca="1">+VLOOKUP($A94,INDIRECT(Adrese!B$2),2,FALSE)</f>
        <v>108</v>
      </c>
      <c r="C94" s="11">
        <f ca="1">+VLOOKUP($A94,INDIRECT(Adrese!C$2),2,FALSE)</f>
        <v>85</v>
      </c>
      <c r="D94" s="11">
        <f ca="1">+VLOOKUP($A94,INDIRECT(Adrese!D$2),2,FALSE)</f>
        <v>129</v>
      </c>
      <c r="E94" s="11">
        <f ca="1">+VLOOKUP($A94,INDIRECT(Adrese!E$2),2,FALSE)</f>
        <v>110</v>
      </c>
      <c r="F94" s="11">
        <f ca="1">+VLOOKUP($A94,INDIRECT(Adrese!F$2),2,FALSE)</f>
        <v>106</v>
      </c>
      <c r="G94" s="4">
        <f t="shared" ca="1" si="36"/>
        <v>107.6</v>
      </c>
      <c r="J94" t="s">
        <v>148</v>
      </c>
      <c r="K94">
        <f ca="1">+VLOOKUP($A94,INDIRECT(Adrese!B$2),3,FALSE)</f>
        <v>32</v>
      </c>
      <c r="L94">
        <f ca="1">+VLOOKUP($A94,INDIRECT(Adrese!C$2),3,FALSE)</f>
        <v>32</v>
      </c>
      <c r="M94">
        <f ca="1">+VLOOKUP($A94,INDIRECT(Adrese!D$2),3,FALSE)</f>
        <v>26</v>
      </c>
      <c r="N94">
        <f ca="1">+VLOOKUP($A94,INDIRECT(Adrese!E$2),3,FALSE)</f>
        <v>22</v>
      </c>
      <c r="O94">
        <f ca="1">+VLOOKUP($A94,INDIRECT(Adrese!F$2),3,FALSE)</f>
        <v>25</v>
      </c>
      <c r="P94">
        <f t="shared" ca="1" si="26"/>
        <v>137</v>
      </c>
      <c r="Q94" s="4">
        <f t="shared" ca="1" si="37"/>
        <v>27.4</v>
      </c>
      <c r="R94" s="4"/>
      <c r="T94" t="s">
        <v>148</v>
      </c>
      <c r="U94">
        <f ca="1">+VLOOKUP($T94,INDIRECT(Adrese!B$2),4,FALSE)</f>
        <v>95333</v>
      </c>
      <c r="V94">
        <f ca="1">+VLOOKUP($T94,INDIRECT(Adrese!C$2),4,FALSE)</f>
        <v>95928</v>
      </c>
      <c r="W94">
        <f ca="1">+VLOOKUP($T94,INDIRECT(Adrese!D$2),4,FALSE)</f>
        <v>94498</v>
      </c>
      <c r="X94">
        <f ca="1">+VLOOKUP($T94,INDIRECT(Adrese!E$2),4,FALSE)</f>
        <v>95216</v>
      </c>
      <c r="Y94">
        <f ca="1">+VLOOKUP($T94,INDIRECT(Adrese!F$2),4,FALSE)</f>
        <v>95298</v>
      </c>
      <c r="Z94">
        <f t="shared" ca="1" si="27"/>
        <v>476273</v>
      </c>
      <c r="AA94" s="4">
        <f t="shared" ca="1" si="38"/>
        <v>95254.6</v>
      </c>
      <c r="AC94" t="s">
        <v>148</v>
      </c>
      <c r="AD94">
        <f ca="1">+VLOOKUP($A94,INDIRECT(Adrese!B$2),5,FALSE)</f>
        <v>28140</v>
      </c>
      <c r="AE94">
        <f ca="1">+VLOOKUP($A94,INDIRECT(Adrese!C$2),5,FALSE)</f>
        <v>28481</v>
      </c>
      <c r="AF94">
        <f ca="1">+VLOOKUP($A94,INDIRECT(Adrese!D$2),5,FALSE)</f>
        <v>28001</v>
      </c>
      <c r="AG94">
        <f ca="1">+VLOOKUP($A94,INDIRECT(Adrese!E$2),5,FALSE)</f>
        <v>28357</v>
      </c>
      <c r="AH94">
        <f ca="1">+VLOOKUP($A94,INDIRECT(Adrese!F$2),5,FALSE)</f>
        <v>27827</v>
      </c>
      <c r="AI94" s="4">
        <f t="shared" ca="1" si="39"/>
        <v>28161.200000000001</v>
      </c>
      <c r="AJ94" s="4"/>
      <c r="AK94" s="4"/>
      <c r="AM94" t="s">
        <v>148</v>
      </c>
      <c r="AN94" s="4">
        <f ca="1">+VLOOKUP($A94,INDIRECT(Adrese!B$2),6,FALSE)</f>
        <v>0.61889380530973448</v>
      </c>
      <c r="AO94" s="4">
        <f ca="1">+VLOOKUP($A94,INDIRECT(Adrese!C$2),6,FALSE)</f>
        <v>0.62643805309734513</v>
      </c>
      <c r="AP94" s="4">
        <f ca="1">+VLOOKUP($A94,INDIRECT(Adrese!D$2),6,FALSE)</f>
        <v>0.61548672566371676</v>
      </c>
      <c r="AQ94" s="4">
        <f ca="1">+VLOOKUP($A94,INDIRECT(Adrese!E$2),6,FALSE)</f>
        <v>0.6238495575221239</v>
      </c>
      <c r="AR94" s="4">
        <f ca="1">+VLOOKUP($A94,INDIRECT(Adrese!F$2),6,FALSE)</f>
        <v>0.61179203539823013</v>
      </c>
      <c r="AS94" s="4" t="str">
        <f t="shared" ca="1" si="28"/>
        <v>0.62 (0.01)</v>
      </c>
      <c r="AT94" s="4">
        <f t="shared" ca="1" si="40"/>
        <v>0.61929203539823008</v>
      </c>
      <c r="AU94" s="4">
        <f t="shared" ca="1" si="29"/>
        <v>5.9733898718569226E-3</v>
      </c>
      <c r="AW94" t="s">
        <v>148</v>
      </c>
      <c r="AX94" s="4">
        <f ca="1">+VLOOKUP($A94,INDIRECT(Adrese!B$2),7,FALSE)</f>
        <v>0.8584070796460177</v>
      </c>
      <c r="AY94" s="4">
        <f ca="1">+VLOOKUP($A94,INDIRECT(Adrese!C$2),7,FALSE)</f>
        <v>0.8584070796460177</v>
      </c>
      <c r="AZ94" s="4">
        <f ca="1">+VLOOKUP($A94,INDIRECT(Adrese!D$2),7,FALSE)</f>
        <v>0.88495575221238942</v>
      </c>
      <c r="BA94" s="4">
        <f ca="1">+VLOOKUP($A94,INDIRECT(Adrese!E$2),7,FALSE)</f>
        <v>0.90265486725663713</v>
      </c>
      <c r="BB94" s="4">
        <f ca="1">+VLOOKUP($A94,INDIRECT(Adrese!F$2),7,FALSE)</f>
        <v>0.88938053097345138</v>
      </c>
      <c r="BC94" s="4" t="str">
        <f t="shared" ca="1" si="30"/>
        <v>0.88 (0.02)</v>
      </c>
      <c r="BD94">
        <f t="shared" ca="1" si="41"/>
        <v>0.87876106194690262</v>
      </c>
      <c r="BE94" s="4">
        <f t="shared" ca="1" si="31"/>
        <v>1.9689022532112375E-2</v>
      </c>
      <c r="BG94" t="s">
        <v>148</v>
      </c>
      <c r="BH94" s="4">
        <f ca="1">+VLOOKUP($BG94,INDIRECT(Adrese!B$2),8,FALSE)</f>
        <v>8.8499201655671628E-2</v>
      </c>
      <c r="BI94" s="4">
        <f ca="1">+VLOOKUP($BG94,INDIRECT(Adrese!C$2),8,FALSE)</f>
        <v>8.955013644098414E-2</v>
      </c>
      <c r="BJ94" s="4">
        <f ca="1">+VLOOKUP($BG94,INDIRECT(Adrese!D$2),8,FALSE)</f>
        <v>8.8034637486338746E-2</v>
      </c>
      <c r="BK94" s="4">
        <f ca="1">+VLOOKUP($BG94,INDIRECT(Adrese!E$2),8,FALSE)</f>
        <v>8.8872179507639468E-2</v>
      </c>
      <c r="BL94" s="4">
        <f ca="1">+VLOOKUP($BG94,INDIRECT(Adrese!F$2),8,FALSE)</f>
        <v>8.7886498328333965E-2</v>
      </c>
      <c r="BM94" s="4" t="str">
        <f t="shared" ca="1" si="32"/>
        <v>0.09 (0.00)</v>
      </c>
      <c r="BN94" s="4">
        <f t="shared" ca="1" si="42"/>
        <v>8.8568530683793584E-2</v>
      </c>
      <c r="BO94" s="4">
        <f t="shared" ca="1" si="33"/>
        <v>6.7282409757218799E-4</v>
      </c>
      <c r="BQ94" t="s">
        <v>148</v>
      </c>
      <c r="BR94" s="4">
        <f ca="1">+VLOOKUP($BG94,INDIRECT(Adrese!B$2),9,FALSE)</f>
        <v>1.236598135139831E-2</v>
      </c>
      <c r="BS94" s="4">
        <f ca="1">+VLOOKUP($BG94,INDIRECT(Adrese!C$2),9,FALSE)</f>
        <v>1.297939312770378E-2</v>
      </c>
      <c r="BT94" s="4">
        <f ca="1">+VLOOKUP($BG94,INDIRECT(Adrese!D$2),9,FALSE)</f>
        <v>1.4484402833681371E-2</v>
      </c>
      <c r="BU94" s="4">
        <f ca="1">+VLOOKUP($BG94,INDIRECT(Adrese!E$2),9,FALSE)</f>
        <v>1.092635154461288E-2</v>
      </c>
      <c r="BV94" s="4">
        <f ca="1">+VLOOKUP($BG94,INDIRECT(Adrese!F$2),9,FALSE)</f>
        <v>2.1967084422852921E-2</v>
      </c>
      <c r="BW94" s="4" t="str">
        <f t="shared" ca="1" si="34"/>
        <v>0.01 (0.00)</v>
      </c>
      <c r="BX94" s="4">
        <f t="shared" ca="1" si="43"/>
        <v>1.4544642656049853E-2</v>
      </c>
      <c r="BY94" s="4">
        <f t="shared" ca="1" si="35"/>
        <v>4.3412231096563994E-3</v>
      </c>
    </row>
    <row r="95" spans="1:77" x14ac:dyDescent="0.25">
      <c r="A95" t="s">
        <v>149</v>
      </c>
      <c r="B95" s="11">
        <f ca="1">+VLOOKUP($A95,INDIRECT(Adrese!B$2),2,FALSE)</f>
        <v>123</v>
      </c>
      <c r="C95" s="11">
        <f ca="1">+VLOOKUP($A95,INDIRECT(Adrese!C$2),2,FALSE)</f>
        <v>155</v>
      </c>
      <c r="D95" s="11">
        <f ca="1">+VLOOKUP($A95,INDIRECT(Adrese!D$2),2,FALSE)</f>
        <v>146</v>
      </c>
      <c r="E95" s="11">
        <f ca="1">+VLOOKUP($A95,INDIRECT(Adrese!E$2),2,FALSE)</f>
        <v>163</v>
      </c>
      <c r="F95" s="11">
        <f ca="1">+VLOOKUP($A95,INDIRECT(Adrese!F$2),2,FALSE)</f>
        <v>109</v>
      </c>
      <c r="G95" s="4">
        <f t="shared" ca="1" si="36"/>
        <v>139.19999999999999</v>
      </c>
      <c r="J95" t="s">
        <v>149</v>
      </c>
      <c r="K95">
        <f ca="1">+VLOOKUP($A95,INDIRECT(Adrese!B$2),3,FALSE)</f>
        <v>195</v>
      </c>
      <c r="L95">
        <f ca="1">+VLOOKUP($A95,INDIRECT(Adrese!C$2),3,FALSE)</f>
        <v>194</v>
      </c>
      <c r="M95">
        <f ca="1">+VLOOKUP($A95,INDIRECT(Adrese!D$2),3,FALSE)</f>
        <v>195</v>
      </c>
      <c r="N95">
        <f ca="1">+VLOOKUP($A95,INDIRECT(Adrese!E$2),3,FALSE)</f>
        <v>193</v>
      </c>
      <c r="O95">
        <f ca="1">+VLOOKUP($A95,INDIRECT(Adrese!F$2),3,FALSE)</f>
        <v>193</v>
      </c>
      <c r="P95">
        <f t="shared" ca="1" si="26"/>
        <v>970</v>
      </c>
      <c r="Q95" s="4">
        <f t="shared" ca="1" si="37"/>
        <v>194</v>
      </c>
      <c r="R95" s="4"/>
      <c r="T95" t="s">
        <v>149</v>
      </c>
      <c r="U95">
        <f ca="1">+VLOOKUP($T95,INDIRECT(Adrese!B$2),4,FALSE)</f>
        <v>94572</v>
      </c>
      <c r="V95">
        <f ca="1">+VLOOKUP($T95,INDIRECT(Adrese!C$2),4,FALSE)</f>
        <v>93333</v>
      </c>
      <c r="W95">
        <f ca="1">+VLOOKUP($T95,INDIRECT(Adrese!D$2),4,FALSE)</f>
        <v>93835</v>
      </c>
      <c r="X95">
        <f ca="1">+VLOOKUP($T95,INDIRECT(Adrese!E$2),4,FALSE)</f>
        <v>92569</v>
      </c>
      <c r="Y95">
        <f ca="1">+VLOOKUP($T95,INDIRECT(Adrese!F$2),4,FALSE)</f>
        <v>95219</v>
      </c>
      <c r="Z95">
        <f t="shared" ca="1" si="27"/>
        <v>469528</v>
      </c>
      <c r="AA95" s="4">
        <f t="shared" ca="1" si="38"/>
        <v>93905.600000000006</v>
      </c>
      <c r="AC95" t="s">
        <v>149</v>
      </c>
      <c r="AD95">
        <f ca="1">+VLOOKUP($A95,INDIRECT(Adrese!B$2),5,FALSE)</f>
        <v>8637</v>
      </c>
      <c r="AE95">
        <f ca="1">+VLOOKUP($A95,INDIRECT(Adrese!C$2),5,FALSE)</f>
        <v>8391</v>
      </c>
      <c r="AF95">
        <f ca="1">+VLOOKUP($A95,INDIRECT(Adrese!D$2),5,FALSE)</f>
        <v>8528</v>
      </c>
      <c r="AG95">
        <f ca="1">+VLOOKUP($A95,INDIRECT(Adrese!E$2),5,FALSE)</f>
        <v>8362</v>
      </c>
      <c r="AH95">
        <f ca="1">+VLOOKUP($A95,INDIRECT(Adrese!F$2),5,FALSE)</f>
        <v>9144</v>
      </c>
      <c r="AI95" s="4">
        <f t="shared" ca="1" si="39"/>
        <v>8612.4</v>
      </c>
      <c r="AJ95" s="4"/>
      <c r="AK95" s="4"/>
      <c r="AM95" t="s">
        <v>149</v>
      </c>
      <c r="AN95" s="4">
        <f ca="1">+VLOOKUP($A95,INDIRECT(Adrese!B$2),6,FALSE)</f>
        <v>0.19022123893805309</v>
      </c>
      <c r="AO95" s="4">
        <f ca="1">+VLOOKUP($A95,INDIRECT(Adrese!C$2),6,FALSE)</f>
        <v>0.18508849557522131</v>
      </c>
      <c r="AP95" s="4">
        <f ca="1">+VLOOKUP($A95,INDIRECT(Adrese!D$2),6,FALSE)</f>
        <v>0.18823008849557521</v>
      </c>
      <c r="AQ95" s="4">
        <f ca="1">+VLOOKUP($A95,INDIRECT(Adrese!E$2),6,FALSE)</f>
        <v>0.18407079646017699</v>
      </c>
      <c r="AR95" s="4">
        <f ca="1">+VLOOKUP($A95,INDIRECT(Adrese!F$2),6,FALSE)</f>
        <v>0.20148230088495581</v>
      </c>
      <c r="AS95" s="4" t="str">
        <f t="shared" ca="1" si="28"/>
        <v>0.19 (0.01)</v>
      </c>
      <c r="AT95" s="4">
        <f t="shared" ca="1" si="40"/>
        <v>0.18981858407079649</v>
      </c>
      <c r="AU95" s="4">
        <f t="shared" ca="1" si="29"/>
        <v>6.9666803186361559E-3</v>
      </c>
      <c r="AW95" t="s">
        <v>149</v>
      </c>
      <c r="AX95" s="4">
        <f ca="1">+VLOOKUP($A95,INDIRECT(Adrese!B$2),7,FALSE)</f>
        <v>0.13716814159292029</v>
      </c>
      <c r="AY95" s="4">
        <f ca="1">+VLOOKUP($A95,INDIRECT(Adrese!C$2),7,FALSE)</f>
        <v>0.1415929203539823</v>
      </c>
      <c r="AZ95" s="4">
        <f ca="1">+VLOOKUP($A95,INDIRECT(Adrese!D$2),7,FALSE)</f>
        <v>0.13716814159292029</v>
      </c>
      <c r="BA95" s="4">
        <f ca="1">+VLOOKUP($A95,INDIRECT(Adrese!E$2),7,FALSE)</f>
        <v>0.14601769911504431</v>
      </c>
      <c r="BB95" s="4">
        <f ca="1">+VLOOKUP($A95,INDIRECT(Adrese!F$2),7,FALSE)</f>
        <v>0.14601769911504431</v>
      </c>
      <c r="BC95" s="4" t="str">
        <f t="shared" ca="1" si="30"/>
        <v>0.14 (0.00)</v>
      </c>
      <c r="BD95">
        <f t="shared" ca="1" si="41"/>
        <v>0.1415929203539823</v>
      </c>
      <c r="BE95" s="4">
        <f t="shared" ca="1" si="31"/>
        <v>4.4247787610620093E-3</v>
      </c>
      <c r="BG95" t="s">
        <v>149</v>
      </c>
      <c r="BH95" s="4">
        <f ca="1">+VLOOKUP($BG95,INDIRECT(Adrese!B$2),8,FALSE)</f>
        <v>2.7759609319434581E-2</v>
      </c>
      <c r="BI95" s="4">
        <f ca="1">+VLOOKUP($BG95,INDIRECT(Adrese!C$2),8,FALSE)</f>
        <v>2.671930172995949E-2</v>
      </c>
      <c r="BJ95" s="4">
        <f ca="1">+VLOOKUP($BG95,INDIRECT(Adrese!D$2),8,FALSE)</f>
        <v>2.733354510352155E-2</v>
      </c>
      <c r="BK95" s="4">
        <f ca="1">+VLOOKUP($BG95,INDIRECT(Adrese!E$2),8,FALSE)</f>
        <v>2.6658088796281589E-2</v>
      </c>
      <c r="BL95" s="4">
        <f ca="1">+VLOOKUP($BG95,INDIRECT(Adrese!F$2),8,FALSE)</f>
        <v>2.9412529015673889E-2</v>
      </c>
      <c r="BM95" s="4" t="str">
        <f t="shared" ca="1" si="32"/>
        <v>0.03 (0.00)</v>
      </c>
      <c r="BN95" s="4">
        <f t="shared" ca="1" si="42"/>
        <v>2.757661479297422E-2</v>
      </c>
      <c r="BO95" s="4">
        <f t="shared" ca="1" si="33"/>
        <v>1.122700605501294E-3</v>
      </c>
      <c r="BQ95" t="s">
        <v>149</v>
      </c>
      <c r="BR95" s="4">
        <f ca="1">+VLOOKUP($BG95,INDIRECT(Adrese!B$2),9,FALSE)</f>
        <v>0.1065703805110846</v>
      </c>
      <c r="BS95" s="4">
        <f ca="1">+VLOOKUP($BG95,INDIRECT(Adrese!C$2),9,FALSE)</f>
        <v>0.1045896114816796</v>
      </c>
      <c r="BT95" s="4">
        <f ca="1">+VLOOKUP($BG95,INDIRECT(Adrese!D$2),9,FALSE)</f>
        <v>0.10546251513866139</v>
      </c>
      <c r="BU95" s="4">
        <f ca="1">+VLOOKUP($BG95,INDIRECT(Adrese!E$2),9,FALSE)</f>
        <v>0.1054593477040953</v>
      </c>
      <c r="BV95" s="4">
        <f ca="1">+VLOOKUP($BG95,INDIRECT(Adrese!F$2),9,FALSE)</f>
        <v>0.105974514493735</v>
      </c>
      <c r="BW95" s="4" t="str">
        <f t="shared" ca="1" si="34"/>
        <v>0.11 (0.00)</v>
      </c>
      <c r="BX95" s="4">
        <f t="shared" ca="1" si="43"/>
        <v>0.10561127386585119</v>
      </c>
      <c r="BY95" s="4">
        <f t="shared" ca="1" si="35"/>
        <v>7.3157946517252886E-4</v>
      </c>
    </row>
    <row r="96" spans="1:77" x14ac:dyDescent="0.25">
      <c r="A96" t="s">
        <v>150</v>
      </c>
      <c r="B96" s="11">
        <f ca="1">+VLOOKUP($A96,INDIRECT(Adrese!B$2),2,FALSE)</f>
        <v>139</v>
      </c>
      <c r="C96" s="11">
        <f ca="1">+VLOOKUP($A96,INDIRECT(Adrese!C$2),2,FALSE)</f>
        <v>127</v>
      </c>
      <c r="D96" s="11">
        <f ca="1">+VLOOKUP($A96,INDIRECT(Adrese!D$2),2,FALSE)</f>
        <v>100</v>
      </c>
      <c r="E96" s="11">
        <f ca="1">+VLOOKUP($A96,INDIRECT(Adrese!E$2),2,FALSE)</f>
        <v>107</v>
      </c>
      <c r="F96" s="11">
        <f ca="1">+VLOOKUP($A96,INDIRECT(Adrese!F$2),2,FALSE)</f>
        <v>112</v>
      </c>
      <c r="G96" s="4">
        <f t="shared" ca="1" si="36"/>
        <v>117</v>
      </c>
      <c r="J96" t="s">
        <v>150</v>
      </c>
      <c r="K96">
        <f ca="1">+VLOOKUP($A96,INDIRECT(Adrese!B$2),3,FALSE)</f>
        <v>199</v>
      </c>
      <c r="L96">
        <f ca="1">+VLOOKUP($A96,INDIRECT(Adrese!C$2),3,FALSE)</f>
        <v>199</v>
      </c>
      <c r="M96">
        <f ca="1">+VLOOKUP($A96,INDIRECT(Adrese!D$2),3,FALSE)</f>
        <v>203</v>
      </c>
      <c r="N96">
        <f ca="1">+VLOOKUP($A96,INDIRECT(Adrese!E$2),3,FALSE)</f>
        <v>199</v>
      </c>
      <c r="O96">
        <f ca="1">+VLOOKUP($A96,INDIRECT(Adrese!F$2),3,FALSE)</f>
        <v>205</v>
      </c>
      <c r="P96">
        <f t="shared" ca="1" si="26"/>
        <v>1005</v>
      </c>
      <c r="Q96" s="4">
        <f t="shared" ca="1" si="37"/>
        <v>201</v>
      </c>
      <c r="R96" s="4"/>
      <c r="T96" t="s">
        <v>150</v>
      </c>
      <c r="U96">
        <f ca="1">+VLOOKUP($T96,INDIRECT(Adrese!B$2),4,FALSE)</f>
        <v>93969</v>
      </c>
      <c r="V96">
        <f ca="1">+VLOOKUP($T96,INDIRECT(Adrese!C$2),4,FALSE)</f>
        <v>94395</v>
      </c>
      <c r="W96">
        <f ca="1">+VLOOKUP($T96,INDIRECT(Adrese!D$2),4,FALSE)</f>
        <v>95719</v>
      </c>
      <c r="X96">
        <f ca="1">+VLOOKUP($T96,INDIRECT(Adrese!E$2),4,FALSE)</f>
        <v>95348</v>
      </c>
      <c r="Y96">
        <f ca="1">+VLOOKUP($T96,INDIRECT(Adrese!F$2),4,FALSE)</f>
        <v>95157</v>
      </c>
      <c r="Z96">
        <f t="shared" ca="1" si="27"/>
        <v>474588</v>
      </c>
      <c r="AA96" s="4">
        <f t="shared" ca="1" si="38"/>
        <v>94917.6</v>
      </c>
      <c r="AC96" t="s">
        <v>150</v>
      </c>
      <c r="AD96">
        <f ca="1">+VLOOKUP($A96,INDIRECT(Adrese!B$2),5,FALSE)</f>
        <v>6840</v>
      </c>
      <c r="AE96">
        <f ca="1">+VLOOKUP($A96,INDIRECT(Adrese!C$2),5,FALSE)</f>
        <v>6874</v>
      </c>
      <c r="AF96">
        <f ca="1">+VLOOKUP($A96,INDIRECT(Adrese!D$2),5,FALSE)</f>
        <v>7036</v>
      </c>
      <c r="AG96">
        <f ca="1">+VLOOKUP($A96,INDIRECT(Adrese!E$2),5,FALSE)</f>
        <v>6947</v>
      </c>
      <c r="AH96">
        <f ca="1">+VLOOKUP($A96,INDIRECT(Adrese!F$2),5,FALSE)</f>
        <v>6995</v>
      </c>
      <c r="AI96" s="4">
        <f t="shared" ca="1" si="39"/>
        <v>6938.4</v>
      </c>
      <c r="AJ96" s="4"/>
      <c r="AK96" s="4"/>
      <c r="AM96" t="s">
        <v>150</v>
      </c>
      <c r="AN96" s="4">
        <f ca="1">+VLOOKUP($A96,INDIRECT(Adrese!B$2),6,FALSE)</f>
        <v>0.15079646017699111</v>
      </c>
      <c r="AO96" s="4">
        <f ca="1">+VLOOKUP($A96,INDIRECT(Adrese!C$2),6,FALSE)</f>
        <v>0.1513274336283186</v>
      </c>
      <c r="AP96" s="4">
        <f ca="1">+VLOOKUP($A96,INDIRECT(Adrese!D$2),6,FALSE)</f>
        <v>0.15517699115044251</v>
      </c>
      <c r="AQ96" s="4">
        <f ca="1">+VLOOKUP($A96,INDIRECT(Adrese!E$2),6,FALSE)</f>
        <v>0.15318584070796459</v>
      </c>
      <c r="AR96" s="4">
        <f ca="1">+VLOOKUP($A96,INDIRECT(Adrese!F$2),6,FALSE)</f>
        <v>0.15438053097345131</v>
      </c>
      <c r="AS96" s="4" t="str">
        <f t="shared" ca="1" si="28"/>
        <v>0.15 (0.00)</v>
      </c>
      <c r="AT96" s="4">
        <f t="shared" ca="1" si="40"/>
        <v>0.15297345132743362</v>
      </c>
      <c r="AU96" s="4">
        <f t="shared" ca="1" si="29"/>
        <v>1.8926987917845331E-3</v>
      </c>
      <c r="AW96" t="s">
        <v>150</v>
      </c>
      <c r="AX96" s="4">
        <f ca="1">+VLOOKUP($A96,INDIRECT(Adrese!B$2),7,FALSE)</f>
        <v>0.1194690265486726</v>
      </c>
      <c r="AY96" s="4">
        <f ca="1">+VLOOKUP($A96,INDIRECT(Adrese!C$2),7,FALSE)</f>
        <v>0.1194690265486726</v>
      </c>
      <c r="AZ96" s="4">
        <f ca="1">+VLOOKUP($A96,INDIRECT(Adrese!D$2),7,FALSE)</f>
        <v>0.1017699115044248</v>
      </c>
      <c r="BA96" s="4">
        <f ca="1">+VLOOKUP($A96,INDIRECT(Adrese!E$2),7,FALSE)</f>
        <v>0.1194690265486726</v>
      </c>
      <c r="BB96" s="4">
        <f ca="1">+VLOOKUP($A96,INDIRECT(Adrese!F$2),7,FALSE)</f>
        <v>9.2920353982300891E-2</v>
      </c>
      <c r="BC96" s="4" t="str">
        <f t="shared" ca="1" si="30"/>
        <v>0.11 (0.01)</v>
      </c>
      <c r="BD96">
        <f t="shared" ca="1" si="41"/>
        <v>0.11061946902654869</v>
      </c>
      <c r="BE96" s="4">
        <f t="shared" ca="1" si="31"/>
        <v>1.25151642687886E-2</v>
      </c>
      <c r="BG96" t="s">
        <v>150</v>
      </c>
      <c r="BH96" s="4">
        <f ca="1">+VLOOKUP($BG96,INDIRECT(Adrese!B$2),8,FALSE)</f>
        <v>2.180186523794184E-2</v>
      </c>
      <c r="BI96" s="4">
        <f ca="1">+VLOOKUP($BG96,INDIRECT(Adrese!C$2),8,FALSE)</f>
        <v>2.1810963806859589E-2</v>
      </c>
      <c r="BJ96" s="4">
        <f ca="1">+VLOOKUP($BG96,INDIRECT(Adrese!D$2),8,FALSE)</f>
        <v>2.255157379444548E-2</v>
      </c>
      <c r="BK96" s="4">
        <f ca="1">+VLOOKUP($BG96,INDIRECT(Adrese!E$2),8,FALSE)</f>
        <v>2.23136304181695E-2</v>
      </c>
      <c r="BL96" s="4">
        <f ca="1">+VLOOKUP($BG96,INDIRECT(Adrese!F$2),8,FALSE)</f>
        <v>2.261390276711361E-2</v>
      </c>
      <c r="BM96" s="4" t="str">
        <f t="shared" ca="1" si="32"/>
        <v>0.02 (0.00)</v>
      </c>
      <c r="BN96" s="4">
        <f t="shared" ca="1" si="42"/>
        <v>2.2218387204906005E-2</v>
      </c>
      <c r="BO96" s="4">
        <f t="shared" ca="1" si="33"/>
        <v>3.9242881752920677E-4</v>
      </c>
      <c r="BQ96" t="s">
        <v>150</v>
      </c>
      <c r="BR96" s="4">
        <f ca="1">+VLOOKUP($BG96,INDIRECT(Adrese!B$2),9,FALSE)</f>
        <v>0.1068998015336898</v>
      </c>
      <c r="BS96" s="4">
        <f ca="1">+VLOOKUP($BG96,INDIRECT(Adrese!C$2),9,FALSE)</f>
        <v>0.10591229711292641</v>
      </c>
      <c r="BT96" s="4">
        <f ca="1">+VLOOKUP($BG96,INDIRECT(Adrese!D$2),9,FALSE)</f>
        <v>0.1061559720386018</v>
      </c>
      <c r="BU96" s="4">
        <f ca="1">+VLOOKUP($BG96,INDIRECT(Adrese!E$2),9,FALSE)</f>
        <v>0.10820176460219021</v>
      </c>
      <c r="BV96" s="4">
        <f ca="1">+VLOOKUP($BG96,INDIRECT(Adrese!F$2),9,FALSE)</f>
        <v>0.1076498268466354</v>
      </c>
      <c r="BW96" s="4" t="str">
        <f t="shared" ca="1" si="34"/>
        <v>0.11 (0.00)</v>
      </c>
      <c r="BX96" s="4">
        <f t="shared" ca="1" si="43"/>
        <v>0.10696393242680872</v>
      </c>
      <c r="BY96" s="4">
        <f t="shared" ca="1" si="35"/>
        <v>9.7024858197874986E-4</v>
      </c>
    </row>
    <row r="97" spans="1:77" x14ac:dyDescent="0.25">
      <c r="A97" t="s">
        <v>151</v>
      </c>
      <c r="B97" s="11">
        <f ca="1">+VLOOKUP($A97,INDIRECT(Adrese!B$2),2,FALSE)</f>
        <v>48</v>
      </c>
      <c r="C97" s="11">
        <f ca="1">+VLOOKUP($A97,INDIRECT(Adrese!C$2),2,FALSE)</f>
        <v>42</v>
      </c>
      <c r="D97" s="11">
        <f ca="1">+VLOOKUP($A97,INDIRECT(Adrese!D$2),2,FALSE)</f>
        <v>27</v>
      </c>
      <c r="E97" s="11">
        <f ca="1">+VLOOKUP($A97,INDIRECT(Adrese!E$2),2,FALSE)</f>
        <v>26</v>
      </c>
      <c r="F97" s="11">
        <f ca="1">+VLOOKUP($A97,INDIRECT(Adrese!F$2),2,FALSE)</f>
        <v>33</v>
      </c>
      <c r="G97" s="4">
        <f t="shared" ca="1" si="36"/>
        <v>35.200000000000003</v>
      </c>
      <c r="J97" t="s">
        <v>151</v>
      </c>
      <c r="K97">
        <f ca="1">+VLOOKUP($A97,INDIRECT(Adrese!B$2),3,FALSE)</f>
        <v>75</v>
      </c>
      <c r="L97">
        <f ca="1">+VLOOKUP($A97,INDIRECT(Adrese!C$2),3,FALSE)</f>
        <v>71</v>
      </c>
      <c r="M97">
        <f ca="1">+VLOOKUP($A97,INDIRECT(Adrese!D$2),3,FALSE)</f>
        <v>79</v>
      </c>
      <c r="N97">
        <f ca="1">+VLOOKUP($A97,INDIRECT(Adrese!E$2),3,FALSE)</f>
        <v>60</v>
      </c>
      <c r="O97">
        <f ca="1">+VLOOKUP($A97,INDIRECT(Adrese!F$2),3,FALSE)</f>
        <v>63</v>
      </c>
      <c r="P97">
        <f t="shared" ca="1" si="26"/>
        <v>348</v>
      </c>
      <c r="Q97" s="4">
        <f t="shared" ca="1" si="37"/>
        <v>69.599999999999994</v>
      </c>
      <c r="R97" s="4"/>
      <c r="T97" t="s">
        <v>151</v>
      </c>
      <c r="U97">
        <f ca="1">+VLOOKUP($T97,INDIRECT(Adrese!B$2),4,FALSE)</f>
        <v>97628</v>
      </c>
      <c r="V97">
        <f ca="1">+VLOOKUP($T97,INDIRECT(Adrese!C$2),4,FALSE)</f>
        <v>97853</v>
      </c>
      <c r="W97">
        <f ca="1">+VLOOKUP($T97,INDIRECT(Adrese!D$2),4,FALSE)</f>
        <v>99093</v>
      </c>
      <c r="X97">
        <f ca="1">+VLOOKUP($T97,INDIRECT(Adrese!E$2),4,FALSE)</f>
        <v>99310</v>
      </c>
      <c r="Y97">
        <f ca="1">+VLOOKUP($T97,INDIRECT(Adrese!F$2),4,FALSE)</f>
        <v>98802</v>
      </c>
      <c r="Z97">
        <f t="shared" ca="1" si="27"/>
        <v>492686</v>
      </c>
      <c r="AA97" s="4">
        <f t="shared" ca="1" si="38"/>
        <v>98537.2</v>
      </c>
      <c r="AC97" t="s">
        <v>151</v>
      </c>
      <c r="AD97">
        <f ca="1">+VLOOKUP($A97,INDIRECT(Adrese!B$2),5,FALSE)</f>
        <v>25852</v>
      </c>
      <c r="AE97">
        <f ca="1">+VLOOKUP($A97,INDIRECT(Adrese!C$2),5,FALSE)</f>
        <v>26096</v>
      </c>
      <c r="AF97">
        <f ca="1">+VLOOKUP($A97,INDIRECT(Adrese!D$2),5,FALSE)</f>
        <v>26370</v>
      </c>
      <c r="AG97">
        <f ca="1">+VLOOKUP($A97,INDIRECT(Adrese!E$2),5,FALSE)</f>
        <v>27239</v>
      </c>
      <c r="AH97">
        <f ca="1">+VLOOKUP($A97,INDIRECT(Adrese!F$2),5,FALSE)</f>
        <v>26597</v>
      </c>
      <c r="AI97" s="4">
        <f t="shared" ca="1" si="39"/>
        <v>26430.799999999999</v>
      </c>
      <c r="AJ97" s="4"/>
      <c r="AK97" s="4"/>
      <c r="AM97" t="s">
        <v>151</v>
      </c>
      <c r="AN97" s="4">
        <f ca="1">+VLOOKUP($A97,INDIRECT(Adrese!B$2),6,FALSE)</f>
        <v>0.56805309734513276</v>
      </c>
      <c r="AO97" s="4">
        <f ca="1">+VLOOKUP($A97,INDIRECT(Adrese!C$2),6,FALSE)</f>
        <v>0.57338495575221238</v>
      </c>
      <c r="AP97" s="4">
        <f ca="1">+VLOOKUP($A97,INDIRECT(Adrese!D$2),6,FALSE)</f>
        <v>0.57942477876106191</v>
      </c>
      <c r="AQ97" s="4">
        <f ca="1">+VLOOKUP($A97,INDIRECT(Adrese!E$2),6,FALSE)</f>
        <v>0.59869469026548672</v>
      </c>
      <c r="AR97" s="4">
        <f ca="1">+VLOOKUP($A97,INDIRECT(Adrese!F$2),6,FALSE)</f>
        <v>0.5845132743362832</v>
      </c>
      <c r="AS97" s="4" t="str">
        <f t="shared" ca="1" si="28"/>
        <v>0.58 (0.01)</v>
      </c>
      <c r="AT97" s="4">
        <f t="shared" ca="1" si="40"/>
        <v>0.58081415929203539</v>
      </c>
      <c r="AU97" s="4">
        <f t="shared" ca="1" si="29"/>
        <v>1.1761855566956537E-2</v>
      </c>
      <c r="AW97" t="s">
        <v>151</v>
      </c>
      <c r="AX97" s="4">
        <f ca="1">+VLOOKUP($A97,INDIRECT(Adrese!B$2),7,FALSE)</f>
        <v>0.66814159292035402</v>
      </c>
      <c r="AY97" s="4">
        <f ca="1">+VLOOKUP($A97,INDIRECT(Adrese!C$2),7,FALSE)</f>
        <v>0.68584070796460173</v>
      </c>
      <c r="AZ97" s="4">
        <f ca="1">+VLOOKUP($A97,INDIRECT(Adrese!D$2),7,FALSE)</f>
        <v>0.65044247787610621</v>
      </c>
      <c r="BA97" s="4">
        <f ca="1">+VLOOKUP($A97,INDIRECT(Adrese!E$2),7,FALSE)</f>
        <v>0.73451327433628322</v>
      </c>
      <c r="BB97" s="4">
        <f ca="1">+VLOOKUP($A97,INDIRECT(Adrese!F$2),7,FALSE)</f>
        <v>0.72123893805309736</v>
      </c>
      <c r="BC97" s="4" t="str">
        <f t="shared" ca="1" si="30"/>
        <v>0.69 (0.04)</v>
      </c>
      <c r="BD97">
        <f t="shared" ca="1" si="41"/>
        <v>0.69203539823008853</v>
      </c>
      <c r="BE97" s="4">
        <f t="shared" ca="1" si="31"/>
        <v>3.5342877075603289E-2</v>
      </c>
      <c r="BG97" t="s">
        <v>151</v>
      </c>
      <c r="BH97" s="4">
        <f ca="1">+VLOOKUP($BG97,INDIRECT(Adrese!B$2),8,FALSE)</f>
        <v>8.5969059243946683E-2</v>
      </c>
      <c r="BI97" s="4">
        <f ca="1">+VLOOKUP($BG97,INDIRECT(Adrese!C$2),8,FALSE)</f>
        <v>8.5926307491838869E-2</v>
      </c>
      <c r="BJ97" s="4">
        <f ca="1">+VLOOKUP($BG97,INDIRECT(Adrese!D$2),8,FALSE)</f>
        <v>8.6865773105632857E-2</v>
      </c>
      <c r="BK97" s="4">
        <f ca="1">+VLOOKUP($BG97,INDIRECT(Adrese!E$2),8,FALSE)</f>
        <v>8.8783745844533302E-2</v>
      </c>
      <c r="BL97" s="4">
        <f ca="1">+VLOOKUP($BG97,INDIRECT(Adrese!F$2),8,FALSE)</f>
        <v>8.6919963891476368E-2</v>
      </c>
      <c r="BM97" s="4" t="str">
        <f t="shared" ca="1" si="32"/>
        <v>0.09 (0.00)</v>
      </c>
      <c r="BN97" s="4">
        <f t="shared" ca="1" si="42"/>
        <v>8.6892969915485618E-2</v>
      </c>
      <c r="BO97" s="4">
        <f t="shared" ca="1" si="33"/>
        <v>1.1580748168130398E-3</v>
      </c>
      <c r="BQ97" t="s">
        <v>151</v>
      </c>
      <c r="BR97" s="4">
        <f ca="1">+VLOOKUP($BG97,INDIRECT(Adrese!B$2),9,FALSE)</f>
        <v>4.6031206014803538E-2</v>
      </c>
      <c r="BS97" s="4">
        <f ca="1">+VLOOKUP($BG97,INDIRECT(Adrese!C$2),9,FALSE)</f>
        <v>3.6198335066256478E-2</v>
      </c>
      <c r="BT97" s="4">
        <f ca="1">+VLOOKUP($BG97,INDIRECT(Adrese!D$2),9,FALSE)</f>
        <v>3.6220954789044059E-2</v>
      </c>
      <c r="BU97" s="4">
        <f ca="1">+VLOOKUP($BG97,INDIRECT(Adrese!E$2),9,FALSE)</f>
        <v>2.288429991604319E-2</v>
      </c>
      <c r="BV97" s="4">
        <f ca="1">+VLOOKUP($BG97,INDIRECT(Adrese!F$2),9,FALSE)</f>
        <v>3.2342268294724932E-2</v>
      </c>
      <c r="BW97" s="4" t="str">
        <f t="shared" ca="1" si="34"/>
        <v>0.03 (0.01)</v>
      </c>
      <c r="BX97" s="4">
        <f t="shared" ca="1" si="43"/>
        <v>3.4735412816174441E-2</v>
      </c>
      <c r="BY97" s="4">
        <f t="shared" ca="1" si="35"/>
        <v>8.3384341773701694E-3</v>
      </c>
    </row>
    <row r="98" spans="1:77" x14ac:dyDescent="0.25">
      <c r="A98" t="s">
        <v>152</v>
      </c>
      <c r="B98" s="11">
        <f ca="1">+VLOOKUP($A98,INDIRECT(Adrese!B$2),2,FALSE)</f>
        <v>157</v>
      </c>
      <c r="C98" s="11">
        <f ca="1">+VLOOKUP($A98,INDIRECT(Adrese!C$2),2,FALSE)</f>
        <v>134</v>
      </c>
      <c r="D98" s="11">
        <f ca="1">+VLOOKUP($A98,INDIRECT(Adrese!D$2),2,FALSE)</f>
        <v>155</v>
      </c>
      <c r="E98" s="11">
        <f ca="1">+VLOOKUP($A98,INDIRECT(Adrese!E$2),2,FALSE)</f>
        <v>153</v>
      </c>
      <c r="F98" s="11">
        <f ca="1">+VLOOKUP($A98,INDIRECT(Adrese!F$2),2,FALSE)</f>
        <v>146</v>
      </c>
      <c r="G98" s="4">
        <f t="shared" ca="1" si="36"/>
        <v>149</v>
      </c>
      <c r="J98" t="s">
        <v>152</v>
      </c>
      <c r="K98">
        <f ca="1">+VLOOKUP($A98,INDIRECT(Adrese!B$2),3,FALSE)</f>
        <v>172</v>
      </c>
      <c r="L98">
        <f ca="1">+VLOOKUP($A98,INDIRECT(Adrese!C$2),3,FALSE)</f>
        <v>166</v>
      </c>
      <c r="M98">
        <f ca="1">+VLOOKUP($A98,INDIRECT(Adrese!D$2),3,FALSE)</f>
        <v>173</v>
      </c>
      <c r="N98">
        <f ca="1">+VLOOKUP($A98,INDIRECT(Adrese!E$2),3,FALSE)</f>
        <v>160</v>
      </c>
      <c r="O98">
        <f ca="1">+VLOOKUP($A98,INDIRECT(Adrese!F$2),3,FALSE)</f>
        <v>168</v>
      </c>
      <c r="P98">
        <f t="shared" ca="1" si="26"/>
        <v>839</v>
      </c>
      <c r="Q98" s="4">
        <f t="shared" ca="1" si="37"/>
        <v>167.8</v>
      </c>
      <c r="R98" s="4"/>
      <c r="T98" t="s">
        <v>152</v>
      </c>
      <c r="U98">
        <f ca="1">+VLOOKUP($T98,INDIRECT(Adrese!B$2),4,FALSE)</f>
        <v>92891</v>
      </c>
      <c r="V98">
        <f ca="1">+VLOOKUP($T98,INDIRECT(Adrese!C$2),4,FALSE)</f>
        <v>94225</v>
      </c>
      <c r="W98">
        <f ca="1">+VLOOKUP($T98,INDIRECT(Adrese!D$2),4,FALSE)</f>
        <v>93330</v>
      </c>
      <c r="X98">
        <f ca="1">+VLOOKUP($T98,INDIRECT(Adrese!E$2),4,FALSE)</f>
        <v>93477</v>
      </c>
      <c r="Y98">
        <f ca="1">+VLOOKUP($T98,INDIRECT(Adrese!F$2),4,FALSE)</f>
        <v>93714</v>
      </c>
      <c r="Z98">
        <f t="shared" ca="1" si="27"/>
        <v>467637</v>
      </c>
      <c r="AA98" s="4">
        <f t="shared" ca="1" si="38"/>
        <v>93527.4</v>
      </c>
      <c r="AC98" t="s">
        <v>152</v>
      </c>
      <c r="AD98">
        <f ca="1">+VLOOKUP($A98,INDIRECT(Adrese!B$2),5,FALSE)</f>
        <v>8617</v>
      </c>
      <c r="AE98">
        <f ca="1">+VLOOKUP($A98,INDIRECT(Adrese!C$2),5,FALSE)</f>
        <v>8557</v>
      </c>
      <c r="AF98">
        <f ca="1">+VLOOKUP($A98,INDIRECT(Adrese!D$2),5,FALSE)</f>
        <v>8791</v>
      </c>
      <c r="AG98">
        <f ca="1">+VLOOKUP($A98,INDIRECT(Adrese!E$2),5,FALSE)</f>
        <v>8703</v>
      </c>
      <c r="AH98">
        <f ca="1">+VLOOKUP($A98,INDIRECT(Adrese!F$2),5,FALSE)</f>
        <v>8682</v>
      </c>
      <c r="AI98" s="4">
        <f t="shared" ca="1" si="39"/>
        <v>8670</v>
      </c>
      <c r="AJ98" s="4"/>
      <c r="AK98" s="4"/>
      <c r="AM98" t="s">
        <v>152</v>
      </c>
      <c r="AN98" s="4">
        <f ca="1">+VLOOKUP($A98,INDIRECT(Adrese!B$2),6,FALSE)</f>
        <v>0.19015486725663719</v>
      </c>
      <c r="AO98" s="4">
        <f ca="1">+VLOOKUP($A98,INDIRECT(Adrese!C$2),6,FALSE)</f>
        <v>0.18862831858407081</v>
      </c>
      <c r="AP98" s="4">
        <f ca="1">+VLOOKUP($A98,INDIRECT(Adrese!D$2),6,FALSE)</f>
        <v>0.19371681415929201</v>
      </c>
      <c r="AQ98" s="4">
        <f ca="1">+VLOOKUP($A98,INDIRECT(Adrese!E$2),6,FALSE)</f>
        <v>0.19205752212389379</v>
      </c>
      <c r="AR98" s="4">
        <f ca="1">+VLOOKUP($A98,INDIRECT(Adrese!F$2),6,FALSE)</f>
        <v>0.19148230088495569</v>
      </c>
      <c r="AS98" s="4" t="str">
        <f t="shared" ca="1" si="28"/>
        <v>0.19 (0.00)</v>
      </c>
      <c r="AT98" s="4">
        <f t="shared" ca="1" si="40"/>
        <v>0.19120796460176989</v>
      </c>
      <c r="AU98" s="4">
        <f t="shared" ca="1" si="29"/>
        <v>1.9271041796504358E-3</v>
      </c>
      <c r="AW98" t="s">
        <v>152</v>
      </c>
      <c r="AX98" s="4">
        <f ca="1">+VLOOKUP($A98,INDIRECT(Adrese!B$2),7,FALSE)</f>
        <v>0.23893805309734509</v>
      </c>
      <c r="AY98" s="4">
        <f ca="1">+VLOOKUP($A98,INDIRECT(Adrese!C$2),7,FALSE)</f>
        <v>0.26548672566371678</v>
      </c>
      <c r="AZ98" s="4">
        <f ca="1">+VLOOKUP($A98,INDIRECT(Adrese!D$2),7,FALSE)</f>
        <v>0.23451327433628319</v>
      </c>
      <c r="BA98" s="4">
        <f ca="1">+VLOOKUP($A98,INDIRECT(Adrese!E$2),7,FALSE)</f>
        <v>0.29203539823008851</v>
      </c>
      <c r="BB98" s="4">
        <f ca="1">+VLOOKUP($A98,INDIRECT(Adrese!F$2),7,FALSE)</f>
        <v>0.25663716814159288</v>
      </c>
      <c r="BC98" s="4" t="str">
        <f t="shared" ca="1" si="30"/>
        <v>0.26 (0.02)</v>
      </c>
      <c r="BD98">
        <f t="shared" ca="1" si="41"/>
        <v>0.2575221238938053</v>
      </c>
      <c r="BE98" s="4">
        <f t="shared" ca="1" si="31"/>
        <v>2.3076822673283721E-2</v>
      </c>
      <c r="BG98" t="s">
        <v>152</v>
      </c>
      <c r="BH98" s="4">
        <f ca="1">+VLOOKUP($BG98,INDIRECT(Adrese!B$2),8,FALSE)</f>
        <v>2.708103720772579E-2</v>
      </c>
      <c r="BI98" s="4">
        <f ca="1">+VLOOKUP($BG98,INDIRECT(Adrese!C$2),8,FALSE)</f>
        <v>2.657153442733064E-2</v>
      </c>
      <c r="BJ98" s="4">
        <f ca="1">+VLOOKUP($BG98,INDIRECT(Adrese!D$2),8,FALSE)</f>
        <v>2.7336132994355281E-2</v>
      </c>
      <c r="BK98" s="4">
        <f ca="1">+VLOOKUP($BG98,INDIRECT(Adrese!E$2),8,FALSE)</f>
        <v>2.7418030657699811E-2</v>
      </c>
      <c r="BL98" s="4">
        <f ca="1">+VLOOKUP($BG98,INDIRECT(Adrese!F$2),8,FALSE)</f>
        <v>2.733488676137048E-2</v>
      </c>
      <c r="BM98" s="4" t="str">
        <f t="shared" ca="1" si="32"/>
        <v>0.03 (0.00)</v>
      </c>
      <c r="BN98" s="4">
        <f t="shared" ca="1" si="42"/>
        <v>2.71483244096964E-2</v>
      </c>
      <c r="BO98" s="4">
        <f t="shared" ca="1" si="33"/>
        <v>3.4642217273593334E-4</v>
      </c>
      <c r="BQ98" t="s">
        <v>152</v>
      </c>
      <c r="BR98" s="4">
        <f ca="1">+VLOOKUP($BG98,INDIRECT(Adrese!B$2),9,FALSE)</f>
        <v>9.9118094128951409E-2</v>
      </c>
      <c r="BS98" s="4">
        <f ca="1">+VLOOKUP($BG98,INDIRECT(Adrese!C$2),9,FALSE)</f>
        <v>9.894152030039384E-2</v>
      </c>
      <c r="BT98" s="4">
        <f ca="1">+VLOOKUP($BG98,INDIRECT(Adrese!D$2),9,FALSE)</f>
        <v>9.6504283730223059E-2</v>
      </c>
      <c r="BU98" s="4">
        <f ca="1">+VLOOKUP($BG98,INDIRECT(Adrese!E$2),9,FALSE)</f>
        <v>9.9424231596909537E-2</v>
      </c>
      <c r="BV98" s="4">
        <f ca="1">+VLOOKUP($BG98,INDIRECT(Adrese!F$2),9,FALSE)</f>
        <v>9.9483746316470001E-2</v>
      </c>
      <c r="BW98" s="4" t="str">
        <f t="shared" ca="1" si="34"/>
        <v>0.10 (0.00)</v>
      </c>
      <c r="BX98" s="4">
        <f t="shared" ca="1" si="43"/>
        <v>9.8694375214589569E-2</v>
      </c>
      <c r="BY98" s="4">
        <f t="shared" ca="1" si="35"/>
        <v>1.2442785255939483E-3</v>
      </c>
    </row>
    <row r="99" spans="1:77" x14ac:dyDescent="0.25">
      <c r="A99" t="s">
        <v>153</v>
      </c>
      <c r="B99" s="11">
        <f ca="1">+VLOOKUP($A99,INDIRECT(Adrese!B$2),2,FALSE)</f>
        <v>141</v>
      </c>
      <c r="C99" s="11">
        <f ca="1">+VLOOKUP($A99,INDIRECT(Adrese!C$2),2,FALSE)</f>
        <v>107</v>
      </c>
      <c r="D99" s="11">
        <f ca="1">+VLOOKUP($A99,INDIRECT(Adrese!D$2),2,FALSE)</f>
        <v>111</v>
      </c>
      <c r="E99" s="11">
        <f ca="1">+VLOOKUP($A99,INDIRECT(Adrese!E$2),2,FALSE)</f>
        <v>79</v>
      </c>
      <c r="F99" s="11">
        <f ca="1">+VLOOKUP($A99,INDIRECT(Adrese!F$2),2,FALSE)</f>
        <v>88</v>
      </c>
      <c r="G99" s="4">
        <f t="shared" ca="1" si="36"/>
        <v>105.2</v>
      </c>
      <c r="J99" t="s">
        <v>153</v>
      </c>
      <c r="K99">
        <f ca="1">+VLOOKUP($A99,INDIRECT(Adrese!B$2),3,FALSE)</f>
        <v>79</v>
      </c>
      <c r="L99">
        <f ca="1">+VLOOKUP($A99,INDIRECT(Adrese!C$2),3,FALSE)</f>
        <v>85</v>
      </c>
      <c r="M99">
        <f ca="1">+VLOOKUP($A99,INDIRECT(Adrese!D$2),3,FALSE)</f>
        <v>86</v>
      </c>
      <c r="N99">
        <f ca="1">+VLOOKUP($A99,INDIRECT(Adrese!E$2),3,FALSE)</f>
        <v>81</v>
      </c>
      <c r="O99">
        <f ca="1">+VLOOKUP($A99,INDIRECT(Adrese!F$2),3,FALSE)</f>
        <v>85</v>
      </c>
      <c r="P99">
        <f t="shared" ca="1" si="26"/>
        <v>416</v>
      </c>
      <c r="Q99" s="4">
        <f t="shared" ca="1" si="37"/>
        <v>83.2</v>
      </c>
      <c r="R99" s="4"/>
      <c r="T99" t="s">
        <v>153</v>
      </c>
      <c r="U99">
        <f ca="1">+VLOOKUP($T99,INDIRECT(Adrese!B$2),4,FALSE)</f>
        <v>93908</v>
      </c>
      <c r="V99">
        <f ca="1">+VLOOKUP($T99,INDIRECT(Adrese!C$2),4,FALSE)</f>
        <v>95367</v>
      </c>
      <c r="W99">
        <f ca="1">+VLOOKUP($T99,INDIRECT(Adrese!D$2),4,FALSE)</f>
        <v>95497</v>
      </c>
      <c r="X99">
        <f ca="1">+VLOOKUP($T99,INDIRECT(Adrese!E$2),4,FALSE)</f>
        <v>96489</v>
      </c>
      <c r="Y99">
        <f ca="1">+VLOOKUP($T99,INDIRECT(Adrese!F$2),4,FALSE)</f>
        <v>95981</v>
      </c>
      <c r="Z99">
        <f t="shared" ca="1" si="27"/>
        <v>477242</v>
      </c>
      <c r="AA99" s="4">
        <f t="shared" ca="1" si="38"/>
        <v>95448.4</v>
      </c>
      <c r="AC99" t="s">
        <v>153</v>
      </c>
      <c r="AD99">
        <f ca="1">+VLOOKUP($A99,INDIRECT(Adrese!B$2),5,FALSE)</f>
        <v>23647</v>
      </c>
      <c r="AE99">
        <f ca="1">+VLOOKUP($A99,INDIRECT(Adrese!C$2),5,FALSE)</f>
        <v>23873</v>
      </c>
      <c r="AF99">
        <f ca="1">+VLOOKUP($A99,INDIRECT(Adrese!D$2),5,FALSE)</f>
        <v>23763</v>
      </c>
      <c r="AG99">
        <f ca="1">+VLOOKUP($A99,INDIRECT(Adrese!E$2),5,FALSE)</f>
        <v>24279</v>
      </c>
      <c r="AH99">
        <f ca="1">+VLOOKUP($A99,INDIRECT(Adrese!F$2),5,FALSE)</f>
        <v>24174</v>
      </c>
      <c r="AI99" s="4">
        <f t="shared" ca="1" si="39"/>
        <v>23947.200000000001</v>
      </c>
      <c r="AJ99" s="4"/>
      <c r="AK99" s="4"/>
      <c r="AM99" t="s">
        <v>153</v>
      </c>
      <c r="AN99" s="4">
        <f ca="1">+VLOOKUP($A99,INDIRECT(Adrese!B$2),6,FALSE)</f>
        <v>0.52019911504424776</v>
      </c>
      <c r="AO99" s="4">
        <f ca="1">+VLOOKUP($A99,INDIRECT(Adrese!C$2),6,FALSE)</f>
        <v>0.52665929203539819</v>
      </c>
      <c r="AP99" s="4">
        <f ca="1">+VLOOKUP($A99,INDIRECT(Adrese!D$2),6,FALSE)</f>
        <v>0.5223893805309735</v>
      </c>
      <c r="AQ99" s="4">
        <f ca="1">+VLOOKUP($A99,INDIRECT(Adrese!E$2),6,FALSE)</f>
        <v>0.53424778761061942</v>
      </c>
      <c r="AR99" s="4">
        <f ca="1">+VLOOKUP($A99,INDIRECT(Adrese!F$2),6,FALSE)</f>
        <v>0.53181415929203535</v>
      </c>
      <c r="AS99" s="4" t="str">
        <f t="shared" ca="1" si="28"/>
        <v>0.53 (0.01)</v>
      </c>
      <c r="AT99" s="4">
        <f t="shared" ca="1" si="40"/>
        <v>0.52706194690265484</v>
      </c>
      <c r="AU99" s="4">
        <f t="shared" ca="1" si="29"/>
        <v>5.9856766081764394E-3</v>
      </c>
      <c r="AW99" t="s">
        <v>153</v>
      </c>
      <c r="AX99" s="4">
        <f ca="1">+VLOOKUP($A99,INDIRECT(Adrese!B$2),7,FALSE)</f>
        <v>0.65044247787610621</v>
      </c>
      <c r="AY99" s="4">
        <f ca="1">+VLOOKUP($A99,INDIRECT(Adrese!C$2),7,FALSE)</f>
        <v>0.62389380530973448</v>
      </c>
      <c r="AZ99" s="4">
        <f ca="1">+VLOOKUP($A99,INDIRECT(Adrese!D$2),7,FALSE)</f>
        <v>0.61946902654867253</v>
      </c>
      <c r="BA99" s="4">
        <f ca="1">+VLOOKUP($A99,INDIRECT(Adrese!E$2),7,FALSE)</f>
        <v>0.6415929203539823</v>
      </c>
      <c r="BB99" s="4">
        <f ca="1">+VLOOKUP($A99,INDIRECT(Adrese!F$2),7,FALSE)</f>
        <v>0.62389380530973448</v>
      </c>
      <c r="BC99" s="4" t="str">
        <f t="shared" ca="1" si="30"/>
        <v>0.63 (0.01)</v>
      </c>
      <c r="BD99">
        <f t="shared" ca="1" si="41"/>
        <v>0.63185840707964602</v>
      </c>
      <c r="BE99" s="4">
        <f t="shared" ca="1" si="31"/>
        <v>1.3421018485047013E-2</v>
      </c>
      <c r="BG99" t="s">
        <v>153</v>
      </c>
      <c r="BH99" s="4">
        <f ca="1">+VLOOKUP($BG99,INDIRECT(Adrese!B$2),8,FALSE)</f>
        <v>7.4728048176402259E-2</v>
      </c>
      <c r="BI99" s="4">
        <f ca="1">+VLOOKUP($BG99,INDIRECT(Adrese!C$2),8,FALSE)</f>
        <v>7.5061484180195301E-2</v>
      </c>
      <c r="BJ99" s="4">
        <f ca="1">+VLOOKUP($BG99,INDIRECT(Adrese!D$2),8,FALSE)</f>
        <v>7.5098055379070078E-2</v>
      </c>
      <c r="BK99" s="4">
        <f ca="1">+VLOOKUP($BG99,INDIRECT(Adrese!E$2),8,FALSE)</f>
        <v>7.6441125548482577E-2</v>
      </c>
      <c r="BL99" s="4">
        <f ca="1">+VLOOKUP($BG99,INDIRECT(Adrese!F$2),8,FALSE)</f>
        <v>7.5958293747040731E-2</v>
      </c>
      <c r="BM99" s="4" t="str">
        <f t="shared" ca="1" si="32"/>
        <v>0.08 (0.00)</v>
      </c>
      <c r="BN99" s="4">
        <f t="shared" ca="1" si="42"/>
        <v>7.5457401406238189E-2</v>
      </c>
      <c r="BO99" s="4">
        <f t="shared" ca="1" si="33"/>
        <v>7.1351987990878898E-4</v>
      </c>
      <c r="BQ99" t="s">
        <v>153</v>
      </c>
      <c r="BR99" s="4">
        <f ca="1">+VLOOKUP($BG99,INDIRECT(Adrese!B$2),9,FALSE)</f>
        <v>4.0474146823949508E-2</v>
      </c>
      <c r="BS99" s="4">
        <f ca="1">+VLOOKUP($BG99,INDIRECT(Adrese!C$2),9,FALSE)</f>
        <v>3.8856280258446931E-2</v>
      </c>
      <c r="BT99" s="4">
        <f ca="1">+VLOOKUP($BG99,INDIRECT(Adrese!D$2),9,FALSE)</f>
        <v>3.5497600693527483E-2</v>
      </c>
      <c r="BU99" s="4">
        <f ca="1">+VLOOKUP($BG99,INDIRECT(Adrese!E$2),9,FALSE)</f>
        <v>3.5367439602201123E-2</v>
      </c>
      <c r="BV99" s="4">
        <f ca="1">+VLOOKUP($BG99,INDIRECT(Adrese!F$2),9,FALSE)</f>
        <v>3.4192686421289538E-2</v>
      </c>
      <c r="BW99" s="4" t="str">
        <f t="shared" ca="1" si="34"/>
        <v>0.04 (0.00)</v>
      </c>
      <c r="BX99" s="4">
        <f t="shared" ca="1" si="43"/>
        <v>3.6877630759882915E-2</v>
      </c>
      <c r="BY99" s="4">
        <f t="shared" ca="1" si="35"/>
        <v>2.6572574233307998E-3</v>
      </c>
    </row>
    <row r="100" spans="1:77" x14ac:dyDescent="0.25">
      <c r="A100" t="s">
        <v>154</v>
      </c>
      <c r="B100" s="11">
        <f ca="1">+VLOOKUP($A100,INDIRECT(Adrese!B$2),2,FALSE)</f>
        <v>53</v>
      </c>
      <c r="C100" s="11">
        <f ca="1">+VLOOKUP($A100,INDIRECT(Adrese!C$2),2,FALSE)</f>
        <v>84</v>
      </c>
      <c r="D100" s="11">
        <f ca="1">+VLOOKUP($A100,INDIRECT(Adrese!D$2),2,FALSE)</f>
        <v>73</v>
      </c>
      <c r="E100" s="11">
        <f ca="1">+VLOOKUP($A100,INDIRECT(Adrese!E$2),2,FALSE)</f>
        <v>108</v>
      </c>
      <c r="F100" s="11">
        <f ca="1">+VLOOKUP($A100,INDIRECT(Adrese!F$2),2,FALSE)</f>
        <v>47</v>
      </c>
      <c r="G100" s="4">
        <f t="shared" ca="1" si="36"/>
        <v>73</v>
      </c>
      <c r="J100" t="s">
        <v>154</v>
      </c>
      <c r="K100">
        <f ca="1">+VLOOKUP($A100,INDIRECT(Adrese!B$2),3,FALSE)</f>
        <v>34</v>
      </c>
      <c r="L100">
        <f ca="1">+VLOOKUP($A100,INDIRECT(Adrese!C$2),3,FALSE)</f>
        <v>25</v>
      </c>
      <c r="M100">
        <f ca="1">+VLOOKUP($A100,INDIRECT(Adrese!D$2),3,FALSE)</f>
        <v>24</v>
      </c>
      <c r="N100">
        <f ca="1">+VLOOKUP($A100,INDIRECT(Adrese!E$2),3,FALSE)</f>
        <v>26</v>
      </c>
      <c r="O100">
        <f ca="1">+VLOOKUP($A100,INDIRECT(Adrese!F$2),3,FALSE)</f>
        <v>33</v>
      </c>
      <c r="P100">
        <f t="shared" ca="1" si="26"/>
        <v>142</v>
      </c>
      <c r="Q100" s="4">
        <f t="shared" ca="1" si="37"/>
        <v>28.4</v>
      </c>
      <c r="R100" s="4"/>
      <c r="T100" t="s">
        <v>154</v>
      </c>
      <c r="U100">
        <f ca="1">+VLOOKUP($T100,INDIRECT(Adrese!B$2),4,FALSE)</f>
        <v>97465</v>
      </c>
      <c r="V100">
        <f ca="1">+VLOOKUP($T100,INDIRECT(Adrese!C$2),4,FALSE)</f>
        <v>95999</v>
      </c>
      <c r="W100">
        <f ca="1">+VLOOKUP($T100,INDIRECT(Adrese!D$2),4,FALSE)</f>
        <v>96595</v>
      </c>
      <c r="X100">
        <f ca="1">+VLOOKUP($T100,INDIRECT(Adrese!E$2),4,FALSE)</f>
        <v>95331</v>
      </c>
      <c r="Y100">
        <f ca="1">+VLOOKUP($T100,INDIRECT(Adrese!F$2),4,FALSE)</f>
        <v>97646</v>
      </c>
      <c r="Z100">
        <f t="shared" ca="1" si="27"/>
        <v>483036</v>
      </c>
      <c r="AA100" s="4">
        <f t="shared" ca="1" si="38"/>
        <v>96607.2</v>
      </c>
      <c r="AC100" t="s">
        <v>154</v>
      </c>
      <c r="AD100">
        <f ca="1">+VLOOKUP($A100,INDIRECT(Adrese!B$2),5,FALSE)</f>
        <v>27357</v>
      </c>
      <c r="AE100">
        <f ca="1">+VLOOKUP($A100,INDIRECT(Adrese!C$2),5,FALSE)</f>
        <v>26906</v>
      </c>
      <c r="AF100">
        <f ca="1">+VLOOKUP($A100,INDIRECT(Adrese!D$2),5,FALSE)</f>
        <v>27269</v>
      </c>
      <c r="AG100">
        <f ca="1">+VLOOKUP($A100,INDIRECT(Adrese!E$2),5,FALSE)</f>
        <v>26466</v>
      </c>
      <c r="AH100">
        <f ca="1">+VLOOKUP($A100,INDIRECT(Adrese!F$2),5,FALSE)</f>
        <v>27567</v>
      </c>
      <c r="AI100" s="4">
        <f t="shared" ca="1" si="39"/>
        <v>27113</v>
      </c>
      <c r="AJ100" s="4"/>
      <c r="AK100" s="4"/>
      <c r="AM100" t="s">
        <v>154</v>
      </c>
      <c r="AN100" s="4">
        <f ca="1">+VLOOKUP($A100,INDIRECT(Adrese!B$2),6,FALSE)</f>
        <v>0.601858407079646</v>
      </c>
      <c r="AO100" s="4">
        <f ca="1">+VLOOKUP($A100,INDIRECT(Adrese!C$2),6,FALSE)</f>
        <v>0.59110619469026549</v>
      </c>
      <c r="AP100" s="4">
        <f ca="1">+VLOOKUP($A100,INDIRECT(Adrese!D$2),6,FALSE)</f>
        <v>0.59957964601769909</v>
      </c>
      <c r="AQ100" s="4">
        <f ca="1">+VLOOKUP($A100,INDIRECT(Adrese!E$2),6,FALSE)</f>
        <v>0.58232300884955757</v>
      </c>
      <c r="AR100" s="4">
        <f ca="1">+VLOOKUP($A100,INDIRECT(Adrese!F$2),6,FALSE)</f>
        <v>0.6065044247787611</v>
      </c>
      <c r="AS100" s="4" t="str">
        <f t="shared" ca="1" si="28"/>
        <v>0.60 (0.01)</v>
      </c>
      <c r="AT100" s="4">
        <f t="shared" ca="1" si="40"/>
        <v>0.59627433628318594</v>
      </c>
      <c r="AU100" s="4">
        <f t="shared" ca="1" si="29"/>
        <v>9.5931076092816581E-3</v>
      </c>
      <c r="AW100" t="s">
        <v>154</v>
      </c>
      <c r="AX100" s="4">
        <f ca="1">+VLOOKUP($A100,INDIRECT(Adrese!B$2),7,FALSE)</f>
        <v>0.84955752212389379</v>
      </c>
      <c r="AY100" s="4">
        <f ca="1">+VLOOKUP($A100,INDIRECT(Adrese!C$2),7,FALSE)</f>
        <v>0.88938053097345138</v>
      </c>
      <c r="AZ100" s="4">
        <f ca="1">+VLOOKUP($A100,INDIRECT(Adrese!D$2),7,FALSE)</f>
        <v>0.89380530973451322</v>
      </c>
      <c r="BA100" s="4">
        <f ca="1">+VLOOKUP($A100,INDIRECT(Adrese!E$2),7,FALSE)</f>
        <v>0.88495575221238942</v>
      </c>
      <c r="BB100" s="4">
        <f ca="1">+VLOOKUP($A100,INDIRECT(Adrese!F$2),7,FALSE)</f>
        <v>0.85398230088495575</v>
      </c>
      <c r="BC100" s="4" t="str">
        <f t="shared" ca="1" si="30"/>
        <v>0.87 (0.02)</v>
      </c>
      <c r="BD100">
        <f t="shared" ca="1" si="41"/>
        <v>0.87433628318584078</v>
      </c>
      <c r="BE100" s="4">
        <f t="shared" ca="1" si="31"/>
        <v>2.0895077793128495E-2</v>
      </c>
      <c r="BG100" t="s">
        <v>154</v>
      </c>
      <c r="BH100" s="4">
        <f ca="1">+VLOOKUP($BG100,INDIRECT(Adrese!B$2),8,FALSE)</f>
        <v>8.782693304966914E-2</v>
      </c>
      <c r="BI100" s="4">
        <f ca="1">+VLOOKUP($BG100,INDIRECT(Adrese!C$2),8,FALSE)</f>
        <v>8.6475061326821673E-2</v>
      </c>
      <c r="BJ100" s="4">
        <f ca="1">+VLOOKUP($BG100,INDIRECT(Adrese!D$2),8,FALSE)</f>
        <v>8.7904272194244557E-2</v>
      </c>
      <c r="BK100" s="4">
        <f ca="1">+VLOOKUP($BG100,INDIRECT(Adrese!E$2),8,FALSE)</f>
        <v>8.5662126769195254E-2</v>
      </c>
      <c r="BL100" s="4">
        <f ca="1">+VLOOKUP($BG100,INDIRECT(Adrese!F$2),8,FALSE)</f>
        <v>8.8470139546965199E-2</v>
      </c>
      <c r="BM100" s="4" t="str">
        <f t="shared" ca="1" si="32"/>
        <v>0.09 (0.00)</v>
      </c>
      <c r="BN100" s="4">
        <f t="shared" ca="1" si="42"/>
        <v>8.7267706577379173E-2</v>
      </c>
      <c r="BO100" s="4">
        <f t="shared" ca="1" si="33"/>
        <v>1.1586595802814373E-3</v>
      </c>
      <c r="BQ100" t="s">
        <v>154</v>
      </c>
      <c r="BR100" s="4">
        <f ca="1">+VLOOKUP($BG100,INDIRECT(Adrese!B$2),9,FALSE)</f>
        <v>2.9149249170010359E-2</v>
      </c>
      <c r="BS100" s="4">
        <f ca="1">+VLOOKUP($BG100,INDIRECT(Adrese!C$2),9,FALSE)</f>
        <v>3.3459247380902953E-2</v>
      </c>
      <c r="BT100" s="4">
        <f ca="1">+VLOOKUP($BG100,INDIRECT(Adrese!D$2),9,FALSE)</f>
        <v>3.1306159037075683E-2</v>
      </c>
      <c r="BU100" s="4">
        <f ca="1">+VLOOKUP($BG100,INDIRECT(Adrese!E$2),9,FALSE)</f>
        <v>3.6695085212466089E-2</v>
      </c>
      <c r="BV100" s="4">
        <f ca="1">+VLOOKUP($BG100,INDIRECT(Adrese!F$2),9,FALSE)</f>
        <v>2.5685994179868291E-2</v>
      </c>
      <c r="BW100" s="4" t="str">
        <f t="shared" ca="1" si="34"/>
        <v>0.03 (0.00)</v>
      </c>
      <c r="BX100" s="4">
        <f t="shared" ca="1" si="43"/>
        <v>3.1259146996064677E-2</v>
      </c>
      <c r="BY100" s="4">
        <f t="shared" ca="1" si="35"/>
        <v>4.1804239401335057E-3</v>
      </c>
    </row>
    <row r="101" spans="1:77" x14ac:dyDescent="0.25">
      <c r="A101" t="s">
        <v>155</v>
      </c>
      <c r="B101" s="11">
        <f ca="1">+VLOOKUP($A101,INDIRECT(Adrese!B$2),2,FALSE)</f>
        <v>33</v>
      </c>
      <c r="C101" s="11">
        <f ca="1">+VLOOKUP($A101,INDIRECT(Adrese!C$2),2,FALSE)</f>
        <v>34</v>
      </c>
      <c r="D101" s="11">
        <f ca="1">+VLOOKUP($A101,INDIRECT(Adrese!D$2),2,FALSE)</f>
        <v>32</v>
      </c>
      <c r="E101" s="11">
        <f ca="1">+VLOOKUP($A101,INDIRECT(Adrese!E$2),2,FALSE)</f>
        <v>28</v>
      </c>
      <c r="F101" s="11">
        <f ca="1">+VLOOKUP($A101,INDIRECT(Adrese!F$2),2,FALSE)</f>
        <v>52</v>
      </c>
      <c r="G101" s="4">
        <f t="shared" ca="1" si="36"/>
        <v>35.799999999999997</v>
      </c>
      <c r="J101" t="s">
        <v>155</v>
      </c>
      <c r="K101">
        <f ca="1">+VLOOKUP($A101,INDIRECT(Adrese!B$2),3,FALSE)</f>
        <v>70</v>
      </c>
      <c r="L101">
        <f ca="1">+VLOOKUP($A101,INDIRECT(Adrese!C$2),3,FALSE)</f>
        <v>72</v>
      </c>
      <c r="M101">
        <f ca="1">+VLOOKUP($A101,INDIRECT(Adrese!D$2),3,FALSE)</f>
        <v>72</v>
      </c>
      <c r="N101">
        <f ca="1">+VLOOKUP($A101,INDIRECT(Adrese!E$2),3,FALSE)</f>
        <v>76</v>
      </c>
      <c r="O101">
        <f ca="1">+VLOOKUP($A101,INDIRECT(Adrese!F$2),3,FALSE)</f>
        <v>77</v>
      </c>
      <c r="P101">
        <f t="shared" ca="1" si="26"/>
        <v>367</v>
      </c>
      <c r="Q101" s="4">
        <f t="shared" ca="1" si="37"/>
        <v>73.400000000000006</v>
      </c>
      <c r="R101" s="4"/>
      <c r="T101" t="s">
        <v>155</v>
      </c>
      <c r="U101">
        <f ca="1">+VLOOKUP($T101,INDIRECT(Adrese!B$2),4,FALSE)</f>
        <v>98490</v>
      </c>
      <c r="V101">
        <f ca="1">+VLOOKUP($T101,INDIRECT(Adrese!C$2),4,FALSE)</f>
        <v>98415</v>
      </c>
      <c r="W101">
        <f ca="1">+VLOOKUP($T101,INDIRECT(Adrese!D$2),4,FALSE)</f>
        <v>98361</v>
      </c>
      <c r="X101">
        <f ca="1">+VLOOKUP($T101,INDIRECT(Adrese!E$2),4,FALSE)</f>
        <v>98970</v>
      </c>
      <c r="Y101">
        <f ca="1">+VLOOKUP($T101,INDIRECT(Adrese!F$2),4,FALSE)</f>
        <v>97562</v>
      </c>
      <c r="Z101">
        <f t="shared" ca="1" si="27"/>
        <v>491798</v>
      </c>
      <c r="AA101" s="4">
        <f t="shared" ca="1" si="38"/>
        <v>98359.6</v>
      </c>
      <c r="AC101" t="s">
        <v>155</v>
      </c>
      <c r="AD101">
        <f ca="1">+VLOOKUP($A101,INDIRECT(Adrese!B$2),5,FALSE)</f>
        <v>26209</v>
      </c>
      <c r="AE101">
        <f ca="1">+VLOOKUP($A101,INDIRECT(Adrese!C$2),5,FALSE)</f>
        <v>26302</v>
      </c>
      <c r="AF101">
        <f ca="1">+VLOOKUP($A101,INDIRECT(Adrese!D$2),5,FALSE)</f>
        <v>26236</v>
      </c>
      <c r="AG101">
        <f ca="1">+VLOOKUP($A101,INDIRECT(Adrese!E$2),5,FALSE)</f>
        <v>26217</v>
      </c>
      <c r="AH101">
        <f ca="1">+VLOOKUP($A101,INDIRECT(Adrese!F$2),5,FALSE)</f>
        <v>25266</v>
      </c>
      <c r="AI101" s="4">
        <f t="shared" ca="1" si="39"/>
        <v>26046</v>
      </c>
      <c r="AJ101" s="4"/>
      <c r="AK101" s="4"/>
      <c r="AM101" t="s">
        <v>155</v>
      </c>
      <c r="AN101" s="4">
        <f ca="1">+VLOOKUP($A101,INDIRECT(Adrese!B$2),6,FALSE)</f>
        <v>0.57581858407079645</v>
      </c>
      <c r="AO101" s="4">
        <f ca="1">+VLOOKUP($A101,INDIRECT(Adrese!C$2),6,FALSE)</f>
        <v>0.57796460176991149</v>
      </c>
      <c r="AP101" s="4">
        <f ca="1">+VLOOKUP($A101,INDIRECT(Adrese!D$2),6,FALSE)</f>
        <v>0.57632743362831862</v>
      </c>
      <c r="AQ101" s="4">
        <f ca="1">+VLOOKUP($A101,INDIRECT(Adrese!E$2),6,FALSE)</f>
        <v>0.57626106194690263</v>
      </c>
      <c r="AR101" s="4">
        <f ca="1">+VLOOKUP($A101,INDIRECT(Adrese!F$2),6,FALSE)</f>
        <v>0.55495575221238935</v>
      </c>
      <c r="AS101" s="4" t="str">
        <f t="shared" ca="1" si="28"/>
        <v>0.57 (0.01)</v>
      </c>
      <c r="AT101" s="4">
        <f t="shared" ca="1" si="40"/>
        <v>0.5722654867256638</v>
      </c>
      <c r="AU101" s="4">
        <f t="shared" ca="1" si="29"/>
        <v>9.7107589294061925E-3</v>
      </c>
      <c r="AW101" t="s">
        <v>155</v>
      </c>
      <c r="AX101" s="4">
        <f ca="1">+VLOOKUP($A101,INDIRECT(Adrese!B$2),7,FALSE)</f>
        <v>0.69026548672566368</v>
      </c>
      <c r="AY101" s="4">
        <f ca="1">+VLOOKUP($A101,INDIRECT(Adrese!C$2),7,FALSE)</f>
        <v>0.68141592920353977</v>
      </c>
      <c r="AZ101" s="4">
        <f ca="1">+VLOOKUP($A101,INDIRECT(Adrese!D$2),7,FALSE)</f>
        <v>0.68141592920353977</v>
      </c>
      <c r="BA101" s="4">
        <f ca="1">+VLOOKUP($A101,INDIRECT(Adrese!E$2),7,FALSE)</f>
        <v>0.66371681415929207</v>
      </c>
      <c r="BB101" s="4">
        <f ca="1">+VLOOKUP($A101,INDIRECT(Adrese!F$2),7,FALSE)</f>
        <v>0.65929203539823011</v>
      </c>
      <c r="BC101" s="4" t="str">
        <f t="shared" ca="1" si="30"/>
        <v>0.68 (0.01)</v>
      </c>
      <c r="BD101">
        <f t="shared" ca="1" si="41"/>
        <v>0.67522123893805297</v>
      </c>
      <c r="BE101" s="4">
        <f t="shared" ca="1" si="31"/>
        <v>1.3126015021408215E-2</v>
      </c>
      <c r="BG101" t="s">
        <v>155</v>
      </c>
      <c r="BH101" s="4">
        <f ca="1">+VLOOKUP($BG101,INDIRECT(Adrese!B$2),8,FALSE)</f>
        <v>8.6005589225699258E-2</v>
      </c>
      <c r="BI101" s="4">
        <f ca="1">+VLOOKUP($BG101,INDIRECT(Adrese!C$2),8,FALSE)</f>
        <v>8.6481390602244454E-2</v>
      </c>
      <c r="BJ101" s="4">
        <f ca="1">+VLOOKUP($BG101,INDIRECT(Adrese!D$2),8,FALSE)</f>
        <v>8.6463264468732801E-2</v>
      </c>
      <c r="BK101" s="4">
        <f ca="1">+VLOOKUP($BG101,INDIRECT(Adrese!E$2),8,FALSE)</f>
        <v>8.6185828353195687E-2</v>
      </c>
      <c r="BL101" s="4">
        <f ca="1">+VLOOKUP($BG101,INDIRECT(Adrese!F$2),8,FALSE)</f>
        <v>8.3793826113578954E-2</v>
      </c>
      <c r="BM101" s="4" t="str">
        <f t="shared" ca="1" si="32"/>
        <v>0.09 (0.00)</v>
      </c>
      <c r="BN101" s="4">
        <f t="shared" ca="1" si="42"/>
        <v>8.5785979752690228E-2</v>
      </c>
      <c r="BO101" s="4">
        <f t="shared" ca="1" si="33"/>
        <v>1.1312707657816022E-3</v>
      </c>
      <c r="BQ101" t="s">
        <v>155</v>
      </c>
      <c r="BR101" s="4">
        <f ca="1">+VLOOKUP($BG101,INDIRECT(Adrese!B$2),9,FALSE)</f>
        <v>3.8014349436783813E-2</v>
      </c>
      <c r="BS101" s="4">
        <f ca="1">+VLOOKUP($BG101,INDIRECT(Adrese!C$2),9,FALSE)</f>
        <v>4.0383703936345029E-2</v>
      </c>
      <c r="BT101" s="4">
        <f ca="1">+VLOOKUP($BG101,INDIRECT(Adrese!D$2),9,FALSE)</f>
        <v>4.2686637456998452E-2</v>
      </c>
      <c r="BU101" s="4">
        <f ca="1">+VLOOKUP($BG101,INDIRECT(Adrese!E$2),9,FALSE)</f>
        <v>3.5934684080729112E-2</v>
      </c>
      <c r="BV101" s="4">
        <f ca="1">+VLOOKUP($BG101,INDIRECT(Adrese!F$2),9,FALSE)</f>
        <v>4.8480089193109407E-2</v>
      </c>
      <c r="BW101" s="4" t="str">
        <f t="shared" ca="1" si="34"/>
        <v>0.04 (0.00)</v>
      </c>
      <c r="BX101" s="4">
        <f t="shared" ca="1" si="43"/>
        <v>4.1099892820793162E-2</v>
      </c>
      <c r="BY101" s="4">
        <f t="shared" ca="1" si="35"/>
        <v>4.8398848864337962E-3</v>
      </c>
    </row>
    <row r="102" spans="1:77" x14ac:dyDescent="0.25">
      <c r="A102" t="s">
        <v>156</v>
      </c>
      <c r="B102" s="11">
        <f ca="1">+VLOOKUP($A102,INDIRECT(Adrese!B$2),2,FALSE)</f>
        <v>155</v>
      </c>
      <c r="C102" s="11">
        <f ca="1">+VLOOKUP($A102,INDIRECT(Adrese!C$2),2,FALSE)</f>
        <v>162</v>
      </c>
      <c r="D102" s="11">
        <f ca="1">+VLOOKUP($A102,INDIRECT(Adrese!D$2),2,FALSE)</f>
        <v>138</v>
      </c>
      <c r="E102" s="11">
        <f ca="1">+VLOOKUP($A102,INDIRECT(Adrese!E$2),2,FALSE)</f>
        <v>164</v>
      </c>
      <c r="F102" s="11">
        <f ca="1">+VLOOKUP($A102,INDIRECT(Adrese!F$2),2,FALSE)</f>
        <v>162</v>
      </c>
      <c r="G102" s="4">
        <f t="shared" ca="1" si="36"/>
        <v>156.19999999999999</v>
      </c>
      <c r="J102" t="s">
        <v>156</v>
      </c>
      <c r="K102">
        <f ca="1">+VLOOKUP($A102,INDIRECT(Adrese!B$2),3,FALSE)</f>
        <v>159</v>
      </c>
      <c r="L102">
        <f ca="1">+VLOOKUP($A102,INDIRECT(Adrese!C$2),3,FALSE)</f>
        <v>166</v>
      </c>
      <c r="M102">
        <f ca="1">+VLOOKUP($A102,INDIRECT(Adrese!D$2),3,FALSE)</f>
        <v>157</v>
      </c>
      <c r="N102">
        <f ca="1">+VLOOKUP($A102,INDIRECT(Adrese!E$2),3,FALSE)</f>
        <v>178</v>
      </c>
      <c r="O102">
        <f ca="1">+VLOOKUP($A102,INDIRECT(Adrese!F$2),3,FALSE)</f>
        <v>155</v>
      </c>
      <c r="P102">
        <f t="shared" ca="1" si="26"/>
        <v>815</v>
      </c>
      <c r="Q102" s="4">
        <f t="shared" ca="1" si="37"/>
        <v>163</v>
      </c>
      <c r="R102" s="4"/>
      <c r="T102" t="s">
        <v>156</v>
      </c>
      <c r="U102">
        <f ca="1">+VLOOKUP($T102,INDIRECT(Adrese!B$2),4,FALSE)</f>
        <v>93076</v>
      </c>
      <c r="V102">
        <f ca="1">+VLOOKUP($T102,INDIRECT(Adrese!C$2),4,FALSE)</f>
        <v>92876</v>
      </c>
      <c r="W102">
        <f ca="1">+VLOOKUP($T102,INDIRECT(Adrese!D$2),4,FALSE)</f>
        <v>94076</v>
      </c>
      <c r="X102">
        <f ca="1">+VLOOKUP($T102,INDIRECT(Adrese!E$2),4,FALSE)</f>
        <v>92546</v>
      </c>
      <c r="Y102">
        <f ca="1">+VLOOKUP($T102,INDIRECT(Adrese!F$2),4,FALSE)</f>
        <v>92906</v>
      </c>
      <c r="Z102">
        <f t="shared" ca="1" si="27"/>
        <v>465480</v>
      </c>
      <c r="AA102" s="4">
        <f t="shared" ca="1" si="38"/>
        <v>93096</v>
      </c>
      <c r="AC102" t="s">
        <v>156</v>
      </c>
      <c r="AD102">
        <f ca="1">+VLOOKUP($A102,INDIRECT(Adrese!B$2),5,FALSE)</f>
        <v>15609</v>
      </c>
      <c r="AE102">
        <f ca="1">+VLOOKUP($A102,INDIRECT(Adrese!C$2),5,FALSE)</f>
        <v>15668</v>
      </c>
      <c r="AF102">
        <f ca="1">+VLOOKUP($A102,INDIRECT(Adrese!D$2),5,FALSE)</f>
        <v>16765</v>
      </c>
      <c r="AG102">
        <f ca="1">+VLOOKUP($A102,INDIRECT(Adrese!E$2),5,FALSE)</f>
        <v>15342</v>
      </c>
      <c r="AH102">
        <f ca="1">+VLOOKUP($A102,INDIRECT(Adrese!F$2),5,FALSE)</f>
        <v>16439</v>
      </c>
      <c r="AI102" s="4">
        <f t="shared" ca="1" si="39"/>
        <v>15964.6</v>
      </c>
      <c r="AJ102" s="4"/>
      <c r="AK102" s="4"/>
      <c r="AM102" t="s">
        <v>156</v>
      </c>
      <c r="AN102" s="4">
        <f ca="1">+VLOOKUP($A102,INDIRECT(Adrese!B$2),6,FALSE)</f>
        <v>0.34475663716814159</v>
      </c>
      <c r="AO102" s="4">
        <f ca="1">+VLOOKUP($A102,INDIRECT(Adrese!C$2),6,FALSE)</f>
        <v>0.34612831858407078</v>
      </c>
      <c r="AP102" s="4">
        <f ca="1">+VLOOKUP($A102,INDIRECT(Adrese!D$2),6,FALSE)</f>
        <v>0.36995575221238941</v>
      </c>
      <c r="AQ102" s="4">
        <f ca="1">+VLOOKUP($A102,INDIRECT(Adrese!E$2),6,FALSE)</f>
        <v>0.33772123893805311</v>
      </c>
      <c r="AR102" s="4">
        <f ca="1">+VLOOKUP($A102,INDIRECT(Adrese!F$2),6,FALSE)</f>
        <v>0.3620575221238938</v>
      </c>
      <c r="AS102" s="4" t="str">
        <f t="shared" ca="1" si="28"/>
        <v>0.35 (0.01)</v>
      </c>
      <c r="AT102" s="4">
        <f t="shared" ca="1" si="40"/>
        <v>0.35212389380530973</v>
      </c>
      <c r="AU102" s="4">
        <f t="shared" ca="1" si="29"/>
        <v>1.3363308026445557E-2</v>
      </c>
      <c r="AW102" t="s">
        <v>156</v>
      </c>
      <c r="AX102" s="4">
        <f ca="1">+VLOOKUP($A102,INDIRECT(Adrese!B$2),7,FALSE)</f>
        <v>0.29646017699115051</v>
      </c>
      <c r="AY102" s="4">
        <f ca="1">+VLOOKUP($A102,INDIRECT(Adrese!C$2),7,FALSE)</f>
        <v>0.26548672566371678</v>
      </c>
      <c r="AZ102" s="4">
        <f ca="1">+VLOOKUP($A102,INDIRECT(Adrese!D$2),7,FALSE)</f>
        <v>0.30530973451327431</v>
      </c>
      <c r="BA102" s="4">
        <f ca="1">+VLOOKUP($A102,INDIRECT(Adrese!E$2),7,FALSE)</f>
        <v>0.21238938053097339</v>
      </c>
      <c r="BB102" s="4">
        <f ca="1">+VLOOKUP($A102,INDIRECT(Adrese!F$2),7,FALSE)</f>
        <v>0.31415929203539822</v>
      </c>
      <c r="BC102" s="4" t="str">
        <f t="shared" ca="1" si="30"/>
        <v>0.28 (0.04)</v>
      </c>
      <c r="BD102">
        <f t="shared" ca="1" si="41"/>
        <v>0.27876106194690264</v>
      </c>
      <c r="BE102" s="4">
        <f t="shared" ca="1" si="31"/>
        <v>4.1390015340419979E-2</v>
      </c>
      <c r="BG102" t="s">
        <v>156</v>
      </c>
      <c r="BH102" s="4">
        <f ca="1">+VLOOKUP($BG102,INDIRECT(Adrese!B$2),8,FALSE)</f>
        <v>5.1688109253750163E-2</v>
      </c>
      <c r="BI102" s="4">
        <f ca="1">+VLOOKUP($BG102,INDIRECT(Adrese!C$2),8,FALSE)</f>
        <v>5.1890303054593259E-2</v>
      </c>
      <c r="BJ102" s="4">
        <f ca="1">+VLOOKUP($BG102,INDIRECT(Adrese!D$2),8,FALSE)</f>
        <v>5.5369578024529131E-2</v>
      </c>
      <c r="BK102" s="4">
        <f ca="1">+VLOOKUP($BG102,INDIRECT(Adrese!E$2),8,FALSE)</f>
        <v>5.2029688626108142E-2</v>
      </c>
      <c r="BL102" s="4">
        <f ca="1">+VLOOKUP($BG102,INDIRECT(Adrese!F$2),8,FALSE)</f>
        <v>5.5083026464739247E-2</v>
      </c>
      <c r="BM102" s="4" t="str">
        <f t="shared" ca="1" si="32"/>
        <v>0.05 (0.00)</v>
      </c>
      <c r="BN102" s="4">
        <f t="shared" ca="1" si="42"/>
        <v>5.321214108474398E-2</v>
      </c>
      <c r="BO102" s="4">
        <f t="shared" ca="1" si="33"/>
        <v>1.8454585386157147E-3</v>
      </c>
      <c r="BQ102" t="s">
        <v>156</v>
      </c>
      <c r="BR102" s="4">
        <f ca="1">+VLOOKUP($BG102,INDIRECT(Adrese!B$2),9,FALSE)</f>
        <v>0.1003231445154114</v>
      </c>
      <c r="BS102" s="4">
        <f ca="1">+VLOOKUP($BG102,INDIRECT(Adrese!C$2),9,FALSE)</f>
        <v>0.10306265578350569</v>
      </c>
      <c r="BT102" s="4">
        <f ca="1">+VLOOKUP($BG102,INDIRECT(Adrese!D$2),9,FALSE)</f>
        <v>9.3448369448114812E-2</v>
      </c>
      <c r="BU102" s="4">
        <f ca="1">+VLOOKUP($BG102,INDIRECT(Adrese!E$2),9,FALSE)</f>
        <v>0.11023175171311279</v>
      </c>
      <c r="BV102" s="4">
        <f ca="1">+VLOOKUP($BG102,INDIRECT(Adrese!F$2),9,FALSE)</f>
        <v>0.1012866422452363</v>
      </c>
      <c r="BW102" s="4" t="str">
        <f t="shared" ca="1" si="34"/>
        <v>0.10 (0.01)</v>
      </c>
      <c r="BX102" s="4">
        <f t="shared" ca="1" si="43"/>
        <v>0.10167051274107619</v>
      </c>
      <c r="BY102" s="4">
        <f t="shared" ca="1" si="35"/>
        <v>6.0166284788492723E-3</v>
      </c>
    </row>
    <row r="103" spans="1:77" x14ac:dyDescent="0.25">
      <c r="A103" t="s">
        <v>157</v>
      </c>
      <c r="B103" s="11">
        <f ca="1">+VLOOKUP($A103,INDIRECT(Adrese!B$2),2,FALSE)</f>
        <v>79</v>
      </c>
      <c r="C103" s="11">
        <f ca="1">+VLOOKUP($A103,INDIRECT(Adrese!C$2),2,FALSE)</f>
        <v>111</v>
      </c>
      <c r="D103" s="11">
        <f ca="1">+VLOOKUP($A103,INDIRECT(Adrese!D$2),2,FALSE)</f>
        <v>96</v>
      </c>
      <c r="E103" s="11">
        <f ca="1">+VLOOKUP($A103,INDIRECT(Adrese!E$2),2,FALSE)</f>
        <v>78</v>
      </c>
      <c r="F103" s="11">
        <f ca="1">+VLOOKUP($A103,INDIRECT(Adrese!F$2),2,FALSE)</f>
        <v>123</v>
      </c>
      <c r="G103" s="4">
        <f t="shared" ca="1" si="36"/>
        <v>97.4</v>
      </c>
      <c r="J103" t="s">
        <v>157</v>
      </c>
      <c r="K103">
        <f ca="1">+VLOOKUP($A103,INDIRECT(Adrese!B$2),3,FALSE)</f>
        <v>98</v>
      </c>
      <c r="L103">
        <f ca="1">+VLOOKUP($A103,INDIRECT(Adrese!C$2),3,FALSE)</f>
        <v>88</v>
      </c>
      <c r="M103">
        <f ca="1">+VLOOKUP($A103,INDIRECT(Adrese!D$2),3,FALSE)</f>
        <v>102</v>
      </c>
      <c r="N103">
        <f ca="1">+VLOOKUP($A103,INDIRECT(Adrese!E$2),3,FALSE)</f>
        <v>94</v>
      </c>
      <c r="O103">
        <f ca="1">+VLOOKUP($A103,INDIRECT(Adrese!F$2),3,FALSE)</f>
        <v>102</v>
      </c>
      <c r="P103">
        <f t="shared" ca="1" si="26"/>
        <v>484</v>
      </c>
      <c r="Q103" s="4">
        <f t="shared" ca="1" si="37"/>
        <v>96.8</v>
      </c>
      <c r="R103" s="4"/>
      <c r="T103" t="s">
        <v>157</v>
      </c>
      <c r="U103">
        <f ca="1">+VLOOKUP($T103,INDIRECT(Adrese!B$2),4,FALSE)</f>
        <v>96466</v>
      </c>
      <c r="V103">
        <f ca="1">+VLOOKUP($T103,INDIRECT(Adrese!C$2),4,FALSE)</f>
        <v>95107</v>
      </c>
      <c r="W103">
        <f ca="1">+VLOOKUP($T103,INDIRECT(Adrese!D$2),4,FALSE)</f>
        <v>95935</v>
      </c>
      <c r="X103">
        <f ca="1">+VLOOKUP($T103,INDIRECT(Adrese!E$2),4,FALSE)</f>
        <v>96528</v>
      </c>
      <c r="Y103">
        <f ca="1">+VLOOKUP($T103,INDIRECT(Adrese!F$2),4,FALSE)</f>
        <v>94724</v>
      </c>
      <c r="Z103">
        <f t="shared" ca="1" si="27"/>
        <v>478760</v>
      </c>
      <c r="AA103" s="4">
        <f t="shared" ca="1" si="38"/>
        <v>95752</v>
      </c>
      <c r="AC103" t="s">
        <v>157</v>
      </c>
      <c r="AD103">
        <f ca="1">+VLOOKUP($A103,INDIRECT(Adrese!B$2),5,FALSE)</f>
        <v>22678</v>
      </c>
      <c r="AE103">
        <f ca="1">+VLOOKUP($A103,INDIRECT(Adrese!C$2),5,FALSE)</f>
        <v>22365</v>
      </c>
      <c r="AF103">
        <f ca="1">+VLOOKUP($A103,INDIRECT(Adrese!D$2),5,FALSE)</f>
        <v>22393</v>
      </c>
      <c r="AG103">
        <f ca="1">+VLOOKUP($A103,INDIRECT(Adrese!E$2),5,FALSE)</f>
        <v>22717</v>
      </c>
      <c r="AH103">
        <f ca="1">+VLOOKUP($A103,INDIRECT(Adrese!F$2),5,FALSE)</f>
        <v>21626</v>
      </c>
      <c r="AI103" s="4">
        <f t="shared" ca="1" si="39"/>
        <v>22355.8</v>
      </c>
      <c r="AJ103" s="4"/>
      <c r="AK103" s="4"/>
      <c r="AM103" t="s">
        <v>157</v>
      </c>
      <c r="AN103" s="4">
        <f ca="1">+VLOOKUP($A103,INDIRECT(Adrese!B$2),6,FALSE)</f>
        <v>0.50004424778761059</v>
      </c>
      <c r="AO103" s="4">
        <f ca="1">+VLOOKUP($A103,INDIRECT(Adrese!C$2),6,FALSE)</f>
        <v>0.49223451327433632</v>
      </c>
      <c r="AP103" s="4">
        <f ca="1">+VLOOKUP($A103,INDIRECT(Adrese!D$2),6,FALSE)</f>
        <v>0.4932300884955752</v>
      </c>
      <c r="AQ103" s="4">
        <f ca="1">+VLOOKUP($A103,INDIRECT(Adrese!E$2),6,FALSE)</f>
        <v>0.50008849557522128</v>
      </c>
      <c r="AR103" s="4">
        <f ca="1">+VLOOKUP($A103,INDIRECT(Adrese!F$2),6,FALSE)</f>
        <v>0.47692477876106187</v>
      </c>
      <c r="AS103" s="4" t="str">
        <f t="shared" ca="1" si="28"/>
        <v>0.49 (0.01)</v>
      </c>
      <c r="AT103" s="4">
        <f t="shared" ca="1" si="40"/>
        <v>0.49250442477876105</v>
      </c>
      <c r="AU103" s="4">
        <f t="shared" ca="1" si="29"/>
        <v>9.4563718060552814E-3</v>
      </c>
      <c r="AW103" t="s">
        <v>157</v>
      </c>
      <c r="AX103" s="4">
        <f ca="1">+VLOOKUP($A103,INDIRECT(Adrese!B$2),7,FALSE)</f>
        <v>0.5663716814159292</v>
      </c>
      <c r="AY103" s="4">
        <f ca="1">+VLOOKUP($A103,INDIRECT(Adrese!C$2),7,FALSE)</f>
        <v>0.61061946902654862</v>
      </c>
      <c r="AZ103" s="4">
        <f ca="1">+VLOOKUP($A103,INDIRECT(Adrese!D$2),7,FALSE)</f>
        <v>0.54867256637168138</v>
      </c>
      <c r="BA103" s="4">
        <f ca="1">+VLOOKUP($A103,INDIRECT(Adrese!E$2),7,FALSE)</f>
        <v>0.58407079646017701</v>
      </c>
      <c r="BB103" s="4">
        <f ca="1">+VLOOKUP($A103,INDIRECT(Adrese!F$2),7,FALSE)</f>
        <v>0.54867256637168138</v>
      </c>
      <c r="BC103" s="4" t="str">
        <f t="shared" ca="1" si="30"/>
        <v>0.57 (0.03)</v>
      </c>
      <c r="BD103">
        <f t="shared" ca="1" si="41"/>
        <v>0.57168141592920352</v>
      </c>
      <c r="BE103" s="4">
        <f t="shared" ca="1" si="31"/>
        <v>2.6252030042816506E-2</v>
      </c>
      <c r="BG103" t="s">
        <v>157</v>
      </c>
      <c r="BH103" s="4">
        <f ca="1">+VLOOKUP($BG103,INDIRECT(Adrese!B$2),8,FALSE)</f>
        <v>7.4793105692366996E-2</v>
      </c>
      <c r="BI103" s="4">
        <f ca="1">+VLOOKUP($BG103,INDIRECT(Adrese!C$2),8,FALSE)</f>
        <v>7.3615729349770495E-2</v>
      </c>
      <c r="BJ103" s="4">
        <f ca="1">+VLOOKUP($BG103,INDIRECT(Adrese!D$2),8,FALSE)</f>
        <v>7.3767679298299665E-2</v>
      </c>
      <c r="BK103" s="4">
        <f ca="1">+VLOOKUP($BG103,INDIRECT(Adrese!E$2),8,FALSE)</f>
        <v>7.4455093300096531E-2</v>
      </c>
      <c r="BL103" s="4">
        <f ca="1">+VLOOKUP($BG103,INDIRECT(Adrese!F$2),8,FALSE)</f>
        <v>7.0979300737249049E-2</v>
      </c>
      <c r="BM103" s="4" t="str">
        <f t="shared" ca="1" si="32"/>
        <v>0.07 (0.00)</v>
      </c>
      <c r="BN103" s="4">
        <f t="shared" ca="1" si="42"/>
        <v>7.3522181675556547E-2</v>
      </c>
      <c r="BO103" s="4">
        <f t="shared" ca="1" si="33"/>
        <v>1.5017353022618886E-3</v>
      </c>
      <c r="BQ103" t="s">
        <v>157</v>
      </c>
      <c r="BR103" s="4">
        <f ca="1">+VLOOKUP($BG103,INDIRECT(Adrese!B$2),9,FALSE)</f>
        <v>6.5899906187641188E-2</v>
      </c>
      <c r="BS103" s="4">
        <f ca="1">+VLOOKUP($BG103,INDIRECT(Adrese!C$2),9,FALSE)</f>
        <v>6.9734352449161846E-2</v>
      </c>
      <c r="BT103" s="4">
        <f ca="1">+VLOOKUP($BG103,INDIRECT(Adrese!D$2),9,FALSE)</f>
        <v>6.8638941703054082E-2</v>
      </c>
      <c r="BU103" s="4">
        <f ca="1">+VLOOKUP($BG103,INDIRECT(Adrese!E$2),9,FALSE)</f>
        <v>6.269420552473319E-2</v>
      </c>
      <c r="BV103" s="4">
        <f ca="1">+VLOOKUP($BG103,INDIRECT(Adrese!F$2),9,FALSE)</f>
        <v>7.3132905689203068E-2</v>
      </c>
      <c r="BW103" s="4" t="str">
        <f t="shared" ca="1" si="34"/>
        <v>0.07 (0.00)</v>
      </c>
      <c r="BX103" s="4">
        <f t="shared" ca="1" si="43"/>
        <v>6.8020062310758675E-2</v>
      </c>
      <c r="BY103" s="4">
        <f t="shared" ca="1" si="35"/>
        <v>3.9472389807618455E-3</v>
      </c>
    </row>
    <row r="104" spans="1:77" x14ac:dyDescent="0.25">
      <c r="A104" t="s">
        <v>158</v>
      </c>
      <c r="B104" s="11">
        <f ca="1">+VLOOKUP($A104,INDIRECT(Adrese!B$2),2,FALSE)</f>
        <v>118</v>
      </c>
      <c r="C104" s="11">
        <f ca="1">+VLOOKUP($A104,INDIRECT(Adrese!C$2),2,FALSE)</f>
        <v>165</v>
      </c>
      <c r="D104" s="11">
        <f ca="1">+VLOOKUP($A104,INDIRECT(Adrese!D$2),2,FALSE)</f>
        <v>108</v>
      </c>
      <c r="E104" s="11">
        <f ca="1">+VLOOKUP($A104,INDIRECT(Adrese!E$2),2,FALSE)</f>
        <v>118</v>
      </c>
      <c r="F104" s="11">
        <f ca="1">+VLOOKUP($A104,INDIRECT(Adrese!F$2),2,FALSE)</f>
        <v>127</v>
      </c>
      <c r="G104" s="4">
        <f t="shared" ca="1" si="36"/>
        <v>127.2</v>
      </c>
      <c r="J104" t="s">
        <v>158</v>
      </c>
      <c r="K104">
        <f ca="1">+VLOOKUP($A104,INDIRECT(Adrese!B$2),3,FALSE)</f>
        <v>81</v>
      </c>
      <c r="L104">
        <f ca="1">+VLOOKUP($A104,INDIRECT(Adrese!C$2),3,FALSE)</f>
        <v>85</v>
      </c>
      <c r="M104">
        <f ca="1">+VLOOKUP($A104,INDIRECT(Adrese!D$2),3,FALSE)</f>
        <v>83</v>
      </c>
      <c r="N104">
        <f ca="1">+VLOOKUP($A104,INDIRECT(Adrese!E$2),3,FALSE)</f>
        <v>73</v>
      </c>
      <c r="O104">
        <f ca="1">+VLOOKUP($A104,INDIRECT(Adrese!F$2),3,FALSE)</f>
        <v>85</v>
      </c>
      <c r="P104">
        <f t="shared" ca="1" si="26"/>
        <v>407</v>
      </c>
      <c r="Q104" s="4">
        <f t="shared" ca="1" si="37"/>
        <v>81.400000000000006</v>
      </c>
      <c r="R104" s="4"/>
      <c r="T104" t="s">
        <v>158</v>
      </c>
      <c r="U104">
        <f ca="1">+VLOOKUP($T104,INDIRECT(Adrese!B$2),4,FALSE)</f>
        <v>94654</v>
      </c>
      <c r="V104">
        <f ca="1">+VLOOKUP($T104,INDIRECT(Adrese!C$2),4,FALSE)</f>
        <v>92701</v>
      </c>
      <c r="W104">
        <f ca="1">+VLOOKUP($T104,INDIRECT(Adrese!D$2),4,FALSE)</f>
        <v>95556</v>
      </c>
      <c r="X104">
        <f ca="1">+VLOOKUP($T104,INDIRECT(Adrese!E$2),4,FALSE)</f>
        <v>94869</v>
      </c>
      <c r="Y104">
        <f ca="1">+VLOOKUP($T104,INDIRECT(Adrese!F$2),4,FALSE)</f>
        <v>94553</v>
      </c>
      <c r="Z104">
        <f t="shared" ca="1" si="27"/>
        <v>472333</v>
      </c>
      <c r="AA104" s="4">
        <f t="shared" ca="1" si="38"/>
        <v>94466.6</v>
      </c>
      <c r="AC104" t="s">
        <v>158</v>
      </c>
      <c r="AD104">
        <f ca="1">+VLOOKUP($A104,INDIRECT(Adrese!B$2),5,FALSE)</f>
        <v>23941</v>
      </c>
      <c r="AE104">
        <f ca="1">+VLOOKUP($A104,INDIRECT(Adrese!C$2),5,FALSE)</f>
        <v>22980</v>
      </c>
      <c r="AF104">
        <f ca="1">+VLOOKUP($A104,INDIRECT(Adrese!D$2),5,FALSE)</f>
        <v>24068</v>
      </c>
      <c r="AG104">
        <f ca="1">+VLOOKUP($A104,INDIRECT(Adrese!E$2),5,FALSE)</f>
        <v>23865</v>
      </c>
      <c r="AH104">
        <f ca="1">+VLOOKUP($A104,INDIRECT(Adrese!F$2),5,FALSE)</f>
        <v>23490</v>
      </c>
      <c r="AI104" s="4">
        <f t="shared" ca="1" si="39"/>
        <v>23668.799999999999</v>
      </c>
      <c r="AJ104" s="4"/>
      <c r="AK104" s="4"/>
      <c r="AM104" t="s">
        <v>158</v>
      </c>
      <c r="AN104" s="4">
        <f ca="1">+VLOOKUP($A104,INDIRECT(Adrese!B$2),6,FALSE)</f>
        <v>0.52599557522123896</v>
      </c>
      <c r="AO104" s="4">
        <f ca="1">+VLOOKUP($A104,INDIRECT(Adrese!C$2),6,FALSE)</f>
        <v>0.50659292035398229</v>
      </c>
      <c r="AP104" s="4">
        <f ca="1">+VLOOKUP($A104,INDIRECT(Adrese!D$2),6,FALSE)</f>
        <v>0.52975663716814159</v>
      </c>
      <c r="AQ104" s="4">
        <f ca="1">+VLOOKUP($A104,INDIRECT(Adrese!E$2),6,FALSE)</f>
        <v>0.52542035398230091</v>
      </c>
      <c r="AR104" s="4">
        <f ca="1">+VLOOKUP($A104,INDIRECT(Adrese!F$2),6,FALSE)</f>
        <v>0.51772123893805311</v>
      </c>
      <c r="AS104" s="4" t="str">
        <f t="shared" ca="1" si="28"/>
        <v>0.52 (0.01)</v>
      </c>
      <c r="AT104" s="4">
        <f t="shared" ca="1" si="40"/>
        <v>0.52109734513274342</v>
      </c>
      <c r="AU104" s="4">
        <f t="shared" ca="1" si="29"/>
        <v>9.2119600692261976E-3</v>
      </c>
      <c r="AW104" t="s">
        <v>158</v>
      </c>
      <c r="AX104" s="4">
        <f ca="1">+VLOOKUP($A104,INDIRECT(Adrese!B$2),7,FALSE)</f>
        <v>0.6415929203539823</v>
      </c>
      <c r="AY104" s="4">
        <f ca="1">+VLOOKUP($A104,INDIRECT(Adrese!C$2),7,FALSE)</f>
        <v>0.62389380530973448</v>
      </c>
      <c r="AZ104" s="4">
        <f ca="1">+VLOOKUP($A104,INDIRECT(Adrese!D$2),7,FALSE)</f>
        <v>0.63274336283185839</v>
      </c>
      <c r="BA104" s="4">
        <f ca="1">+VLOOKUP($A104,INDIRECT(Adrese!E$2),7,FALSE)</f>
        <v>0.67699115044247793</v>
      </c>
      <c r="BB104" s="4">
        <f ca="1">+VLOOKUP($A104,INDIRECT(Adrese!F$2),7,FALSE)</f>
        <v>0.62389380530973448</v>
      </c>
      <c r="BC104" s="4" t="str">
        <f t="shared" ca="1" si="30"/>
        <v>0.64 (0.02)</v>
      </c>
      <c r="BD104">
        <f t="shared" ca="1" si="41"/>
        <v>0.63982300884955756</v>
      </c>
      <c r="BE104" s="4">
        <f t="shared" ca="1" si="31"/>
        <v>2.2035220527413722E-2</v>
      </c>
      <c r="BG104" t="s">
        <v>158</v>
      </c>
      <c r="BH104" s="4">
        <f ca="1">+VLOOKUP($BG104,INDIRECT(Adrese!B$2),8,FALSE)</f>
        <v>7.5415108555754173E-2</v>
      </c>
      <c r="BI104" s="4">
        <f ca="1">+VLOOKUP($BG104,INDIRECT(Adrese!C$2),8,FALSE)</f>
        <v>7.2347102596963211E-2</v>
      </c>
      <c r="BJ104" s="4">
        <f ca="1">+VLOOKUP($BG104,INDIRECT(Adrese!D$2),8,FALSE)</f>
        <v>7.5568180712017749E-2</v>
      </c>
      <c r="BK104" s="4">
        <f ca="1">+VLOOKUP($BG104,INDIRECT(Adrese!E$2),8,FALSE)</f>
        <v>7.538641423831216E-2</v>
      </c>
      <c r="BL104" s="4">
        <f ca="1">+VLOOKUP($BG104,INDIRECT(Adrese!F$2),8,FALSE)</f>
        <v>7.3997089994515833E-2</v>
      </c>
      <c r="BM104" s="4" t="str">
        <f t="shared" ca="1" si="32"/>
        <v>0.07 (0.00)</v>
      </c>
      <c r="BN104" s="4">
        <f t="shared" ca="1" si="42"/>
        <v>7.454277921951262E-2</v>
      </c>
      <c r="BO104" s="4">
        <f t="shared" ca="1" si="33"/>
        <v>1.382289703511157E-3</v>
      </c>
      <c r="BQ104" t="s">
        <v>158</v>
      </c>
      <c r="BR104" s="4">
        <f ca="1">+VLOOKUP($BG104,INDIRECT(Adrese!B$2),9,FALSE)</f>
        <v>3.7433144997942563E-2</v>
      </c>
      <c r="BS104" s="4">
        <f ca="1">+VLOOKUP($BG104,INDIRECT(Adrese!C$2),9,FALSE)</f>
        <v>4.5626606535043808E-2</v>
      </c>
      <c r="BT104" s="4">
        <f ca="1">+VLOOKUP($BG104,INDIRECT(Adrese!D$2),9,FALSE)</f>
        <v>3.5731467589910401E-2</v>
      </c>
      <c r="BU104" s="4">
        <f ca="1">+VLOOKUP($BG104,INDIRECT(Adrese!E$2),9,FALSE)</f>
        <v>3.9234379748359978E-2</v>
      </c>
      <c r="BV104" s="4">
        <f ca="1">+VLOOKUP($BG104,INDIRECT(Adrese!F$2),9,FALSE)</f>
        <v>3.7666506150316449E-2</v>
      </c>
      <c r="BW104" s="4" t="str">
        <f t="shared" ca="1" si="34"/>
        <v>0.04 (0.00)</v>
      </c>
      <c r="BX104" s="4">
        <f t="shared" ca="1" si="43"/>
        <v>3.9138421004314639E-2</v>
      </c>
      <c r="BY104" s="4">
        <f t="shared" ca="1" si="35"/>
        <v>3.8336533073874716E-3</v>
      </c>
    </row>
    <row r="105" spans="1:77" x14ac:dyDescent="0.25">
      <c r="A105" t="s">
        <v>159</v>
      </c>
      <c r="B105" s="11">
        <f ca="1">+VLOOKUP($A105,INDIRECT(Adrese!B$2),2,FALSE)</f>
        <v>31</v>
      </c>
      <c r="C105" s="11">
        <f ca="1">+VLOOKUP($A105,INDIRECT(Adrese!C$2),2,FALSE)</f>
        <v>28</v>
      </c>
      <c r="D105" s="11">
        <f ca="1">+VLOOKUP($A105,INDIRECT(Adrese!D$2),2,FALSE)</f>
        <v>40</v>
      </c>
      <c r="E105" s="11">
        <f ca="1">+VLOOKUP($A105,INDIRECT(Adrese!E$2),2,FALSE)</f>
        <v>39</v>
      </c>
      <c r="F105" s="11">
        <f ca="1">+VLOOKUP($A105,INDIRECT(Adrese!F$2),2,FALSE)</f>
        <v>53</v>
      </c>
      <c r="G105" s="4">
        <f t="shared" ca="1" si="36"/>
        <v>38.200000000000003</v>
      </c>
      <c r="J105" t="s">
        <v>159</v>
      </c>
      <c r="K105">
        <f ca="1">+VLOOKUP($A105,INDIRECT(Adrese!B$2),3,FALSE)</f>
        <v>82</v>
      </c>
      <c r="L105">
        <f ca="1">+VLOOKUP($A105,INDIRECT(Adrese!C$2),3,FALSE)</f>
        <v>78</v>
      </c>
      <c r="M105">
        <f ca="1">+VLOOKUP($A105,INDIRECT(Adrese!D$2),3,FALSE)</f>
        <v>75</v>
      </c>
      <c r="N105">
        <f ca="1">+VLOOKUP($A105,INDIRECT(Adrese!E$2),3,FALSE)</f>
        <v>76</v>
      </c>
      <c r="O105">
        <f ca="1">+VLOOKUP($A105,INDIRECT(Adrese!F$2),3,FALSE)</f>
        <v>72</v>
      </c>
      <c r="P105">
        <f t="shared" ca="1" si="26"/>
        <v>383</v>
      </c>
      <c r="Q105" s="4">
        <f t="shared" ca="1" si="37"/>
        <v>76.599999999999994</v>
      </c>
      <c r="R105" s="4"/>
      <c r="T105" t="s">
        <v>159</v>
      </c>
      <c r="U105">
        <f ca="1">+VLOOKUP($T105,INDIRECT(Adrese!B$2),4,FALSE)</f>
        <v>98564</v>
      </c>
      <c r="V105">
        <f ca="1">+VLOOKUP($T105,INDIRECT(Adrese!C$2),4,FALSE)</f>
        <v>98852</v>
      </c>
      <c r="W105">
        <f ca="1">+VLOOKUP($T105,INDIRECT(Adrese!D$2),4,FALSE)</f>
        <v>97901</v>
      </c>
      <c r="X105">
        <f ca="1">+VLOOKUP($T105,INDIRECT(Adrese!E$2),4,FALSE)</f>
        <v>98299</v>
      </c>
      <c r="Y105">
        <f ca="1">+VLOOKUP($T105,INDIRECT(Adrese!F$2),4,FALSE)</f>
        <v>97526</v>
      </c>
      <c r="Z105">
        <f t="shared" ca="1" si="27"/>
        <v>491142</v>
      </c>
      <c r="AA105" s="4">
        <f t="shared" ca="1" si="38"/>
        <v>98228.4</v>
      </c>
      <c r="AC105" t="s">
        <v>159</v>
      </c>
      <c r="AD105">
        <f ca="1">+VLOOKUP($A105,INDIRECT(Adrese!B$2),5,FALSE)</f>
        <v>27475</v>
      </c>
      <c r="AE105">
        <f ca="1">+VLOOKUP($A105,INDIRECT(Adrese!C$2),5,FALSE)</f>
        <v>27635</v>
      </c>
      <c r="AF105">
        <f ca="1">+VLOOKUP($A105,INDIRECT(Adrese!D$2),5,FALSE)</f>
        <v>27276</v>
      </c>
      <c r="AG105">
        <f ca="1">+VLOOKUP($A105,INDIRECT(Adrese!E$2),5,FALSE)</f>
        <v>28016</v>
      </c>
      <c r="AH105">
        <f ca="1">+VLOOKUP($A105,INDIRECT(Adrese!F$2),5,FALSE)</f>
        <v>27104</v>
      </c>
      <c r="AI105" s="4">
        <f t="shared" ca="1" si="39"/>
        <v>27501.200000000001</v>
      </c>
      <c r="AJ105" s="4"/>
      <c r="AK105" s="4"/>
      <c r="AM105" t="s">
        <v>159</v>
      </c>
      <c r="AN105" s="4">
        <f ca="1">+VLOOKUP($A105,INDIRECT(Adrese!B$2),6,FALSE)</f>
        <v>0.60466814159292037</v>
      </c>
      <c r="AO105" s="4">
        <f ca="1">+VLOOKUP($A105,INDIRECT(Adrese!C$2),6,FALSE)</f>
        <v>0.60811946902654868</v>
      </c>
      <c r="AP105" s="4">
        <f ca="1">+VLOOKUP($A105,INDIRECT(Adrese!D$2),6,FALSE)</f>
        <v>0.600287610619469</v>
      </c>
      <c r="AQ105" s="4">
        <f ca="1">+VLOOKUP($A105,INDIRECT(Adrese!E$2),6,FALSE)</f>
        <v>0.61685840707964601</v>
      </c>
      <c r="AR105" s="4">
        <f ca="1">+VLOOKUP($A105,INDIRECT(Adrese!F$2),6,FALSE)</f>
        <v>0.59659292035398226</v>
      </c>
      <c r="AS105" s="4" t="str">
        <f t="shared" ca="1" si="28"/>
        <v>0.61 (0.01)</v>
      </c>
      <c r="AT105" s="4">
        <f t="shared" ca="1" si="40"/>
        <v>0.60530530973451324</v>
      </c>
      <c r="AU105" s="4">
        <f t="shared" ca="1" si="29"/>
        <v>7.7923450763365976E-3</v>
      </c>
      <c r="AW105" t="s">
        <v>159</v>
      </c>
      <c r="AX105" s="4">
        <f ca="1">+VLOOKUP($A105,INDIRECT(Adrese!B$2),7,FALSE)</f>
        <v>0.63716814159292035</v>
      </c>
      <c r="AY105" s="4">
        <f ca="1">+VLOOKUP($A105,INDIRECT(Adrese!C$2),7,FALSE)</f>
        <v>0.65486725663716816</v>
      </c>
      <c r="AZ105" s="4">
        <f ca="1">+VLOOKUP($A105,INDIRECT(Adrese!D$2),7,FALSE)</f>
        <v>0.66814159292035402</v>
      </c>
      <c r="BA105" s="4">
        <f ca="1">+VLOOKUP($A105,INDIRECT(Adrese!E$2),7,FALSE)</f>
        <v>0.66371681415929207</v>
      </c>
      <c r="BB105" s="4">
        <f ca="1">+VLOOKUP($A105,INDIRECT(Adrese!F$2),7,FALSE)</f>
        <v>0.68141592920353977</v>
      </c>
      <c r="BC105" s="4" t="str">
        <f t="shared" ca="1" si="30"/>
        <v>0.66 (0.02)</v>
      </c>
      <c r="BD105">
        <f t="shared" ca="1" si="41"/>
        <v>0.66106194690265485</v>
      </c>
      <c r="BE105" s="4">
        <f t="shared" ca="1" si="31"/>
        <v>1.6437323558413007E-2</v>
      </c>
      <c r="BG105" t="s">
        <v>159</v>
      </c>
      <c r="BH105" s="4">
        <f ca="1">+VLOOKUP($BG105,INDIRECT(Adrese!B$2),8,FALSE)</f>
        <v>8.0858731605060519E-2</v>
      </c>
      <c r="BI105" s="4">
        <f ca="1">+VLOOKUP($BG105,INDIRECT(Adrese!C$2),8,FALSE)</f>
        <v>8.1067801031376702E-2</v>
      </c>
      <c r="BJ105" s="4">
        <f ca="1">+VLOOKUP($BG105,INDIRECT(Adrese!D$2),8,FALSE)</f>
        <v>8.0006721343486853E-2</v>
      </c>
      <c r="BK105" s="4">
        <f ca="1">+VLOOKUP($BG105,INDIRECT(Adrese!E$2),8,FALSE)</f>
        <v>8.2004732614034903E-2</v>
      </c>
      <c r="BL105" s="4">
        <f ca="1">+VLOOKUP($BG105,INDIRECT(Adrese!F$2),8,FALSE)</f>
        <v>7.9656324705256881E-2</v>
      </c>
      <c r="BM105" s="4" t="str">
        <f t="shared" ca="1" si="32"/>
        <v>0.08 (0.00)</v>
      </c>
      <c r="BN105" s="4">
        <f t="shared" ca="1" si="42"/>
        <v>8.0718862259843177E-2</v>
      </c>
      <c r="BO105" s="4">
        <f t="shared" ca="1" si="33"/>
        <v>9.2613646503296942E-4</v>
      </c>
      <c r="BQ105" t="s">
        <v>159</v>
      </c>
      <c r="BR105" s="4">
        <f ca="1">+VLOOKUP($BG105,INDIRECT(Adrese!B$2),9,FALSE)</f>
        <v>-1.295969293556719E-2</v>
      </c>
      <c r="BS105" s="4">
        <f ca="1">+VLOOKUP($BG105,INDIRECT(Adrese!C$2),9,FALSE)</f>
        <v>-1.8410680179968102E-2</v>
      </c>
      <c r="BT105" s="4">
        <f ca="1">+VLOOKUP($BG105,INDIRECT(Adrese!D$2),9,FALSE)</f>
        <v>-1.387482725778864E-2</v>
      </c>
      <c r="BU105" s="4">
        <f ca="1">+VLOOKUP($BG105,INDIRECT(Adrese!E$2),9,FALSE)</f>
        <v>-2.1540076897013288E-2</v>
      </c>
      <c r="BV105" s="4">
        <f ca="1">+VLOOKUP($BG105,INDIRECT(Adrese!F$2),9,FALSE)</f>
        <v>-1.922581136950929E-2</v>
      </c>
      <c r="BW105" s="4" t="str">
        <f t="shared" ca="1" si="34"/>
        <v>-0.02 (0.00)</v>
      </c>
      <c r="BX105" s="4">
        <f t="shared" ca="1" si="43"/>
        <v>-1.7202217727969302E-2</v>
      </c>
      <c r="BY105" s="4">
        <f t="shared" ca="1" si="35"/>
        <v>3.6552318274504381E-3</v>
      </c>
    </row>
    <row r="106" spans="1:77" x14ac:dyDescent="0.25">
      <c r="A106" t="s">
        <v>160</v>
      </c>
      <c r="B106" s="11">
        <f ca="1">+VLOOKUP($A106,INDIRECT(Adrese!B$2),2,FALSE)</f>
        <v>68</v>
      </c>
      <c r="C106" s="11">
        <f ca="1">+VLOOKUP($A106,INDIRECT(Adrese!C$2),2,FALSE)</f>
        <v>87</v>
      </c>
      <c r="D106" s="11">
        <f ca="1">+VLOOKUP($A106,INDIRECT(Adrese!D$2),2,FALSE)</f>
        <v>50</v>
      </c>
      <c r="E106" s="11">
        <f ca="1">+VLOOKUP($A106,INDIRECT(Adrese!E$2),2,FALSE)</f>
        <v>106</v>
      </c>
      <c r="F106" s="11">
        <f ca="1">+VLOOKUP($A106,INDIRECT(Adrese!F$2),2,FALSE)</f>
        <v>41</v>
      </c>
      <c r="G106" s="4">
        <f t="shared" ca="1" si="36"/>
        <v>70.400000000000006</v>
      </c>
      <c r="J106" t="s">
        <v>160</v>
      </c>
      <c r="K106">
        <f ca="1">+VLOOKUP($A106,INDIRECT(Adrese!B$2),3,FALSE)</f>
        <v>123</v>
      </c>
      <c r="L106">
        <f ca="1">+VLOOKUP($A106,INDIRECT(Adrese!C$2),3,FALSE)</f>
        <v>128</v>
      </c>
      <c r="M106">
        <f ca="1">+VLOOKUP($A106,INDIRECT(Adrese!D$2),3,FALSE)</f>
        <v>131</v>
      </c>
      <c r="N106">
        <f ca="1">+VLOOKUP($A106,INDIRECT(Adrese!E$2),3,FALSE)</f>
        <v>125</v>
      </c>
      <c r="O106">
        <f ca="1">+VLOOKUP($A106,INDIRECT(Adrese!F$2),3,FALSE)</f>
        <v>136</v>
      </c>
      <c r="P106">
        <f t="shared" ca="1" si="26"/>
        <v>643</v>
      </c>
      <c r="Q106" s="4">
        <f t="shared" ca="1" si="37"/>
        <v>128.6</v>
      </c>
      <c r="R106" s="4"/>
      <c r="T106" t="s">
        <v>160</v>
      </c>
      <c r="U106">
        <f ca="1">+VLOOKUP($T106,INDIRECT(Adrese!B$2),4,FALSE)</f>
        <v>96764</v>
      </c>
      <c r="V106">
        <f ca="1">+VLOOKUP($T106,INDIRECT(Adrese!C$2),4,FALSE)</f>
        <v>95909</v>
      </c>
      <c r="W106">
        <f ca="1">+VLOOKUP($T106,INDIRECT(Adrese!D$2),4,FALSE)</f>
        <v>97208</v>
      </c>
      <c r="X106">
        <f ca="1">+VLOOKUP($T106,INDIRECT(Adrese!E$2),4,FALSE)</f>
        <v>95374</v>
      </c>
      <c r="Y106">
        <f ca="1">+VLOOKUP($T106,INDIRECT(Adrese!F$2),4,FALSE)</f>
        <v>97881</v>
      </c>
      <c r="Z106">
        <f t="shared" ca="1" si="27"/>
        <v>483136</v>
      </c>
      <c r="AA106" s="4">
        <f t="shared" ca="1" si="38"/>
        <v>96627.199999999997</v>
      </c>
      <c r="AC106" t="s">
        <v>160</v>
      </c>
      <c r="AD106">
        <f ca="1">+VLOOKUP($A106,INDIRECT(Adrese!B$2),5,FALSE)</f>
        <v>20774</v>
      </c>
      <c r="AE106">
        <f ca="1">+VLOOKUP($A106,INDIRECT(Adrese!C$2),5,FALSE)</f>
        <v>20239</v>
      </c>
      <c r="AF106">
        <f ca="1">+VLOOKUP($A106,INDIRECT(Adrese!D$2),5,FALSE)</f>
        <v>20536</v>
      </c>
      <c r="AG106">
        <f ca="1">+VLOOKUP($A106,INDIRECT(Adrese!E$2),5,FALSE)</f>
        <v>20196</v>
      </c>
      <c r="AH106">
        <f ca="1">+VLOOKUP($A106,INDIRECT(Adrese!F$2),5,FALSE)</f>
        <v>20834</v>
      </c>
      <c r="AI106" s="4">
        <f t="shared" ca="1" si="39"/>
        <v>20515.8</v>
      </c>
      <c r="AJ106" s="4"/>
      <c r="AK106" s="4"/>
      <c r="AM106" t="s">
        <v>160</v>
      </c>
      <c r="AN106" s="4">
        <f ca="1">+VLOOKUP($A106,INDIRECT(Adrese!B$2),6,FALSE)</f>
        <v>0.45849557522123902</v>
      </c>
      <c r="AO106" s="4">
        <f ca="1">+VLOOKUP($A106,INDIRECT(Adrese!C$2),6,FALSE)</f>
        <v>0.44606194690265488</v>
      </c>
      <c r="AP106" s="4">
        <f ca="1">+VLOOKUP($A106,INDIRECT(Adrese!D$2),6,FALSE)</f>
        <v>0.45303097345132742</v>
      </c>
      <c r="AQ106" s="4">
        <f ca="1">+VLOOKUP($A106,INDIRECT(Adrese!E$2),6,FALSE)</f>
        <v>0.44526548672566368</v>
      </c>
      <c r="AR106" s="4">
        <f ca="1">+VLOOKUP($A106,INDIRECT(Adrese!F$2),6,FALSE)</f>
        <v>0.45971238938053099</v>
      </c>
      <c r="AS106" s="4" t="str">
        <f t="shared" ca="1" si="28"/>
        <v>0.45 (0.01)</v>
      </c>
      <c r="AT106" s="4">
        <f t="shared" ca="1" si="40"/>
        <v>0.45251327433628319</v>
      </c>
      <c r="AU106" s="4">
        <f t="shared" ca="1" si="29"/>
        <v>6.7459848164799245E-3</v>
      </c>
      <c r="AW106" t="s">
        <v>160</v>
      </c>
      <c r="AX106" s="4">
        <f ca="1">+VLOOKUP($A106,INDIRECT(Adrese!B$2),7,FALSE)</f>
        <v>0.45575221238938052</v>
      </c>
      <c r="AY106" s="4">
        <f ca="1">+VLOOKUP($A106,INDIRECT(Adrese!C$2),7,FALSE)</f>
        <v>0.4336283185840708</v>
      </c>
      <c r="AZ106" s="4">
        <f ca="1">+VLOOKUP($A106,INDIRECT(Adrese!D$2),7,FALSE)</f>
        <v>0.42035398230088489</v>
      </c>
      <c r="BA106" s="4">
        <f ca="1">+VLOOKUP($A106,INDIRECT(Adrese!E$2),7,FALSE)</f>
        <v>0.44690265486725661</v>
      </c>
      <c r="BB106" s="4">
        <f ca="1">+VLOOKUP($A106,INDIRECT(Adrese!F$2),7,FALSE)</f>
        <v>0.39823008849557517</v>
      </c>
      <c r="BC106" s="4" t="str">
        <f t="shared" ca="1" si="30"/>
        <v>0.43 (0.02)</v>
      </c>
      <c r="BD106">
        <f t="shared" ca="1" si="41"/>
        <v>0.43097345132743359</v>
      </c>
      <c r="BE106" s="4">
        <f t="shared" ca="1" si="31"/>
        <v>2.2691825495501052E-2</v>
      </c>
      <c r="BG106" t="s">
        <v>160</v>
      </c>
      <c r="BH106" s="4">
        <f ca="1">+VLOOKUP($BG106,INDIRECT(Adrese!B$2),8,FALSE)</f>
        <v>6.706993182484039E-2</v>
      </c>
      <c r="BI106" s="4">
        <f ca="1">+VLOOKUP($BG106,INDIRECT(Adrese!C$2),8,FALSE)</f>
        <v>6.5498016757498514E-2</v>
      </c>
      <c r="BJ106" s="4">
        <f ca="1">+VLOOKUP($BG106,INDIRECT(Adrese!D$2),8,FALSE)</f>
        <v>6.663430025489292E-2</v>
      </c>
      <c r="BK106" s="4">
        <f ca="1">+VLOOKUP($BG106,INDIRECT(Adrese!E$2),8,FALSE)</f>
        <v>6.5644702999124768E-2</v>
      </c>
      <c r="BL106" s="4">
        <f ca="1">+VLOOKUP($BG106,INDIRECT(Adrese!F$2),8,FALSE)</f>
        <v>6.7729861125560897E-2</v>
      </c>
      <c r="BM106" s="4" t="str">
        <f t="shared" ca="1" si="32"/>
        <v>0.07 (0.00)</v>
      </c>
      <c r="BN106" s="4">
        <f t="shared" ca="1" si="42"/>
        <v>6.6515362592383498E-2</v>
      </c>
      <c r="BO106" s="4">
        <f t="shared" ca="1" si="33"/>
        <v>9.4733053409730851E-4</v>
      </c>
      <c r="BQ106" t="s">
        <v>160</v>
      </c>
      <c r="BR106" s="4">
        <f ca="1">+VLOOKUP($BG106,INDIRECT(Adrese!B$2),9,FALSE)</f>
        <v>7.238043740257824E-2</v>
      </c>
      <c r="BS106" s="4">
        <f ca="1">+VLOOKUP($BG106,INDIRECT(Adrese!C$2),9,FALSE)</f>
        <v>7.324522792792286E-2</v>
      </c>
      <c r="BT106" s="4">
        <f ca="1">+VLOOKUP($BG106,INDIRECT(Adrese!D$2),9,FALSE)</f>
        <v>7.637640870464231E-2</v>
      </c>
      <c r="BU106" s="4">
        <f ca="1">+VLOOKUP($BG106,INDIRECT(Adrese!E$2),9,FALSE)</f>
        <v>7.8466373657518504E-2</v>
      </c>
      <c r="BV106" s="4">
        <f ca="1">+VLOOKUP($BG106,INDIRECT(Adrese!F$2),9,FALSE)</f>
        <v>6.9108515097586254E-2</v>
      </c>
      <c r="BW106" s="4" t="str">
        <f t="shared" ca="1" si="34"/>
        <v>0.07 (0.00)</v>
      </c>
      <c r="BX106" s="4">
        <f t="shared" ca="1" si="43"/>
        <v>7.3915392558049631E-2</v>
      </c>
      <c r="BY106" s="4">
        <f t="shared" ca="1" si="35"/>
        <v>3.6290256379021626E-3</v>
      </c>
    </row>
    <row r="107" spans="1:77" x14ac:dyDescent="0.25">
      <c r="A107" t="s">
        <v>161</v>
      </c>
      <c r="B107" s="11">
        <f ca="1">+VLOOKUP($A107,INDIRECT(Adrese!B$2),2,FALSE)</f>
        <v>130</v>
      </c>
      <c r="C107" s="11">
        <f ca="1">+VLOOKUP($A107,INDIRECT(Adrese!C$2),2,FALSE)</f>
        <v>82</v>
      </c>
      <c r="D107" s="11">
        <f ca="1">+VLOOKUP($A107,INDIRECT(Adrese!D$2),2,FALSE)</f>
        <v>89</v>
      </c>
      <c r="E107" s="11">
        <f ca="1">+VLOOKUP($A107,INDIRECT(Adrese!E$2),2,FALSE)</f>
        <v>91</v>
      </c>
      <c r="F107" s="11">
        <f ca="1">+VLOOKUP($A107,INDIRECT(Adrese!F$2),2,FALSE)</f>
        <v>80</v>
      </c>
      <c r="G107" s="4">
        <f t="shared" ca="1" si="36"/>
        <v>94.4</v>
      </c>
      <c r="J107" t="s">
        <v>161</v>
      </c>
      <c r="K107">
        <f ca="1">+VLOOKUP($A107,INDIRECT(Adrese!B$2),3,FALSE)</f>
        <v>94</v>
      </c>
      <c r="L107">
        <f ca="1">+VLOOKUP($A107,INDIRECT(Adrese!C$2),3,FALSE)</f>
        <v>105</v>
      </c>
      <c r="M107">
        <f ca="1">+VLOOKUP($A107,INDIRECT(Adrese!D$2),3,FALSE)</f>
        <v>96</v>
      </c>
      <c r="N107">
        <f ca="1">+VLOOKUP($A107,INDIRECT(Adrese!E$2),3,FALSE)</f>
        <v>94</v>
      </c>
      <c r="O107">
        <f ca="1">+VLOOKUP($A107,INDIRECT(Adrese!F$2),3,FALSE)</f>
        <v>89</v>
      </c>
      <c r="P107">
        <f t="shared" ca="1" si="26"/>
        <v>478</v>
      </c>
      <c r="Q107" s="4">
        <f t="shared" ca="1" si="37"/>
        <v>95.6</v>
      </c>
      <c r="R107" s="4"/>
      <c r="T107" t="s">
        <v>161</v>
      </c>
      <c r="U107">
        <f ca="1">+VLOOKUP($T107,INDIRECT(Adrese!B$2),4,FALSE)</f>
        <v>94270</v>
      </c>
      <c r="V107">
        <f ca="1">+VLOOKUP($T107,INDIRECT(Adrese!C$2),4,FALSE)</f>
        <v>96049</v>
      </c>
      <c r="W107">
        <f ca="1">+VLOOKUP($T107,INDIRECT(Adrese!D$2),4,FALSE)</f>
        <v>96135</v>
      </c>
      <c r="X107">
        <f ca="1">+VLOOKUP($T107,INDIRECT(Adrese!E$2),4,FALSE)</f>
        <v>96009</v>
      </c>
      <c r="Y107">
        <f ca="1">+VLOOKUP($T107,INDIRECT(Adrese!F$2),4,FALSE)</f>
        <v>96426</v>
      </c>
      <c r="Z107">
        <f t="shared" ca="1" si="27"/>
        <v>478889</v>
      </c>
      <c r="AA107" s="4">
        <f t="shared" ca="1" si="38"/>
        <v>95777.8</v>
      </c>
      <c r="AC107" t="s">
        <v>161</v>
      </c>
      <c r="AD107">
        <f ca="1">+VLOOKUP($A107,INDIRECT(Adrese!B$2),5,FALSE)</f>
        <v>21643</v>
      </c>
      <c r="AE107">
        <f ca="1">+VLOOKUP($A107,INDIRECT(Adrese!C$2),5,FALSE)</f>
        <v>22204</v>
      </c>
      <c r="AF107">
        <f ca="1">+VLOOKUP($A107,INDIRECT(Adrese!D$2),5,FALSE)</f>
        <v>22186</v>
      </c>
      <c r="AG107">
        <f ca="1">+VLOOKUP($A107,INDIRECT(Adrese!E$2),5,FALSE)</f>
        <v>22295</v>
      </c>
      <c r="AH107">
        <f ca="1">+VLOOKUP($A107,INDIRECT(Adrese!F$2),5,FALSE)</f>
        <v>22572</v>
      </c>
      <c r="AI107" s="4">
        <f t="shared" ca="1" si="39"/>
        <v>22180</v>
      </c>
      <c r="AJ107" s="4"/>
      <c r="AK107" s="4"/>
      <c r="AM107" t="s">
        <v>161</v>
      </c>
      <c r="AN107" s="4">
        <f ca="1">+VLOOKUP($A107,INDIRECT(Adrese!B$2),6,FALSE)</f>
        <v>0.47637168141592923</v>
      </c>
      <c r="AO107" s="4">
        <f ca="1">+VLOOKUP($A107,INDIRECT(Adrese!C$2),6,FALSE)</f>
        <v>0.48847345132743358</v>
      </c>
      <c r="AP107" s="4">
        <f ca="1">+VLOOKUP($A107,INDIRECT(Adrese!D$2),6,FALSE)</f>
        <v>0.48858407079646021</v>
      </c>
      <c r="AQ107" s="4">
        <f ca="1">+VLOOKUP($A107,INDIRECT(Adrese!E$2),6,FALSE)</f>
        <v>0.49088495575221242</v>
      </c>
      <c r="AR107" s="4">
        <f ca="1">+VLOOKUP($A107,INDIRECT(Adrese!F$2),6,FALSE)</f>
        <v>0.49683628318584072</v>
      </c>
      <c r="AS107" s="4" t="str">
        <f t="shared" ca="1" si="28"/>
        <v>0.49 (0.01)</v>
      </c>
      <c r="AT107" s="4">
        <f t="shared" ca="1" si="40"/>
        <v>0.4882300884955752</v>
      </c>
      <c r="AU107" s="4">
        <f t="shared" ca="1" si="29"/>
        <v>7.448510834404864E-3</v>
      </c>
      <c r="AW107" t="s">
        <v>161</v>
      </c>
      <c r="AX107" s="4">
        <f ca="1">+VLOOKUP($A107,INDIRECT(Adrese!B$2),7,FALSE)</f>
        <v>0.58407079646017701</v>
      </c>
      <c r="AY107" s="4">
        <f ca="1">+VLOOKUP($A107,INDIRECT(Adrese!C$2),7,FALSE)</f>
        <v>0.53539823008849563</v>
      </c>
      <c r="AZ107" s="4">
        <f ca="1">+VLOOKUP($A107,INDIRECT(Adrese!D$2),7,FALSE)</f>
        <v>0.5752212389380531</v>
      </c>
      <c r="BA107" s="4">
        <f ca="1">+VLOOKUP($A107,INDIRECT(Adrese!E$2),7,FALSE)</f>
        <v>0.58407079646017701</v>
      </c>
      <c r="BB107" s="4">
        <f ca="1">+VLOOKUP($A107,INDIRECT(Adrese!F$2),7,FALSE)</f>
        <v>0.60619469026548678</v>
      </c>
      <c r="BC107" s="4" t="str">
        <f t="shared" ca="1" si="30"/>
        <v>0.58 (0.03)</v>
      </c>
      <c r="BD107">
        <f t="shared" ca="1" si="41"/>
        <v>0.57699115044247795</v>
      </c>
      <c r="BE107" s="4">
        <f t="shared" ca="1" si="31"/>
        <v>2.5914248609462513E-2</v>
      </c>
      <c r="BG107" t="s">
        <v>161</v>
      </c>
      <c r="BH107" s="4">
        <f ca="1">+VLOOKUP($BG107,INDIRECT(Adrese!B$2),8,FALSE)</f>
        <v>7.0387901996569524E-2</v>
      </c>
      <c r="BI107" s="4">
        <f ca="1">+VLOOKUP($BG107,INDIRECT(Adrese!C$2),8,FALSE)</f>
        <v>7.1877816642834186E-2</v>
      </c>
      <c r="BJ107" s="4">
        <f ca="1">+VLOOKUP($BG107,INDIRECT(Adrese!D$2),8,FALSE)</f>
        <v>7.1386954959660839E-2</v>
      </c>
      <c r="BK107" s="4">
        <f ca="1">+VLOOKUP($BG107,INDIRECT(Adrese!E$2),8,FALSE)</f>
        <v>7.1862370359169273E-2</v>
      </c>
      <c r="BL107" s="4">
        <f ca="1">+VLOOKUP($BG107,INDIRECT(Adrese!F$2),8,FALSE)</f>
        <v>7.2744491559108393E-2</v>
      </c>
      <c r="BM107" s="4" t="str">
        <f t="shared" ca="1" si="32"/>
        <v>0.07 (0.00)</v>
      </c>
      <c r="BN107" s="4">
        <f t="shared" ca="1" si="42"/>
        <v>7.1651907103468443E-2</v>
      </c>
      <c r="BO107" s="4">
        <f t="shared" ca="1" si="33"/>
        <v>8.5979346988934984E-4</v>
      </c>
      <c r="BQ107" t="s">
        <v>161</v>
      </c>
      <c r="BR107" s="4">
        <f ca="1">+VLOOKUP($BG107,INDIRECT(Adrese!B$2),9,FALSE)</f>
        <v>6.8934923231849216E-2</v>
      </c>
      <c r="BS107" s="4">
        <f ca="1">+VLOOKUP($BG107,INDIRECT(Adrese!C$2),9,FALSE)</f>
        <v>5.5685722581211107E-2</v>
      </c>
      <c r="BT107" s="4">
        <f ca="1">+VLOOKUP($BG107,INDIRECT(Adrese!D$2),9,FALSE)</f>
        <v>5.9525200046441781E-2</v>
      </c>
      <c r="BU107" s="4">
        <f ca="1">+VLOOKUP($BG107,INDIRECT(Adrese!E$2),9,FALSE)</f>
        <v>5.9282815829582163E-2</v>
      </c>
      <c r="BV107" s="4">
        <f ca="1">+VLOOKUP($BG107,INDIRECT(Adrese!F$2),9,FALSE)</f>
        <v>5.9721693585026603E-2</v>
      </c>
      <c r="BW107" s="4" t="str">
        <f t="shared" ca="1" si="34"/>
        <v>0.06 (0.00)</v>
      </c>
      <c r="BX107" s="4">
        <f t="shared" ca="1" si="43"/>
        <v>6.0630071054822175E-2</v>
      </c>
      <c r="BY107" s="4">
        <f t="shared" ca="1" si="35"/>
        <v>4.9314839988967591E-3</v>
      </c>
    </row>
    <row r="108" spans="1:77" x14ac:dyDescent="0.25">
      <c r="A108" t="s">
        <v>162</v>
      </c>
      <c r="B108" s="11">
        <f ca="1">+VLOOKUP($A108,INDIRECT(Adrese!B$2),2,FALSE)</f>
        <v>103</v>
      </c>
      <c r="C108" s="11">
        <f ca="1">+VLOOKUP($A108,INDIRECT(Adrese!C$2),2,FALSE)</f>
        <v>105</v>
      </c>
      <c r="D108" s="11">
        <f ca="1">+VLOOKUP($A108,INDIRECT(Adrese!D$2),2,FALSE)</f>
        <v>78</v>
      </c>
      <c r="E108" s="11">
        <f ca="1">+VLOOKUP($A108,INDIRECT(Adrese!E$2),2,FALSE)</f>
        <v>93</v>
      </c>
      <c r="F108" s="11">
        <f ca="1">+VLOOKUP($A108,INDIRECT(Adrese!F$2),2,FALSE)</f>
        <v>99</v>
      </c>
      <c r="G108" s="4">
        <f t="shared" ca="1" si="36"/>
        <v>95.6</v>
      </c>
      <c r="J108" t="s">
        <v>162</v>
      </c>
      <c r="K108">
        <f ca="1">+VLOOKUP($A108,INDIRECT(Adrese!B$2),3,FALSE)</f>
        <v>84</v>
      </c>
      <c r="L108">
        <f ca="1">+VLOOKUP($A108,INDIRECT(Adrese!C$2),3,FALSE)</f>
        <v>77</v>
      </c>
      <c r="M108">
        <f ca="1">+VLOOKUP($A108,INDIRECT(Adrese!D$2),3,FALSE)</f>
        <v>81</v>
      </c>
      <c r="N108">
        <f ca="1">+VLOOKUP($A108,INDIRECT(Adrese!E$2),3,FALSE)</f>
        <v>74</v>
      </c>
      <c r="O108">
        <f ca="1">+VLOOKUP($A108,INDIRECT(Adrese!F$2),3,FALSE)</f>
        <v>77</v>
      </c>
      <c r="P108">
        <f t="shared" ca="1" si="26"/>
        <v>393</v>
      </c>
      <c r="Q108" s="4">
        <f t="shared" ca="1" si="37"/>
        <v>78.599999999999994</v>
      </c>
      <c r="R108" s="4"/>
      <c r="T108" t="s">
        <v>162</v>
      </c>
      <c r="U108">
        <f ca="1">+VLOOKUP($T108,INDIRECT(Adrese!B$2),4,FALSE)</f>
        <v>95421</v>
      </c>
      <c r="V108">
        <f ca="1">+VLOOKUP($T108,INDIRECT(Adrese!C$2),4,FALSE)</f>
        <v>95373</v>
      </c>
      <c r="W108">
        <f ca="1">+VLOOKUP($T108,INDIRECT(Adrese!D$2),4,FALSE)</f>
        <v>96423</v>
      </c>
      <c r="X108">
        <f ca="1">+VLOOKUP($T108,INDIRECT(Adrese!E$2),4,FALSE)</f>
        <v>95969</v>
      </c>
      <c r="Y108">
        <f ca="1">+VLOOKUP($T108,INDIRECT(Adrese!F$2),4,FALSE)</f>
        <v>95452</v>
      </c>
      <c r="Z108">
        <f t="shared" ca="1" si="27"/>
        <v>478638</v>
      </c>
      <c r="AA108" s="4">
        <f t="shared" ca="1" si="38"/>
        <v>95727.6</v>
      </c>
      <c r="AC108" t="s">
        <v>162</v>
      </c>
      <c r="AD108">
        <f ca="1">+VLOOKUP($A108,INDIRECT(Adrese!B$2),5,FALSE)</f>
        <v>23906</v>
      </c>
      <c r="AE108">
        <f ca="1">+VLOOKUP($A108,INDIRECT(Adrese!C$2),5,FALSE)</f>
        <v>23900</v>
      </c>
      <c r="AF108">
        <f ca="1">+VLOOKUP($A108,INDIRECT(Adrese!D$2),5,FALSE)</f>
        <v>24335</v>
      </c>
      <c r="AG108">
        <f ca="1">+VLOOKUP($A108,INDIRECT(Adrese!E$2),5,FALSE)</f>
        <v>24367</v>
      </c>
      <c r="AH108">
        <f ca="1">+VLOOKUP($A108,INDIRECT(Adrese!F$2),5,FALSE)</f>
        <v>24091</v>
      </c>
      <c r="AI108" s="4">
        <f t="shared" ca="1" si="39"/>
        <v>24119.8</v>
      </c>
      <c r="AJ108" s="4"/>
      <c r="AK108" s="4"/>
      <c r="AM108" t="s">
        <v>162</v>
      </c>
      <c r="AN108" s="4">
        <f ca="1">+VLOOKUP($A108,INDIRECT(Adrese!B$2),6,FALSE)</f>
        <v>0.52590707964601768</v>
      </c>
      <c r="AO108" s="4">
        <f ca="1">+VLOOKUP($A108,INDIRECT(Adrese!C$2),6,FALSE)</f>
        <v>0.52584070796460181</v>
      </c>
      <c r="AP108" s="4">
        <f ca="1">+VLOOKUP($A108,INDIRECT(Adrese!D$2),6,FALSE)</f>
        <v>0.53502212389380532</v>
      </c>
      <c r="AQ108" s="4">
        <f ca="1">+VLOOKUP($A108,INDIRECT(Adrese!E$2),6,FALSE)</f>
        <v>0.5358849557522124</v>
      </c>
      <c r="AR108" s="4">
        <f ca="1">+VLOOKUP($A108,INDIRECT(Adrese!F$2),6,FALSE)</f>
        <v>0.52946902654867256</v>
      </c>
      <c r="AS108" s="4" t="str">
        <f t="shared" ca="1" si="28"/>
        <v>0.53 (0.00)</v>
      </c>
      <c r="AT108" s="4">
        <f t="shared" ca="1" si="40"/>
        <v>0.53042477876106209</v>
      </c>
      <c r="AU108" s="4">
        <f t="shared" ca="1" si="29"/>
        <v>4.8292309868333506E-3</v>
      </c>
      <c r="AW108" t="s">
        <v>162</v>
      </c>
      <c r="AX108" s="4">
        <f ca="1">+VLOOKUP($A108,INDIRECT(Adrese!B$2),7,FALSE)</f>
        <v>0.62831858407079644</v>
      </c>
      <c r="AY108" s="4">
        <f ca="1">+VLOOKUP($A108,INDIRECT(Adrese!C$2),7,FALSE)</f>
        <v>0.65929203539823011</v>
      </c>
      <c r="AZ108" s="4">
        <f ca="1">+VLOOKUP($A108,INDIRECT(Adrese!D$2),7,FALSE)</f>
        <v>0.6415929203539823</v>
      </c>
      <c r="BA108" s="4">
        <f ca="1">+VLOOKUP($A108,INDIRECT(Adrese!E$2),7,FALSE)</f>
        <v>0.67256637168141598</v>
      </c>
      <c r="BB108" s="4">
        <f ca="1">+VLOOKUP($A108,INDIRECT(Adrese!F$2),7,FALSE)</f>
        <v>0.65929203539823011</v>
      </c>
      <c r="BC108" s="4" t="str">
        <f t="shared" ca="1" si="30"/>
        <v>0.65 (0.02)</v>
      </c>
      <c r="BD108">
        <f t="shared" ca="1" si="41"/>
        <v>0.65221238938053094</v>
      </c>
      <c r="BE108" s="4">
        <f t="shared" ca="1" si="31"/>
        <v>1.7307617004962812E-2</v>
      </c>
      <c r="BG108" t="s">
        <v>162</v>
      </c>
      <c r="BH108" s="4">
        <f ca="1">+VLOOKUP($BG108,INDIRECT(Adrese!B$2),8,FALSE)</f>
        <v>7.6192457643063358E-2</v>
      </c>
      <c r="BI108" s="4">
        <f ca="1">+VLOOKUP($BG108,INDIRECT(Adrese!C$2),8,FALSE)</f>
        <v>7.5713211000628319E-2</v>
      </c>
      <c r="BJ108" s="4">
        <f ca="1">+VLOOKUP($BG108,INDIRECT(Adrese!D$2),8,FALSE)</f>
        <v>7.6577001516571652E-2</v>
      </c>
      <c r="BK108" s="4">
        <f ca="1">+VLOOKUP($BG108,INDIRECT(Adrese!E$2),8,FALSE)</f>
        <v>7.6841116913218557E-2</v>
      </c>
      <c r="BL108" s="4">
        <f ca="1">+VLOOKUP($BG108,INDIRECT(Adrese!F$2),8,FALSE)</f>
        <v>7.6554515467426282E-2</v>
      </c>
      <c r="BM108" s="4" t="str">
        <f t="shared" ca="1" si="32"/>
        <v>0.08 (0.00)</v>
      </c>
      <c r="BN108" s="4">
        <f t="shared" ca="1" si="42"/>
        <v>7.6375660508181634E-2</v>
      </c>
      <c r="BO108" s="4">
        <f t="shared" ca="1" si="33"/>
        <v>4.3634264143588606E-4</v>
      </c>
      <c r="BQ108" t="s">
        <v>162</v>
      </c>
      <c r="BR108" s="4">
        <f ca="1">+VLOOKUP($BG108,INDIRECT(Adrese!B$2),9,FALSE)</f>
        <v>3.9442988826156357E-2</v>
      </c>
      <c r="BS108" s="4">
        <f ca="1">+VLOOKUP($BG108,INDIRECT(Adrese!C$2),9,FALSE)</f>
        <v>3.8302239098182367E-2</v>
      </c>
      <c r="BT108" s="4">
        <f ca="1">+VLOOKUP($BG108,INDIRECT(Adrese!D$2),9,FALSE)</f>
        <v>3.3939998489747499E-2</v>
      </c>
      <c r="BU108" s="4">
        <f ca="1">+VLOOKUP($BG108,INDIRECT(Adrese!E$2),9,FALSE)</f>
        <v>3.3188743293783317E-2</v>
      </c>
      <c r="BV108" s="4">
        <f ca="1">+VLOOKUP($BG108,INDIRECT(Adrese!F$2),9,FALSE)</f>
        <v>3.4977090337495673E-2</v>
      </c>
      <c r="BW108" s="4" t="str">
        <f t="shared" ca="1" si="34"/>
        <v>0.04 (0.00)</v>
      </c>
      <c r="BX108" s="4">
        <f t="shared" ca="1" si="43"/>
        <v>3.5970212009073042E-2</v>
      </c>
      <c r="BY108" s="4">
        <f t="shared" ca="1" si="35"/>
        <v>2.7542310618553474E-3</v>
      </c>
    </row>
    <row r="109" spans="1:77" x14ac:dyDescent="0.25">
      <c r="A109" t="s">
        <v>163</v>
      </c>
      <c r="B109" s="11">
        <f ca="1">+VLOOKUP($A109,INDIRECT(Adrese!B$2),2,FALSE)</f>
        <v>23</v>
      </c>
      <c r="C109" s="11">
        <f ca="1">+VLOOKUP($A109,INDIRECT(Adrese!C$2),2,FALSE)</f>
        <v>22</v>
      </c>
      <c r="D109" s="11">
        <f ca="1">+VLOOKUP($A109,INDIRECT(Adrese!D$2),2,FALSE)</f>
        <v>26</v>
      </c>
      <c r="E109" s="11">
        <f ca="1">+VLOOKUP($A109,INDIRECT(Adrese!E$2),2,FALSE)</f>
        <v>19</v>
      </c>
      <c r="F109" s="11">
        <f ca="1">+VLOOKUP($A109,INDIRECT(Adrese!F$2),2,FALSE)</f>
        <v>15</v>
      </c>
      <c r="G109" s="4">
        <f t="shared" ca="1" si="36"/>
        <v>21</v>
      </c>
      <c r="J109" t="s">
        <v>163</v>
      </c>
      <c r="K109">
        <f ca="1">+VLOOKUP($A109,INDIRECT(Adrese!B$2),3,FALSE)</f>
        <v>41</v>
      </c>
      <c r="L109">
        <f ca="1">+VLOOKUP($A109,INDIRECT(Adrese!C$2),3,FALSE)</f>
        <v>46</v>
      </c>
      <c r="M109">
        <f ca="1">+VLOOKUP($A109,INDIRECT(Adrese!D$2),3,FALSE)</f>
        <v>38</v>
      </c>
      <c r="N109">
        <f ca="1">+VLOOKUP($A109,INDIRECT(Adrese!E$2),3,FALSE)</f>
        <v>36</v>
      </c>
      <c r="O109">
        <f ca="1">+VLOOKUP($A109,INDIRECT(Adrese!F$2),3,FALSE)</f>
        <v>45</v>
      </c>
      <c r="P109">
        <f t="shared" ca="1" si="26"/>
        <v>206</v>
      </c>
      <c r="Q109" s="4">
        <f t="shared" ca="1" si="37"/>
        <v>41.2</v>
      </c>
      <c r="R109" s="4"/>
      <c r="T109" t="s">
        <v>163</v>
      </c>
      <c r="U109">
        <f ca="1">+VLOOKUP($T109,INDIRECT(Adrese!B$2),4,FALSE)</f>
        <v>99643</v>
      </c>
      <c r="V109">
        <f ca="1">+VLOOKUP($T109,INDIRECT(Adrese!C$2),4,FALSE)</f>
        <v>99724</v>
      </c>
      <c r="W109">
        <f ca="1">+VLOOKUP($T109,INDIRECT(Adrese!D$2),4,FALSE)</f>
        <v>99147</v>
      </c>
      <c r="X109">
        <f ca="1">+VLOOKUP($T109,INDIRECT(Adrese!E$2),4,FALSE)</f>
        <v>99911</v>
      </c>
      <c r="Y109">
        <f ca="1">+VLOOKUP($T109,INDIRECT(Adrese!F$2),4,FALSE)</f>
        <v>100432</v>
      </c>
      <c r="Z109">
        <f t="shared" ca="1" si="27"/>
        <v>498857</v>
      </c>
      <c r="AA109" s="4">
        <f t="shared" ca="1" si="38"/>
        <v>99771.4</v>
      </c>
      <c r="AC109" t="s">
        <v>163</v>
      </c>
      <c r="AD109">
        <f ca="1">+VLOOKUP($A109,INDIRECT(Adrese!B$2),5,FALSE)</f>
        <v>30988</v>
      </c>
      <c r="AE109">
        <f ca="1">+VLOOKUP($A109,INDIRECT(Adrese!C$2),5,FALSE)</f>
        <v>30469</v>
      </c>
      <c r="AF109">
        <f ca="1">+VLOOKUP($A109,INDIRECT(Adrese!D$2),5,FALSE)</f>
        <v>31587</v>
      </c>
      <c r="AG109">
        <f ca="1">+VLOOKUP($A109,INDIRECT(Adrese!E$2),5,FALSE)</f>
        <v>31838</v>
      </c>
      <c r="AH109">
        <f ca="1">+VLOOKUP($A109,INDIRECT(Adrese!F$2),5,FALSE)</f>
        <v>31235</v>
      </c>
      <c r="AI109" s="4">
        <f t="shared" ca="1" si="39"/>
        <v>31223.4</v>
      </c>
      <c r="AJ109" s="4"/>
      <c r="AK109" s="4"/>
      <c r="AM109" t="s">
        <v>163</v>
      </c>
      <c r="AN109" s="4">
        <f ca="1">+VLOOKUP($A109,INDIRECT(Adrese!B$2),6,FALSE)</f>
        <v>0.68161504424778763</v>
      </c>
      <c r="AO109" s="4">
        <f ca="1">+VLOOKUP($A109,INDIRECT(Adrese!C$2),6,FALSE)</f>
        <v>0.67017699115044249</v>
      </c>
      <c r="AP109" s="4">
        <f ca="1">+VLOOKUP($A109,INDIRECT(Adrese!D$2),6,FALSE)</f>
        <v>0.69502212389380535</v>
      </c>
      <c r="AQ109" s="4">
        <f ca="1">+VLOOKUP($A109,INDIRECT(Adrese!E$2),6,FALSE)</f>
        <v>0.70042035398230085</v>
      </c>
      <c r="AR109" s="4">
        <f ca="1">+VLOOKUP($A109,INDIRECT(Adrese!F$2),6,FALSE)</f>
        <v>0.68716814159292039</v>
      </c>
      <c r="AS109" s="4" t="str">
        <f t="shared" ca="1" si="28"/>
        <v>0.69 (0.01)</v>
      </c>
      <c r="AT109" s="4">
        <f t="shared" ca="1" si="40"/>
        <v>0.68688053097345136</v>
      </c>
      <c r="AU109" s="4">
        <f t="shared" ca="1" si="29"/>
        <v>1.1794370005824216E-2</v>
      </c>
      <c r="AW109" t="s">
        <v>163</v>
      </c>
      <c r="AX109" s="4">
        <f ca="1">+VLOOKUP($A109,INDIRECT(Adrese!B$2),7,FALSE)</f>
        <v>0.81858407079646023</v>
      </c>
      <c r="AY109" s="4">
        <f ca="1">+VLOOKUP($A109,INDIRECT(Adrese!C$2),7,FALSE)</f>
        <v>0.79646017699115046</v>
      </c>
      <c r="AZ109" s="4">
        <f ca="1">+VLOOKUP($A109,INDIRECT(Adrese!D$2),7,FALSE)</f>
        <v>0.83185840707964598</v>
      </c>
      <c r="BA109" s="4">
        <f ca="1">+VLOOKUP($A109,INDIRECT(Adrese!E$2),7,FALSE)</f>
        <v>0.84070796460176989</v>
      </c>
      <c r="BB109" s="4">
        <f ca="1">+VLOOKUP($A109,INDIRECT(Adrese!F$2),7,FALSE)</f>
        <v>0.80088495575221241</v>
      </c>
      <c r="BC109" s="4" t="str">
        <f t="shared" ca="1" si="30"/>
        <v>0.82 (0.02)</v>
      </c>
      <c r="BD109">
        <f t="shared" ca="1" si="41"/>
        <v>0.81769911504424775</v>
      </c>
      <c r="BE109" s="4">
        <f t="shared" ca="1" si="31"/>
        <v>1.9134290540212057E-2</v>
      </c>
      <c r="BG109" t="s">
        <v>163</v>
      </c>
      <c r="BH109" s="4">
        <f ca="1">+VLOOKUP($BG109,INDIRECT(Adrese!B$2),8,FALSE)</f>
        <v>9.7430236303120685E-2</v>
      </c>
      <c r="BI109" s="4">
        <f ca="1">+VLOOKUP($BG109,INDIRECT(Adrese!C$2),8,FALSE)</f>
        <v>9.6487940862023364E-2</v>
      </c>
      <c r="BJ109" s="4">
        <f ca="1">+VLOOKUP($BG109,INDIRECT(Adrese!D$2),8,FALSE)</f>
        <v>9.8689879494502072E-2</v>
      </c>
      <c r="BK109" s="4">
        <f ca="1">+VLOOKUP($BG109,INDIRECT(Adrese!E$2),8,FALSE)</f>
        <v>9.8839926347490226E-2</v>
      </c>
      <c r="BL109" s="4">
        <f ca="1">+VLOOKUP($BG109,INDIRECT(Adrese!F$2),8,FALSE)</f>
        <v>9.8074588322106304E-2</v>
      </c>
      <c r="BM109" s="4" t="str">
        <f t="shared" ca="1" si="32"/>
        <v>0.10 (0.00)</v>
      </c>
      <c r="BN109" s="4">
        <f t="shared" ca="1" si="42"/>
        <v>9.7904514265848536E-2</v>
      </c>
      <c r="BO109" s="4">
        <f t="shared" ca="1" si="33"/>
        <v>9.6854778971217353E-4</v>
      </c>
      <c r="BQ109" t="s">
        <v>163</v>
      </c>
      <c r="BR109" s="4">
        <f ca="1">+VLOOKUP($BG109,INDIRECT(Adrese!B$2),9,FALSE)</f>
        <v>-1.4661185225342261E-2</v>
      </c>
      <c r="BS109" s="4">
        <f ca="1">+VLOOKUP($BG109,INDIRECT(Adrese!C$2),9,FALSE)</f>
        <v>-1.370241198816574E-2</v>
      </c>
      <c r="BT109" s="4">
        <f ca="1">+VLOOKUP($BG109,INDIRECT(Adrese!D$2),9,FALSE)</f>
        <v>-2.555894745243514E-2</v>
      </c>
      <c r="BU109" s="4">
        <f ca="1">+VLOOKUP($BG109,INDIRECT(Adrese!E$2),9,FALSE)</f>
        <v>-2.6722823135485008E-2</v>
      </c>
      <c r="BV109" s="4">
        <f ca="1">+VLOOKUP($BG109,INDIRECT(Adrese!F$2),9,FALSE)</f>
        <v>-2.0611918187053449E-2</v>
      </c>
      <c r="BW109" s="4" t="str">
        <f t="shared" ca="1" si="34"/>
        <v>-0.02 (0.01)</v>
      </c>
      <c r="BX109" s="4">
        <f t="shared" ca="1" si="43"/>
        <v>-2.0251457197696318E-2</v>
      </c>
      <c r="BY109" s="4">
        <f t="shared" ca="1" si="35"/>
        <v>6.0066441527514046E-3</v>
      </c>
    </row>
    <row r="110" spans="1:77" x14ac:dyDescent="0.25">
      <c r="A110" t="s">
        <v>164</v>
      </c>
      <c r="B110" s="11">
        <f ca="1">+VLOOKUP($A110,INDIRECT(Adrese!B$2),2,FALSE)</f>
        <v>142</v>
      </c>
      <c r="C110" s="11">
        <f ca="1">+VLOOKUP($A110,INDIRECT(Adrese!C$2),2,FALSE)</f>
        <v>154</v>
      </c>
      <c r="D110" s="11">
        <f ca="1">+VLOOKUP($A110,INDIRECT(Adrese!D$2),2,FALSE)</f>
        <v>150</v>
      </c>
      <c r="E110" s="11">
        <f ca="1">+VLOOKUP($A110,INDIRECT(Adrese!E$2),2,FALSE)</f>
        <v>140</v>
      </c>
      <c r="F110" s="11">
        <f ca="1">+VLOOKUP($A110,INDIRECT(Adrese!F$2),2,FALSE)</f>
        <v>149</v>
      </c>
      <c r="G110" s="4">
        <f t="shared" ca="1" si="36"/>
        <v>147</v>
      </c>
      <c r="J110" t="s">
        <v>164</v>
      </c>
      <c r="K110">
        <f ca="1">+VLOOKUP($A110,INDIRECT(Adrese!B$2),3,FALSE)</f>
        <v>198</v>
      </c>
      <c r="L110">
        <f ca="1">+VLOOKUP($A110,INDIRECT(Adrese!C$2),3,FALSE)</f>
        <v>193</v>
      </c>
      <c r="M110">
        <f ca="1">+VLOOKUP($A110,INDIRECT(Adrese!D$2),3,FALSE)</f>
        <v>194</v>
      </c>
      <c r="N110">
        <f ca="1">+VLOOKUP($A110,INDIRECT(Adrese!E$2),3,FALSE)</f>
        <v>195</v>
      </c>
      <c r="O110">
        <f ca="1">+VLOOKUP($A110,INDIRECT(Adrese!F$2),3,FALSE)</f>
        <v>192</v>
      </c>
      <c r="P110">
        <f t="shared" ca="1" si="26"/>
        <v>972</v>
      </c>
      <c r="Q110" s="4">
        <f t="shared" ca="1" si="37"/>
        <v>194.4</v>
      </c>
      <c r="R110" s="4"/>
      <c r="T110" t="s">
        <v>164</v>
      </c>
      <c r="U110">
        <f ca="1">+VLOOKUP($T110,INDIRECT(Adrese!B$2),4,FALSE)</f>
        <v>93908</v>
      </c>
      <c r="V110">
        <f ca="1">+VLOOKUP($T110,INDIRECT(Adrese!C$2),4,FALSE)</f>
        <v>93413</v>
      </c>
      <c r="W110">
        <f ca="1">+VLOOKUP($T110,INDIRECT(Adrese!D$2),4,FALSE)</f>
        <v>93510</v>
      </c>
      <c r="X110">
        <f ca="1">+VLOOKUP($T110,INDIRECT(Adrese!E$2),4,FALSE)</f>
        <v>94113</v>
      </c>
      <c r="Y110">
        <f ca="1">+VLOOKUP($T110,INDIRECT(Adrese!F$2),4,FALSE)</f>
        <v>93512</v>
      </c>
      <c r="Z110">
        <f t="shared" ca="1" si="27"/>
        <v>468456</v>
      </c>
      <c r="AA110" s="4">
        <f t="shared" ca="1" si="38"/>
        <v>93691.199999999997</v>
      </c>
      <c r="AC110" t="s">
        <v>164</v>
      </c>
      <c r="AD110">
        <f ca="1">+VLOOKUP($A110,INDIRECT(Adrese!B$2),5,FALSE)</f>
        <v>10401</v>
      </c>
      <c r="AE110">
        <f ca="1">+VLOOKUP($A110,INDIRECT(Adrese!C$2),5,FALSE)</f>
        <v>10173</v>
      </c>
      <c r="AF110">
        <f ca="1">+VLOOKUP($A110,INDIRECT(Adrese!D$2),5,FALSE)</f>
        <v>10094</v>
      </c>
      <c r="AG110">
        <f ca="1">+VLOOKUP($A110,INDIRECT(Adrese!E$2),5,FALSE)</f>
        <v>10186</v>
      </c>
      <c r="AH110">
        <f ca="1">+VLOOKUP($A110,INDIRECT(Adrese!F$2),5,FALSE)</f>
        <v>9995</v>
      </c>
      <c r="AI110" s="4">
        <f t="shared" ca="1" si="39"/>
        <v>10169.799999999999</v>
      </c>
      <c r="AJ110" s="4"/>
      <c r="AK110" s="4"/>
      <c r="AM110" t="s">
        <v>164</v>
      </c>
      <c r="AN110" s="4">
        <f ca="1">+VLOOKUP($A110,INDIRECT(Adrese!B$2),6,FALSE)</f>
        <v>0.22960176991150441</v>
      </c>
      <c r="AO110" s="4">
        <f ca="1">+VLOOKUP($A110,INDIRECT(Adrese!C$2),6,FALSE)</f>
        <v>0.22440265486725661</v>
      </c>
      <c r="AP110" s="4">
        <f ca="1">+VLOOKUP($A110,INDIRECT(Adrese!D$2),6,FALSE)</f>
        <v>0.22294247787610619</v>
      </c>
      <c r="AQ110" s="4">
        <f ca="1">+VLOOKUP($A110,INDIRECT(Adrese!E$2),6,FALSE)</f>
        <v>0.22460176991150441</v>
      </c>
      <c r="AR110" s="4">
        <f ca="1">+VLOOKUP($A110,INDIRECT(Adrese!F$2),6,FALSE)</f>
        <v>0.2203982300884956</v>
      </c>
      <c r="AS110" s="4" t="str">
        <f t="shared" ca="1" si="28"/>
        <v>0.22 (0.00)</v>
      </c>
      <c r="AT110" s="4">
        <f t="shared" ca="1" si="40"/>
        <v>0.22438938053097343</v>
      </c>
      <c r="AU110" s="4">
        <f t="shared" ca="1" si="29"/>
        <v>3.3629264658326641E-3</v>
      </c>
      <c r="AW110" t="s">
        <v>164</v>
      </c>
      <c r="AX110" s="4">
        <f ca="1">+VLOOKUP($A110,INDIRECT(Adrese!B$2),7,FALSE)</f>
        <v>0.1238938053097345</v>
      </c>
      <c r="AY110" s="4">
        <f ca="1">+VLOOKUP($A110,INDIRECT(Adrese!C$2),7,FALSE)</f>
        <v>0.14601769911504431</v>
      </c>
      <c r="AZ110" s="4">
        <f ca="1">+VLOOKUP($A110,INDIRECT(Adrese!D$2),7,FALSE)</f>
        <v>0.1415929203539823</v>
      </c>
      <c r="BA110" s="4">
        <f ca="1">+VLOOKUP($A110,INDIRECT(Adrese!E$2),7,FALSE)</f>
        <v>0.13716814159292029</v>
      </c>
      <c r="BB110" s="4">
        <f ca="1">+VLOOKUP($A110,INDIRECT(Adrese!F$2),7,FALSE)</f>
        <v>0.15044247787610621</v>
      </c>
      <c r="BC110" s="4" t="str">
        <f t="shared" ca="1" si="30"/>
        <v>0.14 (0.01)</v>
      </c>
      <c r="BD110">
        <f t="shared" ca="1" si="41"/>
        <v>0.13982300884955751</v>
      </c>
      <c r="BE110" s="4">
        <f t="shared" ca="1" si="31"/>
        <v>1.0186605693116252E-2</v>
      </c>
      <c r="BG110" t="s">
        <v>164</v>
      </c>
      <c r="BH110" s="4">
        <f ca="1">+VLOOKUP($BG110,INDIRECT(Adrese!B$2),8,FALSE)</f>
        <v>3.5480972554089933E-2</v>
      </c>
      <c r="BI110" s="4">
        <f ca="1">+VLOOKUP($BG110,INDIRECT(Adrese!C$2),8,FALSE)</f>
        <v>3.3977064303715263E-2</v>
      </c>
      <c r="BJ110" s="4">
        <f ca="1">+VLOOKUP($BG110,INDIRECT(Adrese!D$2),8,FALSE)</f>
        <v>3.4381756863037162E-2</v>
      </c>
      <c r="BK110" s="4">
        <f ca="1">+VLOOKUP($BG110,INDIRECT(Adrese!E$2),8,FALSE)</f>
        <v>3.4449048777354857E-2</v>
      </c>
      <c r="BL110" s="4">
        <f ca="1">+VLOOKUP($BG110,INDIRECT(Adrese!F$2),8,FALSE)</f>
        <v>3.347740766842551E-2</v>
      </c>
      <c r="BM110" s="4" t="str">
        <f t="shared" ca="1" si="32"/>
        <v>0.03 (0.00)</v>
      </c>
      <c r="BN110" s="4">
        <f t="shared" ca="1" si="42"/>
        <v>3.4353250033324546E-2</v>
      </c>
      <c r="BO110" s="4">
        <f t="shared" ca="1" si="33"/>
        <v>7.3999386380109477E-4</v>
      </c>
      <c r="BQ110" t="s">
        <v>164</v>
      </c>
      <c r="BR110" s="4">
        <f ca="1">+VLOOKUP($BG110,INDIRECT(Adrese!B$2),9,FALSE)</f>
        <v>0.11817396614606721</v>
      </c>
      <c r="BS110" s="4">
        <f ca="1">+VLOOKUP($BG110,INDIRECT(Adrese!C$2),9,FALSE)</f>
        <v>0.11747357803601351</v>
      </c>
      <c r="BT110" s="4">
        <f ca="1">+VLOOKUP($BG110,INDIRECT(Adrese!D$2),9,FALSE)</f>
        <v>0.1195918014958776</v>
      </c>
      <c r="BU110" s="4">
        <f ca="1">+VLOOKUP($BG110,INDIRECT(Adrese!E$2),9,FALSE)</f>
        <v>0.1143431451369831</v>
      </c>
      <c r="BV110" s="4">
        <f ca="1">+VLOOKUP($BG110,INDIRECT(Adrese!F$2),9,FALSE)</f>
        <v>0.1151702993444027</v>
      </c>
      <c r="BW110" s="4" t="str">
        <f t="shared" ca="1" si="34"/>
        <v>0.12 (0.00)</v>
      </c>
      <c r="BX110" s="4">
        <f t="shared" ca="1" si="43"/>
        <v>0.11695055803186882</v>
      </c>
      <c r="BY110" s="4">
        <f t="shared" ca="1" si="35"/>
        <v>2.163005280478181E-3</v>
      </c>
    </row>
    <row r="111" spans="1:77" x14ac:dyDescent="0.25">
      <c r="A111" t="s">
        <v>165</v>
      </c>
      <c r="B111" s="11">
        <f ca="1">+VLOOKUP($A111,INDIRECT(Adrese!B$2),2,FALSE)</f>
        <v>205</v>
      </c>
      <c r="C111" s="11">
        <f ca="1">+VLOOKUP($A111,INDIRECT(Adrese!C$2),2,FALSE)</f>
        <v>194</v>
      </c>
      <c r="D111" s="11">
        <f ca="1">+VLOOKUP($A111,INDIRECT(Adrese!D$2),2,FALSE)</f>
        <v>198</v>
      </c>
      <c r="E111" s="11">
        <f ca="1">+VLOOKUP($A111,INDIRECT(Adrese!E$2),2,FALSE)</f>
        <v>201</v>
      </c>
      <c r="F111" s="11">
        <f ca="1">+VLOOKUP($A111,INDIRECT(Adrese!F$2),2,FALSE)</f>
        <v>182</v>
      </c>
      <c r="G111" s="4">
        <f t="shared" ca="1" si="36"/>
        <v>196</v>
      </c>
      <c r="J111" t="s">
        <v>165</v>
      </c>
      <c r="K111">
        <f ca="1">+VLOOKUP($A111,INDIRECT(Adrese!B$2),3,FALSE)</f>
        <v>78</v>
      </c>
      <c r="L111">
        <f ca="1">+VLOOKUP($A111,INDIRECT(Adrese!C$2),3,FALSE)</f>
        <v>77</v>
      </c>
      <c r="M111">
        <f ca="1">+VLOOKUP($A111,INDIRECT(Adrese!D$2),3,FALSE)</f>
        <v>74</v>
      </c>
      <c r="N111">
        <f ca="1">+VLOOKUP($A111,INDIRECT(Adrese!E$2),3,FALSE)</f>
        <v>71</v>
      </c>
      <c r="O111">
        <f ca="1">+VLOOKUP($A111,INDIRECT(Adrese!F$2),3,FALSE)</f>
        <v>77</v>
      </c>
      <c r="P111">
        <f t="shared" ca="1" si="26"/>
        <v>377</v>
      </c>
      <c r="Q111" s="4">
        <f t="shared" ca="1" si="37"/>
        <v>75.400000000000006</v>
      </c>
      <c r="R111" s="4"/>
      <c r="T111" t="s">
        <v>165</v>
      </c>
      <c r="U111">
        <f ca="1">+VLOOKUP($T111,INDIRECT(Adrese!B$2),4,FALSE)</f>
        <v>88434</v>
      </c>
      <c r="V111">
        <f ca="1">+VLOOKUP($T111,INDIRECT(Adrese!C$2),4,FALSE)</f>
        <v>89057</v>
      </c>
      <c r="W111">
        <f ca="1">+VLOOKUP($T111,INDIRECT(Adrese!D$2),4,FALSE)</f>
        <v>88653</v>
      </c>
      <c r="X111">
        <f ca="1">+VLOOKUP($T111,INDIRECT(Adrese!E$2),4,FALSE)</f>
        <v>88491</v>
      </c>
      <c r="Y111">
        <f ca="1">+VLOOKUP($T111,INDIRECT(Adrese!F$2),4,FALSE)</f>
        <v>90295</v>
      </c>
      <c r="Z111">
        <f t="shared" ca="1" si="27"/>
        <v>444930</v>
      </c>
      <c r="AA111" s="4">
        <f t="shared" ca="1" si="38"/>
        <v>88986</v>
      </c>
      <c r="AC111" t="s">
        <v>165</v>
      </c>
      <c r="AD111">
        <f ca="1">+VLOOKUP($A111,INDIRECT(Adrese!B$2),5,FALSE)</f>
        <v>23613</v>
      </c>
      <c r="AE111">
        <f ca="1">+VLOOKUP($A111,INDIRECT(Adrese!C$2),5,FALSE)</f>
        <v>23555</v>
      </c>
      <c r="AF111">
        <f ca="1">+VLOOKUP($A111,INDIRECT(Adrese!D$2),5,FALSE)</f>
        <v>23502</v>
      </c>
      <c r="AG111">
        <f ca="1">+VLOOKUP($A111,INDIRECT(Adrese!E$2),5,FALSE)</f>
        <v>23678</v>
      </c>
      <c r="AH111">
        <f ca="1">+VLOOKUP($A111,INDIRECT(Adrese!F$2),5,FALSE)</f>
        <v>23531</v>
      </c>
      <c r="AI111" s="4">
        <f t="shared" ca="1" si="39"/>
        <v>23575.8</v>
      </c>
      <c r="AJ111" s="4"/>
      <c r="AK111" s="4"/>
      <c r="AM111" t="s">
        <v>165</v>
      </c>
      <c r="AN111" s="4">
        <f ca="1">+VLOOKUP($A111,INDIRECT(Adrese!B$2),6,FALSE)</f>
        <v>0.51882743362831862</v>
      </c>
      <c r="AO111" s="4">
        <f ca="1">+VLOOKUP($A111,INDIRECT(Adrese!C$2),6,FALSE)</f>
        <v>0.51798672566371684</v>
      </c>
      <c r="AP111" s="4">
        <f ca="1">+VLOOKUP($A111,INDIRECT(Adrese!D$2),6,FALSE)</f>
        <v>0.51650442477876102</v>
      </c>
      <c r="AQ111" s="4">
        <f ca="1">+VLOOKUP($A111,INDIRECT(Adrese!E$2),6,FALSE)</f>
        <v>0.52055309734513278</v>
      </c>
      <c r="AR111" s="4">
        <f ca="1">+VLOOKUP($A111,INDIRECT(Adrese!F$2),6,FALSE)</f>
        <v>0.51719026548672564</v>
      </c>
      <c r="AS111" s="4" t="str">
        <f t="shared" ca="1" si="28"/>
        <v>0.52 (0.00)</v>
      </c>
      <c r="AT111" s="4">
        <f t="shared" ca="1" si="40"/>
        <v>0.51821238938053105</v>
      </c>
      <c r="AU111" s="4">
        <f t="shared" ca="1" si="29"/>
        <v>1.5708276202817686E-3</v>
      </c>
      <c r="AW111" t="s">
        <v>165</v>
      </c>
      <c r="AX111" s="4">
        <f ca="1">+VLOOKUP($A111,INDIRECT(Adrese!B$2),7,FALSE)</f>
        <v>0.65486725663716816</v>
      </c>
      <c r="AY111" s="4">
        <f ca="1">+VLOOKUP($A111,INDIRECT(Adrese!C$2),7,FALSE)</f>
        <v>0.65929203539823011</v>
      </c>
      <c r="AZ111" s="4">
        <f ca="1">+VLOOKUP($A111,INDIRECT(Adrese!D$2),7,FALSE)</f>
        <v>0.67256637168141598</v>
      </c>
      <c r="BA111" s="4">
        <f ca="1">+VLOOKUP($A111,INDIRECT(Adrese!E$2),7,FALSE)</f>
        <v>0.68584070796460173</v>
      </c>
      <c r="BB111" s="4">
        <f ca="1">+VLOOKUP($A111,INDIRECT(Adrese!F$2),7,FALSE)</f>
        <v>0.65929203539823011</v>
      </c>
      <c r="BC111" s="4" t="str">
        <f t="shared" ca="1" si="30"/>
        <v>0.67 (0.01)</v>
      </c>
      <c r="BD111">
        <f t="shared" ca="1" si="41"/>
        <v>0.66637168141592917</v>
      </c>
      <c r="BE111" s="4">
        <f t="shared" ca="1" si="31"/>
        <v>1.2747663974237086E-2</v>
      </c>
      <c r="BG111" t="s">
        <v>165</v>
      </c>
      <c r="BH111" s="4">
        <f ca="1">+VLOOKUP($BG111,INDIRECT(Adrese!B$2),8,FALSE)</f>
        <v>6.6475361935541932E-2</v>
      </c>
      <c r="BI111" s="4">
        <f ca="1">+VLOOKUP($BG111,INDIRECT(Adrese!C$2),8,FALSE)</f>
        <v>6.6069481235827926E-2</v>
      </c>
      <c r="BJ111" s="4">
        <f ca="1">+VLOOKUP($BG111,INDIRECT(Adrese!D$2),8,FALSE)</f>
        <v>6.6076270901856138E-2</v>
      </c>
      <c r="BK111" s="4">
        <f ca="1">+VLOOKUP($BG111,INDIRECT(Adrese!E$2),8,FALSE)</f>
        <v>6.6497172814029615E-2</v>
      </c>
      <c r="BL111" s="4">
        <f ca="1">+VLOOKUP($BG111,INDIRECT(Adrese!F$2),8,FALSE)</f>
        <v>6.5894051715080768E-2</v>
      </c>
      <c r="BM111" s="4" t="str">
        <f t="shared" ca="1" si="32"/>
        <v>0.07 (0.00)</v>
      </c>
      <c r="BN111" s="4">
        <f t="shared" ca="1" si="42"/>
        <v>6.620246772046727E-2</v>
      </c>
      <c r="BO111" s="4">
        <f t="shared" ca="1" si="33"/>
        <v>2.6928322417840803E-4</v>
      </c>
      <c r="BQ111" t="s">
        <v>165</v>
      </c>
      <c r="BR111" s="4">
        <f ca="1">+VLOOKUP($BG111,INDIRECT(Adrese!B$2),9,FALSE)</f>
        <v>-1.9028209160936E-3</v>
      </c>
      <c r="BS111" s="4">
        <f ca="1">+VLOOKUP($BG111,INDIRECT(Adrese!C$2),9,FALSE)</f>
        <v>-4.4610179181952684E-3</v>
      </c>
      <c r="BT111" s="4">
        <f ca="1">+VLOOKUP($BG111,INDIRECT(Adrese!D$2),9,FALSE)</f>
        <v>-5.7138457046348643E-4</v>
      </c>
      <c r="BU111" s="4">
        <f ca="1">+VLOOKUP($BG111,INDIRECT(Adrese!E$2),9,FALSE)</f>
        <v>-1.869765042701311E-3</v>
      </c>
      <c r="BV111" s="4">
        <f ca="1">+VLOOKUP($BG111,INDIRECT(Adrese!F$2),9,FALSE)</f>
        <v>-6.0817119664084551E-3</v>
      </c>
      <c r="BW111" s="4" t="str">
        <f t="shared" ca="1" si="34"/>
        <v>0.00 (0.00)</v>
      </c>
      <c r="BX111" s="4">
        <f t="shared" ca="1" si="43"/>
        <v>-2.9773400827724241E-3</v>
      </c>
      <c r="BY111" s="4">
        <f t="shared" ca="1" si="35"/>
        <v>2.2365352974742757E-3</v>
      </c>
    </row>
    <row r="112" spans="1:77" x14ac:dyDescent="0.25">
      <c r="A112" t="s">
        <v>166</v>
      </c>
      <c r="B112" s="11">
        <f ca="1">+VLOOKUP($A112,INDIRECT(Adrese!B$2),2,FALSE)</f>
        <v>29</v>
      </c>
      <c r="C112" s="11">
        <f ca="1">+VLOOKUP($A112,INDIRECT(Adrese!C$2),2,FALSE)</f>
        <v>76</v>
      </c>
      <c r="D112" s="11">
        <f ca="1">+VLOOKUP($A112,INDIRECT(Adrese!D$2),2,FALSE)</f>
        <v>24</v>
      </c>
      <c r="E112" s="11">
        <f ca="1">+VLOOKUP($A112,INDIRECT(Adrese!E$2),2,FALSE)</f>
        <v>47</v>
      </c>
      <c r="F112" s="11">
        <f ca="1">+VLOOKUP($A112,INDIRECT(Adrese!F$2),2,FALSE)</f>
        <v>30</v>
      </c>
      <c r="G112" s="4">
        <f t="shared" ca="1" si="36"/>
        <v>41.2</v>
      </c>
      <c r="J112" t="s">
        <v>166</v>
      </c>
      <c r="K112">
        <f ca="1">+VLOOKUP($A112,INDIRECT(Adrese!B$2),3,FALSE)</f>
        <v>65</v>
      </c>
      <c r="L112">
        <f ca="1">+VLOOKUP($A112,INDIRECT(Adrese!C$2),3,FALSE)</f>
        <v>73</v>
      </c>
      <c r="M112">
        <f ca="1">+VLOOKUP($A112,INDIRECT(Adrese!D$2),3,FALSE)</f>
        <v>78</v>
      </c>
      <c r="N112">
        <f ca="1">+VLOOKUP($A112,INDIRECT(Adrese!E$2),3,FALSE)</f>
        <v>71</v>
      </c>
      <c r="O112">
        <f ca="1">+VLOOKUP($A112,INDIRECT(Adrese!F$2),3,FALSE)</f>
        <v>62</v>
      </c>
      <c r="P112">
        <f t="shared" ca="1" si="26"/>
        <v>349</v>
      </c>
      <c r="Q112" s="4">
        <f t="shared" ca="1" si="37"/>
        <v>69.8</v>
      </c>
      <c r="R112" s="4"/>
      <c r="T112" t="s">
        <v>166</v>
      </c>
      <c r="U112">
        <f ca="1">+VLOOKUP($T112,INDIRECT(Adrese!B$2),4,FALSE)</f>
        <v>98923</v>
      </c>
      <c r="V112">
        <f ca="1">+VLOOKUP($T112,INDIRECT(Adrese!C$2),4,FALSE)</f>
        <v>96315</v>
      </c>
      <c r="W112">
        <f ca="1">+VLOOKUP($T112,INDIRECT(Adrese!D$2),4,FALSE)</f>
        <v>99239</v>
      </c>
      <c r="X112">
        <f ca="1">+VLOOKUP($T112,INDIRECT(Adrese!E$2),4,FALSE)</f>
        <v>97571</v>
      </c>
      <c r="Y112">
        <f ca="1">+VLOOKUP($T112,INDIRECT(Adrese!F$2),4,FALSE)</f>
        <v>98954</v>
      </c>
      <c r="Z112">
        <f t="shared" ca="1" si="27"/>
        <v>491002</v>
      </c>
      <c r="AA112" s="4">
        <f t="shared" ca="1" si="38"/>
        <v>98200.4</v>
      </c>
      <c r="AC112" t="s">
        <v>166</v>
      </c>
      <c r="AD112">
        <f ca="1">+VLOOKUP($A112,INDIRECT(Adrese!B$2),5,FALSE)</f>
        <v>28133</v>
      </c>
      <c r="AE112">
        <f ca="1">+VLOOKUP($A112,INDIRECT(Adrese!C$2),5,FALSE)</f>
        <v>25546</v>
      </c>
      <c r="AF112">
        <f ca="1">+VLOOKUP($A112,INDIRECT(Adrese!D$2),5,FALSE)</f>
        <v>27181</v>
      </c>
      <c r="AG112">
        <f ca="1">+VLOOKUP($A112,INDIRECT(Adrese!E$2),5,FALSE)</f>
        <v>27294</v>
      </c>
      <c r="AH112">
        <f ca="1">+VLOOKUP($A112,INDIRECT(Adrese!F$2),5,FALSE)</f>
        <v>28275</v>
      </c>
      <c r="AI112" s="4">
        <f t="shared" ca="1" si="39"/>
        <v>27285.8</v>
      </c>
      <c r="AJ112" s="4"/>
      <c r="AK112" s="4"/>
      <c r="AM112" t="s">
        <v>166</v>
      </c>
      <c r="AN112" s="4">
        <f ca="1">+VLOOKUP($A112,INDIRECT(Adrese!B$2),6,FALSE)</f>
        <v>0.61827433628318584</v>
      </c>
      <c r="AO112" s="4">
        <f ca="1">+VLOOKUP($A112,INDIRECT(Adrese!C$2),6,FALSE)</f>
        <v>0.56121681415929203</v>
      </c>
      <c r="AP112" s="4">
        <f ca="1">+VLOOKUP($A112,INDIRECT(Adrese!D$2),6,FALSE)</f>
        <v>0.59745575221238933</v>
      </c>
      <c r="AQ112" s="4">
        <f ca="1">+VLOOKUP($A112,INDIRECT(Adrese!E$2),6,FALSE)</f>
        <v>0.5999336283185841</v>
      </c>
      <c r="AR112" s="4">
        <f ca="1">+VLOOKUP($A112,INDIRECT(Adrese!F$2),6,FALSE)</f>
        <v>0.62168141592920356</v>
      </c>
      <c r="AS112" s="4" t="str">
        <f t="shared" ca="1" si="28"/>
        <v>0.60 (0.02)</v>
      </c>
      <c r="AT112" s="4">
        <f t="shared" ca="1" si="40"/>
        <v>0.59971238938053095</v>
      </c>
      <c r="AU112" s="4">
        <f t="shared" ca="1" si="29"/>
        <v>2.4053246505948395E-2</v>
      </c>
      <c r="AW112" t="s">
        <v>166</v>
      </c>
      <c r="AX112" s="4">
        <f ca="1">+VLOOKUP($A112,INDIRECT(Adrese!B$2),7,FALSE)</f>
        <v>0.71238938053097345</v>
      </c>
      <c r="AY112" s="4">
        <f ca="1">+VLOOKUP($A112,INDIRECT(Adrese!C$2),7,FALSE)</f>
        <v>0.67699115044247793</v>
      </c>
      <c r="AZ112" s="4">
        <f ca="1">+VLOOKUP($A112,INDIRECT(Adrese!D$2),7,FALSE)</f>
        <v>0.65486725663716816</v>
      </c>
      <c r="BA112" s="4">
        <f ca="1">+VLOOKUP($A112,INDIRECT(Adrese!E$2),7,FALSE)</f>
        <v>0.68584070796460173</v>
      </c>
      <c r="BB112" s="4">
        <f ca="1">+VLOOKUP($A112,INDIRECT(Adrese!F$2),7,FALSE)</f>
        <v>0.72566371681415931</v>
      </c>
      <c r="BC112" s="4" t="str">
        <f t="shared" ca="1" si="30"/>
        <v>0.69 (0.03)</v>
      </c>
      <c r="BD112">
        <f t="shared" ca="1" si="41"/>
        <v>0.69115044247787627</v>
      </c>
      <c r="BE112" s="4">
        <f t="shared" ca="1" si="31"/>
        <v>2.8228562668560313E-2</v>
      </c>
      <c r="BG112" t="s">
        <v>166</v>
      </c>
      <c r="BH112" s="4">
        <f ca="1">+VLOOKUP($BG112,INDIRECT(Adrese!B$2),8,FALSE)</f>
        <v>9.0484521585065938E-2</v>
      </c>
      <c r="BI112" s="4">
        <f ca="1">+VLOOKUP($BG112,INDIRECT(Adrese!C$2),8,FALSE)</f>
        <v>8.3992826917175467E-2</v>
      </c>
      <c r="BJ112" s="4">
        <f ca="1">+VLOOKUP($BG112,INDIRECT(Adrese!D$2),8,FALSE)</f>
        <v>8.8641502234735547E-2</v>
      </c>
      <c r="BK112" s="4">
        <f ca="1">+VLOOKUP($BG112,INDIRECT(Adrese!E$2),8,FALSE)</f>
        <v>8.8507645194736889E-2</v>
      </c>
      <c r="BL112" s="4">
        <f ca="1">+VLOOKUP($BG112,INDIRECT(Adrese!F$2),8,FALSE)</f>
        <v>9.1082646045470658E-2</v>
      </c>
      <c r="BM112" s="4" t="str">
        <f t="shared" ca="1" si="32"/>
        <v>0.09 (0.00)</v>
      </c>
      <c r="BN112" s="4">
        <f t="shared" ca="1" si="42"/>
        <v>8.8541828395436895E-2</v>
      </c>
      <c r="BO112" s="4">
        <f t="shared" ca="1" si="33"/>
        <v>2.7809319020082749E-3</v>
      </c>
      <c r="BQ112" t="s">
        <v>166</v>
      </c>
      <c r="BR112" s="4">
        <f ca="1">+VLOOKUP($BG112,INDIRECT(Adrese!B$2),9,FALSE)</f>
        <v>1.4616265940977429E-2</v>
      </c>
      <c r="BS112" s="4">
        <f ca="1">+VLOOKUP($BG112,INDIRECT(Adrese!C$2),9,FALSE)</f>
        <v>4.0134352249856682E-2</v>
      </c>
      <c r="BT112" s="4">
        <f ca="1">+VLOOKUP($BG112,INDIRECT(Adrese!D$2),9,FALSE)</f>
        <v>2.0141987442688102E-2</v>
      </c>
      <c r="BU112" s="4">
        <f ca="1">+VLOOKUP($BG112,INDIRECT(Adrese!E$2),9,FALSE)</f>
        <v>2.474808884342776E-2</v>
      </c>
      <c r="BV112" s="4">
        <f ca="1">+VLOOKUP($BG112,INDIRECT(Adrese!F$2),9,FALSE)</f>
        <v>1.438758321600982E-2</v>
      </c>
      <c r="BW112" s="4" t="str">
        <f t="shared" ca="1" si="34"/>
        <v>0.02 (0.01)</v>
      </c>
      <c r="BX112" s="4">
        <f t="shared" ca="1" si="43"/>
        <v>2.2805655538591957E-2</v>
      </c>
      <c r="BY112" s="4">
        <f t="shared" ca="1" si="35"/>
        <v>1.0595776849641669E-2</v>
      </c>
    </row>
    <row r="113" spans="1:77" x14ac:dyDescent="0.25">
      <c r="A113" t="s">
        <v>167</v>
      </c>
      <c r="B113" s="11">
        <f ca="1">+VLOOKUP($A113,INDIRECT(Adrese!B$2),2,FALSE)</f>
        <v>210</v>
      </c>
      <c r="C113" s="11">
        <f ca="1">+VLOOKUP($A113,INDIRECT(Adrese!C$2),2,FALSE)</f>
        <v>201</v>
      </c>
      <c r="D113" s="11">
        <f ca="1">+VLOOKUP($A113,INDIRECT(Adrese!D$2),2,FALSE)</f>
        <v>197</v>
      </c>
      <c r="E113" s="11">
        <f ca="1">+VLOOKUP($A113,INDIRECT(Adrese!E$2),2,FALSE)</f>
        <v>200</v>
      </c>
      <c r="F113" s="11">
        <f ca="1">+VLOOKUP($A113,INDIRECT(Adrese!F$2),2,FALSE)</f>
        <v>189</v>
      </c>
      <c r="G113" s="4">
        <f t="shared" ca="1" si="36"/>
        <v>199.4</v>
      </c>
      <c r="J113" t="s">
        <v>167</v>
      </c>
      <c r="K113">
        <f ca="1">+VLOOKUP($A113,INDIRECT(Adrese!B$2),3,FALSE)</f>
        <v>75</v>
      </c>
      <c r="L113">
        <f ca="1">+VLOOKUP($A113,INDIRECT(Adrese!C$2),3,FALSE)</f>
        <v>77</v>
      </c>
      <c r="M113">
        <f ca="1">+VLOOKUP($A113,INDIRECT(Adrese!D$2),3,FALSE)</f>
        <v>74</v>
      </c>
      <c r="N113">
        <f ca="1">+VLOOKUP($A113,INDIRECT(Adrese!E$2),3,FALSE)</f>
        <v>75</v>
      </c>
      <c r="O113">
        <f ca="1">+VLOOKUP($A113,INDIRECT(Adrese!F$2),3,FALSE)</f>
        <v>81</v>
      </c>
      <c r="P113">
        <f t="shared" ca="1" si="26"/>
        <v>382</v>
      </c>
      <c r="Q113" s="4">
        <f t="shared" ca="1" si="37"/>
        <v>76.400000000000006</v>
      </c>
      <c r="R113" s="4"/>
      <c r="T113" t="s">
        <v>167</v>
      </c>
      <c r="U113">
        <f ca="1">+VLOOKUP($T113,INDIRECT(Adrese!B$2),4,FALSE)</f>
        <v>87847</v>
      </c>
      <c r="V113">
        <f ca="1">+VLOOKUP($T113,INDIRECT(Adrese!C$2),4,FALSE)</f>
        <v>88552</v>
      </c>
      <c r="W113">
        <f ca="1">+VLOOKUP($T113,INDIRECT(Adrese!D$2),4,FALSE)</f>
        <v>88851</v>
      </c>
      <c r="X113">
        <f ca="1">+VLOOKUP($T113,INDIRECT(Adrese!E$2),4,FALSE)</f>
        <v>88572</v>
      </c>
      <c r="Y113">
        <f ca="1">+VLOOKUP($T113,INDIRECT(Adrese!F$2),4,FALSE)</f>
        <v>89605</v>
      </c>
      <c r="Z113">
        <f t="shared" ca="1" si="27"/>
        <v>443427</v>
      </c>
      <c r="AA113" s="4">
        <f t="shared" ca="1" si="38"/>
        <v>88685.4</v>
      </c>
      <c r="AC113" t="s">
        <v>167</v>
      </c>
      <c r="AD113">
        <f ca="1">+VLOOKUP($A113,INDIRECT(Adrese!B$2),5,FALSE)</f>
        <v>23673</v>
      </c>
      <c r="AE113">
        <f ca="1">+VLOOKUP($A113,INDIRECT(Adrese!C$2),5,FALSE)</f>
        <v>23365</v>
      </c>
      <c r="AF113">
        <f ca="1">+VLOOKUP($A113,INDIRECT(Adrese!D$2),5,FALSE)</f>
        <v>23445</v>
      </c>
      <c r="AG113">
        <f ca="1">+VLOOKUP($A113,INDIRECT(Adrese!E$2),5,FALSE)</f>
        <v>23561</v>
      </c>
      <c r="AH113">
        <f ca="1">+VLOOKUP($A113,INDIRECT(Adrese!F$2),5,FALSE)</f>
        <v>23881</v>
      </c>
      <c r="AI113" s="4">
        <f t="shared" ca="1" si="39"/>
        <v>23585</v>
      </c>
      <c r="AJ113" s="4"/>
      <c r="AK113" s="4"/>
      <c r="AM113" t="s">
        <v>167</v>
      </c>
      <c r="AN113" s="4">
        <f ca="1">+VLOOKUP($A113,INDIRECT(Adrese!B$2),6,FALSE)</f>
        <v>0.52053097345132748</v>
      </c>
      <c r="AO113" s="4">
        <f ca="1">+VLOOKUP($A113,INDIRECT(Adrese!C$2),6,FALSE)</f>
        <v>0.51338495575221244</v>
      </c>
      <c r="AP113" s="4">
        <f ca="1">+VLOOKUP($A113,INDIRECT(Adrese!D$2),6,FALSE)</f>
        <v>0.51537610619469032</v>
      </c>
      <c r="AQ113" s="4">
        <f ca="1">+VLOOKUP($A113,INDIRECT(Adrese!E$2),6,FALSE)</f>
        <v>0.51783185840707968</v>
      </c>
      <c r="AR113" s="4">
        <f ca="1">+VLOOKUP($A113,INDIRECT(Adrese!F$2),6,FALSE)</f>
        <v>0.52502212389380531</v>
      </c>
      <c r="AS113" s="4" t="str">
        <f t="shared" ca="1" si="28"/>
        <v>0.52 (0.00)</v>
      </c>
      <c r="AT113" s="4">
        <f t="shared" ca="1" si="40"/>
        <v>0.51842920353982302</v>
      </c>
      <c r="AU113" s="4">
        <f t="shared" ca="1" si="29"/>
        <v>4.5554005286072893E-3</v>
      </c>
      <c r="AW113" t="s">
        <v>167</v>
      </c>
      <c r="AX113" s="4">
        <f ca="1">+VLOOKUP($A113,INDIRECT(Adrese!B$2),7,FALSE)</f>
        <v>0.66814159292035402</v>
      </c>
      <c r="AY113" s="4">
        <f ca="1">+VLOOKUP($A113,INDIRECT(Adrese!C$2),7,FALSE)</f>
        <v>0.65929203539823011</v>
      </c>
      <c r="AZ113" s="4">
        <f ca="1">+VLOOKUP($A113,INDIRECT(Adrese!D$2),7,FALSE)</f>
        <v>0.67256637168141598</v>
      </c>
      <c r="BA113" s="4">
        <f ca="1">+VLOOKUP($A113,INDIRECT(Adrese!E$2),7,FALSE)</f>
        <v>0.66814159292035402</v>
      </c>
      <c r="BB113" s="4">
        <f ca="1">+VLOOKUP($A113,INDIRECT(Adrese!F$2),7,FALSE)</f>
        <v>0.6415929203539823</v>
      </c>
      <c r="BC113" s="4" t="str">
        <f t="shared" ca="1" si="30"/>
        <v>0.66 (0.01)</v>
      </c>
      <c r="BD113">
        <f t="shared" ca="1" si="41"/>
        <v>0.66194690265486733</v>
      </c>
      <c r="BE113" s="4">
        <f t="shared" ca="1" si="31"/>
        <v>1.2357734552007931E-2</v>
      </c>
      <c r="BG113" t="s">
        <v>167</v>
      </c>
      <c r="BH113" s="4">
        <f ca="1">+VLOOKUP($BG113,INDIRECT(Adrese!B$2),8,FALSE)</f>
        <v>6.6713881395771321E-2</v>
      </c>
      <c r="BI113" s="4">
        <f ca="1">+VLOOKUP($BG113,INDIRECT(Adrese!C$2),8,FALSE)</f>
        <v>6.555086703589165E-2</v>
      </c>
      <c r="BJ113" s="4">
        <f ca="1">+VLOOKUP($BG113,INDIRECT(Adrese!D$2),8,FALSE)</f>
        <v>6.587668343060285E-2</v>
      </c>
      <c r="BK113" s="4">
        <f ca="1">+VLOOKUP($BG113,INDIRECT(Adrese!E$2),8,FALSE)</f>
        <v>6.6209233222452035E-2</v>
      </c>
      <c r="BL113" s="4">
        <f ca="1">+VLOOKUP($BG113,INDIRECT(Adrese!F$2),8,FALSE)</f>
        <v>6.7514863730733621E-2</v>
      </c>
      <c r="BM113" s="4" t="str">
        <f t="shared" ca="1" si="32"/>
        <v>0.07 (0.00)</v>
      </c>
      <c r="BN113" s="4">
        <f t="shared" ca="1" si="42"/>
        <v>6.6373105763090287E-2</v>
      </c>
      <c r="BO113" s="4">
        <f t="shared" ca="1" si="33"/>
        <v>7.6959488608925489E-4</v>
      </c>
      <c r="BQ113" t="s">
        <v>167</v>
      </c>
      <c r="BR113" s="4">
        <f ca="1">+VLOOKUP($BG113,INDIRECT(Adrese!B$2),9,FALSE)</f>
        <v>-2.882024015047978E-3</v>
      </c>
      <c r="BS113" s="4">
        <f ca="1">+VLOOKUP($BG113,INDIRECT(Adrese!C$2),9,FALSE)</f>
        <v>-2.9932763122120011E-3</v>
      </c>
      <c r="BT113" s="4">
        <f ca="1">+VLOOKUP($BG113,INDIRECT(Adrese!D$2),9,FALSE)</f>
        <v>-3.3193530145742721E-3</v>
      </c>
      <c r="BU113" s="4">
        <f ca="1">+VLOOKUP($BG113,INDIRECT(Adrese!E$2),9,FALSE)</f>
        <v>-2.8363331940877662E-3</v>
      </c>
      <c r="BV113" s="4">
        <f ca="1">+VLOOKUP($BG113,INDIRECT(Adrese!F$2),9,FALSE)</f>
        <v>-2.9553849272232389E-3</v>
      </c>
      <c r="BW113" s="4" t="str">
        <f t="shared" ca="1" si="34"/>
        <v>0.00 (0.00)</v>
      </c>
      <c r="BX113" s="4">
        <f t="shared" ca="1" si="43"/>
        <v>-2.9972742926290515E-3</v>
      </c>
      <c r="BY113" s="4">
        <f t="shared" ca="1" si="35"/>
        <v>1.9019073951797292E-4</v>
      </c>
    </row>
    <row r="114" spans="1:77" x14ac:dyDescent="0.25">
      <c r="A114" t="s">
        <v>168</v>
      </c>
      <c r="B114" s="11">
        <f ca="1">+VLOOKUP($A114,INDIRECT(Adrese!B$2),2,FALSE)</f>
        <v>98</v>
      </c>
      <c r="C114" s="11">
        <f ca="1">+VLOOKUP($A114,INDIRECT(Adrese!C$2),2,FALSE)</f>
        <v>89</v>
      </c>
      <c r="D114" s="11">
        <f ca="1">+VLOOKUP($A114,INDIRECT(Adrese!D$2),2,FALSE)</f>
        <v>85</v>
      </c>
      <c r="E114" s="11">
        <f ca="1">+VLOOKUP($A114,INDIRECT(Adrese!E$2),2,FALSE)</f>
        <v>83</v>
      </c>
      <c r="F114" s="11">
        <f ca="1">+VLOOKUP($A114,INDIRECT(Adrese!F$2),2,FALSE)</f>
        <v>124</v>
      </c>
      <c r="G114" s="4">
        <f t="shared" ca="1" si="36"/>
        <v>95.8</v>
      </c>
      <c r="J114" t="s">
        <v>168</v>
      </c>
      <c r="K114">
        <f ca="1">+VLOOKUP($A114,INDIRECT(Adrese!B$2),3,FALSE)</f>
        <v>85</v>
      </c>
      <c r="L114">
        <f ca="1">+VLOOKUP($A114,INDIRECT(Adrese!C$2),3,FALSE)</f>
        <v>92</v>
      </c>
      <c r="M114">
        <f ca="1">+VLOOKUP($A114,INDIRECT(Adrese!D$2),3,FALSE)</f>
        <v>91</v>
      </c>
      <c r="N114">
        <f ca="1">+VLOOKUP($A114,INDIRECT(Adrese!E$2),3,FALSE)</f>
        <v>97</v>
      </c>
      <c r="O114">
        <f ca="1">+VLOOKUP($A114,INDIRECT(Adrese!F$2),3,FALSE)</f>
        <v>91</v>
      </c>
      <c r="P114">
        <f t="shared" ca="1" si="26"/>
        <v>456</v>
      </c>
      <c r="Q114" s="4">
        <f t="shared" ca="1" si="37"/>
        <v>91.2</v>
      </c>
      <c r="R114" s="4"/>
      <c r="T114" t="s">
        <v>168</v>
      </c>
      <c r="U114">
        <f ca="1">+VLOOKUP($T114,INDIRECT(Adrese!B$2),4,FALSE)</f>
        <v>95565</v>
      </c>
      <c r="V114">
        <f ca="1">+VLOOKUP($T114,INDIRECT(Adrese!C$2),4,FALSE)</f>
        <v>95878</v>
      </c>
      <c r="W114">
        <f ca="1">+VLOOKUP($T114,INDIRECT(Adrese!D$2),4,FALSE)</f>
        <v>96248</v>
      </c>
      <c r="X114">
        <f ca="1">+VLOOKUP($T114,INDIRECT(Adrese!E$2),4,FALSE)</f>
        <v>96210</v>
      </c>
      <c r="Y114">
        <f ca="1">+VLOOKUP($T114,INDIRECT(Adrese!F$2),4,FALSE)</f>
        <v>94636</v>
      </c>
      <c r="Z114">
        <f t="shared" ca="1" si="27"/>
        <v>478537</v>
      </c>
      <c r="AA114" s="4">
        <f t="shared" ca="1" si="38"/>
        <v>95707.4</v>
      </c>
      <c r="AC114" t="s">
        <v>168</v>
      </c>
      <c r="AD114">
        <f ca="1">+VLOOKUP($A114,INDIRECT(Adrese!B$2),5,FALSE)</f>
        <v>22825</v>
      </c>
      <c r="AE114">
        <f ca="1">+VLOOKUP($A114,INDIRECT(Adrese!C$2),5,FALSE)</f>
        <v>23026</v>
      </c>
      <c r="AF114">
        <f ca="1">+VLOOKUP($A114,INDIRECT(Adrese!D$2),5,FALSE)</f>
        <v>23066</v>
      </c>
      <c r="AG114">
        <f ca="1">+VLOOKUP($A114,INDIRECT(Adrese!E$2),5,FALSE)</f>
        <v>23047</v>
      </c>
      <c r="AH114">
        <f ca="1">+VLOOKUP($A114,INDIRECT(Adrese!F$2),5,FALSE)</f>
        <v>22453</v>
      </c>
      <c r="AI114" s="4">
        <f t="shared" ca="1" si="39"/>
        <v>22883.4</v>
      </c>
      <c r="AJ114" s="4"/>
      <c r="AK114" s="4"/>
      <c r="AM114" t="s">
        <v>168</v>
      </c>
      <c r="AN114" s="4">
        <f ca="1">+VLOOKUP($A114,INDIRECT(Adrese!B$2),6,FALSE)</f>
        <v>0.50407079646017694</v>
      </c>
      <c r="AO114" s="4">
        <f ca="1">+VLOOKUP($A114,INDIRECT(Adrese!C$2),6,FALSE)</f>
        <v>0.50648230088495572</v>
      </c>
      <c r="AP114" s="4">
        <f ca="1">+VLOOKUP($A114,INDIRECT(Adrese!D$2),6,FALSE)</f>
        <v>0.50745575221238937</v>
      </c>
      <c r="AQ114" s="4">
        <f ca="1">+VLOOKUP($A114,INDIRECT(Adrese!E$2),6,FALSE)</f>
        <v>0.50873893805309733</v>
      </c>
      <c r="AR114" s="4">
        <f ca="1">+VLOOKUP($A114,INDIRECT(Adrese!F$2),6,FALSE)</f>
        <v>0.49455752212389381</v>
      </c>
      <c r="AS114" s="4" t="str">
        <f t="shared" ca="1" si="28"/>
        <v>0.50 (0.01)</v>
      </c>
      <c r="AT114" s="4">
        <f t="shared" ca="1" si="40"/>
        <v>0.50426106194690268</v>
      </c>
      <c r="AU114" s="4">
        <f t="shared" ca="1" si="29"/>
        <v>5.6874029395433496E-3</v>
      </c>
      <c r="AW114" t="s">
        <v>168</v>
      </c>
      <c r="AX114" s="4">
        <f ca="1">+VLOOKUP($A114,INDIRECT(Adrese!B$2),7,FALSE)</f>
        <v>0.62389380530973448</v>
      </c>
      <c r="AY114" s="4">
        <f ca="1">+VLOOKUP($A114,INDIRECT(Adrese!C$2),7,FALSE)</f>
        <v>0.59292035398230092</v>
      </c>
      <c r="AZ114" s="4">
        <f ca="1">+VLOOKUP($A114,INDIRECT(Adrese!D$2),7,FALSE)</f>
        <v>0.59734513274336287</v>
      </c>
      <c r="BA114" s="4">
        <f ca="1">+VLOOKUP($A114,INDIRECT(Adrese!E$2),7,FALSE)</f>
        <v>0.57079646017699115</v>
      </c>
      <c r="BB114" s="4">
        <f ca="1">+VLOOKUP($A114,INDIRECT(Adrese!F$2),7,FALSE)</f>
        <v>0.59734513274336287</v>
      </c>
      <c r="BC114" s="4" t="str">
        <f t="shared" ca="1" si="30"/>
        <v>0.60 (0.02)</v>
      </c>
      <c r="BD114">
        <f t="shared" ca="1" si="41"/>
        <v>0.59646017699115039</v>
      </c>
      <c r="BE114" s="4">
        <f t="shared" ca="1" si="31"/>
        <v>1.8876751334249139E-2</v>
      </c>
      <c r="BG114" t="s">
        <v>168</v>
      </c>
      <c r="BH114" s="4">
        <f ca="1">+VLOOKUP($BG114,INDIRECT(Adrese!B$2),8,FALSE)</f>
        <v>7.5665277678052992E-2</v>
      </c>
      <c r="BI114" s="4">
        <f ca="1">+VLOOKUP($BG114,INDIRECT(Adrese!C$2),8,FALSE)</f>
        <v>7.6404791464181554E-2</v>
      </c>
      <c r="BJ114" s="4">
        <f ca="1">+VLOOKUP($BG114,INDIRECT(Adrese!D$2),8,FALSE)</f>
        <v>7.6196988900342683E-2</v>
      </c>
      <c r="BK114" s="4">
        <f ca="1">+VLOOKUP($BG114,INDIRECT(Adrese!E$2),8,FALSE)</f>
        <v>7.6607912350355314E-2</v>
      </c>
      <c r="BL114" s="4">
        <f ca="1">+VLOOKUP($BG114,INDIRECT(Adrese!F$2),8,FALSE)</f>
        <v>7.4646462421246854E-2</v>
      </c>
      <c r="BM114" s="4" t="str">
        <f t="shared" ca="1" si="32"/>
        <v>0.08 (0.00)</v>
      </c>
      <c r="BN114" s="4">
        <f t="shared" ca="1" si="42"/>
        <v>7.5904286562835876E-2</v>
      </c>
      <c r="BO114" s="4">
        <f t="shared" ca="1" si="33"/>
        <v>7.858937399045535E-4</v>
      </c>
      <c r="BQ114" t="s">
        <v>168</v>
      </c>
      <c r="BR114" s="4">
        <f ca="1">+VLOOKUP($BG114,INDIRECT(Adrese!B$2),9,FALSE)</f>
        <v>6.9870828010047556E-2</v>
      </c>
      <c r="BS114" s="4">
        <f ca="1">+VLOOKUP($BG114,INDIRECT(Adrese!C$2),9,FALSE)</f>
        <v>6.8009862277900887E-2</v>
      </c>
      <c r="BT114" s="4">
        <f ca="1">+VLOOKUP($BG114,INDIRECT(Adrese!D$2),9,FALSE)</f>
        <v>6.8960787494871348E-2</v>
      </c>
      <c r="BU114" s="4">
        <f ca="1">+VLOOKUP($BG114,INDIRECT(Adrese!E$2),9,FALSE)</f>
        <v>6.8024865640198426E-2</v>
      </c>
      <c r="BV114" s="4">
        <f ca="1">+VLOOKUP($BG114,INDIRECT(Adrese!F$2),9,FALSE)</f>
        <v>7.0432989297902079E-2</v>
      </c>
      <c r="BW114" s="4" t="str">
        <f t="shared" ca="1" si="34"/>
        <v>0.07 (0.00)</v>
      </c>
      <c r="BX114" s="4">
        <f t="shared" ca="1" si="43"/>
        <v>6.905986654418407E-2</v>
      </c>
      <c r="BY114" s="4">
        <f t="shared" ca="1" si="35"/>
        <v>1.0870461218791825E-3</v>
      </c>
    </row>
    <row r="115" spans="1:77" x14ac:dyDescent="0.25">
      <c r="A115" t="s">
        <v>169</v>
      </c>
      <c r="B115" s="11">
        <f ca="1">+VLOOKUP($A115,INDIRECT(Adrese!B$2),2,FALSE)</f>
        <v>40</v>
      </c>
      <c r="C115" s="11">
        <f ca="1">+VLOOKUP($A115,INDIRECT(Adrese!C$2),2,FALSE)</f>
        <v>50</v>
      </c>
      <c r="D115" s="11">
        <f ca="1">+VLOOKUP($A115,INDIRECT(Adrese!D$2),2,FALSE)</f>
        <v>72</v>
      </c>
      <c r="E115" s="11">
        <f ca="1">+VLOOKUP($A115,INDIRECT(Adrese!E$2),2,FALSE)</f>
        <v>45</v>
      </c>
      <c r="F115" s="11">
        <f ca="1">+VLOOKUP($A115,INDIRECT(Adrese!F$2),2,FALSE)</f>
        <v>45</v>
      </c>
      <c r="G115" s="4">
        <f t="shared" ca="1" si="36"/>
        <v>50.4</v>
      </c>
      <c r="J115" t="s">
        <v>169</v>
      </c>
      <c r="K115">
        <f ca="1">+VLOOKUP($A115,INDIRECT(Adrese!B$2),3,FALSE)</f>
        <v>21</v>
      </c>
      <c r="L115">
        <f ca="1">+VLOOKUP($A115,INDIRECT(Adrese!C$2),3,FALSE)</f>
        <v>21</v>
      </c>
      <c r="M115">
        <f ca="1">+VLOOKUP($A115,INDIRECT(Adrese!D$2),3,FALSE)</f>
        <v>18</v>
      </c>
      <c r="N115">
        <f ca="1">+VLOOKUP($A115,INDIRECT(Adrese!E$2),3,FALSE)</f>
        <v>21</v>
      </c>
      <c r="O115">
        <f ca="1">+VLOOKUP($A115,INDIRECT(Adrese!F$2),3,FALSE)</f>
        <v>20</v>
      </c>
      <c r="P115">
        <f t="shared" ca="1" si="26"/>
        <v>101</v>
      </c>
      <c r="Q115" s="4">
        <f t="shared" ca="1" si="37"/>
        <v>20.2</v>
      </c>
      <c r="R115" s="4"/>
      <c r="T115" t="s">
        <v>169</v>
      </c>
      <c r="U115">
        <f ca="1">+VLOOKUP($T115,INDIRECT(Adrese!B$2),4,FALSE)</f>
        <v>98147</v>
      </c>
      <c r="V115">
        <f ca="1">+VLOOKUP($T115,INDIRECT(Adrese!C$2),4,FALSE)</f>
        <v>97529</v>
      </c>
      <c r="W115">
        <f ca="1">+VLOOKUP($T115,INDIRECT(Adrese!D$2),4,FALSE)</f>
        <v>96642</v>
      </c>
      <c r="X115">
        <f ca="1">+VLOOKUP($T115,INDIRECT(Adrese!E$2),4,FALSE)</f>
        <v>97783</v>
      </c>
      <c r="Y115">
        <f ca="1">+VLOOKUP($T115,INDIRECT(Adrese!F$2),4,FALSE)</f>
        <v>97666</v>
      </c>
      <c r="Z115">
        <f t="shared" ca="1" si="27"/>
        <v>487767</v>
      </c>
      <c r="AA115" s="4">
        <f t="shared" ca="1" si="38"/>
        <v>97553.4</v>
      </c>
      <c r="AC115" t="s">
        <v>169</v>
      </c>
      <c r="AD115">
        <f ca="1">+VLOOKUP($A115,INDIRECT(Adrese!B$2),5,FALSE)</f>
        <v>31334</v>
      </c>
      <c r="AE115">
        <f ca="1">+VLOOKUP($A115,INDIRECT(Adrese!C$2),5,FALSE)</f>
        <v>31334</v>
      </c>
      <c r="AF115">
        <f ca="1">+VLOOKUP($A115,INDIRECT(Adrese!D$2),5,FALSE)</f>
        <v>31076</v>
      </c>
      <c r="AG115">
        <f ca="1">+VLOOKUP($A115,INDIRECT(Adrese!E$2),5,FALSE)</f>
        <v>31324</v>
      </c>
      <c r="AH115">
        <f ca="1">+VLOOKUP($A115,INDIRECT(Adrese!F$2),5,FALSE)</f>
        <v>31157</v>
      </c>
      <c r="AI115" s="4">
        <f t="shared" ca="1" si="39"/>
        <v>31245</v>
      </c>
      <c r="AJ115" s="4"/>
      <c r="AK115" s="4"/>
      <c r="AM115" t="s">
        <v>169</v>
      </c>
      <c r="AN115" s="4">
        <f ca="1">+VLOOKUP($A115,INDIRECT(Adrese!B$2),6,FALSE)</f>
        <v>0.68915929203539827</v>
      </c>
      <c r="AO115" s="4">
        <f ca="1">+VLOOKUP($A115,INDIRECT(Adrese!C$2),6,FALSE)</f>
        <v>0.68933628318584073</v>
      </c>
      <c r="AP115" s="4">
        <f ca="1">+VLOOKUP($A115,INDIRECT(Adrese!D$2),6,FALSE)</f>
        <v>0.68373893805309738</v>
      </c>
      <c r="AQ115" s="4">
        <f ca="1">+VLOOKUP($A115,INDIRECT(Adrese!E$2),6,FALSE)</f>
        <v>0.68918141592920357</v>
      </c>
      <c r="AR115" s="4">
        <f ca="1">+VLOOKUP($A115,INDIRECT(Adrese!F$2),6,FALSE)</f>
        <v>0.68553097345132741</v>
      </c>
      <c r="AS115" s="4" t="str">
        <f t="shared" ca="1" si="28"/>
        <v>0.69 (0.00)</v>
      </c>
      <c r="AT115" s="4">
        <f t="shared" ca="1" si="40"/>
        <v>0.68738938053097354</v>
      </c>
      <c r="AU115" s="4">
        <f t="shared" ca="1" si="29"/>
        <v>2.5939263052125678E-3</v>
      </c>
      <c r="AW115" t="s">
        <v>169</v>
      </c>
      <c r="AX115" s="4">
        <f ca="1">+VLOOKUP($A115,INDIRECT(Adrese!B$2),7,FALSE)</f>
        <v>0.90707964601769908</v>
      </c>
      <c r="AY115" s="4">
        <f ca="1">+VLOOKUP($A115,INDIRECT(Adrese!C$2),7,FALSE)</f>
        <v>0.90707964601769908</v>
      </c>
      <c r="AZ115" s="4">
        <f ca="1">+VLOOKUP($A115,INDIRECT(Adrese!D$2),7,FALSE)</f>
        <v>0.92035398230088494</v>
      </c>
      <c r="BA115" s="4">
        <f ca="1">+VLOOKUP($A115,INDIRECT(Adrese!E$2),7,FALSE)</f>
        <v>0.90707964601769908</v>
      </c>
      <c r="BB115" s="4">
        <f ca="1">+VLOOKUP($A115,INDIRECT(Adrese!F$2),7,FALSE)</f>
        <v>0.91150442477876104</v>
      </c>
      <c r="BC115" s="4" t="str">
        <f t="shared" ca="1" si="30"/>
        <v>0.91 (0.01)</v>
      </c>
      <c r="BD115">
        <f t="shared" ca="1" si="41"/>
        <v>0.91061946902654878</v>
      </c>
      <c r="BE115" s="4">
        <f t="shared" ca="1" si="31"/>
        <v>5.7692056683209371E-3</v>
      </c>
      <c r="BG115" t="s">
        <v>169</v>
      </c>
      <c r="BH115" s="4">
        <f ca="1">+VLOOKUP($BG115,INDIRECT(Adrese!B$2),8,FALSE)</f>
        <v>9.7465454672153187E-2</v>
      </c>
      <c r="BI115" s="4">
        <f ca="1">+VLOOKUP($BG115,INDIRECT(Adrese!C$2),8,FALSE)</f>
        <v>9.7420493653648493E-2</v>
      </c>
      <c r="BJ115" s="4">
        <f ca="1">+VLOOKUP($BG115,INDIRECT(Adrese!D$2),8,FALSE)</f>
        <v>9.6950049296980478E-2</v>
      </c>
      <c r="BK115" s="4">
        <f ca="1">+VLOOKUP($BG115,INDIRECT(Adrese!E$2),8,FALSE)</f>
        <v>9.7364645520684218E-2</v>
      </c>
      <c r="BL115" s="4">
        <f ca="1">+VLOOKUP($BG115,INDIRECT(Adrese!F$2),8,FALSE)</f>
        <v>9.7167076670732586E-2</v>
      </c>
      <c r="BM115" s="4" t="str">
        <f t="shared" ca="1" si="32"/>
        <v>0.10 (0.00)</v>
      </c>
      <c r="BN115" s="4">
        <f t="shared" ca="1" si="42"/>
        <v>9.7273543962839798E-2</v>
      </c>
      <c r="BO115" s="4">
        <f t="shared" ca="1" si="33"/>
        <v>2.1372149455991485E-4</v>
      </c>
      <c r="BQ115" t="s">
        <v>169</v>
      </c>
      <c r="BR115" s="4">
        <f ca="1">+VLOOKUP($BG115,INDIRECT(Adrese!B$2),9,FALSE)</f>
        <v>-4.9697413841211877E-3</v>
      </c>
      <c r="BS115" s="4">
        <f ca="1">+VLOOKUP($BG115,INDIRECT(Adrese!C$2),9,FALSE)</f>
        <v>-3.1161215760493791E-3</v>
      </c>
      <c r="BT115" s="4">
        <f ca="1">+VLOOKUP($BG115,INDIRECT(Adrese!D$2),9,FALSE)</f>
        <v>4.0538752995109462E-4</v>
      </c>
      <c r="BU115" s="4">
        <f ca="1">+VLOOKUP($BG115,INDIRECT(Adrese!E$2),9,FALSE)</f>
        <v>-9.0443252902379628E-4</v>
      </c>
      <c r="BV115" s="4">
        <f ca="1">+VLOOKUP($BG115,INDIRECT(Adrese!F$2),9,FALSE)</f>
        <v>-2.2671041580103858E-3</v>
      </c>
      <c r="BW115" s="4" t="str">
        <f t="shared" ca="1" si="34"/>
        <v>0.00 (0.00)</v>
      </c>
      <c r="BX115" s="4">
        <f t="shared" ca="1" si="43"/>
        <v>-2.1704024234507312E-3</v>
      </c>
      <c r="BY115" s="4">
        <f t="shared" ca="1" si="35"/>
        <v>2.0601825292572628E-3</v>
      </c>
    </row>
    <row r="116" spans="1:77" x14ac:dyDescent="0.25">
      <c r="A116" t="s">
        <v>170</v>
      </c>
      <c r="B116" s="11">
        <f ca="1">+VLOOKUP($A116,INDIRECT(Adrese!B$2),2,FALSE)</f>
        <v>181</v>
      </c>
      <c r="C116" s="11">
        <f ca="1">+VLOOKUP($A116,INDIRECT(Adrese!C$2),2,FALSE)</f>
        <v>198</v>
      </c>
      <c r="D116" s="11">
        <f ca="1">+VLOOKUP($A116,INDIRECT(Adrese!D$2),2,FALSE)</f>
        <v>190</v>
      </c>
      <c r="E116" s="11">
        <f ca="1">+VLOOKUP($A116,INDIRECT(Adrese!E$2),2,FALSE)</f>
        <v>194</v>
      </c>
      <c r="F116" s="11">
        <f ca="1">+VLOOKUP($A116,INDIRECT(Adrese!F$2),2,FALSE)</f>
        <v>187</v>
      </c>
      <c r="G116" s="4">
        <f t="shared" ca="1" si="36"/>
        <v>190</v>
      </c>
      <c r="J116" t="s">
        <v>170</v>
      </c>
      <c r="K116">
        <f ca="1">+VLOOKUP($A116,INDIRECT(Adrese!B$2),3,FALSE)</f>
        <v>70</v>
      </c>
      <c r="L116">
        <f ca="1">+VLOOKUP($A116,INDIRECT(Adrese!C$2),3,FALSE)</f>
        <v>71</v>
      </c>
      <c r="M116">
        <f ca="1">+VLOOKUP($A116,INDIRECT(Adrese!D$2),3,FALSE)</f>
        <v>71</v>
      </c>
      <c r="N116">
        <f ca="1">+VLOOKUP($A116,INDIRECT(Adrese!E$2),3,FALSE)</f>
        <v>75</v>
      </c>
      <c r="O116">
        <f ca="1">+VLOOKUP($A116,INDIRECT(Adrese!F$2),3,FALSE)</f>
        <v>76</v>
      </c>
      <c r="P116">
        <f t="shared" ca="1" si="26"/>
        <v>363</v>
      </c>
      <c r="Q116" s="4">
        <f t="shared" ca="1" si="37"/>
        <v>72.599999999999994</v>
      </c>
      <c r="R116" s="4"/>
      <c r="T116" t="s">
        <v>170</v>
      </c>
      <c r="U116">
        <f ca="1">+VLOOKUP($T116,INDIRECT(Adrese!B$2),4,FALSE)</f>
        <v>90875</v>
      </c>
      <c r="V116">
        <f ca="1">+VLOOKUP($T116,INDIRECT(Adrese!C$2),4,FALSE)</f>
        <v>88914</v>
      </c>
      <c r="W116">
        <f ca="1">+VLOOKUP($T116,INDIRECT(Adrese!D$2),4,FALSE)</f>
        <v>89520</v>
      </c>
      <c r="X116">
        <f ca="1">+VLOOKUP($T116,INDIRECT(Adrese!E$2),4,FALSE)</f>
        <v>89334</v>
      </c>
      <c r="Y116">
        <f ca="1">+VLOOKUP($T116,INDIRECT(Adrese!F$2),4,FALSE)</f>
        <v>89801</v>
      </c>
      <c r="Z116">
        <f t="shared" ca="1" si="27"/>
        <v>448444</v>
      </c>
      <c r="AA116" s="4">
        <f t="shared" ca="1" si="38"/>
        <v>89688.8</v>
      </c>
      <c r="AC116" t="s">
        <v>170</v>
      </c>
      <c r="AD116">
        <f ca="1">+VLOOKUP($A116,INDIRECT(Adrese!B$2),5,FALSE)</f>
        <v>24247</v>
      </c>
      <c r="AE116">
        <f ca="1">+VLOOKUP($A116,INDIRECT(Adrese!C$2),5,FALSE)</f>
        <v>23853</v>
      </c>
      <c r="AF116">
        <f ca="1">+VLOOKUP($A116,INDIRECT(Adrese!D$2),5,FALSE)</f>
        <v>23772</v>
      </c>
      <c r="AG116">
        <f ca="1">+VLOOKUP($A116,INDIRECT(Adrese!E$2),5,FALSE)</f>
        <v>23795</v>
      </c>
      <c r="AH116">
        <f ca="1">+VLOOKUP($A116,INDIRECT(Adrese!F$2),5,FALSE)</f>
        <v>23872</v>
      </c>
      <c r="AI116" s="4">
        <f t="shared" ca="1" si="39"/>
        <v>23907.8</v>
      </c>
      <c r="AJ116" s="4"/>
      <c r="AK116" s="4"/>
      <c r="AM116" t="s">
        <v>170</v>
      </c>
      <c r="AN116" s="4">
        <f ca="1">+VLOOKUP($A116,INDIRECT(Adrese!B$2),6,FALSE)</f>
        <v>0.53378318584070794</v>
      </c>
      <c r="AO116" s="4">
        <f ca="1">+VLOOKUP($A116,INDIRECT(Adrese!C$2),6,FALSE)</f>
        <v>0.52533185840707963</v>
      </c>
      <c r="AP116" s="4">
        <f ca="1">+VLOOKUP($A116,INDIRECT(Adrese!D$2),6,FALSE)</f>
        <v>0.52369469026548676</v>
      </c>
      <c r="AQ116" s="4">
        <f ca="1">+VLOOKUP($A116,INDIRECT(Adrese!E$2),6,FALSE)</f>
        <v>0.52409292035398225</v>
      </c>
      <c r="AR116" s="4">
        <f ca="1">+VLOOKUP($A116,INDIRECT(Adrese!F$2),6,FALSE)</f>
        <v>0.52588495575221239</v>
      </c>
      <c r="AS116" s="4" t="str">
        <f t="shared" ca="1" si="28"/>
        <v>0.53 (0.00)</v>
      </c>
      <c r="AT116" s="4">
        <f t="shared" ca="1" si="40"/>
        <v>0.52655752212389384</v>
      </c>
      <c r="AU116" s="4">
        <f t="shared" ca="1" si="29"/>
        <v>4.1362688909594965E-3</v>
      </c>
      <c r="AW116" t="s">
        <v>170</v>
      </c>
      <c r="AX116" s="4">
        <f ca="1">+VLOOKUP($A116,INDIRECT(Adrese!B$2),7,FALSE)</f>
        <v>0.69026548672566368</v>
      </c>
      <c r="AY116" s="4">
        <f ca="1">+VLOOKUP($A116,INDIRECT(Adrese!C$2),7,FALSE)</f>
        <v>0.68584070796460173</v>
      </c>
      <c r="AZ116" s="4">
        <f ca="1">+VLOOKUP($A116,INDIRECT(Adrese!D$2),7,FALSE)</f>
        <v>0.68584070796460173</v>
      </c>
      <c r="BA116" s="4">
        <f ca="1">+VLOOKUP($A116,INDIRECT(Adrese!E$2),7,FALSE)</f>
        <v>0.66814159292035402</v>
      </c>
      <c r="BB116" s="4">
        <f ca="1">+VLOOKUP($A116,INDIRECT(Adrese!F$2),7,FALSE)</f>
        <v>0.66371681415929207</v>
      </c>
      <c r="BC116" s="4" t="str">
        <f t="shared" ca="1" si="30"/>
        <v>0.68 (0.01)</v>
      </c>
      <c r="BD116">
        <f t="shared" ca="1" si="41"/>
        <v>0.67876106194690267</v>
      </c>
      <c r="BE116" s="4">
        <f t="shared" ca="1" si="31"/>
        <v>1.1955093881509955E-2</v>
      </c>
      <c r="BG116" t="s">
        <v>170</v>
      </c>
      <c r="BH116" s="4">
        <f ca="1">+VLOOKUP($BG116,INDIRECT(Adrese!B$2),8,FALSE)</f>
        <v>6.8146859394164538E-2</v>
      </c>
      <c r="BI116" s="4">
        <f ca="1">+VLOOKUP($BG116,INDIRECT(Adrese!C$2),8,FALSE)</f>
        <v>6.7174208809732017E-2</v>
      </c>
      <c r="BJ116" s="4">
        <f ca="1">+VLOOKUP($BG116,INDIRECT(Adrese!D$2),8,FALSE)</f>
        <v>6.6991910476804417E-2</v>
      </c>
      <c r="BK116" s="4">
        <f ca="1">+VLOOKUP($BG116,INDIRECT(Adrese!E$2),8,FALSE)</f>
        <v>6.6829070474359112E-2</v>
      </c>
      <c r="BL116" s="4">
        <f ca="1">+VLOOKUP($BG116,INDIRECT(Adrese!F$2),8,FALSE)</f>
        <v>6.7604019362826853E-2</v>
      </c>
      <c r="BM116" s="4" t="str">
        <f t="shared" ca="1" si="32"/>
        <v>0.07 (0.00)</v>
      </c>
      <c r="BN116" s="4">
        <f t="shared" ca="1" si="42"/>
        <v>6.7349213703577382E-2</v>
      </c>
      <c r="BO116" s="4">
        <f t="shared" ca="1" si="33"/>
        <v>5.3150866863383079E-4</v>
      </c>
      <c r="BQ116" t="s">
        <v>170</v>
      </c>
      <c r="BR116" s="4">
        <f ca="1">+VLOOKUP($BG116,INDIRECT(Adrese!B$2),9,FALSE)</f>
        <v>-8.1010195448900958E-3</v>
      </c>
      <c r="BS116" s="4">
        <f ca="1">+VLOOKUP($BG116,INDIRECT(Adrese!C$2),9,FALSE)</f>
        <v>-4.4541451057816357E-3</v>
      </c>
      <c r="BT116" s="4">
        <f ca="1">+VLOOKUP($BG116,INDIRECT(Adrese!D$2),9,FALSE)</f>
        <v>-3.6277508702304848E-3</v>
      </c>
      <c r="BU116" s="4">
        <f ca="1">+VLOOKUP($BG116,INDIRECT(Adrese!E$2),9,FALSE)</f>
        <v>-6.4581189519526848E-3</v>
      </c>
      <c r="BV116" s="4">
        <f ca="1">+VLOOKUP($BG116,INDIRECT(Adrese!F$2),9,FALSE)</f>
        <v>-3.5529106869419038E-3</v>
      </c>
      <c r="BW116" s="4" t="str">
        <f t="shared" ca="1" si="34"/>
        <v>-0.01 (0.00)</v>
      </c>
      <c r="BX116" s="4">
        <f t="shared" ca="1" si="43"/>
        <v>-5.2387890319593611E-3</v>
      </c>
      <c r="BY116" s="4">
        <f t="shared" ca="1" si="35"/>
        <v>1.9832060411475038E-3</v>
      </c>
    </row>
    <row r="117" spans="1:77" x14ac:dyDescent="0.25">
      <c r="A117" t="s">
        <v>171</v>
      </c>
      <c r="B117" s="11">
        <f ca="1">+VLOOKUP($A117,INDIRECT(Adrese!B$2),2,FALSE)</f>
        <v>121</v>
      </c>
      <c r="C117" s="11">
        <f ca="1">+VLOOKUP($A117,INDIRECT(Adrese!C$2),2,FALSE)</f>
        <v>161</v>
      </c>
      <c r="D117" s="11">
        <f ca="1">+VLOOKUP($A117,INDIRECT(Adrese!D$2),2,FALSE)</f>
        <v>153</v>
      </c>
      <c r="E117" s="11">
        <f ca="1">+VLOOKUP($A117,INDIRECT(Adrese!E$2),2,FALSE)</f>
        <v>146</v>
      </c>
      <c r="F117" s="11">
        <f ca="1">+VLOOKUP($A117,INDIRECT(Adrese!F$2),2,FALSE)</f>
        <v>147</v>
      </c>
      <c r="G117" s="4">
        <f t="shared" ca="1" si="36"/>
        <v>145.6</v>
      </c>
      <c r="J117" t="s">
        <v>171</v>
      </c>
      <c r="K117">
        <f ca="1">+VLOOKUP($A117,INDIRECT(Adrese!B$2),3,FALSE)</f>
        <v>160</v>
      </c>
      <c r="L117">
        <f ca="1">+VLOOKUP($A117,INDIRECT(Adrese!C$2),3,FALSE)</f>
        <v>165</v>
      </c>
      <c r="M117">
        <f ca="1">+VLOOKUP($A117,INDIRECT(Adrese!D$2),3,FALSE)</f>
        <v>149</v>
      </c>
      <c r="N117">
        <f ca="1">+VLOOKUP($A117,INDIRECT(Adrese!E$2),3,FALSE)</f>
        <v>159</v>
      </c>
      <c r="O117">
        <f ca="1">+VLOOKUP($A117,INDIRECT(Adrese!F$2),3,FALSE)</f>
        <v>157</v>
      </c>
      <c r="P117">
        <f t="shared" ca="1" si="26"/>
        <v>790</v>
      </c>
      <c r="Q117" s="4">
        <f t="shared" ca="1" si="37"/>
        <v>158</v>
      </c>
      <c r="R117" s="4"/>
      <c r="T117" t="s">
        <v>171</v>
      </c>
      <c r="U117">
        <f ca="1">+VLOOKUP($T117,INDIRECT(Adrese!B$2),4,FALSE)</f>
        <v>94586</v>
      </c>
      <c r="V117">
        <f ca="1">+VLOOKUP($T117,INDIRECT(Adrese!C$2),4,FALSE)</f>
        <v>93035</v>
      </c>
      <c r="W117">
        <f ca="1">+VLOOKUP($T117,INDIRECT(Adrese!D$2),4,FALSE)</f>
        <v>93353</v>
      </c>
      <c r="X117">
        <f ca="1">+VLOOKUP($T117,INDIRECT(Adrese!E$2),4,FALSE)</f>
        <v>93929</v>
      </c>
      <c r="Y117">
        <f ca="1">+VLOOKUP($T117,INDIRECT(Adrese!F$2),4,FALSE)</f>
        <v>93673</v>
      </c>
      <c r="Z117">
        <f t="shared" ca="1" si="27"/>
        <v>468576</v>
      </c>
      <c r="AA117" s="4">
        <f t="shared" ca="1" si="38"/>
        <v>93715.199999999997</v>
      </c>
      <c r="AC117" t="s">
        <v>171</v>
      </c>
      <c r="AD117">
        <f ca="1">+VLOOKUP($A117,INDIRECT(Adrese!B$2),5,FALSE)</f>
        <v>15751</v>
      </c>
      <c r="AE117">
        <f ca="1">+VLOOKUP($A117,INDIRECT(Adrese!C$2),5,FALSE)</f>
        <v>15324</v>
      </c>
      <c r="AF117">
        <f ca="1">+VLOOKUP($A117,INDIRECT(Adrese!D$2),5,FALSE)</f>
        <v>15468</v>
      </c>
      <c r="AG117">
        <f ca="1">+VLOOKUP($A117,INDIRECT(Adrese!E$2),5,FALSE)</f>
        <v>15572</v>
      </c>
      <c r="AH117">
        <f ca="1">+VLOOKUP($A117,INDIRECT(Adrese!F$2),5,FALSE)</f>
        <v>15597</v>
      </c>
      <c r="AI117" s="4">
        <f t="shared" ca="1" si="39"/>
        <v>15542.4</v>
      </c>
      <c r="AJ117" s="4"/>
      <c r="AK117" s="4"/>
      <c r="AM117" t="s">
        <v>171</v>
      </c>
      <c r="AN117" s="4">
        <f ca="1">+VLOOKUP($A117,INDIRECT(Adrese!B$2),6,FALSE)</f>
        <v>0.34741150442477869</v>
      </c>
      <c r="AO117" s="4">
        <f ca="1">+VLOOKUP($A117,INDIRECT(Adrese!C$2),6,FALSE)</f>
        <v>0.33827433628318582</v>
      </c>
      <c r="AP117" s="4">
        <f ca="1">+VLOOKUP($A117,INDIRECT(Adrese!D$2),6,FALSE)</f>
        <v>0.34152654867256638</v>
      </c>
      <c r="AQ117" s="4">
        <f ca="1">+VLOOKUP($A117,INDIRECT(Adrese!E$2),6,FALSE)</f>
        <v>0.34360619469026549</v>
      </c>
      <c r="AR117" s="4">
        <f ca="1">+VLOOKUP($A117,INDIRECT(Adrese!F$2),6,FALSE)</f>
        <v>0.34415929203539819</v>
      </c>
      <c r="AS117" s="4" t="str">
        <f t="shared" ca="1" si="28"/>
        <v>0.34 (0.00)</v>
      </c>
      <c r="AT117" s="4">
        <f t="shared" ca="1" si="40"/>
        <v>0.34299557522123891</v>
      </c>
      <c r="AU117" s="4">
        <f t="shared" ca="1" si="29"/>
        <v>3.3791885046960709E-3</v>
      </c>
      <c r="AW117" t="s">
        <v>171</v>
      </c>
      <c r="AX117" s="4">
        <f ca="1">+VLOOKUP($A117,INDIRECT(Adrese!B$2),7,FALSE)</f>
        <v>0.29203539823008851</v>
      </c>
      <c r="AY117" s="4">
        <f ca="1">+VLOOKUP($A117,INDIRECT(Adrese!C$2),7,FALSE)</f>
        <v>0.26991150442477868</v>
      </c>
      <c r="AZ117" s="4">
        <f ca="1">+VLOOKUP($A117,INDIRECT(Adrese!D$2),7,FALSE)</f>
        <v>0.34070796460176989</v>
      </c>
      <c r="BA117" s="4">
        <f ca="1">+VLOOKUP($A117,INDIRECT(Adrese!E$2),7,FALSE)</f>
        <v>0.29646017699115051</v>
      </c>
      <c r="BB117" s="4">
        <f ca="1">+VLOOKUP($A117,INDIRECT(Adrese!F$2),7,FALSE)</f>
        <v>0.30530973451327431</v>
      </c>
      <c r="BC117" s="4" t="str">
        <f t="shared" ca="1" si="30"/>
        <v>0.30 (0.03)</v>
      </c>
      <c r="BD117">
        <f t="shared" ca="1" si="41"/>
        <v>0.30088495575221236</v>
      </c>
      <c r="BE117" s="4">
        <f t="shared" ca="1" si="31"/>
        <v>2.5800672101085411E-2</v>
      </c>
      <c r="BG117" t="s">
        <v>171</v>
      </c>
      <c r="BH117" s="4">
        <f ca="1">+VLOOKUP($BG117,INDIRECT(Adrese!B$2),8,FALSE)</f>
        <v>5.1603914463463831E-2</v>
      </c>
      <c r="BI117" s="4">
        <f ca="1">+VLOOKUP($BG117,INDIRECT(Adrese!C$2),8,FALSE)</f>
        <v>4.9915048915566043E-2</v>
      </c>
      <c r="BJ117" s="4">
        <f ca="1">+VLOOKUP($BG117,INDIRECT(Adrese!D$2),8,FALSE)</f>
        <v>5.0152265455791462E-2</v>
      </c>
      <c r="BK117" s="4">
        <f ca="1">+VLOOKUP($BG117,INDIRECT(Adrese!E$2),8,FALSE)</f>
        <v>5.0882604488506913E-2</v>
      </c>
      <c r="BL117" s="4">
        <f ca="1">+VLOOKUP($BG117,INDIRECT(Adrese!F$2),8,FALSE)</f>
        <v>5.1254953241653363E-2</v>
      </c>
      <c r="BM117" s="4" t="str">
        <f t="shared" ca="1" si="32"/>
        <v>0.05 (0.00)</v>
      </c>
      <c r="BN117" s="4">
        <f t="shared" ca="1" si="42"/>
        <v>5.0761757312996328E-2</v>
      </c>
      <c r="BO117" s="4">
        <f t="shared" ca="1" si="33"/>
        <v>7.1684558383139656E-4</v>
      </c>
      <c r="BQ117" t="s">
        <v>171</v>
      </c>
      <c r="BR117" s="4">
        <f ca="1">+VLOOKUP($BG117,INDIRECT(Adrese!B$2),9,FALSE)</f>
        <v>9.7996325420616093E-2</v>
      </c>
      <c r="BS117" s="4">
        <f ca="1">+VLOOKUP($BG117,INDIRECT(Adrese!C$2),9,FALSE)</f>
        <v>0.10359329723755099</v>
      </c>
      <c r="BT117" s="4">
        <f ca="1">+VLOOKUP($BG117,INDIRECT(Adrese!D$2),9,FALSE)</f>
        <v>0.1001492030638898</v>
      </c>
      <c r="BU117" s="4">
        <f ca="1">+VLOOKUP($BG117,INDIRECT(Adrese!E$2),9,FALSE)</f>
        <v>0.1025753606461676</v>
      </c>
      <c r="BV117" s="4">
        <f ca="1">+VLOOKUP($BG117,INDIRECT(Adrese!F$2),9,FALSE)</f>
        <v>0.1015925469000702</v>
      </c>
      <c r="BW117" s="4" t="str">
        <f t="shared" ca="1" si="34"/>
        <v>0.10 (0.00)</v>
      </c>
      <c r="BX117" s="4">
        <f t="shared" ca="1" si="43"/>
        <v>0.10118134665365894</v>
      </c>
      <c r="BY117" s="4">
        <f t="shared" ca="1" si="35"/>
        <v>2.1874383944428658E-3</v>
      </c>
    </row>
    <row r="118" spans="1:77" x14ac:dyDescent="0.25">
      <c r="A118" t="s">
        <v>172</v>
      </c>
      <c r="B118" s="11">
        <f ca="1">+VLOOKUP($A118,INDIRECT(Adrese!B$2),2,FALSE)</f>
        <v>150</v>
      </c>
      <c r="C118" s="11">
        <f ca="1">+VLOOKUP($A118,INDIRECT(Adrese!C$2),2,FALSE)</f>
        <v>168</v>
      </c>
      <c r="D118" s="11">
        <f ca="1">+VLOOKUP($A118,INDIRECT(Adrese!D$2),2,FALSE)</f>
        <v>173</v>
      </c>
      <c r="E118" s="11">
        <f ca="1">+VLOOKUP($A118,INDIRECT(Adrese!E$2),2,FALSE)</f>
        <v>144</v>
      </c>
      <c r="F118" s="11">
        <f ca="1">+VLOOKUP($A118,INDIRECT(Adrese!F$2),2,FALSE)</f>
        <v>160</v>
      </c>
      <c r="G118" s="4">
        <f t="shared" ca="1" si="36"/>
        <v>159</v>
      </c>
      <c r="J118" t="s">
        <v>172</v>
      </c>
      <c r="K118">
        <f ca="1">+VLOOKUP($A118,INDIRECT(Adrese!B$2),3,FALSE)</f>
        <v>205</v>
      </c>
      <c r="L118">
        <f ca="1">+VLOOKUP($A118,INDIRECT(Adrese!C$2),3,FALSE)</f>
        <v>206</v>
      </c>
      <c r="M118">
        <f ca="1">+VLOOKUP($A118,INDIRECT(Adrese!D$2),3,FALSE)</f>
        <v>200</v>
      </c>
      <c r="N118">
        <f ca="1">+VLOOKUP($A118,INDIRECT(Adrese!E$2),3,FALSE)</f>
        <v>200</v>
      </c>
      <c r="O118">
        <f ca="1">+VLOOKUP($A118,INDIRECT(Adrese!F$2),3,FALSE)</f>
        <v>193</v>
      </c>
      <c r="P118">
        <f t="shared" ca="1" si="26"/>
        <v>1004</v>
      </c>
      <c r="Q118" s="4">
        <f t="shared" ca="1" si="37"/>
        <v>200.8</v>
      </c>
      <c r="R118" s="4"/>
      <c r="T118" t="s">
        <v>172</v>
      </c>
      <c r="U118">
        <f ca="1">+VLOOKUP($T118,INDIRECT(Adrese!B$2),4,FALSE)</f>
        <v>93413</v>
      </c>
      <c r="V118">
        <f ca="1">+VLOOKUP($T118,INDIRECT(Adrese!C$2),4,FALSE)</f>
        <v>92398</v>
      </c>
      <c r="W118">
        <f ca="1">+VLOOKUP($T118,INDIRECT(Adrese!D$2),4,FALSE)</f>
        <v>91582</v>
      </c>
      <c r="X118">
        <f ca="1">+VLOOKUP($T118,INDIRECT(Adrese!E$2),4,FALSE)</f>
        <v>94015</v>
      </c>
      <c r="Y118">
        <f ca="1">+VLOOKUP($T118,INDIRECT(Adrese!F$2),4,FALSE)</f>
        <v>92970</v>
      </c>
      <c r="Z118">
        <f t="shared" ca="1" si="27"/>
        <v>464378</v>
      </c>
      <c r="AA118" s="4">
        <f t="shared" ca="1" si="38"/>
        <v>92875.6</v>
      </c>
      <c r="AC118" t="s">
        <v>172</v>
      </c>
      <c r="AD118">
        <f ca="1">+VLOOKUP($A118,INDIRECT(Adrese!B$2),5,FALSE)</f>
        <v>10043</v>
      </c>
      <c r="AE118">
        <f ca="1">+VLOOKUP($A118,INDIRECT(Adrese!C$2),5,FALSE)</f>
        <v>9961</v>
      </c>
      <c r="AF118">
        <f ca="1">+VLOOKUP($A118,INDIRECT(Adrese!D$2),5,FALSE)</f>
        <v>9681</v>
      </c>
      <c r="AG118">
        <f ca="1">+VLOOKUP($A118,INDIRECT(Adrese!E$2),5,FALSE)</f>
        <v>10429</v>
      </c>
      <c r="AH118">
        <f ca="1">+VLOOKUP($A118,INDIRECT(Adrese!F$2),5,FALSE)</f>
        <v>10205</v>
      </c>
      <c r="AI118" s="4">
        <f t="shared" ca="1" si="39"/>
        <v>10063.799999999999</v>
      </c>
      <c r="AJ118" s="4"/>
      <c r="AK118" s="4"/>
      <c r="AM118" t="s">
        <v>172</v>
      </c>
      <c r="AN118" s="4">
        <f ca="1">+VLOOKUP($A118,INDIRECT(Adrese!B$2),6,FALSE)</f>
        <v>0.22168141592920351</v>
      </c>
      <c r="AO118" s="4">
        <f ca="1">+VLOOKUP($A118,INDIRECT(Adrese!C$2),6,FALSE)</f>
        <v>0.21982300884955749</v>
      </c>
      <c r="AP118" s="4">
        <f ca="1">+VLOOKUP($A118,INDIRECT(Adrese!D$2),6,FALSE)</f>
        <v>0.21378318584070799</v>
      </c>
      <c r="AQ118" s="4">
        <f ca="1">+VLOOKUP($A118,INDIRECT(Adrese!E$2),6,FALSE)</f>
        <v>0.23017699115044249</v>
      </c>
      <c r="AR118" s="4">
        <f ca="1">+VLOOKUP($A118,INDIRECT(Adrese!F$2),6,FALSE)</f>
        <v>0.22517699115044251</v>
      </c>
      <c r="AS118" s="4" t="str">
        <f t="shared" ca="1" si="28"/>
        <v>0.22 (0.01)</v>
      </c>
      <c r="AT118" s="4">
        <f t="shared" ca="1" si="40"/>
        <v>0.22212831858407078</v>
      </c>
      <c r="AU118" s="4">
        <f t="shared" ca="1" si="29"/>
        <v>6.1080060158149622E-3</v>
      </c>
      <c r="AW118" t="s">
        <v>172</v>
      </c>
      <c r="AX118" s="4">
        <f ca="1">+VLOOKUP($A118,INDIRECT(Adrese!B$2),7,FALSE)</f>
        <v>9.2920353982300891E-2</v>
      </c>
      <c r="AY118" s="4">
        <f ca="1">+VLOOKUP($A118,INDIRECT(Adrese!C$2),7,FALSE)</f>
        <v>8.8495575221238937E-2</v>
      </c>
      <c r="AZ118" s="4">
        <f ca="1">+VLOOKUP($A118,INDIRECT(Adrese!D$2),7,FALSE)</f>
        <v>0.1150442477876106</v>
      </c>
      <c r="BA118" s="4">
        <f ca="1">+VLOOKUP($A118,INDIRECT(Adrese!E$2),7,FALSE)</f>
        <v>0.1150442477876106</v>
      </c>
      <c r="BB118" s="4">
        <f ca="1">+VLOOKUP($A118,INDIRECT(Adrese!F$2),7,FALSE)</f>
        <v>0.14601769911504431</v>
      </c>
      <c r="BC118" s="4" t="str">
        <f t="shared" ca="1" si="30"/>
        <v>0.11 (0.02)</v>
      </c>
      <c r="BD118">
        <f t="shared" ca="1" si="41"/>
        <v>0.11150442477876106</v>
      </c>
      <c r="BE118" s="4">
        <f t="shared" ca="1" si="31"/>
        <v>2.2863735721705983E-2</v>
      </c>
      <c r="BG118" t="s">
        <v>172</v>
      </c>
      <c r="BH118" s="4">
        <f ca="1">+VLOOKUP($BG118,INDIRECT(Adrese!B$2),8,FALSE)</f>
        <v>3.399578354172688E-2</v>
      </c>
      <c r="BI118" s="4">
        <f ca="1">+VLOOKUP($BG118,INDIRECT(Adrese!C$2),8,FALSE)</f>
        <v>3.4069566289850459E-2</v>
      </c>
      <c r="BJ118" s="4">
        <f ca="1">+VLOOKUP($BG118,INDIRECT(Adrese!D$2),8,FALSE)</f>
        <v>3.2730443379103087E-2</v>
      </c>
      <c r="BK118" s="4">
        <f ca="1">+VLOOKUP($BG118,INDIRECT(Adrese!E$2),8,FALSE)</f>
        <v>3.548114654520286E-2</v>
      </c>
      <c r="BL118" s="4">
        <f ca="1">+VLOOKUP($BG118,INDIRECT(Adrese!F$2),8,FALSE)</f>
        <v>3.4547034658968211E-2</v>
      </c>
      <c r="BM118" s="4" t="str">
        <f t="shared" ca="1" si="32"/>
        <v>0.03 (0.00)</v>
      </c>
      <c r="BN118" s="4">
        <f t="shared" ca="1" si="42"/>
        <v>3.4164794882970299E-2</v>
      </c>
      <c r="BO118" s="4">
        <f t="shared" ca="1" si="33"/>
        <v>9.9673046758890329E-4</v>
      </c>
      <c r="BQ118" t="s">
        <v>172</v>
      </c>
      <c r="BR118" s="4">
        <f ca="1">+VLOOKUP($BG118,INDIRECT(Adrese!B$2),9,FALSE)</f>
        <v>0.1189926579170992</v>
      </c>
      <c r="BS118" s="4">
        <f ca="1">+VLOOKUP($BG118,INDIRECT(Adrese!C$2),9,FALSE)</f>
        <v>0.11859387400114151</v>
      </c>
      <c r="BT118" s="4">
        <f ca="1">+VLOOKUP($BG118,INDIRECT(Adrese!D$2),9,FALSE)</f>
        <v>0.1212254702398491</v>
      </c>
      <c r="BU118" s="4">
        <f ca="1">+VLOOKUP($BG118,INDIRECT(Adrese!E$2),9,FALSE)</f>
        <v>0.12034569550259119</v>
      </c>
      <c r="BV118" s="4">
        <f ca="1">+VLOOKUP($BG118,INDIRECT(Adrese!F$2),9,FALSE)</f>
        <v>0.1196901534141043</v>
      </c>
      <c r="BW118" s="4" t="str">
        <f t="shared" ca="1" si="34"/>
        <v>0.12 (0.00)</v>
      </c>
      <c r="BX118" s="4">
        <f t="shared" ca="1" si="43"/>
        <v>0.11976957021495704</v>
      </c>
      <c r="BY118" s="4">
        <f t="shared" ca="1" si="35"/>
        <v>1.0540074197477039E-3</v>
      </c>
    </row>
    <row r="119" spans="1:77" x14ac:dyDescent="0.25">
      <c r="A119" t="s">
        <v>173</v>
      </c>
      <c r="B119" s="11">
        <f ca="1">+VLOOKUP($A119,INDIRECT(Adrese!B$2),2,FALSE)</f>
        <v>165</v>
      </c>
      <c r="C119" s="11">
        <f ca="1">+VLOOKUP($A119,INDIRECT(Adrese!C$2),2,FALSE)</f>
        <v>158</v>
      </c>
      <c r="D119" s="11">
        <f ca="1">+VLOOKUP($A119,INDIRECT(Adrese!D$2),2,FALSE)</f>
        <v>143</v>
      </c>
      <c r="E119" s="11">
        <f ca="1">+VLOOKUP($A119,INDIRECT(Adrese!E$2),2,FALSE)</f>
        <v>141</v>
      </c>
      <c r="F119" s="11">
        <f ca="1">+VLOOKUP($A119,INDIRECT(Adrese!F$2),2,FALSE)</f>
        <v>167</v>
      </c>
      <c r="G119" s="4">
        <f t="shared" ca="1" si="36"/>
        <v>154.80000000000001</v>
      </c>
      <c r="J119" t="s">
        <v>173</v>
      </c>
      <c r="K119">
        <f ca="1">+VLOOKUP($A119,INDIRECT(Adrese!B$2),3,FALSE)</f>
        <v>188</v>
      </c>
      <c r="L119">
        <f ca="1">+VLOOKUP($A119,INDIRECT(Adrese!C$2),3,FALSE)</f>
        <v>192</v>
      </c>
      <c r="M119">
        <f ca="1">+VLOOKUP($A119,INDIRECT(Adrese!D$2),3,FALSE)</f>
        <v>191</v>
      </c>
      <c r="N119">
        <f ca="1">+VLOOKUP($A119,INDIRECT(Adrese!E$2),3,FALSE)</f>
        <v>190</v>
      </c>
      <c r="O119">
        <f ca="1">+VLOOKUP($A119,INDIRECT(Adrese!F$2),3,FALSE)</f>
        <v>191</v>
      </c>
      <c r="P119">
        <f t="shared" ca="1" si="26"/>
        <v>952</v>
      </c>
      <c r="Q119" s="4">
        <f t="shared" ca="1" si="37"/>
        <v>190.4</v>
      </c>
      <c r="R119" s="4"/>
      <c r="T119" t="s">
        <v>173</v>
      </c>
      <c r="U119">
        <f ca="1">+VLOOKUP($T119,INDIRECT(Adrese!B$2),4,FALSE)</f>
        <v>92538</v>
      </c>
      <c r="V119">
        <f ca="1">+VLOOKUP($T119,INDIRECT(Adrese!C$2),4,FALSE)</f>
        <v>93213</v>
      </c>
      <c r="W119">
        <f ca="1">+VLOOKUP($T119,INDIRECT(Adrese!D$2),4,FALSE)</f>
        <v>93993</v>
      </c>
      <c r="X119">
        <f ca="1">+VLOOKUP($T119,INDIRECT(Adrese!E$2),4,FALSE)</f>
        <v>94102</v>
      </c>
      <c r="Y119">
        <f ca="1">+VLOOKUP($T119,INDIRECT(Adrese!F$2),4,FALSE)</f>
        <v>92552</v>
      </c>
      <c r="Z119">
        <f t="shared" ca="1" si="27"/>
        <v>466398</v>
      </c>
      <c r="AA119" s="4">
        <f t="shared" ca="1" si="38"/>
        <v>93279.6</v>
      </c>
      <c r="AC119" t="s">
        <v>173</v>
      </c>
      <c r="AD119">
        <f ca="1">+VLOOKUP($A119,INDIRECT(Adrese!B$2),5,FALSE)</f>
        <v>12978</v>
      </c>
      <c r="AE119">
        <f ca="1">+VLOOKUP($A119,INDIRECT(Adrese!C$2),5,FALSE)</f>
        <v>13086</v>
      </c>
      <c r="AF119">
        <f ca="1">+VLOOKUP($A119,INDIRECT(Adrese!D$2),5,FALSE)</f>
        <v>13349</v>
      </c>
      <c r="AG119">
        <f ca="1">+VLOOKUP($A119,INDIRECT(Adrese!E$2),5,FALSE)</f>
        <v>13178</v>
      </c>
      <c r="AH119">
        <f ca="1">+VLOOKUP($A119,INDIRECT(Adrese!F$2),5,FALSE)</f>
        <v>12685</v>
      </c>
      <c r="AI119" s="4">
        <f t="shared" ca="1" si="39"/>
        <v>13055.2</v>
      </c>
      <c r="AJ119" s="4"/>
      <c r="AK119" s="4"/>
      <c r="AM119" t="s">
        <v>173</v>
      </c>
      <c r="AN119" s="4">
        <f ca="1">+VLOOKUP($A119,INDIRECT(Adrese!B$2),6,FALSE)</f>
        <v>0.28648230088495569</v>
      </c>
      <c r="AO119" s="4">
        <f ca="1">+VLOOKUP($A119,INDIRECT(Adrese!C$2),6,FALSE)</f>
        <v>0.28915929203539831</v>
      </c>
      <c r="AP119" s="4">
        <f ca="1">+VLOOKUP($A119,INDIRECT(Adrese!D$2),6,FALSE)</f>
        <v>0.29480088495575218</v>
      </c>
      <c r="AQ119" s="4">
        <f ca="1">+VLOOKUP($A119,INDIRECT(Adrese!E$2),6,FALSE)</f>
        <v>0.2911061946902655</v>
      </c>
      <c r="AR119" s="4">
        <f ca="1">+VLOOKUP($A119,INDIRECT(Adrese!F$2),6,FALSE)</f>
        <v>0.28015486725663719</v>
      </c>
      <c r="AS119" s="4" t="str">
        <f t="shared" ca="1" si="28"/>
        <v>0.29 (0.01)</v>
      </c>
      <c r="AT119" s="4">
        <f t="shared" ca="1" si="40"/>
        <v>0.28834070796460176</v>
      </c>
      <c r="AU119" s="4">
        <f t="shared" ca="1" si="29"/>
        <v>5.4889331485640756E-3</v>
      </c>
      <c r="AW119" t="s">
        <v>173</v>
      </c>
      <c r="AX119" s="4">
        <f ca="1">+VLOOKUP($A119,INDIRECT(Adrese!B$2),7,FALSE)</f>
        <v>0.16814159292035399</v>
      </c>
      <c r="AY119" s="4">
        <f ca="1">+VLOOKUP($A119,INDIRECT(Adrese!C$2),7,FALSE)</f>
        <v>0.15044247787610621</v>
      </c>
      <c r="AZ119" s="4">
        <f ca="1">+VLOOKUP($A119,INDIRECT(Adrese!D$2),7,FALSE)</f>
        <v>0.1548672566371681</v>
      </c>
      <c r="BA119" s="4">
        <f ca="1">+VLOOKUP($A119,INDIRECT(Adrese!E$2),7,FALSE)</f>
        <v>0.15929203539823009</v>
      </c>
      <c r="BB119" s="4">
        <f ca="1">+VLOOKUP($A119,INDIRECT(Adrese!F$2),7,FALSE)</f>
        <v>0.1548672566371681</v>
      </c>
      <c r="BC119" s="4" t="str">
        <f t="shared" ca="1" si="30"/>
        <v>0.16 (0.01)</v>
      </c>
      <c r="BD119">
        <f t="shared" ca="1" si="41"/>
        <v>0.15752212389380529</v>
      </c>
      <c r="BE119" s="4">
        <f t="shared" ca="1" si="31"/>
        <v>6.7105092425235055E-3</v>
      </c>
      <c r="BG119" t="s">
        <v>173</v>
      </c>
      <c r="BH119" s="4">
        <f ca="1">+VLOOKUP($BG119,INDIRECT(Adrese!B$2),8,FALSE)</f>
        <v>4.3791010767426919E-2</v>
      </c>
      <c r="BI119" s="4">
        <f ca="1">+VLOOKUP($BG119,INDIRECT(Adrese!C$2),8,FALSE)</f>
        <v>4.4219431493196931E-2</v>
      </c>
      <c r="BJ119" s="4">
        <f ca="1">+VLOOKUP($BG119,INDIRECT(Adrese!D$2),8,FALSE)</f>
        <v>4.5068469035269967E-2</v>
      </c>
      <c r="BK119" s="4">
        <f ca="1">+VLOOKUP($BG119,INDIRECT(Adrese!E$2),8,FALSE)</f>
        <v>4.3837000912626788E-2</v>
      </c>
      <c r="BL119" s="4">
        <f ca="1">+VLOOKUP($BG119,INDIRECT(Adrese!F$2),8,FALSE)</f>
        <v>4.2803067632064783E-2</v>
      </c>
      <c r="BM119" s="4" t="str">
        <f t="shared" ca="1" si="32"/>
        <v>0.04 (0.00)</v>
      </c>
      <c r="BN119" s="4">
        <f t="shared" ca="1" si="42"/>
        <v>4.394379596811708E-2</v>
      </c>
      <c r="BO119" s="4">
        <f t="shared" ca="1" si="33"/>
        <v>8.180577743602341E-4</v>
      </c>
      <c r="BQ119" t="s">
        <v>173</v>
      </c>
      <c r="BR119" s="4">
        <f ca="1">+VLOOKUP($BG119,INDIRECT(Adrese!B$2),9,FALSE)</f>
        <v>0.1157852884633251</v>
      </c>
      <c r="BS119" s="4">
        <f ca="1">+VLOOKUP($BG119,INDIRECT(Adrese!C$2),9,FALSE)</f>
        <v>0.1171990040110584</v>
      </c>
      <c r="BT119" s="4">
        <f ca="1">+VLOOKUP($BG119,INDIRECT(Adrese!D$2),9,FALSE)</f>
        <v>0.11322052163802759</v>
      </c>
      <c r="BU119" s="4">
        <f ca="1">+VLOOKUP($BG119,INDIRECT(Adrese!E$2),9,FALSE)</f>
        <v>0.11451687935465819</v>
      </c>
      <c r="BV119" s="4">
        <f ca="1">+VLOOKUP($BG119,INDIRECT(Adrese!F$2),9,FALSE)</f>
        <v>0.1167312274693654</v>
      </c>
      <c r="BW119" s="4" t="str">
        <f t="shared" ca="1" si="34"/>
        <v>0.12 (0.00)</v>
      </c>
      <c r="BX119" s="4">
        <f t="shared" ca="1" si="43"/>
        <v>0.11549058418728694</v>
      </c>
      <c r="BY119" s="4">
        <f t="shared" ca="1" si="35"/>
        <v>1.6314127111625766E-3</v>
      </c>
    </row>
    <row r="120" spans="1:77" x14ac:dyDescent="0.25">
      <c r="A120" t="s">
        <v>174</v>
      </c>
      <c r="B120" s="11">
        <f ca="1">+VLOOKUP($A120,INDIRECT(Adrese!B$2),2,FALSE)</f>
        <v>143</v>
      </c>
      <c r="C120" s="11">
        <f ca="1">+VLOOKUP($A120,INDIRECT(Adrese!C$2),2,FALSE)</f>
        <v>126</v>
      </c>
      <c r="D120" s="11">
        <f ca="1">+VLOOKUP($A120,INDIRECT(Adrese!D$2),2,FALSE)</f>
        <v>132</v>
      </c>
      <c r="E120" s="11">
        <f ca="1">+VLOOKUP($A120,INDIRECT(Adrese!E$2),2,FALSE)</f>
        <v>133</v>
      </c>
      <c r="F120" s="11">
        <f ca="1">+VLOOKUP($A120,INDIRECT(Adrese!F$2),2,FALSE)</f>
        <v>161</v>
      </c>
      <c r="G120" s="4">
        <f t="shared" ca="1" si="36"/>
        <v>139</v>
      </c>
      <c r="J120" t="s">
        <v>174</v>
      </c>
      <c r="K120">
        <f ca="1">+VLOOKUP($A120,INDIRECT(Adrese!B$2),3,FALSE)</f>
        <v>159</v>
      </c>
      <c r="L120">
        <f ca="1">+VLOOKUP($A120,INDIRECT(Adrese!C$2),3,FALSE)</f>
        <v>167</v>
      </c>
      <c r="M120">
        <f ca="1">+VLOOKUP($A120,INDIRECT(Adrese!D$2),3,FALSE)</f>
        <v>161</v>
      </c>
      <c r="N120">
        <f ca="1">+VLOOKUP($A120,INDIRECT(Adrese!E$2),3,FALSE)</f>
        <v>164</v>
      </c>
      <c r="O120">
        <f ca="1">+VLOOKUP($A120,INDIRECT(Adrese!F$2),3,FALSE)</f>
        <v>152</v>
      </c>
      <c r="P120">
        <f t="shared" ca="1" si="26"/>
        <v>803</v>
      </c>
      <c r="Q120" s="4">
        <f t="shared" ca="1" si="37"/>
        <v>160.6</v>
      </c>
      <c r="R120" s="4"/>
      <c r="T120" t="s">
        <v>174</v>
      </c>
      <c r="U120">
        <f ca="1">+VLOOKUP($T120,INDIRECT(Adrese!B$2),4,FALSE)</f>
        <v>93901</v>
      </c>
      <c r="V120">
        <f ca="1">+VLOOKUP($T120,INDIRECT(Adrese!C$2),4,FALSE)</f>
        <v>94400</v>
      </c>
      <c r="W120">
        <f ca="1">+VLOOKUP($T120,INDIRECT(Adrese!D$2),4,FALSE)</f>
        <v>94347</v>
      </c>
      <c r="X120">
        <f ca="1">+VLOOKUP($T120,INDIRECT(Adrese!E$2),4,FALSE)</f>
        <v>94359</v>
      </c>
      <c r="Y120">
        <f ca="1">+VLOOKUP($T120,INDIRECT(Adrese!F$2),4,FALSE)</f>
        <v>92939</v>
      </c>
      <c r="Z120">
        <f t="shared" ca="1" si="27"/>
        <v>469946</v>
      </c>
      <c r="AA120" s="4">
        <f t="shared" ca="1" si="38"/>
        <v>93989.2</v>
      </c>
      <c r="AC120" t="s">
        <v>174</v>
      </c>
      <c r="AD120">
        <f ca="1">+VLOOKUP($A120,INDIRECT(Adrese!B$2),5,FALSE)</f>
        <v>14715</v>
      </c>
      <c r="AE120">
        <f ca="1">+VLOOKUP($A120,INDIRECT(Adrese!C$2),5,FALSE)</f>
        <v>14645</v>
      </c>
      <c r="AF120">
        <f ca="1">+VLOOKUP($A120,INDIRECT(Adrese!D$2),5,FALSE)</f>
        <v>14723</v>
      </c>
      <c r="AG120">
        <f ca="1">+VLOOKUP($A120,INDIRECT(Adrese!E$2),5,FALSE)</f>
        <v>14843</v>
      </c>
      <c r="AH120">
        <f ca="1">+VLOOKUP($A120,INDIRECT(Adrese!F$2),5,FALSE)</f>
        <v>14481</v>
      </c>
      <c r="AI120" s="4">
        <f t="shared" ca="1" si="39"/>
        <v>14681.4</v>
      </c>
      <c r="AJ120" s="4"/>
      <c r="AK120" s="4"/>
      <c r="AM120" t="s">
        <v>174</v>
      </c>
      <c r="AN120" s="4">
        <f ca="1">+VLOOKUP($A120,INDIRECT(Adrese!B$2),6,FALSE)</f>
        <v>0.32480088495575221</v>
      </c>
      <c r="AO120" s="4">
        <f ca="1">+VLOOKUP($A120,INDIRECT(Adrese!C$2),6,FALSE)</f>
        <v>0.32289823008849561</v>
      </c>
      <c r="AP120" s="4">
        <f ca="1">+VLOOKUP($A120,INDIRECT(Adrese!D$2),6,FALSE)</f>
        <v>0.3248230088495575</v>
      </c>
      <c r="AQ120" s="4">
        <f ca="1">+VLOOKUP($A120,INDIRECT(Adrese!E$2),6,FALSE)</f>
        <v>0.32752212389380531</v>
      </c>
      <c r="AR120" s="4">
        <f ca="1">+VLOOKUP($A120,INDIRECT(Adrese!F$2),6,FALSE)</f>
        <v>0.31957964601769911</v>
      </c>
      <c r="AS120" s="4" t="str">
        <f t="shared" ca="1" si="28"/>
        <v>0.32 (0.00)</v>
      </c>
      <c r="AT120" s="4">
        <f t="shared" ca="1" si="40"/>
        <v>0.32392477876106196</v>
      </c>
      <c r="AU120" s="4">
        <f t="shared" ca="1" si="29"/>
        <v>2.9346742619461726E-3</v>
      </c>
      <c r="AW120" t="s">
        <v>174</v>
      </c>
      <c r="AX120" s="4">
        <f ca="1">+VLOOKUP($A120,INDIRECT(Adrese!B$2),7,FALSE)</f>
        <v>0.29646017699115051</v>
      </c>
      <c r="AY120" s="4">
        <f ca="1">+VLOOKUP($A120,INDIRECT(Adrese!C$2),7,FALSE)</f>
        <v>0.26106194690265488</v>
      </c>
      <c r="AZ120" s="4">
        <f ca="1">+VLOOKUP($A120,INDIRECT(Adrese!D$2),7,FALSE)</f>
        <v>0.28761061946902661</v>
      </c>
      <c r="BA120" s="4">
        <f ca="1">+VLOOKUP($A120,INDIRECT(Adrese!E$2),7,FALSE)</f>
        <v>0.27433628318584069</v>
      </c>
      <c r="BB120" s="4">
        <f ca="1">+VLOOKUP($A120,INDIRECT(Adrese!F$2),7,FALSE)</f>
        <v>0.32743362831858408</v>
      </c>
      <c r="BC120" s="4" t="str">
        <f t="shared" ca="1" si="30"/>
        <v>0.29 (0.03)</v>
      </c>
      <c r="BD120">
        <f t="shared" ca="1" si="41"/>
        <v>0.28938053097345134</v>
      </c>
      <c r="BE120" s="4">
        <f t="shared" ca="1" si="31"/>
        <v>2.5147384492712966E-2</v>
      </c>
      <c r="BG120" t="s">
        <v>174</v>
      </c>
      <c r="BH120" s="4">
        <f ca="1">+VLOOKUP($BG120,INDIRECT(Adrese!B$2),8,FALSE)</f>
        <v>4.7728744554159257E-2</v>
      </c>
      <c r="BI120" s="4">
        <f ca="1">+VLOOKUP($BG120,INDIRECT(Adrese!C$2),8,FALSE)</f>
        <v>4.7245875487398822E-2</v>
      </c>
      <c r="BJ120" s="4">
        <f ca="1">+VLOOKUP($BG120,INDIRECT(Adrese!D$2),8,FALSE)</f>
        <v>4.7694201137054047E-2</v>
      </c>
      <c r="BK120" s="4">
        <f ca="1">+VLOOKUP($BG120,INDIRECT(Adrese!E$2),8,FALSE)</f>
        <v>4.8430378204928577E-2</v>
      </c>
      <c r="BL120" s="4">
        <f ca="1">+VLOOKUP($BG120,INDIRECT(Adrese!F$2),8,FALSE)</f>
        <v>4.7259518794202628E-2</v>
      </c>
      <c r="BM120" s="4" t="str">
        <f t="shared" ca="1" si="32"/>
        <v>0.05 (0.00)</v>
      </c>
      <c r="BN120" s="4">
        <f t="shared" ca="1" si="42"/>
        <v>4.7671743635548665E-2</v>
      </c>
      <c r="BO120" s="4">
        <f t="shared" ca="1" si="33"/>
        <v>4.8233102051026695E-4</v>
      </c>
      <c r="BQ120" t="s">
        <v>174</v>
      </c>
      <c r="BR120" s="4">
        <f ca="1">+VLOOKUP($BG120,INDIRECT(Adrese!B$2),9,FALSE)</f>
        <v>9.8106124673595752E-2</v>
      </c>
      <c r="BS120" s="4">
        <f ca="1">+VLOOKUP($BG120,INDIRECT(Adrese!C$2),9,FALSE)</f>
        <v>9.8497031108305211E-2</v>
      </c>
      <c r="BT120" s="4">
        <f ca="1">+VLOOKUP($BG120,INDIRECT(Adrese!D$2),9,FALSE)</f>
        <v>9.8491307219137264E-2</v>
      </c>
      <c r="BU120" s="4">
        <f ca="1">+VLOOKUP($BG120,INDIRECT(Adrese!E$2),9,FALSE)</f>
        <v>0.10056348775412539</v>
      </c>
      <c r="BV120" s="4">
        <f ca="1">+VLOOKUP($BG120,INDIRECT(Adrese!F$2),9,FALSE)</f>
        <v>0.1005974932993746</v>
      </c>
      <c r="BW120" s="4" t="str">
        <f t="shared" ca="1" si="34"/>
        <v>0.10 (0.00)</v>
      </c>
      <c r="BX120" s="4">
        <f t="shared" ca="1" si="43"/>
        <v>9.9251088810907648E-2</v>
      </c>
      <c r="BY120" s="4">
        <f t="shared" ca="1" si="35"/>
        <v>1.2239291232032804E-3</v>
      </c>
    </row>
    <row r="121" spans="1:77" x14ac:dyDescent="0.25">
      <c r="A121" t="s">
        <v>175</v>
      </c>
      <c r="B121" s="11">
        <f ca="1">+VLOOKUP($A121,INDIRECT(Adrese!B$2),2,FALSE)</f>
        <v>213</v>
      </c>
      <c r="C121" s="11">
        <f ca="1">+VLOOKUP($A121,INDIRECT(Adrese!C$2),2,FALSE)</f>
        <v>214</v>
      </c>
      <c r="D121" s="11">
        <f ca="1">+VLOOKUP($A121,INDIRECT(Adrese!D$2),2,FALSE)</f>
        <v>211</v>
      </c>
      <c r="E121" s="11">
        <f ca="1">+VLOOKUP($A121,INDIRECT(Adrese!E$2),2,FALSE)</f>
        <v>199</v>
      </c>
      <c r="F121" s="11">
        <f ca="1">+VLOOKUP($A121,INDIRECT(Adrese!F$2),2,FALSE)</f>
        <v>212</v>
      </c>
      <c r="G121" s="4">
        <f t="shared" ca="1" si="36"/>
        <v>209.8</v>
      </c>
      <c r="J121" t="s">
        <v>175</v>
      </c>
      <c r="K121">
        <f ca="1">+VLOOKUP($A121,INDIRECT(Adrese!B$2),3,FALSE)</f>
        <v>22</v>
      </c>
      <c r="L121">
        <f ca="1">+VLOOKUP($A121,INDIRECT(Adrese!C$2),3,FALSE)</f>
        <v>20</v>
      </c>
      <c r="M121">
        <f ca="1">+VLOOKUP($A121,INDIRECT(Adrese!D$2),3,FALSE)</f>
        <v>15</v>
      </c>
      <c r="N121">
        <f ca="1">+VLOOKUP($A121,INDIRECT(Adrese!E$2),3,FALSE)</f>
        <v>20</v>
      </c>
      <c r="O121">
        <f ca="1">+VLOOKUP($A121,INDIRECT(Adrese!F$2),3,FALSE)</f>
        <v>26</v>
      </c>
      <c r="P121">
        <f t="shared" ca="1" si="26"/>
        <v>103</v>
      </c>
      <c r="Q121" s="4">
        <f t="shared" ca="1" si="37"/>
        <v>20.6</v>
      </c>
      <c r="R121" s="4"/>
      <c r="T121" t="s">
        <v>175</v>
      </c>
      <c r="U121">
        <f ca="1">+VLOOKUP($T121,INDIRECT(Adrese!B$2),4,FALSE)</f>
        <v>87506</v>
      </c>
      <c r="V121">
        <f ca="1">+VLOOKUP($T121,INDIRECT(Adrese!C$2),4,FALSE)</f>
        <v>87386</v>
      </c>
      <c r="W121">
        <f ca="1">+VLOOKUP($T121,INDIRECT(Adrese!D$2),4,FALSE)</f>
        <v>87502</v>
      </c>
      <c r="X121">
        <f ca="1">+VLOOKUP($T121,INDIRECT(Adrese!E$2),4,FALSE)</f>
        <v>88639</v>
      </c>
      <c r="Y121">
        <f ca="1">+VLOOKUP($T121,INDIRECT(Adrese!F$2),4,FALSE)</f>
        <v>87439</v>
      </c>
      <c r="Z121">
        <f t="shared" ca="1" si="27"/>
        <v>438472</v>
      </c>
      <c r="AA121" s="4">
        <f t="shared" ca="1" si="38"/>
        <v>87694.399999999994</v>
      </c>
      <c r="AC121" t="s">
        <v>175</v>
      </c>
      <c r="AD121">
        <f ca="1">+VLOOKUP($A121,INDIRECT(Adrese!B$2),5,FALSE)</f>
        <v>40389</v>
      </c>
      <c r="AE121">
        <f ca="1">+VLOOKUP($A121,INDIRECT(Adrese!C$2),5,FALSE)</f>
        <v>40392</v>
      </c>
      <c r="AF121">
        <f ca="1">+VLOOKUP($A121,INDIRECT(Adrese!D$2),5,FALSE)</f>
        <v>40338</v>
      </c>
      <c r="AG121">
        <f ca="1">+VLOOKUP($A121,INDIRECT(Adrese!E$2),5,FALSE)</f>
        <v>40499</v>
      </c>
      <c r="AH121">
        <f ca="1">+VLOOKUP($A121,INDIRECT(Adrese!F$2),5,FALSE)</f>
        <v>40380</v>
      </c>
      <c r="AI121" s="4">
        <f t="shared" ca="1" si="39"/>
        <v>40399.599999999999</v>
      </c>
      <c r="AJ121" s="4"/>
      <c r="AK121" s="4"/>
      <c r="AM121" t="s">
        <v>175</v>
      </c>
      <c r="AN121" s="4">
        <f ca="1">+VLOOKUP($A121,INDIRECT(Adrese!B$2),6,FALSE)</f>
        <v>0.88973451327433628</v>
      </c>
      <c r="AO121" s="4">
        <f ca="1">+VLOOKUP($A121,INDIRECT(Adrese!C$2),6,FALSE)</f>
        <v>0.88977876106194687</v>
      </c>
      <c r="AP121" s="4">
        <f ca="1">+VLOOKUP($A121,INDIRECT(Adrese!D$2),6,FALSE)</f>
        <v>0.88847345132743361</v>
      </c>
      <c r="AQ121" s="4">
        <f ca="1">+VLOOKUP($A121,INDIRECT(Adrese!E$2),6,FALSE)</f>
        <v>0.89221238938053093</v>
      </c>
      <c r="AR121" s="4">
        <f ca="1">+VLOOKUP($A121,INDIRECT(Adrese!F$2),6,FALSE)</f>
        <v>0.88977876106194687</v>
      </c>
      <c r="AS121" s="4" t="str">
        <f t="shared" ca="1" si="28"/>
        <v>0.89 (0.00)</v>
      </c>
      <c r="AT121" s="4">
        <f t="shared" ca="1" si="40"/>
        <v>0.88999557522123884</v>
      </c>
      <c r="AU121" s="4">
        <f t="shared" ca="1" si="29"/>
        <v>1.3595308257253909E-3</v>
      </c>
      <c r="AW121" t="s">
        <v>175</v>
      </c>
      <c r="AX121" s="4">
        <f ca="1">+VLOOKUP($A121,INDIRECT(Adrese!B$2),7,FALSE)</f>
        <v>0.90265486725663713</v>
      </c>
      <c r="AY121" s="4">
        <f ca="1">+VLOOKUP($A121,INDIRECT(Adrese!C$2),7,FALSE)</f>
        <v>0.91150442477876104</v>
      </c>
      <c r="AZ121" s="4">
        <f ca="1">+VLOOKUP($A121,INDIRECT(Adrese!D$2),7,FALSE)</f>
        <v>0.9336283185840708</v>
      </c>
      <c r="BA121" s="4">
        <f ca="1">+VLOOKUP($A121,INDIRECT(Adrese!E$2),7,FALSE)</f>
        <v>0.91150442477876104</v>
      </c>
      <c r="BB121" s="4">
        <f ca="1">+VLOOKUP($A121,INDIRECT(Adrese!F$2),7,FALSE)</f>
        <v>0.88495575221238942</v>
      </c>
      <c r="BC121" s="4" t="str">
        <f t="shared" ca="1" si="30"/>
        <v>0.91 (0.02)</v>
      </c>
      <c r="BD121">
        <f t="shared" ca="1" si="41"/>
        <v>0.90884955752212382</v>
      </c>
      <c r="BE121" s="4">
        <f t="shared" ca="1" si="31"/>
        <v>1.7588147711815733E-2</v>
      </c>
      <c r="BG121" t="s">
        <v>175</v>
      </c>
      <c r="BH121" s="4">
        <f ca="1">+VLOOKUP($BG121,INDIRECT(Adrese!B$2),8,FALSE)</f>
        <v>0.11307465642961349</v>
      </c>
      <c r="BI121" s="4">
        <f ca="1">+VLOOKUP($BG121,INDIRECT(Adrese!C$2),8,FALSE)</f>
        <v>0.1134477488763348</v>
      </c>
      <c r="BJ121" s="4">
        <f ca="1">+VLOOKUP($BG121,INDIRECT(Adrese!D$2),8,FALSE)</f>
        <v>0.11301837599540571</v>
      </c>
      <c r="BK121" s="4">
        <f ca="1">+VLOOKUP($BG121,INDIRECT(Adrese!E$2),8,FALSE)</f>
        <v>0.1132981491964121</v>
      </c>
      <c r="BL121" s="4">
        <f ca="1">+VLOOKUP($BG121,INDIRECT(Adrese!F$2),8,FALSE)</f>
        <v>0.1133491479871971</v>
      </c>
      <c r="BM121" s="4" t="str">
        <f t="shared" ca="1" si="32"/>
        <v>0.11 (0.00)</v>
      </c>
      <c r="BN121" s="4">
        <f t="shared" ca="1" si="42"/>
        <v>0.11323761569699264</v>
      </c>
      <c r="BO121" s="4">
        <f t="shared" ca="1" si="33"/>
        <v>1.8363106963919268E-4</v>
      </c>
      <c r="BQ121" t="s">
        <v>175</v>
      </c>
      <c r="BR121" s="4">
        <f ca="1">+VLOOKUP($BG121,INDIRECT(Adrese!B$2),9,FALSE)</f>
        <v>-9.4012068785967115E-2</v>
      </c>
      <c r="BS121" s="4">
        <f ca="1">+VLOOKUP($BG121,INDIRECT(Adrese!C$2),9,FALSE)</f>
        <v>-9.2438794129151486E-2</v>
      </c>
      <c r="BT121" s="4">
        <f ca="1">+VLOOKUP($BG121,INDIRECT(Adrese!D$2),9,FALSE)</f>
        <v>-9.3102372593916155E-2</v>
      </c>
      <c r="BU121" s="4">
        <f ca="1">+VLOOKUP($BG121,INDIRECT(Adrese!E$2),9,FALSE)</f>
        <v>-9.6173633080116214E-2</v>
      </c>
      <c r="BV121" s="4">
        <f ca="1">+VLOOKUP($BG121,INDIRECT(Adrese!F$2),9,FALSE)</f>
        <v>-9.3050103414989066E-2</v>
      </c>
      <c r="BW121" s="4" t="str">
        <f t="shared" ca="1" si="34"/>
        <v>-0.09 (0.00)</v>
      </c>
      <c r="BX121" s="4">
        <f t="shared" ca="1" si="43"/>
        <v>-9.3755394400828002E-2</v>
      </c>
      <c r="BY121" s="4">
        <f t="shared" ca="1" si="35"/>
        <v>1.4638194202478397E-3</v>
      </c>
    </row>
    <row r="122" spans="1:77" x14ac:dyDescent="0.25">
      <c r="A122" t="s">
        <v>176</v>
      </c>
      <c r="B122" s="11">
        <f ca="1">+VLOOKUP($A122,INDIRECT(Adrese!B$2),2,FALSE)</f>
        <v>80</v>
      </c>
      <c r="C122" s="11">
        <f ca="1">+VLOOKUP($A122,INDIRECT(Adrese!C$2),2,FALSE)</f>
        <v>94</v>
      </c>
      <c r="D122" s="11">
        <f ca="1">+VLOOKUP($A122,INDIRECT(Adrese!D$2),2,FALSE)</f>
        <v>57</v>
      </c>
      <c r="E122" s="11">
        <f ca="1">+VLOOKUP($A122,INDIRECT(Adrese!E$2),2,FALSE)</f>
        <v>65</v>
      </c>
      <c r="F122" s="11">
        <f ca="1">+VLOOKUP($A122,INDIRECT(Adrese!F$2),2,FALSE)</f>
        <v>57</v>
      </c>
      <c r="G122" s="4">
        <f t="shared" ca="1" si="36"/>
        <v>70.599999999999994</v>
      </c>
      <c r="J122" t="s">
        <v>176</v>
      </c>
      <c r="K122">
        <f ca="1">+VLOOKUP($A122,INDIRECT(Adrese!B$2),3,FALSE)</f>
        <v>185</v>
      </c>
      <c r="L122">
        <f ca="1">+VLOOKUP($A122,INDIRECT(Adrese!C$2),3,FALSE)</f>
        <v>189</v>
      </c>
      <c r="M122">
        <f ca="1">+VLOOKUP($A122,INDIRECT(Adrese!D$2),3,FALSE)</f>
        <v>194</v>
      </c>
      <c r="N122">
        <f ca="1">+VLOOKUP($A122,INDIRECT(Adrese!E$2),3,FALSE)</f>
        <v>193</v>
      </c>
      <c r="O122">
        <f ca="1">+VLOOKUP($A122,INDIRECT(Adrese!F$2),3,FALSE)</f>
        <v>194</v>
      </c>
      <c r="P122">
        <f t="shared" ca="1" si="26"/>
        <v>955</v>
      </c>
      <c r="Q122" s="4">
        <f t="shared" ca="1" si="37"/>
        <v>191</v>
      </c>
      <c r="R122" s="4"/>
      <c r="T122" t="s">
        <v>176</v>
      </c>
      <c r="U122">
        <f ca="1">+VLOOKUP($T122,INDIRECT(Adrese!B$2),4,FALSE)</f>
        <v>96463</v>
      </c>
      <c r="V122">
        <f ca="1">+VLOOKUP($T122,INDIRECT(Adrese!C$2),4,FALSE)</f>
        <v>95763</v>
      </c>
      <c r="W122">
        <f ca="1">+VLOOKUP($T122,INDIRECT(Adrese!D$2),4,FALSE)</f>
        <v>96953</v>
      </c>
      <c r="X122">
        <f ca="1">+VLOOKUP($T122,INDIRECT(Adrese!E$2),4,FALSE)</f>
        <v>96883</v>
      </c>
      <c r="Y122">
        <f ca="1">+VLOOKUP($T122,INDIRECT(Adrese!F$2),4,FALSE)</f>
        <v>97336</v>
      </c>
      <c r="Z122">
        <f t="shared" ca="1" si="27"/>
        <v>483398</v>
      </c>
      <c r="AA122" s="4">
        <f t="shared" ca="1" si="38"/>
        <v>96679.6</v>
      </c>
      <c r="AC122" t="s">
        <v>176</v>
      </c>
      <c r="AD122">
        <f ca="1">+VLOOKUP($A122,INDIRECT(Adrese!B$2),5,FALSE)</f>
        <v>10262</v>
      </c>
      <c r="AE122">
        <f ca="1">+VLOOKUP($A122,INDIRECT(Adrese!C$2),5,FALSE)</f>
        <v>9800</v>
      </c>
      <c r="AF122">
        <f ca="1">+VLOOKUP($A122,INDIRECT(Adrese!D$2),5,FALSE)</f>
        <v>10356</v>
      </c>
      <c r="AG122">
        <f ca="1">+VLOOKUP($A122,INDIRECT(Adrese!E$2),5,FALSE)</f>
        <v>10046</v>
      </c>
      <c r="AH122">
        <f ca="1">+VLOOKUP($A122,INDIRECT(Adrese!F$2),5,FALSE)</f>
        <v>10334</v>
      </c>
      <c r="AI122" s="4">
        <f t="shared" ca="1" si="39"/>
        <v>10159.6</v>
      </c>
      <c r="AJ122" s="4"/>
      <c r="AK122" s="4"/>
      <c r="AM122" t="s">
        <v>176</v>
      </c>
      <c r="AN122" s="4">
        <f ca="1">+VLOOKUP($A122,INDIRECT(Adrese!B$2),6,FALSE)</f>
        <v>0.2254867256637168</v>
      </c>
      <c r="AO122" s="4">
        <f ca="1">+VLOOKUP($A122,INDIRECT(Adrese!C$2),6,FALSE)</f>
        <v>0.21592920353982301</v>
      </c>
      <c r="AP122" s="4">
        <f ca="1">+VLOOKUP($A122,INDIRECT(Adrese!D$2),6,FALSE)</f>
        <v>0.22763274336283179</v>
      </c>
      <c r="AQ122" s="4">
        <f ca="1">+VLOOKUP($A122,INDIRECT(Adrese!E$2),6,FALSE)</f>
        <v>0.21988938053097351</v>
      </c>
      <c r="AR122" s="4">
        <f ca="1">+VLOOKUP($A122,INDIRECT(Adrese!F$2),6,FALSE)</f>
        <v>0.2274336283185841</v>
      </c>
      <c r="AS122" s="4" t="str">
        <f t="shared" ca="1" si="28"/>
        <v>0.22 (0.01)</v>
      </c>
      <c r="AT122" s="4">
        <f t="shared" ca="1" si="40"/>
        <v>0.22327433628318585</v>
      </c>
      <c r="AU122" s="4">
        <f t="shared" ca="1" si="29"/>
        <v>5.1623393374704103E-3</v>
      </c>
      <c r="AW122" t="s">
        <v>176</v>
      </c>
      <c r="AX122" s="4">
        <f ca="1">+VLOOKUP($A122,INDIRECT(Adrese!B$2),7,FALSE)</f>
        <v>0.1814159292035398</v>
      </c>
      <c r="AY122" s="4">
        <f ca="1">+VLOOKUP($A122,INDIRECT(Adrese!C$2),7,FALSE)</f>
        <v>0.16371681415929201</v>
      </c>
      <c r="AZ122" s="4">
        <f ca="1">+VLOOKUP($A122,INDIRECT(Adrese!D$2),7,FALSE)</f>
        <v>0.1415929203539823</v>
      </c>
      <c r="BA122" s="4">
        <f ca="1">+VLOOKUP($A122,INDIRECT(Adrese!E$2),7,FALSE)</f>
        <v>0.14601769911504431</v>
      </c>
      <c r="BB122" s="4">
        <f ca="1">+VLOOKUP($A122,INDIRECT(Adrese!F$2),7,FALSE)</f>
        <v>0.1415929203539823</v>
      </c>
      <c r="BC122" s="4" t="str">
        <f t="shared" ca="1" si="30"/>
        <v>0.15 (0.02)</v>
      </c>
      <c r="BD122">
        <f t="shared" ca="1" si="41"/>
        <v>0.15486725663716813</v>
      </c>
      <c r="BE122" s="4">
        <f t="shared" ca="1" si="31"/>
        <v>1.7420371402681004E-2</v>
      </c>
      <c r="BG122" t="s">
        <v>176</v>
      </c>
      <c r="BH122" s="4">
        <f ca="1">+VLOOKUP($BG122,INDIRECT(Adrese!B$2),8,FALSE)</f>
        <v>3.1953913925613857E-2</v>
      </c>
      <c r="BI122" s="4">
        <f ca="1">+VLOOKUP($BG122,INDIRECT(Adrese!C$2),8,FALSE)</f>
        <v>3.0243648378851629E-2</v>
      </c>
      <c r="BJ122" s="4">
        <f ca="1">+VLOOKUP($BG122,INDIRECT(Adrese!D$2),8,FALSE)</f>
        <v>3.152437228706538E-2</v>
      </c>
      <c r="BK122" s="4">
        <f ca="1">+VLOOKUP($BG122,INDIRECT(Adrese!E$2),8,FALSE)</f>
        <v>3.106783203420739E-2</v>
      </c>
      <c r="BL122" s="4">
        <f ca="1">+VLOOKUP($BG122,INDIRECT(Adrese!F$2),8,FALSE)</f>
        <v>3.2144840955303157E-2</v>
      </c>
      <c r="BM122" s="4" t="str">
        <f t="shared" ca="1" si="32"/>
        <v>0.03 (0.00)</v>
      </c>
      <c r="BN122" s="4">
        <f t="shared" ca="1" si="42"/>
        <v>3.1386921516208283E-2</v>
      </c>
      <c r="BO122" s="4">
        <f t="shared" ca="1" si="33"/>
        <v>7.6218543462460006E-4</v>
      </c>
      <c r="BQ122" t="s">
        <v>176</v>
      </c>
      <c r="BR122" s="4">
        <f ca="1">+VLOOKUP($BG122,INDIRECT(Adrese!B$2),9,FALSE)</f>
        <v>8.8375606510395291E-2</v>
      </c>
      <c r="BS122" s="4">
        <f ca="1">+VLOOKUP($BG122,INDIRECT(Adrese!C$2),9,FALSE)</f>
        <v>8.9786567563043013E-2</v>
      </c>
      <c r="BT122" s="4">
        <f ca="1">+VLOOKUP($BG122,INDIRECT(Adrese!D$2),9,FALSE)</f>
        <v>8.2835461336080662E-2</v>
      </c>
      <c r="BU122" s="4">
        <f ca="1">+VLOOKUP($BG122,INDIRECT(Adrese!E$2),9,FALSE)</f>
        <v>8.7735747246985227E-2</v>
      </c>
      <c r="BV122" s="4">
        <f ca="1">+VLOOKUP($BG122,INDIRECT(Adrese!F$2),9,FALSE)</f>
        <v>8.920828881813167E-2</v>
      </c>
      <c r="BW122" s="4" t="str">
        <f t="shared" ca="1" si="34"/>
        <v>0.09 (0.00)</v>
      </c>
      <c r="BX122" s="4">
        <f t="shared" ca="1" si="43"/>
        <v>8.7588334294927184E-2</v>
      </c>
      <c r="BY122" s="4">
        <f t="shared" ca="1" si="35"/>
        <v>2.7698290398921236E-3</v>
      </c>
    </row>
    <row r="123" spans="1:77" x14ac:dyDescent="0.25">
      <c r="A123" t="s">
        <v>177</v>
      </c>
      <c r="B123" s="11">
        <f ca="1">+VLOOKUP($A123,INDIRECT(Adrese!B$2),2,FALSE)</f>
        <v>19</v>
      </c>
      <c r="C123" s="11">
        <f ca="1">+VLOOKUP($A123,INDIRECT(Adrese!C$2),2,FALSE)</f>
        <v>13</v>
      </c>
      <c r="D123" s="11">
        <f ca="1">+VLOOKUP($A123,INDIRECT(Adrese!D$2),2,FALSE)</f>
        <v>19</v>
      </c>
      <c r="E123" s="11">
        <f ca="1">+VLOOKUP($A123,INDIRECT(Adrese!E$2),2,FALSE)</f>
        <v>17</v>
      </c>
      <c r="F123" s="11">
        <f ca="1">+VLOOKUP($A123,INDIRECT(Adrese!F$2),2,FALSE)</f>
        <v>21</v>
      </c>
      <c r="G123" s="4">
        <f t="shared" ca="1" si="36"/>
        <v>17.8</v>
      </c>
      <c r="J123" t="s">
        <v>177</v>
      </c>
      <c r="K123">
        <f ca="1">+VLOOKUP($A123,INDIRECT(Adrese!B$2),3,FALSE)</f>
        <v>61</v>
      </c>
      <c r="L123">
        <f ca="1">+VLOOKUP($A123,INDIRECT(Adrese!C$2),3,FALSE)</f>
        <v>70</v>
      </c>
      <c r="M123">
        <f ca="1">+VLOOKUP($A123,INDIRECT(Adrese!D$2),3,FALSE)</f>
        <v>61</v>
      </c>
      <c r="N123">
        <f ca="1">+VLOOKUP($A123,INDIRECT(Adrese!E$2),3,FALSE)</f>
        <v>59</v>
      </c>
      <c r="O123">
        <f ca="1">+VLOOKUP($A123,INDIRECT(Adrese!F$2),3,FALSE)</f>
        <v>54</v>
      </c>
      <c r="P123">
        <f t="shared" ca="1" si="26"/>
        <v>305</v>
      </c>
      <c r="Q123" s="4">
        <f t="shared" ca="1" si="37"/>
        <v>61</v>
      </c>
      <c r="R123" s="4"/>
      <c r="T123" t="s">
        <v>177</v>
      </c>
      <c r="U123">
        <f ca="1">+VLOOKUP($T123,INDIRECT(Adrese!B$2),4,FALSE)</f>
        <v>100283</v>
      </c>
      <c r="V123">
        <f ca="1">+VLOOKUP($T123,INDIRECT(Adrese!C$2),4,FALSE)</f>
        <v>100717</v>
      </c>
      <c r="W123">
        <f ca="1">+VLOOKUP($T123,INDIRECT(Adrese!D$2),4,FALSE)</f>
        <v>99532</v>
      </c>
      <c r="X123">
        <f ca="1">+VLOOKUP($T123,INDIRECT(Adrese!E$2),4,FALSE)</f>
        <v>100516</v>
      </c>
      <c r="Y123">
        <f ca="1">+VLOOKUP($T123,INDIRECT(Adrese!F$2),4,FALSE)</f>
        <v>99998</v>
      </c>
      <c r="Z123">
        <f t="shared" ca="1" si="27"/>
        <v>501046</v>
      </c>
      <c r="AA123" s="4">
        <f t="shared" ca="1" si="38"/>
        <v>100209.2</v>
      </c>
      <c r="AC123" t="s">
        <v>177</v>
      </c>
      <c r="AD123">
        <f ca="1">+VLOOKUP($A123,INDIRECT(Adrese!B$2),5,FALSE)</f>
        <v>25274</v>
      </c>
      <c r="AE123">
        <f ca="1">+VLOOKUP($A123,INDIRECT(Adrese!C$2),5,FALSE)</f>
        <v>25409</v>
      </c>
      <c r="AF123">
        <f ca="1">+VLOOKUP($A123,INDIRECT(Adrese!D$2),5,FALSE)</f>
        <v>25254</v>
      </c>
      <c r="AG123">
        <f ca="1">+VLOOKUP($A123,INDIRECT(Adrese!E$2),5,FALSE)</f>
        <v>25777</v>
      </c>
      <c r="AH123">
        <f ca="1">+VLOOKUP($A123,INDIRECT(Adrese!F$2),5,FALSE)</f>
        <v>25747</v>
      </c>
      <c r="AI123" s="4">
        <f t="shared" ca="1" si="39"/>
        <v>25492.2</v>
      </c>
      <c r="AJ123" s="4"/>
      <c r="AK123" s="4"/>
      <c r="AM123" t="s">
        <v>177</v>
      </c>
      <c r="AN123" s="4">
        <f ca="1">+VLOOKUP($A123,INDIRECT(Adrese!B$2),6,FALSE)</f>
        <v>0.55575221238938055</v>
      </c>
      <c r="AO123" s="4">
        <f ca="1">+VLOOKUP($A123,INDIRECT(Adrese!C$2),6,FALSE)</f>
        <v>0.55871681415929209</v>
      </c>
      <c r="AP123" s="4">
        <f ca="1">+VLOOKUP($A123,INDIRECT(Adrese!D$2),6,FALSE)</f>
        <v>0.5551769911504425</v>
      </c>
      <c r="AQ123" s="4">
        <f ca="1">+VLOOKUP($A123,INDIRECT(Adrese!E$2),6,FALSE)</f>
        <v>0.56681415929203538</v>
      </c>
      <c r="AR123" s="4">
        <f ca="1">+VLOOKUP($A123,INDIRECT(Adrese!F$2),6,FALSE)</f>
        <v>0.56617256637168145</v>
      </c>
      <c r="AS123" s="4" t="str">
        <f t="shared" ca="1" si="28"/>
        <v>0.56 (0.01)</v>
      </c>
      <c r="AT123" s="4">
        <f t="shared" ca="1" si="40"/>
        <v>0.56052654867256646</v>
      </c>
      <c r="AU123" s="4">
        <f t="shared" ca="1" si="29"/>
        <v>5.6146850935019721E-3</v>
      </c>
      <c r="AW123" t="s">
        <v>177</v>
      </c>
      <c r="AX123" s="4">
        <f ca="1">+VLOOKUP($A123,INDIRECT(Adrese!B$2),7,FALSE)</f>
        <v>0.73008849557522126</v>
      </c>
      <c r="AY123" s="4">
        <f ca="1">+VLOOKUP($A123,INDIRECT(Adrese!C$2),7,FALSE)</f>
        <v>0.69026548672566368</v>
      </c>
      <c r="AZ123" s="4">
        <f ca="1">+VLOOKUP($A123,INDIRECT(Adrese!D$2),7,FALSE)</f>
        <v>0.73008849557522126</v>
      </c>
      <c r="BA123" s="4">
        <f ca="1">+VLOOKUP($A123,INDIRECT(Adrese!E$2),7,FALSE)</f>
        <v>0.73893805309734517</v>
      </c>
      <c r="BB123" s="4">
        <f ca="1">+VLOOKUP($A123,INDIRECT(Adrese!F$2),7,FALSE)</f>
        <v>0.76106194690265483</v>
      </c>
      <c r="BC123" s="4" t="str">
        <f t="shared" ca="1" si="30"/>
        <v>0.73 (0.03)</v>
      </c>
      <c r="BD123">
        <f t="shared" ca="1" si="41"/>
        <v>0.73008849557522126</v>
      </c>
      <c r="BE123" s="4">
        <f t="shared" ca="1" si="31"/>
        <v>2.5610258634491657E-2</v>
      </c>
      <c r="BG123" t="s">
        <v>177</v>
      </c>
      <c r="BH123" s="4">
        <f ca="1">+VLOOKUP($BG123,INDIRECT(Adrese!B$2),8,FALSE)</f>
        <v>8.0947321725151108E-2</v>
      </c>
      <c r="BI123" s="4">
        <f ca="1">+VLOOKUP($BG123,INDIRECT(Adrese!C$2),8,FALSE)</f>
        <v>8.0990284982130442E-2</v>
      </c>
      <c r="BJ123" s="4">
        <f ca="1">+VLOOKUP($BG123,INDIRECT(Adrese!D$2),8,FALSE)</f>
        <v>8.0805134300410073E-2</v>
      </c>
      <c r="BK123" s="4">
        <f ca="1">+VLOOKUP($BG123,INDIRECT(Adrese!E$2),8,FALSE)</f>
        <v>8.2672290681591099E-2</v>
      </c>
      <c r="BL123" s="4">
        <f ca="1">+VLOOKUP($BG123,INDIRECT(Adrese!F$2),8,FALSE)</f>
        <v>8.235984771509676E-2</v>
      </c>
      <c r="BM123" s="4" t="str">
        <f t="shared" ca="1" si="32"/>
        <v>0.08 (0.00)</v>
      </c>
      <c r="BN123" s="4">
        <f t="shared" ca="1" si="42"/>
        <v>8.1554975880875888E-2</v>
      </c>
      <c r="BO123" s="4">
        <f t="shared" ca="1" si="33"/>
        <v>8.869319045606526E-4</v>
      </c>
      <c r="BQ123" t="s">
        <v>177</v>
      </c>
      <c r="BR123" s="4">
        <f ca="1">+VLOOKUP($BG123,INDIRECT(Adrese!B$2),9,FALSE)</f>
        <v>3.438865387979443E-2</v>
      </c>
      <c r="BS123" s="4">
        <f ca="1">+VLOOKUP($BG123,INDIRECT(Adrese!C$2),9,FALSE)</f>
        <v>3.3010640162863897E-2</v>
      </c>
      <c r="BT123" s="4">
        <f ca="1">+VLOOKUP($BG123,INDIRECT(Adrese!D$2),9,FALSE)</f>
        <v>3.2819464428713738E-2</v>
      </c>
      <c r="BU123" s="4">
        <f ca="1">+VLOOKUP($BG123,INDIRECT(Adrese!E$2),9,FALSE)</f>
        <v>2.708054361163343E-2</v>
      </c>
      <c r="BV123" s="4">
        <f ca="1">+VLOOKUP($BG123,INDIRECT(Adrese!F$2),9,FALSE)</f>
        <v>3.3158888599575838E-2</v>
      </c>
      <c r="BW123" s="4" t="str">
        <f t="shared" ca="1" si="34"/>
        <v>0.03 (0.00)</v>
      </c>
      <c r="BX123" s="4">
        <f t="shared" ca="1" si="43"/>
        <v>3.2091638136516262E-2</v>
      </c>
      <c r="BY123" s="4">
        <f t="shared" ca="1" si="35"/>
        <v>2.8679552406341833E-3</v>
      </c>
    </row>
    <row r="124" spans="1:77" x14ac:dyDescent="0.25">
      <c r="A124" t="s">
        <v>8</v>
      </c>
      <c r="B124" s="11">
        <f ca="1">+VLOOKUP($A124,INDIRECT(Adrese!B$2),2,FALSE)</f>
        <v>177</v>
      </c>
      <c r="C124" s="11">
        <f ca="1">+VLOOKUP($A124,INDIRECT(Adrese!C$2),2,FALSE)</f>
        <v>166</v>
      </c>
      <c r="D124" s="11">
        <f ca="1">+VLOOKUP($A124,INDIRECT(Adrese!D$2),2,FALSE)</f>
        <v>177</v>
      </c>
      <c r="E124" s="11">
        <f ca="1">+VLOOKUP($A124,INDIRECT(Adrese!E$2),2,FALSE)</f>
        <v>152</v>
      </c>
      <c r="F124" s="11">
        <f ca="1">+VLOOKUP($A124,INDIRECT(Adrese!F$2),2,FALSE)</f>
        <v>164</v>
      </c>
      <c r="G124" s="4">
        <f t="shared" ca="1" si="36"/>
        <v>167.2</v>
      </c>
      <c r="J124" t="s">
        <v>8</v>
      </c>
      <c r="K124">
        <f ca="1">+VLOOKUP($A124,INDIRECT(Adrese!B$2),3,FALSE)</f>
        <v>47</v>
      </c>
      <c r="L124">
        <f ca="1">+VLOOKUP($A124,INDIRECT(Adrese!C$2),3,FALSE)</f>
        <v>46</v>
      </c>
      <c r="M124">
        <f ca="1">+VLOOKUP($A124,INDIRECT(Adrese!D$2),3,FALSE)</f>
        <v>46</v>
      </c>
      <c r="N124">
        <f ca="1">+VLOOKUP($A124,INDIRECT(Adrese!E$2),3,FALSE)</f>
        <v>47</v>
      </c>
      <c r="O124">
        <f ca="1">+VLOOKUP($A124,INDIRECT(Adrese!F$2),3,FALSE)</f>
        <v>49</v>
      </c>
      <c r="P124">
        <f t="shared" ca="1" si="26"/>
        <v>235</v>
      </c>
      <c r="Q124" s="4">
        <f t="shared" ca="1" si="37"/>
        <v>47</v>
      </c>
      <c r="R124" s="4"/>
      <c r="T124" t="s">
        <v>8</v>
      </c>
      <c r="U124">
        <f ca="1">+VLOOKUP($T124,INDIRECT(Adrese!B$2),4,FALSE)</f>
        <v>91434</v>
      </c>
      <c r="V124">
        <f ca="1">+VLOOKUP($T124,INDIRECT(Adrese!C$2),4,FALSE)</f>
        <v>92690</v>
      </c>
      <c r="W124">
        <f ca="1">+VLOOKUP($T124,INDIRECT(Adrese!D$2),4,FALSE)</f>
        <v>91213</v>
      </c>
      <c r="X124">
        <f ca="1">+VLOOKUP($T124,INDIRECT(Adrese!E$2),4,FALSE)</f>
        <v>93482</v>
      </c>
      <c r="Y124">
        <f ca="1">+VLOOKUP($T124,INDIRECT(Adrese!F$2),4,FALSE)</f>
        <v>92795</v>
      </c>
      <c r="Z124">
        <f t="shared" ca="1" si="27"/>
        <v>461614</v>
      </c>
      <c r="AA124" s="4">
        <f t="shared" ca="1" si="38"/>
        <v>92322.8</v>
      </c>
      <c r="AC124" t="s">
        <v>8</v>
      </c>
      <c r="AD124">
        <f ca="1">+VLOOKUP($A124,INDIRECT(Adrese!B$2),5,FALSE)</f>
        <v>36286</v>
      </c>
      <c r="AE124">
        <f ca="1">+VLOOKUP($A124,INDIRECT(Adrese!C$2),5,FALSE)</f>
        <v>36691</v>
      </c>
      <c r="AF124">
        <f ca="1">+VLOOKUP($A124,INDIRECT(Adrese!D$2),5,FALSE)</f>
        <v>36583</v>
      </c>
      <c r="AG124">
        <f ca="1">+VLOOKUP($A124,INDIRECT(Adrese!E$2),5,FALSE)</f>
        <v>36486</v>
      </c>
      <c r="AH124">
        <f ca="1">+VLOOKUP($A124,INDIRECT(Adrese!F$2),5,FALSE)</f>
        <v>36418</v>
      </c>
      <c r="AI124" s="4">
        <f t="shared" ca="1" si="39"/>
        <v>36492.800000000003</v>
      </c>
      <c r="AJ124" s="4"/>
      <c r="AK124" s="4"/>
      <c r="AM124" t="s">
        <v>8</v>
      </c>
      <c r="AN124" s="4">
        <f ca="1">+VLOOKUP($A124,INDIRECT(Adrese!B$2),6,FALSE)</f>
        <v>0.79924778761061943</v>
      </c>
      <c r="AO124" s="4">
        <f ca="1">+VLOOKUP($A124,INDIRECT(Adrese!C$2),6,FALSE)</f>
        <v>0.80838495575221236</v>
      </c>
      <c r="AP124" s="4">
        <f ca="1">+VLOOKUP($A124,INDIRECT(Adrese!D$2),6,FALSE)</f>
        <v>0.80610619469026545</v>
      </c>
      <c r="AQ124" s="4">
        <f ca="1">+VLOOKUP($A124,INDIRECT(Adrese!E$2),6,FALSE)</f>
        <v>0.80358407079646021</v>
      </c>
      <c r="AR124" s="4">
        <f ca="1">+VLOOKUP($A124,INDIRECT(Adrese!F$2),6,FALSE)</f>
        <v>0.80236725663716812</v>
      </c>
      <c r="AS124" s="4" t="str">
        <f t="shared" ca="1" si="28"/>
        <v>0.80 (0.00)</v>
      </c>
      <c r="AT124" s="4">
        <f t="shared" ca="1" si="40"/>
        <v>0.80393805309734512</v>
      </c>
      <c r="AU124" s="4">
        <f t="shared" ca="1" si="29"/>
        <v>3.502394770490292E-3</v>
      </c>
      <c r="AW124" t="s">
        <v>8</v>
      </c>
      <c r="AX124" s="4">
        <f ca="1">+VLOOKUP($A124,INDIRECT(Adrese!B$2),7,FALSE)</f>
        <v>0.79203539823008851</v>
      </c>
      <c r="AY124" s="4">
        <f ca="1">+VLOOKUP($A124,INDIRECT(Adrese!C$2),7,FALSE)</f>
        <v>0.79646017699115046</v>
      </c>
      <c r="AZ124" s="4">
        <f ca="1">+VLOOKUP($A124,INDIRECT(Adrese!D$2),7,FALSE)</f>
        <v>0.79646017699115046</v>
      </c>
      <c r="BA124" s="4">
        <f ca="1">+VLOOKUP($A124,INDIRECT(Adrese!E$2),7,FALSE)</f>
        <v>0.79203539823008851</v>
      </c>
      <c r="BB124" s="4">
        <f ca="1">+VLOOKUP($A124,INDIRECT(Adrese!F$2),7,FALSE)</f>
        <v>0.7831858407079646</v>
      </c>
      <c r="BC124" s="4" t="str">
        <f t="shared" ca="1" si="30"/>
        <v>0.79 (0.01)</v>
      </c>
      <c r="BD124">
        <f t="shared" ca="1" si="41"/>
        <v>0.79203539823008851</v>
      </c>
      <c r="BE124" s="4">
        <f t="shared" ca="1" si="31"/>
        <v>5.4192250946530568E-3</v>
      </c>
      <c r="BG124" t="s">
        <v>8</v>
      </c>
      <c r="BH124" s="4">
        <f ca="1">+VLOOKUP($BG124,INDIRECT(Adrese!B$2),8,FALSE)</f>
        <v>0.100579844697125</v>
      </c>
      <c r="BI124" s="4">
        <f ca="1">+VLOOKUP($BG124,INDIRECT(Adrese!C$2),8,FALSE)</f>
        <v>0.10199897484720249</v>
      </c>
      <c r="BJ124" s="4">
        <f ca="1">+VLOOKUP($BG124,INDIRECT(Adrese!D$2),8,FALSE)</f>
        <v>0.1015188241524006</v>
      </c>
      <c r="BK124" s="4">
        <f ca="1">+VLOOKUP($BG124,INDIRECT(Adrese!E$2),8,FALSE)</f>
        <v>0.1014752906888621</v>
      </c>
      <c r="BL124" s="4">
        <f ca="1">+VLOOKUP($BG124,INDIRECT(Adrese!F$2),8,FALSE)</f>
        <v>0.1009604790395327</v>
      </c>
      <c r="BM124" s="4" t="str">
        <f t="shared" ca="1" si="32"/>
        <v>0.10 (0.00)</v>
      </c>
      <c r="BN124" s="4">
        <f t="shared" ca="1" si="42"/>
        <v>0.10130668268502459</v>
      </c>
      <c r="BO124" s="4">
        <f t="shared" ca="1" si="33"/>
        <v>5.4791685586347749E-4</v>
      </c>
      <c r="BQ124" t="s">
        <v>8</v>
      </c>
      <c r="BR124" s="4">
        <f ca="1">+VLOOKUP($BG124,INDIRECT(Adrese!B$2),9,FALSE)</f>
        <v>-7.9330730035507488E-2</v>
      </c>
      <c r="BS124" s="4">
        <f ca="1">+VLOOKUP($BG124,INDIRECT(Adrese!C$2),9,FALSE)</f>
        <v>-8.2483067948176864E-2</v>
      </c>
      <c r="BT124" s="4">
        <f ca="1">+VLOOKUP($BG124,INDIRECT(Adrese!D$2),9,FALSE)</f>
        <v>-8.2627670109664708E-2</v>
      </c>
      <c r="BU124" s="4">
        <f ca="1">+VLOOKUP($BG124,INDIRECT(Adrese!E$2),9,FALSE)</f>
        <v>-8.1226852550895304E-2</v>
      </c>
      <c r="BV124" s="4">
        <f ca="1">+VLOOKUP($BG124,INDIRECT(Adrese!F$2),9,FALSE)</f>
        <v>-8.3415464389664379E-2</v>
      </c>
      <c r="BW124" s="4" t="str">
        <f t="shared" ca="1" si="34"/>
        <v>-0.08 (0.00)</v>
      </c>
      <c r="BX124" s="4">
        <f t="shared" ca="1" si="43"/>
        <v>-8.1816757006781746E-2</v>
      </c>
      <c r="BY124" s="4">
        <f t="shared" ca="1" si="35"/>
        <v>1.595754758422429E-3</v>
      </c>
    </row>
    <row r="125" spans="1:77" x14ac:dyDescent="0.25">
      <c r="A125" t="s">
        <v>178</v>
      </c>
      <c r="B125" s="11">
        <f ca="1">+VLOOKUP($A125,INDIRECT(Adrese!B$2),2,FALSE)</f>
        <v>140</v>
      </c>
      <c r="C125" s="11">
        <f ca="1">+VLOOKUP($A125,INDIRECT(Adrese!C$2),2,FALSE)</f>
        <v>117</v>
      </c>
      <c r="D125" s="11">
        <f ca="1">+VLOOKUP($A125,INDIRECT(Adrese!D$2),2,FALSE)</f>
        <v>140</v>
      </c>
      <c r="E125" s="11">
        <f ca="1">+VLOOKUP($A125,INDIRECT(Adrese!E$2),2,FALSE)</f>
        <v>138</v>
      </c>
      <c r="F125" s="11">
        <f ca="1">+VLOOKUP($A125,INDIRECT(Adrese!F$2),2,FALSE)</f>
        <v>155</v>
      </c>
      <c r="G125" s="4">
        <f t="shared" ca="1" si="36"/>
        <v>138</v>
      </c>
      <c r="J125" t="s">
        <v>178</v>
      </c>
      <c r="K125">
        <f ca="1">+VLOOKUP($A125,INDIRECT(Adrese!B$2),3,FALSE)</f>
        <v>56</v>
      </c>
      <c r="L125">
        <f ca="1">+VLOOKUP($A125,INDIRECT(Adrese!C$2),3,FALSE)</f>
        <v>49</v>
      </c>
      <c r="M125">
        <f ca="1">+VLOOKUP($A125,INDIRECT(Adrese!D$2),3,FALSE)</f>
        <v>51</v>
      </c>
      <c r="N125">
        <f ca="1">+VLOOKUP($A125,INDIRECT(Adrese!E$2),3,FALSE)</f>
        <v>50</v>
      </c>
      <c r="O125">
        <f ca="1">+VLOOKUP($A125,INDIRECT(Adrese!F$2),3,FALSE)</f>
        <v>51</v>
      </c>
      <c r="P125">
        <f t="shared" ca="1" si="26"/>
        <v>257</v>
      </c>
      <c r="Q125" s="4">
        <f t="shared" ca="1" si="37"/>
        <v>51.4</v>
      </c>
      <c r="R125" s="4"/>
      <c r="T125" t="s">
        <v>178</v>
      </c>
      <c r="U125">
        <f ca="1">+VLOOKUP($T125,INDIRECT(Adrese!B$2),4,FALSE)</f>
        <v>93969</v>
      </c>
      <c r="V125">
        <f ca="1">+VLOOKUP($T125,INDIRECT(Adrese!C$2),4,FALSE)</f>
        <v>94742</v>
      </c>
      <c r="W125">
        <f ca="1">+VLOOKUP($T125,INDIRECT(Adrese!D$2),4,FALSE)</f>
        <v>94041</v>
      </c>
      <c r="X125">
        <f ca="1">+VLOOKUP($T125,INDIRECT(Adrese!E$2),4,FALSE)</f>
        <v>94205</v>
      </c>
      <c r="Y125">
        <f ca="1">+VLOOKUP($T125,INDIRECT(Adrese!F$2),4,FALSE)</f>
        <v>93358</v>
      </c>
      <c r="Z125">
        <f t="shared" ca="1" si="27"/>
        <v>470315</v>
      </c>
      <c r="AA125" s="4">
        <f t="shared" ca="1" si="38"/>
        <v>94063</v>
      </c>
      <c r="AC125" t="s">
        <v>178</v>
      </c>
      <c r="AD125">
        <f ca="1">+VLOOKUP($A125,INDIRECT(Adrese!B$2),5,FALSE)</f>
        <v>33936</v>
      </c>
      <c r="AE125">
        <f ca="1">+VLOOKUP($A125,INDIRECT(Adrese!C$2),5,FALSE)</f>
        <v>33976</v>
      </c>
      <c r="AF125">
        <f ca="1">+VLOOKUP($A125,INDIRECT(Adrese!D$2),5,FALSE)</f>
        <v>34764</v>
      </c>
      <c r="AG125">
        <f ca="1">+VLOOKUP($A125,INDIRECT(Adrese!E$2),5,FALSE)</f>
        <v>34782</v>
      </c>
      <c r="AH125">
        <f ca="1">+VLOOKUP($A125,INDIRECT(Adrese!F$2),5,FALSE)</f>
        <v>34423</v>
      </c>
      <c r="AI125" s="4">
        <f t="shared" ca="1" si="39"/>
        <v>34376.199999999997</v>
      </c>
      <c r="AJ125" s="4"/>
      <c r="AK125" s="4"/>
      <c r="AM125" t="s">
        <v>178</v>
      </c>
      <c r="AN125" s="4">
        <f ca="1">+VLOOKUP($A125,INDIRECT(Adrese!B$2),6,FALSE)</f>
        <v>0.74858407079646017</v>
      </c>
      <c r="AO125" s="4">
        <f ca="1">+VLOOKUP($A125,INDIRECT(Adrese!C$2),6,FALSE)</f>
        <v>0.74776548672566368</v>
      </c>
      <c r="AP125" s="4">
        <f ca="1">+VLOOKUP($A125,INDIRECT(Adrese!D$2),6,FALSE)</f>
        <v>0.76506637168141589</v>
      </c>
      <c r="AQ125" s="4">
        <f ca="1">+VLOOKUP($A125,INDIRECT(Adrese!E$2),6,FALSE)</f>
        <v>0.76696902654867261</v>
      </c>
      <c r="AR125" s="4">
        <f ca="1">+VLOOKUP($A125,INDIRECT(Adrese!F$2),6,FALSE)</f>
        <v>0.75758849557522123</v>
      </c>
      <c r="AS125" s="4" t="str">
        <f t="shared" ca="1" si="28"/>
        <v>0.76 (0.01)</v>
      </c>
      <c r="AT125" s="4">
        <f t="shared" ca="1" si="40"/>
        <v>0.75719469026548669</v>
      </c>
      <c r="AU125" s="4">
        <f t="shared" ca="1" si="29"/>
        <v>8.9541714824495963E-3</v>
      </c>
      <c r="AW125" t="s">
        <v>178</v>
      </c>
      <c r="AX125" s="4">
        <f ca="1">+VLOOKUP($A125,INDIRECT(Adrese!B$2),7,FALSE)</f>
        <v>0.75221238938053092</v>
      </c>
      <c r="AY125" s="4">
        <f ca="1">+VLOOKUP($A125,INDIRECT(Adrese!C$2),7,FALSE)</f>
        <v>0.7831858407079646</v>
      </c>
      <c r="AZ125" s="4">
        <f ca="1">+VLOOKUP($A125,INDIRECT(Adrese!D$2),7,FALSE)</f>
        <v>0.77433628318584069</v>
      </c>
      <c r="BA125" s="4">
        <f ca="1">+VLOOKUP($A125,INDIRECT(Adrese!E$2),7,FALSE)</f>
        <v>0.77876106194690264</v>
      </c>
      <c r="BB125" s="4">
        <f ca="1">+VLOOKUP($A125,INDIRECT(Adrese!F$2),7,FALSE)</f>
        <v>0.77433628318584069</v>
      </c>
      <c r="BC125" s="4" t="str">
        <f t="shared" ca="1" si="30"/>
        <v>0.77 (0.01)</v>
      </c>
      <c r="BD125">
        <f t="shared" ca="1" si="41"/>
        <v>0.77256637168141595</v>
      </c>
      <c r="BE125" s="4">
        <f t="shared" ca="1" si="31"/>
        <v>1.1955093881510014E-2</v>
      </c>
      <c r="BG125" t="s">
        <v>178</v>
      </c>
      <c r="BH125" s="4">
        <f ca="1">+VLOOKUP($BG125,INDIRECT(Adrese!B$2),8,FALSE)</f>
        <v>9.5713068877215257E-2</v>
      </c>
      <c r="BI125" s="4">
        <f ca="1">+VLOOKUP($BG125,INDIRECT(Adrese!C$2),8,FALSE)</f>
        <v>9.5903702752163686E-2</v>
      </c>
      <c r="BJ125" s="4">
        <f ca="1">+VLOOKUP($BG125,INDIRECT(Adrese!D$2),8,FALSE)</f>
        <v>9.7819681531523039E-2</v>
      </c>
      <c r="BK125" s="4">
        <f ca="1">+VLOOKUP($BG125,INDIRECT(Adrese!E$2),8,FALSE)</f>
        <v>9.7358277602494658E-2</v>
      </c>
      <c r="BL125" s="4">
        <f ca="1">+VLOOKUP($BG125,INDIRECT(Adrese!F$2),8,FALSE)</f>
        <v>9.7552507722912379E-2</v>
      </c>
      <c r="BM125" s="4" t="str">
        <f t="shared" ca="1" si="32"/>
        <v>0.10 (0.00)</v>
      </c>
      <c r="BN125" s="4">
        <f t="shared" ca="1" si="42"/>
        <v>9.6869447697261801E-2</v>
      </c>
      <c r="BO125" s="4">
        <f t="shared" ca="1" si="33"/>
        <v>9.8467574473800083E-4</v>
      </c>
      <c r="BQ125" t="s">
        <v>178</v>
      </c>
      <c r="BR125" s="4">
        <f ca="1">+VLOOKUP($BG125,INDIRECT(Adrese!B$2),9,FALSE)</f>
        <v>-7.8482231680073719E-2</v>
      </c>
      <c r="BS125" s="4">
        <f ca="1">+VLOOKUP($BG125,INDIRECT(Adrese!C$2),9,FALSE)</f>
        <v>-7.5230758715872287E-2</v>
      </c>
      <c r="BT125" s="4">
        <f ca="1">+VLOOKUP($BG125,INDIRECT(Adrese!D$2),9,FALSE)</f>
        <v>-8.0555315056030211E-2</v>
      </c>
      <c r="BU125" s="4">
        <f ca="1">+VLOOKUP($BG125,INDIRECT(Adrese!E$2),9,FALSE)</f>
        <v>-8.5115498663215605E-2</v>
      </c>
      <c r="BV125" s="4">
        <f ca="1">+VLOOKUP($BG125,INDIRECT(Adrese!F$2),9,FALSE)</f>
        <v>-7.53720889079178E-2</v>
      </c>
      <c r="BW125" s="4" t="str">
        <f t="shared" ca="1" si="34"/>
        <v>-0.08 (0.00)</v>
      </c>
      <c r="BX125" s="4">
        <f t="shared" ca="1" si="43"/>
        <v>-7.8951178604621919E-2</v>
      </c>
      <c r="BY125" s="4">
        <f t="shared" ca="1" si="35"/>
        <v>4.1061969620080907E-3</v>
      </c>
    </row>
    <row r="126" spans="1:77" x14ac:dyDescent="0.25">
      <c r="A126" t="s">
        <v>179</v>
      </c>
      <c r="B126" s="11">
        <f ca="1">+VLOOKUP($A126,INDIRECT(Adrese!B$2),2,FALSE)</f>
        <v>110</v>
      </c>
      <c r="C126" s="11">
        <f ca="1">+VLOOKUP($A126,INDIRECT(Adrese!C$2),2,FALSE)</f>
        <v>113</v>
      </c>
      <c r="D126" s="11">
        <f ca="1">+VLOOKUP($A126,INDIRECT(Adrese!D$2),2,FALSE)</f>
        <v>114</v>
      </c>
      <c r="E126" s="11">
        <f ca="1">+VLOOKUP($A126,INDIRECT(Adrese!E$2),2,FALSE)</f>
        <v>109</v>
      </c>
      <c r="F126" s="11">
        <f ca="1">+VLOOKUP($A126,INDIRECT(Adrese!F$2),2,FALSE)</f>
        <v>85</v>
      </c>
      <c r="G126" s="4">
        <f t="shared" ca="1" si="36"/>
        <v>106.2</v>
      </c>
      <c r="J126" t="s">
        <v>179</v>
      </c>
      <c r="K126">
        <f ca="1">+VLOOKUP($A126,INDIRECT(Adrese!B$2),3,FALSE)</f>
        <v>133</v>
      </c>
      <c r="L126">
        <f ca="1">+VLOOKUP($A126,INDIRECT(Adrese!C$2),3,FALSE)</f>
        <v>142</v>
      </c>
      <c r="M126">
        <f ca="1">+VLOOKUP($A126,INDIRECT(Adrese!D$2),3,FALSE)</f>
        <v>141</v>
      </c>
      <c r="N126">
        <f ca="1">+VLOOKUP($A126,INDIRECT(Adrese!E$2),3,FALSE)</f>
        <v>139</v>
      </c>
      <c r="O126">
        <f ca="1">+VLOOKUP($A126,INDIRECT(Adrese!F$2),3,FALSE)</f>
        <v>144</v>
      </c>
      <c r="P126">
        <f t="shared" ca="1" si="26"/>
        <v>699</v>
      </c>
      <c r="Q126" s="4">
        <f t="shared" ca="1" si="37"/>
        <v>139.80000000000001</v>
      </c>
      <c r="R126" s="4"/>
      <c r="T126" t="s">
        <v>179</v>
      </c>
      <c r="U126">
        <f ca="1">+VLOOKUP($T126,INDIRECT(Adrese!B$2),4,FALSE)</f>
        <v>95249</v>
      </c>
      <c r="V126">
        <f ca="1">+VLOOKUP($T126,INDIRECT(Adrese!C$2),4,FALSE)</f>
        <v>95026</v>
      </c>
      <c r="W126">
        <f ca="1">+VLOOKUP($T126,INDIRECT(Adrese!D$2),4,FALSE)</f>
        <v>95379</v>
      </c>
      <c r="X126">
        <f ca="1">+VLOOKUP($T126,INDIRECT(Adrese!E$2),4,FALSE)</f>
        <v>95221</v>
      </c>
      <c r="Y126">
        <f ca="1">+VLOOKUP($T126,INDIRECT(Adrese!F$2),4,FALSE)</f>
        <v>96099</v>
      </c>
      <c r="Z126">
        <f t="shared" ca="1" si="27"/>
        <v>476974</v>
      </c>
      <c r="AA126" s="4">
        <f t="shared" ca="1" si="38"/>
        <v>95394.8</v>
      </c>
      <c r="AC126" t="s">
        <v>179</v>
      </c>
      <c r="AD126">
        <f ca="1">+VLOOKUP($A126,INDIRECT(Adrese!B$2),5,FALSE)</f>
        <v>9406</v>
      </c>
      <c r="AE126">
        <f ca="1">+VLOOKUP($A126,INDIRECT(Adrese!C$2),5,FALSE)</f>
        <v>9253</v>
      </c>
      <c r="AF126">
        <f ca="1">+VLOOKUP($A126,INDIRECT(Adrese!D$2),5,FALSE)</f>
        <v>9303</v>
      </c>
      <c r="AG126">
        <f ca="1">+VLOOKUP($A126,INDIRECT(Adrese!E$2),5,FALSE)</f>
        <v>9323</v>
      </c>
      <c r="AH126">
        <f ca="1">+VLOOKUP($A126,INDIRECT(Adrese!F$2),5,FALSE)</f>
        <v>9331</v>
      </c>
      <c r="AI126" s="4">
        <f t="shared" ca="1" si="39"/>
        <v>9323.2000000000007</v>
      </c>
      <c r="AJ126" s="4"/>
      <c r="AK126" s="4"/>
      <c r="AM126" t="s">
        <v>179</v>
      </c>
      <c r="AN126" s="4">
        <f ca="1">+VLOOKUP($A126,INDIRECT(Adrese!B$2),6,FALSE)</f>
        <v>0.20597345132743361</v>
      </c>
      <c r="AO126" s="4">
        <f ca="1">+VLOOKUP($A126,INDIRECT(Adrese!C$2),6,FALSE)</f>
        <v>0.20276548672566369</v>
      </c>
      <c r="AP126" s="4">
        <f ca="1">+VLOOKUP($A126,INDIRECT(Adrese!D$2),6,FALSE)</f>
        <v>0.2030309734513274</v>
      </c>
      <c r="AQ126" s="4">
        <f ca="1">+VLOOKUP($A126,INDIRECT(Adrese!E$2),6,FALSE)</f>
        <v>0.20426991150442481</v>
      </c>
      <c r="AR126" s="4">
        <f ca="1">+VLOOKUP($A126,INDIRECT(Adrese!F$2),6,FALSE)</f>
        <v>0.2042920353982301</v>
      </c>
      <c r="AS126" s="4" t="str">
        <f t="shared" ca="1" si="28"/>
        <v>0.20 (0.00)</v>
      </c>
      <c r="AT126" s="4">
        <f t="shared" ca="1" si="40"/>
        <v>0.20406637168141589</v>
      </c>
      <c r="AU126" s="4">
        <f t="shared" ca="1" si="29"/>
        <v>1.2741326963727879E-3</v>
      </c>
      <c r="AW126" t="s">
        <v>179</v>
      </c>
      <c r="AX126" s="4">
        <f ca="1">+VLOOKUP($A126,INDIRECT(Adrese!B$2),7,FALSE)</f>
        <v>0.41150442477876098</v>
      </c>
      <c r="AY126" s="4">
        <f ca="1">+VLOOKUP($A126,INDIRECT(Adrese!C$2),7,FALSE)</f>
        <v>0.37168141592920362</v>
      </c>
      <c r="AZ126" s="4">
        <f ca="1">+VLOOKUP($A126,INDIRECT(Adrese!D$2),7,FALSE)</f>
        <v>0.37610619469026552</v>
      </c>
      <c r="BA126" s="4">
        <f ca="1">+VLOOKUP($A126,INDIRECT(Adrese!E$2),7,FALSE)</f>
        <v>0.38495575221238942</v>
      </c>
      <c r="BB126" s="4">
        <f ca="1">+VLOOKUP($A126,INDIRECT(Adrese!F$2),7,FALSE)</f>
        <v>0.36283185840707971</v>
      </c>
      <c r="BC126" s="4" t="str">
        <f t="shared" ca="1" si="30"/>
        <v>0.38 (0.02)</v>
      </c>
      <c r="BD126">
        <f t="shared" ca="1" si="41"/>
        <v>0.38141592920353984</v>
      </c>
      <c r="BE126" s="4">
        <f t="shared" ca="1" si="31"/>
        <v>1.8615649529170407E-2</v>
      </c>
      <c r="BG126" t="s">
        <v>179</v>
      </c>
      <c r="BH126" s="4">
        <f ca="1">+VLOOKUP($BG126,INDIRECT(Adrese!B$2),8,FALSE)</f>
        <v>2.4233273223609981E-2</v>
      </c>
      <c r="BI126" s="4">
        <f ca="1">+VLOOKUP($BG126,INDIRECT(Adrese!C$2),8,FALSE)</f>
        <v>2.4085565439579681E-2</v>
      </c>
      <c r="BJ126" s="4">
        <f ca="1">+VLOOKUP($BG126,INDIRECT(Adrese!D$2),8,FALSE)</f>
        <v>2.3903731428676508E-2</v>
      </c>
      <c r="BK126" s="4">
        <f ca="1">+VLOOKUP($BG126,INDIRECT(Adrese!E$2),8,FALSE)</f>
        <v>2.4056195270121018E-2</v>
      </c>
      <c r="BL126" s="4">
        <f ca="1">+VLOOKUP($BG126,INDIRECT(Adrese!F$2),8,FALSE)</f>
        <v>2.390393740493707E-2</v>
      </c>
      <c r="BM126" s="4" t="str">
        <f t="shared" ca="1" si="32"/>
        <v>0.02 (0.00)</v>
      </c>
      <c r="BN126" s="4">
        <f t="shared" ca="1" si="42"/>
        <v>2.403654055338485E-2</v>
      </c>
      <c r="BO126" s="4">
        <f t="shared" ca="1" si="33"/>
        <v>1.3848767948301848E-4</v>
      </c>
      <c r="BQ126" t="s">
        <v>179</v>
      </c>
      <c r="BR126" s="4">
        <f ca="1">+VLOOKUP($BG126,INDIRECT(Adrese!B$2),9,FALSE)</f>
        <v>4.9618876903793782E-2</v>
      </c>
      <c r="BS126" s="4">
        <f ca="1">+VLOOKUP($BG126,INDIRECT(Adrese!C$2),9,FALSE)</f>
        <v>5.3014446493261043E-2</v>
      </c>
      <c r="BT126" s="4">
        <f ca="1">+VLOOKUP($BG126,INDIRECT(Adrese!D$2),9,FALSE)</f>
        <v>5.0836811350015179E-2</v>
      </c>
      <c r="BU126" s="4">
        <f ca="1">+VLOOKUP($BG126,INDIRECT(Adrese!E$2),9,FALSE)</f>
        <v>5.1707170491739139E-2</v>
      </c>
      <c r="BV126" s="4">
        <f ca="1">+VLOOKUP($BG126,INDIRECT(Adrese!F$2),9,FALSE)</f>
        <v>4.9695875710267373E-2</v>
      </c>
      <c r="BW126" s="4" t="str">
        <f t="shared" ca="1" si="34"/>
        <v>0.05 (0.00)</v>
      </c>
      <c r="BX126" s="4">
        <f t="shared" ca="1" si="43"/>
        <v>5.0974636189815306E-2</v>
      </c>
      <c r="BY126" s="4">
        <f t="shared" ca="1" si="35"/>
        <v>1.430886077723486E-3</v>
      </c>
    </row>
    <row r="127" spans="1:77" x14ac:dyDescent="0.25">
      <c r="A127" t="s">
        <v>180</v>
      </c>
      <c r="B127" s="11">
        <f ca="1">+VLOOKUP($A127,INDIRECT(Adrese!B$2),2,FALSE)</f>
        <v>119</v>
      </c>
      <c r="C127" s="11">
        <f ca="1">+VLOOKUP($A127,INDIRECT(Adrese!C$2),2,FALSE)</f>
        <v>65</v>
      </c>
      <c r="D127" s="11">
        <f ca="1">+VLOOKUP($A127,INDIRECT(Adrese!D$2),2,FALSE)</f>
        <v>102</v>
      </c>
      <c r="E127" s="11">
        <f ca="1">+VLOOKUP($A127,INDIRECT(Adrese!E$2),2,FALSE)</f>
        <v>81</v>
      </c>
      <c r="F127" s="11">
        <f ca="1">+VLOOKUP($A127,INDIRECT(Adrese!F$2),2,FALSE)</f>
        <v>114</v>
      </c>
      <c r="G127" s="4">
        <f t="shared" ca="1" si="36"/>
        <v>96.2</v>
      </c>
      <c r="J127" t="s">
        <v>180</v>
      </c>
      <c r="K127">
        <f ca="1">+VLOOKUP($A127,INDIRECT(Adrese!B$2),3,FALSE)</f>
        <v>95</v>
      </c>
      <c r="L127">
        <f ca="1">+VLOOKUP($A127,INDIRECT(Adrese!C$2),3,FALSE)</f>
        <v>104</v>
      </c>
      <c r="M127">
        <f ca="1">+VLOOKUP($A127,INDIRECT(Adrese!D$2),3,FALSE)</f>
        <v>93</v>
      </c>
      <c r="N127">
        <f ca="1">+VLOOKUP($A127,INDIRECT(Adrese!E$2),3,FALSE)</f>
        <v>98</v>
      </c>
      <c r="O127">
        <f ca="1">+VLOOKUP($A127,INDIRECT(Adrese!F$2),3,FALSE)</f>
        <v>90</v>
      </c>
      <c r="P127">
        <f t="shared" ca="1" si="26"/>
        <v>480</v>
      </c>
      <c r="Q127" s="4">
        <f t="shared" ca="1" si="37"/>
        <v>96</v>
      </c>
      <c r="R127" s="4"/>
      <c r="T127" t="s">
        <v>180</v>
      </c>
      <c r="U127">
        <f ca="1">+VLOOKUP($T127,INDIRECT(Adrese!B$2),4,FALSE)</f>
        <v>94614</v>
      </c>
      <c r="V127">
        <f ca="1">+VLOOKUP($T127,INDIRECT(Adrese!C$2),4,FALSE)</f>
        <v>96879</v>
      </c>
      <c r="W127">
        <f ca="1">+VLOOKUP($T127,INDIRECT(Adrese!D$2),4,FALSE)</f>
        <v>95707</v>
      </c>
      <c r="X127">
        <f ca="1">+VLOOKUP($T127,INDIRECT(Adrese!E$2),4,FALSE)</f>
        <v>96371</v>
      </c>
      <c r="Y127">
        <f ca="1">+VLOOKUP($T127,INDIRECT(Adrese!F$2),4,FALSE)</f>
        <v>95014</v>
      </c>
      <c r="Z127">
        <f t="shared" ca="1" si="27"/>
        <v>478585</v>
      </c>
      <c r="AA127" s="4">
        <f t="shared" ca="1" si="38"/>
        <v>95717</v>
      </c>
      <c r="AC127" t="s">
        <v>180</v>
      </c>
      <c r="AD127">
        <f ca="1">+VLOOKUP($A127,INDIRECT(Adrese!B$2),5,FALSE)</f>
        <v>18420</v>
      </c>
      <c r="AE127">
        <f ca="1">+VLOOKUP($A127,INDIRECT(Adrese!C$2),5,FALSE)</f>
        <v>19004</v>
      </c>
      <c r="AF127">
        <f ca="1">+VLOOKUP($A127,INDIRECT(Adrese!D$2),5,FALSE)</f>
        <v>18472</v>
      </c>
      <c r="AG127">
        <f ca="1">+VLOOKUP($A127,INDIRECT(Adrese!E$2),5,FALSE)</f>
        <v>18579</v>
      </c>
      <c r="AH127">
        <f ca="1">+VLOOKUP($A127,INDIRECT(Adrese!F$2),5,FALSE)</f>
        <v>18663</v>
      </c>
      <c r="AI127" s="4">
        <f t="shared" ca="1" si="39"/>
        <v>18627.599999999999</v>
      </c>
      <c r="AJ127" s="4"/>
      <c r="AK127" s="4"/>
      <c r="AM127" t="s">
        <v>180</v>
      </c>
      <c r="AN127" s="4">
        <f ca="1">+VLOOKUP($A127,INDIRECT(Adrese!B$2),6,FALSE)</f>
        <v>0.40550884955752209</v>
      </c>
      <c r="AO127" s="4">
        <f ca="1">+VLOOKUP($A127,INDIRECT(Adrese!C$2),6,FALSE)</f>
        <v>0.41814159292035402</v>
      </c>
      <c r="AP127" s="4">
        <f ca="1">+VLOOKUP($A127,INDIRECT(Adrese!D$2),6,FALSE)</f>
        <v>0.4070353982300885</v>
      </c>
      <c r="AQ127" s="4">
        <f ca="1">+VLOOKUP($A127,INDIRECT(Adrese!E$2),6,FALSE)</f>
        <v>0.40880530973451329</v>
      </c>
      <c r="AR127" s="4">
        <f ca="1">+VLOOKUP($A127,INDIRECT(Adrese!F$2),6,FALSE)</f>
        <v>0.4110840707964602</v>
      </c>
      <c r="AS127" s="4" t="str">
        <f t="shared" ca="1" si="28"/>
        <v>0.41 (0.00)</v>
      </c>
      <c r="AT127" s="4">
        <f t="shared" ca="1" si="40"/>
        <v>0.41011504424778761</v>
      </c>
      <c r="AU127" s="4">
        <f t="shared" ca="1" si="29"/>
        <v>4.9442175735735002E-3</v>
      </c>
      <c r="AW127" t="s">
        <v>180</v>
      </c>
      <c r="AX127" s="4">
        <f ca="1">+VLOOKUP($A127,INDIRECT(Adrese!B$2),7,FALSE)</f>
        <v>0.57964601769911506</v>
      </c>
      <c r="AY127" s="4">
        <f ca="1">+VLOOKUP($A127,INDIRECT(Adrese!C$2),7,FALSE)</f>
        <v>0.53982300884955747</v>
      </c>
      <c r="AZ127" s="4">
        <f ca="1">+VLOOKUP($A127,INDIRECT(Adrese!D$2),7,FALSE)</f>
        <v>0.58849557522123896</v>
      </c>
      <c r="BA127" s="4">
        <f ca="1">+VLOOKUP($A127,INDIRECT(Adrese!E$2),7,FALSE)</f>
        <v>0.5663716814159292</v>
      </c>
      <c r="BB127" s="4">
        <f ca="1">+VLOOKUP($A127,INDIRECT(Adrese!F$2),7,FALSE)</f>
        <v>0.60176991150442483</v>
      </c>
      <c r="BC127" s="4" t="str">
        <f t="shared" ca="1" si="30"/>
        <v>0.58 (0.02)</v>
      </c>
      <c r="BD127">
        <f t="shared" ca="1" si="41"/>
        <v>0.5752212389380531</v>
      </c>
      <c r="BE127" s="4">
        <f t="shared" ca="1" si="31"/>
        <v>2.362185453989232E-2</v>
      </c>
      <c r="BG127" t="s">
        <v>180</v>
      </c>
      <c r="BH127" s="4">
        <f ca="1">+VLOOKUP($BG127,INDIRECT(Adrese!B$2),8,FALSE)</f>
        <v>5.7014418041818143E-2</v>
      </c>
      <c r="BI127" s="4">
        <f ca="1">+VLOOKUP($BG127,INDIRECT(Adrese!C$2),8,FALSE)</f>
        <v>5.9085310404023213E-2</v>
      </c>
      <c r="BJ127" s="4">
        <f ca="1">+VLOOKUP($BG127,INDIRECT(Adrese!D$2),8,FALSE)</f>
        <v>5.7143159506318209E-2</v>
      </c>
      <c r="BK127" s="4">
        <f ca="1">+VLOOKUP($BG127,INDIRECT(Adrese!E$2),8,FALSE)</f>
        <v>5.7710220560699223E-2</v>
      </c>
      <c r="BL127" s="4">
        <f ca="1">+VLOOKUP($BG127,INDIRECT(Adrese!F$2),8,FALSE)</f>
        <v>5.8135985799898413E-2</v>
      </c>
      <c r="BM127" s="4" t="str">
        <f t="shared" ca="1" si="32"/>
        <v>0.06 (0.00)</v>
      </c>
      <c r="BN127" s="4">
        <f t="shared" ca="1" si="42"/>
        <v>5.781781886255144E-2</v>
      </c>
      <c r="BO127" s="4">
        <f t="shared" ca="1" si="33"/>
        <v>8.3963690485719736E-4</v>
      </c>
      <c r="BQ127" t="s">
        <v>180</v>
      </c>
      <c r="BR127" s="4">
        <f ca="1">+VLOOKUP($BG127,INDIRECT(Adrese!B$2),9,FALSE)</f>
        <v>5.5843034700919447E-2</v>
      </c>
      <c r="BS127" s="4">
        <f ca="1">+VLOOKUP($BG127,INDIRECT(Adrese!C$2),9,FALSE)</f>
        <v>5.0227054519139738E-2</v>
      </c>
      <c r="BT127" s="4">
        <f ca="1">+VLOOKUP($BG127,INDIRECT(Adrese!D$2),9,FALSE)</f>
        <v>5.2627216895200633E-2</v>
      </c>
      <c r="BU127" s="4">
        <f ca="1">+VLOOKUP($BG127,INDIRECT(Adrese!E$2),9,FALSE)</f>
        <v>5.7481308732494761E-2</v>
      </c>
      <c r="BV127" s="4">
        <f ca="1">+VLOOKUP($BG127,INDIRECT(Adrese!F$2),9,FALSE)</f>
        <v>5.4949193254431962E-2</v>
      </c>
      <c r="BW127" s="4" t="str">
        <f t="shared" ca="1" si="34"/>
        <v>0.05 (0.00)</v>
      </c>
      <c r="BX127" s="4">
        <f t="shared" ca="1" si="43"/>
        <v>5.4225561620437311E-2</v>
      </c>
      <c r="BY127" s="4">
        <f t="shared" ca="1" si="35"/>
        <v>2.8408852522273579E-3</v>
      </c>
    </row>
    <row r="128" spans="1:77" x14ac:dyDescent="0.25">
      <c r="A128" t="s">
        <v>181</v>
      </c>
      <c r="B128" s="11">
        <f ca="1">+VLOOKUP($A128,INDIRECT(Adrese!B$2),2,FALSE)</f>
        <v>211</v>
      </c>
      <c r="C128" s="11">
        <f ca="1">+VLOOKUP($A128,INDIRECT(Adrese!C$2),2,FALSE)</f>
        <v>220</v>
      </c>
      <c r="D128" s="11">
        <f ca="1">+VLOOKUP($A128,INDIRECT(Adrese!D$2),2,FALSE)</f>
        <v>216</v>
      </c>
      <c r="E128" s="11">
        <f ca="1">+VLOOKUP($A128,INDIRECT(Adrese!E$2),2,FALSE)</f>
        <v>220</v>
      </c>
      <c r="F128" s="11">
        <f ca="1">+VLOOKUP($A128,INDIRECT(Adrese!F$2),2,FALSE)</f>
        <v>211</v>
      </c>
      <c r="G128" s="4">
        <f t="shared" ca="1" si="36"/>
        <v>215.6</v>
      </c>
      <c r="J128" t="s">
        <v>181</v>
      </c>
      <c r="K128">
        <f ca="1">+VLOOKUP($A128,INDIRECT(Adrese!B$2),3,FALSE)</f>
        <v>51</v>
      </c>
      <c r="L128">
        <f ca="1">+VLOOKUP($A128,INDIRECT(Adrese!C$2),3,FALSE)</f>
        <v>51</v>
      </c>
      <c r="M128">
        <f ca="1">+VLOOKUP($A128,INDIRECT(Adrese!D$2),3,FALSE)</f>
        <v>50</v>
      </c>
      <c r="N128">
        <f ca="1">+VLOOKUP($A128,INDIRECT(Adrese!E$2),3,FALSE)</f>
        <v>49</v>
      </c>
      <c r="O128">
        <f ca="1">+VLOOKUP($A128,INDIRECT(Adrese!F$2),3,FALSE)</f>
        <v>48</v>
      </c>
      <c r="P128">
        <f t="shared" ca="1" si="26"/>
        <v>249</v>
      </c>
      <c r="Q128" s="4">
        <f t="shared" ca="1" si="37"/>
        <v>49.8</v>
      </c>
      <c r="R128" s="4"/>
      <c r="T128" t="s">
        <v>181</v>
      </c>
      <c r="U128">
        <f ca="1">+VLOOKUP($T128,INDIRECT(Adrese!B$2),4,FALSE)</f>
        <v>87687</v>
      </c>
      <c r="V128">
        <f ca="1">+VLOOKUP($T128,INDIRECT(Adrese!C$2),4,FALSE)</f>
        <v>86901</v>
      </c>
      <c r="W128">
        <f ca="1">+VLOOKUP($T128,INDIRECT(Adrese!D$2),4,FALSE)</f>
        <v>87205</v>
      </c>
      <c r="X128">
        <f ca="1">+VLOOKUP($T128,INDIRECT(Adrese!E$2),4,FALSE)</f>
        <v>86601</v>
      </c>
      <c r="Y128">
        <f ca="1">+VLOOKUP($T128,INDIRECT(Adrese!F$2),4,FALSE)</f>
        <v>87528</v>
      </c>
      <c r="Z128">
        <f t="shared" ca="1" si="27"/>
        <v>435922</v>
      </c>
      <c r="AA128" s="4">
        <f t="shared" ca="1" si="38"/>
        <v>87184.4</v>
      </c>
      <c r="AC128" t="s">
        <v>181</v>
      </c>
      <c r="AD128">
        <f ca="1">+VLOOKUP($A128,INDIRECT(Adrese!B$2),5,FALSE)</f>
        <v>36884</v>
      </c>
      <c r="AE128">
        <f ca="1">+VLOOKUP($A128,INDIRECT(Adrese!C$2),5,FALSE)</f>
        <v>36947</v>
      </c>
      <c r="AF128">
        <f ca="1">+VLOOKUP($A128,INDIRECT(Adrese!D$2),5,FALSE)</f>
        <v>36951</v>
      </c>
      <c r="AG128">
        <f ca="1">+VLOOKUP($A128,INDIRECT(Adrese!E$2),5,FALSE)</f>
        <v>36916</v>
      </c>
      <c r="AH128">
        <f ca="1">+VLOOKUP($A128,INDIRECT(Adrese!F$2),5,FALSE)</f>
        <v>36983</v>
      </c>
      <c r="AI128" s="4">
        <f t="shared" ca="1" si="39"/>
        <v>36936.199999999997</v>
      </c>
      <c r="AJ128" s="4"/>
      <c r="AK128" s="4"/>
      <c r="AM128" t="s">
        <v>181</v>
      </c>
      <c r="AN128" s="4">
        <f ca="1">+VLOOKUP($A128,INDIRECT(Adrese!B$2),6,FALSE)</f>
        <v>0.81267699115044245</v>
      </c>
      <c r="AO128" s="4">
        <f ca="1">+VLOOKUP($A128,INDIRECT(Adrese!C$2),6,FALSE)</f>
        <v>0.81409292035398229</v>
      </c>
      <c r="AP128" s="4">
        <f ca="1">+VLOOKUP($A128,INDIRECT(Adrese!D$2),6,FALSE)</f>
        <v>0.81418141592920357</v>
      </c>
      <c r="AQ128" s="4">
        <f ca="1">+VLOOKUP($A128,INDIRECT(Adrese!E$2),6,FALSE)</f>
        <v>0.81347345132743365</v>
      </c>
      <c r="AR128" s="4">
        <f ca="1">+VLOOKUP($A128,INDIRECT(Adrese!F$2),6,FALSE)</f>
        <v>0.81495575221238936</v>
      </c>
      <c r="AS128" s="4" t="str">
        <f t="shared" ca="1" si="28"/>
        <v>0.81 (0.00)</v>
      </c>
      <c r="AT128" s="4">
        <f t="shared" ca="1" si="40"/>
        <v>0.81387610619469031</v>
      </c>
      <c r="AU128" s="4">
        <f t="shared" ca="1" si="29"/>
        <v>8.5233000778138816E-4</v>
      </c>
      <c r="AW128" t="s">
        <v>181</v>
      </c>
      <c r="AX128" s="4">
        <f ca="1">+VLOOKUP($A128,INDIRECT(Adrese!B$2),7,FALSE)</f>
        <v>0.77433628318584069</v>
      </c>
      <c r="AY128" s="4">
        <f ca="1">+VLOOKUP($A128,INDIRECT(Adrese!C$2),7,FALSE)</f>
        <v>0.77433628318584069</v>
      </c>
      <c r="AZ128" s="4">
        <f ca="1">+VLOOKUP($A128,INDIRECT(Adrese!D$2),7,FALSE)</f>
        <v>0.77876106194690264</v>
      </c>
      <c r="BA128" s="4">
        <f ca="1">+VLOOKUP($A128,INDIRECT(Adrese!E$2),7,FALSE)</f>
        <v>0.7831858407079646</v>
      </c>
      <c r="BB128" s="4">
        <f ca="1">+VLOOKUP($A128,INDIRECT(Adrese!F$2),7,FALSE)</f>
        <v>0.78761061946902655</v>
      </c>
      <c r="BC128" s="4" t="str">
        <f t="shared" ca="1" si="30"/>
        <v>0.78 (0.01)</v>
      </c>
      <c r="BD128">
        <f t="shared" ca="1" si="41"/>
        <v>0.77964601769911501</v>
      </c>
      <c r="BE128" s="4">
        <f t="shared" ca="1" si="31"/>
        <v>5.7692056683209371E-3</v>
      </c>
      <c r="BG128" t="s">
        <v>181</v>
      </c>
      <c r="BH128" s="4">
        <f ca="1">+VLOOKUP($BG128,INDIRECT(Adrese!B$2),8,FALSE)</f>
        <v>0.1025679068022404</v>
      </c>
      <c r="BI128" s="4">
        <f ca="1">+VLOOKUP($BG128,INDIRECT(Adrese!C$2),8,FALSE)</f>
        <v>0.1030290072151866</v>
      </c>
      <c r="BJ128" s="4">
        <f ca="1">+VLOOKUP($BG128,INDIRECT(Adrese!D$2),8,FALSE)</f>
        <v>0.1028120307142954</v>
      </c>
      <c r="BK128" s="4">
        <f ca="1">+VLOOKUP($BG128,INDIRECT(Adrese!E$2),8,FALSE)</f>
        <v>0.1026852004849698</v>
      </c>
      <c r="BL128" s="4">
        <f ca="1">+VLOOKUP($BG128,INDIRECT(Adrese!F$2),8,FALSE)</f>
        <v>0.102917875736719</v>
      </c>
      <c r="BM128" s="4" t="str">
        <f t="shared" ca="1" si="32"/>
        <v>0.10 (0.00)</v>
      </c>
      <c r="BN128" s="4">
        <f t="shared" ca="1" si="42"/>
        <v>0.10280240419068225</v>
      </c>
      <c r="BO128" s="4">
        <f t="shared" ca="1" si="33"/>
        <v>1.8268895179668522E-4</v>
      </c>
      <c r="BQ128" t="s">
        <v>181</v>
      </c>
      <c r="BR128" s="4">
        <f ca="1">+VLOOKUP($BG128,INDIRECT(Adrese!B$2),9,FALSE)</f>
        <v>-7.9267962559653904E-2</v>
      </c>
      <c r="BS128" s="4">
        <f ca="1">+VLOOKUP($BG128,INDIRECT(Adrese!C$2),9,FALSE)</f>
        <v>-7.9287803595236753E-2</v>
      </c>
      <c r="BT128" s="4">
        <f ca="1">+VLOOKUP($BG128,INDIRECT(Adrese!D$2),9,FALSE)</f>
        <v>-7.8751898890249791E-2</v>
      </c>
      <c r="BU128" s="4">
        <f ca="1">+VLOOKUP($BG128,INDIRECT(Adrese!E$2),9,FALSE)</f>
        <v>-7.8010581445602745E-2</v>
      </c>
      <c r="BV128" s="4">
        <f ca="1">+VLOOKUP($BG128,INDIRECT(Adrese!F$2),9,FALSE)</f>
        <v>-7.8799817598051963E-2</v>
      </c>
      <c r="BW128" s="4" t="str">
        <f t="shared" ca="1" si="34"/>
        <v>-0.08 (0.00)</v>
      </c>
      <c r="BX128" s="4">
        <f t="shared" ca="1" si="43"/>
        <v>-7.8823612817759028E-2</v>
      </c>
      <c r="BY128" s="4">
        <f t="shared" ca="1" si="35"/>
        <v>5.1953076978352635E-4</v>
      </c>
    </row>
    <row r="129" spans="1:77" x14ac:dyDescent="0.25">
      <c r="A129" t="s">
        <v>182</v>
      </c>
      <c r="B129" s="11">
        <f ca="1">+VLOOKUP($A129,INDIRECT(Adrese!B$2),2,FALSE)</f>
        <v>214</v>
      </c>
      <c r="C129" s="11">
        <f ca="1">+VLOOKUP($A129,INDIRECT(Adrese!C$2),2,FALSE)</f>
        <v>204</v>
      </c>
      <c r="D129" s="11">
        <f ca="1">+VLOOKUP($A129,INDIRECT(Adrese!D$2),2,FALSE)</f>
        <v>221</v>
      </c>
      <c r="E129" s="11">
        <f ca="1">+VLOOKUP($A129,INDIRECT(Adrese!E$2),2,FALSE)</f>
        <v>223</v>
      </c>
      <c r="F129" s="11">
        <f ca="1">+VLOOKUP($A129,INDIRECT(Adrese!F$2),2,FALSE)</f>
        <v>209</v>
      </c>
      <c r="G129" s="4">
        <f t="shared" ca="1" si="36"/>
        <v>214.2</v>
      </c>
      <c r="J129" t="s">
        <v>182</v>
      </c>
      <c r="K129">
        <f ca="1">+VLOOKUP($A129,INDIRECT(Adrese!B$2),3,FALSE)</f>
        <v>11</v>
      </c>
      <c r="L129">
        <f ca="1">+VLOOKUP($A129,INDIRECT(Adrese!C$2),3,FALSE)</f>
        <v>18</v>
      </c>
      <c r="M129">
        <f ca="1">+VLOOKUP($A129,INDIRECT(Adrese!D$2),3,FALSE)</f>
        <v>16</v>
      </c>
      <c r="N129">
        <f ca="1">+VLOOKUP($A129,INDIRECT(Adrese!E$2),3,FALSE)</f>
        <v>16</v>
      </c>
      <c r="O129">
        <f ca="1">+VLOOKUP($A129,INDIRECT(Adrese!F$2),3,FALSE)</f>
        <v>24</v>
      </c>
      <c r="P129">
        <f t="shared" ca="1" si="26"/>
        <v>85</v>
      </c>
      <c r="Q129" s="4">
        <f t="shared" ca="1" si="37"/>
        <v>17</v>
      </c>
      <c r="R129" s="4"/>
      <c r="T129" t="s">
        <v>182</v>
      </c>
      <c r="U129">
        <f ca="1">+VLOOKUP($T129,INDIRECT(Adrese!B$2),4,FALSE)</f>
        <v>87384</v>
      </c>
      <c r="V129">
        <f ca="1">+VLOOKUP($T129,INDIRECT(Adrese!C$2),4,FALSE)</f>
        <v>88386</v>
      </c>
      <c r="W129">
        <f ca="1">+VLOOKUP($T129,INDIRECT(Adrese!D$2),4,FALSE)</f>
        <v>86908</v>
      </c>
      <c r="X129">
        <f ca="1">+VLOOKUP($T129,INDIRECT(Adrese!E$2),4,FALSE)</f>
        <v>86348</v>
      </c>
      <c r="Y129">
        <f ca="1">+VLOOKUP($T129,INDIRECT(Adrese!F$2),4,FALSE)</f>
        <v>87606</v>
      </c>
      <c r="Z129">
        <f t="shared" ca="1" si="27"/>
        <v>436632</v>
      </c>
      <c r="AA129" s="4">
        <f t="shared" ca="1" si="38"/>
        <v>87326.399999999994</v>
      </c>
      <c r="AC129" t="s">
        <v>182</v>
      </c>
      <c r="AD129">
        <f ca="1">+VLOOKUP($A129,INDIRECT(Adrese!B$2),5,FALSE)</f>
        <v>40759</v>
      </c>
      <c r="AE129">
        <f ca="1">+VLOOKUP($A129,INDIRECT(Adrese!C$2),5,FALSE)</f>
        <v>39943</v>
      </c>
      <c r="AF129">
        <f ca="1">+VLOOKUP($A129,INDIRECT(Adrese!D$2),5,FALSE)</f>
        <v>40621</v>
      </c>
      <c r="AG129">
        <f ca="1">+VLOOKUP($A129,INDIRECT(Adrese!E$2),5,FALSE)</f>
        <v>40029</v>
      </c>
      <c r="AH129">
        <f ca="1">+VLOOKUP($A129,INDIRECT(Adrese!F$2),5,FALSE)</f>
        <v>39778</v>
      </c>
      <c r="AI129" s="4">
        <f t="shared" ca="1" si="39"/>
        <v>40226</v>
      </c>
      <c r="AJ129" s="4"/>
      <c r="AK129" s="4"/>
      <c r="AM129" t="s">
        <v>182</v>
      </c>
      <c r="AN129" s="4">
        <f ca="1">+VLOOKUP($A129,INDIRECT(Adrese!B$2),6,FALSE)</f>
        <v>0.8977433628318584</v>
      </c>
      <c r="AO129" s="4">
        <f ca="1">+VLOOKUP($A129,INDIRECT(Adrese!C$2),6,FALSE)</f>
        <v>0.87960176991150441</v>
      </c>
      <c r="AP129" s="4">
        <f ca="1">+VLOOKUP($A129,INDIRECT(Adrese!D$2),6,FALSE)</f>
        <v>0.89477876106194687</v>
      </c>
      <c r="AQ129" s="4">
        <f ca="1">+VLOOKUP($A129,INDIRECT(Adrese!E$2),6,FALSE)</f>
        <v>0.88161504424778758</v>
      </c>
      <c r="AR129" s="4">
        <f ca="1">+VLOOKUP($A129,INDIRECT(Adrese!F$2),6,FALSE)</f>
        <v>0.87619469026548669</v>
      </c>
      <c r="AS129" s="4" t="str">
        <f t="shared" ca="1" si="28"/>
        <v>0.89 (0.01)</v>
      </c>
      <c r="AT129" s="4">
        <f t="shared" ca="1" si="40"/>
        <v>0.88598672566371683</v>
      </c>
      <c r="AU129" s="4">
        <f t="shared" ca="1" si="29"/>
        <v>9.6343346883339832E-3</v>
      </c>
      <c r="AW129" t="s">
        <v>182</v>
      </c>
      <c r="AX129" s="4">
        <f ca="1">+VLOOKUP($A129,INDIRECT(Adrese!B$2),7,FALSE)</f>
        <v>0.95132743362831862</v>
      </c>
      <c r="AY129" s="4">
        <f ca="1">+VLOOKUP($A129,INDIRECT(Adrese!C$2),7,FALSE)</f>
        <v>0.92035398230088494</v>
      </c>
      <c r="AZ129" s="4">
        <f ca="1">+VLOOKUP($A129,INDIRECT(Adrese!D$2),7,FALSE)</f>
        <v>0.92920353982300885</v>
      </c>
      <c r="BA129" s="4">
        <f ca="1">+VLOOKUP($A129,INDIRECT(Adrese!E$2),7,FALSE)</f>
        <v>0.92920353982300885</v>
      </c>
      <c r="BB129" s="4">
        <f ca="1">+VLOOKUP($A129,INDIRECT(Adrese!F$2),7,FALSE)</f>
        <v>0.89380530973451322</v>
      </c>
      <c r="BC129" s="4" t="str">
        <f t="shared" ca="1" si="30"/>
        <v>0.92 (0.02)</v>
      </c>
      <c r="BD129">
        <f t="shared" ca="1" si="41"/>
        <v>0.9247787610619469</v>
      </c>
      <c r="BE129" s="4">
        <f t="shared" ca="1" si="31"/>
        <v>2.0754052034616974E-2</v>
      </c>
      <c r="BG129" t="s">
        <v>182</v>
      </c>
      <c r="BH129" s="4">
        <f ca="1">+VLOOKUP($BG129,INDIRECT(Adrese!B$2),8,FALSE)</f>
        <v>0.1141482064376637</v>
      </c>
      <c r="BI129" s="4">
        <f ca="1">+VLOOKUP($BG129,INDIRECT(Adrese!C$2),8,FALSE)</f>
        <v>0.112014568719821</v>
      </c>
      <c r="BJ129" s="4">
        <f ca="1">+VLOOKUP($BG129,INDIRECT(Adrese!D$2),8,FALSE)</f>
        <v>0.1137739869371607</v>
      </c>
      <c r="BK129" s="4">
        <f ca="1">+VLOOKUP($BG129,INDIRECT(Adrese!E$2),8,FALSE)</f>
        <v>0.1119407537436941</v>
      </c>
      <c r="BL129" s="4">
        <f ca="1">+VLOOKUP($BG129,INDIRECT(Adrese!F$2),8,FALSE)</f>
        <v>0.1117580654588736</v>
      </c>
      <c r="BM129" s="4" t="str">
        <f t="shared" ca="1" si="32"/>
        <v>0.11 (0.00)</v>
      </c>
      <c r="BN129" s="4">
        <f t="shared" ca="1" si="42"/>
        <v>0.11272711625944262</v>
      </c>
      <c r="BO129" s="4">
        <f t="shared" ca="1" si="33"/>
        <v>1.1380449207940972E-3</v>
      </c>
      <c r="BQ129" t="s">
        <v>182</v>
      </c>
      <c r="BR129" s="4">
        <f ca="1">+VLOOKUP($BG129,INDIRECT(Adrese!B$2),9,FALSE)</f>
        <v>-9.366923186882177E-2</v>
      </c>
      <c r="BS129" s="4">
        <f ca="1">+VLOOKUP($BG129,INDIRECT(Adrese!C$2),9,FALSE)</f>
        <v>-9.2202111742286236E-2</v>
      </c>
      <c r="BT129" s="4">
        <f ca="1">+VLOOKUP($BG129,INDIRECT(Adrese!D$2),9,FALSE)</f>
        <v>-9.4168771849919328E-2</v>
      </c>
      <c r="BU129" s="4">
        <f ca="1">+VLOOKUP($BG129,INDIRECT(Adrese!E$2),9,FALSE)</f>
        <v>-9.2951447624821562E-2</v>
      </c>
      <c r="BV129" s="4">
        <f ca="1">+VLOOKUP($BG129,INDIRECT(Adrese!F$2),9,FALSE)</f>
        <v>-8.7739133440390832E-2</v>
      </c>
      <c r="BW129" s="4" t="str">
        <f t="shared" ca="1" si="34"/>
        <v>-0.09 (0.00)</v>
      </c>
      <c r="BX129" s="4">
        <f t="shared" ca="1" si="43"/>
        <v>-9.2146139305247954E-2</v>
      </c>
      <c r="BY129" s="4">
        <f t="shared" ca="1" si="35"/>
        <v>2.5731405161856786E-3</v>
      </c>
    </row>
    <row r="130" spans="1:77" x14ac:dyDescent="0.25">
      <c r="A130" t="s">
        <v>13</v>
      </c>
      <c r="B130" s="11">
        <f ca="1">+VLOOKUP($A130,INDIRECT(Adrese!B$2),2,FALSE)</f>
        <v>135</v>
      </c>
      <c r="C130" s="11">
        <f ca="1">+VLOOKUP($A130,INDIRECT(Adrese!C$2),2,FALSE)</f>
        <v>130</v>
      </c>
      <c r="D130" s="11">
        <f ca="1">+VLOOKUP($A130,INDIRECT(Adrese!D$2),2,FALSE)</f>
        <v>148</v>
      </c>
      <c r="E130" s="11">
        <f ca="1">+VLOOKUP($A130,INDIRECT(Adrese!E$2),2,FALSE)</f>
        <v>158</v>
      </c>
      <c r="F130" s="11">
        <f ca="1">+VLOOKUP($A130,INDIRECT(Adrese!F$2),2,FALSE)</f>
        <v>138</v>
      </c>
      <c r="G130" s="4">
        <f t="shared" ca="1" si="36"/>
        <v>141.80000000000001</v>
      </c>
      <c r="J130" t="s">
        <v>13</v>
      </c>
      <c r="K130">
        <f ca="1">+VLOOKUP($A130,INDIRECT(Adrese!B$2),3,FALSE)</f>
        <v>130</v>
      </c>
      <c r="L130">
        <f ca="1">+VLOOKUP($A130,INDIRECT(Adrese!C$2),3,FALSE)</f>
        <v>135</v>
      </c>
      <c r="M130">
        <f ca="1">+VLOOKUP($A130,INDIRECT(Adrese!D$2),3,FALSE)</f>
        <v>127</v>
      </c>
      <c r="N130">
        <f ca="1">+VLOOKUP($A130,INDIRECT(Adrese!E$2),3,FALSE)</f>
        <v>128</v>
      </c>
      <c r="O130">
        <f ca="1">+VLOOKUP($A130,INDIRECT(Adrese!F$2),3,FALSE)</f>
        <v>134</v>
      </c>
      <c r="P130">
        <f t="shared" ca="1" si="26"/>
        <v>654</v>
      </c>
      <c r="Q130" s="4">
        <f t="shared" ca="1" si="37"/>
        <v>130.80000000000001</v>
      </c>
      <c r="R130" s="4"/>
      <c r="T130" t="s">
        <v>13</v>
      </c>
      <c r="U130">
        <f ca="1">+VLOOKUP($T130,INDIRECT(Adrese!B$2),4,FALSE)</f>
        <v>94147</v>
      </c>
      <c r="V130">
        <f ca="1">+VLOOKUP($T130,INDIRECT(Adrese!C$2),4,FALSE)</f>
        <v>94360</v>
      </c>
      <c r="W130">
        <f ca="1">+VLOOKUP($T130,INDIRECT(Adrese!D$2),4,FALSE)</f>
        <v>93562</v>
      </c>
      <c r="X130">
        <f ca="1">+VLOOKUP($T130,INDIRECT(Adrese!E$2),4,FALSE)</f>
        <v>92932</v>
      </c>
      <c r="Y130">
        <f ca="1">+VLOOKUP($T130,INDIRECT(Adrese!F$2),4,FALSE)</f>
        <v>94169</v>
      </c>
      <c r="Z130">
        <f t="shared" ca="1" si="27"/>
        <v>469170</v>
      </c>
      <c r="AA130" s="4">
        <f t="shared" ca="1" si="38"/>
        <v>93834</v>
      </c>
      <c r="AC130" t="s">
        <v>13</v>
      </c>
      <c r="AD130">
        <f ca="1">+VLOOKUP($A130,INDIRECT(Adrese!B$2),5,FALSE)</f>
        <v>23784</v>
      </c>
      <c r="AE130">
        <f ca="1">+VLOOKUP($A130,INDIRECT(Adrese!C$2),5,FALSE)</f>
        <v>22502</v>
      </c>
      <c r="AF130">
        <f ca="1">+VLOOKUP($A130,INDIRECT(Adrese!D$2),5,FALSE)</f>
        <v>23718</v>
      </c>
      <c r="AG130">
        <f ca="1">+VLOOKUP($A130,INDIRECT(Adrese!E$2),5,FALSE)</f>
        <v>23604</v>
      </c>
      <c r="AH130">
        <f ca="1">+VLOOKUP($A130,INDIRECT(Adrese!F$2),5,FALSE)</f>
        <v>23735</v>
      </c>
      <c r="AI130" s="4">
        <f t="shared" ca="1" si="39"/>
        <v>23468.6</v>
      </c>
      <c r="AJ130" s="4"/>
      <c r="AK130" s="4"/>
      <c r="AM130" t="s">
        <v>13</v>
      </c>
      <c r="AN130" s="4">
        <f ca="1">+VLOOKUP($A130,INDIRECT(Adrese!B$2),6,FALSE)</f>
        <v>0.52526548672566375</v>
      </c>
      <c r="AO130" s="4">
        <f ca="1">+VLOOKUP($A130,INDIRECT(Adrese!C$2),6,FALSE)</f>
        <v>0.49703539823008852</v>
      </c>
      <c r="AP130" s="4">
        <f ca="1">+VLOOKUP($A130,INDIRECT(Adrese!D$2),6,FALSE)</f>
        <v>0.52128318584070799</v>
      </c>
      <c r="AQ130" s="4">
        <f ca="1">+VLOOKUP($A130,INDIRECT(Adrese!E$2),6,FALSE)</f>
        <v>0.51884955752212392</v>
      </c>
      <c r="AR130" s="4">
        <f ca="1">+VLOOKUP($A130,INDIRECT(Adrese!F$2),6,FALSE)</f>
        <v>0.52311946902654871</v>
      </c>
      <c r="AS130" s="4" t="str">
        <f t="shared" ca="1" si="28"/>
        <v>0.52 (0.01)</v>
      </c>
      <c r="AT130" s="4">
        <f t="shared" ca="1" si="40"/>
        <v>0.51711061946902659</v>
      </c>
      <c r="AU130" s="4">
        <f t="shared" ca="1" si="29"/>
        <v>1.1467964689181044E-2</v>
      </c>
      <c r="AW130" t="s">
        <v>13</v>
      </c>
      <c r="AX130" s="4">
        <f ca="1">+VLOOKUP($A130,INDIRECT(Adrese!B$2),7,FALSE)</f>
        <v>0.4247787610619469</v>
      </c>
      <c r="AY130" s="4">
        <f ca="1">+VLOOKUP($A130,INDIRECT(Adrese!C$2),7,FALSE)</f>
        <v>0.40265486725663718</v>
      </c>
      <c r="AZ130" s="4">
        <f ca="1">+VLOOKUP($A130,INDIRECT(Adrese!D$2),7,FALSE)</f>
        <v>0.43805309734513281</v>
      </c>
      <c r="BA130" s="4">
        <f ca="1">+VLOOKUP($A130,INDIRECT(Adrese!E$2),7,FALSE)</f>
        <v>0.4336283185840708</v>
      </c>
      <c r="BB130" s="4">
        <f ca="1">+VLOOKUP($A130,INDIRECT(Adrese!F$2),7,FALSE)</f>
        <v>0.40707964601769908</v>
      </c>
      <c r="BC130" s="4" t="str">
        <f t="shared" ca="1" si="30"/>
        <v>0.42 (0.02)</v>
      </c>
      <c r="BD130">
        <f t="shared" ca="1" si="41"/>
        <v>0.42123893805309737</v>
      </c>
      <c r="BE130" s="4">
        <f t="shared" ca="1" si="31"/>
        <v>1.5768610337349991E-2</v>
      </c>
      <c r="BG130" t="s">
        <v>13</v>
      </c>
      <c r="BH130" s="4">
        <f ca="1">+VLOOKUP($BG130,INDIRECT(Adrese!B$2),8,FALSE)</f>
        <v>6.969622613035116E-2</v>
      </c>
      <c r="BI130" s="4">
        <f ca="1">+VLOOKUP($BG130,INDIRECT(Adrese!C$2),8,FALSE)</f>
        <v>6.7127009206128574E-2</v>
      </c>
      <c r="BJ130" s="4">
        <f ca="1">+VLOOKUP($BG130,INDIRECT(Adrese!D$2),8,FALSE)</f>
        <v>6.9919662293010026E-2</v>
      </c>
      <c r="BK130" s="4">
        <f ca="1">+VLOOKUP($BG130,INDIRECT(Adrese!E$2),8,FALSE)</f>
        <v>6.9847078588457234E-2</v>
      </c>
      <c r="BL130" s="4">
        <f ca="1">+VLOOKUP($BG130,INDIRECT(Adrese!F$2),8,FALSE)</f>
        <v>7.0045314258253749E-2</v>
      </c>
      <c r="BM130" s="4" t="str">
        <f t="shared" ca="1" si="32"/>
        <v>0.07 (0.00)</v>
      </c>
      <c r="BN130" s="4">
        <f t="shared" ca="1" si="42"/>
        <v>6.932705809524016E-2</v>
      </c>
      <c r="BO130" s="4">
        <f t="shared" ca="1" si="33"/>
        <v>1.2363245040154344E-3</v>
      </c>
      <c r="BQ130" t="s">
        <v>13</v>
      </c>
      <c r="BR130" s="4">
        <f ca="1">+VLOOKUP($BG130,INDIRECT(Adrese!B$2),9,FALSE)</f>
        <v>1.6476625759652849E-2</v>
      </c>
      <c r="BS130" s="4">
        <f ca="1">+VLOOKUP($BG130,INDIRECT(Adrese!C$2),9,FALSE)</f>
        <v>2.8950883010215089E-2</v>
      </c>
      <c r="BT130" s="4">
        <f ca="1">+VLOOKUP($BG130,INDIRECT(Adrese!D$2),9,FALSE)</f>
        <v>1.464903815854523E-2</v>
      </c>
      <c r="BU130" s="4">
        <f ca="1">+VLOOKUP($BG130,INDIRECT(Adrese!E$2),9,FALSE)</f>
        <v>2.2922481421430559E-2</v>
      </c>
      <c r="BV130" s="4">
        <f ca="1">+VLOOKUP($BG130,INDIRECT(Adrese!F$2),9,FALSE)</f>
        <v>1.9458364046187671E-2</v>
      </c>
      <c r="BW130" s="4" t="str">
        <f t="shared" ca="1" si="34"/>
        <v>0.02 (0.01)</v>
      </c>
      <c r="BX130" s="4">
        <f t="shared" ca="1" si="43"/>
        <v>2.0491478479206279E-2</v>
      </c>
      <c r="BY130" s="4">
        <f t="shared" ca="1" si="35"/>
        <v>5.6743232419438853E-3</v>
      </c>
    </row>
    <row r="131" spans="1:77" x14ac:dyDescent="0.25">
      <c r="A131" t="s">
        <v>183</v>
      </c>
      <c r="B131" s="11">
        <f ca="1">+VLOOKUP($A131,INDIRECT(Adrese!B$2),2,FALSE)</f>
        <v>200</v>
      </c>
      <c r="C131" s="11">
        <f ca="1">+VLOOKUP($A131,INDIRECT(Adrese!C$2),2,FALSE)</f>
        <v>207</v>
      </c>
      <c r="D131" s="11">
        <f ca="1">+VLOOKUP($A131,INDIRECT(Adrese!D$2),2,FALSE)</f>
        <v>205</v>
      </c>
      <c r="E131" s="11">
        <f ca="1">+VLOOKUP($A131,INDIRECT(Adrese!E$2),2,FALSE)</f>
        <v>213</v>
      </c>
      <c r="F131" s="11">
        <f ca="1">+VLOOKUP($A131,INDIRECT(Adrese!F$2),2,FALSE)</f>
        <v>204</v>
      </c>
      <c r="G131" s="4">
        <f t="shared" ca="1" si="36"/>
        <v>205.8</v>
      </c>
      <c r="J131" t="s">
        <v>183</v>
      </c>
      <c r="K131">
        <f ca="1">+VLOOKUP($A131,INDIRECT(Adrese!B$2),3,FALSE)</f>
        <v>20</v>
      </c>
      <c r="L131">
        <f ca="1">+VLOOKUP($A131,INDIRECT(Adrese!C$2),3,FALSE)</f>
        <v>11</v>
      </c>
      <c r="M131">
        <f ca="1">+VLOOKUP($A131,INDIRECT(Adrese!D$2),3,FALSE)</f>
        <v>12</v>
      </c>
      <c r="N131">
        <f ca="1">+VLOOKUP($A131,INDIRECT(Adrese!E$2),3,FALSE)</f>
        <v>13</v>
      </c>
      <c r="O131">
        <f ca="1">+VLOOKUP($A131,INDIRECT(Adrese!F$2),3,FALSE)</f>
        <v>9</v>
      </c>
      <c r="P131">
        <f t="shared" ca="1" si="26"/>
        <v>65</v>
      </c>
      <c r="Q131" s="4">
        <f t="shared" ca="1" si="37"/>
        <v>13</v>
      </c>
      <c r="R131" s="4"/>
      <c r="T131" t="s">
        <v>183</v>
      </c>
      <c r="U131">
        <f ca="1">+VLOOKUP($T131,INDIRECT(Adrese!B$2),4,FALSE)</f>
        <v>88579</v>
      </c>
      <c r="V131">
        <f ca="1">+VLOOKUP($T131,INDIRECT(Adrese!C$2),4,FALSE)</f>
        <v>88051</v>
      </c>
      <c r="W131">
        <f ca="1">+VLOOKUP($T131,INDIRECT(Adrese!D$2),4,FALSE)</f>
        <v>88018</v>
      </c>
      <c r="X131">
        <f ca="1">+VLOOKUP($T131,INDIRECT(Adrese!E$2),4,FALSE)</f>
        <v>87357</v>
      </c>
      <c r="Y131">
        <f ca="1">+VLOOKUP($T131,INDIRECT(Adrese!F$2),4,FALSE)</f>
        <v>88181</v>
      </c>
      <c r="Z131">
        <f t="shared" ca="1" si="27"/>
        <v>440186</v>
      </c>
      <c r="AA131" s="4">
        <f t="shared" ca="1" si="38"/>
        <v>88037.2</v>
      </c>
      <c r="AC131" t="s">
        <v>183</v>
      </c>
      <c r="AD131">
        <f ca="1">+VLOOKUP($A131,INDIRECT(Adrese!B$2),5,FALSE)</f>
        <v>40891</v>
      </c>
      <c r="AE131">
        <f ca="1">+VLOOKUP($A131,INDIRECT(Adrese!C$2),5,FALSE)</f>
        <v>40841</v>
      </c>
      <c r="AF131">
        <f ca="1">+VLOOKUP($A131,INDIRECT(Adrese!D$2),5,FALSE)</f>
        <v>40746</v>
      </c>
      <c r="AG131">
        <f ca="1">+VLOOKUP($A131,INDIRECT(Adrese!E$2),5,FALSE)</f>
        <v>40743</v>
      </c>
      <c r="AH131">
        <f ca="1">+VLOOKUP($A131,INDIRECT(Adrese!F$2),5,FALSE)</f>
        <v>40938</v>
      </c>
      <c r="AI131" s="4">
        <f t="shared" ca="1" si="39"/>
        <v>40831.800000000003</v>
      </c>
      <c r="AJ131" s="4"/>
      <c r="AK131" s="4"/>
      <c r="AM131" t="s">
        <v>183</v>
      </c>
      <c r="AN131" s="4">
        <f ca="1">+VLOOKUP($A131,INDIRECT(Adrese!B$2),6,FALSE)</f>
        <v>0.90079646017699111</v>
      </c>
      <c r="AO131" s="4">
        <f ca="1">+VLOOKUP($A131,INDIRECT(Adrese!C$2),6,FALSE)</f>
        <v>0.89960176991150442</v>
      </c>
      <c r="AP131" s="4">
        <f ca="1">+VLOOKUP($A131,INDIRECT(Adrese!D$2),6,FALSE)</f>
        <v>0.89749999999999996</v>
      </c>
      <c r="AQ131" s="4">
        <f ca="1">+VLOOKUP($A131,INDIRECT(Adrese!E$2),6,FALSE)</f>
        <v>0.89745575221238938</v>
      </c>
      <c r="AR131" s="4">
        <f ca="1">+VLOOKUP($A131,INDIRECT(Adrese!F$2),6,FALSE)</f>
        <v>0.9016150442477876</v>
      </c>
      <c r="AS131" s="4" t="str">
        <f t="shared" ca="1" si="28"/>
        <v>0.90 (0.00)</v>
      </c>
      <c r="AT131" s="4">
        <f t="shared" ca="1" si="40"/>
        <v>0.89939380530973434</v>
      </c>
      <c r="AU131" s="4">
        <f t="shared" ca="1" si="29"/>
        <v>1.8899167132084803E-3</v>
      </c>
      <c r="AW131" t="s">
        <v>183</v>
      </c>
      <c r="AX131" s="4">
        <f ca="1">+VLOOKUP($A131,INDIRECT(Adrese!B$2),7,FALSE)</f>
        <v>0.91150442477876104</v>
      </c>
      <c r="AY131" s="4">
        <f ca="1">+VLOOKUP($A131,INDIRECT(Adrese!C$2),7,FALSE)</f>
        <v>0.95132743362831862</v>
      </c>
      <c r="AZ131" s="4">
        <f ca="1">+VLOOKUP($A131,INDIRECT(Adrese!D$2),7,FALSE)</f>
        <v>0.94690265486725667</v>
      </c>
      <c r="BA131" s="4">
        <f ca="1">+VLOOKUP($A131,INDIRECT(Adrese!E$2),7,FALSE)</f>
        <v>0.94247787610619471</v>
      </c>
      <c r="BB131" s="4">
        <f ca="1">+VLOOKUP($A131,INDIRECT(Adrese!F$2),7,FALSE)</f>
        <v>0.96017699115044253</v>
      </c>
      <c r="BC131" s="4" t="str">
        <f t="shared" ca="1" si="30"/>
        <v>0.94 (0.02)</v>
      </c>
      <c r="BD131">
        <f t="shared" ca="1" si="41"/>
        <v>0.9424778761061946</v>
      </c>
      <c r="BE131" s="4">
        <f t="shared" ca="1" si="31"/>
        <v>1.8510177578187542E-2</v>
      </c>
      <c r="BG131" t="s">
        <v>183</v>
      </c>
      <c r="BH131" s="4">
        <f ca="1">+VLOOKUP($BG131,INDIRECT(Adrese!B$2),8,FALSE)</f>
        <v>0.11442703412099189</v>
      </c>
      <c r="BI131" s="4">
        <f ca="1">+VLOOKUP($BG131,INDIRECT(Adrese!C$2),8,FALSE)</f>
        <v>0.1145805645594748</v>
      </c>
      <c r="BJ131" s="4">
        <f ca="1">+VLOOKUP($BG131,INDIRECT(Adrese!D$2),8,FALSE)</f>
        <v>0.1143817268910586</v>
      </c>
      <c r="BK131" s="4">
        <f ca="1">+VLOOKUP($BG131,INDIRECT(Adrese!E$2),8,FALSE)</f>
        <v>0.1142765846120703</v>
      </c>
      <c r="BL131" s="4">
        <f ca="1">+VLOOKUP($BG131,INDIRECT(Adrese!F$2),8,FALSE)</f>
        <v>0.1149053784171271</v>
      </c>
      <c r="BM131" s="4" t="str">
        <f t="shared" ca="1" si="32"/>
        <v>0.11 (0.00)</v>
      </c>
      <c r="BN131" s="4">
        <f t="shared" ca="1" si="42"/>
        <v>0.11451425772014454</v>
      </c>
      <c r="BO131" s="4">
        <f t="shared" ca="1" si="33"/>
        <v>2.444549446007937E-4</v>
      </c>
      <c r="BQ131" t="s">
        <v>183</v>
      </c>
      <c r="BR131" s="4">
        <f ca="1">+VLOOKUP($BG131,INDIRECT(Adrese!B$2),9,FALSE)</f>
        <v>-9.6417640565694004E-2</v>
      </c>
      <c r="BS131" s="4">
        <f ca="1">+VLOOKUP($BG131,INDIRECT(Adrese!C$2),9,FALSE)</f>
        <v>-9.5648528825151111E-2</v>
      </c>
      <c r="BT131" s="4">
        <f ca="1">+VLOOKUP($BG131,INDIRECT(Adrese!D$2),9,FALSE)</f>
        <v>-9.3283733487519283E-2</v>
      </c>
      <c r="BU131" s="4">
        <f ca="1">+VLOOKUP($BG131,INDIRECT(Adrese!E$2),9,FALSE)</f>
        <v>-9.4923360858547259E-2</v>
      </c>
      <c r="BV131" s="4">
        <f ca="1">+VLOOKUP($BG131,INDIRECT(Adrese!F$2),9,FALSE)</f>
        <v>-9.6005376117679064E-2</v>
      </c>
      <c r="BW131" s="4" t="str">
        <f t="shared" ca="1" si="34"/>
        <v>-0.10 (0.00)</v>
      </c>
      <c r="BX131" s="4">
        <f t="shared" ca="1" si="43"/>
        <v>-9.5255727970918136E-2</v>
      </c>
      <c r="BY131" s="4">
        <f t="shared" ca="1" si="35"/>
        <v>1.2314154328321035E-3</v>
      </c>
    </row>
    <row r="132" spans="1:77" x14ac:dyDescent="0.25">
      <c r="A132" t="s">
        <v>184</v>
      </c>
      <c r="B132" s="11">
        <f ca="1">+VLOOKUP($A132,INDIRECT(Adrese!B$2),2,FALSE)</f>
        <v>175</v>
      </c>
      <c r="C132" s="11">
        <f ca="1">+VLOOKUP($A132,INDIRECT(Adrese!C$2),2,FALSE)</f>
        <v>164</v>
      </c>
      <c r="D132" s="11">
        <f ca="1">+VLOOKUP($A132,INDIRECT(Adrese!D$2),2,FALSE)</f>
        <v>152</v>
      </c>
      <c r="E132" s="11">
        <f ca="1">+VLOOKUP($A132,INDIRECT(Adrese!E$2),2,FALSE)</f>
        <v>126</v>
      </c>
      <c r="F132" s="11">
        <f ca="1">+VLOOKUP($A132,INDIRECT(Adrese!F$2),2,FALSE)</f>
        <v>126</v>
      </c>
      <c r="G132" s="4">
        <f t="shared" ca="1" si="36"/>
        <v>148.6</v>
      </c>
      <c r="J132" t="s">
        <v>184</v>
      </c>
      <c r="K132">
        <f ca="1">+VLOOKUP($A132,INDIRECT(Adrese!B$2),3,FALSE)</f>
        <v>77</v>
      </c>
      <c r="L132">
        <f ca="1">+VLOOKUP($A132,INDIRECT(Adrese!C$2),3,FALSE)</f>
        <v>76</v>
      </c>
      <c r="M132">
        <f ca="1">+VLOOKUP($A132,INDIRECT(Adrese!D$2),3,FALSE)</f>
        <v>81</v>
      </c>
      <c r="N132">
        <f ca="1">+VLOOKUP($A132,INDIRECT(Adrese!E$2),3,FALSE)</f>
        <v>84</v>
      </c>
      <c r="O132">
        <f ca="1">+VLOOKUP($A132,INDIRECT(Adrese!F$2),3,FALSE)</f>
        <v>81</v>
      </c>
      <c r="P132">
        <f t="shared" ref="P132:P195" ca="1" si="44">SUM(K132:O132)</f>
        <v>399</v>
      </c>
      <c r="Q132" s="4">
        <f t="shared" ca="1" si="37"/>
        <v>79.8</v>
      </c>
      <c r="R132" s="4"/>
      <c r="T132" t="s">
        <v>184</v>
      </c>
      <c r="U132">
        <f ca="1">+VLOOKUP($T132,INDIRECT(Adrese!B$2),4,FALSE)</f>
        <v>91785</v>
      </c>
      <c r="V132">
        <f ca="1">+VLOOKUP($T132,INDIRECT(Adrese!C$2),4,FALSE)</f>
        <v>92731</v>
      </c>
      <c r="W132">
        <f ca="1">+VLOOKUP($T132,INDIRECT(Adrese!D$2),4,FALSE)</f>
        <v>93395</v>
      </c>
      <c r="X132">
        <f ca="1">+VLOOKUP($T132,INDIRECT(Adrese!E$2),4,FALSE)</f>
        <v>94489</v>
      </c>
      <c r="Y132">
        <f ca="1">+VLOOKUP($T132,INDIRECT(Adrese!F$2),4,FALSE)</f>
        <v>94572</v>
      </c>
      <c r="Z132">
        <f t="shared" ref="Z132:Z195" ca="1" si="45">SUM(U132:Y132)</f>
        <v>466972</v>
      </c>
      <c r="AA132" s="4">
        <f t="shared" ca="1" si="38"/>
        <v>93394.4</v>
      </c>
      <c r="AC132" t="s">
        <v>184</v>
      </c>
      <c r="AD132">
        <f ca="1">+VLOOKUP($A132,INDIRECT(Adrese!B$2),5,FALSE)</f>
        <v>22351</v>
      </c>
      <c r="AE132">
        <f ca="1">+VLOOKUP($A132,INDIRECT(Adrese!C$2),5,FALSE)</f>
        <v>22700</v>
      </c>
      <c r="AF132">
        <f ca="1">+VLOOKUP($A132,INDIRECT(Adrese!D$2),5,FALSE)</f>
        <v>22680</v>
      </c>
      <c r="AG132">
        <f ca="1">+VLOOKUP($A132,INDIRECT(Adrese!E$2),5,FALSE)</f>
        <v>22742</v>
      </c>
      <c r="AH132">
        <f ca="1">+VLOOKUP($A132,INDIRECT(Adrese!F$2),5,FALSE)</f>
        <v>23026</v>
      </c>
      <c r="AI132" s="4">
        <f t="shared" ca="1" si="39"/>
        <v>22699.8</v>
      </c>
      <c r="AJ132" s="4"/>
      <c r="AK132" s="4"/>
      <c r="AM132" t="s">
        <v>184</v>
      </c>
      <c r="AN132" s="4">
        <f ca="1">+VLOOKUP($A132,INDIRECT(Adrese!B$2),6,FALSE)</f>
        <v>0.49219026548672568</v>
      </c>
      <c r="AO132" s="4">
        <f ca="1">+VLOOKUP($A132,INDIRECT(Adrese!C$2),6,FALSE)</f>
        <v>0.50015486725663716</v>
      </c>
      <c r="AP132" s="4">
        <f ca="1">+VLOOKUP($A132,INDIRECT(Adrese!D$2),6,FALSE)</f>
        <v>0.5003539823008849</v>
      </c>
      <c r="AQ132" s="4">
        <f ca="1">+VLOOKUP($A132,INDIRECT(Adrese!E$2),6,FALSE)</f>
        <v>0.50037610619469031</v>
      </c>
      <c r="AR132" s="4">
        <f ca="1">+VLOOKUP($A132,INDIRECT(Adrese!F$2),6,FALSE)</f>
        <v>0.50599557522123895</v>
      </c>
      <c r="AS132" s="4" t="str">
        <f t="shared" ref="AS132:AS195" ca="1" si="46">TEXT(AT132,"0.00")&amp;" ("&amp;TEXT(AU132,"0.00")&amp;")"</f>
        <v>0.50 (0.00)</v>
      </c>
      <c r="AT132" s="4">
        <f t="shared" ca="1" si="40"/>
        <v>0.49981415929203543</v>
      </c>
      <c r="AU132" s="4">
        <f t="shared" ref="AU132:AU195" ca="1" si="47">_xlfn.STDEV.S(AN132:AR132)</f>
        <v>4.9258739012453716E-3</v>
      </c>
      <c r="AW132" t="s">
        <v>184</v>
      </c>
      <c r="AX132" s="4">
        <f ca="1">+VLOOKUP($A132,INDIRECT(Adrese!B$2),7,FALSE)</f>
        <v>0.65929203539823011</v>
      </c>
      <c r="AY132" s="4">
        <f ca="1">+VLOOKUP($A132,INDIRECT(Adrese!C$2),7,FALSE)</f>
        <v>0.66371681415929207</v>
      </c>
      <c r="AZ132" s="4">
        <f ca="1">+VLOOKUP($A132,INDIRECT(Adrese!D$2),7,FALSE)</f>
        <v>0.6415929203539823</v>
      </c>
      <c r="BA132" s="4">
        <f ca="1">+VLOOKUP($A132,INDIRECT(Adrese!E$2),7,FALSE)</f>
        <v>0.62831858407079644</v>
      </c>
      <c r="BB132" s="4">
        <f ca="1">+VLOOKUP($A132,INDIRECT(Adrese!F$2),7,FALSE)</f>
        <v>0.6415929203539823</v>
      </c>
      <c r="BC132" s="4" t="str">
        <f t="shared" ref="BC132:BC195" ca="1" si="48">TEXT(BD132,"0.00")&amp;" ("&amp;TEXT(BE132,"0.00")&amp;")"</f>
        <v>0.65 (0.01)</v>
      </c>
      <c r="BD132">
        <f t="shared" ca="1" si="41"/>
        <v>0.64690265486725662</v>
      </c>
      <c r="BE132" s="4">
        <f t="shared" ref="BE132:BE195" ca="1" si="49">_xlfn.STDEV.S(AX132:BB132)</f>
        <v>1.4473829410439072E-2</v>
      </c>
      <c r="BG132" t="s">
        <v>184</v>
      </c>
      <c r="BH132" s="4">
        <f ca="1">+VLOOKUP($BG132,INDIRECT(Adrese!B$2),8,FALSE)</f>
        <v>7.08369699348044E-2</v>
      </c>
      <c r="BI132" s="4">
        <f ca="1">+VLOOKUP($BG132,INDIRECT(Adrese!C$2),8,FALSE)</f>
        <v>7.1990151269480412E-2</v>
      </c>
      <c r="BJ132" s="4">
        <f ca="1">+VLOOKUP($BG132,INDIRECT(Adrese!D$2),8,FALSE)</f>
        <v>7.1494378769845629E-2</v>
      </c>
      <c r="BK132" s="4">
        <f ca="1">+VLOOKUP($BG132,INDIRECT(Adrese!E$2),8,FALSE)</f>
        <v>7.2635717442843098E-2</v>
      </c>
      <c r="BL132" s="4">
        <f ca="1">+VLOOKUP($BG132,INDIRECT(Adrese!F$2),8,FALSE)</f>
        <v>7.2669132189206592E-2</v>
      </c>
      <c r="BM132" s="4" t="str">
        <f t="shared" ref="BM132:BM195" ca="1" si="50">TEXT(BN132,"0.00")&amp;" ("&amp;TEXT(BO132,"0.00")&amp;")"</f>
        <v>0.07 (0.00)</v>
      </c>
      <c r="BN132" s="4">
        <f t="shared" ca="1" si="42"/>
        <v>7.1925269921236018E-2</v>
      </c>
      <c r="BO132" s="4">
        <f t="shared" ref="BO132:BO195" ca="1" si="51">_xlfn.STDEV.S(BH132:BL132)</f>
        <v>7.7979811310870291E-4</v>
      </c>
      <c r="BQ132" t="s">
        <v>184</v>
      </c>
      <c r="BR132" s="4">
        <f ca="1">+VLOOKUP($BG132,INDIRECT(Adrese!B$2),9,FALSE)</f>
        <v>5.0156495062299841E-2</v>
      </c>
      <c r="BS132" s="4">
        <f ca="1">+VLOOKUP($BG132,INDIRECT(Adrese!C$2),9,FALSE)</f>
        <v>4.4189876554470049E-2</v>
      </c>
      <c r="BT132" s="4">
        <f ca="1">+VLOOKUP($BG132,INDIRECT(Adrese!D$2),9,FALSE)</f>
        <v>4.6363691406357058E-2</v>
      </c>
      <c r="BU132" s="4">
        <f ca="1">+VLOOKUP($BG132,INDIRECT(Adrese!E$2),9,FALSE)</f>
        <v>5.2644649574515402E-2</v>
      </c>
      <c r="BV132" s="4">
        <f ca="1">+VLOOKUP($BG132,INDIRECT(Adrese!F$2),9,FALSE)</f>
        <v>4.1641747603460733E-2</v>
      </c>
      <c r="BW132" s="4" t="str">
        <f t="shared" ref="BW132:BW195" ca="1" si="52">TEXT(BX132,"0.00")&amp;" ("&amp;TEXT(BY132,"0.00")&amp;")"</f>
        <v>0.05 (0.00)</v>
      </c>
      <c r="BX132" s="4">
        <f t="shared" ca="1" si="43"/>
        <v>4.6999292040220617E-2</v>
      </c>
      <c r="BY132" s="4">
        <f t="shared" ref="BY132:BY195" ca="1" si="53">_xlfn.STDEV.S(BR132:BV132)</f>
        <v>4.4395404757093023E-3</v>
      </c>
    </row>
    <row r="133" spans="1:77" x14ac:dyDescent="0.25">
      <c r="A133" t="s">
        <v>185</v>
      </c>
      <c r="B133" s="11">
        <f ca="1">+VLOOKUP($A133,INDIRECT(Adrese!B$2),2,FALSE)</f>
        <v>168</v>
      </c>
      <c r="C133" s="11">
        <f ca="1">+VLOOKUP($A133,INDIRECT(Adrese!C$2),2,FALSE)</f>
        <v>104</v>
      </c>
      <c r="D133" s="11">
        <f ca="1">+VLOOKUP($A133,INDIRECT(Adrese!D$2),2,FALSE)</f>
        <v>134</v>
      </c>
      <c r="E133" s="11">
        <f ca="1">+VLOOKUP($A133,INDIRECT(Adrese!E$2),2,FALSE)</f>
        <v>159</v>
      </c>
      <c r="F133" s="11">
        <f ca="1">+VLOOKUP($A133,INDIRECT(Adrese!F$2),2,FALSE)</f>
        <v>158</v>
      </c>
      <c r="G133" s="4">
        <f t="shared" ca="1" si="36"/>
        <v>144.6</v>
      </c>
      <c r="J133" t="s">
        <v>185</v>
      </c>
      <c r="K133">
        <f ca="1">+VLOOKUP($A133,INDIRECT(Adrese!B$2),3,FALSE)</f>
        <v>51</v>
      </c>
      <c r="L133">
        <f ca="1">+VLOOKUP($A133,INDIRECT(Adrese!C$2),3,FALSE)</f>
        <v>52</v>
      </c>
      <c r="M133">
        <f ca="1">+VLOOKUP($A133,INDIRECT(Adrese!D$2),3,FALSE)</f>
        <v>52</v>
      </c>
      <c r="N133">
        <f ca="1">+VLOOKUP($A133,INDIRECT(Adrese!E$2),3,FALSE)</f>
        <v>53</v>
      </c>
      <c r="O133">
        <f ca="1">+VLOOKUP($A133,INDIRECT(Adrese!F$2),3,FALSE)</f>
        <v>52</v>
      </c>
      <c r="P133">
        <f t="shared" ca="1" si="44"/>
        <v>260</v>
      </c>
      <c r="Q133" s="4">
        <f t="shared" ca="1" si="37"/>
        <v>52</v>
      </c>
      <c r="R133" s="4"/>
      <c r="T133" t="s">
        <v>185</v>
      </c>
      <c r="U133">
        <f ca="1">+VLOOKUP($T133,INDIRECT(Adrese!B$2),4,FALSE)</f>
        <v>92272</v>
      </c>
      <c r="V133">
        <f ca="1">+VLOOKUP($T133,INDIRECT(Adrese!C$2),4,FALSE)</f>
        <v>95376</v>
      </c>
      <c r="W133">
        <f ca="1">+VLOOKUP($T133,INDIRECT(Adrese!D$2),4,FALSE)</f>
        <v>94237</v>
      </c>
      <c r="X133">
        <f ca="1">+VLOOKUP($T133,INDIRECT(Adrese!E$2),4,FALSE)</f>
        <v>92905</v>
      </c>
      <c r="Y133">
        <f ca="1">+VLOOKUP($T133,INDIRECT(Adrese!F$2),4,FALSE)</f>
        <v>93208</v>
      </c>
      <c r="Z133">
        <f t="shared" ca="1" si="45"/>
        <v>467998</v>
      </c>
      <c r="AA133" s="4">
        <f t="shared" ca="1" si="38"/>
        <v>93599.6</v>
      </c>
      <c r="AC133" t="s">
        <v>185</v>
      </c>
      <c r="AD133">
        <f ca="1">+VLOOKUP($A133,INDIRECT(Adrese!B$2),5,FALSE)</f>
        <v>31099</v>
      </c>
      <c r="AE133">
        <f ca="1">+VLOOKUP($A133,INDIRECT(Adrese!C$2),5,FALSE)</f>
        <v>31678</v>
      </c>
      <c r="AF133">
        <f ca="1">+VLOOKUP($A133,INDIRECT(Adrese!D$2),5,FALSE)</f>
        <v>31585</v>
      </c>
      <c r="AG133">
        <f ca="1">+VLOOKUP($A133,INDIRECT(Adrese!E$2),5,FALSE)</f>
        <v>31283</v>
      </c>
      <c r="AH133">
        <f ca="1">+VLOOKUP($A133,INDIRECT(Adrese!F$2),5,FALSE)</f>
        <v>31476</v>
      </c>
      <c r="AI133" s="4">
        <f t="shared" ca="1" si="39"/>
        <v>31424.2</v>
      </c>
      <c r="AJ133" s="4"/>
      <c r="AK133" s="4"/>
      <c r="AM133" t="s">
        <v>185</v>
      </c>
      <c r="AN133" s="4">
        <f ca="1">+VLOOKUP($A133,INDIRECT(Adrese!B$2),6,FALSE)</f>
        <v>0.68442477876106189</v>
      </c>
      <c r="AO133" s="4">
        <f ca="1">+VLOOKUP($A133,INDIRECT(Adrese!C$2),6,FALSE)</f>
        <v>0.69732300884955756</v>
      </c>
      <c r="AP133" s="4">
        <f ca="1">+VLOOKUP($A133,INDIRECT(Adrese!D$2),6,FALSE)</f>
        <v>0.69504424778761065</v>
      </c>
      <c r="AQ133" s="4">
        <f ca="1">+VLOOKUP($A133,INDIRECT(Adrese!E$2),6,FALSE)</f>
        <v>0.68836283185840708</v>
      </c>
      <c r="AR133" s="4">
        <f ca="1">+VLOOKUP($A133,INDIRECT(Adrese!F$2),6,FALSE)</f>
        <v>0.69274336283185844</v>
      </c>
      <c r="AS133" s="4" t="str">
        <f t="shared" ca="1" si="46"/>
        <v>0.69 (0.01)</v>
      </c>
      <c r="AT133" s="4">
        <f t="shared" ca="1" si="40"/>
        <v>0.69157964601769917</v>
      </c>
      <c r="AU133" s="4">
        <f t="shared" ca="1" si="47"/>
        <v>5.1933596462580348E-3</v>
      </c>
      <c r="AW133" t="s">
        <v>185</v>
      </c>
      <c r="AX133" s="4">
        <f ca="1">+VLOOKUP($A133,INDIRECT(Adrese!B$2),7,FALSE)</f>
        <v>0.77433628318584069</v>
      </c>
      <c r="AY133" s="4">
        <f ca="1">+VLOOKUP($A133,INDIRECT(Adrese!C$2),7,FALSE)</f>
        <v>0.76991150442477874</v>
      </c>
      <c r="AZ133" s="4">
        <f ca="1">+VLOOKUP($A133,INDIRECT(Adrese!D$2),7,FALSE)</f>
        <v>0.76991150442477874</v>
      </c>
      <c r="BA133" s="4">
        <f ca="1">+VLOOKUP($A133,INDIRECT(Adrese!E$2),7,FALSE)</f>
        <v>0.76548672566371678</v>
      </c>
      <c r="BB133" s="4">
        <f ca="1">+VLOOKUP($A133,INDIRECT(Adrese!F$2),7,FALSE)</f>
        <v>0.76991150442477874</v>
      </c>
      <c r="BC133" s="4" t="str">
        <f t="shared" ca="1" si="48"/>
        <v>0.77 (0.00)</v>
      </c>
      <c r="BD133">
        <f t="shared" ca="1" si="41"/>
        <v>0.76991150442477874</v>
      </c>
      <c r="BE133" s="4">
        <f t="shared" ca="1" si="49"/>
        <v>3.1287910671971178E-3</v>
      </c>
      <c r="BG133" t="s">
        <v>185</v>
      </c>
      <c r="BH133" s="4">
        <f ca="1">+VLOOKUP($BG133,INDIRECT(Adrese!B$2),8,FALSE)</f>
        <v>9.1417018214679069E-2</v>
      </c>
      <c r="BI133" s="4">
        <f ca="1">+VLOOKUP($BG133,INDIRECT(Adrese!C$2),8,FALSE)</f>
        <v>9.3383110310803513E-2</v>
      </c>
      <c r="BJ133" s="4">
        <f ca="1">+VLOOKUP($BG133,INDIRECT(Adrese!D$2),8,FALSE)</f>
        <v>9.3086487177088742E-2</v>
      </c>
      <c r="BK133" s="4">
        <f ca="1">+VLOOKUP($BG133,INDIRECT(Adrese!E$2),8,FALSE)</f>
        <v>9.220268864297039E-2</v>
      </c>
      <c r="BL133" s="4">
        <f ca="1">+VLOOKUP($BG133,INDIRECT(Adrese!F$2),8,FALSE)</f>
        <v>9.3015522326859904E-2</v>
      </c>
      <c r="BM133" s="4" t="str">
        <f t="shared" ca="1" si="50"/>
        <v>0.09 (0.00)</v>
      </c>
      <c r="BN133" s="4">
        <f t="shared" ca="1" si="42"/>
        <v>9.2620965334480318E-2</v>
      </c>
      <c r="BO133" s="4">
        <f t="shared" ca="1" si="51"/>
        <v>8.0276005584702342E-4</v>
      </c>
      <c r="BQ133" t="s">
        <v>185</v>
      </c>
      <c r="BR133" s="4">
        <f ca="1">+VLOOKUP($BG133,INDIRECT(Adrese!B$2),9,FALSE)</f>
        <v>-3.2798827760798073E-2</v>
      </c>
      <c r="BS133" s="4">
        <f ca="1">+VLOOKUP($BG133,INDIRECT(Adrese!C$2),9,FALSE)</f>
        <v>-3.59600172593149E-2</v>
      </c>
      <c r="BT133" s="4">
        <f ca="1">+VLOOKUP($BG133,INDIRECT(Adrese!D$2),9,FALSE)</f>
        <v>-3.4116366901977078E-2</v>
      </c>
      <c r="BU133" s="4">
        <f ca="1">+VLOOKUP($BG133,INDIRECT(Adrese!E$2),9,FALSE)</f>
        <v>-3.2586860297148558E-2</v>
      </c>
      <c r="BV133" s="4">
        <f ca="1">+VLOOKUP($BG133,INDIRECT(Adrese!F$2),9,FALSE)</f>
        <v>-3.2205457327362623E-2</v>
      </c>
      <c r="BW133" s="4" t="str">
        <f t="shared" ca="1" si="52"/>
        <v>-0.03 (0.00)</v>
      </c>
      <c r="BX133" s="4">
        <f t="shared" ca="1" si="43"/>
        <v>-3.3533505909320249E-2</v>
      </c>
      <c r="BY133" s="4">
        <f t="shared" ca="1" si="53"/>
        <v>1.5351943852012126E-3</v>
      </c>
    </row>
    <row r="134" spans="1:77" x14ac:dyDescent="0.25">
      <c r="A134" t="s">
        <v>186</v>
      </c>
      <c r="B134" s="11">
        <f ca="1">+VLOOKUP($A134,INDIRECT(Adrese!B$2),2,FALSE)</f>
        <v>75</v>
      </c>
      <c r="C134" s="11">
        <f ca="1">+VLOOKUP($A134,INDIRECT(Adrese!C$2),2,FALSE)</f>
        <v>131</v>
      </c>
      <c r="D134" s="11">
        <f ca="1">+VLOOKUP($A134,INDIRECT(Adrese!D$2),2,FALSE)</f>
        <v>117</v>
      </c>
      <c r="E134" s="11">
        <f ca="1">+VLOOKUP($A134,INDIRECT(Adrese!E$2),2,FALSE)</f>
        <v>142</v>
      </c>
      <c r="F134" s="11">
        <f ca="1">+VLOOKUP($A134,INDIRECT(Adrese!F$2),2,FALSE)</f>
        <v>121</v>
      </c>
      <c r="G134" s="4">
        <f t="shared" ca="1" si="36"/>
        <v>117.2</v>
      </c>
      <c r="J134" t="s">
        <v>186</v>
      </c>
      <c r="K134">
        <f ca="1">+VLOOKUP($A134,INDIRECT(Adrese!B$2),3,FALSE)</f>
        <v>97</v>
      </c>
      <c r="L134">
        <f ca="1">+VLOOKUP($A134,INDIRECT(Adrese!C$2),3,FALSE)</f>
        <v>99</v>
      </c>
      <c r="M134">
        <f ca="1">+VLOOKUP($A134,INDIRECT(Adrese!D$2),3,FALSE)</f>
        <v>96</v>
      </c>
      <c r="N134">
        <f ca="1">+VLOOKUP($A134,INDIRECT(Adrese!E$2),3,FALSE)</f>
        <v>96</v>
      </c>
      <c r="O134">
        <f ca="1">+VLOOKUP($A134,INDIRECT(Adrese!F$2),3,FALSE)</f>
        <v>102</v>
      </c>
      <c r="P134">
        <f t="shared" ca="1" si="44"/>
        <v>490</v>
      </c>
      <c r="Q134" s="4">
        <f t="shared" ca="1" si="37"/>
        <v>98</v>
      </c>
      <c r="R134" s="4"/>
      <c r="T134" t="s">
        <v>186</v>
      </c>
      <c r="U134">
        <f ca="1">+VLOOKUP($T134,INDIRECT(Adrese!B$2),4,FALSE)</f>
        <v>96481</v>
      </c>
      <c r="V134">
        <f ca="1">+VLOOKUP($T134,INDIRECT(Adrese!C$2),4,FALSE)</f>
        <v>94297</v>
      </c>
      <c r="W134">
        <f ca="1">+VLOOKUP($T134,INDIRECT(Adrese!D$2),4,FALSE)</f>
        <v>94959</v>
      </c>
      <c r="X134">
        <f ca="1">+VLOOKUP($T134,INDIRECT(Adrese!E$2),4,FALSE)</f>
        <v>94042</v>
      </c>
      <c r="Y134">
        <f ca="1">+VLOOKUP($T134,INDIRECT(Adrese!F$2),4,FALSE)</f>
        <v>94777</v>
      </c>
      <c r="Z134">
        <f t="shared" ca="1" si="45"/>
        <v>474556</v>
      </c>
      <c r="AA134" s="4">
        <f t="shared" ca="1" si="38"/>
        <v>94911.2</v>
      </c>
      <c r="AC134" t="s">
        <v>186</v>
      </c>
      <c r="AD134">
        <f ca="1">+VLOOKUP($A134,INDIRECT(Adrese!B$2),5,FALSE)</f>
        <v>21947</v>
      </c>
      <c r="AE134">
        <f ca="1">+VLOOKUP($A134,INDIRECT(Adrese!C$2),5,FALSE)</f>
        <v>21219</v>
      </c>
      <c r="AF134">
        <f ca="1">+VLOOKUP($A134,INDIRECT(Adrese!D$2),5,FALSE)</f>
        <v>21321</v>
      </c>
      <c r="AG134">
        <f ca="1">+VLOOKUP($A134,INDIRECT(Adrese!E$2),5,FALSE)</f>
        <v>21156</v>
      </c>
      <c r="AH134">
        <f ca="1">+VLOOKUP($A134,INDIRECT(Adrese!F$2),5,FALSE)</f>
        <v>21345</v>
      </c>
      <c r="AI134" s="4">
        <f t="shared" ca="1" si="39"/>
        <v>21397.599999999999</v>
      </c>
      <c r="AJ134" s="4"/>
      <c r="AK134" s="4"/>
      <c r="AM134" t="s">
        <v>186</v>
      </c>
      <c r="AN134" s="4">
        <f ca="1">+VLOOKUP($A134,INDIRECT(Adrese!B$2),6,FALSE)</f>
        <v>0.48356194690265492</v>
      </c>
      <c r="AO134" s="4">
        <f ca="1">+VLOOKUP($A134,INDIRECT(Adrese!C$2),6,FALSE)</f>
        <v>0.46727876106194688</v>
      </c>
      <c r="AP134" s="4">
        <f ca="1">+VLOOKUP($A134,INDIRECT(Adrese!D$2),6,FALSE)</f>
        <v>0.4691150442477876</v>
      </c>
      <c r="AQ134" s="4">
        <f ca="1">+VLOOKUP($A134,INDIRECT(Adrese!E$2),6,FALSE)</f>
        <v>0.46564159292035401</v>
      </c>
      <c r="AR134" s="4">
        <f ca="1">+VLOOKUP($A134,INDIRECT(Adrese!F$2),6,FALSE)</f>
        <v>0.4695132743362832</v>
      </c>
      <c r="AS134" s="4" t="str">
        <f t="shared" ca="1" si="46"/>
        <v>0.47 (0.01)</v>
      </c>
      <c r="AT134" s="4">
        <f t="shared" ca="1" si="40"/>
        <v>0.47102212389380532</v>
      </c>
      <c r="AU134" s="4">
        <f t="shared" ca="1" si="47"/>
        <v>7.1785029724861791E-3</v>
      </c>
      <c r="AW134" t="s">
        <v>186</v>
      </c>
      <c r="AX134" s="4">
        <f ca="1">+VLOOKUP($A134,INDIRECT(Adrese!B$2),7,FALSE)</f>
        <v>0.57079646017699115</v>
      </c>
      <c r="AY134" s="4">
        <f ca="1">+VLOOKUP($A134,INDIRECT(Adrese!C$2),7,FALSE)</f>
        <v>0.56194690265486724</v>
      </c>
      <c r="AZ134" s="4">
        <f ca="1">+VLOOKUP($A134,INDIRECT(Adrese!D$2),7,FALSE)</f>
        <v>0.5752212389380531</v>
      </c>
      <c r="BA134" s="4">
        <f ca="1">+VLOOKUP($A134,INDIRECT(Adrese!E$2),7,FALSE)</f>
        <v>0.5752212389380531</v>
      </c>
      <c r="BB134" s="4">
        <f ca="1">+VLOOKUP($A134,INDIRECT(Adrese!F$2),7,FALSE)</f>
        <v>0.54867256637168138</v>
      </c>
      <c r="BC134" s="4" t="str">
        <f t="shared" ca="1" si="48"/>
        <v>0.57 (0.01)</v>
      </c>
      <c r="BD134">
        <f t="shared" ca="1" si="41"/>
        <v>0.5663716814159292</v>
      </c>
      <c r="BE134" s="4">
        <f t="shared" ca="1" si="49"/>
        <v>1.1281016622992903E-2</v>
      </c>
      <c r="BG134" t="s">
        <v>186</v>
      </c>
      <c r="BH134" s="4">
        <f ca="1">+VLOOKUP($BG134,INDIRECT(Adrese!B$2),8,FALSE)</f>
        <v>7.0597246313421277E-2</v>
      </c>
      <c r="BI134" s="4">
        <f ca="1">+VLOOKUP($BG134,INDIRECT(Adrese!C$2),8,FALSE)</f>
        <v>6.836723718840193E-2</v>
      </c>
      <c r="BJ134" s="4">
        <f ca="1">+VLOOKUP($BG134,INDIRECT(Adrese!D$2),8,FALSE)</f>
        <v>6.8831103341356059E-2</v>
      </c>
      <c r="BK134" s="4">
        <f ca="1">+VLOOKUP($BG134,INDIRECT(Adrese!E$2),8,FALSE)</f>
        <v>6.8339235453331079E-2</v>
      </c>
      <c r="BL134" s="4">
        <f ca="1">+VLOOKUP($BG134,INDIRECT(Adrese!F$2),8,FALSE)</f>
        <v>6.8680082676936025E-2</v>
      </c>
      <c r="BM134" s="4" t="str">
        <f t="shared" ca="1" si="50"/>
        <v>0.07 (0.00)</v>
      </c>
      <c r="BN134" s="4">
        <f t="shared" ca="1" si="42"/>
        <v>6.8962980994689282E-2</v>
      </c>
      <c r="BO134" s="4">
        <f t="shared" ca="1" si="51"/>
        <v>9.3704528822523704E-4</v>
      </c>
      <c r="BQ134" t="s">
        <v>186</v>
      </c>
      <c r="BR134" s="4">
        <f ca="1">+VLOOKUP($BG134,INDIRECT(Adrese!B$2),9,FALSE)</f>
        <v>6.5399928024282905E-2</v>
      </c>
      <c r="BS134" s="4">
        <f ca="1">+VLOOKUP($BG134,INDIRECT(Adrese!C$2),9,FALSE)</f>
        <v>7.0096058148819945E-2</v>
      </c>
      <c r="BT134" s="4">
        <f ca="1">+VLOOKUP($BG134,INDIRECT(Adrese!D$2),9,FALSE)</f>
        <v>6.7678778485790528E-2</v>
      </c>
      <c r="BU134" s="4">
        <f ca="1">+VLOOKUP($BG134,INDIRECT(Adrese!E$2),9,FALSE)</f>
        <v>7.0898216601980313E-2</v>
      </c>
      <c r="BV134" s="4">
        <f ca="1">+VLOOKUP($BG134,INDIRECT(Adrese!F$2),9,FALSE)</f>
        <v>6.6404867409080637E-2</v>
      </c>
      <c r="BW134" s="4" t="str">
        <f t="shared" ca="1" si="52"/>
        <v>0.07 (0.00)</v>
      </c>
      <c r="BX134" s="4">
        <f t="shared" ca="1" si="43"/>
        <v>6.8095569733990863E-2</v>
      </c>
      <c r="BY134" s="4">
        <f t="shared" ca="1" si="53"/>
        <v>2.3534791738863406E-3</v>
      </c>
    </row>
    <row r="135" spans="1:77" x14ac:dyDescent="0.25">
      <c r="A135" t="s">
        <v>187</v>
      </c>
      <c r="B135" s="11">
        <f ca="1">+VLOOKUP($A135,INDIRECT(Adrese!B$2),2,FALSE)</f>
        <v>112</v>
      </c>
      <c r="C135" s="11">
        <f ca="1">+VLOOKUP($A135,INDIRECT(Adrese!C$2),2,FALSE)</f>
        <v>100</v>
      </c>
      <c r="D135" s="11">
        <f ca="1">+VLOOKUP($A135,INDIRECT(Adrese!D$2),2,FALSE)</f>
        <v>93</v>
      </c>
      <c r="E135" s="11">
        <f ca="1">+VLOOKUP($A135,INDIRECT(Adrese!E$2),2,FALSE)</f>
        <v>119</v>
      </c>
      <c r="F135" s="11">
        <f ca="1">+VLOOKUP($A135,INDIRECT(Adrese!F$2),2,FALSE)</f>
        <v>107</v>
      </c>
      <c r="G135" s="4">
        <f t="shared" ca="1" si="36"/>
        <v>106.2</v>
      </c>
      <c r="J135" t="s">
        <v>187</v>
      </c>
      <c r="K135">
        <f ca="1">+VLOOKUP($A135,INDIRECT(Adrese!B$2),3,FALSE)</f>
        <v>97</v>
      </c>
      <c r="L135">
        <f ca="1">+VLOOKUP($A135,INDIRECT(Adrese!C$2),3,FALSE)</f>
        <v>101</v>
      </c>
      <c r="M135">
        <f ca="1">+VLOOKUP($A135,INDIRECT(Adrese!D$2),3,FALSE)</f>
        <v>103</v>
      </c>
      <c r="N135">
        <f ca="1">+VLOOKUP($A135,INDIRECT(Adrese!E$2),3,FALSE)</f>
        <v>101</v>
      </c>
      <c r="O135">
        <f ca="1">+VLOOKUP($A135,INDIRECT(Adrese!F$2),3,FALSE)</f>
        <v>91</v>
      </c>
      <c r="P135">
        <f t="shared" ca="1" si="44"/>
        <v>493</v>
      </c>
      <c r="Q135" s="4">
        <f t="shared" ca="1" si="37"/>
        <v>98.6</v>
      </c>
      <c r="R135" s="4"/>
      <c r="T135" t="s">
        <v>187</v>
      </c>
      <c r="U135">
        <f ca="1">+VLOOKUP($T135,INDIRECT(Adrese!B$2),4,FALSE)</f>
        <v>94996</v>
      </c>
      <c r="V135">
        <f ca="1">+VLOOKUP($T135,INDIRECT(Adrese!C$2),4,FALSE)</f>
        <v>95550</v>
      </c>
      <c r="W135">
        <f ca="1">+VLOOKUP($T135,INDIRECT(Adrese!D$2),4,FALSE)</f>
        <v>95982</v>
      </c>
      <c r="X135">
        <f ca="1">+VLOOKUP($T135,INDIRECT(Adrese!E$2),4,FALSE)</f>
        <v>94760</v>
      </c>
      <c r="Y135">
        <f ca="1">+VLOOKUP($T135,INDIRECT(Adrese!F$2),4,FALSE)</f>
        <v>95252</v>
      </c>
      <c r="Z135">
        <f t="shared" ca="1" si="45"/>
        <v>476540</v>
      </c>
      <c r="AA135" s="4">
        <f t="shared" ca="1" si="38"/>
        <v>95308</v>
      </c>
      <c r="AC135" t="s">
        <v>187</v>
      </c>
      <c r="AD135">
        <f ca="1">+VLOOKUP($A135,INDIRECT(Adrese!B$2),5,FALSE)</f>
        <v>21380</v>
      </c>
      <c r="AE135">
        <f ca="1">+VLOOKUP($A135,INDIRECT(Adrese!C$2),5,FALSE)</f>
        <v>21704</v>
      </c>
      <c r="AF135">
        <f ca="1">+VLOOKUP($A135,INDIRECT(Adrese!D$2),5,FALSE)</f>
        <v>21708</v>
      </c>
      <c r="AG135">
        <f ca="1">+VLOOKUP($A135,INDIRECT(Adrese!E$2),5,FALSE)</f>
        <v>21136</v>
      </c>
      <c r="AH135">
        <f ca="1">+VLOOKUP($A135,INDIRECT(Adrese!F$2),5,FALSE)</f>
        <v>21446</v>
      </c>
      <c r="AI135" s="4">
        <f t="shared" ca="1" si="39"/>
        <v>21474.799999999999</v>
      </c>
      <c r="AJ135" s="4"/>
      <c r="AK135" s="4"/>
      <c r="AM135" t="s">
        <v>187</v>
      </c>
      <c r="AN135" s="4">
        <f ca="1">+VLOOKUP($A135,INDIRECT(Adrese!B$2),6,FALSE)</f>
        <v>0.47015486725663719</v>
      </c>
      <c r="AO135" s="4">
        <f ca="1">+VLOOKUP($A135,INDIRECT(Adrese!C$2),6,FALSE)</f>
        <v>0.47754424778761062</v>
      </c>
      <c r="AP135" s="4">
        <f ca="1">+VLOOKUP($A135,INDIRECT(Adrese!D$2),6,FALSE)</f>
        <v>0.47794247787610622</v>
      </c>
      <c r="AQ135" s="4">
        <f ca="1">+VLOOKUP($A135,INDIRECT(Adrese!E$2),6,FALSE)</f>
        <v>0.46577433628318582</v>
      </c>
      <c r="AR135" s="4">
        <f ca="1">+VLOOKUP($A135,INDIRECT(Adrese!F$2),6,FALSE)</f>
        <v>0.47227876106194688</v>
      </c>
      <c r="AS135" s="4" t="str">
        <f t="shared" ca="1" si="46"/>
        <v>0.47 (0.01)</v>
      </c>
      <c r="AT135" s="4">
        <f t="shared" ca="1" si="40"/>
        <v>0.47273893805309736</v>
      </c>
      <c r="AU135" s="4">
        <f t="shared" ca="1" si="47"/>
        <v>5.1371852918695796E-3</v>
      </c>
      <c r="AW135" t="s">
        <v>187</v>
      </c>
      <c r="AX135" s="4">
        <f ca="1">+VLOOKUP($A135,INDIRECT(Adrese!B$2),7,FALSE)</f>
        <v>0.57079646017699115</v>
      </c>
      <c r="AY135" s="4">
        <f ca="1">+VLOOKUP($A135,INDIRECT(Adrese!C$2),7,FALSE)</f>
        <v>0.55309734513274333</v>
      </c>
      <c r="AZ135" s="4">
        <f ca="1">+VLOOKUP($A135,INDIRECT(Adrese!D$2),7,FALSE)</f>
        <v>0.54424778761061943</v>
      </c>
      <c r="BA135" s="4">
        <f ca="1">+VLOOKUP($A135,INDIRECT(Adrese!E$2),7,FALSE)</f>
        <v>0.55309734513274333</v>
      </c>
      <c r="BB135" s="4">
        <f ca="1">+VLOOKUP($A135,INDIRECT(Adrese!F$2),7,FALSE)</f>
        <v>0.59734513274336287</v>
      </c>
      <c r="BC135" s="4" t="str">
        <f t="shared" ca="1" si="48"/>
        <v>0.56 (0.02)</v>
      </c>
      <c r="BD135">
        <f t="shared" ca="1" si="41"/>
        <v>0.56371681415929209</v>
      </c>
      <c r="BE135" s="4">
        <f t="shared" ca="1" si="49"/>
        <v>2.1128029002324498E-2</v>
      </c>
      <c r="BG135" t="s">
        <v>187</v>
      </c>
      <c r="BH135" s="4">
        <f ca="1">+VLOOKUP($BG135,INDIRECT(Adrese!B$2),8,FALSE)</f>
        <v>6.8921116705580793E-2</v>
      </c>
      <c r="BI135" s="4">
        <f ca="1">+VLOOKUP($BG135,INDIRECT(Adrese!C$2),8,FALSE)</f>
        <v>7.0743287769470878E-2</v>
      </c>
      <c r="BJ135" s="4">
        <f ca="1">+VLOOKUP($BG135,INDIRECT(Adrese!D$2),8,FALSE)</f>
        <v>6.9959970413852435E-2</v>
      </c>
      <c r="BK135" s="4">
        <f ca="1">+VLOOKUP($BG135,INDIRECT(Adrese!E$2),8,FALSE)</f>
        <v>6.8416970181932948E-2</v>
      </c>
      <c r="BL135" s="4">
        <f ca="1">+VLOOKUP($BG135,INDIRECT(Adrese!F$2),8,FALSE)</f>
        <v>6.9426704955369151E-2</v>
      </c>
      <c r="BM135" s="4" t="str">
        <f t="shared" ca="1" si="50"/>
        <v>0.07 (0.00)</v>
      </c>
      <c r="BN135" s="4">
        <f t="shared" ca="1" si="42"/>
        <v>6.9493610005241235E-2</v>
      </c>
      <c r="BO135" s="4">
        <f t="shared" ca="1" si="51"/>
        <v>9.0423513508901406E-4</v>
      </c>
      <c r="BQ135" t="s">
        <v>187</v>
      </c>
      <c r="BR135" s="4">
        <f ca="1">+VLOOKUP($BG135,INDIRECT(Adrese!B$2),9,FALSE)</f>
        <v>6.9274286416878231E-2</v>
      </c>
      <c r="BS135" s="4">
        <f ca="1">+VLOOKUP($BG135,INDIRECT(Adrese!C$2),9,FALSE)</f>
        <v>6.865343509499236E-2</v>
      </c>
      <c r="BT135" s="4">
        <f ca="1">+VLOOKUP($BG135,INDIRECT(Adrese!D$2),9,FALSE)</f>
        <v>6.5630598316695085E-2</v>
      </c>
      <c r="BU135" s="4">
        <f ca="1">+VLOOKUP($BG135,INDIRECT(Adrese!E$2),9,FALSE)</f>
        <v>7.1891758145727666E-2</v>
      </c>
      <c r="BV135" s="4">
        <f ca="1">+VLOOKUP($BG135,INDIRECT(Adrese!F$2),9,FALSE)</f>
        <v>6.5343137117898048E-2</v>
      </c>
      <c r="BW135" s="4" t="str">
        <f t="shared" ca="1" si="52"/>
        <v>0.07 (0.00)</v>
      </c>
      <c r="BX135" s="4">
        <f t="shared" ca="1" si="43"/>
        <v>6.8158643018438284E-2</v>
      </c>
      <c r="BY135" s="4">
        <f t="shared" ca="1" si="53"/>
        <v>2.7268897775253446E-3</v>
      </c>
    </row>
    <row r="136" spans="1:77" x14ac:dyDescent="0.25">
      <c r="A136" t="s">
        <v>188</v>
      </c>
      <c r="B136" s="11">
        <f ca="1">+VLOOKUP($A136,INDIRECT(Adrese!B$2),2,FALSE)</f>
        <v>180</v>
      </c>
      <c r="C136" s="11">
        <f ca="1">+VLOOKUP($A136,INDIRECT(Adrese!C$2),2,FALSE)</f>
        <v>206</v>
      </c>
      <c r="D136" s="11">
        <f ca="1">+VLOOKUP($A136,INDIRECT(Adrese!D$2),2,FALSE)</f>
        <v>189</v>
      </c>
      <c r="E136" s="11">
        <f ca="1">+VLOOKUP($A136,INDIRECT(Adrese!E$2),2,FALSE)</f>
        <v>190</v>
      </c>
      <c r="F136" s="11">
        <f ca="1">+VLOOKUP($A136,INDIRECT(Adrese!F$2),2,FALSE)</f>
        <v>177</v>
      </c>
      <c r="G136" s="4">
        <f t="shared" ca="1" si="36"/>
        <v>188.4</v>
      </c>
      <c r="J136" t="s">
        <v>188</v>
      </c>
      <c r="K136">
        <f ca="1">+VLOOKUP($A136,INDIRECT(Adrese!B$2),3,FALSE)</f>
        <v>58</v>
      </c>
      <c r="L136">
        <f ca="1">+VLOOKUP($A136,INDIRECT(Adrese!C$2),3,FALSE)</f>
        <v>44</v>
      </c>
      <c r="M136">
        <f ca="1">+VLOOKUP($A136,INDIRECT(Adrese!D$2),3,FALSE)</f>
        <v>44</v>
      </c>
      <c r="N136">
        <f ca="1">+VLOOKUP($A136,INDIRECT(Adrese!E$2),3,FALSE)</f>
        <v>57</v>
      </c>
      <c r="O136">
        <f ca="1">+VLOOKUP($A136,INDIRECT(Adrese!F$2),3,FALSE)</f>
        <v>53</v>
      </c>
      <c r="P136">
        <f t="shared" ca="1" si="44"/>
        <v>256</v>
      </c>
      <c r="Q136" s="4">
        <f t="shared" ca="1" si="37"/>
        <v>51.2</v>
      </c>
      <c r="R136" s="4"/>
      <c r="T136" t="s">
        <v>188</v>
      </c>
      <c r="U136">
        <f ca="1">+VLOOKUP($T136,INDIRECT(Adrese!B$2),4,FALSE)</f>
        <v>91296</v>
      </c>
      <c r="V136">
        <f ca="1">+VLOOKUP($T136,INDIRECT(Adrese!C$2),4,FALSE)</f>
        <v>88135</v>
      </c>
      <c r="W136">
        <f ca="1">+VLOOKUP($T136,INDIRECT(Adrese!D$2),4,FALSE)</f>
        <v>89617</v>
      </c>
      <c r="X136">
        <f ca="1">+VLOOKUP($T136,INDIRECT(Adrese!E$2),4,FALSE)</f>
        <v>89817</v>
      </c>
      <c r="Y136">
        <f ca="1">+VLOOKUP($T136,INDIRECT(Adrese!F$2),4,FALSE)</f>
        <v>91471</v>
      </c>
      <c r="Z136">
        <f t="shared" ca="1" si="45"/>
        <v>450336</v>
      </c>
      <c r="AA136" s="4">
        <f t="shared" ca="1" si="38"/>
        <v>90067.199999999997</v>
      </c>
      <c r="AC136" t="s">
        <v>188</v>
      </c>
      <c r="AD136">
        <f ca="1">+VLOOKUP($A136,INDIRECT(Adrese!B$2),5,FALSE)</f>
        <v>33647</v>
      </c>
      <c r="AE136">
        <f ca="1">+VLOOKUP($A136,INDIRECT(Adrese!C$2),5,FALSE)</f>
        <v>35207</v>
      </c>
      <c r="AF136">
        <f ca="1">+VLOOKUP($A136,INDIRECT(Adrese!D$2),5,FALSE)</f>
        <v>34929</v>
      </c>
      <c r="AG136">
        <f ca="1">+VLOOKUP($A136,INDIRECT(Adrese!E$2),5,FALSE)</f>
        <v>32632</v>
      </c>
      <c r="AH136">
        <f ca="1">+VLOOKUP($A136,INDIRECT(Adrese!F$2),5,FALSE)</f>
        <v>33273</v>
      </c>
      <c r="AI136" s="4">
        <f t="shared" ca="1" si="39"/>
        <v>33937.599999999999</v>
      </c>
      <c r="AJ136" s="4"/>
      <c r="AK136" s="4"/>
      <c r="AM136" t="s">
        <v>188</v>
      </c>
      <c r="AN136" s="4">
        <f ca="1">+VLOOKUP($A136,INDIRECT(Adrese!B$2),6,FALSE)</f>
        <v>0.74048672566371676</v>
      </c>
      <c r="AO136" s="4">
        <f ca="1">+VLOOKUP($A136,INDIRECT(Adrese!C$2),6,FALSE)</f>
        <v>0.77650442477876103</v>
      </c>
      <c r="AP136" s="4">
        <f ca="1">+VLOOKUP($A136,INDIRECT(Adrese!D$2),6,FALSE)</f>
        <v>0.77035398230088492</v>
      </c>
      <c r="AQ136" s="4">
        <f ca="1">+VLOOKUP($A136,INDIRECT(Adrese!E$2),6,FALSE)</f>
        <v>0.71789823008849563</v>
      </c>
      <c r="AR136" s="4">
        <f ca="1">+VLOOKUP($A136,INDIRECT(Adrese!F$2),6,FALSE)</f>
        <v>0.73373893805309731</v>
      </c>
      <c r="AS136" s="4" t="str">
        <f t="shared" ca="1" si="46"/>
        <v>0.75 (0.02)</v>
      </c>
      <c r="AT136" s="4">
        <f t="shared" ca="1" si="40"/>
        <v>0.74779646017699108</v>
      </c>
      <c r="AU136" s="4">
        <f t="shared" ca="1" si="47"/>
        <v>2.4889452310614266E-2</v>
      </c>
      <c r="AW136" t="s">
        <v>188</v>
      </c>
      <c r="AX136" s="4">
        <f ca="1">+VLOOKUP($A136,INDIRECT(Adrese!B$2),7,FALSE)</f>
        <v>0.74336283185840712</v>
      </c>
      <c r="AY136" s="4">
        <f ca="1">+VLOOKUP($A136,INDIRECT(Adrese!C$2),7,FALSE)</f>
        <v>0.80530973451327437</v>
      </c>
      <c r="AZ136" s="4">
        <f ca="1">+VLOOKUP($A136,INDIRECT(Adrese!D$2),7,FALSE)</f>
        <v>0.80530973451327437</v>
      </c>
      <c r="BA136" s="4">
        <f ca="1">+VLOOKUP($A136,INDIRECT(Adrese!E$2),7,FALSE)</f>
        <v>0.74778761061946908</v>
      </c>
      <c r="BB136" s="4">
        <f ca="1">+VLOOKUP($A136,INDIRECT(Adrese!F$2),7,FALSE)</f>
        <v>0.76548672566371678</v>
      </c>
      <c r="BC136" s="4" t="str">
        <f t="shared" ca="1" si="48"/>
        <v>0.77 (0.03)</v>
      </c>
      <c r="BD136">
        <f t="shared" ca="1" si="41"/>
        <v>0.77345132743362832</v>
      </c>
      <c r="BE136" s="4">
        <f t="shared" ca="1" si="49"/>
        <v>3.0237786837645813E-2</v>
      </c>
      <c r="BG136" t="s">
        <v>188</v>
      </c>
      <c r="BH136" s="4">
        <f ca="1">+VLOOKUP($BG136,INDIRECT(Adrese!B$2),8,FALSE)</f>
        <v>9.2684091440324703E-2</v>
      </c>
      <c r="BI136" s="4">
        <f ca="1">+VLOOKUP($BG136,INDIRECT(Adrese!C$2),8,FALSE)</f>
        <v>9.8853502261780565E-2</v>
      </c>
      <c r="BJ136" s="4">
        <f ca="1">+VLOOKUP($BG136,INDIRECT(Adrese!D$2),8,FALSE)</f>
        <v>9.5743177827490922E-2</v>
      </c>
      <c r="BK136" s="4">
        <f ca="1">+VLOOKUP($BG136,INDIRECT(Adrese!E$2),8,FALSE)</f>
        <v>9.2454935126665749E-2</v>
      </c>
      <c r="BL136" s="4">
        <f ca="1">+VLOOKUP($BG136,INDIRECT(Adrese!F$2),8,FALSE)</f>
        <v>9.0573931349593115E-2</v>
      </c>
      <c r="BM136" s="4" t="str">
        <f t="shared" ca="1" si="50"/>
        <v>0.09 (0.00)</v>
      </c>
      <c r="BN136" s="4">
        <f t="shared" ca="1" si="42"/>
        <v>9.4061927601171019E-2</v>
      </c>
      <c r="BO136" s="4">
        <f t="shared" ca="1" si="51"/>
        <v>3.2570218452587173E-3</v>
      </c>
      <c r="BQ136" t="s">
        <v>188</v>
      </c>
      <c r="BR136" s="4">
        <f ca="1">+VLOOKUP($BG136,INDIRECT(Adrese!B$2),9,FALSE)</f>
        <v>-6.9046134364969702E-2</v>
      </c>
      <c r="BS136" s="4">
        <f ca="1">+VLOOKUP($BG136,INDIRECT(Adrese!C$2),9,FALSE)</f>
        <v>-6.4191502370106707E-2</v>
      </c>
      <c r="BT136" s="4">
        <f ca="1">+VLOOKUP($BG136,INDIRECT(Adrese!D$2),9,FALSE)</f>
        <v>-8.1459745901726152E-2</v>
      </c>
      <c r="BU136" s="4">
        <f ca="1">+VLOOKUP($BG136,INDIRECT(Adrese!E$2),9,FALSE)</f>
        <v>-4.5634846768212292E-2</v>
      </c>
      <c r="BV136" s="4">
        <f ca="1">+VLOOKUP($BG136,INDIRECT(Adrese!F$2),9,FALSE)</f>
        <v>-7.9223806670348632E-2</v>
      </c>
      <c r="BW136" s="4" t="str">
        <f t="shared" ca="1" si="52"/>
        <v>-0.07 (0.01)</v>
      </c>
      <c r="BX136" s="4">
        <f t="shared" ca="1" si="43"/>
        <v>-6.7911207215072683E-2</v>
      </c>
      <c r="BY136" s="4">
        <f t="shared" ca="1" si="53"/>
        <v>1.4343102048606371E-2</v>
      </c>
    </row>
    <row r="137" spans="1:77" x14ac:dyDescent="0.25">
      <c r="A137" t="s">
        <v>189</v>
      </c>
      <c r="B137" s="11">
        <f ca="1">+VLOOKUP($A137,INDIRECT(Adrese!B$2),2,FALSE)</f>
        <v>82</v>
      </c>
      <c r="C137" s="11">
        <f ca="1">+VLOOKUP($A137,INDIRECT(Adrese!C$2),2,FALSE)</f>
        <v>132</v>
      </c>
      <c r="D137" s="11">
        <f ca="1">+VLOOKUP($A137,INDIRECT(Adrese!D$2),2,FALSE)</f>
        <v>103</v>
      </c>
      <c r="E137" s="11">
        <f ca="1">+VLOOKUP($A137,INDIRECT(Adrese!E$2),2,FALSE)</f>
        <v>113</v>
      </c>
      <c r="F137" s="11">
        <f ca="1">+VLOOKUP($A137,INDIRECT(Adrese!F$2),2,FALSE)</f>
        <v>93</v>
      </c>
      <c r="G137" s="4">
        <f t="shared" ca="1" si="36"/>
        <v>104.6</v>
      </c>
      <c r="J137" t="s">
        <v>189</v>
      </c>
      <c r="K137">
        <f ca="1">+VLOOKUP($A137,INDIRECT(Adrese!B$2),3,FALSE)</f>
        <v>105</v>
      </c>
      <c r="L137">
        <f ca="1">+VLOOKUP($A137,INDIRECT(Adrese!C$2),3,FALSE)</f>
        <v>93</v>
      </c>
      <c r="M137">
        <f ca="1">+VLOOKUP($A137,INDIRECT(Adrese!D$2),3,FALSE)</f>
        <v>102</v>
      </c>
      <c r="N137">
        <f ca="1">+VLOOKUP($A137,INDIRECT(Adrese!E$2),3,FALSE)</f>
        <v>96</v>
      </c>
      <c r="O137">
        <f ca="1">+VLOOKUP($A137,INDIRECT(Adrese!F$2),3,FALSE)</f>
        <v>106</v>
      </c>
      <c r="P137">
        <f t="shared" ca="1" si="44"/>
        <v>502</v>
      </c>
      <c r="Q137" s="4">
        <f t="shared" ca="1" si="37"/>
        <v>100.4</v>
      </c>
      <c r="R137" s="4"/>
      <c r="T137" t="s">
        <v>189</v>
      </c>
      <c r="U137">
        <f ca="1">+VLOOKUP($T137,INDIRECT(Adrese!B$2),4,FALSE)</f>
        <v>96437</v>
      </c>
      <c r="V137">
        <f ca="1">+VLOOKUP($T137,INDIRECT(Adrese!C$2),4,FALSE)</f>
        <v>94255</v>
      </c>
      <c r="W137">
        <f ca="1">+VLOOKUP($T137,INDIRECT(Adrese!D$2),4,FALSE)</f>
        <v>95681</v>
      </c>
      <c r="X137">
        <f ca="1">+VLOOKUP($T137,INDIRECT(Adrese!E$2),4,FALSE)</f>
        <v>95085</v>
      </c>
      <c r="Y137">
        <f ca="1">+VLOOKUP($T137,INDIRECT(Adrese!F$2),4,FALSE)</f>
        <v>95752</v>
      </c>
      <c r="Z137">
        <f t="shared" ca="1" si="45"/>
        <v>477210</v>
      </c>
      <c r="AA137" s="4">
        <f t="shared" ca="1" si="38"/>
        <v>95442</v>
      </c>
      <c r="AC137" t="s">
        <v>189</v>
      </c>
      <c r="AD137">
        <f ca="1">+VLOOKUP($A137,INDIRECT(Adrese!B$2),5,FALSE)</f>
        <v>21714</v>
      </c>
      <c r="AE137">
        <f ca="1">+VLOOKUP($A137,INDIRECT(Adrese!C$2),5,FALSE)</f>
        <v>20977</v>
      </c>
      <c r="AF137">
        <f ca="1">+VLOOKUP($A137,INDIRECT(Adrese!D$2),5,FALSE)</f>
        <v>21416</v>
      </c>
      <c r="AG137">
        <f ca="1">+VLOOKUP($A137,INDIRECT(Adrese!E$2),5,FALSE)</f>
        <v>21309</v>
      </c>
      <c r="AH137">
        <f ca="1">+VLOOKUP($A137,INDIRECT(Adrese!F$2),5,FALSE)</f>
        <v>21491</v>
      </c>
      <c r="AI137" s="4">
        <f t="shared" ca="1" si="39"/>
        <v>21381.4</v>
      </c>
      <c r="AJ137" s="4"/>
      <c r="AK137" s="4"/>
      <c r="AM137" t="s">
        <v>189</v>
      </c>
      <c r="AN137" s="4">
        <f ca="1">+VLOOKUP($A137,INDIRECT(Adrese!B$2),6,FALSE)</f>
        <v>0.4784070796460177</v>
      </c>
      <c r="AO137" s="4">
        <f ca="1">+VLOOKUP($A137,INDIRECT(Adrese!C$2),6,FALSE)</f>
        <v>0.46159292035398231</v>
      </c>
      <c r="AP137" s="4">
        <f ca="1">+VLOOKUP($A137,INDIRECT(Adrese!D$2),6,FALSE)</f>
        <v>0.4718362831858407</v>
      </c>
      <c r="AQ137" s="4">
        <f ca="1">+VLOOKUP($A137,INDIRECT(Adrese!E$2),6,FALSE)</f>
        <v>0.46940265486725657</v>
      </c>
      <c r="AR137" s="4">
        <f ca="1">+VLOOKUP($A137,INDIRECT(Adrese!F$2),6,FALSE)</f>
        <v>0.47334070796460181</v>
      </c>
      <c r="AS137" s="4" t="str">
        <f t="shared" ca="1" si="46"/>
        <v>0.47 (0.01)</v>
      </c>
      <c r="AT137" s="4">
        <f t="shared" ca="1" si="40"/>
        <v>0.47091592920353981</v>
      </c>
      <c r="AU137" s="4">
        <f t="shared" ca="1" si="47"/>
        <v>6.1654771038106232E-3</v>
      </c>
      <c r="AW137" t="s">
        <v>189</v>
      </c>
      <c r="AX137" s="4">
        <f ca="1">+VLOOKUP($A137,INDIRECT(Adrese!B$2),7,FALSE)</f>
        <v>0.53539823008849563</v>
      </c>
      <c r="AY137" s="4">
        <f ca="1">+VLOOKUP($A137,INDIRECT(Adrese!C$2),7,FALSE)</f>
        <v>0.58849557522123896</v>
      </c>
      <c r="AZ137" s="4">
        <f ca="1">+VLOOKUP($A137,INDIRECT(Adrese!D$2),7,FALSE)</f>
        <v>0.54867256637168138</v>
      </c>
      <c r="BA137" s="4">
        <f ca="1">+VLOOKUP($A137,INDIRECT(Adrese!E$2),7,FALSE)</f>
        <v>0.5752212389380531</v>
      </c>
      <c r="BB137" s="4">
        <f ca="1">+VLOOKUP($A137,INDIRECT(Adrese!F$2),7,FALSE)</f>
        <v>0.53097345132743368</v>
      </c>
      <c r="BC137" s="4" t="str">
        <f t="shared" ca="1" si="48"/>
        <v>0.56 (0.03)</v>
      </c>
      <c r="BD137">
        <f t="shared" ca="1" si="41"/>
        <v>0.55575221238938055</v>
      </c>
      <c r="BE137" s="4">
        <f t="shared" ca="1" si="49"/>
        <v>2.5147384492712949E-2</v>
      </c>
      <c r="BG137" t="s">
        <v>189</v>
      </c>
      <c r="BH137" s="4">
        <f ca="1">+VLOOKUP($BG137,INDIRECT(Adrese!B$2),8,FALSE)</f>
        <v>6.9875151810252764E-2</v>
      </c>
      <c r="BI137" s="4">
        <f ca="1">+VLOOKUP($BG137,INDIRECT(Adrese!C$2),8,FALSE)</f>
        <v>6.7594557657168014E-2</v>
      </c>
      <c r="BJ137" s="4">
        <f ca="1">+VLOOKUP($BG137,INDIRECT(Adrese!D$2),8,FALSE)</f>
        <v>6.9431061396253116E-2</v>
      </c>
      <c r="BK137" s="4">
        <f ca="1">+VLOOKUP($BG137,INDIRECT(Adrese!E$2),8,FALSE)</f>
        <v>6.8693995025607094E-2</v>
      </c>
      <c r="BL137" s="4">
        <f ca="1">+VLOOKUP($BG137,INDIRECT(Adrese!F$2),8,FALSE)</f>
        <v>6.91707582558133E-2</v>
      </c>
      <c r="BM137" s="4" t="str">
        <f t="shared" ca="1" si="50"/>
        <v>0.07 (0.00)</v>
      </c>
      <c r="BN137" s="4">
        <f t="shared" ca="1" si="42"/>
        <v>6.8953104829018855E-2</v>
      </c>
      <c r="BO137" s="4">
        <f t="shared" ca="1" si="51"/>
        <v>8.7160404403724065E-4</v>
      </c>
      <c r="BQ137" t="s">
        <v>189</v>
      </c>
      <c r="BR137" s="4">
        <f ca="1">+VLOOKUP($BG137,INDIRECT(Adrese!B$2),9,FALSE)</f>
        <v>6.1095950736491822E-2</v>
      </c>
      <c r="BS137" s="4">
        <f ca="1">+VLOOKUP($BG137,INDIRECT(Adrese!C$2),9,FALSE)</f>
        <v>7.2529601594227971E-2</v>
      </c>
      <c r="BT137" s="4">
        <f ca="1">+VLOOKUP($BG137,INDIRECT(Adrese!D$2),9,FALSE)</f>
        <v>6.7291127282994273E-2</v>
      </c>
      <c r="BU137" s="4">
        <f ca="1">+VLOOKUP($BG137,INDIRECT(Adrese!E$2),9,FALSE)</f>
        <v>6.5474318038325707E-2</v>
      </c>
      <c r="BV137" s="4">
        <f ca="1">+VLOOKUP($BG137,INDIRECT(Adrese!F$2),9,FALSE)</f>
        <v>6.9260657328434574E-2</v>
      </c>
      <c r="BW137" s="4" t="str">
        <f t="shared" ca="1" si="52"/>
        <v>0.07 (0.00)</v>
      </c>
      <c r="BX137" s="4">
        <f t="shared" ca="1" si="43"/>
        <v>6.7130330996094861E-2</v>
      </c>
      <c r="BY137" s="4">
        <f t="shared" ca="1" si="53"/>
        <v>4.2682664148864782E-3</v>
      </c>
    </row>
    <row r="138" spans="1:77" x14ac:dyDescent="0.25">
      <c r="A138" t="s">
        <v>190</v>
      </c>
      <c r="B138" s="11">
        <f ca="1">+VLOOKUP($A138,INDIRECT(Adrese!B$2),2,FALSE)</f>
        <v>86</v>
      </c>
      <c r="C138" s="11">
        <f ca="1">+VLOOKUP($A138,INDIRECT(Adrese!C$2),2,FALSE)</f>
        <v>93</v>
      </c>
      <c r="D138" s="11">
        <f ca="1">+VLOOKUP($A138,INDIRECT(Adrese!D$2),2,FALSE)</f>
        <v>66</v>
      </c>
      <c r="E138" s="11">
        <f ca="1">+VLOOKUP($A138,INDIRECT(Adrese!E$2),2,FALSE)</f>
        <v>130</v>
      </c>
      <c r="F138" s="11">
        <f ca="1">+VLOOKUP($A138,INDIRECT(Adrese!F$2),2,FALSE)</f>
        <v>152</v>
      </c>
      <c r="G138" s="4">
        <f t="shared" ca="1" si="36"/>
        <v>105.4</v>
      </c>
      <c r="J138" t="s">
        <v>190</v>
      </c>
      <c r="K138">
        <f ca="1">+VLOOKUP($A138,INDIRECT(Adrese!B$2),3,FALSE)</f>
        <v>79</v>
      </c>
      <c r="L138">
        <f ca="1">+VLOOKUP($A138,INDIRECT(Adrese!C$2),3,FALSE)</f>
        <v>77</v>
      </c>
      <c r="M138">
        <f ca="1">+VLOOKUP($A138,INDIRECT(Adrese!D$2),3,FALSE)</f>
        <v>74</v>
      </c>
      <c r="N138">
        <f ca="1">+VLOOKUP($A138,INDIRECT(Adrese!E$2),3,FALSE)</f>
        <v>72</v>
      </c>
      <c r="O138">
        <f ca="1">+VLOOKUP($A138,INDIRECT(Adrese!F$2),3,FALSE)</f>
        <v>72</v>
      </c>
      <c r="P138">
        <f t="shared" ca="1" si="44"/>
        <v>374</v>
      </c>
      <c r="Q138" s="4">
        <f t="shared" ca="1" si="37"/>
        <v>74.8</v>
      </c>
      <c r="R138" s="4"/>
      <c r="T138" t="s">
        <v>190</v>
      </c>
      <c r="U138">
        <f ca="1">+VLOOKUP($T138,INDIRECT(Adrese!B$2),4,FALSE)</f>
        <v>96272</v>
      </c>
      <c r="V138">
        <f ca="1">+VLOOKUP($T138,INDIRECT(Adrese!C$2),4,FALSE)</f>
        <v>95775</v>
      </c>
      <c r="W138">
        <f ca="1">+VLOOKUP($T138,INDIRECT(Adrese!D$2),4,FALSE)</f>
        <v>96816</v>
      </c>
      <c r="X138">
        <f ca="1">+VLOOKUP($T138,INDIRECT(Adrese!E$2),4,FALSE)</f>
        <v>94405</v>
      </c>
      <c r="Y138">
        <f ca="1">+VLOOKUP($T138,INDIRECT(Adrese!F$2),4,FALSE)</f>
        <v>93432</v>
      </c>
      <c r="Z138">
        <f t="shared" ca="1" si="45"/>
        <v>476700</v>
      </c>
      <c r="AA138" s="4">
        <f t="shared" ca="1" si="38"/>
        <v>95340</v>
      </c>
      <c r="AC138" t="s">
        <v>190</v>
      </c>
      <c r="AD138">
        <f ca="1">+VLOOKUP($A138,INDIRECT(Adrese!B$2),5,FALSE)</f>
        <v>27364</v>
      </c>
      <c r="AE138">
        <f ca="1">+VLOOKUP($A138,INDIRECT(Adrese!C$2),5,FALSE)</f>
        <v>26722</v>
      </c>
      <c r="AF138">
        <f ca="1">+VLOOKUP($A138,INDIRECT(Adrese!D$2),5,FALSE)</f>
        <v>28032</v>
      </c>
      <c r="AG138">
        <f ca="1">+VLOOKUP($A138,INDIRECT(Adrese!E$2),5,FALSE)</f>
        <v>27245</v>
      </c>
      <c r="AH138">
        <f ca="1">+VLOOKUP($A138,INDIRECT(Adrese!F$2),5,FALSE)</f>
        <v>27796</v>
      </c>
      <c r="AI138" s="4">
        <f t="shared" ca="1" si="39"/>
        <v>27431.8</v>
      </c>
      <c r="AJ138" s="4"/>
      <c r="AK138" s="4"/>
      <c r="AM138" t="s">
        <v>190</v>
      </c>
      <c r="AN138" s="4">
        <f ca="1">+VLOOKUP($A138,INDIRECT(Adrese!B$2),6,FALSE)</f>
        <v>0.60165929203539825</v>
      </c>
      <c r="AO138" s="4">
        <f ca="1">+VLOOKUP($A138,INDIRECT(Adrese!C$2),6,FALSE)</f>
        <v>0.58734513274336286</v>
      </c>
      <c r="AP138" s="4">
        <f ca="1">+VLOOKUP($A138,INDIRECT(Adrese!D$2),6,FALSE)</f>
        <v>0.61628318584070796</v>
      </c>
      <c r="AQ138" s="4">
        <f ca="1">+VLOOKUP($A138,INDIRECT(Adrese!E$2),6,FALSE)</f>
        <v>0.60046460176991145</v>
      </c>
      <c r="AR138" s="4">
        <f ca="1">+VLOOKUP($A138,INDIRECT(Adrese!F$2),6,FALSE)</f>
        <v>0.61320796460176996</v>
      </c>
      <c r="AS138" s="4" t="str">
        <f t="shared" ca="1" si="46"/>
        <v>0.60 (0.01)</v>
      </c>
      <c r="AT138" s="4">
        <f t="shared" ca="1" si="40"/>
        <v>0.60379203539823012</v>
      </c>
      <c r="AU138" s="4">
        <f t="shared" ca="1" si="47"/>
        <v>1.1519652532562969E-2</v>
      </c>
      <c r="AW138" t="s">
        <v>190</v>
      </c>
      <c r="AX138" s="4">
        <f ca="1">+VLOOKUP($A138,INDIRECT(Adrese!B$2),7,FALSE)</f>
        <v>0.65044247787610621</v>
      </c>
      <c r="AY138" s="4">
        <f ca="1">+VLOOKUP($A138,INDIRECT(Adrese!C$2),7,FALSE)</f>
        <v>0.65929203539823011</v>
      </c>
      <c r="AZ138" s="4">
        <f ca="1">+VLOOKUP($A138,INDIRECT(Adrese!D$2),7,FALSE)</f>
        <v>0.67256637168141598</v>
      </c>
      <c r="BA138" s="4">
        <f ca="1">+VLOOKUP($A138,INDIRECT(Adrese!E$2),7,FALSE)</f>
        <v>0.68141592920353977</v>
      </c>
      <c r="BB138" s="4">
        <f ca="1">+VLOOKUP($A138,INDIRECT(Adrese!F$2),7,FALSE)</f>
        <v>0.68141592920353977</v>
      </c>
      <c r="BC138" s="4" t="str">
        <f t="shared" ca="1" si="48"/>
        <v>0.67 (0.01)</v>
      </c>
      <c r="BD138">
        <f t="shared" ca="1" si="41"/>
        <v>0.66902654867256639</v>
      </c>
      <c r="BE138" s="4">
        <f t="shared" ca="1" si="49"/>
        <v>1.3780895134864959E-2</v>
      </c>
      <c r="BG138" t="s">
        <v>190</v>
      </c>
      <c r="BH138" s="4">
        <f ca="1">+VLOOKUP($BG138,INDIRECT(Adrese!B$2),8,FALSE)</f>
        <v>8.3910126524304712E-2</v>
      </c>
      <c r="BI138" s="4">
        <f ca="1">+VLOOKUP($BG138,INDIRECT(Adrese!C$2),8,FALSE)</f>
        <v>8.2306087190777782E-2</v>
      </c>
      <c r="BJ138" s="4">
        <f ca="1">+VLOOKUP($BG138,INDIRECT(Adrese!D$2),8,FALSE)</f>
        <v>8.6232788991661008E-2</v>
      </c>
      <c r="BK138" s="4">
        <f ca="1">+VLOOKUP($BG138,INDIRECT(Adrese!E$2),8,FALSE)</f>
        <v>8.3517407018673259E-2</v>
      </c>
      <c r="BL138" s="4">
        <f ca="1">+VLOOKUP($BG138,INDIRECT(Adrese!F$2),8,FALSE)</f>
        <v>8.491781795945387E-2</v>
      </c>
      <c r="BM138" s="4" t="str">
        <f t="shared" ca="1" si="50"/>
        <v>0.08 (0.00)</v>
      </c>
      <c r="BN138" s="4">
        <f t="shared" ca="1" si="42"/>
        <v>8.4176845536974132E-2</v>
      </c>
      <c r="BO138" s="4">
        <f t="shared" ca="1" si="51"/>
        <v>1.4816948573126317E-3</v>
      </c>
      <c r="BQ138" t="s">
        <v>190</v>
      </c>
      <c r="BR138" s="4">
        <f ca="1">+VLOOKUP($BG138,INDIRECT(Adrese!B$2),9,FALSE)</f>
        <v>1.209960249473142E-2</v>
      </c>
      <c r="BS138" s="4">
        <f ca="1">+VLOOKUP($BG138,INDIRECT(Adrese!C$2),9,FALSE)</f>
        <v>1.649558676614081E-2</v>
      </c>
      <c r="BT138" s="4">
        <f ca="1">+VLOOKUP($BG138,INDIRECT(Adrese!D$2),9,FALSE)</f>
        <v>8.2488544836235578E-3</v>
      </c>
      <c r="BU138" s="4">
        <f ca="1">+VLOOKUP($BG138,INDIRECT(Adrese!E$2),9,FALSE)</f>
        <v>1.7391732138647718E-2</v>
      </c>
      <c r="BV138" s="4">
        <f ca="1">+VLOOKUP($BG138,INDIRECT(Adrese!F$2),9,FALSE)</f>
        <v>1.919026626870797E-2</v>
      </c>
      <c r="BW138" s="4" t="str">
        <f t="shared" ca="1" si="52"/>
        <v>0.01 (0.00)</v>
      </c>
      <c r="BX138" s="4">
        <f t="shared" ca="1" si="43"/>
        <v>1.4685208430370295E-2</v>
      </c>
      <c r="BY138" s="4">
        <f t="shared" ca="1" si="53"/>
        <v>4.4443868140350987E-3</v>
      </c>
    </row>
    <row r="139" spans="1:77" x14ac:dyDescent="0.25">
      <c r="A139" t="s">
        <v>191</v>
      </c>
      <c r="B139" s="11">
        <f ca="1">+VLOOKUP($A139,INDIRECT(Adrese!B$2),2,FALSE)</f>
        <v>170</v>
      </c>
      <c r="C139" s="11">
        <f ca="1">+VLOOKUP($A139,INDIRECT(Adrese!C$2),2,FALSE)</f>
        <v>172</v>
      </c>
      <c r="D139" s="11">
        <f ca="1">+VLOOKUP($A139,INDIRECT(Adrese!D$2),2,FALSE)</f>
        <v>175</v>
      </c>
      <c r="E139" s="11">
        <f ca="1">+VLOOKUP($A139,INDIRECT(Adrese!E$2),2,FALSE)</f>
        <v>174</v>
      </c>
      <c r="F139" s="11">
        <f ca="1">+VLOOKUP($A139,INDIRECT(Adrese!F$2),2,FALSE)</f>
        <v>163</v>
      </c>
      <c r="G139" s="4">
        <f t="shared" ca="1" si="36"/>
        <v>170.8</v>
      </c>
      <c r="J139" t="s">
        <v>191</v>
      </c>
      <c r="K139">
        <f ca="1">+VLOOKUP($A139,INDIRECT(Adrese!B$2),3,FALSE)</f>
        <v>66</v>
      </c>
      <c r="L139">
        <f ca="1">+VLOOKUP($A139,INDIRECT(Adrese!C$2),3,FALSE)</f>
        <v>64</v>
      </c>
      <c r="M139">
        <f ca="1">+VLOOKUP($A139,INDIRECT(Adrese!D$2),3,FALSE)</f>
        <v>59</v>
      </c>
      <c r="N139">
        <f ca="1">+VLOOKUP($A139,INDIRECT(Adrese!E$2),3,FALSE)</f>
        <v>62</v>
      </c>
      <c r="O139">
        <f ca="1">+VLOOKUP($A139,INDIRECT(Adrese!F$2),3,FALSE)</f>
        <v>62</v>
      </c>
      <c r="P139">
        <f t="shared" ca="1" si="44"/>
        <v>313</v>
      </c>
      <c r="Q139" s="4">
        <f t="shared" ca="1" si="37"/>
        <v>62.6</v>
      </c>
      <c r="R139" s="4"/>
      <c r="T139" t="s">
        <v>191</v>
      </c>
      <c r="U139">
        <f ca="1">+VLOOKUP($T139,INDIRECT(Adrese!B$2),4,FALSE)</f>
        <v>91976</v>
      </c>
      <c r="V139">
        <f ca="1">+VLOOKUP($T139,INDIRECT(Adrese!C$2),4,FALSE)</f>
        <v>91714</v>
      </c>
      <c r="W139">
        <f ca="1">+VLOOKUP($T139,INDIRECT(Adrese!D$2),4,FALSE)</f>
        <v>91393</v>
      </c>
      <c r="X139">
        <f ca="1">+VLOOKUP($T139,INDIRECT(Adrese!E$2),4,FALSE)</f>
        <v>91511</v>
      </c>
      <c r="Y139">
        <f ca="1">+VLOOKUP($T139,INDIRECT(Adrese!F$2),4,FALSE)</f>
        <v>92872</v>
      </c>
      <c r="Z139">
        <f t="shared" ca="1" si="45"/>
        <v>459466</v>
      </c>
      <c r="AA139" s="4">
        <f t="shared" ca="1" si="38"/>
        <v>91893.2</v>
      </c>
      <c r="AC139" t="s">
        <v>191</v>
      </c>
      <c r="AD139">
        <f ca="1">+VLOOKUP($A139,INDIRECT(Adrese!B$2),5,FALSE)</f>
        <v>28759</v>
      </c>
      <c r="AE139">
        <f ca="1">+VLOOKUP($A139,INDIRECT(Adrese!C$2),5,FALSE)</f>
        <v>28780</v>
      </c>
      <c r="AF139">
        <f ca="1">+VLOOKUP($A139,INDIRECT(Adrese!D$2),5,FALSE)</f>
        <v>28674</v>
      </c>
      <c r="AG139">
        <f ca="1">+VLOOKUP($A139,INDIRECT(Adrese!E$2),5,FALSE)</f>
        <v>28804</v>
      </c>
      <c r="AH139">
        <f ca="1">+VLOOKUP($A139,INDIRECT(Adrese!F$2),5,FALSE)</f>
        <v>29040</v>
      </c>
      <c r="AI139" s="4">
        <f t="shared" ca="1" si="39"/>
        <v>28811.4</v>
      </c>
      <c r="AJ139" s="4"/>
      <c r="AK139" s="4"/>
      <c r="AM139" t="s">
        <v>191</v>
      </c>
      <c r="AN139" s="4">
        <f ca="1">+VLOOKUP($A139,INDIRECT(Adrese!B$2),6,FALSE)</f>
        <v>0.63369469026548675</v>
      </c>
      <c r="AO139" s="4">
        <f ca="1">+VLOOKUP($A139,INDIRECT(Adrese!C$2),6,FALSE)</f>
        <v>0.63362831858407076</v>
      </c>
      <c r="AP139" s="4">
        <f ca="1">+VLOOKUP($A139,INDIRECT(Adrese!D$2),6,FALSE)</f>
        <v>0.63150442477876101</v>
      </c>
      <c r="AQ139" s="4">
        <f ca="1">+VLOOKUP($A139,INDIRECT(Adrese!E$2),6,FALSE)</f>
        <v>0.63435840707964597</v>
      </c>
      <c r="AR139" s="4">
        <f ca="1">+VLOOKUP($A139,INDIRECT(Adrese!F$2),6,FALSE)</f>
        <v>0.6392920353982301</v>
      </c>
      <c r="AS139" s="4" t="str">
        <f t="shared" ca="1" si="46"/>
        <v>0.63 (0.00)</v>
      </c>
      <c r="AT139" s="4">
        <f t="shared" ca="1" si="40"/>
        <v>0.63449557522123889</v>
      </c>
      <c r="AU139" s="4">
        <f t="shared" ca="1" si="47"/>
        <v>2.8881385477989314E-3</v>
      </c>
      <c r="AW139" t="s">
        <v>191</v>
      </c>
      <c r="AX139" s="4">
        <f ca="1">+VLOOKUP($A139,INDIRECT(Adrese!B$2),7,FALSE)</f>
        <v>0.70796460176991149</v>
      </c>
      <c r="AY139" s="4">
        <f ca="1">+VLOOKUP($A139,INDIRECT(Adrese!C$2),7,FALSE)</f>
        <v>0.7168141592920354</v>
      </c>
      <c r="AZ139" s="4">
        <f ca="1">+VLOOKUP($A139,INDIRECT(Adrese!D$2),7,FALSE)</f>
        <v>0.73893805309734517</v>
      </c>
      <c r="BA139" s="4">
        <f ca="1">+VLOOKUP($A139,INDIRECT(Adrese!E$2),7,FALSE)</f>
        <v>0.72566371681415931</v>
      </c>
      <c r="BB139" s="4">
        <f ca="1">+VLOOKUP($A139,INDIRECT(Adrese!F$2),7,FALSE)</f>
        <v>0.72566371681415931</v>
      </c>
      <c r="BC139" s="4" t="str">
        <f t="shared" ca="1" si="48"/>
        <v>0.72 (0.01)</v>
      </c>
      <c r="BD139">
        <f t="shared" ca="1" si="41"/>
        <v>0.72300884955752198</v>
      </c>
      <c r="BE139" s="4">
        <f t="shared" ca="1" si="49"/>
        <v>1.1538411336641874E-2</v>
      </c>
      <c r="BG139" t="s">
        <v>191</v>
      </c>
      <c r="BH139" s="4">
        <f ca="1">+VLOOKUP($BG139,INDIRECT(Adrese!B$2),8,FALSE)</f>
        <v>8.4382567603606573E-2</v>
      </c>
      <c r="BI139" s="4">
        <f ca="1">+VLOOKUP($BG139,INDIRECT(Adrese!C$2),8,FALSE)</f>
        <v>8.4559431953007566E-2</v>
      </c>
      <c r="BJ139" s="4">
        <f ca="1">+VLOOKUP($BG139,INDIRECT(Adrese!D$2),8,FALSE)</f>
        <v>8.3897443175539183E-2</v>
      </c>
      <c r="BK139" s="4">
        <f ca="1">+VLOOKUP($BG139,INDIRECT(Adrese!E$2),8,FALSE)</f>
        <v>8.4354346414745748E-2</v>
      </c>
      <c r="BL139" s="4">
        <f ca="1">+VLOOKUP($BG139,INDIRECT(Adrese!F$2),8,FALSE)</f>
        <v>8.5376657407202738E-2</v>
      </c>
      <c r="BM139" s="4" t="str">
        <f t="shared" ca="1" si="50"/>
        <v>0.08 (0.00)</v>
      </c>
      <c r="BN139" s="4">
        <f t="shared" ca="1" si="42"/>
        <v>8.4514089310820356E-2</v>
      </c>
      <c r="BO139" s="4">
        <f t="shared" ca="1" si="51"/>
        <v>5.4063571019892466E-4</v>
      </c>
      <c r="BQ139" t="s">
        <v>191</v>
      </c>
      <c r="BR139" s="4">
        <f ca="1">+VLOOKUP($BG139,INDIRECT(Adrese!B$2),9,FALSE)</f>
        <v>-1.7628368438088439E-2</v>
      </c>
      <c r="BS139" s="4">
        <f ca="1">+VLOOKUP($BG139,INDIRECT(Adrese!C$2),9,FALSE)</f>
        <v>-1.7680505584971321E-2</v>
      </c>
      <c r="BT139" s="4">
        <f ca="1">+VLOOKUP($BG139,INDIRECT(Adrese!D$2),9,FALSE)</f>
        <v>-1.9127921720696051E-2</v>
      </c>
      <c r="BU139" s="4">
        <f ca="1">+VLOOKUP($BG139,INDIRECT(Adrese!E$2),9,FALSE)</f>
        <v>-1.8822706902729729E-2</v>
      </c>
      <c r="BV139" s="4">
        <f ca="1">+VLOOKUP($BG139,INDIRECT(Adrese!F$2),9,FALSE)</f>
        <v>-1.8521568239861352E-2</v>
      </c>
      <c r="BW139" s="4" t="str">
        <f t="shared" ca="1" si="52"/>
        <v>-0.02 (0.00)</v>
      </c>
      <c r="BX139" s="4">
        <f t="shared" ca="1" si="43"/>
        <v>-1.8356214177269379E-2</v>
      </c>
      <c r="BY139" s="4">
        <f t="shared" ca="1" si="53"/>
        <v>6.7580165049628224E-4</v>
      </c>
    </row>
    <row r="140" spans="1:77" x14ac:dyDescent="0.25">
      <c r="A140" t="s">
        <v>192</v>
      </c>
      <c r="B140" s="11">
        <f ca="1">+VLOOKUP($A140,INDIRECT(Adrese!B$2),2,FALSE)</f>
        <v>35</v>
      </c>
      <c r="C140" s="11">
        <f ca="1">+VLOOKUP($A140,INDIRECT(Adrese!C$2),2,FALSE)</f>
        <v>35</v>
      </c>
      <c r="D140" s="11">
        <f ca="1">+VLOOKUP($A140,INDIRECT(Adrese!D$2),2,FALSE)</f>
        <v>33</v>
      </c>
      <c r="E140" s="11">
        <f ca="1">+VLOOKUP($A140,INDIRECT(Adrese!E$2),2,FALSE)</f>
        <v>32</v>
      </c>
      <c r="F140" s="11">
        <f ca="1">+VLOOKUP($A140,INDIRECT(Adrese!F$2),2,FALSE)</f>
        <v>34</v>
      </c>
      <c r="G140" s="4">
        <f t="shared" ca="1" si="36"/>
        <v>33.799999999999997</v>
      </c>
      <c r="J140" t="s">
        <v>192</v>
      </c>
      <c r="K140">
        <f ca="1">+VLOOKUP($A140,INDIRECT(Adrese!B$2),3,FALSE)</f>
        <v>110</v>
      </c>
      <c r="L140">
        <f ca="1">+VLOOKUP($A140,INDIRECT(Adrese!C$2),3,FALSE)</f>
        <v>121</v>
      </c>
      <c r="M140">
        <f ca="1">+VLOOKUP($A140,INDIRECT(Adrese!D$2),3,FALSE)</f>
        <v>116</v>
      </c>
      <c r="N140">
        <f ca="1">+VLOOKUP($A140,INDIRECT(Adrese!E$2),3,FALSE)</f>
        <v>112</v>
      </c>
      <c r="O140">
        <f ca="1">+VLOOKUP($A140,INDIRECT(Adrese!F$2),3,FALSE)</f>
        <v>115</v>
      </c>
      <c r="P140">
        <f t="shared" ca="1" si="44"/>
        <v>574</v>
      </c>
      <c r="Q140" s="4">
        <f t="shared" ca="1" si="37"/>
        <v>114.8</v>
      </c>
      <c r="R140" s="4"/>
      <c r="T140" t="s">
        <v>192</v>
      </c>
      <c r="U140">
        <f ca="1">+VLOOKUP($T140,INDIRECT(Adrese!B$2),4,FALSE)</f>
        <v>98445</v>
      </c>
      <c r="V140">
        <f ca="1">+VLOOKUP($T140,INDIRECT(Adrese!C$2),4,FALSE)</f>
        <v>98377</v>
      </c>
      <c r="W140">
        <f ca="1">+VLOOKUP($T140,INDIRECT(Adrese!D$2),4,FALSE)</f>
        <v>98289</v>
      </c>
      <c r="X140">
        <f ca="1">+VLOOKUP($T140,INDIRECT(Adrese!E$2),4,FALSE)</f>
        <v>98702</v>
      </c>
      <c r="Y140">
        <f ca="1">+VLOOKUP($T140,INDIRECT(Adrese!F$2),4,FALSE)</f>
        <v>98719</v>
      </c>
      <c r="Z140">
        <f t="shared" ca="1" si="45"/>
        <v>492532</v>
      </c>
      <c r="AA140" s="4">
        <f t="shared" ca="1" si="38"/>
        <v>98506.4</v>
      </c>
      <c r="AC140" t="s">
        <v>192</v>
      </c>
      <c r="AD140">
        <f ca="1">+VLOOKUP($A140,INDIRECT(Adrese!B$2),5,FALSE)</f>
        <v>17113</v>
      </c>
      <c r="AE140">
        <f ca="1">+VLOOKUP($A140,INDIRECT(Adrese!C$2),5,FALSE)</f>
        <v>16177</v>
      </c>
      <c r="AF140">
        <f ca="1">+VLOOKUP($A140,INDIRECT(Adrese!D$2),5,FALSE)</f>
        <v>16596</v>
      </c>
      <c r="AG140">
        <f ca="1">+VLOOKUP($A140,INDIRECT(Adrese!E$2),5,FALSE)</f>
        <v>16370</v>
      </c>
      <c r="AH140">
        <f ca="1">+VLOOKUP($A140,INDIRECT(Adrese!F$2),5,FALSE)</f>
        <v>15924</v>
      </c>
      <c r="AI140" s="4">
        <f t="shared" ca="1" si="39"/>
        <v>16436</v>
      </c>
      <c r="AJ140" s="4"/>
      <c r="AK140" s="4"/>
      <c r="AM140" t="s">
        <v>192</v>
      </c>
      <c r="AN140" s="4">
        <f ca="1">+VLOOKUP($A140,INDIRECT(Adrese!B$2),6,FALSE)</f>
        <v>0.37628318584070802</v>
      </c>
      <c r="AO140" s="4">
        <f ca="1">+VLOOKUP($A140,INDIRECT(Adrese!C$2),6,FALSE)</f>
        <v>0.35557522123893798</v>
      </c>
      <c r="AP140" s="4">
        <f ca="1">+VLOOKUP($A140,INDIRECT(Adrese!D$2),6,FALSE)</f>
        <v>0.36646017699115052</v>
      </c>
      <c r="AQ140" s="4">
        <f ca="1">+VLOOKUP($A140,INDIRECT(Adrese!E$2),6,FALSE)</f>
        <v>0.35997787610619469</v>
      </c>
      <c r="AR140" s="4">
        <f ca="1">+VLOOKUP($A140,INDIRECT(Adrese!F$2),6,FALSE)</f>
        <v>0.34995575221238939</v>
      </c>
      <c r="AS140" s="4" t="str">
        <f t="shared" ca="1" si="46"/>
        <v>0.36 (0.01)</v>
      </c>
      <c r="AT140" s="4">
        <f t="shared" ca="1" si="40"/>
        <v>0.36165044247787614</v>
      </c>
      <c r="AU140" s="4">
        <f t="shared" ca="1" si="47"/>
        <v>1.0170082302839034E-2</v>
      </c>
      <c r="AW140" t="s">
        <v>192</v>
      </c>
      <c r="AX140" s="4">
        <f ca="1">+VLOOKUP($A140,INDIRECT(Adrese!B$2),7,FALSE)</f>
        <v>0.51327433628318586</v>
      </c>
      <c r="AY140" s="4">
        <f ca="1">+VLOOKUP($A140,INDIRECT(Adrese!C$2),7,FALSE)</f>
        <v>0.46460176991150443</v>
      </c>
      <c r="AZ140" s="4">
        <f ca="1">+VLOOKUP($A140,INDIRECT(Adrese!D$2),7,FALSE)</f>
        <v>0.48672566371681408</v>
      </c>
      <c r="BA140" s="4">
        <f ca="1">+VLOOKUP($A140,INDIRECT(Adrese!E$2),7,FALSE)</f>
        <v>0.50442477876106195</v>
      </c>
      <c r="BB140" s="4">
        <f ca="1">+VLOOKUP($A140,INDIRECT(Adrese!F$2),7,FALSE)</f>
        <v>0.49115044247787609</v>
      </c>
      <c r="BC140" s="4" t="str">
        <f t="shared" ca="1" si="48"/>
        <v>0.49 (0.02)</v>
      </c>
      <c r="BD140">
        <f t="shared" ca="1" si="41"/>
        <v>0.49203539823008846</v>
      </c>
      <c r="BE140" s="4">
        <f t="shared" ca="1" si="49"/>
        <v>1.8615649529170483E-2</v>
      </c>
      <c r="BG140" t="s">
        <v>192</v>
      </c>
      <c r="BH140" s="4">
        <f ca="1">+VLOOKUP($BG140,INDIRECT(Adrese!B$2),8,FALSE)</f>
        <v>5.2112411961840722E-2</v>
      </c>
      <c r="BI140" s="4">
        <f ca="1">+VLOOKUP($BG140,INDIRECT(Adrese!C$2),8,FALSE)</f>
        <v>4.860086483537443E-2</v>
      </c>
      <c r="BJ140" s="4">
        <f ca="1">+VLOOKUP($BG140,INDIRECT(Adrese!D$2),8,FALSE)</f>
        <v>4.9672202975441802E-2</v>
      </c>
      <c r="BK140" s="4">
        <f ca="1">+VLOOKUP($BG140,INDIRECT(Adrese!E$2),8,FALSE)</f>
        <v>4.8999383042895132E-2</v>
      </c>
      <c r="BL140" s="4">
        <f ca="1">+VLOOKUP($BG140,INDIRECT(Adrese!F$2),8,FALSE)</f>
        <v>4.7034995020421771E-2</v>
      </c>
      <c r="BM140" s="4" t="str">
        <f t="shared" ca="1" si="50"/>
        <v>0.05 (0.00)</v>
      </c>
      <c r="BN140" s="4">
        <f t="shared" ca="1" si="42"/>
        <v>4.9283971567194773E-2</v>
      </c>
      <c r="BO140" s="4">
        <f t="shared" ca="1" si="51"/>
        <v>1.8544756425719602E-3</v>
      </c>
      <c r="BQ140" t="s">
        <v>192</v>
      </c>
      <c r="BR140" s="4">
        <f ca="1">+VLOOKUP($BG140,INDIRECT(Adrese!B$2),9,FALSE)</f>
        <v>4.9405867651681833E-2</v>
      </c>
      <c r="BS140" s="4">
        <f ca="1">+VLOOKUP($BG140,INDIRECT(Adrese!C$2),9,FALSE)</f>
        <v>5.1531851283379837E-2</v>
      </c>
      <c r="BT140" s="4">
        <f ca="1">+VLOOKUP($BG140,INDIRECT(Adrese!D$2),9,FALSE)</f>
        <v>5.1078869772273341E-2</v>
      </c>
      <c r="BU140" s="4">
        <f ca="1">+VLOOKUP($BG140,INDIRECT(Adrese!E$2),9,FALSE)</f>
        <v>4.2995591007958057E-2</v>
      </c>
      <c r="BV140" s="4">
        <f ca="1">+VLOOKUP($BG140,INDIRECT(Adrese!F$2),9,FALSE)</f>
        <v>4.7407346587770953E-2</v>
      </c>
      <c r="BW140" s="4" t="str">
        <f t="shared" ca="1" si="52"/>
        <v>0.05 (0.00)</v>
      </c>
      <c r="BX140" s="4">
        <f t="shared" ca="1" si="43"/>
        <v>4.848390526061281E-2</v>
      </c>
      <c r="BY140" s="4">
        <f t="shared" ca="1" si="53"/>
        <v>3.4696686562620408E-3</v>
      </c>
    </row>
    <row r="141" spans="1:77" x14ac:dyDescent="0.25">
      <c r="A141" t="s">
        <v>193</v>
      </c>
      <c r="B141" s="11">
        <f ca="1">+VLOOKUP($A141,INDIRECT(Adrese!B$2),2,FALSE)</f>
        <v>212</v>
      </c>
      <c r="C141" s="11">
        <f ca="1">+VLOOKUP($A141,INDIRECT(Adrese!C$2),2,FALSE)</f>
        <v>218</v>
      </c>
      <c r="D141" s="11">
        <f ca="1">+VLOOKUP($A141,INDIRECT(Adrese!D$2),2,FALSE)</f>
        <v>214</v>
      </c>
      <c r="E141" s="11">
        <f ca="1">+VLOOKUP($A141,INDIRECT(Adrese!E$2),2,FALSE)</f>
        <v>221</v>
      </c>
      <c r="F141" s="11">
        <f ca="1">+VLOOKUP($A141,INDIRECT(Adrese!F$2),2,FALSE)</f>
        <v>219</v>
      </c>
      <c r="G141" s="4">
        <f t="shared" ca="1" si="36"/>
        <v>216.8</v>
      </c>
      <c r="J141" t="s">
        <v>193</v>
      </c>
      <c r="K141">
        <f ca="1">+VLOOKUP($A141,INDIRECT(Adrese!B$2),3,FALSE)</f>
        <v>16</v>
      </c>
      <c r="L141">
        <f ca="1">+VLOOKUP($A141,INDIRECT(Adrese!C$2),3,FALSE)</f>
        <v>19</v>
      </c>
      <c r="M141">
        <f ca="1">+VLOOKUP($A141,INDIRECT(Adrese!D$2),3,FALSE)</f>
        <v>16</v>
      </c>
      <c r="N141">
        <f ca="1">+VLOOKUP($A141,INDIRECT(Adrese!E$2),3,FALSE)</f>
        <v>15</v>
      </c>
      <c r="O141">
        <f ca="1">+VLOOKUP($A141,INDIRECT(Adrese!F$2),3,FALSE)</f>
        <v>18</v>
      </c>
      <c r="P141">
        <f t="shared" ca="1" si="44"/>
        <v>84</v>
      </c>
      <c r="Q141" s="4">
        <f t="shared" ca="1" si="37"/>
        <v>16.8</v>
      </c>
      <c r="R141" s="4"/>
      <c r="T141" t="s">
        <v>193</v>
      </c>
      <c r="U141">
        <f ca="1">+VLOOKUP($T141,INDIRECT(Adrese!B$2),4,FALSE)</f>
        <v>87662</v>
      </c>
      <c r="V141">
        <f ca="1">+VLOOKUP($T141,INDIRECT(Adrese!C$2),4,FALSE)</f>
        <v>87028</v>
      </c>
      <c r="W141">
        <f ca="1">+VLOOKUP($T141,INDIRECT(Adrese!D$2),4,FALSE)</f>
        <v>87300</v>
      </c>
      <c r="X141">
        <f ca="1">+VLOOKUP($T141,INDIRECT(Adrese!E$2),4,FALSE)</f>
        <v>86538</v>
      </c>
      <c r="Y141">
        <f ca="1">+VLOOKUP($T141,INDIRECT(Adrese!F$2),4,FALSE)</f>
        <v>86903</v>
      </c>
      <c r="Z141">
        <f t="shared" ca="1" si="45"/>
        <v>435431</v>
      </c>
      <c r="AA141" s="4">
        <f t="shared" ca="1" si="38"/>
        <v>87086.2</v>
      </c>
      <c r="AC141" t="s">
        <v>193</v>
      </c>
      <c r="AD141">
        <f ca="1">+VLOOKUP($A141,INDIRECT(Adrese!B$2),5,FALSE)</f>
        <v>40844</v>
      </c>
      <c r="AE141">
        <f ca="1">+VLOOKUP($A141,INDIRECT(Adrese!C$2),5,FALSE)</f>
        <v>40832</v>
      </c>
      <c r="AF141">
        <f ca="1">+VLOOKUP($A141,INDIRECT(Adrese!D$2),5,FALSE)</f>
        <v>40866</v>
      </c>
      <c r="AG141">
        <f ca="1">+VLOOKUP($A141,INDIRECT(Adrese!E$2),5,FALSE)</f>
        <v>40870</v>
      </c>
      <c r="AH141">
        <f ca="1">+VLOOKUP($A141,INDIRECT(Adrese!F$2),5,FALSE)</f>
        <v>40846</v>
      </c>
      <c r="AI141" s="4">
        <f t="shared" ca="1" si="39"/>
        <v>40851.599999999999</v>
      </c>
      <c r="AJ141" s="4"/>
      <c r="AK141" s="4"/>
      <c r="AM141" t="s">
        <v>193</v>
      </c>
      <c r="AN141" s="4">
        <f ca="1">+VLOOKUP($A141,INDIRECT(Adrese!B$2),6,FALSE)</f>
        <v>0.89955752212389384</v>
      </c>
      <c r="AO141" s="4">
        <f ca="1">+VLOOKUP($A141,INDIRECT(Adrese!C$2),6,FALSE)</f>
        <v>0.89946902654867256</v>
      </c>
      <c r="AP141" s="4">
        <f ca="1">+VLOOKUP($A141,INDIRECT(Adrese!D$2),6,FALSE)</f>
        <v>0.90022123893805306</v>
      </c>
      <c r="AQ141" s="4">
        <f ca="1">+VLOOKUP($A141,INDIRECT(Adrese!E$2),6,FALSE)</f>
        <v>0.90019911504424777</v>
      </c>
      <c r="AR141" s="4">
        <f ca="1">+VLOOKUP($A141,INDIRECT(Adrese!F$2),6,FALSE)</f>
        <v>0.89960176991150442</v>
      </c>
      <c r="AS141" s="4" t="str">
        <f t="shared" ca="1" si="46"/>
        <v>0.90 (0.00)</v>
      </c>
      <c r="AT141" s="4">
        <f t="shared" ca="1" si="40"/>
        <v>0.89980973451327428</v>
      </c>
      <c r="AU141" s="4">
        <f t="shared" ca="1" si="47"/>
        <v>3.6874631238937287E-4</v>
      </c>
      <c r="AW141" t="s">
        <v>193</v>
      </c>
      <c r="AX141" s="4">
        <f ca="1">+VLOOKUP($A141,INDIRECT(Adrese!B$2),7,FALSE)</f>
        <v>0.92920353982300885</v>
      </c>
      <c r="AY141" s="4">
        <f ca="1">+VLOOKUP($A141,INDIRECT(Adrese!C$2),7,FALSE)</f>
        <v>0.91592920353982299</v>
      </c>
      <c r="AZ141" s="4">
        <f ca="1">+VLOOKUP($A141,INDIRECT(Adrese!D$2),7,FALSE)</f>
        <v>0.92920353982300885</v>
      </c>
      <c r="BA141" s="4">
        <f ca="1">+VLOOKUP($A141,INDIRECT(Adrese!E$2),7,FALSE)</f>
        <v>0.9336283185840708</v>
      </c>
      <c r="BB141" s="4">
        <f ca="1">+VLOOKUP($A141,INDIRECT(Adrese!F$2),7,FALSE)</f>
        <v>0.92035398230088494</v>
      </c>
      <c r="BC141" s="4" t="str">
        <f t="shared" ca="1" si="48"/>
        <v>0.93 (0.01)</v>
      </c>
      <c r="BD141">
        <f t="shared" ca="1" si="41"/>
        <v>0.92566371681415927</v>
      </c>
      <c r="BE141" s="4">
        <f t="shared" ca="1" si="49"/>
        <v>7.2706534182101802E-3</v>
      </c>
      <c r="BG141" t="s">
        <v>193</v>
      </c>
      <c r="BH141" s="4">
        <f ca="1">+VLOOKUP($BG141,INDIRECT(Adrese!B$2),8,FALSE)</f>
        <v>0.1144205702626459</v>
      </c>
      <c r="BI141" s="4">
        <f ca="1">+VLOOKUP($BG141,INDIRECT(Adrese!C$2),8,FALSE)</f>
        <v>0.1145916802709602</v>
      </c>
      <c r="BJ141" s="4">
        <f ca="1">+VLOOKUP($BG141,INDIRECT(Adrese!D$2),8,FALSE)</f>
        <v>0.1146250580168883</v>
      </c>
      <c r="BK141" s="4">
        <f ca="1">+VLOOKUP($BG141,INDIRECT(Adrese!E$2),8,FALSE)</f>
        <v>0.1145392956277356</v>
      </c>
      <c r="BL141" s="4">
        <f ca="1">+VLOOKUP($BG141,INDIRECT(Adrese!F$2),8,FALSE)</f>
        <v>0.11464487600573919</v>
      </c>
      <c r="BM141" s="4" t="str">
        <f t="shared" ca="1" si="50"/>
        <v>0.11 (0.00)</v>
      </c>
      <c r="BN141" s="4">
        <f t="shared" ca="1" si="42"/>
        <v>0.11456429603679386</v>
      </c>
      <c r="BO141" s="4">
        <f t="shared" ca="1" si="51"/>
        <v>8.9745702555351286E-5</v>
      </c>
      <c r="BQ141" t="s">
        <v>193</v>
      </c>
      <c r="BR141" s="4">
        <f ca="1">+VLOOKUP($BG141,INDIRECT(Adrese!B$2),9,FALSE)</f>
        <v>-9.4675317690231423E-2</v>
      </c>
      <c r="BS141" s="4">
        <f ca="1">+VLOOKUP($BG141,INDIRECT(Adrese!C$2),9,FALSE)</f>
        <v>-9.6060459648321661E-2</v>
      </c>
      <c r="BT141" s="4">
        <f ca="1">+VLOOKUP($BG141,INDIRECT(Adrese!D$2),9,FALSE)</f>
        <v>-9.500727675618624E-2</v>
      </c>
      <c r="BU141" s="4">
        <f ca="1">+VLOOKUP($BG141,INDIRECT(Adrese!E$2),9,FALSE)</f>
        <v>-9.576407850006588E-2</v>
      </c>
      <c r="BV141" s="4">
        <f ca="1">+VLOOKUP($BG141,INDIRECT(Adrese!F$2),9,FALSE)</f>
        <v>-9.5639337351503206E-2</v>
      </c>
      <c r="BW141" s="4" t="str">
        <f t="shared" ca="1" si="52"/>
        <v>-0.10 (0.00)</v>
      </c>
      <c r="BX141" s="4">
        <f t="shared" ca="1" si="43"/>
        <v>-9.5429293989261671E-2</v>
      </c>
      <c r="BY141" s="4">
        <f t="shared" ca="1" si="53"/>
        <v>5.7033932364531183E-4</v>
      </c>
    </row>
    <row r="142" spans="1:77" x14ac:dyDescent="0.25">
      <c r="A142" t="s">
        <v>194</v>
      </c>
      <c r="B142" s="11">
        <f ca="1">+VLOOKUP($A142,INDIRECT(Adrese!B$2),2,FALSE)</f>
        <v>185</v>
      </c>
      <c r="C142" s="11">
        <f ca="1">+VLOOKUP($A142,INDIRECT(Adrese!C$2),2,FALSE)</f>
        <v>183</v>
      </c>
      <c r="D142" s="11">
        <f ca="1">+VLOOKUP($A142,INDIRECT(Adrese!D$2),2,FALSE)</f>
        <v>182</v>
      </c>
      <c r="E142" s="11">
        <f ca="1">+VLOOKUP($A142,INDIRECT(Adrese!E$2),2,FALSE)</f>
        <v>177</v>
      </c>
      <c r="F142" s="11">
        <f ca="1">+VLOOKUP($A142,INDIRECT(Adrese!F$2),2,FALSE)</f>
        <v>186</v>
      </c>
      <c r="G142" s="4">
        <f t="shared" ca="1" si="36"/>
        <v>182.6</v>
      </c>
      <c r="J142" t="s">
        <v>194</v>
      </c>
      <c r="K142">
        <f ca="1">+VLOOKUP($A142,INDIRECT(Adrese!B$2),3,FALSE)</f>
        <v>20</v>
      </c>
      <c r="L142">
        <f ca="1">+VLOOKUP($A142,INDIRECT(Adrese!C$2),3,FALSE)</f>
        <v>22</v>
      </c>
      <c r="M142">
        <f ca="1">+VLOOKUP($A142,INDIRECT(Adrese!D$2),3,FALSE)</f>
        <v>24</v>
      </c>
      <c r="N142">
        <f ca="1">+VLOOKUP($A142,INDIRECT(Adrese!E$2),3,FALSE)</f>
        <v>24</v>
      </c>
      <c r="O142">
        <f ca="1">+VLOOKUP($A142,INDIRECT(Adrese!F$2),3,FALSE)</f>
        <v>23</v>
      </c>
      <c r="P142">
        <f t="shared" ca="1" si="44"/>
        <v>113</v>
      </c>
      <c r="Q142" s="4">
        <f t="shared" ca="1" si="37"/>
        <v>22.6</v>
      </c>
      <c r="R142" s="4"/>
      <c r="T142" t="s">
        <v>194</v>
      </c>
      <c r="U142">
        <f ca="1">+VLOOKUP($T142,INDIRECT(Adrese!B$2),4,FALSE)</f>
        <v>90430</v>
      </c>
      <c r="V142">
        <f ca="1">+VLOOKUP($T142,INDIRECT(Adrese!C$2),4,FALSE)</f>
        <v>90187</v>
      </c>
      <c r="W142">
        <f ca="1">+VLOOKUP($T142,INDIRECT(Adrese!D$2),4,FALSE)</f>
        <v>90718</v>
      </c>
      <c r="X142">
        <f ca="1">+VLOOKUP($T142,INDIRECT(Adrese!E$2),4,FALSE)</f>
        <v>91123</v>
      </c>
      <c r="Y142">
        <f ca="1">+VLOOKUP($T142,INDIRECT(Adrese!F$2),4,FALSE)</f>
        <v>89919</v>
      </c>
      <c r="Z142">
        <f t="shared" ca="1" si="45"/>
        <v>452377</v>
      </c>
      <c r="AA142" s="4">
        <f t="shared" ca="1" si="38"/>
        <v>90475.4</v>
      </c>
      <c r="AC142" t="s">
        <v>194</v>
      </c>
      <c r="AD142">
        <f ca="1">+VLOOKUP($A142,INDIRECT(Adrese!B$2),5,FALSE)</f>
        <v>36863</v>
      </c>
      <c r="AE142">
        <f ca="1">+VLOOKUP($A142,INDIRECT(Adrese!C$2),5,FALSE)</f>
        <v>36623</v>
      </c>
      <c r="AF142">
        <f ca="1">+VLOOKUP($A142,INDIRECT(Adrese!D$2),5,FALSE)</f>
        <v>36790</v>
      </c>
      <c r="AG142">
        <f ca="1">+VLOOKUP($A142,INDIRECT(Adrese!E$2),5,FALSE)</f>
        <v>36641</v>
      </c>
      <c r="AH142">
        <f ca="1">+VLOOKUP($A142,INDIRECT(Adrese!F$2),5,FALSE)</f>
        <v>36799</v>
      </c>
      <c r="AI142" s="4">
        <f t="shared" ca="1" si="39"/>
        <v>36743.199999999997</v>
      </c>
      <c r="AJ142" s="4"/>
      <c r="AK142" s="4"/>
      <c r="AM142" t="s">
        <v>194</v>
      </c>
      <c r="AN142" s="4">
        <f ca="1">+VLOOKUP($A142,INDIRECT(Adrese!B$2),6,FALSE)</f>
        <v>0.81163716814159292</v>
      </c>
      <c r="AO142" s="4">
        <f ca="1">+VLOOKUP($A142,INDIRECT(Adrese!C$2),6,FALSE)</f>
        <v>0.80641592920353977</v>
      </c>
      <c r="AP142" s="4">
        <f ca="1">+VLOOKUP($A142,INDIRECT(Adrese!D$2),6,FALSE)</f>
        <v>0.81030973451327437</v>
      </c>
      <c r="AQ142" s="4">
        <f ca="1">+VLOOKUP($A142,INDIRECT(Adrese!E$2),6,FALSE)</f>
        <v>0.80681415929203537</v>
      </c>
      <c r="AR142" s="4">
        <f ca="1">+VLOOKUP($A142,INDIRECT(Adrese!F$2),6,FALSE)</f>
        <v>0.81042035398230083</v>
      </c>
      <c r="AS142" s="4" t="str">
        <f t="shared" ca="1" si="46"/>
        <v>0.81 (0.00)</v>
      </c>
      <c r="AT142" s="4">
        <f t="shared" ca="1" si="40"/>
        <v>0.80911946902654852</v>
      </c>
      <c r="AU142" s="4">
        <f t="shared" ca="1" si="47"/>
        <v>2.3490116526703343E-3</v>
      </c>
      <c r="AW142" t="s">
        <v>194</v>
      </c>
      <c r="AX142" s="4">
        <f ca="1">+VLOOKUP($A142,INDIRECT(Adrese!B$2),7,FALSE)</f>
        <v>0.91150442477876104</v>
      </c>
      <c r="AY142" s="4">
        <f ca="1">+VLOOKUP($A142,INDIRECT(Adrese!C$2),7,FALSE)</f>
        <v>0.90265486725663713</v>
      </c>
      <c r="AZ142" s="4">
        <f ca="1">+VLOOKUP($A142,INDIRECT(Adrese!D$2),7,FALSE)</f>
        <v>0.89380530973451322</v>
      </c>
      <c r="BA142" s="4">
        <f ca="1">+VLOOKUP($A142,INDIRECT(Adrese!E$2),7,FALSE)</f>
        <v>0.89380530973451322</v>
      </c>
      <c r="BB142" s="4">
        <f ca="1">+VLOOKUP($A142,INDIRECT(Adrese!F$2),7,FALSE)</f>
        <v>0.89823008849557517</v>
      </c>
      <c r="BC142" s="4" t="str">
        <f t="shared" ca="1" si="48"/>
        <v>0.90 (0.01)</v>
      </c>
      <c r="BD142">
        <f t="shared" ca="1" si="41"/>
        <v>0.9</v>
      </c>
      <c r="BE142" s="4">
        <f t="shared" ca="1" si="49"/>
        <v>7.4040710312750163E-3</v>
      </c>
      <c r="BG142" t="s">
        <v>194</v>
      </c>
      <c r="BH142" s="4">
        <f ca="1">+VLOOKUP($BG142,INDIRECT(Adrese!B$2),8,FALSE)</f>
        <v>0.10693527985174341</v>
      </c>
      <c r="BI142" s="4">
        <f ca="1">+VLOOKUP($BG142,INDIRECT(Adrese!C$2),8,FALSE)</f>
        <v>0.10625532142805071</v>
      </c>
      <c r="BJ142" s="4">
        <f ca="1">+VLOOKUP($BG142,INDIRECT(Adrese!D$2),8,FALSE)</f>
        <v>0.1063375430800322</v>
      </c>
      <c r="BK142" s="4">
        <f ca="1">+VLOOKUP($BG142,INDIRECT(Adrese!E$2),8,FALSE)</f>
        <v>0.1062779989673317</v>
      </c>
      <c r="BL142" s="4">
        <f ca="1">+VLOOKUP($BG142,INDIRECT(Adrese!F$2),8,FALSE)</f>
        <v>0.10654940380146539</v>
      </c>
      <c r="BM142" s="4" t="str">
        <f t="shared" ca="1" si="50"/>
        <v>0.11 (0.00)</v>
      </c>
      <c r="BN142" s="4">
        <f t="shared" ca="1" si="42"/>
        <v>0.10647110942572469</v>
      </c>
      <c r="BO142" s="4">
        <f t="shared" ca="1" si="51"/>
        <v>2.8428870512454778E-4</v>
      </c>
      <c r="BQ142" t="s">
        <v>194</v>
      </c>
      <c r="BR142" s="4">
        <f ca="1">+VLOOKUP($BG142,INDIRECT(Adrese!B$2),9,FALSE)</f>
        <v>-5.8354350964729879E-2</v>
      </c>
      <c r="BS142" s="4">
        <f ca="1">+VLOOKUP($BG142,INDIRECT(Adrese!C$2),9,FALSE)</f>
        <v>-5.5896047177666677E-2</v>
      </c>
      <c r="BT142" s="4">
        <f ca="1">+VLOOKUP($BG142,INDIRECT(Adrese!D$2),9,FALSE)</f>
        <v>-6.0110612295331947E-2</v>
      </c>
      <c r="BU142" s="4">
        <f ca="1">+VLOOKUP($BG142,INDIRECT(Adrese!E$2),9,FALSE)</f>
        <v>-5.7866086964697097E-2</v>
      </c>
      <c r="BV142" s="4">
        <f ca="1">+VLOOKUP($BG142,INDIRECT(Adrese!F$2),9,FALSE)</f>
        <v>-5.8856133812001492E-2</v>
      </c>
      <c r="BW142" s="4" t="str">
        <f t="shared" ca="1" si="52"/>
        <v>-0.06 (0.00)</v>
      </c>
      <c r="BX142" s="4">
        <f t="shared" ca="1" si="43"/>
        <v>-5.8216646242885417E-2</v>
      </c>
      <c r="BY142" s="4">
        <f t="shared" ca="1" si="53"/>
        <v>1.5429749008255241E-3</v>
      </c>
    </row>
    <row r="143" spans="1:77" x14ac:dyDescent="0.25">
      <c r="A143" t="s">
        <v>14</v>
      </c>
      <c r="B143" s="11">
        <f ca="1">+VLOOKUP($A143,INDIRECT(Adrese!B$2),2,FALSE)</f>
        <v>2</v>
      </c>
      <c r="C143" s="11">
        <f ca="1">+VLOOKUP($A143,INDIRECT(Adrese!C$2),2,FALSE)</f>
        <v>4</v>
      </c>
      <c r="D143" s="11">
        <f ca="1">+VLOOKUP($A143,INDIRECT(Adrese!D$2),2,FALSE)</f>
        <v>4</v>
      </c>
      <c r="E143" s="11">
        <f ca="1">+VLOOKUP($A143,INDIRECT(Adrese!E$2),2,FALSE)</f>
        <v>5</v>
      </c>
      <c r="F143" s="11">
        <f ca="1">+VLOOKUP($A143,INDIRECT(Adrese!F$2),2,FALSE)</f>
        <v>5</v>
      </c>
      <c r="G143" s="4">
        <f t="shared" ca="1" si="36"/>
        <v>4</v>
      </c>
      <c r="J143" t="s">
        <v>14</v>
      </c>
      <c r="K143">
        <f ca="1">+VLOOKUP($A143,INDIRECT(Adrese!B$2),3,FALSE)</f>
        <v>142</v>
      </c>
      <c r="L143">
        <f ca="1">+VLOOKUP($A143,INDIRECT(Adrese!C$2),3,FALSE)</f>
        <v>135</v>
      </c>
      <c r="M143">
        <f ca="1">+VLOOKUP($A143,INDIRECT(Adrese!D$2),3,FALSE)</f>
        <v>148</v>
      </c>
      <c r="N143">
        <f ca="1">+VLOOKUP($A143,INDIRECT(Adrese!E$2),3,FALSE)</f>
        <v>135</v>
      </c>
      <c r="O143">
        <f ca="1">+VLOOKUP($A143,INDIRECT(Adrese!F$2),3,FALSE)</f>
        <v>142</v>
      </c>
      <c r="P143">
        <f t="shared" ca="1" si="44"/>
        <v>702</v>
      </c>
      <c r="Q143" s="4">
        <f t="shared" ca="1" si="37"/>
        <v>140.4</v>
      </c>
      <c r="R143" s="4"/>
      <c r="T143" t="s">
        <v>14</v>
      </c>
      <c r="U143">
        <f ca="1">+VLOOKUP($T143,INDIRECT(Adrese!B$2),4,FALSE)</f>
        <v>104728</v>
      </c>
      <c r="V143">
        <f ca="1">+VLOOKUP($T143,INDIRECT(Adrese!C$2),4,FALSE)</f>
        <v>103833</v>
      </c>
      <c r="W143">
        <f ca="1">+VLOOKUP($T143,INDIRECT(Adrese!D$2),4,FALSE)</f>
        <v>104322</v>
      </c>
      <c r="X143">
        <f ca="1">+VLOOKUP($T143,INDIRECT(Adrese!E$2),4,FALSE)</f>
        <v>103048</v>
      </c>
      <c r="Y143">
        <f ca="1">+VLOOKUP($T143,INDIRECT(Adrese!F$2),4,FALSE)</f>
        <v>102969</v>
      </c>
      <c r="Z143">
        <f t="shared" ca="1" si="45"/>
        <v>518900</v>
      </c>
      <c r="AA143" s="4">
        <f t="shared" ca="1" si="38"/>
        <v>103780</v>
      </c>
      <c r="AC143" t="s">
        <v>14</v>
      </c>
      <c r="AD143">
        <f ca="1">+VLOOKUP($A143,INDIRECT(Adrese!B$2),5,FALSE)</f>
        <v>13283</v>
      </c>
      <c r="AE143">
        <f ca="1">+VLOOKUP($A143,INDIRECT(Adrese!C$2),5,FALSE)</f>
        <v>13962</v>
      </c>
      <c r="AF143">
        <f ca="1">+VLOOKUP($A143,INDIRECT(Adrese!D$2),5,FALSE)</f>
        <v>13182</v>
      </c>
      <c r="AG143">
        <f ca="1">+VLOOKUP($A143,INDIRECT(Adrese!E$2),5,FALSE)</f>
        <v>13448</v>
      </c>
      <c r="AH143">
        <f ca="1">+VLOOKUP($A143,INDIRECT(Adrese!F$2),5,FALSE)</f>
        <v>13202</v>
      </c>
      <c r="AI143" s="4">
        <f t="shared" ca="1" si="39"/>
        <v>13415.4</v>
      </c>
      <c r="AJ143" s="4"/>
      <c r="AK143" s="4"/>
      <c r="AM143" t="s">
        <v>14</v>
      </c>
      <c r="AN143" s="4">
        <f ca="1">+VLOOKUP($A143,INDIRECT(Adrese!B$2),6,FALSE)</f>
        <v>0.29331858407079647</v>
      </c>
      <c r="AO143" s="4">
        <f ca="1">+VLOOKUP($A143,INDIRECT(Adrese!C$2),6,FALSE)</f>
        <v>0.30853982300884958</v>
      </c>
      <c r="AP143" s="4">
        <f ca="1">+VLOOKUP($A143,INDIRECT(Adrese!D$2),6,FALSE)</f>
        <v>0.29115044247787608</v>
      </c>
      <c r="AQ143" s="4">
        <f ca="1">+VLOOKUP($A143,INDIRECT(Adrese!E$2),6,FALSE)</f>
        <v>0.29701327433628322</v>
      </c>
      <c r="AR143" s="4">
        <f ca="1">+VLOOKUP($A143,INDIRECT(Adrese!F$2),6,FALSE)</f>
        <v>0.29172566371681408</v>
      </c>
      <c r="AS143" s="4" t="str">
        <f t="shared" ca="1" si="46"/>
        <v>0.30 (0.01)</v>
      </c>
      <c r="AT143" s="4">
        <f t="shared" ca="1" si="40"/>
        <v>0.29634955752212389</v>
      </c>
      <c r="AU143" s="4">
        <f t="shared" ca="1" si="47"/>
        <v>7.1875079804305485E-3</v>
      </c>
      <c r="AW143" t="s">
        <v>14</v>
      </c>
      <c r="AX143" s="4">
        <f ca="1">+VLOOKUP($A143,INDIRECT(Adrese!B$2),7,FALSE)</f>
        <v>0.37168141592920362</v>
      </c>
      <c r="AY143" s="4">
        <f ca="1">+VLOOKUP($A143,INDIRECT(Adrese!C$2),7,FALSE)</f>
        <v>0.40265486725663718</v>
      </c>
      <c r="AZ143" s="4">
        <f ca="1">+VLOOKUP($A143,INDIRECT(Adrese!D$2),7,FALSE)</f>
        <v>0.34513274336283178</v>
      </c>
      <c r="BA143" s="4">
        <f ca="1">+VLOOKUP($A143,INDIRECT(Adrese!E$2),7,FALSE)</f>
        <v>0.40265486725663718</v>
      </c>
      <c r="BB143" s="4">
        <f ca="1">+VLOOKUP($A143,INDIRECT(Adrese!F$2),7,FALSE)</f>
        <v>0.37168141592920362</v>
      </c>
      <c r="BC143" s="4" t="str">
        <f t="shared" ca="1" si="48"/>
        <v>0.38 (0.02)</v>
      </c>
      <c r="BD143">
        <f t="shared" ca="1" si="41"/>
        <v>0.37876106194690273</v>
      </c>
      <c r="BE143" s="4">
        <f t="shared" ca="1" si="49"/>
        <v>2.4356387512429904E-2</v>
      </c>
      <c r="BG143" t="s">
        <v>14</v>
      </c>
      <c r="BH143" s="4">
        <f ca="1">+VLOOKUP($BG143,INDIRECT(Adrese!B$2),8,FALSE)</f>
        <v>3.7931549159282762E-2</v>
      </c>
      <c r="BI143" s="4">
        <f ca="1">+VLOOKUP($BG143,INDIRECT(Adrese!C$2),8,FALSE)</f>
        <v>4.0578097380661912E-2</v>
      </c>
      <c r="BJ143" s="4">
        <f ca="1">+VLOOKUP($BG143,INDIRECT(Adrese!D$2),8,FALSE)</f>
        <v>3.7842857030445577E-2</v>
      </c>
      <c r="BK143" s="4">
        <f ca="1">+VLOOKUP($BG143,INDIRECT(Adrese!E$2),8,FALSE)</f>
        <v>3.8658894047247178E-2</v>
      </c>
      <c r="BL143" s="4">
        <f ca="1">+VLOOKUP($BG143,INDIRECT(Adrese!F$2),8,FALSE)</f>
        <v>3.7775334154434292E-2</v>
      </c>
      <c r="BM143" s="4" t="str">
        <f t="shared" ca="1" si="50"/>
        <v>0.04 (0.00)</v>
      </c>
      <c r="BN143" s="4">
        <f t="shared" ca="1" si="42"/>
        <v>3.8557346354414344E-2</v>
      </c>
      <c r="BO143" s="4">
        <f t="shared" ca="1" si="51"/>
        <v>1.1839981892319148E-3</v>
      </c>
      <c r="BQ143" t="s">
        <v>14</v>
      </c>
      <c r="BR143" s="4">
        <f ca="1">+VLOOKUP($BG143,INDIRECT(Adrese!B$2),9,FALSE)</f>
        <v>1.5769812633784588E-2</v>
      </c>
      <c r="BS143" s="4">
        <f ca="1">+VLOOKUP($BG143,INDIRECT(Adrese!C$2),9,FALSE)</f>
        <v>1.4416759877587639E-2</v>
      </c>
      <c r="BT143" s="4">
        <f ca="1">+VLOOKUP($BG143,INDIRECT(Adrese!D$2),9,FALSE)</f>
        <v>1.9432051412562809E-2</v>
      </c>
      <c r="BU143" s="4">
        <f ca="1">+VLOOKUP($BG143,INDIRECT(Adrese!E$2),9,FALSE)</f>
        <v>1.601728281260411E-2</v>
      </c>
      <c r="BV143" s="4">
        <f ca="1">+VLOOKUP($BG143,INDIRECT(Adrese!F$2),9,FALSE)</f>
        <v>1.8877774649542638E-2</v>
      </c>
      <c r="BW143" s="4" t="str">
        <f t="shared" ca="1" si="52"/>
        <v>0.02 (0.00)</v>
      </c>
      <c r="BX143" s="4">
        <f t="shared" ca="1" si="43"/>
        <v>1.6902736277216359E-2</v>
      </c>
      <c r="BY143" s="4">
        <f t="shared" ca="1" si="53"/>
        <v>2.1532437220043972E-3</v>
      </c>
    </row>
    <row r="144" spans="1:77" x14ac:dyDescent="0.25">
      <c r="A144" t="s">
        <v>195</v>
      </c>
      <c r="B144" s="11">
        <f ca="1">+VLOOKUP($A144,INDIRECT(Adrese!B$2),2,FALSE)</f>
        <v>51</v>
      </c>
      <c r="C144" s="11">
        <f ca="1">+VLOOKUP($A144,INDIRECT(Adrese!C$2),2,FALSE)</f>
        <v>33</v>
      </c>
      <c r="D144" s="11">
        <f ca="1">+VLOOKUP($A144,INDIRECT(Adrese!D$2),2,FALSE)</f>
        <v>81</v>
      </c>
      <c r="E144" s="11">
        <f ca="1">+VLOOKUP($A144,INDIRECT(Adrese!E$2),2,FALSE)</f>
        <v>86</v>
      </c>
      <c r="F144" s="11">
        <f ca="1">+VLOOKUP($A144,INDIRECT(Adrese!F$2),2,FALSE)</f>
        <v>110</v>
      </c>
      <c r="G144" s="4">
        <f t="shared" ca="1" si="36"/>
        <v>72.2</v>
      </c>
      <c r="J144" t="s">
        <v>195</v>
      </c>
      <c r="K144">
        <f ca="1">+VLOOKUP($A144,INDIRECT(Adrese!B$2),3,FALSE)</f>
        <v>106</v>
      </c>
      <c r="L144">
        <f ca="1">+VLOOKUP($A144,INDIRECT(Adrese!C$2),3,FALSE)</f>
        <v>108</v>
      </c>
      <c r="M144">
        <f ca="1">+VLOOKUP($A144,INDIRECT(Adrese!D$2),3,FALSE)</f>
        <v>106</v>
      </c>
      <c r="N144">
        <f ca="1">+VLOOKUP($A144,INDIRECT(Adrese!E$2),3,FALSE)</f>
        <v>96</v>
      </c>
      <c r="O144">
        <f ca="1">+VLOOKUP($A144,INDIRECT(Adrese!F$2),3,FALSE)</f>
        <v>98</v>
      </c>
      <c r="P144">
        <f t="shared" ca="1" si="44"/>
        <v>514</v>
      </c>
      <c r="Q144" s="4">
        <f t="shared" ca="1" si="37"/>
        <v>102.8</v>
      </c>
      <c r="R144" s="4"/>
      <c r="T144" t="s">
        <v>195</v>
      </c>
      <c r="U144">
        <f ca="1">+VLOOKUP($T144,INDIRECT(Adrese!B$2),4,FALSE)</f>
        <v>97504</v>
      </c>
      <c r="V144">
        <f ca="1">+VLOOKUP($T144,INDIRECT(Adrese!C$2),4,FALSE)</f>
        <v>98466</v>
      </c>
      <c r="W144">
        <f ca="1">+VLOOKUP($T144,INDIRECT(Adrese!D$2),4,FALSE)</f>
        <v>96385</v>
      </c>
      <c r="X144">
        <f ca="1">+VLOOKUP($T144,INDIRECT(Adrese!E$2),4,FALSE)</f>
        <v>96178</v>
      </c>
      <c r="Y144">
        <f ca="1">+VLOOKUP($T144,INDIRECT(Adrese!F$2),4,FALSE)</f>
        <v>95206</v>
      </c>
      <c r="Z144">
        <f t="shared" ca="1" si="45"/>
        <v>483739</v>
      </c>
      <c r="AA144" s="4">
        <f t="shared" ca="1" si="38"/>
        <v>96747.8</v>
      </c>
      <c r="AC144" t="s">
        <v>195</v>
      </c>
      <c r="AD144">
        <f ca="1">+VLOOKUP($A144,INDIRECT(Adrese!B$2),5,FALSE)</f>
        <v>22098</v>
      </c>
      <c r="AE144">
        <f ca="1">+VLOOKUP($A144,INDIRECT(Adrese!C$2),5,FALSE)</f>
        <v>22419</v>
      </c>
      <c r="AF144">
        <f ca="1">+VLOOKUP($A144,INDIRECT(Adrese!D$2),5,FALSE)</f>
        <v>21985</v>
      </c>
      <c r="AG144">
        <f ca="1">+VLOOKUP($A144,INDIRECT(Adrese!E$2),5,FALSE)</f>
        <v>22002</v>
      </c>
      <c r="AH144">
        <f ca="1">+VLOOKUP($A144,INDIRECT(Adrese!F$2),5,FALSE)</f>
        <v>21635</v>
      </c>
      <c r="AI144" s="4">
        <f t="shared" ca="1" si="39"/>
        <v>22027.8</v>
      </c>
      <c r="AJ144" s="4"/>
      <c r="AK144" s="4"/>
      <c r="AM144" t="s">
        <v>195</v>
      </c>
      <c r="AN144" s="4">
        <f ca="1">+VLOOKUP($A144,INDIRECT(Adrese!B$2),6,FALSE)</f>
        <v>0.48692477876106188</v>
      </c>
      <c r="AO144" s="4">
        <f ca="1">+VLOOKUP($A144,INDIRECT(Adrese!C$2),6,FALSE)</f>
        <v>0.49360619469026551</v>
      </c>
      <c r="AP144" s="4">
        <f ca="1">+VLOOKUP($A144,INDIRECT(Adrese!D$2),6,FALSE)</f>
        <v>0.4841592920353982</v>
      </c>
      <c r="AQ144" s="4">
        <f ca="1">+VLOOKUP($A144,INDIRECT(Adrese!E$2),6,FALSE)</f>
        <v>0.48449115044247792</v>
      </c>
      <c r="AR144" s="4">
        <f ca="1">+VLOOKUP($A144,INDIRECT(Adrese!F$2),6,FALSE)</f>
        <v>0.47650442477876098</v>
      </c>
      <c r="AS144" s="4" t="str">
        <f t="shared" ca="1" si="46"/>
        <v>0.49 (0.01)</v>
      </c>
      <c r="AT144" s="4">
        <f t="shared" ca="1" si="40"/>
        <v>0.48513716814159286</v>
      </c>
      <c r="AU144" s="4">
        <f t="shared" ca="1" si="47"/>
        <v>6.1403949572506047E-3</v>
      </c>
      <c r="AW144" t="s">
        <v>195</v>
      </c>
      <c r="AX144" s="4">
        <f ca="1">+VLOOKUP($A144,INDIRECT(Adrese!B$2),7,FALSE)</f>
        <v>0.53097345132743368</v>
      </c>
      <c r="AY144" s="4">
        <f ca="1">+VLOOKUP($A144,INDIRECT(Adrese!C$2),7,FALSE)</f>
        <v>0.52212389380530977</v>
      </c>
      <c r="AZ144" s="4">
        <f ca="1">+VLOOKUP($A144,INDIRECT(Adrese!D$2),7,FALSE)</f>
        <v>0.53097345132743368</v>
      </c>
      <c r="BA144" s="4">
        <f ca="1">+VLOOKUP($A144,INDIRECT(Adrese!E$2),7,FALSE)</f>
        <v>0.5752212389380531</v>
      </c>
      <c r="BB144" s="4">
        <f ca="1">+VLOOKUP($A144,INDIRECT(Adrese!F$2),7,FALSE)</f>
        <v>0.5663716814159292</v>
      </c>
      <c r="BC144" s="4" t="str">
        <f t="shared" ca="1" si="48"/>
        <v>0.55 (0.02)</v>
      </c>
      <c r="BD144">
        <f t="shared" ca="1" si="41"/>
        <v>0.5451327433628318</v>
      </c>
      <c r="BE144" s="4">
        <f t="shared" ca="1" si="49"/>
        <v>2.391018776301997E-2</v>
      </c>
      <c r="BG144" t="s">
        <v>195</v>
      </c>
      <c r="BH144" s="4">
        <f ca="1">+VLOOKUP($BG144,INDIRECT(Adrese!B$2),8,FALSE)</f>
        <v>6.9380804326530085E-2</v>
      </c>
      <c r="BI144" s="4">
        <f ca="1">+VLOOKUP($BG144,INDIRECT(Adrese!C$2),8,FALSE)</f>
        <v>7.0263977200522229E-2</v>
      </c>
      <c r="BJ144" s="4">
        <f ca="1">+VLOOKUP($BG144,INDIRECT(Adrese!D$2),8,FALSE)</f>
        <v>6.8798440453478119E-2</v>
      </c>
      <c r="BK144" s="4">
        <f ca="1">+VLOOKUP($BG144,INDIRECT(Adrese!E$2),8,FALSE)</f>
        <v>6.9169326554003374E-2</v>
      </c>
      <c r="BL144" s="4">
        <f ca="1">+VLOOKUP($BG144,INDIRECT(Adrese!F$2),8,FALSE)</f>
        <v>6.7920310323183949E-2</v>
      </c>
      <c r="BM144" s="4" t="str">
        <f t="shared" ca="1" si="50"/>
        <v>0.07 (0.00)</v>
      </c>
      <c r="BN144" s="4">
        <f t="shared" ca="1" si="42"/>
        <v>6.9106571771543557E-2</v>
      </c>
      <c r="BO144" s="4">
        <f t="shared" ca="1" si="51"/>
        <v>8.5453059000282431E-4</v>
      </c>
      <c r="BQ144" t="s">
        <v>195</v>
      </c>
      <c r="BR144" s="4">
        <f ca="1">+VLOOKUP($BG144,INDIRECT(Adrese!B$2),9,FALSE)</f>
        <v>4.7067634521913947E-2</v>
      </c>
      <c r="BS144" s="4">
        <f ca="1">+VLOOKUP($BG144,INDIRECT(Adrese!C$2),9,FALSE)</f>
        <v>4.8540890233212938E-2</v>
      </c>
      <c r="BT144" s="4">
        <f ca="1">+VLOOKUP($BG144,INDIRECT(Adrese!D$2),9,FALSE)</f>
        <v>4.9109544554420827E-2</v>
      </c>
      <c r="BU144" s="4">
        <f ca="1">+VLOOKUP($BG144,INDIRECT(Adrese!E$2),9,FALSE)</f>
        <v>5.4348330420039892E-2</v>
      </c>
      <c r="BV144" s="4">
        <f ca="1">+VLOOKUP($BG144,INDIRECT(Adrese!F$2),9,FALSE)</f>
        <v>5.3275989366606061E-2</v>
      </c>
      <c r="BW144" s="4" t="str">
        <f t="shared" ca="1" si="52"/>
        <v>0.05 (0.00)</v>
      </c>
      <c r="BX144" s="4">
        <f t="shared" ca="1" si="43"/>
        <v>5.046847781923873E-2</v>
      </c>
      <c r="BY144" s="4">
        <f t="shared" ca="1" si="53"/>
        <v>3.1647830077879244E-3</v>
      </c>
    </row>
    <row r="145" spans="1:77" x14ac:dyDescent="0.25">
      <c r="A145" t="s">
        <v>196</v>
      </c>
      <c r="B145" s="11">
        <f ca="1">+VLOOKUP($A145,INDIRECT(Adrese!B$2),2,FALSE)</f>
        <v>64</v>
      </c>
      <c r="C145" s="11">
        <f ca="1">+VLOOKUP($A145,INDIRECT(Adrese!C$2),2,FALSE)</f>
        <v>86</v>
      </c>
      <c r="D145" s="11">
        <f ca="1">+VLOOKUP($A145,INDIRECT(Adrese!D$2),2,FALSE)</f>
        <v>54</v>
      </c>
      <c r="E145" s="11">
        <f ca="1">+VLOOKUP($A145,INDIRECT(Adrese!E$2),2,FALSE)</f>
        <v>59</v>
      </c>
      <c r="F145" s="11">
        <f ca="1">+VLOOKUP($A145,INDIRECT(Adrese!F$2),2,FALSE)</f>
        <v>62</v>
      </c>
      <c r="G145" s="4">
        <f t="shared" ca="1" si="36"/>
        <v>65</v>
      </c>
      <c r="J145" t="s">
        <v>196</v>
      </c>
      <c r="K145">
        <f ca="1">+VLOOKUP($A145,INDIRECT(Adrese!B$2),3,FALSE)</f>
        <v>151</v>
      </c>
      <c r="L145">
        <f ca="1">+VLOOKUP($A145,INDIRECT(Adrese!C$2),3,FALSE)</f>
        <v>139</v>
      </c>
      <c r="M145">
        <f ca="1">+VLOOKUP($A145,INDIRECT(Adrese!D$2),3,FALSE)</f>
        <v>146</v>
      </c>
      <c r="N145">
        <f ca="1">+VLOOKUP($A145,INDIRECT(Adrese!E$2),3,FALSE)</f>
        <v>147</v>
      </c>
      <c r="O145">
        <f ca="1">+VLOOKUP($A145,INDIRECT(Adrese!F$2),3,FALSE)</f>
        <v>135</v>
      </c>
      <c r="P145">
        <f t="shared" ca="1" si="44"/>
        <v>718</v>
      </c>
      <c r="Q145" s="4">
        <f t="shared" ca="1" si="37"/>
        <v>143.6</v>
      </c>
      <c r="R145" s="4"/>
      <c r="T145" t="s">
        <v>196</v>
      </c>
      <c r="U145">
        <f ca="1">+VLOOKUP($T145,INDIRECT(Adrese!B$2),4,FALSE)</f>
        <v>96879</v>
      </c>
      <c r="V145">
        <f ca="1">+VLOOKUP($T145,INDIRECT(Adrese!C$2),4,FALSE)</f>
        <v>95914</v>
      </c>
      <c r="W145">
        <f ca="1">+VLOOKUP($T145,INDIRECT(Adrese!D$2),4,FALSE)</f>
        <v>97006</v>
      </c>
      <c r="X145">
        <f ca="1">+VLOOKUP($T145,INDIRECT(Adrese!E$2),4,FALSE)</f>
        <v>97064</v>
      </c>
      <c r="Y145">
        <f ca="1">+VLOOKUP($T145,INDIRECT(Adrese!F$2),4,FALSE)</f>
        <v>97139</v>
      </c>
      <c r="Z145">
        <f t="shared" ca="1" si="45"/>
        <v>484002</v>
      </c>
      <c r="AA145" s="4">
        <f t="shared" ca="1" si="38"/>
        <v>96800.4</v>
      </c>
      <c r="AC145" t="s">
        <v>196</v>
      </c>
      <c r="AD145">
        <f ca="1">+VLOOKUP($A145,INDIRECT(Adrese!B$2),5,FALSE)</f>
        <v>13998</v>
      </c>
      <c r="AE145">
        <f ca="1">+VLOOKUP($A145,INDIRECT(Adrese!C$2),5,FALSE)</f>
        <v>15805</v>
      </c>
      <c r="AF145">
        <f ca="1">+VLOOKUP($A145,INDIRECT(Adrese!D$2),5,FALSE)</f>
        <v>16298</v>
      </c>
      <c r="AG145">
        <f ca="1">+VLOOKUP($A145,INDIRECT(Adrese!E$2),5,FALSE)</f>
        <v>15073</v>
      </c>
      <c r="AH145">
        <f ca="1">+VLOOKUP($A145,INDIRECT(Adrese!F$2),5,FALSE)</f>
        <v>17243</v>
      </c>
      <c r="AI145" s="4">
        <f t="shared" ca="1" si="39"/>
        <v>15683.4</v>
      </c>
      <c r="AJ145" s="4"/>
      <c r="AK145" s="4"/>
      <c r="AM145" t="s">
        <v>196</v>
      </c>
      <c r="AN145" s="4">
        <f ca="1">+VLOOKUP($A145,INDIRECT(Adrese!B$2),6,FALSE)</f>
        <v>0.30577433628318579</v>
      </c>
      <c r="AO145" s="4">
        <f ca="1">+VLOOKUP($A145,INDIRECT(Adrese!C$2),6,FALSE)</f>
        <v>0.34738938053097351</v>
      </c>
      <c r="AP145" s="4">
        <f ca="1">+VLOOKUP($A145,INDIRECT(Adrese!D$2),6,FALSE)</f>
        <v>0.35663716814159291</v>
      </c>
      <c r="AQ145" s="4">
        <f ca="1">+VLOOKUP($A145,INDIRECT(Adrese!E$2),6,FALSE)</f>
        <v>0.33134955752212392</v>
      </c>
      <c r="AR145" s="4">
        <f ca="1">+VLOOKUP($A145,INDIRECT(Adrese!F$2),6,FALSE)</f>
        <v>0.37765486725663722</v>
      </c>
      <c r="AS145" s="4" t="str">
        <f t="shared" ca="1" si="46"/>
        <v>0.34 (0.03)</v>
      </c>
      <c r="AT145" s="4">
        <f t="shared" ca="1" si="40"/>
        <v>0.34376106194690265</v>
      </c>
      <c r="AU145" s="4">
        <f t="shared" ca="1" si="47"/>
        <v>2.7040643546314837E-2</v>
      </c>
      <c r="AW145" t="s">
        <v>196</v>
      </c>
      <c r="AX145" s="4">
        <f ca="1">+VLOOKUP($A145,INDIRECT(Adrese!B$2),7,FALSE)</f>
        <v>0.33185840707964598</v>
      </c>
      <c r="AY145" s="4">
        <f ca="1">+VLOOKUP($A145,INDIRECT(Adrese!C$2),7,FALSE)</f>
        <v>0.38495575221238942</v>
      </c>
      <c r="AZ145" s="4">
        <f ca="1">+VLOOKUP($A145,INDIRECT(Adrese!D$2),7,FALSE)</f>
        <v>0.35398230088495569</v>
      </c>
      <c r="BA145" s="4">
        <f ca="1">+VLOOKUP($A145,INDIRECT(Adrese!E$2),7,FALSE)</f>
        <v>0.34955752212389379</v>
      </c>
      <c r="BB145" s="4">
        <f ca="1">+VLOOKUP($A145,INDIRECT(Adrese!F$2),7,FALSE)</f>
        <v>0.40265486725663718</v>
      </c>
      <c r="BC145" s="4" t="str">
        <f t="shared" ca="1" si="48"/>
        <v>0.36 (0.03)</v>
      </c>
      <c r="BD145">
        <f t="shared" ca="1" si="41"/>
        <v>0.36460176991150439</v>
      </c>
      <c r="BE145" s="4">
        <f t="shared" ca="1" si="49"/>
        <v>2.8607486504857754E-2</v>
      </c>
      <c r="BG145" t="s">
        <v>196</v>
      </c>
      <c r="BH145" s="4">
        <f ca="1">+VLOOKUP($BG145,INDIRECT(Adrese!B$2),8,FALSE)</f>
        <v>3.7519066667586309E-2</v>
      </c>
      <c r="BI145" s="4">
        <f ca="1">+VLOOKUP($BG145,INDIRECT(Adrese!C$2),8,FALSE)</f>
        <v>4.1909284080840492E-2</v>
      </c>
      <c r="BJ145" s="4">
        <f ca="1">+VLOOKUP($BG145,INDIRECT(Adrese!D$2),8,FALSE)</f>
        <v>4.4177798621397778E-2</v>
      </c>
      <c r="BK145" s="4">
        <f ca="1">+VLOOKUP($BG145,INDIRECT(Adrese!E$2),8,FALSE)</f>
        <v>4.1655709495471857E-2</v>
      </c>
      <c r="BL145" s="4">
        <f ca="1">+VLOOKUP($BG145,INDIRECT(Adrese!F$2),8,FALSE)</f>
        <v>4.7717765871919858E-2</v>
      </c>
      <c r="BM145" s="4" t="str">
        <f t="shared" ca="1" si="50"/>
        <v>0.04 (0.00)</v>
      </c>
      <c r="BN145" s="4">
        <f t="shared" ca="1" si="42"/>
        <v>4.2595924947443256E-2</v>
      </c>
      <c r="BO145" s="4">
        <f t="shared" ca="1" si="51"/>
        <v>3.7371630130876186E-3</v>
      </c>
      <c r="BQ145" t="s">
        <v>196</v>
      </c>
      <c r="BR145" s="4">
        <f ca="1">+VLOOKUP($BG145,INDIRECT(Adrese!B$2),9,FALSE)</f>
        <v>2.243726717337946E-2</v>
      </c>
      <c r="BS145" s="4">
        <f ca="1">+VLOOKUP($BG145,INDIRECT(Adrese!C$2),9,FALSE)</f>
        <v>1.08024063502196E-2</v>
      </c>
      <c r="BT145" s="4">
        <f ca="1">+VLOOKUP($BG145,INDIRECT(Adrese!D$2),9,FALSE)</f>
        <v>1.1283795540019339E-2</v>
      </c>
      <c r="BU145" s="4">
        <f ca="1">+VLOOKUP($BG145,INDIRECT(Adrese!E$2),9,FALSE)</f>
        <v>2.185038218488522E-2</v>
      </c>
      <c r="BV145" s="4">
        <f ca="1">+VLOOKUP($BG145,INDIRECT(Adrese!F$2),9,FALSE)</f>
        <v>1.0543701787098601E-2</v>
      </c>
      <c r="BW145" s="4" t="str">
        <f t="shared" ca="1" si="52"/>
        <v>0.02 (0.01)</v>
      </c>
      <c r="BX145" s="4">
        <f t="shared" ca="1" si="43"/>
        <v>1.5383510607120444E-2</v>
      </c>
      <c r="BY145" s="4">
        <f t="shared" ca="1" si="53"/>
        <v>6.1804902507348932E-3</v>
      </c>
    </row>
    <row r="146" spans="1:77" x14ac:dyDescent="0.25">
      <c r="A146" t="s">
        <v>197</v>
      </c>
      <c r="B146" s="11">
        <f ca="1">+VLOOKUP($A146,INDIRECT(Adrese!B$2),2,FALSE)</f>
        <v>85</v>
      </c>
      <c r="C146" s="11">
        <f ca="1">+VLOOKUP($A146,INDIRECT(Adrese!C$2),2,FALSE)</f>
        <v>96</v>
      </c>
      <c r="D146" s="11">
        <f ca="1">+VLOOKUP($A146,INDIRECT(Adrese!D$2),2,FALSE)</f>
        <v>83</v>
      </c>
      <c r="E146" s="11">
        <f ca="1">+VLOOKUP($A146,INDIRECT(Adrese!E$2),2,FALSE)</f>
        <v>94</v>
      </c>
      <c r="F146" s="11">
        <f ca="1">+VLOOKUP($A146,INDIRECT(Adrese!F$2),2,FALSE)</f>
        <v>75</v>
      </c>
      <c r="G146" s="4">
        <f t="shared" ca="1" si="36"/>
        <v>86.6</v>
      </c>
      <c r="J146" t="s">
        <v>197</v>
      </c>
      <c r="K146">
        <f ca="1">+VLOOKUP($A146,INDIRECT(Adrese!B$2),3,FALSE)</f>
        <v>115</v>
      </c>
      <c r="L146">
        <f ca="1">+VLOOKUP($A146,INDIRECT(Adrese!C$2),3,FALSE)</f>
        <v>112</v>
      </c>
      <c r="M146">
        <f ca="1">+VLOOKUP($A146,INDIRECT(Adrese!D$2),3,FALSE)</f>
        <v>121</v>
      </c>
      <c r="N146">
        <f ca="1">+VLOOKUP($A146,INDIRECT(Adrese!E$2),3,FALSE)</f>
        <v>119</v>
      </c>
      <c r="O146">
        <f ca="1">+VLOOKUP($A146,INDIRECT(Adrese!F$2),3,FALSE)</f>
        <v>114</v>
      </c>
      <c r="P146">
        <f t="shared" ca="1" si="44"/>
        <v>581</v>
      </c>
      <c r="Q146" s="4">
        <f t="shared" ca="1" si="37"/>
        <v>116.2</v>
      </c>
      <c r="R146" s="4"/>
      <c r="T146" t="s">
        <v>197</v>
      </c>
      <c r="U146">
        <f ca="1">+VLOOKUP($T146,INDIRECT(Adrese!B$2),4,FALSE)</f>
        <v>96363</v>
      </c>
      <c r="V146">
        <f ca="1">+VLOOKUP($T146,INDIRECT(Adrese!C$2),4,FALSE)</f>
        <v>95636</v>
      </c>
      <c r="W146">
        <f ca="1">+VLOOKUP($T146,INDIRECT(Adrese!D$2),4,FALSE)</f>
        <v>96268</v>
      </c>
      <c r="X146">
        <f ca="1">+VLOOKUP($T146,INDIRECT(Adrese!E$2),4,FALSE)</f>
        <v>95962</v>
      </c>
      <c r="Y146">
        <f ca="1">+VLOOKUP($T146,INDIRECT(Adrese!F$2),4,FALSE)</f>
        <v>96654</v>
      </c>
      <c r="Z146">
        <f t="shared" ca="1" si="45"/>
        <v>480883</v>
      </c>
      <c r="AA146" s="4">
        <f t="shared" ca="1" si="38"/>
        <v>96176.6</v>
      </c>
      <c r="AC146" t="s">
        <v>197</v>
      </c>
      <c r="AD146">
        <f ca="1">+VLOOKUP($A146,INDIRECT(Adrese!B$2),5,FALSE)</f>
        <v>20274</v>
      </c>
      <c r="AE146">
        <f ca="1">+VLOOKUP($A146,INDIRECT(Adrese!C$2),5,FALSE)</f>
        <v>20274</v>
      </c>
      <c r="AF146">
        <f ca="1">+VLOOKUP($A146,INDIRECT(Adrese!D$2),5,FALSE)</f>
        <v>20236</v>
      </c>
      <c r="AG146">
        <f ca="1">+VLOOKUP($A146,INDIRECT(Adrese!E$2),5,FALSE)</f>
        <v>20208</v>
      </c>
      <c r="AH146">
        <f ca="1">+VLOOKUP($A146,INDIRECT(Adrese!F$2),5,FALSE)</f>
        <v>20465</v>
      </c>
      <c r="AI146" s="4">
        <f t="shared" ca="1" si="39"/>
        <v>20291.400000000001</v>
      </c>
      <c r="AJ146" s="4"/>
      <c r="AK146" s="4"/>
      <c r="AM146" t="s">
        <v>197</v>
      </c>
      <c r="AN146" s="4">
        <f ca="1">+VLOOKUP($A146,INDIRECT(Adrese!B$2),6,FALSE)</f>
        <v>0.44692477876106201</v>
      </c>
      <c r="AO146" s="4">
        <f ca="1">+VLOOKUP($A146,INDIRECT(Adrese!C$2),6,FALSE)</f>
        <v>0.44630530973451332</v>
      </c>
      <c r="AP146" s="4">
        <f ca="1">+VLOOKUP($A146,INDIRECT(Adrese!D$2),6,FALSE)</f>
        <v>0.44544247787610619</v>
      </c>
      <c r="AQ146" s="4">
        <f ca="1">+VLOOKUP($A146,INDIRECT(Adrese!E$2),6,FALSE)</f>
        <v>0.44504424778761059</v>
      </c>
      <c r="AR146" s="4">
        <f ca="1">+VLOOKUP($A146,INDIRECT(Adrese!F$2),6,FALSE)</f>
        <v>0.45101769911504419</v>
      </c>
      <c r="AS146" s="4" t="str">
        <f t="shared" ca="1" si="46"/>
        <v>0.45 (0.00)</v>
      </c>
      <c r="AT146" s="4">
        <f t="shared" ca="1" si="40"/>
        <v>0.44694690265486725</v>
      </c>
      <c r="AU146" s="4">
        <f t="shared" ca="1" si="47"/>
        <v>2.3909675981263426E-3</v>
      </c>
      <c r="AW146" t="s">
        <v>197</v>
      </c>
      <c r="AX146" s="4">
        <f ca="1">+VLOOKUP($A146,INDIRECT(Adrese!B$2),7,FALSE)</f>
        <v>0.49115044247787609</v>
      </c>
      <c r="AY146" s="4">
        <f ca="1">+VLOOKUP($A146,INDIRECT(Adrese!C$2),7,FALSE)</f>
        <v>0.50442477876106195</v>
      </c>
      <c r="AZ146" s="4">
        <f ca="1">+VLOOKUP($A146,INDIRECT(Adrese!D$2),7,FALSE)</f>
        <v>0.46460176991150443</v>
      </c>
      <c r="BA146" s="4">
        <f ca="1">+VLOOKUP($A146,INDIRECT(Adrese!E$2),7,FALSE)</f>
        <v>0.47345132743362828</v>
      </c>
      <c r="BB146" s="4">
        <f ca="1">+VLOOKUP($A146,INDIRECT(Adrese!F$2),7,FALSE)</f>
        <v>0.49557522123893799</v>
      </c>
      <c r="BC146" s="4" t="str">
        <f t="shared" ca="1" si="48"/>
        <v>0.49 (0.02)</v>
      </c>
      <c r="BD146">
        <f t="shared" ca="1" si="41"/>
        <v>0.48584070796460177</v>
      </c>
      <c r="BE146" s="4">
        <f t="shared" ca="1" si="49"/>
        <v>1.6377659755151989E-2</v>
      </c>
      <c r="BG146" t="s">
        <v>197</v>
      </c>
      <c r="BH146" s="4">
        <f ca="1">+VLOOKUP($BG146,INDIRECT(Adrese!B$2),8,FALSE)</f>
        <v>6.4960845338917148E-2</v>
      </c>
      <c r="BI146" s="4">
        <f ca="1">+VLOOKUP($BG146,INDIRECT(Adrese!C$2),8,FALSE)</f>
        <v>6.4949086645605281E-2</v>
      </c>
      <c r="BJ146" s="4">
        <f ca="1">+VLOOKUP($BG146,INDIRECT(Adrese!D$2),8,FALSE)</f>
        <v>6.4767183963112665E-2</v>
      </c>
      <c r="BK146" s="4">
        <f ca="1">+VLOOKUP($BG146,INDIRECT(Adrese!E$2),8,FALSE)</f>
        <v>6.4919318913962992E-2</v>
      </c>
      <c r="BL146" s="4">
        <f ca="1">+VLOOKUP($BG146,INDIRECT(Adrese!F$2),8,FALSE)</f>
        <v>6.5424058839899046E-2</v>
      </c>
      <c r="BM146" s="4" t="str">
        <f t="shared" ca="1" si="50"/>
        <v>0.07 (0.00)</v>
      </c>
      <c r="BN146" s="4">
        <f t="shared" ca="1" si="42"/>
        <v>6.5004098740299429E-2</v>
      </c>
      <c r="BO146" s="4">
        <f t="shared" ca="1" si="51"/>
        <v>2.4727510143187975E-4</v>
      </c>
      <c r="BQ146" t="s">
        <v>197</v>
      </c>
      <c r="BR146" s="4">
        <f ca="1">+VLOOKUP($BG146,INDIRECT(Adrese!B$2),9,FALSE)</f>
        <v>6.7456803725072928E-2</v>
      </c>
      <c r="BS146" s="4">
        <f ca="1">+VLOOKUP($BG146,INDIRECT(Adrese!C$2),9,FALSE)</f>
        <v>6.8716263137375444E-2</v>
      </c>
      <c r="BT146" s="4">
        <f ca="1">+VLOOKUP($BG146,INDIRECT(Adrese!D$2),9,FALSE)</f>
        <v>7.0566847214867195E-2</v>
      </c>
      <c r="BU146" s="4">
        <f ca="1">+VLOOKUP($BG146,INDIRECT(Adrese!E$2),9,FALSE)</f>
        <v>7.0062958312943624E-2</v>
      </c>
      <c r="BV146" s="4">
        <f ca="1">+VLOOKUP($BG146,INDIRECT(Adrese!F$2),9,FALSE)</f>
        <v>6.857491552553116E-2</v>
      </c>
      <c r="BW146" s="4" t="str">
        <f t="shared" ca="1" si="52"/>
        <v>0.07 (0.00)</v>
      </c>
      <c r="BX146" s="4">
        <f t="shared" ca="1" si="43"/>
        <v>6.9075557583158059E-2</v>
      </c>
      <c r="BY146" s="4">
        <f t="shared" ca="1" si="53"/>
        <v>1.2448899538237172E-3</v>
      </c>
    </row>
    <row r="147" spans="1:77" x14ac:dyDescent="0.25">
      <c r="A147" t="s">
        <v>198</v>
      </c>
      <c r="B147" s="11">
        <f ca="1">+VLOOKUP($A147,INDIRECT(Adrese!B$2),2,FALSE)</f>
        <v>195</v>
      </c>
      <c r="C147" s="11">
        <f ca="1">+VLOOKUP($A147,INDIRECT(Adrese!C$2),2,FALSE)</f>
        <v>205</v>
      </c>
      <c r="D147" s="11">
        <f ca="1">+VLOOKUP($A147,INDIRECT(Adrese!D$2),2,FALSE)</f>
        <v>193</v>
      </c>
      <c r="E147" s="11">
        <f ca="1">+VLOOKUP($A147,INDIRECT(Adrese!E$2),2,FALSE)</f>
        <v>198</v>
      </c>
      <c r="F147" s="11">
        <f ca="1">+VLOOKUP($A147,INDIRECT(Adrese!F$2),2,FALSE)</f>
        <v>214</v>
      </c>
      <c r="G147" s="4">
        <f t="shared" ca="1" si="36"/>
        <v>201</v>
      </c>
      <c r="J147" t="s">
        <v>198</v>
      </c>
      <c r="K147">
        <f ca="1">+VLOOKUP($A147,INDIRECT(Adrese!B$2),3,FALSE)</f>
        <v>38</v>
      </c>
      <c r="L147">
        <f ca="1">+VLOOKUP($A147,INDIRECT(Adrese!C$2),3,FALSE)</f>
        <v>35</v>
      </c>
      <c r="M147">
        <f ca="1">+VLOOKUP($A147,INDIRECT(Adrese!D$2),3,FALSE)</f>
        <v>34</v>
      </c>
      <c r="N147">
        <f ca="1">+VLOOKUP($A147,INDIRECT(Adrese!E$2),3,FALSE)</f>
        <v>38</v>
      </c>
      <c r="O147">
        <f ca="1">+VLOOKUP($A147,INDIRECT(Adrese!F$2),3,FALSE)</f>
        <v>33</v>
      </c>
      <c r="P147">
        <f t="shared" ca="1" si="44"/>
        <v>178</v>
      </c>
      <c r="Q147" s="4">
        <f t="shared" ca="1" si="37"/>
        <v>35.6</v>
      </c>
      <c r="R147" s="4"/>
      <c r="T147" t="s">
        <v>198</v>
      </c>
      <c r="U147">
        <f ca="1">+VLOOKUP($T147,INDIRECT(Adrese!B$2),4,FALSE)</f>
        <v>89283</v>
      </c>
      <c r="V147">
        <f ca="1">+VLOOKUP($T147,INDIRECT(Adrese!C$2),4,FALSE)</f>
        <v>88330</v>
      </c>
      <c r="W147">
        <f ca="1">+VLOOKUP($T147,INDIRECT(Adrese!D$2),4,FALSE)</f>
        <v>89223</v>
      </c>
      <c r="X147">
        <f ca="1">+VLOOKUP($T147,INDIRECT(Adrese!E$2),4,FALSE)</f>
        <v>88819</v>
      </c>
      <c r="Y147">
        <f ca="1">+VLOOKUP($T147,INDIRECT(Adrese!F$2),4,FALSE)</f>
        <v>87237</v>
      </c>
      <c r="Z147">
        <f t="shared" ca="1" si="45"/>
        <v>442892</v>
      </c>
      <c r="AA147" s="4">
        <f t="shared" ca="1" si="38"/>
        <v>88578.4</v>
      </c>
      <c r="AC147" t="s">
        <v>198</v>
      </c>
      <c r="AD147">
        <f ca="1">+VLOOKUP($A147,INDIRECT(Adrese!B$2),5,FALSE)</f>
        <v>38496</v>
      </c>
      <c r="AE147">
        <f ca="1">+VLOOKUP($A147,INDIRECT(Adrese!C$2),5,FALSE)</f>
        <v>38628</v>
      </c>
      <c r="AF147">
        <f ca="1">+VLOOKUP($A147,INDIRECT(Adrese!D$2),5,FALSE)</f>
        <v>38635</v>
      </c>
      <c r="AG147">
        <f ca="1">+VLOOKUP($A147,INDIRECT(Adrese!E$2),5,FALSE)</f>
        <v>38458</v>
      </c>
      <c r="AH147">
        <f ca="1">+VLOOKUP($A147,INDIRECT(Adrese!F$2),5,FALSE)</f>
        <v>38679</v>
      </c>
      <c r="AI147" s="4">
        <f t="shared" ca="1" si="39"/>
        <v>38579.199999999997</v>
      </c>
      <c r="AJ147" s="4"/>
      <c r="AK147" s="4"/>
      <c r="AM147" t="s">
        <v>198</v>
      </c>
      <c r="AN147" s="4">
        <f ca="1">+VLOOKUP($A147,INDIRECT(Adrese!B$2),6,FALSE)</f>
        <v>0.84787610619469023</v>
      </c>
      <c r="AO147" s="4">
        <f ca="1">+VLOOKUP($A147,INDIRECT(Adrese!C$2),6,FALSE)</f>
        <v>0.85073008849557519</v>
      </c>
      <c r="AP147" s="4">
        <f ca="1">+VLOOKUP($A147,INDIRECT(Adrese!D$2),6,FALSE)</f>
        <v>0.85103982300884951</v>
      </c>
      <c r="AQ147" s="4">
        <f ca="1">+VLOOKUP($A147,INDIRECT(Adrese!E$2),6,FALSE)</f>
        <v>0.84705752212389385</v>
      </c>
      <c r="AR147" s="4">
        <f ca="1">+VLOOKUP($A147,INDIRECT(Adrese!F$2),6,FALSE)</f>
        <v>0.85205752212389385</v>
      </c>
      <c r="AS147" s="4" t="str">
        <f t="shared" ca="1" si="46"/>
        <v>0.85 (0.00)</v>
      </c>
      <c r="AT147" s="4">
        <f t="shared" ca="1" si="40"/>
        <v>0.84975221238938059</v>
      </c>
      <c r="AU147" s="4">
        <f t="shared" ca="1" si="47"/>
        <v>2.1627393416187263E-3</v>
      </c>
      <c r="AW147" t="s">
        <v>198</v>
      </c>
      <c r="AX147" s="4">
        <f ca="1">+VLOOKUP($A147,INDIRECT(Adrese!B$2),7,FALSE)</f>
        <v>0.83185840707964598</v>
      </c>
      <c r="AY147" s="4">
        <f ca="1">+VLOOKUP($A147,INDIRECT(Adrese!C$2),7,FALSE)</f>
        <v>0.84513274336283184</v>
      </c>
      <c r="AZ147" s="4">
        <f ca="1">+VLOOKUP($A147,INDIRECT(Adrese!D$2),7,FALSE)</f>
        <v>0.84955752212389379</v>
      </c>
      <c r="BA147" s="4">
        <f ca="1">+VLOOKUP($A147,INDIRECT(Adrese!E$2),7,FALSE)</f>
        <v>0.83185840707964598</v>
      </c>
      <c r="BB147" s="4">
        <f ca="1">+VLOOKUP($A147,INDIRECT(Adrese!F$2),7,FALSE)</f>
        <v>0.85398230088495575</v>
      </c>
      <c r="BC147" s="4" t="str">
        <f t="shared" ca="1" si="48"/>
        <v>0.84 (0.01)</v>
      </c>
      <c r="BD147">
        <f t="shared" ca="1" si="41"/>
        <v>0.84247787610619462</v>
      </c>
      <c r="BE147" s="4">
        <f t="shared" ca="1" si="49"/>
        <v>1.0186605693116245E-2</v>
      </c>
      <c r="BG147" t="s">
        <v>198</v>
      </c>
      <c r="BH147" s="4">
        <f ca="1">+VLOOKUP($BG147,INDIRECT(Adrese!B$2),8,FALSE)</f>
        <v>0.10856254668118159</v>
      </c>
      <c r="BI147" s="4">
        <f ca="1">+VLOOKUP($BG147,INDIRECT(Adrese!C$2),8,FALSE)</f>
        <v>0.1090298028972428</v>
      </c>
      <c r="BJ147" s="4">
        <f ca="1">+VLOOKUP($BG147,INDIRECT(Adrese!D$2),8,FALSE)</f>
        <v>0.1087953069342438</v>
      </c>
      <c r="BK147" s="4">
        <f ca="1">+VLOOKUP($BG147,INDIRECT(Adrese!E$2),8,FALSE)</f>
        <v>0.10850963402416269</v>
      </c>
      <c r="BL147" s="4">
        <f ca="1">+VLOOKUP($BG147,INDIRECT(Adrese!F$2),8,FALSE)</f>
        <v>0.108962889649798</v>
      </c>
      <c r="BM147" s="4" t="str">
        <f t="shared" ca="1" si="50"/>
        <v>0.11 (0.00)</v>
      </c>
      <c r="BN147" s="4">
        <f t="shared" ca="1" si="42"/>
        <v>0.1087720360373258</v>
      </c>
      <c r="BO147" s="4">
        <f t="shared" ca="1" si="51"/>
        <v>2.3246021001361423E-4</v>
      </c>
      <c r="BQ147" t="s">
        <v>198</v>
      </c>
      <c r="BR147" s="4">
        <f ca="1">+VLOOKUP($BG147,INDIRECT(Adrese!B$2),9,FALSE)</f>
        <v>-8.1572068795096764E-2</v>
      </c>
      <c r="BS147" s="4">
        <f ca="1">+VLOOKUP($BG147,INDIRECT(Adrese!C$2),9,FALSE)</f>
        <v>-8.2340546732693587E-2</v>
      </c>
      <c r="BT147" s="4">
        <f ca="1">+VLOOKUP($BG147,INDIRECT(Adrese!D$2),9,FALSE)</f>
        <v>-8.242206280928531E-2</v>
      </c>
      <c r="BU147" s="4">
        <f ca="1">+VLOOKUP($BG147,INDIRECT(Adrese!E$2),9,FALSE)</f>
        <v>-8.0820932327408709E-2</v>
      </c>
      <c r="BV147" s="4">
        <f ca="1">+VLOOKUP($BG147,INDIRECT(Adrese!F$2),9,FALSE)</f>
        <v>-8.4617260590641591E-2</v>
      </c>
      <c r="BW147" s="4" t="str">
        <f t="shared" ca="1" si="52"/>
        <v>-0.08 (0.00)</v>
      </c>
      <c r="BX147" s="4">
        <f t="shared" ca="1" si="43"/>
        <v>-8.2354574251025187E-2</v>
      </c>
      <c r="BY147" s="4">
        <f t="shared" ca="1" si="53"/>
        <v>1.422047229057904E-3</v>
      </c>
    </row>
    <row r="148" spans="1:77" x14ac:dyDescent="0.25">
      <c r="A148" t="s">
        <v>199</v>
      </c>
      <c r="B148" s="11">
        <f ca="1">+VLOOKUP($A148,INDIRECT(Adrese!B$2),2,FALSE)</f>
        <v>94</v>
      </c>
      <c r="C148" s="11">
        <f ca="1">+VLOOKUP($A148,INDIRECT(Adrese!C$2),2,FALSE)</f>
        <v>118</v>
      </c>
      <c r="D148" s="11">
        <f ca="1">+VLOOKUP($A148,INDIRECT(Adrese!D$2),2,FALSE)</f>
        <v>120</v>
      </c>
      <c r="E148" s="11">
        <f ca="1">+VLOOKUP($A148,INDIRECT(Adrese!E$2),2,FALSE)</f>
        <v>75</v>
      </c>
      <c r="F148" s="11">
        <f ca="1">+VLOOKUP($A148,INDIRECT(Adrese!F$2),2,FALSE)</f>
        <v>49</v>
      </c>
      <c r="G148" s="4">
        <f t="shared" ref="G148:G211" ca="1" si="54">AVERAGE(B148:F148)</f>
        <v>91.2</v>
      </c>
      <c r="J148" t="s">
        <v>199</v>
      </c>
      <c r="K148">
        <f ca="1">+VLOOKUP($A148,INDIRECT(Adrese!B$2),3,FALSE)</f>
        <v>128</v>
      </c>
      <c r="L148">
        <f ca="1">+VLOOKUP($A148,INDIRECT(Adrese!C$2),3,FALSE)</f>
        <v>126</v>
      </c>
      <c r="M148">
        <f ca="1">+VLOOKUP($A148,INDIRECT(Adrese!D$2),3,FALSE)</f>
        <v>118</v>
      </c>
      <c r="N148">
        <f ca="1">+VLOOKUP($A148,INDIRECT(Adrese!E$2),3,FALSE)</f>
        <v>120</v>
      </c>
      <c r="O148">
        <f ca="1">+VLOOKUP($A148,INDIRECT(Adrese!F$2),3,FALSE)</f>
        <v>127</v>
      </c>
      <c r="P148">
        <f t="shared" ca="1" si="44"/>
        <v>619</v>
      </c>
      <c r="Q148" s="4">
        <f t="shared" ref="Q148:Q211" ca="1" si="55">AVERAGE(K148:O148)</f>
        <v>123.8</v>
      </c>
      <c r="R148" s="4"/>
      <c r="T148" t="s">
        <v>199</v>
      </c>
      <c r="U148">
        <f ca="1">+VLOOKUP($T148,INDIRECT(Adrese!B$2),4,FALSE)</f>
        <v>95901</v>
      </c>
      <c r="V148">
        <f ca="1">+VLOOKUP($T148,INDIRECT(Adrese!C$2),4,FALSE)</f>
        <v>94740</v>
      </c>
      <c r="W148">
        <f ca="1">+VLOOKUP($T148,INDIRECT(Adrese!D$2),4,FALSE)</f>
        <v>94870</v>
      </c>
      <c r="X148">
        <f ca="1">+VLOOKUP($T148,INDIRECT(Adrese!E$2),4,FALSE)</f>
        <v>96677</v>
      </c>
      <c r="Y148">
        <f ca="1">+VLOOKUP($T148,INDIRECT(Adrese!F$2),4,FALSE)</f>
        <v>97627</v>
      </c>
      <c r="Z148">
        <f t="shared" ca="1" si="45"/>
        <v>479815</v>
      </c>
      <c r="AA148" s="4">
        <f t="shared" ref="AA148:AA211" ca="1" si="56">AVERAGE(U148:Y148)</f>
        <v>95963</v>
      </c>
      <c r="AC148" t="s">
        <v>199</v>
      </c>
      <c r="AD148">
        <f ca="1">+VLOOKUP($A148,INDIRECT(Adrese!B$2),5,FALSE)</f>
        <v>15209</v>
      </c>
      <c r="AE148">
        <f ca="1">+VLOOKUP($A148,INDIRECT(Adrese!C$2),5,FALSE)</f>
        <v>15384</v>
      </c>
      <c r="AF148">
        <f ca="1">+VLOOKUP($A148,INDIRECT(Adrese!D$2),5,FALSE)</f>
        <v>14968</v>
      </c>
      <c r="AG148">
        <f ca="1">+VLOOKUP($A148,INDIRECT(Adrese!E$2),5,FALSE)</f>
        <v>15764</v>
      </c>
      <c r="AH148">
        <f ca="1">+VLOOKUP($A148,INDIRECT(Adrese!F$2),5,FALSE)</f>
        <v>15176</v>
      </c>
      <c r="AI148" s="4">
        <f t="shared" ref="AI148:AI211" ca="1" si="57">AVERAGE(AD148:AH148)</f>
        <v>15300.2</v>
      </c>
      <c r="AJ148" s="4"/>
      <c r="AK148" s="4"/>
      <c r="AM148" t="s">
        <v>199</v>
      </c>
      <c r="AN148" s="4">
        <f ca="1">+VLOOKUP($A148,INDIRECT(Adrese!B$2),6,FALSE)</f>
        <v>0.33603982300884949</v>
      </c>
      <c r="AO148" s="4">
        <f ca="1">+VLOOKUP($A148,INDIRECT(Adrese!C$2),6,FALSE)</f>
        <v>0.33997787610619468</v>
      </c>
      <c r="AP148" s="4">
        <f ca="1">+VLOOKUP($A148,INDIRECT(Adrese!D$2),6,FALSE)</f>
        <v>0.3304424778761062</v>
      </c>
      <c r="AQ148" s="4">
        <f ca="1">+VLOOKUP($A148,INDIRECT(Adrese!E$2),6,FALSE)</f>
        <v>0.34823008849557519</v>
      </c>
      <c r="AR148" s="4">
        <f ca="1">+VLOOKUP($A148,INDIRECT(Adrese!F$2),6,FALSE)</f>
        <v>0.33528761061946899</v>
      </c>
      <c r="AS148" s="4" t="str">
        <f t="shared" ca="1" si="46"/>
        <v>0.34 (0.01)</v>
      </c>
      <c r="AT148" s="4">
        <f t="shared" ref="AT148:AT211" ca="1" si="58">AVERAGE(AN148:AR148)</f>
        <v>0.33799557522123891</v>
      </c>
      <c r="AU148" s="4">
        <f t="shared" ca="1" si="47"/>
        <v>6.6498514507246269E-3</v>
      </c>
      <c r="AW148" t="s">
        <v>199</v>
      </c>
      <c r="AX148" s="4">
        <f ca="1">+VLOOKUP($A148,INDIRECT(Adrese!B$2),7,FALSE)</f>
        <v>0.4336283185840708</v>
      </c>
      <c r="AY148" s="4">
        <f ca="1">+VLOOKUP($A148,INDIRECT(Adrese!C$2),7,FALSE)</f>
        <v>0.44247787610619471</v>
      </c>
      <c r="AZ148" s="4">
        <f ca="1">+VLOOKUP($A148,INDIRECT(Adrese!D$2),7,FALSE)</f>
        <v>0.47787610619469029</v>
      </c>
      <c r="BA148" s="4">
        <f ca="1">+VLOOKUP($A148,INDIRECT(Adrese!E$2),7,FALSE)</f>
        <v>0.46902654867256638</v>
      </c>
      <c r="BB148" s="4">
        <f ca="1">+VLOOKUP($A148,INDIRECT(Adrese!F$2),7,FALSE)</f>
        <v>0.43805309734513281</v>
      </c>
      <c r="BC148" s="4" t="str">
        <f t="shared" ca="1" si="48"/>
        <v>0.45 (0.02)</v>
      </c>
      <c r="BD148">
        <f t="shared" ref="BD148:BD211" ca="1" si="59">AVERAGE(AX148:BB148)</f>
        <v>0.45221238938053104</v>
      </c>
      <c r="BE148" s="4">
        <f t="shared" ca="1" si="49"/>
        <v>1.9886907127649754E-2</v>
      </c>
      <c r="BG148" t="s">
        <v>199</v>
      </c>
      <c r="BH148" s="4">
        <f ca="1">+VLOOKUP($BG148,INDIRECT(Adrese!B$2),8,FALSE)</f>
        <v>4.5922248660968362E-2</v>
      </c>
      <c r="BI148" s="4">
        <f ca="1">+VLOOKUP($BG148,INDIRECT(Adrese!C$2),8,FALSE)</f>
        <v>4.7622520108521048E-2</v>
      </c>
      <c r="BJ148" s="4">
        <f ca="1">+VLOOKUP($BG148,INDIRECT(Adrese!D$2),8,FALSE)</f>
        <v>4.4951533412090482E-2</v>
      </c>
      <c r="BK148" s="4">
        <f ca="1">+VLOOKUP($BG148,INDIRECT(Adrese!E$2),8,FALSE)</f>
        <v>4.7821023703194562E-2</v>
      </c>
      <c r="BL148" s="4">
        <f ca="1">+VLOOKUP($BG148,INDIRECT(Adrese!F$2),8,FALSE)</f>
        <v>4.553067239756925E-2</v>
      </c>
      <c r="BM148" s="4" t="str">
        <f t="shared" ca="1" si="50"/>
        <v>0.05 (0.00)</v>
      </c>
      <c r="BN148" s="4">
        <f t="shared" ref="BN148:BN211" ca="1" si="60">AVERAGE(BH148:BL148)</f>
        <v>4.6369599656468738E-2</v>
      </c>
      <c r="BO148" s="4">
        <f t="shared" ca="1" si="51"/>
        <v>1.2836739417517375E-3</v>
      </c>
      <c r="BQ148" t="s">
        <v>199</v>
      </c>
      <c r="BR148" s="4">
        <f ca="1">+VLOOKUP($BG148,INDIRECT(Adrese!B$2),9,FALSE)</f>
        <v>6.3746970994000604E-2</v>
      </c>
      <c r="BS148" s="4">
        <f ca="1">+VLOOKUP($BG148,INDIRECT(Adrese!C$2),9,FALSE)</f>
        <v>6.8428567634361184E-2</v>
      </c>
      <c r="BT148" s="4">
        <f ca="1">+VLOOKUP($BG148,INDIRECT(Adrese!D$2),9,FALSE)</f>
        <v>6.3654392325227765E-2</v>
      </c>
      <c r="BU148" s="4">
        <f ca="1">+VLOOKUP($BG148,INDIRECT(Adrese!E$2),9,FALSE)</f>
        <v>5.839026234707375E-2</v>
      </c>
      <c r="BV148" s="4">
        <f ca="1">+VLOOKUP($BG148,INDIRECT(Adrese!F$2),9,FALSE)</f>
        <v>5.5525393429135962E-2</v>
      </c>
      <c r="BW148" s="4" t="str">
        <f t="shared" ca="1" si="52"/>
        <v>0.06 (0.01)</v>
      </c>
      <c r="BX148" s="4">
        <f t="shared" ref="BX148:BX211" ca="1" si="61">AVERAGE(BR148:BV148)</f>
        <v>6.1949117345959856E-2</v>
      </c>
      <c r="BY148" s="4">
        <f t="shared" ca="1" si="53"/>
        <v>5.0510690550918669E-3</v>
      </c>
    </row>
    <row r="149" spans="1:77" x14ac:dyDescent="0.25">
      <c r="A149" t="s">
        <v>200</v>
      </c>
      <c r="B149" s="11">
        <f ca="1">+VLOOKUP($A149,INDIRECT(Adrese!B$2),2,FALSE)</f>
        <v>67</v>
      </c>
      <c r="C149" s="11">
        <f ca="1">+VLOOKUP($A149,INDIRECT(Adrese!C$2),2,FALSE)</f>
        <v>142</v>
      </c>
      <c r="D149" s="11">
        <f ca="1">+VLOOKUP($A149,INDIRECT(Adrese!D$2),2,FALSE)</f>
        <v>55</v>
      </c>
      <c r="E149" s="11">
        <f ca="1">+VLOOKUP($A149,INDIRECT(Adrese!E$2),2,FALSE)</f>
        <v>129</v>
      </c>
      <c r="F149" s="11">
        <f ca="1">+VLOOKUP($A149,INDIRECT(Adrese!F$2),2,FALSE)</f>
        <v>105</v>
      </c>
      <c r="G149" s="4">
        <f t="shared" ca="1" si="54"/>
        <v>99.6</v>
      </c>
      <c r="J149" t="s">
        <v>200</v>
      </c>
      <c r="K149">
        <f ca="1">+VLOOKUP($A149,INDIRECT(Adrese!B$2),3,FALSE)</f>
        <v>102</v>
      </c>
      <c r="L149">
        <f ca="1">+VLOOKUP($A149,INDIRECT(Adrese!C$2),3,FALSE)</f>
        <v>100</v>
      </c>
      <c r="M149">
        <f ca="1">+VLOOKUP($A149,INDIRECT(Adrese!D$2),3,FALSE)</f>
        <v>107</v>
      </c>
      <c r="N149">
        <f ca="1">+VLOOKUP($A149,INDIRECT(Adrese!E$2),3,FALSE)</f>
        <v>97</v>
      </c>
      <c r="O149">
        <f ca="1">+VLOOKUP($A149,INDIRECT(Adrese!F$2),3,FALSE)</f>
        <v>105</v>
      </c>
      <c r="P149">
        <f t="shared" ca="1" si="44"/>
        <v>511</v>
      </c>
      <c r="Q149" s="4">
        <f t="shared" ca="1" si="55"/>
        <v>102.2</v>
      </c>
      <c r="R149" s="4"/>
      <c r="T149" t="s">
        <v>200</v>
      </c>
      <c r="U149">
        <f ca="1">+VLOOKUP($T149,INDIRECT(Adrese!B$2),4,FALSE)</f>
        <v>96807</v>
      </c>
      <c r="V149">
        <f ca="1">+VLOOKUP($T149,INDIRECT(Adrese!C$2),4,FALSE)</f>
        <v>93922</v>
      </c>
      <c r="W149">
        <f ca="1">+VLOOKUP($T149,INDIRECT(Adrese!D$2),4,FALSE)</f>
        <v>96982</v>
      </c>
      <c r="X149">
        <f ca="1">+VLOOKUP($T149,INDIRECT(Adrese!E$2),4,FALSE)</f>
        <v>94427</v>
      </c>
      <c r="Y149">
        <f ca="1">+VLOOKUP($T149,INDIRECT(Adrese!F$2),4,FALSE)</f>
        <v>95299</v>
      </c>
      <c r="Z149">
        <f t="shared" ca="1" si="45"/>
        <v>477437</v>
      </c>
      <c r="AA149" s="4">
        <f t="shared" ca="1" si="56"/>
        <v>95487.4</v>
      </c>
      <c r="AC149" t="s">
        <v>200</v>
      </c>
      <c r="AD149">
        <f ca="1">+VLOOKUP($A149,INDIRECT(Adrese!B$2),5,FALSE)</f>
        <v>22010</v>
      </c>
      <c r="AE149">
        <f ca="1">+VLOOKUP($A149,INDIRECT(Adrese!C$2),5,FALSE)</f>
        <v>20979</v>
      </c>
      <c r="AF149">
        <f ca="1">+VLOOKUP($A149,INDIRECT(Adrese!D$2),5,FALSE)</f>
        <v>21919</v>
      </c>
      <c r="AG149">
        <f ca="1">+VLOOKUP($A149,INDIRECT(Adrese!E$2),5,FALSE)</f>
        <v>21068</v>
      </c>
      <c r="AH149">
        <f ca="1">+VLOOKUP($A149,INDIRECT(Adrese!F$2),5,FALSE)</f>
        <v>21210</v>
      </c>
      <c r="AI149" s="4">
        <f t="shared" ca="1" si="57"/>
        <v>21437.200000000001</v>
      </c>
      <c r="AJ149" s="4"/>
      <c r="AK149" s="4"/>
      <c r="AM149" t="s">
        <v>200</v>
      </c>
      <c r="AN149" s="4">
        <f ca="1">+VLOOKUP($A149,INDIRECT(Adrese!B$2),6,FALSE)</f>
        <v>0.48497787610619469</v>
      </c>
      <c r="AO149" s="4">
        <f ca="1">+VLOOKUP($A149,INDIRECT(Adrese!C$2),6,FALSE)</f>
        <v>0.46199115044247779</v>
      </c>
      <c r="AP149" s="4">
        <f ca="1">+VLOOKUP($A149,INDIRECT(Adrese!D$2),6,FALSE)</f>
        <v>0.48292035398230088</v>
      </c>
      <c r="AQ149" s="4">
        <f ca="1">+VLOOKUP($A149,INDIRECT(Adrese!E$2),6,FALSE)</f>
        <v>0.46413716814159289</v>
      </c>
      <c r="AR149" s="4">
        <f ca="1">+VLOOKUP($A149,INDIRECT(Adrese!F$2),6,FALSE)</f>
        <v>0.46705752212389379</v>
      </c>
      <c r="AS149" s="4" t="str">
        <f t="shared" ca="1" si="46"/>
        <v>0.47 (0.01)</v>
      </c>
      <c r="AT149" s="4">
        <f t="shared" ca="1" si="58"/>
        <v>0.47221681415929206</v>
      </c>
      <c r="AU149" s="4">
        <f t="shared" ca="1" si="47"/>
        <v>1.0884319446830838E-2</v>
      </c>
      <c r="AW149" t="s">
        <v>200</v>
      </c>
      <c r="AX149" s="4">
        <f ca="1">+VLOOKUP($A149,INDIRECT(Adrese!B$2),7,FALSE)</f>
        <v>0.54867256637168138</v>
      </c>
      <c r="AY149" s="4">
        <f ca="1">+VLOOKUP($A149,INDIRECT(Adrese!C$2),7,FALSE)</f>
        <v>0.55752212389380529</v>
      </c>
      <c r="AZ149" s="4">
        <f ca="1">+VLOOKUP($A149,INDIRECT(Adrese!D$2),7,FALSE)</f>
        <v>0.52654867256637172</v>
      </c>
      <c r="BA149" s="4">
        <f ca="1">+VLOOKUP($A149,INDIRECT(Adrese!E$2),7,FALSE)</f>
        <v>0.57079646017699115</v>
      </c>
      <c r="BB149" s="4">
        <f ca="1">+VLOOKUP($A149,INDIRECT(Adrese!F$2),7,FALSE)</f>
        <v>0.53539823008849563</v>
      </c>
      <c r="BC149" s="4" t="str">
        <f t="shared" ca="1" si="48"/>
        <v>0.55 (0.02)</v>
      </c>
      <c r="BD149">
        <f t="shared" ca="1" si="59"/>
        <v>0.54778761061946901</v>
      </c>
      <c r="BE149" s="4">
        <f t="shared" ca="1" si="49"/>
        <v>1.7532400669167187E-2</v>
      </c>
      <c r="BG149" t="s">
        <v>200</v>
      </c>
      <c r="BH149" s="4">
        <f ca="1">+VLOOKUP($BG149,INDIRECT(Adrese!B$2),8,FALSE)</f>
        <v>7.077774365546087E-2</v>
      </c>
      <c r="BI149" s="4">
        <f ca="1">+VLOOKUP($BG149,INDIRECT(Adrese!C$2),8,FALSE)</f>
        <v>6.7533685079396999E-2</v>
      </c>
      <c r="BJ149" s="4">
        <f ca="1">+VLOOKUP($BG149,INDIRECT(Adrese!D$2),8,FALSE)</f>
        <v>7.0614976091057158E-2</v>
      </c>
      <c r="BK149" s="4">
        <f ca="1">+VLOOKUP($BG149,INDIRECT(Adrese!E$2),8,FALSE)</f>
        <v>6.8252869325961668E-2</v>
      </c>
      <c r="BL149" s="4">
        <f ca="1">+VLOOKUP($BG149,INDIRECT(Adrese!F$2),8,FALSE)</f>
        <v>6.8368158486145594E-2</v>
      </c>
      <c r="BM149" s="4" t="str">
        <f t="shared" ca="1" si="50"/>
        <v>0.07 (0.00)</v>
      </c>
      <c r="BN149" s="4">
        <f t="shared" ca="1" si="60"/>
        <v>6.9109486527604458E-2</v>
      </c>
      <c r="BO149" s="4">
        <f t="shared" ca="1" si="51"/>
        <v>1.4845951611201125E-3</v>
      </c>
      <c r="BQ149" t="s">
        <v>200</v>
      </c>
      <c r="BR149" s="4">
        <f ca="1">+VLOOKUP($BG149,INDIRECT(Adrese!B$2),9,FALSE)</f>
        <v>6.543125241355939E-2</v>
      </c>
      <c r="BS149" s="4">
        <f ca="1">+VLOOKUP($BG149,INDIRECT(Adrese!C$2),9,FALSE)</f>
        <v>7.2251440432810898E-2</v>
      </c>
      <c r="BT149" s="4">
        <f ca="1">+VLOOKUP($BG149,INDIRECT(Adrese!D$2),9,FALSE)</f>
        <v>6.7017066879792697E-2</v>
      </c>
      <c r="BU149" s="4">
        <f ca="1">+VLOOKUP($BG149,INDIRECT(Adrese!E$2),9,FALSE)</f>
        <v>7.4190372624559756E-2</v>
      </c>
      <c r="BV149" s="4">
        <f ca="1">+VLOOKUP($BG149,INDIRECT(Adrese!F$2),9,FALSE)</f>
        <v>7.1776245434759578E-2</v>
      </c>
      <c r="BW149" s="4" t="str">
        <f t="shared" ca="1" si="52"/>
        <v>0.07 (0.00)</v>
      </c>
      <c r="BX149" s="4">
        <f t="shared" ca="1" si="61"/>
        <v>7.0133275557096461E-2</v>
      </c>
      <c r="BY149" s="4">
        <f t="shared" ca="1" si="53"/>
        <v>3.7237678243044196E-3</v>
      </c>
    </row>
    <row r="150" spans="1:77" x14ac:dyDescent="0.25">
      <c r="A150" t="s">
        <v>201</v>
      </c>
      <c r="B150" s="11">
        <f ca="1">+VLOOKUP($A150,INDIRECT(Adrese!B$2),2,FALSE)</f>
        <v>192</v>
      </c>
      <c r="C150" s="11">
        <f ca="1">+VLOOKUP($A150,INDIRECT(Adrese!C$2),2,FALSE)</f>
        <v>211</v>
      </c>
      <c r="D150" s="11">
        <f ca="1">+VLOOKUP($A150,INDIRECT(Adrese!D$2),2,FALSE)</f>
        <v>203</v>
      </c>
      <c r="E150" s="11">
        <f ca="1">+VLOOKUP($A150,INDIRECT(Adrese!E$2),2,FALSE)</f>
        <v>204</v>
      </c>
      <c r="F150" s="11">
        <f ca="1">+VLOOKUP($A150,INDIRECT(Adrese!F$2),2,FALSE)</f>
        <v>192</v>
      </c>
      <c r="G150" s="4">
        <f t="shared" ca="1" si="54"/>
        <v>200.4</v>
      </c>
      <c r="J150" t="s">
        <v>201</v>
      </c>
      <c r="K150">
        <f ca="1">+VLOOKUP($A150,INDIRECT(Adrese!B$2),3,FALSE)</f>
        <v>33</v>
      </c>
      <c r="L150">
        <f ca="1">+VLOOKUP($A150,INDIRECT(Adrese!C$2),3,FALSE)</f>
        <v>41</v>
      </c>
      <c r="M150">
        <f ca="1">+VLOOKUP($A150,INDIRECT(Adrese!D$2),3,FALSE)</f>
        <v>37</v>
      </c>
      <c r="N150">
        <f ca="1">+VLOOKUP($A150,INDIRECT(Adrese!E$2),3,FALSE)</f>
        <v>35</v>
      </c>
      <c r="O150">
        <f ca="1">+VLOOKUP($A150,INDIRECT(Adrese!F$2),3,FALSE)</f>
        <v>34</v>
      </c>
      <c r="P150">
        <f t="shared" ca="1" si="44"/>
        <v>180</v>
      </c>
      <c r="Q150" s="4">
        <f t="shared" ca="1" si="55"/>
        <v>36</v>
      </c>
      <c r="R150" s="4"/>
      <c r="T150" t="s">
        <v>201</v>
      </c>
      <c r="U150">
        <f ca="1">+VLOOKUP($T150,INDIRECT(Adrese!B$2),4,FALSE)</f>
        <v>89753</v>
      </c>
      <c r="V150">
        <f ca="1">+VLOOKUP($T150,INDIRECT(Adrese!C$2),4,FALSE)</f>
        <v>87558</v>
      </c>
      <c r="W150">
        <f ca="1">+VLOOKUP($T150,INDIRECT(Adrese!D$2),4,FALSE)</f>
        <v>88122</v>
      </c>
      <c r="X150">
        <f ca="1">+VLOOKUP($T150,INDIRECT(Adrese!E$2),4,FALSE)</f>
        <v>88001</v>
      </c>
      <c r="Y150">
        <f ca="1">+VLOOKUP($T150,INDIRECT(Adrese!F$2),4,FALSE)</f>
        <v>89176</v>
      </c>
      <c r="Z150">
        <f t="shared" ca="1" si="45"/>
        <v>442610</v>
      </c>
      <c r="AA150" s="4">
        <f t="shared" ca="1" si="56"/>
        <v>88522</v>
      </c>
      <c r="AC150" t="s">
        <v>201</v>
      </c>
      <c r="AD150">
        <f ca="1">+VLOOKUP($A150,INDIRECT(Adrese!B$2),5,FALSE)</f>
        <v>38642</v>
      </c>
      <c r="AE150">
        <f ca="1">+VLOOKUP($A150,INDIRECT(Adrese!C$2),5,FALSE)</f>
        <v>38548</v>
      </c>
      <c r="AF150">
        <f ca="1">+VLOOKUP($A150,INDIRECT(Adrese!D$2),5,FALSE)</f>
        <v>38464</v>
      </c>
      <c r="AG150">
        <f ca="1">+VLOOKUP($A150,INDIRECT(Adrese!E$2),5,FALSE)</f>
        <v>38552</v>
      </c>
      <c r="AH150">
        <f ca="1">+VLOOKUP($A150,INDIRECT(Adrese!F$2),5,FALSE)</f>
        <v>38554</v>
      </c>
      <c r="AI150" s="4">
        <f t="shared" ca="1" si="57"/>
        <v>38552</v>
      </c>
      <c r="AJ150" s="4"/>
      <c r="AK150" s="4"/>
      <c r="AM150" t="s">
        <v>201</v>
      </c>
      <c r="AN150" s="4">
        <f ca="1">+VLOOKUP($A150,INDIRECT(Adrese!B$2),6,FALSE)</f>
        <v>0.85119469026548678</v>
      </c>
      <c r="AO150" s="4">
        <f ca="1">+VLOOKUP($A150,INDIRECT(Adrese!C$2),6,FALSE)</f>
        <v>0.84909292035398232</v>
      </c>
      <c r="AP150" s="4">
        <f ca="1">+VLOOKUP($A150,INDIRECT(Adrese!D$2),6,FALSE)</f>
        <v>0.84719026548672571</v>
      </c>
      <c r="AQ150" s="4">
        <f ca="1">+VLOOKUP($A150,INDIRECT(Adrese!E$2),6,FALSE)</f>
        <v>0.84911504424778761</v>
      </c>
      <c r="AR150" s="4">
        <f ca="1">+VLOOKUP($A150,INDIRECT(Adrese!F$2),6,FALSE)</f>
        <v>0.84920353982300889</v>
      </c>
      <c r="AS150" s="4" t="str">
        <f t="shared" ca="1" si="46"/>
        <v>0.85 (0.00)</v>
      </c>
      <c r="AT150" s="4">
        <f t="shared" ca="1" si="58"/>
        <v>0.84915929203539819</v>
      </c>
      <c r="AU150" s="4">
        <f t="shared" ca="1" si="47"/>
        <v>1.4167067831714183E-3</v>
      </c>
      <c r="AW150" t="s">
        <v>201</v>
      </c>
      <c r="AX150" s="4">
        <f ca="1">+VLOOKUP($A150,INDIRECT(Adrese!B$2),7,FALSE)</f>
        <v>0.85398230088495575</v>
      </c>
      <c r="AY150" s="4">
        <f ca="1">+VLOOKUP($A150,INDIRECT(Adrese!C$2),7,FALSE)</f>
        <v>0.81858407079646023</v>
      </c>
      <c r="AZ150" s="4">
        <f ca="1">+VLOOKUP($A150,INDIRECT(Adrese!D$2),7,FALSE)</f>
        <v>0.83628318584070793</v>
      </c>
      <c r="BA150" s="4">
        <f ca="1">+VLOOKUP($A150,INDIRECT(Adrese!E$2),7,FALSE)</f>
        <v>0.84513274336283184</v>
      </c>
      <c r="BB150" s="4">
        <f ca="1">+VLOOKUP($A150,INDIRECT(Adrese!F$2),7,FALSE)</f>
        <v>0.84955752212389379</v>
      </c>
      <c r="BC150" s="4" t="str">
        <f t="shared" ca="1" si="48"/>
        <v>0.84 (0.01)</v>
      </c>
      <c r="BD150">
        <f t="shared" ca="1" si="59"/>
        <v>0.84070796460176989</v>
      </c>
      <c r="BE150" s="4">
        <f t="shared" ca="1" si="49"/>
        <v>1.3992379027293691E-2</v>
      </c>
      <c r="BG150" t="s">
        <v>201</v>
      </c>
      <c r="BH150" s="4">
        <f ca="1">+VLOOKUP($BG150,INDIRECT(Adrese!B$2),8,FALSE)</f>
        <v>0.10884988414743101</v>
      </c>
      <c r="BI150" s="4">
        <f ca="1">+VLOOKUP($BG150,INDIRECT(Adrese!C$2),8,FALSE)</f>
        <v>0.10887230849485451</v>
      </c>
      <c r="BJ150" s="4">
        <f ca="1">+VLOOKUP($BG150,INDIRECT(Adrese!D$2),8,FALSE)</f>
        <v>0.1086599538012179</v>
      </c>
      <c r="BK150" s="4">
        <f ca="1">+VLOOKUP($BG150,INDIRECT(Adrese!E$2),8,FALSE)</f>
        <v>0.1086648400374445</v>
      </c>
      <c r="BL150" s="4">
        <f ca="1">+VLOOKUP($BG150,INDIRECT(Adrese!F$2),8,FALSE)</f>
        <v>0.108712796468397</v>
      </c>
      <c r="BM150" s="4" t="str">
        <f t="shared" ca="1" si="50"/>
        <v>0.11 (0.00)</v>
      </c>
      <c r="BN150" s="4">
        <f t="shared" ca="1" si="60"/>
        <v>0.10875195658986898</v>
      </c>
      <c r="BO150" s="4">
        <f t="shared" ca="1" si="51"/>
        <v>1.0205600117498039E-4</v>
      </c>
      <c r="BQ150" t="s">
        <v>201</v>
      </c>
      <c r="BR150" s="4">
        <f ca="1">+VLOOKUP($BG150,INDIRECT(Adrese!B$2),9,FALSE)</f>
        <v>-8.1958721503783999E-2</v>
      </c>
      <c r="BS150" s="4">
        <f ca="1">+VLOOKUP($BG150,INDIRECT(Adrese!C$2),9,FALSE)</f>
        <v>-8.0693692394956232E-2</v>
      </c>
      <c r="BT150" s="4">
        <f ca="1">+VLOOKUP($BG150,INDIRECT(Adrese!D$2),9,FALSE)</f>
        <v>-8.0120595208231199E-2</v>
      </c>
      <c r="BU150" s="4">
        <f ca="1">+VLOOKUP($BG150,INDIRECT(Adrese!E$2),9,FALSE)</f>
        <v>-8.1779431485459284E-2</v>
      </c>
      <c r="BV150" s="4">
        <f ca="1">+VLOOKUP($BG150,INDIRECT(Adrese!F$2),9,FALSE)</f>
        <v>-8.1008872649954031E-2</v>
      </c>
      <c r="BW150" s="4" t="str">
        <f t="shared" ca="1" si="52"/>
        <v>-0.08 (0.00)</v>
      </c>
      <c r="BX150" s="4">
        <f t="shared" ca="1" si="61"/>
        <v>-8.1112262648476957E-2</v>
      </c>
      <c r="BY150" s="4">
        <f t="shared" ca="1" si="53"/>
        <v>7.6336454458839759E-4</v>
      </c>
    </row>
    <row r="151" spans="1:77" x14ac:dyDescent="0.25">
      <c r="A151" t="s">
        <v>202</v>
      </c>
      <c r="B151" s="11">
        <f ca="1">+VLOOKUP($A151,INDIRECT(Adrese!B$2),2,FALSE)</f>
        <v>113</v>
      </c>
      <c r="C151" s="11">
        <f ca="1">+VLOOKUP($A151,INDIRECT(Adrese!C$2),2,FALSE)</f>
        <v>58</v>
      </c>
      <c r="D151" s="11">
        <f ca="1">+VLOOKUP($A151,INDIRECT(Adrese!D$2),2,FALSE)</f>
        <v>60</v>
      </c>
      <c r="E151" s="11">
        <f ca="1">+VLOOKUP($A151,INDIRECT(Adrese!E$2),2,FALSE)</f>
        <v>84</v>
      </c>
      <c r="F151" s="11">
        <f ca="1">+VLOOKUP($A151,INDIRECT(Adrese!F$2),2,FALSE)</f>
        <v>92</v>
      </c>
      <c r="G151" s="4">
        <f t="shared" ca="1" si="54"/>
        <v>81.400000000000006</v>
      </c>
      <c r="J151" t="s">
        <v>202</v>
      </c>
      <c r="K151">
        <f ca="1">+VLOOKUP($A151,INDIRECT(Adrese!B$2),3,FALSE)</f>
        <v>122</v>
      </c>
      <c r="L151">
        <f ca="1">+VLOOKUP($A151,INDIRECT(Adrese!C$2),3,FALSE)</f>
        <v>112</v>
      </c>
      <c r="M151">
        <f ca="1">+VLOOKUP($A151,INDIRECT(Adrese!D$2),3,FALSE)</f>
        <v>112</v>
      </c>
      <c r="N151">
        <f ca="1">+VLOOKUP($A151,INDIRECT(Adrese!E$2),3,FALSE)</f>
        <v>122</v>
      </c>
      <c r="O151">
        <f ca="1">+VLOOKUP($A151,INDIRECT(Adrese!F$2),3,FALSE)</f>
        <v>115</v>
      </c>
      <c r="P151">
        <f t="shared" ca="1" si="44"/>
        <v>583</v>
      </c>
      <c r="Q151" s="4">
        <f t="shared" ca="1" si="55"/>
        <v>116.6</v>
      </c>
      <c r="R151" s="4"/>
      <c r="T151" t="s">
        <v>202</v>
      </c>
      <c r="U151">
        <f ca="1">+VLOOKUP($T151,INDIRECT(Adrese!B$2),4,FALSE)</f>
        <v>94905</v>
      </c>
      <c r="V151">
        <f ca="1">+VLOOKUP($T151,INDIRECT(Adrese!C$2),4,FALSE)</f>
        <v>97077</v>
      </c>
      <c r="W151">
        <f ca="1">+VLOOKUP($T151,INDIRECT(Adrese!D$2),4,FALSE)</f>
        <v>96912</v>
      </c>
      <c r="X151">
        <f ca="1">+VLOOKUP($T151,INDIRECT(Adrese!E$2),4,FALSE)</f>
        <v>96198</v>
      </c>
      <c r="Y151">
        <f ca="1">+VLOOKUP($T151,INDIRECT(Adrese!F$2),4,FALSE)</f>
        <v>95784</v>
      </c>
      <c r="Z151">
        <f t="shared" ca="1" si="45"/>
        <v>480876</v>
      </c>
      <c r="AA151" s="4">
        <f t="shared" ca="1" si="56"/>
        <v>96175.2</v>
      </c>
      <c r="AC151" t="s">
        <v>202</v>
      </c>
      <c r="AD151">
        <f ca="1">+VLOOKUP($A151,INDIRECT(Adrese!B$2),5,FALSE)</f>
        <v>18533</v>
      </c>
      <c r="AE151">
        <f ca="1">+VLOOKUP($A151,INDIRECT(Adrese!C$2),5,FALSE)</f>
        <v>17962</v>
      </c>
      <c r="AF151">
        <f ca="1">+VLOOKUP($A151,INDIRECT(Adrese!D$2),5,FALSE)</f>
        <v>16904</v>
      </c>
      <c r="AG151">
        <f ca="1">+VLOOKUP($A151,INDIRECT(Adrese!E$2),5,FALSE)</f>
        <v>17475</v>
      </c>
      <c r="AH151">
        <f ca="1">+VLOOKUP($A151,INDIRECT(Adrese!F$2),5,FALSE)</f>
        <v>17022</v>
      </c>
      <c r="AI151" s="4">
        <f t="shared" ca="1" si="57"/>
        <v>17579.2</v>
      </c>
      <c r="AJ151" s="4"/>
      <c r="AK151" s="4"/>
      <c r="AM151" t="s">
        <v>202</v>
      </c>
      <c r="AN151" s="4">
        <f ca="1">+VLOOKUP($A151,INDIRECT(Adrese!B$2),6,FALSE)</f>
        <v>0.40787610619469028</v>
      </c>
      <c r="AO151" s="4">
        <f ca="1">+VLOOKUP($A151,INDIRECT(Adrese!C$2),6,FALSE)</f>
        <v>0.3967920353982301</v>
      </c>
      <c r="AP151" s="4">
        <f ca="1">+VLOOKUP($A151,INDIRECT(Adrese!D$2),6,FALSE)</f>
        <v>0.37183628318584072</v>
      </c>
      <c r="AQ151" s="4">
        <f ca="1">+VLOOKUP($A151,INDIRECT(Adrese!E$2),6,FALSE)</f>
        <v>0.38455752212389382</v>
      </c>
      <c r="AR151" s="4">
        <f ca="1">+VLOOKUP($A151,INDIRECT(Adrese!F$2),6,FALSE)</f>
        <v>0.3738495575221239</v>
      </c>
      <c r="AS151" s="4" t="str">
        <f t="shared" ca="1" si="46"/>
        <v>0.39 (0.02)</v>
      </c>
      <c r="AT151" s="4">
        <f t="shared" ca="1" si="58"/>
        <v>0.38698230088495578</v>
      </c>
      <c r="AU151" s="4">
        <f t="shared" ca="1" si="47"/>
        <v>1.5334049888711915E-2</v>
      </c>
      <c r="AW151" t="s">
        <v>202</v>
      </c>
      <c r="AX151" s="4">
        <f ca="1">+VLOOKUP($A151,INDIRECT(Adrese!B$2),7,FALSE)</f>
        <v>0.46017699115044253</v>
      </c>
      <c r="AY151" s="4">
        <f ca="1">+VLOOKUP($A151,INDIRECT(Adrese!C$2),7,FALSE)</f>
        <v>0.50442477876106195</v>
      </c>
      <c r="AZ151" s="4">
        <f ca="1">+VLOOKUP($A151,INDIRECT(Adrese!D$2),7,FALSE)</f>
        <v>0.50442477876106195</v>
      </c>
      <c r="BA151" s="4">
        <f ca="1">+VLOOKUP($A151,INDIRECT(Adrese!E$2),7,FALSE)</f>
        <v>0.46017699115044253</v>
      </c>
      <c r="BB151" s="4">
        <f ca="1">+VLOOKUP($A151,INDIRECT(Adrese!F$2),7,FALSE)</f>
        <v>0.49115044247787609</v>
      </c>
      <c r="BC151" s="4" t="str">
        <f t="shared" ca="1" si="48"/>
        <v>0.48 (0.02)</v>
      </c>
      <c r="BD151">
        <f t="shared" ca="1" si="59"/>
        <v>0.48407079646017703</v>
      </c>
      <c r="BE151" s="4">
        <f t="shared" ca="1" si="49"/>
        <v>2.2475088671150938E-2</v>
      </c>
      <c r="BG151" t="s">
        <v>202</v>
      </c>
      <c r="BH151" s="4">
        <f ca="1">+VLOOKUP($BG151,INDIRECT(Adrese!B$2),8,FALSE)</f>
        <v>5.8248106775524E-2</v>
      </c>
      <c r="BI151" s="4">
        <f ca="1">+VLOOKUP($BG151,INDIRECT(Adrese!C$2),8,FALSE)</f>
        <v>5.5667508354763168E-2</v>
      </c>
      <c r="BJ151" s="4">
        <f ca="1">+VLOOKUP($BG151,INDIRECT(Adrese!D$2),8,FALSE)</f>
        <v>5.1485517772734253E-2</v>
      </c>
      <c r="BK151" s="4">
        <f ca="1">+VLOOKUP($BG151,INDIRECT(Adrese!E$2),8,FALSE)</f>
        <v>5.3422756267042529E-2</v>
      </c>
      <c r="BL151" s="4">
        <f ca="1">+VLOOKUP($BG151,INDIRECT(Adrese!F$2),8,FALSE)</f>
        <v>5.165073115949876E-2</v>
      </c>
      <c r="BM151" s="4" t="str">
        <f t="shared" ca="1" si="50"/>
        <v>0.05 (0.00)</v>
      </c>
      <c r="BN151" s="4">
        <f t="shared" ca="1" si="60"/>
        <v>5.4094924065912542E-2</v>
      </c>
      <c r="BO151" s="4">
        <f t="shared" ca="1" si="51"/>
        <v>2.8704023098441735E-3</v>
      </c>
      <c r="BQ151" t="s">
        <v>202</v>
      </c>
      <c r="BR151" s="4">
        <f ca="1">+VLOOKUP($BG151,INDIRECT(Adrese!B$2),9,FALSE)</f>
        <v>7.122044247559077E-2</v>
      </c>
      <c r="BS151" s="4">
        <f ca="1">+VLOOKUP($BG151,INDIRECT(Adrese!C$2),9,FALSE)</f>
        <v>6.1913719489142677E-2</v>
      </c>
      <c r="BT151" s="4">
        <f ca="1">+VLOOKUP($BG151,INDIRECT(Adrese!D$2),9,FALSE)</f>
        <v>5.9826081423422432E-2</v>
      </c>
      <c r="BU151" s="4">
        <f ca="1">+VLOOKUP($BG151,INDIRECT(Adrese!E$2),9,FALSE)</f>
        <v>6.0137841559163803E-2</v>
      </c>
      <c r="BV151" s="4">
        <f ca="1">+VLOOKUP($BG151,INDIRECT(Adrese!F$2),9,FALSE)</f>
        <v>6.0665374395222037E-2</v>
      </c>
      <c r="BW151" s="4" t="str">
        <f t="shared" ca="1" si="52"/>
        <v>0.06 (0.00)</v>
      </c>
      <c r="BX151" s="4">
        <f t="shared" ca="1" si="61"/>
        <v>6.2752691868508334E-2</v>
      </c>
      <c r="BY151" s="4">
        <f t="shared" ca="1" si="53"/>
        <v>4.8001578117009549E-3</v>
      </c>
    </row>
    <row r="152" spans="1:77" x14ac:dyDescent="0.25">
      <c r="A152" t="s">
        <v>203</v>
      </c>
      <c r="B152" s="11">
        <f ca="1">+VLOOKUP($A152,INDIRECT(Adrese!B$2),2,FALSE)</f>
        <v>209</v>
      </c>
      <c r="C152" s="11">
        <f ca="1">+VLOOKUP($A152,INDIRECT(Adrese!C$2),2,FALSE)</f>
        <v>188</v>
      </c>
      <c r="D152" s="11">
        <f ca="1">+VLOOKUP($A152,INDIRECT(Adrese!D$2),2,FALSE)</f>
        <v>212</v>
      </c>
      <c r="E152" s="11">
        <f ca="1">+VLOOKUP($A152,INDIRECT(Adrese!E$2),2,FALSE)</f>
        <v>211</v>
      </c>
      <c r="F152" s="11">
        <f ca="1">+VLOOKUP($A152,INDIRECT(Adrese!F$2),2,FALSE)</f>
        <v>197</v>
      </c>
      <c r="G152" s="4">
        <f t="shared" ca="1" si="54"/>
        <v>203.4</v>
      </c>
      <c r="J152" t="s">
        <v>203</v>
      </c>
      <c r="K152">
        <f ca="1">+VLOOKUP($A152,INDIRECT(Adrese!B$2),3,FALSE)</f>
        <v>31</v>
      </c>
      <c r="L152">
        <f ca="1">+VLOOKUP($A152,INDIRECT(Adrese!C$2),3,FALSE)</f>
        <v>38</v>
      </c>
      <c r="M152">
        <f ca="1">+VLOOKUP($A152,INDIRECT(Adrese!D$2),3,FALSE)</f>
        <v>35</v>
      </c>
      <c r="N152">
        <f ca="1">+VLOOKUP($A152,INDIRECT(Adrese!E$2),3,FALSE)</f>
        <v>32</v>
      </c>
      <c r="O152">
        <f ca="1">+VLOOKUP($A152,INDIRECT(Adrese!F$2),3,FALSE)</f>
        <v>40</v>
      </c>
      <c r="P152">
        <f t="shared" ca="1" si="44"/>
        <v>176</v>
      </c>
      <c r="Q152" s="4">
        <f t="shared" ca="1" si="55"/>
        <v>35.200000000000003</v>
      </c>
      <c r="R152" s="4"/>
      <c r="T152" t="s">
        <v>203</v>
      </c>
      <c r="U152">
        <f ca="1">+VLOOKUP($T152,INDIRECT(Adrese!B$2),4,FALSE)</f>
        <v>87987</v>
      </c>
      <c r="V152">
        <f ca="1">+VLOOKUP($T152,INDIRECT(Adrese!C$2),4,FALSE)</f>
        <v>89516</v>
      </c>
      <c r="W152">
        <f ca="1">+VLOOKUP($T152,INDIRECT(Adrese!D$2),4,FALSE)</f>
        <v>87414</v>
      </c>
      <c r="X152">
        <f ca="1">+VLOOKUP($T152,INDIRECT(Adrese!E$2),4,FALSE)</f>
        <v>87435</v>
      </c>
      <c r="Y152">
        <f ca="1">+VLOOKUP($T152,INDIRECT(Adrese!F$2),4,FALSE)</f>
        <v>88856</v>
      </c>
      <c r="Z152">
        <f t="shared" ca="1" si="45"/>
        <v>441208</v>
      </c>
      <c r="AA152" s="4">
        <f t="shared" ca="1" si="56"/>
        <v>88241.600000000006</v>
      </c>
      <c r="AC152" t="s">
        <v>203</v>
      </c>
      <c r="AD152">
        <f ca="1">+VLOOKUP($A152,INDIRECT(Adrese!B$2),5,FALSE)</f>
        <v>38565</v>
      </c>
      <c r="AE152">
        <f ca="1">+VLOOKUP($A152,INDIRECT(Adrese!C$2),5,FALSE)</f>
        <v>38411</v>
      </c>
      <c r="AF152">
        <f ca="1">+VLOOKUP($A152,INDIRECT(Adrese!D$2),5,FALSE)</f>
        <v>38605</v>
      </c>
      <c r="AG152">
        <f ca="1">+VLOOKUP($A152,INDIRECT(Adrese!E$2),5,FALSE)</f>
        <v>38515</v>
      </c>
      <c r="AH152">
        <f ca="1">+VLOOKUP($A152,INDIRECT(Adrese!F$2),5,FALSE)</f>
        <v>38485</v>
      </c>
      <c r="AI152" s="4">
        <f t="shared" ca="1" si="57"/>
        <v>38516.199999999997</v>
      </c>
      <c r="AJ152" s="4"/>
      <c r="AK152" s="4"/>
      <c r="AM152" t="s">
        <v>203</v>
      </c>
      <c r="AN152" s="4">
        <f ca="1">+VLOOKUP($A152,INDIRECT(Adrese!B$2),6,FALSE)</f>
        <v>0.84942477876106193</v>
      </c>
      <c r="AO152" s="4">
        <f ca="1">+VLOOKUP($A152,INDIRECT(Adrese!C$2),6,FALSE)</f>
        <v>0.84603982300884961</v>
      </c>
      <c r="AP152" s="4">
        <f ca="1">+VLOOKUP($A152,INDIRECT(Adrese!D$2),6,FALSE)</f>
        <v>0.85026548672566371</v>
      </c>
      <c r="AQ152" s="4">
        <f ca="1">+VLOOKUP($A152,INDIRECT(Adrese!E$2),6,FALSE)</f>
        <v>0.84827433628318583</v>
      </c>
      <c r="AR152" s="4">
        <f ca="1">+VLOOKUP($A152,INDIRECT(Adrese!F$2),6,FALSE)</f>
        <v>0.84761061946902649</v>
      </c>
      <c r="AS152" s="4" t="str">
        <f t="shared" ca="1" si="46"/>
        <v>0.85 (0.00)</v>
      </c>
      <c r="AT152" s="4">
        <f t="shared" ca="1" si="58"/>
        <v>0.84832300884955747</v>
      </c>
      <c r="AU152" s="4">
        <f t="shared" ca="1" si="47"/>
        <v>1.6363008944321722E-3</v>
      </c>
      <c r="AW152" t="s">
        <v>203</v>
      </c>
      <c r="AX152" s="4">
        <f ca="1">+VLOOKUP($A152,INDIRECT(Adrese!B$2),7,FALSE)</f>
        <v>0.86283185840707965</v>
      </c>
      <c r="AY152" s="4">
        <f ca="1">+VLOOKUP($A152,INDIRECT(Adrese!C$2),7,FALSE)</f>
        <v>0.83185840707964598</v>
      </c>
      <c r="AZ152" s="4">
        <f ca="1">+VLOOKUP($A152,INDIRECT(Adrese!D$2),7,FALSE)</f>
        <v>0.84513274336283184</v>
      </c>
      <c r="BA152" s="4">
        <f ca="1">+VLOOKUP($A152,INDIRECT(Adrese!E$2),7,FALSE)</f>
        <v>0.8584070796460177</v>
      </c>
      <c r="BB152" s="4">
        <f ca="1">+VLOOKUP($A152,INDIRECT(Adrese!F$2),7,FALSE)</f>
        <v>0.82300884955752207</v>
      </c>
      <c r="BC152" s="4" t="str">
        <f t="shared" ca="1" si="48"/>
        <v>0.84 (0.02)</v>
      </c>
      <c r="BD152">
        <f t="shared" ca="1" si="59"/>
        <v>0.84424778761061936</v>
      </c>
      <c r="BE152" s="4">
        <f t="shared" ca="1" si="49"/>
        <v>1.6964857975823755E-2</v>
      </c>
      <c r="BG152" t="s">
        <v>203</v>
      </c>
      <c r="BH152" s="4">
        <f ca="1">+VLOOKUP($BG152,INDIRECT(Adrese!B$2),8,FALSE)</f>
        <v>0.1086424681849824</v>
      </c>
      <c r="BI152" s="4">
        <f ca="1">+VLOOKUP($BG152,INDIRECT(Adrese!C$2),8,FALSE)</f>
        <v>0.1085005505891351</v>
      </c>
      <c r="BJ152" s="4">
        <f ca="1">+VLOOKUP($BG152,INDIRECT(Adrese!D$2),8,FALSE)</f>
        <v>0.10890908461368889</v>
      </c>
      <c r="BK152" s="4">
        <f ca="1">+VLOOKUP($BG152,INDIRECT(Adrese!E$2),8,FALSE)</f>
        <v>0.1088562671893066</v>
      </c>
      <c r="BL152" s="4">
        <f ca="1">+VLOOKUP($BG152,INDIRECT(Adrese!F$2),8,FALSE)</f>
        <v>0.1088527389200885</v>
      </c>
      <c r="BM152" s="4" t="str">
        <f t="shared" ca="1" si="50"/>
        <v>0.11 (0.00)</v>
      </c>
      <c r="BN152" s="4">
        <f t="shared" ca="1" si="60"/>
        <v>0.10875222189944031</v>
      </c>
      <c r="BO152" s="4">
        <f t="shared" ca="1" si="51"/>
        <v>1.7386728499981766E-4</v>
      </c>
      <c r="BQ152" t="s">
        <v>203</v>
      </c>
      <c r="BR152" s="4">
        <f ca="1">+VLOOKUP($BG152,INDIRECT(Adrese!B$2),9,FALSE)</f>
        <v>-8.1594575054672727E-2</v>
      </c>
      <c r="BS152" s="4">
        <f ca="1">+VLOOKUP($BG152,INDIRECT(Adrese!C$2),9,FALSE)</f>
        <v>-8.1527881902523913E-2</v>
      </c>
      <c r="BT152" s="4">
        <f ca="1">+VLOOKUP($BG152,INDIRECT(Adrese!D$2),9,FALSE)</f>
        <v>-8.0163743059452092E-2</v>
      </c>
      <c r="BU152" s="4">
        <f ca="1">+VLOOKUP($BG152,INDIRECT(Adrese!E$2),9,FALSE)</f>
        <v>-7.9652913925039509E-2</v>
      </c>
      <c r="BV152" s="4">
        <f ca="1">+VLOOKUP($BG152,INDIRECT(Adrese!F$2),9,FALSE)</f>
        <v>-7.9994552385072845E-2</v>
      </c>
      <c r="BW152" s="4" t="str">
        <f t="shared" ca="1" si="52"/>
        <v>-0.08 (0.00)</v>
      </c>
      <c r="BX152" s="4">
        <f t="shared" ca="1" si="61"/>
        <v>-8.058673326535222E-2</v>
      </c>
      <c r="BY152" s="4">
        <f t="shared" ca="1" si="53"/>
        <v>9.0872483447257727E-4</v>
      </c>
    </row>
    <row r="153" spans="1:77" x14ac:dyDescent="0.25">
      <c r="A153" t="s">
        <v>204</v>
      </c>
      <c r="B153" s="11">
        <f ca="1">+VLOOKUP($A153,INDIRECT(Adrese!B$2),2,FALSE)</f>
        <v>100</v>
      </c>
      <c r="C153" s="11">
        <f ca="1">+VLOOKUP($A153,INDIRECT(Adrese!C$2),2,FALSE)</f>
        <v>71</v>
      </c>
      <c r="D153" s="11">
        <f ca="1">+VLOOKUP($A153,INDIRECT(Adrese!D$2),2,FALSE)</f>
        <v>74</v>
      </c>
      <c r="E153" s="11">
        <f ca="1">+VLOOKUP($A153,INDIRECT(Adrese!E$2),2,FALSE)</f>
        <v>46</v>
      </c>
      <c r="F153" s="11">
        <f ca="1">+VLOOKUP($A153,INDIRECT(Adrese!F$2),2,FALSE)</f>
        <v>39</v>
      </c>
      <c r="G153" s="4">
        <f t="shared" ca="1" si="54"/>
        <v>66</v>
      </c>
      <c r="J153" t="s">
        <v>204</v>
      </c>
      <c r="K153">
        <f ca="1">+VLOOKUP($A153,INDIRECT(Adrese!B$2),3,FALSE)</f>
        <v>131</v>
      </c>
      <c r="L153">
        <f ca="1">+VLOOKUP($A153,INDIRECT(Adrese!C$2),3,FALSE)</f>
        <v>137</v>
      </c>
      <c r="M153">
        <f ca="1">+VLOOKUP($A153,INDIRECT(Adrese!D$2),3,FALSE)</f>
        <v>137</v>
      </c>
      <c r="N153">
        <f ca="1">+VLOOKUP($A153,INDIRECT(Adrese!E$2),3,FALSE)</f>
        <v>136</v>
      </c>
      <c r="O153">
        <f ca="1">+VLOOKUP($A153,INDIRECT(Adrese!F$2),3,FALSE)</f>
        <v>148</v>
      </c>
      <c r="P153">
        <f t="shared" ca="1" si="44"/>
        <v>689</v>
      </c>
      <c r="Q153" s="4">
        <f t="shared" ca="1" si="55"/>
        <v>137.80000000000001</v>
      </c>
      <c r="R153" s="4"/>
      <c r="T153" t="s">
        <v>204</v>
      </c>
      <c r="U153">
        <f ca="1">+VLOOKUP($T153,INDIRECT(Adrese!B$2),4,FALSE)</f>
        <v>95552</v>
      </c>
      <c r="V153">
        <f ca="1">+VLOOKUP($T153,INDIRECT(Adrese!C$2),4,FALSE)</f>
        <v>96604</v>
      </c>
      <c r="W153">
        <f ca="1">+VLOOKUP($T153,INDIRECT(Adrese!D$2),4,FALSE)</f>
        <v>96594</v>
      </c>
      <c r="X153">
        <f ca="1">+VLOOKUP($T153,INDIRECT(Adrese!E$2),4,FALSE)</f>
        <v>97631</v>
      </c>
      <c r="Y153">
        <f ca="1">+VLOOKUP($T153,INDIRECT(Adrese!F$2),4,FALSE)</f>
        <v>98248</v>
      </c>
      <c r="Z153">
        <f t="shared" ca="1" si="45"/>
        <v>484629</v>
      </c>
      <c r="AA153" s="4">
        <f t="shared" ca="1" si="56"/>
        <v>96925.8</v>
      </c>
      <c r="AC153" t="s">
        <v>204</v>
      </c>
      <c r="AD153">
        <f ca="1">+VLOOKUP($A153,INDIRECT(Adrese!B$2),5,FALSE)</f>
        <v>12705</v>
      </c>
      <c r="AE153">
        <f ca="1">+VLOOKUP($A153,INDIRECT(Adrese!C$2),5,FALSE)</f>
        <v>12075</v>
      </c>
      <c r="AF153">
        <f ca="1">+VLOOKUP($A153,INDIRECT(Adrese!D$2),5,FALSE)</f>
        <v>12309</v>
      </c>
      <c r="AG153">
        <f ca="1">+VLOOKUP($A153,INDIRECT(Adrese!E$2),5,FALSE)</f>
        <v>12885</v>
      </c>
      <c r="AH153">
        <f ca="1">+VLOOKUP($A153,INDIRECT(Adrese!F$2),5,FALSE)</f>
        <v>11281</v>
      </c>
      <c r="AI153" s="4">
        <f t="shared" ca="1" si="57"/>
        <v>12251</v>
      </c>
      <c r="AJ153" s="4"/>
      <c r="AK153" s="4"/>
      <c r="AM153" t="s">
        <v>204</v>
      </c>
      <c r="AN153" s="4">
        <f ca="1">+VLOOKUP($A153,INDIRECT(Adrese!B$2),6,FALSE)</f>
        <v>0.2806858407079646</v>
      </c>
      <c r="AO153" s="4">
        <f ca="1">+VLOOKUP($A153,INDIRECT(Adrese!C$2),6,FALSE)</f>
        <v>0.26663716814159288</v>
      </c>
      <c r="AP153" s="4">
        <f ca="1">+VLOOKUP($A153,INDIRECT(Adrese!D$2),6,FALSE)</f>
        <v>0.27188053097345127</v>
      </c>
      <c r="AQ153" s="4">
        <f ca="1">+VLOOKUP($A153,INDIRECT(Adrese!E$2),6,FALSE)</f>
        <v>0.28460176991150438</v>
      </c>
      <c r="AR153" s="4">
        <f ca="1">+VLOOKUP($A153,INDIRECT(Adrese!F$2),6,FALSE)</f>
        <v>0.24915929203539819</v>
      </c>
      <c r="AS153" s="4" t="str">
        <f t="shared" ca="1" si="46"/>
        <v>0.27 (0.01)</v>
      </c>
      <c r="AT153" s="4">
        <f t="shared" ca="1" si="58"/>
        <v>0.2705929203539823</v>
      </c>
      <c r="AU153" s="4">
        <f t="shared" ca="1" si="47"/>
        <v>1.391780556310441E-2</v>
      </c>
      <c r="AW153" t="s">
        <v>204</v>
      </c>
      <c r="AX153" s="4">
        <f ca="1">+VLOOKUP($A153,INDIRECT(Adrese!B$2),7,FALSE)</f>
        <v>0.42035398230088489</v>
      </c>
      <c r="AY153" s="4">
        <f ca="1">+VLOOKUP($A153,INDIRECT(Adrese!C$2),7,FALSE)</f>
        <v>0.39380530973451328</v>
      </c>
      <c r="AZ153" s="4">
        <f ca="1">+VLOOKUP($A153,INDIRECT(Adrese!D$2),7,FALSE)</f>
        <v>0.39380530973451328</v>
      </c>
      <c r="BA153" s="4">
        <f ca="1">+VLOOKUP($A153,INDIRECT(Adrese!E$2),7,FALSE)</f>
        <v>0.39823008849557517</v>
      </c>
      <c r="BB153" s="4">
        <f ca="1">+VLOOKUP($A153,INDIRECT(Adrese!F$2),7,FALSE)</f>
        <v>0.34513274336283178</v>
      </c>
      <c r="BC153" s="4" t="str">
        <f t="shared" ca="1" si="48"/>
        <v>0.39 (0.03)</v>
      </c>
      <c r="BD153">
        <f t="shared" ca="1" si="59"/>
        <v>0.39026548672566369</v>
      </c>
      <c r="BE153" s="4">
        <f t="shared" ca="1" si="49"/>
        <v>2.7526249584063356E-2</v>
      </c>
      <c r="BG153" t="s">
        <v>204</v>
      </c>
      <c r="BH153" s="4">
        <f ca="1">+VLOOKUP($BG153,INDIRECT(Adrese!B$2),8,FALSE)</f>
        <v>3.752801760249893E-2</v>
      </c>
      <c r="BI153" s="4">
        <f ca="1">+VLOOKUP($BG153,INDIRECT(Adrese!C$2),8,FALSE)</f>
        <v>3.5665894180194127E-2</v>
      </c>
      <c r="BJ153" s="4">
        <f ca="1">+VLOOKUP($BG153,INDIRECT(Adrese!D$2),8,FALSE)</f>
        <v>3.68047073132017E-2</v>
      </c>
      <c r="BK153" s="4">
        <f ca="1">+VLOOKUP($BG153,INDIRECT(Adrese!E$2),8,FALSE)</f>
        <v>3.7607784579792358E-2</v>
      </c>
      <c r="BL153" s="4">
        <f ca="1">+VLOOKUP($BG153,INDIRECT(Adrese!F$2),8,FALSE)</f>
        <v>3.3508998388064988E-2</v>
      </c>
      <c r="BM153" s="4" t="str">
        <f t="shared" ca="1" si="50"/>
        <v>0.04 (0.00)</v>
      </c>
      <c r="BN153" s="4">
        <f t="shared" ca="1" si="60"/>
        <v>3.6223080412750422E-2</v>
      </c>
      <c r="BO153" s="4">
        <f t="shared" ca="1" si="51"/>
        <v>1.7055244270613261E-3</v>
      </c>
      <c r="BQ153" t="s">
        <v>204</v>
      </c>
      <c r="BR153" s="4">
        <f ca="1">+VLOOKUP($BG153,INDIRECT(Adrese!B$2),9,FALSE)</f>
        <v>6.217075586813945E-2</v>
      </c>
      <c r="BS153" s="4">
        <f ca="1">+VLOOKUP($BG153,INDIRECT(Adrese!C$2),9,FALSE)</f>
        <v>6.2422428151987147E-2</v>
      </c>
      <c r="BT153" s="4">
        <f ca="1">+VLOOKUP($BG153,INDIRECT(Adrese!D$2),9,FALSE)</f>
        <v>6.856458691424136E-2</v>
      </c>
      <c r="BU153" s="4">
        <f ca="1">+VLOOKUP($BG153,INDIRECT(Adrese!E$2),9,FALSE)</f>
        <v>5.4607737339836197E-2</v>
      </c>
      <c r="BV153" s="4">
        <f ca="1">+VLOOKUP($BG153,INDIRECT(Adrese!F$2),9,FALSE)</f>
        <v>6.8195317017208906E-2</v>
      </c>
      <c r="BW153" s="4" t="str">
        <f t="shared" ca="1" si="52"/>
        <v>0.06 (0.01)</v>
      </c>
      <c r="BX153" s="4">
        <f t="shared" ca="1" si="61"/>
        <v>6.3192165058282609E-2</v>
      </c>
      <c r="BY153" s="4">
        <f t="shared" ca="1" si="53"/>
        <v>5.6838063173885638E-3</v>
      </c>
    </row>
    <row r="154" spans="1:77" x14ac:dyDescent="0.25">
      <c r="A154" t="s">
        <v>205</v>
      </c>
      <c r="B154" s="11">
        <f ca="1">+VLOOKUP($A154,INDIRECT(Adrese!B$2),2,FALSE)</f>
        <v>206</v>
      </c>
      <c r="C154" s="11">
        <f ca="1">+VLOOKUP($A154,INDIRECT(Adrese!C$2),2,FALSE)</f>
        <v>184</v>
      </c>
      <c r="D154" s="11">
        <f ca="1">+VLOOKUP($A154,INDIRECT(Adrese!D$2),2,FALSE)</f>
        <v>213</v>
      </c>
      <c r="E154" s="11">
        <f ca="1">+VLOOKUP($A154,INDIRECT(Adrese!E$2),2,FALSE)</f>
        <v>205</v>
      </c>
      <c r="F154" s="11">
        <f ca="1">+VLOOKUP($A154,INDIRECT(Adrese!F$2),2,FALSE)</f>
        <v>196</v>
      </c>
      <c r="G154" s="4">
        <f t="shared" ca="1" si="54"/>
        <v>200.8</v>
      </c>
      <c r="J154" t="s">
        <v>205</v>
      </c>
      <c r="K154">
        <f ca="1">+VLOOKUP($A154,INDIRECT(Adrese!B$2),3,FALSE)</f>
        <v>31</v>
      </c>
      <c r="L154">
        <f ca="1">+VLOOKUP($A154,INDIRECT(Adrese!C$2),3,FALSE)</f>
        <v>36</v>
      </c>
      <c r="M154">
        <f ca="1">+VLOOKUP($A154,INDIRECT(Adrese!D$2),3,FALSE)</f>
        <v>33</v>
      </c>
      <c r="N154">
        <f ca="1">+VLOOKUP($A154,INDIRECT(Adrese!E$2),3,FALSE)</f>
        <v>35</v>
      </c>
      <c r="O154">
        <f ca="1">+VLOOKUP($A154,INDIRECT(Adrese!F$2),3,FALSE)</f>
        <v>34</v>
      </c>
      <c r="P154">
        <f t="shared" ca="1" si="44"/>
        <v>169</v>
      </c>
      <c r="Q154" s="4">
        <f t="shared" ca="1" si="55"/>
        <v>33.799999999999997</v>
      </c>
      <c r="R154" s="4"/>
      <c r="T154" t="s">
        <v>205</v>
      </c>
      <c r="U154">
        <f ca="1">+VLOOKUP($T154,INDIRECT(Adrese!B$2),4,FALSE)</f>
        <v>88410</v>
      </c>
      <c r="V154">
        <f ca="1">+VLOOKUP($T154,INDIRECT(Adrese!C$2),4,FALSE)</f>
        <v>90055</v>
      </c>
      <c r="W154">
        <f ca="1">+VLOOKUP($T154,INDIRECT(Adrese!D$2),4,FALSE)</f>
        <v>87413</v>
      </c>
      <c r="X154">
        <f ca="1">+VLOOKUP($T154,INDIRECT(Adrese!E$2),4,FALSE)</f>
        <v>87650</v>
      </c>
      <c r="Y154">
        <f ca="1">+VLOOKUP($T154,INDIRECT(Adrese!F$2),4,FALSE)</f>
        <v>88858</v>
      </c>
      <c r="Z154">
        <f t="shared" ca="1" si="45"/>
        <v>442386</v>
      </c>
      <c r="AA154" s="4">
        <f t="shared" ca="1" si="56"/>
        <v>88477.2</v>
      </c>
      <c r="AC154" t="s">
        <v>205</v>
      </c>
      <c r="AD154">
        <f ca="1">+VLOOKUP($A154,INDIRECT(Adrese!B$2),5,FALSE)</f>
        <v>38836</v>
      </c>
      <c r="AE154">
        <f ca="1">+VLOOKUP($A154,INDIRECT(Adrese!C$2),5,FALSE)</f>
        <v>38648</v>
      </c>
      <c r="AF154">
        <f ca="1">+VLOOKUP($A154,INDIRECT(Adrese!D$2),5,FALSE)</f>
        <v>38566</v>
      </c>
      <c r="AG154">
        <f ca="1">+VLOOKUP($A154,INDIRECT(Adrese!E$2),5,FALSE)</f>
        <v>38512</v>
      </c>
      <c r="AH154">
        <f ca="1">+VLOOKUP($A154,INDIRECT(Adrese!F$2),5,FALSE)</f>
        <v>38588</v>
      </c>
      <c r="AI154" s="4">
        <f t="shared" ca="1" si="57"/>
        <v>38630</v>
      </c>
      <c r="AJ154" s="4"/>
      <c r="AK154" s="4"/>
      <c r="AM154" t="s">
        <v>205</v>
      </c>
      <c r="AN154" s="4">
        <f ca="1">+VLOOKUP($A154,INDIRECT(Adrese!B$2),6,FALSE)</f>
        <v>0.85548672566371686</v>
      </c>
      <c r="AO154" s="4">
        <f ca="1">+VLOOKUP($A154,INDIRECT(Adrese!C$2),6,FALSE)</f>
        <v>0.85112831858407079</v>
      </c>
      <c r="AP154" s="4">
        <f ca="1">+VLOOKUP($A154,INDIRECT(Adrese!D$2),6,FALSE)</f>
        <v>0.84949115044247792</v>
      </c>
      <c r="AQ154" s="4">
        <f ca="1">+VLOOKUP($A154,INDIRECT(Adrese!E$2),6,FALSE)</f>
        <v>0.84825221238938053</v>
      </c>
      <c r="AR154" s="4">
        <f ca="1">+VLOOKUP($A154,INDIRECT(Adrese!F$2),6,FALSE)</f>
        <v>0.84995575221238939</v>
      </c>
      <c r="AS154" s="4" t="str">
        <f t="shared" ca="1" si="46"/>
        <v>0.85 (0.00)</v>
      </c>
      <c r="AT154" s="4">
        <f t="shared" ca="1" si="58"/>
        <v>0.85086283185840705</v>
      </c>
      <c r="AU154" s="4">
        <f t="shared" ca="1" si="47"/>
        <v>2.7825579296472552E-3</v>
      </c>
      <c r="AW154" t="s">
        <v>205</v>
      </c>
      <c r="AX154" s="4">
        <f ca="1">+VLOOKUP($A154,INDIRECT(Adrese!B$2),7,FALSE)</f>
        <v>0.86283185840707965</v>
      </c>
      <c r="AY154" s="4">
        <f ca="1">+VLOOKUP($A154,INDIRECT(Adrese!C$2),7,FALSE)</f>
        <v>0.84070796460176989</v>
      </c>
      <c r="AZ154" s="4">
        <f ca="1">+VLOOKUP($A154,INDIRECT(Adrese!D$2),7,FALSE)</f>
        <v>0.85398230088495575</v>
      </c>
      <c r="BA154" s="4">
        <f ca="1">+VLOOKUP($A154,INDIRECT(Adrese!E$2),7,FALSE)</f>
        <v>0.84513274336283184</v>
      </c>
      <c r="BB154" s="4">
        <f ca="1">+VLOOKUP($A154,INDIRECT(Adrese!F$2),7,FALSE)</f>
        <v>0.84955752212389379</v>
      </c>
      <c r="BC154" s="4" t="str">
        <f t="shared" ca="1" si="48"/>
        <v>0.85 (0.01)</v>
      </c>
      <c r="BD154">
        <f t="shared" ca="1" si="59"/>
        <v>0.85044247787610627</v>
      </c>
      <c r="BE154" s="4">
        <f t="shared" ca="1" si="49"/>
        <v>8.5112318856952994E-3</v>
      </c>
      <c r="BG154" t="s">
        <v>205</v>
      </c>
      <c r="BH154" s="4">
        <f ca="1">+VLOOKUP($BG154,INDIRECT(Adrese!B$2),8,FALSE)</f>
        <v>0.10923495755364079</v>
      </c>
      <c r="BI154" s="4">
        <f ca="1">+VLOOKUP($BG154,INDIRECT(Adrese!C$2),8,FALSE)</f>
        <v>0.10915183186331209</v>
      </c>
      <c r="BJ154" s="4">
        <f ca="1">+VLOOKUP($BG154,INDIRECT(Adrese!D$2),8,FALSE)</f>
        <v>0.10871848618102201</v>
      </c>
      <c r="BK154" s="4">
        <f ca="1">+VLOOKUP($BG154,INDIRECT(Adrese!E$2),8,FALSE)</f>
        <v>0.1086432066176994</v>
      </c>
      <c r="BL154" s="4">
        <f ca="1">+VLOOKUP($BG154,INDIRECT(Adrese!F$2),8,FALSE)</f>
        <v>0.10908513196697189</v>
      </c>
      <c r="BM154" s="4" t="str">
        <f t="shared" ca="1" si="50"/>
        <v>0.11 (0.00)</v>
      </c>
      <c r="BN154" s="4">
        <f t="shared" ca="1" si="60"/>
        <v>0.10896672283652924</v>
      </c>
      <c r="BO154" s="4">
        <f t="shared" ca="1" si="51"/>
        <v>2.6763787027248736E-4</v>
      </c>
      <c r="BQ154" t="s">
        <v>205</v>
      </c>
      <c r="BR154" s="4">
        <f ca="1">+VLOOKUP($BG154,INDIRECT(Adrese!B$2),9,FALSE)</f>
        <v>-8.3148501341711367E-2</v>
      </c>
      <c r="BS154" s="4">
        <f ca="1">+VLOOKUP($BG154,INDIRECT(Adrese!C$2),9,FALSE)</f>
        <v>-8.2312864055797519E-2</v>
      </c>
      <c r="BT154" s="4">
        <f ca="1">+VLOOKUP($BG154,INDIRECT(Adrese!D$2),9,FALSE)</f>
        <v>-8.0614097889244854E-2</v>
      </c>
      <c r="BU154" s="4">
        <f ca="1">+VLOOKUP($BG154,INDIRECT(Adrese!E$2),9,FALSE)</f>
        <v>-8.1213544368336846E-2</v>
      </c>
      <c r="BV154" s="4">
        <f ca="1">+VLOOKUP($BG154,INDIRECT(Adrese!F$2),9,FALSE)</f>
        <v>-8.1514114009774541E-2</v>
      </c>
      <c r="BW154" s="4" t="str">
        <f t="shared" ca="1" si="52"/>
        <v>-0.08 (0.00)</v>
      </c>
      <c r="BX154" s="4">
        <f t="shared" ca="1" si="61"/>
        <v>-8.1760624332973014E-2</v>
      </c>
      <c r="BY154" s="4">
        <f t="shared" ca="1" si="53"/>
        <v>9.88149535263701E-4</v>
      </c>
    </row>
    <row r="155" spans="1:77" x14ac:dyDescent="0.25">
      <c r="A155" t="s">
        <v>15</v>
      </c>
      <c r="B155" s="11">
        <f ca="1">+VLOOKUP($A155,INDIRECT(Adrese!B$2),2,FALSE)</f>
        <v>91</v>
      </c>
      <c r="C155" s="11">
        <f ca="1">+VLOOKUP($A155,INDIRECT(Adrese!C$2),2,FALSE)</f>
        <v>60</v>
      </c>
      <c r="D155" s="11">
        <f ca="1">+VLOOKUP($A155,INDIRECT(Adrese!D$2),2,FALSE)</f>
        <v>39</v>
      </c>
      <c r="E155" s="11">
        <f ca="1">+VLOOKUP($A155,INDIRECT(Adrese!E$2),2,FALSE)</f>
        <v>73</v>
      </c>
      <c r="F155" s="11">
        <f ca="1">+VLOOKUP($A155,INDIRECT(Adrese!F$2),2,FALSE)</f>
        <v>43</v>
      </c>
      <c r="G155" s="4">
        <f t="shared" ca="1" si="54"/>
        <v>61.2</v>
      </c>
      <c r="J155" t="s">
        <v>15</v>
      </c>
      <c r="K155">
        <f ca="1">+VLOOKUP($A155,INDIRECT(Adrese!B$2),3,FALSE)</f>
        <v>151</v>
      </c>
      <c r="L155">
        <f ca="1">+VLOOKUP($A155,INDIRECT(Adrese!C$2),3,FALSE)</f>
        <v>150</v>
      </c>
      <c r="M155">
        <f ca="1">+VLOOKUP($A155,INDIRECT(Adrese!D$2),3,FALSE)</f>
        <v>150</v>
      </c>
      <c r="N155">
        <f ca="1">+VLOOKUP($A155,INDIRECT(Adrese!E$2),3,FALSE)</f>
        <v>152</v>
      </c>
      <c r="O155">
        <f ca="1">+VLOOKUP($A155,INDIRECT(Adrese!F$2),3,FALSE)</f>
        <v>146</v>
      </c>
      <c r="P155">
        <f t="shared" ca="1" si="44"/>
        <v>749</v>
      </c>
      <c r="Q155" s="4">
        <f t="shared" ca="1" si="55"/>
        <v>149.80000000000001</v>
      </c>
      <c r="R155" s="4"/>
      <c r="T155" t="s">
        <v>15</v>
      </c>
      <c r="U155">
        <f ca="1">+VLOOKUP($T155,INDIRECT(Adrese!B$2),4,FALSE)</f>
        <v>96067</v>
      </c>
      <c r="V155">
        <f ca="1">+VLOOKUP($T155,INDIRECT(Adrese!C$2),4,FALSE)</f>
        <v>97044</v>
      </c>
      <c r="W155">
        <f ca="1">+VLOOKUP($T155,INDIRECT(Adrese!D$2),4,FALSE)</f>
        <v>97958</v>
      </c>
      <c r="X155">
        <f ca="1">+VLOOKUP($T155,INDIRECT(Adrese!E$2),4,FALSE)</f>
        <v>96684</v>
      </c>
      <c r="Y155">
        <f ca="1">+VLOOKUP($T155,INDIRECT(Adrese!F$2),4,FALSE)</f>
        <v>97765</v>
      </c>
      <c r="Z155">
        <f t="shared" ca="1" si="45"/>
        <v>485518</v>
      </c>
      <c r="AA155" s="4">
        <f t="shared" ca="1" si="56"/>
        <v>97103.6</v>
      </c>
      <c r="AC155" t="s">
        <v>15</v>
      </c>
      <c r="AD155">
        <f ca="1">+VLOOKUP($A155,INDIRECT(Adrese!B$2),5,FALSE)</f>
        <v>16411</v>
      </c>
      <c r="AE155">
        <f ca="1">+VLOOKUP($A155,INDIRECT(Adrese!C$2),5,FALSE)</f>
        <v>16802</v>
      </c>
      <c r="AF155">
        <f ca="1">+VLOOKUP($A155,INDIRECT(Adrese!D$2),5,FALSE)</f>
        <v>16901</v>
      </c>
      <c r="AG155">
        <f ca="1">+VLOOKUP($A155,INDIRECT(Adrese!E$2),5,FALSE)</f>
        <v>16688</v>
      </c>
      <c r="AH155">
        <f ca="1">+VLOOKUP($A155,INDIRECT(Adrese!F$2),5,FALSE)</f>
        <v>17055</v>
      </c>
      <c r="AI155" s="4">
        <f t="shared" ca="1" si="57"/>
        <v>16771.400000000001</v>
      </c>
      <c r="AJ155" s="4"/>
      <c r="AK155" s="4"/>
      <c r="AM155" t="s">
        <v>15</v>
      </c>
      <c r="AN155" s="4">
        <f ca="1">+VLOOKUP($A155,INDIRECT(Adrese!B$2),6,FALSE)</f>
        <v>0.36196902654867258</v>
      </c>
      <c r="AO155" s="4">
        <f ca="1">+VLOOKUP($A155,INDIRECT(Adrese!C$2),6,FALSE)</f>
        <v>0.37046460176991147</v>
      </c>
      <c r="AP155" s="4">
        <f ca="1">+VLOOKUP($A155,INDIRECT(Adrese!D$2),6,FALSE)</f>
        <v>0.37256637168141588</v>
      </c>
      <c r="AQ155" s="4">
        <f ca="1">+VLOOKUP($A155,INDIRECT(Adrese!E$2),6,FALSE)</f>
        <v>0.36814159292035398</v>
      </c>
      <c r="AR155" s="4">
        <f ca="1">+VLOOKUP($A155,INDIRECT(Adrese!F$2),6,FALSE)</f>
        <v>0.37612831858407081</v>
      </c>
      <c r="AS155" s="4" t="str">
        <f t="shared" ca="1" si="46"/>
        <v>0.37 (0.01)</v>
      </c>
      <c r="AT155" s="4">
        <f t="shared" ca="1" si="58"/>
        <v>0.36985398230088495</v>
      </c>
      <c r="AU155" s="4">
        <f t="shared" ca="1" si="47"/>
        <v>5.2962725733995209E-3</v>
      </c>
      <c r="AW155" t="s">
        <v>15</v>
      </c>
      <c r="AX155" s="4">
        <f ca="1">+VLOOKUP($A155,INDIRECT(Adrese!B$2),7,FALSE)</f>
        <v>0.33185840707964598</v>
      </c>
      <c r="AY155" s="4">
        <f ca="1">+VLOOKUP($A155,INDIRECT(Adrese!C$2),7,FALSE)</f>
        <v>0.33628318584070799</v>
      </c>
      <c r="AZ155" s="4">
        <f ca="1">+VLOOKUP($A155,INDIRECT(Adrese!D$2),7,FALSE)</f>
        <v>0.33628318584070799</v>
      </c>
      <c r="BA155" s="4">
        <f ca="1">+VLOOKUP($A155,INDIRECT(Adrese!E$2),7,FALSE)</f>
        <v>0.32743362831858408</v>
      </c>
      <c r="BB155" s="4">
        <f ca="1">+VLOOKUP($A155,INDIRECT(Adrese!F$2),7,FALSE)</f>
        <v>0.35398230088495569</v>
      </c>
      <c r="BC155" s="4" t="str">
        <f t="shared" ca="1" si="48"/>
        <v>0.34 (0.01)</v>
      </c>
      <c r="BD155">
        <f t="shared" ca="1" si="59"/>
        <v>0.33716814159292036</v>
      </c>
      <c r="BE155" s="4">
        <f t="shared" ca="1" si="49"/>
        <v>1.0090048009726862E-2</v>
      </c>
      <c r="BG155" t="s">
        <v>15</v>
      </c>
      <c r="BH155" s="4">
        <f ca="1">+VLOOKUP($BG155,INDIRECT(Adrese!B$2),8,FALSE)</f>
        <v>5.2365167963897168E-2</v>
      </c>
      <c r="BI155" s="4">
        <f ca="1">+VLOOKUP($BG155,INDIRECT(Adrese!C$2),8,FALSE)</f>
        <v>5.3719016157800822E-2</v>
      </c>
      <c r="BJ155" s="4">
        <f ca="1">+VLOOKUP($BG155,INDIRECT(Adrese!D$2),8,FALSE)</f>
        <v>5.3602227822297573E-2</v>
      </c>
      <c r="BK155" s="4">
        <f ca="1">+VLOOKUP($BG155,INDIRECT(Adrese!E$2),8,FALSE)</f>
        <v>5.3038574718015437E-2</v>
      </c>
      <c r="BL155" s="4">
        <f ca="1">+VLOOKUP($BG155,INDIRECT(Adrese!F$2),8,FALSE)</f>
        <v>5.4138808389056478E-2</v>
      </c>
      <c r="BM155" s="4" t="str">
        <f t="shared" ca="1" si="50"/>
        <v>0.05 (0.00)</v>
      </c>
      <c r="BN155" s="4">
        <f t="shared" ca="1" si="60"/>
        <v>5.3372759010213489E-2</v>
      </c>
      <c r="BO155" s="4">
        <f t="shared" ca="1" si="51"/>
        <v>6.8671326923415768E-4</v>
      </c>
      <c r="BQ155" t="s">
        <v>15</v>
      </c>
      <c r="BR155" s="4">
        <f ca="1">+VLOOKUP($BG155,INDIRECT(Adrese!B$2),9,FALSE)</f>
        <v>8.2991247987096686E-2</v>
      </c>
      <c r="BS155" s="4">
        <f ca="1">+VLOOKUP($BG155,INDIRECT(Adrese!C$2),9,FALSE)</f>
        <v>8.2683489007025365E-2</v>
      </c>
      <c r="BT155" s="4">
        <f ca="1">+VLOOKUP($BG155,INDIRECT(Adrese!D$2),9,FALSE)</f>
        <v>7.887496541510626E-2</v>
      </c>
      <c r="BU155" s="4">
        <f ca="1">+VLOOKUP($BG155,INDIRECT(Adrese!E$2),9,FALSE)</f>
        <v>8.0989953888348676E-2</v>
      </c>
      <c r="BV155" s="4">
        <f ca="1">+VLOOKUP($BG155,INDIRECT(Adrese!F$2),9,FALSE)</f>
        <v>7.6411492269974332E-2</v>
      </c>
      <c r="BW155" s="4" t="str">
        <f t="shared" ca="1" si="52"/>
        <v>0.08 (0.00)</v>
      </c>
      <c r="BX155" s="4">
        <f t="shared" ca="1" si="61"/>
        <v>8.0390229713510258E-2</v>
      </c>
      <c r="BY155" s="4">
        <f t="shared" ca="1" si="53"/>
        <v>2.7618101342834064E-3</v>
      </c>
    </row>
    <row r="156" spans="1:77" x14ac:dyDescent="0.25">
      <c r="A156" t="s">
        <v>206</v>
      </c>
      <c r="B156" s="11">
        <f ca="1">+VLOOKUP($A156,INDIRECT(Adrese!B$2),2,FALSE)</f>
        <v>114</v>
      </c>
      <c r="C156" s="11">
        <f ca="1">+VLOOKUP($A156,INDIRECT(Adrese!C$2),2,FALSE)</f>
        <v>120</v>
      </c>
      <c r="D156" s="11">
        <f ca="1">+VLOOKUP($A156,INDIRECT(Adrese!D$2),2,FALSE)</f>
        <v>116</v>
      </c>
      <c r="E156" s="11">
        <f ca="1">+VLOOKUP($A156,INDIRECT(Adrese!E$2),2,FALSE)</f>
        <v>117</v>
      </c>
      <c r="F156" s="11">
        <f ca="1">+VLOOKUP($A156,INDIRECT(Adrese!F$2),2,FALSE)</f>
        <v>132</v>
      </c>
      <c r="G156" s="4">
        <f t="shared" ca="1" si="54"/>
        <v>119.8</v>
      </c>
      <c r="J156" t="s">
        <v>206</v>
      </c>
      <c r="K156">
        <f ca="1">+VLOOKUP($A156,INDIRECT(Adrese!B$2),3,FALSE)</f>
        <v>105</v>
      </c>
      <c r="L156">
        <f ca="1">+VLOOKUP($A156,INDIRECT(Adrese!C$2),3,FALSE)</f>
        <v>107</v>
      </c>
      <c r="M156">
        <f ca="1">+VLOOKUP($A156,INDIRECT(Adrese!D$2),3,FALSE)</f>
        <v>108</v>
      </c>
      <c r="N156">
        <f ca="1">+VLOOKUP($A156,INDIRECT(Adrese!E$2),3,FALSE)</f>
        <v>103</v>
      </c>
      <c r="O156">
        <f ca="1">+VLOOKUP($A156,INDIRECT(Adrese!F$2),3,FALSE)</f>
        <v>99</v>
      </c>
      <c r="P156">
        <f t="shared" ca="1" si="44"/>
        <v>522</v>
      </c>
      <c r="Q156" s="4">
        <f t="shared" ca="1" si="55"/>
        <v>104.4</v>
      </c>
      <c r="R156" s="4"/>
      <c r="T156" t="s">
        <v>206</v>
      </c>
      <c r="U156">
        <f ca="1">+VLOOKUP($T156,INDIRECT(Adrese!B$2),4,FALSE)</f>
        <v>94883</v>
      </c>
      <c r="V156">
        <f ca="1">+VLOOKUP($T156,INDIRECT(Adrese!C$2),4,FALSE)</f>
        <v>94726</v>
      </c>
      <c r="W156">
        <f ca="1">+VLOOKUP($T156,INDIRECT(Adrese!D$2),4,FALSE)</f>
        <v>95309</v>
      </c>
      <c r="X156">
        <f ca="1">+VLOOKUP($T156,INDIRECT(Adrese!E$2),4,FALSE)</f>
        <v>94881</v>
      </c>
      <c r="Y156">
        <f ca="1">+VLOOKUP($T156,INDIRECT(Adrese!F$2),4,FALSE)</f>
        <v>94377</v>
      </c>
      <c r="Z156">
        <f t="shared" ca="1" si="45"/>
        <v>474176</v>
      </c>
      <c r="AA156" s="4">
        <f t="shared" ca="1" si="56"/>
        <v>94835.199999999997</v>
      </c>
      <c r="AC156" t="s">
        <v>206</v>
      </c>
      <c r="AD156">
        <f ca="1">+VLOOKUP($A156,INDIRECT(Adrese!B$2),5,FALSE)</f>
        <v>20735</v>
      </c>
      <c r="AE156">
        <f ca="1">+VLOOKUP($A156,INDIRECT(Adrese!C$2),5,FALSE)</f>
        <v>20679</v>
      </c>
      <c r="AF156">
        <f ca="1">+VLOOKUP($A156,INDIRECT(Adrese!D$2),5,FALSE)</f>
        <v>20600</v>
      </c>
      <c r="AG156">
        <f ca="1">+VLOOKUP($A156,INDIRECT(Adrese!E$2),5,FALSE)</f>
        <v>20528</v>
      </c>
      <c r="AH156">
        <f ca="1">+VLOOKUP($A156,INDIRECT(Adrese!F$2),5,FALSE)</f>
        <v>20780</v>
      </c>
      <c r="AI156" s="4">
        <f t="shared" ca="1" si="57"/>
        <v>20664.400000000001</v>
      </c>
      <c r="AJ156" s="4"/>
      <c r="AK156" s="4"/>
      <c r="AM156" t="s">
        <v>206</v>
      </c>
      <c r="AN156" s="4">
        <f ca="1">+VLOOKUP($A156,INDIRECT(Adrese!B$2),6,FALSE)</f>
        <v>0.45670353982300887</v>
      </c>
      <c r="AO156" s="4">
        <f ca="1">+VLOOKUP($A156,INDIRECT(Adrese!C$2),6,FALSE)</f>
        <v>0.455641592920354</v>
      </c>
      <c r="AP156" s="4">
        <f ca="1">+VLOOKUP($A156,INDIRECT(Adrese!D$2),6,FALSE)</f>
        <v>0.45342920353982302</v>
      </c>
      <c r="AQ156" s="4">
        <f ca="1">+VLOOKUP($A156,INDIRECT(Adrese!E$2),6,FALSE)</f>
        <v>0.45219026548672558</v>
      </c>
      <c r="AR156" s="4">
        <f ca="1">+VLOOKUP($A156,INDIRECT(Adrese!F$2),6,FALSE)</f>
        <v>0.4577654867256637</v>
      </c>
      <c r="AS156" s="4" t="str">
        <f t="shared" ca="1" si="46"/>
        <v>0.46 (0.00)</v>
      </c>
      <c r="AT156" s="4">
        <f t="shared" ca="1" si="58"/>
        <v>0.455146017699115</v>
      </c>
      <c r="AU156" s="4">
        <f t="shared" ca="1" si="47"/>
        <v>2.3030962825055365E-3</v>
      </c>
      <c r="AW156" t="s">
        <v>206</v>
      </c>
      <c r="AX156" s="4">
        <f ca="1">+VLOOKUP($A156,INDIRECT(Adrese!B$2),7,FALSE)</f>
        <v>0.53539823008849563</v>
      </c>
      <c r="AY156" s="4">
        <f ca="1">+VLOOKUP($A156,INDIRECT(Adrese!C$2),7,FALSE)</f>
        <v>0.52654867256637172</v>
      </c>
      <c r="AZ156" s="4">
        <f ca="1">+VLOOKUP($A156,INDIRECT(Adrese!D$2),7,FALSE)</f>
        <v>0.52212389380530977</v>
      </c>
      <c r="BA156" s="4">
        <f ca="1">+VLOOKUP($A156,INDIRECT(Adrese!E$2),7,FALSE)</f>
        <v>0.54424778761061943</v>
      </c>
      <c r="BB156" s="4">
        <f ca="1">+VLOOKUP($A156,INDIRECT(Adrese!F$2),7,FALSE)</f>
        <v>0.56194690265486724</v>
      </c>
      <c r="BC156" s="4" t="str">
        <f t="shared" ca="1" si="48"/>
        <v>0.54 (0.02)</v>
      </c>
      <c r="BD156">
        <f t="shared" ca="1" si="59"/>
        <v>0.53805309734513274</v>
      </c>
      <c r="BE156" s="4">
        <f t="shared" ca="1" si="49"/>
        <v>1.5830569752210869E-2</v>
      </c>
      <c r="BG156" t="s">
        <v>206</v>
      </c>
      <c r="BH156" s="4">
        <f ca="1">+VLOOKUP($BG156,INDIRECT(Adrese!B$2),8,FALSE)</f>
        <v>6.5079056955375039E-2</v>
      </c>
      <c r="BI156" s="4">
        <f ca="1">+VLOOKUP($BG156,INDIRECT(Adrese!C$2),8,FALSE)</f>
        <v>6.4730063483439557E-2</v>
      </c>
      <c r="BJ156" s="4">
        <f ca="1">+VLOOKUP($BG156,INDIRECT(Adrese!D$2),8,FALSE)</f>
        <v>6.4597944663387433E-2</v>
      </c>
      <c r="BK156" s="4">
        <f ca="1">+VLOOKUP($BG156,INDIRECT(Adrese!E$2),8,FALSE)</f>
        <v>6.4110877740620936E-2</v>
      </c>
      <c r="BL156" s="4">
        <f ca="1">+VLOOKUP($BG156,INDIRECT(Adrese!F$2),8,FALSE)</f>
        <v>6.4869971276905108E-2</v>
      </c>
      <c r="BM156" s="4" t="str">
        <f t="shared" ca="1" si="50"/>
        <v>0.06 (0.00)</v>
      </c>
      <c r="BN156" s="4">
        <f t="shared" ca="1" si="60"/>
        <v>6.4677582823945604E-2</v>
      </c>
      <c r="BO156" s="4">
        <f t="shared" ca="1" si="51"/>
        <v>3.6347142347893001E-4</v>
      </c>
      <c r="BQ156" t="s">
        <v>206</v>
      </c>
      <c r="BR156" s="4">
        <f ca="1">+VLOOKUP($BG156,INDIRECT(Adrese!B$2),9,FALSE)</f>
        <v>5.8969965747767077E-2</v>
      </c>
      <c r="BS156" s="4">
        <f ca="1">+VLOOKUP($BG156,INDIRECT(Adrese!C$2),9,FALSE)</f>
        <v>5.9318203141656339E-2</v>
      </c>
      <c r="BT156" s="4">
        <f ca="1">+VLOOKUP($BG156,INDIRECT(Adrese!D$2),9,FALSE)</f>
        <v>5.6018405817450177E-2</v>
      </c>
      <c r="BU156" s="4">
        <f ca="1">+VLOOKUP($BG156,INDIRECT(Adrese!E$2),9,FALSE)</f>
        <v>5.6912765297286887E-2</v>
      </c>
      <c r="BV156" s="4">
        <f ca="1">+VLOOKUP($BG156,INDIRECT(Adrese!F$2),9,FALSE)</f>
        <v>5.7545157462801637E-2</v>
      </c>
      <c r="BW156" s="4" t="str">
        <f t="shared" ca="1" si="52"/>
        <v>0.06 (0.00)</v>
      </c>
      <c r="BX156" s="4">
        <f t="shared" ca="1" si="61"/>
        <v>5.7752899493392428E-2</v>
      </c>
      <c r="BY156" s="4">
        <f t="shared" ca="1" si="53"/>
        <v>1.3864411553893478E-3</v>
      </c>
    </row>
    <row r="157" spans="1:77" x14ac:dyDescent="0.25">
      <c r="A157" t="s">
        <v>207</v>
      </c>
      <c r="B157" s="11">
        <f ca="1">+VLOOKUP($A157,INDIRECT(Adrese!B$2),2,FALSE)</f>
        <v>227</v>
      </c>
      <c r="C157" s="11">
        <f ca="1">+VLOOKUP($A157,INDIRECT(Adrese!C$2),2,FALSE)</f>
        <v>226</v>
      </c>
      <c r="D157" s="11">
        <f ca="1">+VLOOKUP($A157,INDIRECT(Adrese!D$2),2,FALSE)</f>
        <v>227</v>
      </c>
      <c r="E157" s="11">
        <f ca="1">+VLOOKUP($A157,INDIRECT(Adrese!E$2),2,FALSE)</f>
        <v>226</v>
      </c>
      <c r="F157" s="11">
        <f ca="1">+VLOOKUP($A157,INDIRECT(Adrese!F$2),2,FALSE)</f>
        <v>226</v>
      </c>
      <c r="G157" s="4">
        <f t="shared" ca="1" si="54"/>
        <v>226.4</v>
      </c>
      <c r="J157" t="s">
        <v>207</v>
      </c>
      <c r="K157">
        <f ca="1">+VLOOKUP($A157,INDIRECT(Adrese!B$2),3,FALSE)</f>
        <v>17</v>
      </c>
      <c r="L157">
        <f ca="1">+VLOOKUP($A157,INDIRECT(Adrese!C$2),3,FALSE)</f>
        <v>20</v>
      </c>
      <c r="M157">
        <f ca="1">+VLOOKUP($A157,INDIRECT(Adrese!D$2),3,FALSE)</f>
        <v>23</v>
      </c>
      <c r="N157">
        <f ca="1">+VLOOKUP($A157,INDIRECT(Adrese!E$2),3,FALSE)</f>
        <v>20</v>
      </c>
      <c r="O157">
        <f ca="1">+VLOOKUP($A157,INDIRECT(Adrese!F$2),3,FALSE)</f>
        <v>16</v>
      </c>
      <c r="P157">
        <f t="shared" ca="1" si="44"/>
        <v>96</v>
      </c>
      <c r="Q157" s="4">
        <f t="shared" ca="1" si="55"/>
        <v>19.2</v>
      </c>
      <c r="R157" s="4"/>
      <c r="T157" t="s">
        <v>207</v>
      </c>
      <c r="U157">
        <f ca="1">+VLOOKUP($T157,INDIRECT(Adrese!B$2),4,FALSE)</f>
        <v>85096</v>
      </c>
      <c r="V157">
        <f ca="1">+VLOOKUP($T157,INDIRECT(Adrese!C$2),4,FALSE)</f>
        <v>85978</v>
      </c>
      <c r="W157">
        <f ca="1">+VLOOKUP($T157,INDIRECT(Adrese!D$2),4,FALSE)</f>
        <v>86035</v>
      </c>
      <c r="X157">
        <f ca="1">+VLOOKUP($T157,INDIRECT(Adrese!E$2),4,FALSE)</f>
        <v>85820</v>
      </c>
      <c r="Y157">
        <f ca="1">+VLOOKUP($T157,INDIRECT(Adrese!F$2),4,FALSE)</f>
        <v>85092</v>
      </c>
      <c r="Z157">
        <f t="shared" ca="1" si="45"/>
        <v>428021</v>
      </c>
      <c r="AA157" s="4">
        <f t="shared" ca="1" si="56"/>
        <v>85604.2</v>
      </c>
      <c r="AC157" t="s">
        <v>207</v>
      </c>
      <c r="AD157">
        <f ca="1">+VLOOKUP($A157,INDIRECT(Adrese!B$2),5,FALSE)</f>
        <v>40292</v>
      </c>
      <c r="AE157">
        <f ca="1">+VLOOKUP($A157,INDIRECT(Adrese!C$2),5,FALSE)</f>
        <v>40379</v>
      </c>
      <c r="AF157">
        <f ca="1">+VLOOKUP($A157,INDIRECT(Adrese!D$2),5,FALSE)</f>
        <v>40255</v>
      </c>
      <c r="AG157">
        <f ca="1">+VLOOKUP($A157,INDIRECT(Adrese!E$2),5,FALSE)</f>
        <v>40321</v>
      </c>
      <c r="AH157">
        <f ca="1">+VLOOKUP($A157,INDIRECT(Adrese!F$2),5,FALSE)</f>
        <v>40284</v>
      </c>
      <c r="AI157" s="4">
        <f t="shared" ca="1" si="57"/>
        <v>40306.199999999997</v>
      </c>
      <c r="AJ157" s="4"/>
      <c r="AK157" s="4"/>
      <c r="AM157" t="s">
        <v>207</v>
      </c>
      <c r="AN157" s="4">
        <f ca="1">+VLOOKUP($A157,INDIRECT(Adrese!B$2),6,FALSE)</f>
        <v>0.88756637168141594</v>
      </c>
      <c r="AO157" s="4">
        <f ca="1">+VLOOKUP($A157,INDIRECT(Adrese!C$2),6,FALSE)</f>
        <v>0.88942477876106196</v>
      </c>
      <c r="AP157" s="4">
        <f ca="1">+VLOOKUP($A157,INDIRECT(Adrese!D$2),6,FALSE)</f>
        <v>0.88672566371681416</v>
      </c>
      <c r="AQ157" s="4">
        <f ca="1">+VLOOKUP($A157,INDIRECT(Adrese!E$2),6,FALSE)</f>
        <v>0.88803097345132742</v>
      </c>
      <c r="AR157" s="4">
        <f ca="1">+VLOOKUP($A157,INDIRECT(Adrese!F$2),6,FALSE)</f>
        <v>0.88721238938053093</v>
      </c>
      <c r="AS157" s="4" t="str">
        <f t="shared" ca="1" si="46"/>
        <v>0.89 (0.00)</v>
      </c>
      <c r="AT157" s="4">
        <f t="shared" ca="1" si="58"/>
        <v>0.88779203539823004</v>
      </c>
      <c r="AU157" s="4">
        <f t="shared" ca="1" si="47"/>
        <v>1.030413080266378E-3</v>
      </c>
      <c r="AW157" t="s">
        <v>207</v>
      </c>
      <c r="AX157" s="4">
        <f ca="1">+VLOOKUP($A157,INDIRECT(Adrese!B$2),7,FALSE)</f>
        <v>0.9247787610619469</v>
      </c>
      <c r="AY157" s="4">
        <f ca="1">+VLOOKUP($A157,INDIRECT(Adrese!C$2),7,FALSE)</f>
        <v>0.91150442477876104</v>
      </c>
      <c r="AZ157" s="4">
        <f ca="1">+VLOOKUP($A157,INDIRECT(Adrese!D$2),7,FALSE)</f>
        <v>0.89823008849557517</v>
      </c>
      <c r="BA157" s="4">
        <f ca="1">+VLOOKUP($A157,INDIRECT(Adrese!E$2),7,FALSE)</f>
        <v>0.91150442477876104</v>
      </c>
      <c r="BB157" s="4">
        <f ca="1">+VLOOKUP($A157,INDIRECT(Adrese!F$2),7,FALSE)</f>
        <v>0.92920353982300885</v>
      </c>
      <c r="BC157" s="4" t="str">
        <f t="shared" ca="1" si="48"/>
        <v>0.92 (0.01)</v>
      </c>
      <c r="BD157">
        <f t="shared" ca="1" si="59"/>
        <v>0.91504424778761062</v>
      </c>
      <c r="BE157" s="4">
        <f t="shared" ca="1" si="49"/>
        <v>1.2278262765939494E-2</v>
      </c>
      <c r="BG157" t="s">
        <v>207</v>
      </c>
      <c r="BH157" s="4">
        <f ca="1">+VLOOKUP($BG157,INDIRECT(Adrese!B$2),8,FALSE)</f>
        <v>0.1125922315738163</v>
      </c>
      <c r="BI157" s="4">
        <f ca="1">+VLOOKUP($BG157,INDIRECT(Adrese!C$2),8,FALSE)</f>
        <v>0.11324136890917801</v>
      </c>
      <c r="BJ157" s="4">
        <f ca="1">+VLOOKUP($BG157,INDIRECT(Adrese!D$2),8,FALSE)</f>
        <v>0.1129095957331154</v>
      </c>
      <c r="BK157" s="4">
        <f ca="1">+VLOOKUP($BG157,INDIRECT(Adrese!E$2),8,FALSE)</f>
        <v>0.11292805888266701</v>
      </c>
      <c r="BL157" s="4">
        <f ca="1">+VLOOKUP($BG157,INDIRECT(Adrese!F$2),8,FALSE)</f>
        <v>0.1128518114939933</v>
      </c>
      <c r="BM157" s="4" t="str">
        <f t="shared" ca="1" si="50"/>
        <v>0.11 (0.00)</v>
      </c>
      <c r="BN157" s="4">
        <f t="shared" ca="1" si="60"/>
        <v>0.11290461331855399</v>
      </c>
      <c r="BO157" s="4">
        <f t="shared" ca="1" si="51"/>
        <v>2.3148932689773705E-4</v>
      </c>
      <c r="BQ157" t="s">
        <v>207</v>
      </c>
      <c r="BR157" s="4">
        <f ca="1">+VLOOKUP($BG157,INDIRECT(Adrese!B$2),9,FALSE)</f>
        <v>-9.5561330811894815E-2</v>
      </c>
      <c r="BS157" s="4">
        <f ca="1">+VLOOKUP($BG157,INDIRECT(Adrese!C$2),9,FALSE)</f>
        <v>-9.4187421185728121E-2</v>
      </c>
      <c r="BT157" s="4">
        <f ca="1">+VLOOKUP($BG157,INDIRECT(Adrese!D$2),9,FALSE)</f>
        <v>-9.2399103283414163E-2</v>
      </c>
      <c r="BU157" s="4">
        <f ca="1">+VLOOKUP($BG157,INDIRECT(Adrese!E$2),9,FALSE)</f>
        <v>-9.3693515505129263E-2</v>
      </c>
      <c r="BV157" s="4">
        <f ca="1">+VLOOKUP($BG157,INDIRECT(Adrese!F$2),9,FALSE)</f>
        <v>-9.4395655766323666E-2</v>
      </c>
      <c r="BW157" s="4" t="str">
        <f t="shared" ca="1" si="52"/>
        <v>-0.09 (0.00)</v>
      </c>
      <c r="BX157" s="4">
        <f t="shared" ca="1" si="61"/>
        <v>-9.4047405310498003E-2</v>
      </c>
      <c r="BY157" s="4">
        <f t="shared" ca="1" si="53"/>
        <v>1.1483674080963208E-3</v>
      </c>
    </row>
    <row r="158" spans="1:77" x14ac:dyDescent="0.25">
      <c r="A158" t="s">
        <v>208</v>
      </c>
      <c r="B158" s="11">
        <f ca="1">+VLOOKUP($A158,INDIRECT(Adrese!B$2),2,FALSE)</f>
        <v>176</v>
      </c>
      <c r="C158" s="11">
        <f ca="1">+VLOOKUP($A158,INDIRECT(Adrese!C$2),2,FALSE)</f>
        <v>178</v>
      </c>
      <c r="D158" s="11">
        <f ca="1">+VLOOKUP($A158,INDIRECT(Adrese!D$2),2,FALSE)</f>
        <v>169</v>
      </c>
      <c r="E158" s="11">
        <f ca="1">+VLOOKUP($A158,INDIRECT(Adrese!E$2),2,FALSE)</f>
        <v>166</v>
      </c>
      <c r="F158" s="11">
        <f ca="1">+VLOOKUP($A158,INDIRECT(Adrese!F$2),2,FALSE)</f>
        <v>183</v>
      </c>
      <c r="G158" s="4">
        <f t="shared" ca="1" si="54"/>
        <v>174.4</v>
      </c>
      <c r="J158" t="s">
        <v>208</v>
      </c>
      <c r="K158">
        <f ca="1">+VLOOKUP($A158,INDIRECT(Adrese!B$2),3,FALSE)</f>
        <v>86</v>
      </c>
      <c r="L158">
        <f ca="1">+VLOOKUP($A158,INDIRECT(Adrese!C$2),3,FALSE)</f>
        <v>93</v>
      </c>
      <c r="M158">
        <f ca="1">+VLOOKUP($A158,INDIRECT(Adrese!D$2),3,FALSE)</f>
        <v>84</v>
      </c>
      <c r="N158">
        <f ca="1">+VLOOKUP($A158,INDIRECT(Adrese!E$2),3,FALSE)</f>
        <v>99</v>
      </c>
      <c r="O158">
        <f ca="1">+VLOOKUP($A158,INDIRECT(Adrese!F$2),3,FALSE)</f>
        <v>84</v>
      </c>
      <c r="P158">
        <f t="shared" ca="1" si="44"/>
        <v>446</v>
      </c>
      <c r="Q158" s="4">
        <f t="shared" ca="1" si="55"/>
        <v>89.2</v>
      </c>
      <c r="R158" s="4"/>
      <c r="T158" t="s">
        <v>208</v>
      </c>
      <c r="U158">
        <f ca="1">+VLOOKUP($T158,INDIRECT(Adrese!B$2),4,FALSE)</f>
        <v>91494</v>
      </c>
      <c r="V158">
        <f ca="1">+VLOOKUP($T158,INDIRECT(Adrese!C$2),4,FALSE)</f>
        <v>91001</v>
      </c>
      <c r="W158">
        <f ca="1">+VLOOKUP($T158,INDIRECT(Adrese!D$2),4,FALSE)</f>
        <v>91749</v>
      </c>
      <c r="X158">
        <f ca="1">+VLOOKUP($T158,INDIRECT(Adrese!E$2),4,FALSE)</f>
        <v>92364</v>
      </c>
      <c r="Y158">
        <f ca="1">+VLOOKUP($T158,INDIRECT(Adrese!F$2),4,FALSE)</f>
        <v>90292</v>
      </c>
      <c r="Z158">
        <f t="shared" ca="1" si="45"/>
        <v>456900</v>
      </c>
      <c r="AA158" s="4">
        <f t="shared" ca="1" si="56"/>
        <v>91380</v>
      </c>
      <c r="AC158" t="s">
        <v>208</v>
      </c>
      <c r="AD158">
        <f ca="1">+VLOOKUP($A158,INDIRECT(Adrese!B$2),5,FALSE)</f>
        <v>21663</v>
      </c>
      <c r="AE158">
        <f ca="1">+VLOOKUP($A158,INDIRECT(Adrese!C$2),5,FALSE)</f>
        <v>21613</v>
      </c>
      <c r="AF158">
        <f ca="1">+VLOOKUP($A158,INDIRECT(Adrese!D$2),5,FALSE)</f>
        <v>21812</v>
      </c>
      <c r="AG158">
        <f ca="1">+VLOOKUP($A158,INDIRECT(Adrese!E$2),5,FALSE)</f>
        <v>22009</v>
      </c>
      <c r="AH158">
        <f ca="1">+VLOOKUP($A158,INDIRECT(Adrese!F$2),5,FALSE)</f>
        <v>21794</v>
      </c>
      <c r="AI158" s="4">
        <f t="shared" ca="1" si="57"/>
        <v>21778.2</v>
      </c>
      <c r="AJ158" s="4"/>
      <c r="AK158" s="4"/>
      <c r="AM158" t="s">
        <v>208</v>
      </c>
      <c r="AN158" s="4">
        <f ca="1">+VLOOKUP($A158,INDIRECT(Adrese!B$2),6,FALSE)</f>
        <v>0.47712389380530967</v>
      </c>
      <c r="AO158" s="4">
        <f ca="1">+VLOOKUP($A158,INDIRECT(Adrese!C$2),6,FALSE)</f>
        <v>0.47579646017699118</v>
      </c>
      <c r="AP158" s="4">
        <f ca="1">+VLOOKUP($A158,INDIRECT(Adrese!D$2),6,FALSE)</f>
        <v>0.48042035398230087</v>
      </c>
      <c r="AQ158" s="4">
        <f ca="1">+VLOOKUP($A158,INDIRECT(Adrese!E$2),6,FALSE)</f>
        <v>0.48446902654867258</v>
      </c>
      <c r="AR158" s="4">
        <f ca="1">+VLOOKUP($A158,INDIRECT(Adrese!F$2),6,FALSE)</f>
        <v>0.48017699115044249</v>
      </c>
      <c r="AS158" s="4" t="str">
        <f t="shared" ca="1" si="46"/>
        <v>0.48 (0.00)</v>
      </c>
      <c r="AT158" s="4">
        <f t="shared" ca="1" si="58"/>
        <v>0.47959734513274332</v>
      </c>
      <c r="AU158" s="4">
        <f t="shared" ca="1" si="47"/>
        <v>3.3656834672411368E-3</v>
      </c>
      <c r="AW158" t="s">
        <v>208</v>
      </c>
      <c r="AX158" s="4">
        <f ca="1">+VLOOKUP($A158,INDIRECT(Adrese!B$2),7,FALSE)</f>
        <v>0.61946902654867253</v>
      </c>
      <c r="AY158" s="4">
        <f ca="1">+VLOOKUP($A158,INDIRECT(Adrese!C$2),7,FALSE)</f>
        <v>0.58849557522123896</v>
      </c>
      <c r="AZ158" s="4">
        <f ca="1">+VLOOKUP($A158,INDIRECT(Adrese!D$2),7,FALSE)</f>
        <v>0.62831858407079644</v>
      </c>
      <c r="BA158" s="4">
        <f ca="1">+VLOOKUP($A158,INDIRECT(Adrese!E$2),7,FALSE)</f>
        <v>0.56194690265486724</v>
      </c>
      <c r="BB158" s="4">
        <f ca="1">+VLOOKUP($A158,INDIRECT(Adrese!F$2),7,FALSE)</f>
        <v>0.62831858407079644</v>
      </c>
      <c r="BC158" s="4" t="str">
        <f t="shared" ca="1" si="48"/>
        <v>0.61 (0.03)</v>
      </c>
      <c r="BD158">
        <f t="shared" ca="1" si="59"/>
        <v>0.6053097345132743</v>
      </c>
      <c r="BE158" s="4">
        <f t="shared" ca="1" si="49"/>
        <v>2.9250431647855582E-2</v>
      </c>
      <c r="BG158" t="s">
        <v>208</v>
      </c>
      <c r="BH158" s="4">
        <f ca="1">+VLOOKUP($BG158,INDIRECT(Adrese!B$2),8,FALSE)</f>
        <v>6.3343758590320237E-2</v>
      </c>
      <c r="BI158" s="4">
        <f ca="1">+VLOOKUP($BG158,INDIRECT(Adrese!C$2),8,FALSE)</f>
        <v>6.3291711692804412E-2</v>
      </c>
      <c r="BJ158" s="4">
        <f ca="1">+VLOOKUP($BG158,INDIRECT(Adrese!D$2),8,FALSE)</f>
        <v>6.3827306838677531E-2</v>
      </c>
      <c r="BK158" s="4">
        <f ca="1">+VLOOKUP($BG158,INDIRECT(Adrese!E$2),8,FALSE)</f>
        <v>6.4724406283190164E-2</v>
      </c>
      <c r="BL158" s="4">
        <f ca="1">+VLOOKUP($BG158,INDIRECT(Adrese!F$2),8,FALSE)</f>
        <v>6.4067029235532147E-2</v>
      </c>
      <c r="BM158" s="4" t="str">
        <f t="shared" ca="1" si="50"/>
        <v>0.06 (0.00)</v>
      </c>
      <c r="BN158" s="4">
        <f t="shared" ca="1" si="60"/>
        <v>6.3850842528104898E-2</v>
      </c>
      <c r="BO158" s="4">
        <f t="shared" ca="1" si="51"/>
        <v>5.874022612926223E-4</v>
      </c>
      <c r="BQ158" t="s">
        <v>208</v>
      </c>
      <c r="BR158" s="4">
        <f ca="1">+VLOOKUP($BG158,INDIRECT(Adrese!B$2),9,FALSE)</f>
        <v>2.2396132051828551E-2</v>
      </c>
      <c r="BS158" s="4">
        <f ca="1">+VLOOKUP($BG158,INDIRECT(Adrese!C$2),9,FALSE)</f>
        <v>2.1557612958774879E-2</v>
      </c>
      <c r="BT158" s="4">
        <f ca="1">+VLOOKUP($BG158,INDIRECT(Adrese!D$2),9,FALSE)</f>
        <v>2.0914996855983171E-2</v>
      </c>
      <c r="BU158" s="4">
        <f ca="1">+VLOOKUP($BG158,INDIRECT(Adrese!E$2),9,FALSE)</f>
        <v>2.3062630560394631E-2</v>
      </c>
      <c r="BV158" s="4">
        <f ca="1">+VLOOKUP($BG158,INDIRECT(Adrese!F$2),9,FALSE)</f>
        <v>2.4702576310278109E-2</v>
      </c>
      <c r="BW158" s="4" t="str">
        <f t="shared" ca="1" si="52"/>
        <v>0.02 (0.00)</v>
      </c>
      <c r="BX158" s="4">
        <f t="shared" ca="1" si="61"/>
        <v>2.252678974745187E-2</v>
      </c>
      <c r="BY158" s="4">
        <f t="shared" ca="1" si="53"/>
        <v>1.4641912400635416E-3</v>
      </c>
    </row>
    <row r="159" spans="1:77" x14ac:dyDescent="0.25">
      <c r="A159" t="s">
        <v>209</v>
      </c>
      <c r="B159" s="11">
        <f ca="1">+VLOOKUP($A159,INDIRECT(Adrese!B$2),2,FALSE)</f>
        <v>101</v>
      </c>
      <c r="C159" s="11">
        <f ca="1">+VLOOKUP($A159,INDIRECT(Adrese!C$2),2,FALSE)</f>
        <v>80</v>
      </c>
      <c r="D159" s="11">
        <f ca="1">+VLOOKUP($A159,INDIRECT(Adrese!D$2),2,FALSE)</f>
        <v>90</v>
      </c>
      <c r="E159" s="11">
        <f ca="1">+VLOOKUP($A159,INDIRECT(Adrese!E$2),2,FALSE)</f>
        <v>105</v>
      </c>
      <c r="F159" s="11">
        <f ca="1">+VLOOKUP($A159,INDIRECT(Adrese!F$2),2,FALSE)</f>
        <v>115</v>
      </c>
      <c r="G159" s="4">
        <f t="shared" ca="1" si="54"/>
        <v>98.2</v>
      </c>
      <c r="J159" t="s">
        <v>209</v>
      </c>
      <c r="K159">
        <f ca="1">+VLOOKUP($A159,INDIRECT(Adrese!B$2),3,FALSE)</f>
        <v>124</v>
      </c>
      <c r="L159">
        <f ca="1">+VLOOKUP($A159,INDIRECT(Adrese!C$2),3,FALSE)</f>
        <v>123</v>
      </c>
      <c r="M159">
        <f ca="1">+VLOOKUP($A159,INDIRECT(Adrese!D$2),3,FALSE)</f>
        <v>134</v>
      </c>
      <c r="N159">
        <f ca="1">+VLOOKUP($A159,INDIRECT(Adrese!E$2),3,FALSE)</f>
        <v>128</v>
      </c>
      <c r="O159">
        <f ca="1">+VLOOKUP($A159,INDIRECT(Adrese!F$2),3,FALSE)</f>
        <v>124</v>
      </c>
      <c r="P159">
        <f t="shared" ca="1" si="44"/>
        <v>633</v>
      </c>
      <c r="Q159" s="4">
        <f t="shared" ca="1" si="55"/>
        <v>126.6</v>
      </c>
      <c r="R159" s="4"/>
      <c r="T159" t="s">
        <v>209</v>
      </c>
      <c r="U159">
        <f ca="1">+VLOOKUP($T159,INDIRECT(Adrese!B$2),4,FALSE)</f>
        <v>95530</v>
      </c>
      <c r="V159">
        <f ca="1">+VLOOKUP($T159,INDIRECT(Adrese!C$2),4,FALSE)</f>
        <v>96062</v>
      </c>
      <c r="W159">
        <f ca="1">+VLOOKUP($T159,INDIRECT(Adrese!D$2),4,FALSE)</f>
        <v>96131</v>
      </c>
      <c r="X159">
        <f ca="1">+VLOOKUP($T159,INDIRECT(Adrese!E$2),4,FALSE)</f>
        <v>95376</v>
      </c>
      <c r="Y159">
        <f ca="1">+VLOOKUP($T159,INDIRECT(Adrese!F$2),4,FALSE)</f>
        <v>95012</v>
      </c>
      <c r="Z159">
        <f t="shared" ca="1" si="45"/>
        <v>478111</v>
      </c>
      <c r="AA159" s="4">
        <f t="shared" ca="1" si="56"/>
        <v>95622.2</v>
      </c>
      <c r="AC159" t="s">
        <v>209</v>
      </c>
      <c r="AD159">
        <f ca="1">+VLOOKUP($A159,INDIRECT(Adrese!B$2),5,FALSE)</f>
        <v>15046</v>
      </c>
      <c r="AE159">
        <f ca="1">+VLOOKUP($A159,INDIRECT(Adrese!C$2),5,FALSE)</f>
        <v>15123</v>
      </c>
      <c r="AF159">
        <f ca="1">+VLOOKUP($A159,INDIRECT(Adrese!D$2),5,FALSE)</f>
        <v>15034</v>
      </c>
      <c r="AG159">
        <f ca="1">+VLOOKUP($A159,INDIRECT(Adrese!E$2),5,FALSE)</f>
        <v>15089</v>
      </c>
      <c r="AH159">
        <f ca="1">+VLOOKUP($A159,INDIRECT(Adrese!F$2),5,FALSE)</f>
        <v>14957</v>
      </c>
      <c r="AI159" s="4">
        <f t="shared" ca="1" si="57"/>
        <v>15049.8</v>
      </c>
      <c r="AJ159" s="4"/>
      <c r="AK159" s="4"/>
      <c r="AM159" t="s">
        <v>209</v>
      </c>
      <c r="AN159" s="4">
        <f ca="1">+VLOOKUP($A159,INDIRECT(Adrese!B$2),6,FALSE)</f>
        <v>0.33154867256637172</v>
      </c>
      <c r="AO159" s="4">
        <f ca="1">+VLOOKUP($A159,INDIRECT(Adrese!C$2),6,FALSE)</f>
        <v>0.33309734513274342</v>
      </c>
      <c r="AP159" s="4">
        <f ca="1">+VLOOKUP($A159,INDIRECT(Adrese!D$2),6,FALSE)</f>
        <v>0.3311946902654867</v>
      </c>
      <c r="AQ159" s="4">
        <f ca="1">+VLOOKUP($A159,INDIRECT(Adrese!E$2),6,FALSE)</f>
        <v>0.33256637168141601</v>
      </c>
      <c r="AR159" s="4">
        <f ca="1">+VLOOKUP($A159,INDIRECT(Adrese!F$2),6,FALSE)</f>
        <v>0.32933628318584068</v>
      </c>
      <c r="AS159" s="4" t="str">
        <f t="shared" ca="1" si="46"/>
        <v>0.33 (0.00)</v>
      </c>
      <c r="AT159" s="4">
        <f t="shared" ca="1" si="58"/>
        <v>0.33154867256637172</v>
      </c>
      <c r="AU159" s="4">
        <f t="shared" ca="1" si="47"/>
        <v>1.4537940403493005E-3</v>
      </c>
      <c r="AW159" t="s">
        <v>209</v>
      </c>
      <c r="AX159" s="4">
        <f ca="1">+VLOOKUP($A159,INDIRECT(Adrese!B$2),7,FALSE)</f>
        <v>0.45132743362831862</v>
      </c>
      <c r="AY159" s="4">
        <f ca="1">+VLOOKUP($A159,INDIRECT(Adrese!C$2),7,FALSE)</f>
        <v>0.45575221238938052</v>
      </c>
      <c r="AZ159" s="4">
        <f ca="1">+VLOOKUP($A159,INDIRECT(Adrese!D$2),7,FALSE)</f>
        <v>0.40707964601769908</v>
      </c>
      <c r="BA159" s="4">
        <f ca="1">+VLOOKUP($A159,INDIRECT(Adrese!E$2),7,FALSE)</f>
        <v>0.4336283185840708</v>
      </c>
      <c r="BB159" s="4">
        <f ca="1">+VLOOKUP($A159,INDIRECT(Adrese!F$2),7,FALSE)</f>
        <v>0.45132743362831862</v>
      </c>
      <c r="BC159" s="4" t="str">
        <f t="shared" ca="1" si="48"/>
        <v>0.44 (0.02)</v>
      </c>
      <c r="BD159">
        <f t="shared" ca="1" si="59"/>
        <v>0.4398230088495575</v>
      </c>
      <c r="BE159" s="4">
        <f t="shared" ca="1" si="49"/>
        <v>2.0180096019453791E-2</v>
      </c>
      <c r="BG159" t="s">
        <v>209</v>
      </c>
      <c r="BH159" s="4">
        <f ca="1">+VLOOKUP($BG159,INDIRECT(Adrese!B$2),8,FALSE)</f>
        <v>4.279836345136756E-2</v>
      </c>
      <c r="BI159" s="4">
        <f ca="1">+VLOOKUP($BG159,INDIRECT(Adrese!C$2),8,FALSE)</f>
        <v>4.2837955417072311E-2</v>
      </c>
      <c r="BJ159" s="4">
        <f ca="1">+VLOOKUP($BG159,INDIRECT(Adrese!D$2),8,FALSE)</f>
        <v>4.2764757522547228E-2</v>
      </c>
      <c r="BK159" s="4">
        <f ca="1">+VLOOKUP($BG159,INDIRECT(Adrese!E$2),8,FALSE)</f>
        <v>4.2935676923624627E-2</v>
      </c>
      <c r="BL159" s="4">
        <f ca="1">+VLOOKUP($BG159,INDIRECT(Adrese!F$2),8,FALSE)</f>
        <v>4.246054541793623E-2</v>
      </c>
      <c r="BM159" s="4" t="str">
        <f t="shared" ca="1" si="50"/>
        <v>0.04 (0.00)</v>
      </c>
      <c r="BN159" s="4">
        <f t="shared" ca="1" si="60"/>
        <v>4.275945974650959E-2</v>
      </c>
      <c r="BO159" s="4">
        <f t="shared" ca="1" si="51"/>
        <v>1.7895907654863971E-4</v>
      </c>
      <c r="BQ159" t="s">
        <v>209</v>
      </c>
      <c r="BR159" s="4">
        <f ca="1">+VLOOKUP($BG159,INDIRECT(Adrese!B$2),9,FALSE)</f>
        <v>4.359867891681421E-2</v>
      </c>
      <c r="BS159" s="4">
        <f ca="1">+VLOOKUP($BG159,INDIRECT(Adrese!C$2),9,FALSE)</f>
        <v>4.207010352157553E-2</v>
      </c>
      <c r="BT159" s="4">
        <f ca="1">+VLOOKUP($BG159,INDIRECT(Adrese!D$2),9,FALSE)</f>
        <v>4.3790579344700743E-2</v>
      </c>
      <c r="BU159" s="4">
        <f ca="1">+VLOOKUP($BG159,INDIRECT(Adrese!E$2),9,FALSE)</f>
        <v>4.3544548560040072E-2</v>
      </c>
      <c r="BV159" s="4">
        <f ca="1">+VLOOKUP($BG159,INDIRECT(Adrese!F$2),9,FALSE)</f>
        <v>4.351165575763926E-2</v>
      </c>
      <c r="BW159" s="4" t="str">
        <f t="shared" ca="1" si="52"/>
        <v>0.04 (0.00)</v>
      </c>
      <c r="BX159" s="4">
        <f t="shared" ca="1" si="61"/>
        <v>4.3303113220153969E-2</v>
      </c>
      <c r="BY159" s="4">
        <f t="shared" ca="1" si="53"/>
        <v>6.9768836770045821E-4</v>
      </c>
    </row>
    <row r="160" spans="1:77" x14ac:dyDescent="0.25">
      <c r="A160" t="s">
        <v>210</v>
      </c>
      <c r="B160" s="11">
        <f ca="1">+VLOOKUP($A160,INDIRECT(Adrese!B$2),2,FALSE)</f>
        <v>208</v>
      </c>
      <c r="C160" s="11">
        <f ca="1">+VLOOKUP($A160,INDIRECT(Adrese!C$2),2,FALSE)</f>
        <v>212</v>
      </c>
      <c r="D160" s="11">
        <f ca="1">+VLOOKUP($A160,INDIRECT(Adrese!D$2),2,FALSE)</f>
        <v>199</v>
      </c>
      <c r="E160" s="11">
        <f ca="1">+VLOOKUP($A160,INDIRECT(Adrese!E$2),2,FALSE)</f>
        <v>203</v>
      </c>
      <c r="F160" s="11">
        <f ca="1">+VLOOKUP($A160,INDIRECT(Adrese!F$2),2,FALSE)</f>
        <v>220</v>
      </c>
      <c r="G160" s="4">
        <f t="shared" ca="1" si="54"/>
        <v>208.4</v>
      </c>
      <c r="J160" t="s">
        <v>210</v>
      </c>
      <c r="K160">
        <f ca="1">+VLOOKUP($A160,INDIRECT(Adrese!B$2),3,FALSE)</f>
        <v>16</v>
      </c>
      <c r="L160">
        <f ca="1">+VLOOKUP($A160,INDIRECT(Adrese!C$2),3,FALSE)</f>
        <v>18</v>
      </c>
      <c r="M160">
        <f ca="1">+VLOOKUP($A160,INDIRECT(Adrese!D$2),3,FALSE)</f>
        <v>18</v>
      </c>
      <c r="N160">
        <f ca="1">+VLOOKUP($A160,INDIRECT(Adrese!E$2),3,FALSE)</f>
        <v>14</v>
      </c>
      <c r="O160">
        <f ca="1">+VLOOKUP($A160,INDIRECT(Adrese!F$2),3,FALSE)</f>
        <v>15</v>
      </c>
      <c r="P160">
        <f t="shared" ca="1" si="44"/>
        <v>81</v>
      </c>
      <c r="Q160" s="4">
        <f t="shared" ca="1" si="55"/>
        <v>16.2</v>
      </c>
      <c r="R160" s="4"/>
      <c r="T160" t="s">
        <v>210</v>
      </c>
      <c r="U160">
        <f ca="1">+VLOOKUP($T160,INDIRECT(Adrese!B$2),4,FALSE)</f>
        <v>88113</v>
      </c>
      <c r="V160">
        <f ca="1">+VLOOKUP($T160,INDIRECT(Adrese!C$2),4,FALSE)</f>
        <v>87545</v>
      </c>
      <c r="W160">
        <f ca="1">+VLOOKUP($T160,INDIRECT(Adrese!D$2),4,FALSE)</f>
        <v>88571</v>
      </c>
      <c r="X160">
        <f ca="1">+VLOOKUP($T160,INDIRECT(Adrese!E$2),4,FALSE)</f>
        <v>88026</v>
      </c>
      <c r="Y160">
        <f ca="1">+VLOOKUP($T160,INDIRECT(Adrese!F$2),4,FALSE)</f>
        <v>86706</v>
      </c>
      <c r="Z160">
        <f t="shared" ca="1" si="45"/>
        <v>438961</v>
      </c>
      <c r="AA160" s="4">
        <f t="shared" ca="1" si="56"/>
        <v>87792.2</v>
      </c>
      <c r="AC160" t="s">
        <v>210</v>
      </c>
      <c r="AD160">
        <f ca="1">+VLOOKUP($A160,INDIRECT(Adrese!B$2),5,FALSE)</f>
        <v>40476</v>
      </c>
      <c r="AE160">
        <f ca="1">+VLOOKUP($A160,INDIRECT(Adrese!C$2),5,FALSE)</f>
        <v>40492</v>
      </c>
      <c r="AF160">
        <f ca="1">+VLOOKUP($A160,INDIRECT(Adrese!D$2),5,FALSE)</f>
        <v>40544</v>
      </c>
      <c r="AG160">
        <f ca="1">+VLOOKUP($A160,INDIRECT(Adrese!E$2),5,FALSE)</f>
        <v>40566</v>
      </c>
      <c r="AH160">
        <f ca="1">+VLOOKUP($A160,INDIRECT(Adrese!F$2),5,FALSE)</f>
        <v>40601</v>
      </c>
      <c r="AI160" s="4">
        <f t="shared" ca="1" si="57"/>
        <v>40535.800000000003</v>
      </c>
      <c r="AJ160" s="4"/>
      <c r="AK160" s="4"/>
      <c r="AM160" t="s">
        <v>210</v>
      </c>
      <c r="AN160" s="4">
        <f ca="1">+VLOOKUP($A160,INDIRECT(Adrese!B$2),6,FALSE)</f>
        <v>0.89161504424778759</v>
      </c>
      <c r="AO160" s="4">
        <f ca="1">+VLOOKUP($A160,INDIRECT(Adrese!C$2),6,FALSE)</f>
        <v>0.89227876106194692</v>
      </c>
      <c r="AP160" s="4">
        <f ca="1">+VLOOKUP($A160,INDIRECT(Adrese!D$2),6,FALSE)</f>
        <v>0.89325221238938057</v>
      </c>
      <c r="AQ160" s="4">
        <f ca="1">+VLOOKUP($A160,INDIRECT(Adrese!E$2),6,FALSE)</f>
        <v>0.89362831858407077</v>
      </c>
      <c r="AR160" s="4">
        <f ca="1">+VLOOKUP($A160,INDIRECT(Adrese!F$2),6,FALSE)</f>
        <v>0.89435840707964598</v>
      </c>
      <c r="AS160" s="4" t="str">
        <f t="shared" ca="1" si="46"/>
        <v>0.89 (0.00)</v>
      </c>
      <c r="AT160" s="4">
        <f t="shared" ca="1" si="58"/>
        <v>0.89302654867256626</v>
      </c>
      <c r="AU160" s="4">
        <f t="shared" ca="1" si="47"/>
        <v>1.0883966427448516E-3</v>
      </c>
      <c r="AW160" t="s">
        <v>210</v>
      </c>
      <c r="AX160" s="4">
        <f ca="1">+VLOOKUP($A160,INDIRECT(Adrese!B$2),7,FALSE)</f>
        <v>0.92920353982300885</v>
      </c>
      <c r="AY160" s="4">
        <f ca="1">+VLOOKUP($A160,INDIRECT(Adrese!C$2),7,FALSE)</f>
        <v>0.92035398230088494</v>
      </c>
      <c r="AZ160" s="4">
        <f ca="1">+VLOOKUP($A160,INDIRECT(Adrese!D$2),7,FALSE)</f>
        <v>0.92035398230088494</v>
      </c>
      <c r="BA160" s="4">
        <f ca="1">+VLOOKUP($A160,INDIRECT(Adrese!E$2),7,FALSE)</f>
        <v>0.93805309734513276</v>
      </c>
      <c r="BB160" s="4">
        <f ca="1">+VLOOKUP($A160,INDIRECT(Adrese!F$2),7,FALSE)</f>
        <v>0.9336283185840708</v>
      </c>
      <c r="BC160" s="4" t="str">
        <f t="shared" ca="1" si="48"/>
        <v>0.93 (0.01)</v>
      </c>
      <c r="BD160">
        <f t="shared" ca="1" si="59"/>
        <v>0.92831858407079648</v>
      </c>
      <c r="BE160" s="4">
        <f t="shared" ca="1" si="49"/>
        <v>7.9152848761054623E-3</v>
      </c>
      <c r="BG160" t="s">
        <v>210</v>
      </c>
      <c r="BH160" s="4">
        <f ca="1">+VLOOKUP($BG160,INDIRECT(Adrese!B$2),8,FALSE)</f>
        <v>0.11350414227792049</v>
      </c>
      <c r="BI160" s="4">
        <f ca="1">+VLOOKUP($BG160,INDIRECT(Adrese!C$2),8,FALSE)</f>
        <v>0.113648747013828</v>
      </c>
      <c r="BJ160" s="4">
        <f ca="1">+VLOOKUP($BG160,INDIRECT(Adrese!D$2),8,FALSE)</f>
        <v>0.1138158341954655</v>
      </c>
      <c r="BK160" s="4">
        <f ca="1">+VLOOKUP($BG160,INDIRECT(Adrese!E$2),8,FALSE)</f>
        <v>0.1138043370785929</v>
      </c>
      <c r="BL160" s="4">
        <f ca="1">+VLOOKUP($BG160,INDIRECT(Adrese!F$2),8,FALSE)</f>
        <v>0.11405322935487899</v>
      </c>
      <c r="BM160" s="4" t="str">
        <f t="shared" ca="1" si="50"/>
        <v>0.11 (0.00)</v>
      </c>
      <c r="BN160" s="4">
        <f t="shared" ca="1" si="60"/>
        <v>0.11376525798413717</v>
      </c>
      <c r="BO160" s="4">
        <f t="shared" ca="1" si="51"/>
        <v>2.0540743497872037E-4</v>
      </c>
      <c r="BQ160" t="s">
        <v>210</v>
      </c>
      <c r="BR160" s="4">
        <f ca="1">+VLOOKUP($BG160,INDIRECT(Adrese!B$2),9,FALSE)</f>
        <v>-9.2474792822457963E-2</v>
      </c>
      <c r="BS160" s="4">
        <f ca="1">+VLOOKUP($BG160,INDIRECT(Adrese!C$2),9,FALSE)</f>
        <v>-9.3216230267977623E-2</v>
      </c>
      <c r="BT160" s="4">
        <f ca="1">+VLOOKUP($BG160,INDIRECT(Adrese!D$2),9,FALSE)</f>
        <v>-9.3275789690252658E-2</v>
      </c>
      <c r="BU160" s="4">
        <f ca="1">+VLOOKUP($BG160,INDIRECT(Adrese!E$2),9,FALSE)</f>
        <v>-9.2706144783038874E-2</v>
      </c>
      <c r="BV160" s="4">
        <f ca="1">+VLOOKUP($BG160,INDIRECT(Adrese!F$2),9,FALSE)</f>
        <v>-9.3225503857737257E-2</v>
      </c>
      <c r="BW160" s="4" t="str">
        <f t="shared" ca="1" si="52"/>
        <v>-0.09 (0.00)</v>
      </c>
      <c r="BX160" s="4">
        <f t="shared" ca="1" si="61"/>
        <v>-9.297969228429287E-2</v>
      </c>
      <c r="BY160" s="4">
        <f t="shared" ca="1" si="53"/>
        <v>3.6530772069053426E-4</v>
      </c>
    </row>
    <row r="161" spans="1:77" x14ac:dyDescent="0.25">
      <c r="A161" t="s">
        <v>211</v>
      </c>
      <c r="B161" s="11">
        <f ca="1">+VLOOKUP($A161,INDIRECT(Adrese!B$2),2,FALSE)</f>
        <v>151</v>
      </c>
      <c r="C161" s="11">
        <f ca="1">+VLOOKUP($A161,INDIRECT(Adrese!C$2),2,FALSE)</f>
        <v>159</v>
      </c>
      <c r="D161" s="11">
        <f ca="1">+VLOOKUP($A161,INDIRECT(Adrese!D$2),2,FALSE)</f>
        <v>156</v>
      </c>
      <c r="E161" s="11">
        <f ca="1">+VLOOKUP($A161,INDIRECT(Adrese!E$2),2,FALSE)</f>
        <v>131</v>
      </c>
      <c r="F161" s="11">
        <f ca="1">+VLOOKUP($A161,INDIRECT(Adrese!F$2),2,FALSE)</f>
        <v>145</v>
      </c>
      <c r="G161" s="4">
        <f t="shared" ca="1" si="54"/>
        <v>148.4</v>
      </c>
      <c r="J161" t="s">
        <v>211</v>
      </c>
      <c r="K161">
        <f ca="1">+VLOOKUP($A161,INDIRECT(Adrese!B$2),3,FALSE)</f>
        <v>87</v>
      </c>
      <c r="L161">
        <f ca="1">+VLOOKUP($A161,INDIRECT(Adrese!C$2),3,FALSE)</f>
        <v>84</v>
      </c>
      <c r="M161">
        <f ca="1">+VLOOKUP($A161,INDIRECT(Adrese!D$2),3,FALSE)</f>
        <v>87</v>
      </c>
      <c r="N161">
        <f ca="1">+VLOOKUP($A161,INDIRECT(Adrese!E$2),3,FALSE)</f>
        <v>95</v>
      </c>
      <c r="O161">
        <f ca="1">+VLOOKUP($A161,INDIRECT(Adrese!F$2),3,FALSE)</f>
        <v>84</v>
      </c>
      <c r="P161">
        <f t="shared" ca="1" si="44"/>
        <v>437</v>
      </c>
      <c r="Q161" s="4">
        <f t="shared" ca="1" si="55"/>
        <v>87.4</v>
      </c>
      <c r="R161" s="4"/>
      <c r="T161" t="s">
        <v>211</v>
      </c>
      <c r="U161">
        <f ca="1">+VLOOKUP($T161,INDIRECT(Adrese!B$2),4,FALSE)</f>
        <v>93392</v>
      </c>
      <c r="V161">
        <f ca="1">+VLOOKUP($T161,INDIRECT(Adrese!C$2),4,FALSE)</f>
        <v>93130</v>
      </c>
      <c r="W161">
        <f ca="1">+VLOOKUP($T161,INDIRECT(Adrese!D$2),4,FALSE)</f>
        <v>93174</v>
      </c>
      <c r="X161">
        <f ca="1">+VLOOKUP($T161,INDIRECT(Adrese!E$2),4,FALSE)</f>
        <v>94399</v>
      </c>
      <c r="Y161">
        <f ca="1">+VLOOKUP($T161,INDIRECT(Adrese!F$2),4,FALSE)</f>
        <v>93787</v>
      </c>
      <c r="Z161">
        <f t="shared" ca="1" si="45"/>
        <v>467882</v>
      </c>
      <c r="AA161" s="4">
        <f t="shared" ca="1" si="56"/>
        <v>93576.4</v>
      </c>
      <c r="AC161" t="s">
        <v>211</v>
      </c>
      <c r="AD161">
        <f ca="1">+VLOOKUP($A161,INDIRECT(Adrese!B$2),5,FALSE)</f>
        <v>21977</v>
      </c>
      <c r="AE161">
        <f ca="1">+VLOOKUP($A161,INDIRECT(Adrese!C$2),5,FALSE)</f>
        <v>21614</v>
      </c>
      <c r="AF161">
        <f ca="1">+VLOOKUP($A161,INDIRECT(Adrese!D$2),5,FALSE)</f>
        <v>21890</v>
      </c>
      <c r="AG161">
        <f ca="1">+VLOOKUP($A161,INDIRECT(Adrese!E$2),5,FALSE)</f>
        <v>21943</v>
      </c>
      <c r="AH161">
        <f ca="1">+VLOOKUP($A161,INDIRECT(Adrese!F$2),5,FALSE)</f>
        <v>22103</v>
      </c>
      <c r="AI161" s="4">
        <f t="shared" ca="1" si="57"/>
        <v>21905.4</v>
      </c>
      <c r="AJ161" s="4"/>
      <c r="AK161" s="4"/>
      <c r="AM161" t="s">
        <v>211</v>
      </c>
      <c r="AN161" s="4">
        <f ca="1">+VLOOKUP($A161,INDIRECT(Adrese!B$2),6,FALSE)</f>
        <v>0.48420353982300879</v>
      </c>
      <c r="AO161" s="4">
        <f ca="1">+VLOOKUP($A161,INDIRECT(Adrese!C$2),6,FALSE)</f>
        <v>0.47597345132743363</v>
      </c>
      <c r="AP161" s="4">
        <f ca="1">+VLOOKUP($A161,INDIRECT(Adrese!D$2),6,FALSE)</f>
        <v>0.48172566371681408</v>
      </c>
      <c r="AQ161" s="4">
        <f ca="1">+VLOOKUP($A161,INDIRECT(Adrese!E$2),6,FALSE)</f>
        <v>0.48318584070796461</v>
      </c>
      <c r="AR161" s="4">
        <f ca="1">+VLOOKUP($A161,INDIRECT(Adrese!F$2),6,FALSE)</f>
        <v>0.48681415929203542</v>
      </c>
      <c r="AS161" s="4" t="str">
        <f t="shared" ca="1" si="46"/>
        <v>0.48 (0.00)</v>
      </c>
      <c r="AT161" s="4">
        <f t="shared" ca="1" si="58"/>
        <v>0.48238053097345129</v>
      </c>
      <c r="AU161" s="4">
        <f t="shared" ca="1" si="47"/>
        <v>4.0344908543596724E-3</v>
      </c>
      <c r="AW161" t="s">
        <v>211</v>
      </c>
      <c r="AX161" s="4">
        <f ca="1">+VLOOKUP($A161,INDIRECT(Adrese!B$2),7,FALSE)</f>
        <v>0.61504424778761058</v>
      </c>
      <c r="AY161" s="4">
        <f ca="1">+VLOOKUP($A161,INDIRECT(Adrese!C$2),7,FALSE)</f>
        <v>0.62831858407079644</v>
      </c>
      <c r="AZ161" s="4">
        <f ca="1">+VLOOKUP($A161,INDIRECT(Adrese!D$2),7,FALSE)</f>
        <v>0.61504424778761058</v>
      </c>
      <c r="BA161" s="4">
        <f ca="1">+VLOOKUP($A161,INDIRECT(Adrese!E$2),7,FALSE)</f>
        <v>0.57964601769911506</v>
      </c>
      <c r="BB161" s="4">
        <f ca="1">+VLOOKUP($A161,INDIRECT(Adrese!F$2),7,FALSE)</f>
        <v>0.62831858407079644</v>
      </c>
      <c r="BC161" s="4" t="str">
        <f t="shared" ca="1" si="48"/>
        <v>0.61 (0.02)</v>
      </c>
      <c r="BD161">
        <f t="shared" ca="1" si="59"/>
        <v>0.61327433628318573</v>
      </c>
      <c r="BE161" s="4">
        <f t="shared" ca="1" si="49"/>
        <v>1.9936071373573099E-2</v>
      </c>
      <c r="BG161" t="s">
        <v>211</v>
      </c>
      <c r="BH161" s="4">
        <f ca="1">+VLOOKUP($BG161,INDIRECT(Adrese!B$2),8,FALSE)</f>
        <v>6.613791799178495E-2</v>
      </c>
      <c r="BI161" s="4">
        <f ca="1">+VLOOKUP($BG161,INDIRECT(Adrese!C$2),8,FALSE)</f>
        <v>6.523794905477194E-2</v>
      </c>
      <c r="BJ161" s="4">
        <f ca="1">+VLOOKUP($BG161,INDIRECT(Adrese!D$2),8,FALSE)</f>
        <v>6.5842046066546062E-2</v>
      </c>
      <c r="BK161" s="4">
        <f ca="1">+VLOOKUP($BG161,INDIRECT(Adrese!E$2),8,FALSE)</f>
        <v>6.6048427514676378E-2</v>
      </c>
      <c r="BL161" s="4">
        <f ca="1">+VLOOKUP($BG161,INDIRECT(Adrese!F$2),8,FALSE)</f>
        <v>6.6296028636202056E-2</v>
      </c>
      <c r="BM161" s="4" t="str">
        <f t="shared" ca="1" si="50"/>
        <v>0.07 (0.00)</v>
      </c>
      <c r="BN161" s="4">
        <f t="shared" ca="1" si="60"/>
        <v>6.5912473852796277E-2</v>
      </c>
      <c r="BO161" s="4">
        <f t="shared" ca="1" si="51"/>
        <v>4.1120752245134252E-4</v>
      </c>
      <c r="BQ161" t="s">
        <v>211</v>
      </c>
      <c r="BR161" s="4">
        <f ca="1">+VLOOKUP($BG161,INDIRECT(Adrese!B$2),9,FALSE)</f>
        <v>3.3896565845505947E-2</v>
      </c>
      <c r="BS161" s="4">
        <f ca="1">+VLOOKUP($BG161,INDIRECT(Adrese!C$2),9,FALSE)</f>
        <v>3.6334879954303588E-2</v>
      </c>
      <c r="BT161" s="4">
        <f ca="1">+VLOOKUP($BG161,INDIRECT(Adrese!D$2),9,FALSE)</f>
        <v>3.4035721568890523E-2</v>
      </c>
      <c r="BU161" s="4">
        <f ca="1">+VLOOKUP($BG161,INDIRECT(Adrese!E$2),9,FALSE)</f>
        <v>3.4865809138561583E-2</v>
      </c>
      <c r="BV161" s="4">
        <f ca="1">+VLOOKUP($BG161,INDIRECT(Adrese!F$2),9,FALSE)</f>
        <v>3.104352714962234E-2</v>
      </c>
      <c r="BW161" s="4" t="str">
        <f t="shared" ca="1" si="52"/>
        <v>0.03 (0.00)</v>
      </c>
      <c r="BX161" s="4">
        <f t="shared" ca="1" si="61"/>
        <v>3.4035300731376797E-2</v>
      </c>
      <c r="BY161" s="4">
        <f t="shared" ca="1" si="53"/>
        <v>1.9331170119179864E-3</v>
      </c>
    </row>
    <row r="162" spans="1:77" x14ac:dyDescent="0.25">
      <c r="A162" t="s">
        <v>212</v>
      </c>
      <c r="B162" s="11">
        <f ca="1">+VLOOKUP($A162,INDIRECT(Adrese!B$2),2,FALSE)</f>
        <v>133</v>
      </c>
      <c r="C162" s="11">
        <f ca="1">+VLOOKUP($A162,INDIRECT(Adrese!C$2),2,FALSE)</f>
        <v>123</v>
      </c>
      <c r="D162" s="11">
        <f ca="1">+VLOOKUP($A162,INDIRECT(Adrese!D$2),2,FALSE)</f>
        <v>164</v>
      </c>
      <c r="E162" s="11">
        <f ca="1">+VLOOKUP($A162,INDIRECT(Adrese!E$2),2,FALSE)</f>
        <v>176</v>
      </c>
      <c r="F162" s="11">
        <f ca="1">+VLOOKUP($A162,INDIRECT(Adrese!F$2),2,FALSE)</f>
        <v>169</v>
      </c>
      <c r="G162" s="4">
        <f t="shared" ca="1" si="54"/>
        <v>153</v>
      </c>
      <c r="J162" t="s">
        <v>212</v>
      </c>
      <c r="K162">
        <f ca="1">+VLOOKUP($A162,INDIRECT(Adrese!B$2),3,FALSE)</f>
        <v>105</v>
      </c>
      <c r="L162">
        <f ca="1">+VLOOKUP($A162,INDIRECT(Adrese!C$2),3,FALSE)</f>
        <v>111</v>
      </c>
      <c r="M162">
        <f ca="1">+VLOOKUP($A162,INDIRECT(Adrese!D$2),3,FALSE)</f>
        <v>120</v>
      </c>
      <c r="N162">
        <f ca="1">+VLOOKUP($A162,INDIRECT(Adrese!E$2),3,FALSE)</f>
        <v>122</v>
      </c>
      <c r="O162">
        <f ca="1">+VLOOKUP($A162,INDIRECT(Adrese!F$2),3,FALSE)</f>
        <v>115</v>
      </c>
      <c r="P162">
        <f t="shared" ca="1" si="44"/>
        <v>573</v>
      </c>
      <c r="Q162" s="4">
        <f t="shared" ca="1" si="55"/>
        <v>114.6</v>
      </c>
      <c r="R162" s="4"/>
      <c r="T162" t="s">
        <v>212</v>
      </c>
      <c r="U162">
        <f ca="1">+VLOOKUP($T162,INDIRECT(Adrese!B$2),4,FALSE)</f>
        <v>94203</v>
      </c>
      <c r="V162">
        <f ca="1">+VLOOKUP($T162,INDIRECT(Adrese!C$2),4,FALSE)</f>
        <v>94542</v>
      </c>
      <c r="W162">
        <f ca="1">+VLOOKUP($T162,INDIRECT(Adrese!D$2),4,FALSE)</f>
        <v>92468</v>
      </c>
      <c r="X162">
        <f ca="1">+VLOOKUP($T162,INDIRECT(Adrese!E$2),4,FALSE)</f>
        <v>91225</v>
      </c>
      <c r="Y162">
        <f ca="1">+VLOOKUP($T162,INDIRECT(Adrese!F$2),4,FALSE)</f>
        <v>92461</v>
      </c>
      <c r="Z162">
        <f t="shared" ca="1" si="45"/>
        <v>464899</v>
      </c>
      <c r="AA162" s="4">
        <f t="shared" ca="1" si="56"/>
        <v>92979.8</v>
      </c>
      <c r="AC162" t="s">
        <v>212</v>
      </c>
      <c r="AD162">
        <f ca="1">+VLOOKUP($A162,INDIRECT(Adrese!B$2),5,FALSE)</f>
        <v>21840</v>
      </c>
      <c r="AE162">
        <f ca="1">+VLOOKUP($A162,INDIRECT(Adrese!C$2),5,FALSE)</f>
        <v>21156</v>
      </c>
      <c r="AF162">
        <f ca="1">+VLOOKUP($A162,INDIRECT(Adrese!D$2),5,FALSE)</f>
        <v>20315</v>
      </c>
      <c r="AG162">
        <f ca="1">+VLOOKUP($A162,INDIRECT(Adrese!E$2),5,FALSE)</f>
        <v>18553</v>
      </c>
      <c r="AH162">
        <f ca="1">+VLOOKUP($A162,INDIRECT(Adrese!F$2),5,FALSE)</f>
        <v>20424</v>
      </c>
      <c r="AI162" s="4">
        <f t="shared" ca="1" si="57"/>
        <v>20457.599999999999</v>
      </c>
      <c r="AJ162" s="4"/>
      <c r="AK162" s="4"/>
      <c r="AM162" t="s">
        <v>212</v>
      </c>
      <c r="AN162" s="4">
        <f ca="1">+VLOOKUP($A162,INDIRECT(Adrese!B$2),6,FALSE)</f>
        <v>0.48269911504424778</v>
      </c>
      <c r="AO162" s="4">
        <f ca="1">+VLOOKUP($A162,INDIRECT(Adrese!C$2),6,FALSE)</f>
        <v>0.46763274336283178</v>
      </c>
      <c r="AP162" s="4">
        <f ca="1">+VLOOKUP($A162,INDIRECT(Adrese!D$2),6,FALSE)</f>
        <v>0.44893805309734508</v>
      </c>
      <c r="AQ162" s="4">
        <f ca="1">+VLOOKUP($A162,INDIRECT(Adrese!E$2),6,FALSE)</f>
        <v>0.41011061946902649</v>
      </c>
      <c r="AR162" s="4">
        <f ca="1">+VLOOKUP($A162,INDIRECT(Adrese!F$2),6,FALSE)</f>
        <v>0.4513716814159292</v>
      </c>
      <c r="AS162" s="4" t="str">
        <f t="shared" ca="1" si="46"/>
        <v>0.45 (0.03)</v>
      </c>
      <c r="AT162" s="4">
        <f t="shared" ca="1" si="58"/>
        <v>0.45215044247787606</v>
      </c>
      <c r="AU162" s="4">
        <f t="shared" ca="1" si="47"/>
        <v>2.716245418403335E-2</v>
      </c>
      <c r="AW162" t="s">
        <v>212</v>
      </c>
      <c r="AX162" s="4">
        <f ca="1">+VLOOKUP($A162,INDIRECT(Adrese!B$2),7,FALSE)</f>
        <v>0.53539823008849563</v>
      </c>
      <c r="AY162" s="4">
        <f ca="1">+VLOOKUP($A162,INDIRECT(Adrese!C$2),7,FALSE)</f>
        <v>0.50884955752212391</v>
      </c>
      <c r="AZ162" s="4">
        <f ca="1">+VLOOKUP($A162,INDIRECT(Adrese!D$2),7,FALSE)</f>
        <v>0.46902654867256638</v>
      </c>
      <c r="BA162" s="4">
        <f ca="1">+VLOOKUP($A162,INDIRECT(Adrese!E$2),7,FALSE)</f>
        <v>0.46017699115044253</v>
      </c>
      <c r="BB162" s="4">
        <f ca="1">+VLOOKUP($A162,INDIRECT(Adrese!F$2),7,FALSE)</f>
        <v>0.49115044247787609</v>
      </c>
      <c r="BC162" s="4" t="str">
        <f t="shared" ca="1" si="48"/>
        <v>0.49 (0.03)</v>
      </c>
      <c r="BD162">
        <f t="shared" ca="1" si="59"/>
        <v>0.49292035398230089</v>
      </c>
      <c r="BE162" s="4">
        <f t="shared" ca="1" si="49"/>
        <v>3.0431413918671508E-2</v>
      </c>
      <c r="BG162" t="s">
        <v>212</v>
      </c>
      <c r="BH162" s="4">
        <f ca="1">+VLOOKUP($BG162,INDIRECT(Adrese!B$2),8,FALSE)</f>
        <v>7.3910745438912989E-2</v>
      </c>
      <c r="BI162" s="4">
        <f ca="1">+VLOOKUP($BG162,INDIRECT(Adrese!C$2),8,FALSE)</f>
        <v>7.0649961222871691E-2</v>
      </c>
      <c r="BJ162" s="4">
        <f ca="1">+VLOOKUP($BG162,INDIRECT(Adrese!D$2),8,FALSE)</f>
        <v>6.7792470848019232E-2</v>
      </c>
      <c r="BK162" s="4">
        <f ca="1">+VLOOKUP($BG162,INDIRECT(Adrese!E$2),8,FALSE)</f>
        <v>6.4222725469378086E-2</v>
      </c>
      <c r="BL162" s="4">
        <f ca="1">+VLOOKUP($BG162,INDIRECT(Adrese!F$2),8,FALSE)</f>
        <v>6.9026925417862497E-2</v>
      </c>
      <c r="BM162" s="4" t="str">
        <f t="shared" ca="1" si="50"/>
        <v>0.07 (0.00)</v>
      </c>
      <c r="BN162" s="4">
        <f t="shared" ca="1" si="60"/>
        <v>6.9120565679408899E-2</v>
      </c>
      <c r="BO162" s="4">
        <f t="shared" ca="1" si="51"/>
        <v>3.5723352292116851E-3</v>
      </c>
      <c r="BQ162" t="s">
        <v>212</v>
      </c>
      <c r="BR162" s="4">
        <f ca="1">+VLOOKUP($BG162,INDIRECT(Adrese!B$2),9,FALSE)</f>
        <v>7.6338036956646857E-2</v>
      </c>
      <c r="BS162" s="4">
        <f ca="1">+VLOOKUP($BG162,INDIRECT(Adrese!C$2),9,FALSE)</f>
        <v>7.5543621685377954E-2</v>
      </c>
      <c r="BT162" s="4">
        <f ca="1">+VLOOKUP($BG162,INDIRECT(Adrese!D$2),9,FALSE)</f>
        <v>8.5421633871167857E-2</v>
      </c>
      <c r="BU162" s="4">
        <f ca="1">+VLOOKUP($BG162,INDIRECT(Adrese!E$2),9,FALSE)</f>
        <v>0.1022906010536524</v>
      </c>
      <c r="BV162" s="4">
        <f ca="1">+VLOOKUP($BG162,INDIRECT(Adrese!F$2),9,FALSE)</f>
        <v>8.6334071048074668E-2</v>
      </c>
      <c r="BW162" s="4" t="str">
        <f t="shared" ca="1" si="52"/>
        <v>0.09 (0.01)</v>
      </c>
      <c r="BX162" s="4">
        <f t="shared" ca="1" si="61"/>
        <v>8.5185592922983944E-2</v>
      </c>
      <c r="BY162" s="4">
        <f t="shared" ca="1" si="53"/>
        <v>1.0784281111965258E-2</v>
      </c>
    </row>
    <row r="163" spans="1:77" x14ac:dyDescent="0.25">
      <c r="A163" t="s">
        <v>213</v>
      </c>
      <c r="B163" s="11">
        <f ca="1">+VLOOKUP($A163,INDIRECT(Adrese!B$2),2,FALSE)</f>
        <v>125</v>
      </c>
      <c r="C163" s="11">
        <f ca="1">+VLOOKUP($A163,INDIRECT(Adrese!C$2),2,FALSE)</f>
        <v>128</v>
      </c>
      <c r="D163" s="11">
        <f ca="1">+VLOOKUP($A163,INDIRECT(Adrese!D$2),2,FALSE)</f>
        <v>160</v>
      </c>
      <c r="E163" s="11">
        <f ca="1">+VLOOKUP($A163,INDIRECT(Adrese!E$2),2,FALSE)</f>
        <v>132</v>
      </c>
      <c r="F163" s="11">
        <f ca="1">+VLOOKUP($A163,INDIRECT(Adrese!F$2),2,FALSE)</f>
        <v>153</v>
      </c>
      <c r="G163" s="4">
        <f t="shared" ca="1" si="54"/>
        <v>139.6</v>
      </c>
      <c r="J163" t="s">
        <v>213</v>
      </c>
      <c r="K163">
        <f ca="1">+VLOOKUP($A163,INDIRECT(Adrese!B$2),3,FALSE)</f>
        <v>118</v>
      </c>
      <c r="L163">
        <f ca="1">+VLOOKUP($A163,INDIRECT(Adrese!C$2),3,FALSE)</f>
        <v>118</v>
      </c>
      <c r="M163">
        <f ca="1">+VLOOKUP($A163,INDIRECT(Adrese!D$2),3,FALSE)</f>
        <v>108</v>
      </c>
      <c r="N163">
        <f ca="1">+VLOOKUP($A163,INDIRECT(Adrese!E$2),3,FALSE)</f>
        <v>117</v>
      </c>
      <c r="O163">
        <f ca="1">+VLOOKUP($A163,INDIRECT(Adrese!F$2),3,FALSE)</f>
        <v>124</v>
      </c>
      <c r="P163">
        <f t="shared" ca="1" si="44"/>
        <v>585</v>
      </c>
      <c r="Q163" s="4">
        <f t="shared" ca="1" si="55"/>
        <v>117</v>
      </c>
      <c r="R163" s="4"/>
      <c r="T163" t="s">
        <v>213</v>
      </c>
      <c r="U163">
        <f ca="1">+VLOOKUP($T163,INDIRECT(Adrese!B$2),4,FALSE)</f>
        <v>94497</v>
      </c>
      <c r="V163">
        <f ca="1">+VLOOKUP($T163,INDIRECT(Adrese!C$2),4,FALSE)</f>
        <v>94392</v>
      </c>
      <c r="W163">
        <f ca="1">+VLOOKUP($T163,INDIRECT(Adrese!D$2),4,FALSE)</f>
        <v>92976</v>
      </c>
      <c r="X163">
        <f ca="1">+VLOOKUP($T163,INDIRECT(Adrese!E$2),4,FALSE)</f>
        <v>94372</v>
      </c>
      <c r="Y163">
        <f ca="1">+VLOOKUP($T163,INDIRECT(Adrese!F$2),4,FALSE)</f>
        <v>93419</v>
      </c>
      <c r="Z163">
        <f t="shared" ca="1" si="45"/>
        <v>469656</v>
      </c>
      <c r="AA163" s="4">
        <f t="shared" ca="1" si="56"/>
        <v>93931.199999999997</v>
      </c>
      <c r="AC163" t="s">
        <v>213</v>
      </c>
      <c r="AD163">
        <f ca="1">+VLOOKUP($A163,INDIRECT(Adrese!B$2),5,FALSE)</f>
        <v>20947</v>
      </c>
      <c r="AE163">
        <f ca="1">+VLOOKUP($A163,INDIRECT(Adrese!C$2),5,FALSE)</f>
        <v>20875</v>
      </c>
      <c r="AF163">
        <f ca="1">+VLOOKUP($A163,INDIRECT(Adrese!D$2),5,FALSE)</f>
        <v>20409</v>
      </c>
      <c r="AG163">
        <f ca="1">+VLOOKUP($A163,INDIRECT(Adrese!E$2),5,FALSE)</f>
        <v>21102</v>
      </c>
      <c r="AH163">
        <f ca="1">+VLOOKUP($A163,INDIRECT(Adrese!F$2),5,FALSE)</f>
        <v>20503</v>
      </c>
      <c r="AI163" s="4">
        <f t="shared" ca="1" si="57"/>
        <v>20767.2</v>
      </c>
      <c r="AJ163" s="4"/>
      <c r="AK163" s="4"/>
      <c r="AM163" t="s">
        <v>213</v>
      </c>
      <c r="AN163" s="4">
        <f ca="1">+VLOOKUP($A163,INDIRECT(Adrese!B$2),6,FALSE)</f>
        <v>0.46314159292035401</v>
      </c>
      <c r="AO163" s="4">
        <f ca="1">+VLOOKUP($A163,INDIRECT(Adrese!C$2),6,FALSE)</f>
        <v>0.46132743362831857</v>
      </c>
      <c r="AP163" s="4">
        <f ca="1">+VLOOKUP($A163,INDIRECT(Adrese!D$2),6,FALSE)</f>
        <v>0.45108407079646018</v>
      </c>
      <c r="AQ163" s="4">
        <f ca="1">+VLOOKUP($A163,INDIRECT(Adrese!E$2),6,FALSE)</f>
        <v>0.4664159292035398</v>
      </c>
      <c r="AR163" s="4">
        <f ca="1">+VLOOKUP($A163,INDIRECT(Adrese!F$2),6,FALSE)</f>
        <v>0.45329646017699121</v>
      </c>
      <c r="AS163" s="4" t="str">
        <f t="shared" ca="1" si="46"/>
        <v>0.46 (0.01)</v>
      </c>
      <c r="AT163" s="4">
        <f t="shared" ca="1" si="58"/>
        <v>0.45905309734513278</v>
      </c>
      <c r="AU163" s="4">
        <f t="shared" ca="1" si="47"/>
        <v>6.571604640266143E-3</v>
      </c>
      <c r="AW163" t="s">
        <v>213</v>
      </c>
      <c r="AX163" s="4">
        <f ca="1">+VLOOKUP($A163,INDIRECT(Adrese!B$2),7,FALSE)</f>
        <v>0.47787610619469029</v>
      </c>
      <c r="AY163" s="4">
        <f ca="1">+VLOOKUP($A163,INDIRECT(Adrese!C$2),7,FALSE)</f>
        <v>0.47787610619469029</v>
      </c>
      <c r="AZ163" s="4">
        <f ca="1">+VLOOKUP($A163,INDIRECT(Adrese!D$2),7,FALSE)</f>
        <v>0.52212389380530977</v>
      </c>
      <c r="BA163" s="4">
        <f ca="1">+VLOOKUP($A163,INDIRECT(Adrese!E$2),7,FALSE)</f>
        <v>0.48230088495575218</v>
      </c>
      <c r="BB163" s="4">
        <f ca="1">+VLOOKUP($A163,INDIRECT(Adrese!F$2),7,FALSE)</f>
        <v>0.45132743362831862</v>
      </c>
      <c r="BC163" s="4" t="str">
        <f t="shared" ca="1" si="48"/>
        <v>0.48 (0.03)</v>
      </c>
      <c r="BD163">
        <f t="shared" ca="1" si="59"/>
        <v>0.4823008849557523</v>
      </c>
      <c r="BE163" s="4">
        <f t="shared" ca="1" si="49"/>
        <v>2.5418418789991279E-2</v>
      </c>
      <c r="BG163" t="s">
        <v>213</v>
      </c>
      <c r="BH163" s="4">
        <f ca="1">+VLOOKUP($BG163,INDIRECT(Adrese!B$2),8,FALSE)</f>
        <v>7.0568254934599908E-2</v>
      </c>
      <c r="BI163" s="4">
        <f ca="1">+VLOOKUP($BG163,INDIRECT(Adrese!C$2),8,FALSE)</f>
        <v>7.054634773352654E-2</v>
      </c>
      <c r="BJ163" s="4">
        <f ca="1">+VLOOKUP($BG163,INDIRECT(Adrese!D$2),8,FALSE)</f>
        <v>6.8705638515963369E-2</v>
      </c>
      <c r="BK163" s="4">
        <f ca="1">+VLOOKUP($BG163,INDIRECT(Adrese!E$2),8,FALSE)</f>
        <v>7.1005871187266312E-2</v>
      </c>
      <c r="BL163" s="4">
        <f ca="1">+VLOOKUP($BG163,INDIRECT(Adrese!F$2),8,FALSE)</f>
        <v>6.8935494004129419E-2</v>
      </c>
      <c r="BM163" s="4" t="str">
        <f t="shared" ca="1" si="50"/>
        <v>0.07 (0.00)</v>
      </c>
      <c r="BN163" s="4">
        <f t="shared" ca="1" si="60"/>
        <v>6.995232127509711E-2</v>
      </c>
      <c r="BO163" s="4">
        <f t="shared" ca="1" si="51"/>
        <v>1.0524215795677336E-3</v>
      </c>
      <c r="BQ163" t="s">
        <v>213</v>
      </c>
      <c r="BR163" s="4">
        <f ca="1">+VLOOKUP($BG163,INDIRECT(Adrese!B$2),9,FALSE)</f>
        <v>8.6688110686807124E-2</v>
      </c>
      <c r="BS163" s="4">
        <f ca="1">+VLOOKUP($BG163,INDIRECT(Adrese!C$2),9,FALSE)</f>
        <v>8.9748056967559012E-2</v>
      </c>
      <c r="BT163" s="4">
        <f ca="1">+VLOOKUP($BG163,INDIRECT(Adrese!D$2),9,FALSE)</f>
        <v>9.3446564137313143E-2</v>
      </c>
      <c r="BU163" s="4">
        <f ca="1">+VLOOKUP($BG163,INDIRECT(Adrese!E$2),9,FALSE)</f>
        <v>8.8618086594575943E-2</v>
      </c>
      <c r="BV163" s="4">
        <f ca="1">+VLOOKUP($BG163,INDIRECT(Adrese!F$2),9,FALSE)</f>
        <v>9.0988382833879958E-2</v>
      </c>
      <c r="BW163" s="4" t="str">
        <f t="shared" ca="1" si="52"/>
        <v>0.09 (0.00)</v>
      </c>
      <c r="BX163" s="4">
        <f t="shared" ca="1" si="61"/>
        <v>8.9897840244027041E-2</v>
      </c>
      <c r="BY163" s="4">
        <f t="shared" ca="1" si="53"/>
        <v>2.5369909674034536E-3</v>
      </c>
    </row>
    <row r="164" spans="1:77" x14ac:dyDescent="0.25">
      <c r="A164" t="s">
        <v>214</v>
      </c>
      <c r="B164" s="11">
        <f ca="1">+VLOOKUP($A164,INDIRECT(Adrese!B$2),2,FALSE)</f>
        <v>60</v>
      </c>
      <c r="C164" s="11">
        <f ca="1">+VLOOKUP($A164,INDIRECT(Adrese!C$2),2,FALSE)</f>
        <v>88</v>
      </c>
      <c r="D164" s="11">
        <f ca="1">+VLOOKUP($A164,INDIRECT(Adrese!D$2),2,FALSE)</f>
        <v>98</v>
      </c>
      <c r="E164" s="11">
        <f ca="1">+VLOOKUP($A164,INDIRECT(Adrese!E$2),2,FALSE)</f>
        <v>68</v>
      </c>
      <c r="F164" s="11">
        <f ca="1">+VLOOKUP($A164,INDIRECT(Adrese!F$2),2,FALSE)</f>
        <v>44</v>
      </c>
      <c r="G164" s="4">
        <f t="shared" ca="1" si="54"/>
        <v>71.599999999999994</v>
      </c>
      <c r="J164" t="s">
        <v>214</v>
      </c>
      <c r="K164">
        <f ca="1">+VLOOKUP($A164,INDIRECT(Adrese!B$2),3,FALSE)</f>
        <v>146</v>
      </c>
      <c r="L164">
        <f ca="1">+VLOOKUP($A164,INDIRECT(Adrese!C$2),3,FALSE)</f>
        <v>152</v>
      </c>
      <c r="M164">
        <f ca="1">+VLOOKUP($A164,INDIRECT(Adrese!D$2),3,FALSE)</f>
        <v>156</v>
      </c>
      <c r="N164">
        <f ca="1">+VLOOKUP($A164,INDIRECT(Adrese!E$2),3,FALSE)</f>
        <v>134</v>
      </c>
      <c r="O164">
        <f ca="1">+VLOOKUP($A164,INDIRECT(Adrese!F$2),3,FALSE)</f>
        <v>147</v>
      </c>
      <c r="P164">
        <f t="shared" ca="1" si="44"/>
        <v>735</v>
      </c>
      <c r="Q164" s="4">
        <f t="shared" ca="1" si="55"/>
        <v>147</v>
      </c>
      <c r="R164" s="4"/>
      <c r="T164" t="s">
        <v>214</v>
      </c>
      <c r="U164">
        <f ca="1">+VLOOKUP($T164,INDIRECT(Adrese!B$2),4,FALSE)</f>
        <v>97075</v>
      </c>
      <c r="V164">
        <f ca="1">+VLOOKUP($T164,INDIRECT(Adrese!C$2),4,FALSE)</f>
        <v>95908</v>
      </c>
      <c r="W164">
        <f ca="1">+VLOOKUP($T164,INDIRECT(Adrese!D$2),4,FALSE)</f>
        <v>95812</v>
      </c>
      <c r="X164">
        <f ca="1">+VLOOKUP($T164,INDIRECT(Adrese!E$2),4,FALSE)</f>
        <v>96845</v>
      </c>
      <c r="Y164">
        <f ca="1">+VLOOKUP($T164,INDIRECT(Adrese!F$2),4,FALSE)</f>
        <v>97703</v>
      </c>
      <c r="Z164">
        <f t="shared" ca="1" si="45"/>
        <v>483343</v>
      </c>
      <c r="AA164" s="4">
        <f t="shared" ca="1" si="56"/>
        <v>96668.6</v>
      </c>
      <c r="AC164" t="s">
        <v>214</v>
      </c>
      <c r="AD164">
        <f ca="1">+VLOOKUP($A164,INDIRECT(Adrese!B$2),5,FALSE)</f>
        <v>11036</v>
      </c>
      <c r="AE164">
        <f ca="1">+VLOOKUP($A164,INDIRECT(Adrese!C$2),5,FALSE)</f>
        <v>10611</v>
      </c>
      <c r="AF164">
        <f ca="1">+VLOOKUP($A164,INDIRECT(Adrese!D$2),5,FALSE)</f>
        <v>9947</v>
      </c>
      <c r="AG164">
        <f ca="1">+VLOOKUP($A164,INDIRECT(Adrese!E$2),5,FALSE)</f>
        <v>10981</v>
      </c>
      <c r="AH164">
        <f ca="1">+VLOOKUP($A164,INDIRECT(Adrese!F$2),5,FALSE)</f>
        <v>10627</v>
      </c>
      <c r="AI164" s="4">
        <f t="shared" ca="1" si="57"/>
        <v>10640.4</v>
      </c>
      <c r="AJ164" s="4"/>
      <c r="AK164" s="4"/>
      <c r="AM164" t="s">
        <v>214</v>
      </c>
      <c r="AN164" s="4">
        <f ca="1">+VLOOKUP($A164,INDIRECT(Adrese!B$2),6,FALSE)</f>
        <v>0.24150442477876111</v>
      </c>
      <c r="AO164" s="4">
        <f ca="1">+VLOOKUP($A164,INDIRECT(Adrese!C$2),6,FALSE)</f>
        <v>0.23232300884955751</v>
      </c>
      <c r="AP164" s="4">
        <f ca="1">+VLOOKUP($A164,INDIRECT(Adrese!D$2),6,FALSE)</f>
        <v>0.21780973451327429</v>
      </c>
      <c r="AQ164" s="4">
        <f ca="1">+VLOOKUP($A164,INDIRECT(Adrese!E$2),6,FALSE)</f>
        <v>0.2408407079646018</v>
      </c>
      <c r="AR164" s="4">
        <f ca="1">+VLOOKUP($A164,INDIRECT(Adrese!F$2),6,FALSE)</f>
        <v>0.23261061946902661</v>
      </c>
      <c r="AS164" s="4" t="str">
        <f t="shared" ca="1" si="46"/>
        <v>0.23 (0.01)</v>
      </c>
      <c r="AT164" s="4">
        <f t="shared" ca="1" si="58"/>
        <v>0.23301769911504425</v>
      </c>
      <c r="AU164" s="4">
        <f t="shared" ca="1" si="47"/>
        <v>9.5545077801435976E-3</v>
      </c>
      <c r="AW164" t="s">
        <v>214</v>
      </c>
      <c r="AX164" s="4">
        <f ca="1">+VLOOKUP($A164,INDIRECT(Adrese!B$2),7,FALSE)</f>
        <v>0.35398230088495569</v>
      </c>
      <c r="AY164" s="4">
        <f ca="1">+VLOOKUP($A164,INDIRECT(Adrese!C$2),7,FALSE)</f>
        <v>0.32743362831858408</v>
      </c>
      <c r="AZ164" s="4">
        <f ca="1">+VLOOKUP($A164,INDIRECT(Adrese!D$2),7,FALSE)</f>
        <v>0.30973451327433632</v>
      </c>
      <c r="BA164" s="4">
        <f ca="1">+VLOOKUP($A164,INDIRECT(Adrese!E$2),7,FALSE)</f>
        <v>0.40707964601769908</v>
      </c>
      <c r="BB164" s="4">
        <f ca="1">+VLOOKUP($A164,INDIRECT(Adrese!F$2),7,FALSE)</f>
        <v>0.34955752212389379</v>
      </c>
      <c r="BC164" s="4" t="str">
        <f t="shared" ca="1" si="48"/>
        <v>0.35 (0.04)</v>
      </c>
      <c r="BD164">
        <f t="shared" ca="1" si="59"/>
        <v>0.34955752212389379</v>
      </c>
      <c r="BE164" s="4">
        <f t="shared" ca="1" si="49"/>
        <v>3.6754972844770216E-2</v>
      </c>
      <c r="BG164" t="s">
        <v>214</v>
      </c>
      <c r="BH164" s="4">
        <f ca="1">+VLOOKUP($BG164,INDIRECT(Adrese!B$2),8,FALSE)</f>
        <v>3.1821624814448071E-2</v>
      </c>
      <c r="BI164" s="4">
        <f ca="1">+VLOOKUP($BG164,INDIRECT(Adrese!C$2),8,FALSE)</f>
        <v>3.0971662103463062E-2</v>
      </c>
      <c r="BJ164" s="4">
        <f ca="1">+VLOOKUP($BG164,INDIRECT(Adrese!D$2),8,FALSE)</f>
        <v>2.8521694936128821E-2</v>
      </c>
      <c r="BK164" s="4">
        <f ca="1">+VLOOKUP($BG164,INDIRECT(Adrese!E$2),8,FALSE)</f>
        <v>3.1048701886473851E-2</v>
      </c>
      <c r="BL164" s="4">
        <f ca="1">+VLOOKUP($BG164,INDIRECT(Adrese!F$2),8,FALSE)</f>
        <v>3.0784467076404091E-2</v>
      </c>
      <c r="BM164" s="4" t="str">
        <f t="shared" ca="1" si="50"/>
        <v>0.03 (0.00)</v>
      </c>
      <c r="BN164" s="4">
        <f t="shared" ca="1" si="60"/>
        <v>3.0629630163383582E-2</v>
      </c>
      <c r="BO164" s="4">
        <f t="shared" ca="1" si="51"/>
        <v>1.2430631115544813E-3</v>
      </c>
      <c r="BQ164" t="s">
        <v>214</v>
      </c>
      <c r="BR164" s="4">
        <f ca="1">+VLOOKUP($BG164,INDIRECT(Adrese!B$2),9,FALSE)</f>
        <v>5.7980053427706971E-2</v>
      </c>
      <c r="BS164" s="4">
        <f ca="1">+VLOOKUP($BG164,INDIRECT(Adrese!C$2),9,FALSE)</f>
        <v>7.0307787311979592E-2</v>
      </c>
      <c r="BT164" s="4">
        <f ca="1">+VLOOKUP($BG164,INDIRECT(Adrese!D$2),9,FALSE)</f>
        <v>6.9024534935437823E-2</v>
      </c>
      <c r="BU164" s="4">
        <f ca="1">+VLOOKUP($BG164,INDIRECT(Adrese!E$2),9,FALSE)</f>
        <v>5.5239229972083588E-2</v>
      </c>
      <c r="BV164" s="4">
        <f ca="1">+VLOOKUP($BG164,INDIRECT(Adrese!F$2),9,FALSE)</f>
        <v>6.3632064843290023E-2</v>
      </c>
      <c r="BW164" s="4" t="str">
        <f t="shared" ca="1" si="52"/>
        <v>0.06 (0.01)</v>
      </c>
      <c r="BX164" s="4">
        <f t="shared" ca="1" si="61"/>
        <v>6.3236734098099601E-2</v>
      </c>
      <c r="BY164" s="4">
        <f t="shared" ca="1" si="53"/>
        <v>6.6190536030544247E-3</v>
      </c>
    </row>
    <row r="165" spans="1:77" x14ac:dyDescent="0.25">
      <c r="A165" t="s">
        <v>215</v>
      </c>
      <c r="B165" s="11">
        <f ca="1">+VLOOKUP($A165,INDIRECT(Adrese!B$2),2,FALSE)</f>
        <v>162</v>
      </c>
      <c r="C165" s="11">
        <f ca="1">+VLOOKUP($A165,INDIRECT(Adrese!C$2),2,FALSE)</f>
        <v>144</v>
      </c>
      <c r="D165" s="11">
        <f ca="1">+VLOOKUP($A165,INDIRECT(Adrese!D$2),2,FALSE)</f>
        <v>122</v>
      </c>
      <c r="E165" s="11">
        <f ca="1">+VLOOKUP($A165,INDIRECT(Adrese!E$2),2,FALSE)</f>
        <v>165</v>
      </c>
      <c r="F165" s="11">
        <f ca="1">+VLOOKUP($A165,INDIRECT(Adrese!F$2),2,FALSE)</f>
        <v>139</v>
      </c>
      <c r="G165" s="4">
        <f t="shared" ca="1" si="54"/>
        <v>146.4</v>
      </c>
      <c r="J165" t="s">
        <v>215</v>
      </c>
      <c r="K165">
        <f ca="1">+VLOOKUP($A165,INDIRECT(Adrese!B$2),3,FALSE)</f>
        <v>91</v>
      </c>
      <c r="L165">
        <f ca="1">+VLOOKUP($A165,INDIRECT(Adrese!C$2),3,FALSE)</f>
        <v>89</v>
      </c>
      <c r="M165">
        <f ca="1">+VLOOKUP($A165,INDIRECT(Adrese!D$2),3,FALSE)</f>
        <v>90</v>
      </c>
      <c r="N165">
        <f ca="1">+VLOOKUP($A165,INDIRECT(Adrese!E$2),3,FALSE)</f>
        <v>90</v>
      </c>
      <c r="O165">
        <f ca="1">+VLOOKUP($A165,INDIRECT(Adrese!F$2),3,FALSE)</f>
        <v>90</v>
      </c>
      <c r="P165">
        <f t="shared" ca="1" si="44"/>
        <v>450</v>
      </c>
      <c r="Q165" s="4">
        <f t="shared" ca="1" si="55"/>
        <v>90</v>
      </c>
      <c r="R165" s="4"/>
      <c r="T165" t="s">
        <v>215</v>
      </c>
      <c r="U165">
        <f ca="1">+VLOOKUP($T165,INDIRECT(Adrese!B$2),4,FALSE)</f>
        <v>92627</v>
      </c>
      <c r="V165">
        <f ca="1">+VLOOKUP($T165,INDIRECT(Adrese!C$2),4,FALSE)</f>
        <v>93821</v>
      </c>
      <c r="W165">
        <f ca="1">+VLOOKUP($T165,INDIRECT(Adrese!D$2),4,FALSE)</f>
        <v>94807</v>
      </c>
      <c r="X165">
        <f ca="1">+VLOOKUP($T165,INDIRECT(Adrese!E$2),4,FALSE)</f>
        <v>92507</v>
      </c>
      <c r="Y165">
        <f ca="1">+VLOOKUP($T165,INDIRECT(Adrese!F$2),4,FALSE)</f>
        <v>94108</v>
      </c>
      <c r="Z165">
        <f t="shared" ca="1" si="45"/>
        <v>467870</v>
      </c>
      <c r="AA165" s="4">
        <f t="shared" ca="1" si="56"/>
        <v>93574</v>
      </c>
      <c r="AC165" t="s">
        <v>215</v>
      </c>
      <c r="AD165">
        <f ca="1">+VLOOKUP($A165,INDIRECT(Adrese!B$2),5,FALSE)</f>
        <v>22634</v>
      </c>
      <c r="AE165">
        <f ca="1">+VLOOKUP($A165,INDIRECT(Adrese!C$2),5,FALSE)</f>
        <v>22637</v>
      </c>
      <c r="AF165">
        <f ca="1">+VLOOKUP($A165,INDIRECT(Adrese!D$2),5,FALSE)</f>
        <v>22555</v>
      </c>
      <c r="AG165">
        <f ca="1">+VLOOKUP($A165,INDIRECT(Adrese!E$2),5,FALSE)</f>
        <v>22603</v>
      </c>
      <c r="AH165">
        <f ca="1">+VLOOKUP($A165,INDIRECT(Adrese!F$2),5,FALSE)</f>
        <v>22764</v>
      </c>
      <c r="AI165" s="4">
        <f t="shared" ca="1" si="57"/>
        <v>22638.6</v>
      </c>
      <c r="AJ165" s="4"/>
      <c r="AK165" s="4"/>
      <c r="AM165" t="s">
        <v>215</v>
      </c>
      <c r="AN165" s="4">
        <f ca="1">+VLOOKUP($A165,INDIRECT(Adrese!B$2),6,FALSE)</f>
        <v>0.4984513274336283</v>
      </c>
      <c r="AO165" s="4">
        <f ca="1">+VLOOKUP($A165,INDIRECT(Adrese!C$2),6,FALSE)</f>
        <v>0.49847345132743359</v>
      </c>
      <c r="AP165" s="4">
        <f ca="1">+VLOOKUP($A165,INDIRECT(Adrese!D$2),6,FALSE)</f>
        <v>0.49672566371681409</v>
      </c>
      <c r="AQ165" s="4">
        <f ca="1">+VLOOKUP($A165,INDIRECT(Adrese!E$2),6,FALSE)</f>
        <v>0.49796460176991147</v>
      </c>
      <c r="AR165" s="4">
        <f ca="1">+VLOOKUP($A165,INDIRECT(Adrese!F$2),6,FALSE)</f>
        <v>0.50143805309734513</v>
      </c>
      <c r="AS165" s="4" t="str">
        <f t="shared" ca="1" si="46"/>
        <v>0.50 (0.00)</v>
      </c>
      <c r="AT165" s="4">
        <f t="shared" ca="1" si="58"/>
        <v>0.49861061946902652</v>
      </c>
      <c r="AU165" s="4">
        <f t="shared" ca="1" si="47"/>
        <v>1.7326978263336127E-3</v>
      </c>
      <c r="AW165" t="s">
        <v>215</v>
      </c>
      <c r="AX165" s="4">
        <f ca="1">+VLOOKUP($A165,INDIRECT(Adrese!B$2),7,FALSE)</f>
        <v>0.59734513274336287</v>
      </c>
      <c r="AY165" s="4">
        <f ca="1">+VLOOKUP($A165,INDIRECT(Adrese!C$2),7,FALSE)</f>
        <v>0.60619469026548678</v>
      </c>
      <c r="AZ165" s="4">
        <f ca="1">+VLOOKUP($A165,INDIRECT(Adrese!D$2),7,FALSE)</f>
        <v>0.60176991150442483</v>
      </c>
      <c r="BA165" s="4">
        <f ca="1">+VLOOKUP($A165,INDIRECT(Adrese!E$2),7,FALSE)</f>
        <v>0.60176991150442483</v>
      </c>
      <c r="BB165" s="4">
        <f ca="1">+VLOOKUP($A165,INDIRECT(Adrese!F$2),7,FALSE)</f>
        <v>0.60176991150442483</v>
      </c>
      <c r="BC165" s="4" t="str">
        <f t="shared" ca="1" si="48"/>
        <v>0.60 (0.00)</v>
      </c>
      <c r="BD165">
        <f t="shared" ca="1" si="59"/>
        <v>0.60176991150442483</v>
      </c>
      <c r="BE165" s="4">
        <f t="shared" ca="1" si="49"/>
        <v>3.1287910671971178E-3</v>
      </c>
      <c r="BG165" t="s">
        <v>215</v>
      </c>
      <c r="BH165" s="4">
        <f ca="1">+VLOOKUP($BG165,INDIRECT(Adrese!B$2),8,FALSE)</f>
        <v>6.3308576009587669E-2</v>
      </c>
      <c r="BI165" s="4">
        <f ca="1">+VLOOKUP($BG165,INDIRECT(Adrese!C$2),8,FALSE)</f>
        <v>6.3608291142557574E-2</v>
      </c>
      <c r="BJ165" s="4">
        <f ca="1">+VLOOKUP($BG165,INDIRECT(Adrese!D$2),8,FALSE)</f>
        <v>6.3493778380976654E-2</v>
      </c>
      <c r="BK165" s="4">
        <f ca="1">+VLOOKUP($BG165,INDIRECT(Adrese!E$2),8,FALSE)</f>
        <v>6.3337193250396537E-2</v>
      </c>
      <c r="BL165" s="4">
        <f ca="1">+VLOOKUP($BG165,INDIRECT(Adrese!F$2),8,FALSE)</f>
        <v>6.383887763007913E-2</v>
      </c>
      <c r="BM165" s="4" t="str">
        <f t="shared" ca="1" si="50"/>
        <v>0.06 (0.00)</v>
      </c>
      <c r="BN165" s="4">
        <f t="shared" ca="1" si="60"/>
        <v>6.3517343282719504E-2</v>
      </c>
      <c r="BO165" s="4">
        <f t="shared" ca="1" si="51"/>
        <v>2.1693833387170433E-4</v>
      </c>
      <c r="BQ165" t="s">
        <v>215</v>
      </c>
      <c r="BR165" s="4">
        <f ca="1">+VLOOKUP($BG165,INDIRECT(Adrese!B$2),9,FALSE)</f>
        <v>-3.794985722326337E-4</v>
      </c>
      <c r="BS165" s="4">
        <f ca="1">+VLOOKUP($BG165,INDIRECT(Adrese!C$2),9,FALSE)</f>
        <v>2.7728713010358061E-4</v>
      </c>
      <c r="BT165" s="4">
        <f ca="1">+VLOOKUP($BG165,INDIRECT(Adrese!D$2),9,FALSE)</f>
        <v>2.8538774314215169E-3</v>
      </c>
      <c r="BU165" s="4">
        <f ca="1">+VLOOKUP($BG165,INDIRECT(Adrese!E$2),9,FALSE)</f>
        <v>9.6570525765648162E-4</v>
      </c>
      <c r="BV165" s="4">
        <f ca="1">+VLOOKUP($BG165,INDIRECT(Adrese!F$2),9,FALSE)</f>
        <v>-5.8763755637745811E-4</v>
      </c>
      <c r="BW165" s="4" t="str">
        <f t="shared" ca="1" si="52"/>
        <v>0.00 (0.00)</v>
      </c>
      <c r="BX165" s="4">
        <f t="shared" ca="1" si="61"/>
        <v>6.2594673811429738E-4</v>
      </c>
      <c r="BY165" s="4">
        <f t="shared" ca="1" si="53"/>
        <v>1.3860358635309333E-3</v>
      </c>
    </row>
    <row r="166" spans="1:77" x14ac:dyDescent="0.25">
      <c r="A166" t="s">
        <v>216</v>
      </c>
      <c r="B166" s="11">
        <f ca="1">+VLOOKUP($A166,INDIRECT(Adrese!B$2),2,FALSE)</f>
        <v>190</v>
      </c>
      <c r="C166" s="11">
        <f ca="1">+VLOOKUP($A166,INDIRECT(Adrese!C$2),2,FALSE)</f>
        <v>190</v>
      </c>
      <c r="D166" s="11">
        <f ca="1">+VLOOKUP($A166,INDIRECT(Adrese!D$2),2,FALSE)</f>
        <v>191</v>
      </c>
      <c r="E166" s="11">
        <f ca="1">+VLOOKUP($A166,INDIRECT(Adrese!E$2),2,FALSE)</f>
        <v>189</v>
      </c>
      <c r="F166" s="11">
        <f ca="1">+VLOOKUP($A166,INDIRECT(Adrese!F$2),2,FALSE)</f>
        <v>203</v>
      </c>
      <c r="G166" s="4">
        <f t="shared" ca="1" si="54"/>
        <v>192.6</v>
      </c>
      <c r="J166" t="s">
        <v>216</v>
      </c>
      <c r="K166">
        <f ca="1">+VLOOKUP($A166,INDIRECT(Adrese!B$2),3,FALSE)</f>
        <v>45</v>
      </c>
      <c r="L166">
        <f ca="1">+VLOOKUP($A166,INDIRECT(Adrese!C$2),3,FALSE)</f>
        <v>49</v>
      </c>
      <c r="M166">
        <f ca="1">+VLOOKUP($A166,INDIRECT(Adrese!D$2),3,FALSE)</f>
        <v>43</v>
      </c>
      <c r="N166">
        <f ca="1">+VLOOKUP($A166,INDIRECT(Adrese!E$2),3,FALSE)</f>
        <v>49</v>
      </c>
      <c r="O166">
        <f ca="1">+VLOOKUP($A166,INDIRECT(Adrese!F$2),3,FALSE)</f>
        <v>47</v>
      </c>
      <c r="P166">
        <f t="shared" ca="1" si="44"/>
        <v>233</v>
      </c>
      <c r="Q166" s="4">
        <f t="shared" ca="1" si="55"/>
        <v>46.6</v>
      </c>
      <c r="R166" s="4"/>
      <c r="T166" t="s">
        <v>216</v>
      </c>
      <c r="U166">
        <f ca="1">+VLOOKUP($T166,INDIRECT(Adrese!B$2),4,FALSE)</f>
        <v>89902</v>
      </c>
      <c r="V166">
        <f ca="1">+VLOOKUP($T166,INDIRECT(Adrese!C$2),4,FALSE)</f>
        <v>89328</v>
      </c>
      <c r="W166">
        <f ca="1">+VLOOKUP($T166,INDIRECT(Adrese!D$2),4,FALSE)</f>
        <v>89386</v>
      </c>
      <c r="X166">
        <f ca="1">+VLOOKUP($T166,INDIRECT(Adrese!E$2),4,FALSE)</f>
        <v>90044</v>
      </c>
      <c r="Y166">
        <f ca="1">+VLOOKUP($T166,INDIRECT(Adrese!F$2),4,FALSE)</f>
        <v>88323</v>
      </c>
      <c r="Z166">
        <f t="shared" ca="1" si="45"/>
        <v>446983</v>
      </c>
      <c r="AA166" s="4">
        <f t="shared" ca="1" si="56"/>
        <v>89396.6</v>
      </c>
      <c r="AC166" t="s">
        <v>216</v>
      </c>
      <c r="AD166">
        <f ca="1">+VLOOKUP($A166,INDIRECT(Adrese!B$2),5,FALSE)</f>
        <v>37297</v>
      </c>
      <c r="AE166">
        <f ca="1">+VLOOKUP($A166,INDIRECT(Adrese!C$2),5,FALSE)</f>
        <v>37120</v>
      </c>
      <c r="AF166">
        <f ca="1">+VLOOKUP($A166,INDIRECT(Adrese!D$2),5,FALSE)</f>
        <v>37182</v>
      </c>
      <c r="AG166">
        <f ca="1">+VLOOKUP($A166,INDIRECT(Adrese!E$2),5,FALSE)</f>
        <v>37375</v>
      </c>
      <c r="AH166">
        <f ca="1">+VLOOKUP($A166,INDIRECT(Adrese!F$2),5,FALSE)</f>
        <v>37052</v>
      </c>
      <c r="AI166" s="4">
        <f t="shared" ca="1" si="57"/>
        <v>37205.199999999997</v>
      </c>
      <c r="AJ166" s="4"/>
      <c r="AK166" s="4"/>
      <c r="AM166" t="s">
        <v>216</v>
      </c>
      <c r="AN166" s="4">
        <f ca="1">+VLOOKUP($A166,INDIRECT(Adrese!B$2),6,FALSE)</f>
        <v>0.82165929203539823</v>
      </c>
      <c r="AO166" s="4">
        <f ca="1">+VLOOKUP($A166,INDIRECT(Adrese!C$2),6,FALSE)</f>
        <v>0.81765486725663716</v>
      </c>
      <c r="AP166" s="4">
        <f ca="1">+VLOOKUP($A166,INDIRECT(Adrese!D$2),6,FALSE)</f>
        <v>0.81887168141592925</v>
      </c>
      <c r="AQ166" s="4">
        <f ca="1">+VLOOKUP($A166,INDIRECT(Adrese!E$2),6,FALSE)</f>
        <v>0.82325221238938051</v>
      </c>
      <c r="AR166" s="4">
        <f ca="1">+VLOOKUP($A166,INDIRECT(Adrese!F$2),6,FALSE)</f>
        <v>0.81599557522123889</v>
      </c>
      <c r="AS166" s="4" t="str">
        <f t="shared" ca="1" si="46"/>
        <v>0.82 (0.00)</v>
      </c>
      <c r="AT166" s="4">
        <f t="shared" ca="1" si="58"/>
        <v>0.81948672566371672</v>
      </c>
      <c r="AU166" s="4">
        <f t="shared" ca="1" si="47"/>
        <v>2.9504682248267483E-3</v>
      </c>
      <c r="AW166" t="s">
        <v>216</v>
      </c>
      <c r="AX166" s="4">
        <f ca="1">+VLOOKUP($A166,INDIRECT(Adrese!B$2),7,FALSE)</f>
        <v>0.80088495575221241</v>
      </c>
      <c r="AY166" s="4">
        <f ca="1">+VLOOKUP($A166,INDIRECT(Adrese!C$2),7,FALSE)</f>
        <v>0.7831858407079646</v>
      </c>
      <c r="AZ166" s="4">
        <f ca="1">+VLOOKUP($A166,INDIRECT(Adrese!D$2),7,FALSE)</f>
        <v>0.80973451327433632</v>
      </c>
      <c r="BA166" s="4">
        <f ca="1">+VLOOKUP($A166,INDIRECT(Adrese!E$2),7,FALSE)</f>
        <v>0.7831858407079646</v>
      </c>
      <c r="BB166" s="4">
        <f ca="1">+VLOOKUP($A166,INDIRECT(Adrese!F$2),7,FALSE)</f>
        <v>0.79203539823008851</v>
      </c>
      <c r="BC166" s="4" t="str">
        <f t="shared" ca="1" si="48"/>
        <v>0.79 (0.01)</v>
      </c>
      <c r="BD166">
        <f t="shared" ca="1" si="59"/>
        <v>0.79380530973451324</v>
      </c>
      <c r="BE166" s="4">
        <f t="shared" ca="1" si="49"/>
        <v>1.1538411336641874E-2</v>
      </c>
      <c r="BG166" t="s">
        <v>216</v>
      </c>
      <c r="BH166" s="4">
        <f ca="1">+VLOOKUP($BG166,INDIRECT(Adrese!B$2),8,FALSE)</f>
        <v>0.10446141463677899</v>
      </c>
      <c r="BI166" s="4">
        <f ca="1">+VLOOKUP($BG166,INDIRECT(Adrese!C$2),8,FALSE)</f>
        <v>0.10409995815385879</v>
      </c>
      <c r="BJ166" s="4">
        <f ca="1">+VLOOKUP($BG166,INDIRECT(Adrese!D$2),8,FALSE)</f>
        <v>0.10425860382268019</v>
      </c>
      <c r="BK166" s="4">
        <f ca="1">+VLOOKUP($BG166,INDIRECT(Adrese!E$2),8,FALSE)</f>
        <v>0.1048637939152462</v>
      </c>
      <c r="BL166" s="4">
        <f ca="1">+VLOOKUP($BG166,INDIRECT(Adrese!F$2),8,FALSE)</f>
        <v>0.1041410603160485</v>
      </c>
      <c r="BM166" s="4" t="str">
        <f t="shared" ca="1" si="50"/>
        <v>0.10 (0.00)</v>
      </c>
      <c r="BN166" s="4">
        <f t="shared" ca="1" si="60"/>
        <v>0.10436496616892255</v>
      </c>
      <c r="BO166" s="4">
        <f t="shared" ca="1" si="51"/>
        <v>3.1217281077619856E-4</v>
      </c>
      <c r="BQ166" t="s">
        <v>216</v>
      </c>
      <c r="BR166" s="4">
        <f ca="1">+VLOOKUP($BG166,INDIRECT(Adrese!B$2),9,FALSE)</f>
        <v>-7.6485886277311482E-2</v>
      </c>
      <c r="BS166" s="4">
        <f ca="1">+VLOOKUP($BG166,INDIRECT(Adrese!C$2),9,FALSE)</f>
        <v>-7.5756406227550407E-2</v>
      </c>
      <c r="BT166" s="4">
        <f ca="1">+VLOOKUP($BG166,INDIRECT(Adrese!D$2),9,FALSE)</f>
        <v>-7.5996292086016062E-2</v>
      </c>
      <c r="BU166" s="4">
        <f ca="1">+VLOOKUP($BG166,INDIRECT(Adrese!E$2),9,FALSE)</f>
        <v>-7.7289675701100721E-2</v>
      </c>
      <c r="BV166" s="4">
        <f ca="1">+VLOOKUP($BG166,INDIRECT(Adrese!F$2),9,FALSE)</f>
        <v>-7.5223972228419964E-2</v>
      </c>
      <c r="BW166" s="4" t="str">
        <f t="shared" ca="1" si="52"/>
        <v>-0.08 (0.00)</v>
      </c>
      <c r="BX166" s="4">
        <f t="shared" ca="1" si="61"/>
        <v>-7.6150446504079733E-2</v>
      </c>
      <c r="BY166" s="4">
        <f t="shared" ca="1" si="53"/>
        <v>7.8226416772181318E-4</v>
      </c>
    </row>
    <row r="167" spans="1:77" x14ac:dyDescent="0.25">
      <c r="A167" t="s">
        <v>18</v>
      </c>
      <c r="B167" s="11">
        <f ca="1">+VLOOKUP($A167,INDIRECT(Adrese!B$2),2,FALSE)</f>
        <v>136</v>
      </c>
      <c r="C167" s="11">
        <f ca="1">+VLOOKUP($A167,INDIRECT(Adrese!C$2),2,FALSE)</f>
        <v>119</v>
      </c>
      <c r="D167" s="11">
        <f ca="1">+VLOOKUP($A167,INDIRECT(Adrese!D$2),2,FALSE)</f>
        <v>109</v>
      </c>
      <c r="E167" s="11">
        <f ca="1">+VLOOKUP($A167,INDIRECT(Adrese!E$2),2,FALSE)</f>
        <v>76</v>
      </c>
      <c r="F167" s="11">
        <f ca="1">+VLOOKUP($A167,INDIRECT(Adrese!F$2),2,FALSE)</f>
        <v>111</v>
      </c>
      <c r="G167" s="4">
        <f t="shared" ca="1" si="54"/>
        <v>110.2</v>
      </c>
      <c r="J167" t="s">
        <v>18</v>
      </c>
      <c r="K167">
        <f ca="1">+VLOOKUP($A167,INDIRECT(Adrese!B$2),3,FALSE)</f>
        <v>141</v>
      </c>
      <c r="L167">
        <f ca="1">+VLOOKUP($A167,INDIRECT(Adrese!C$2),3,FALSE)</f>
        <v>145</v>
      </c>
      <c r="M167">
        <f ca="1">+VLOOKUP($A167,INDIRECT(Adrese!D$2),3,FALSE)</f>
        <v>143</v>
      </c>
      <c r="N167">
        <f ca="1">+VLOOKUP($A167,INDIRECT(Adrese!E$2),3,FALSE)</f>
        <v>146</v>
      </c>
      <c r="O167">
        <f ca="1">+VLOOKUP($A167,INDIRECT(Adrese!F$2),3,FALSE)</f>
        <v>141</v>
      </c>
      <c r="P167">
        <f t="shared" ca="1" si="44"/>
        <v>716</v>
      </c>
      <c r="Q167" s="4">
        <f t="shared" ca="1" si="55"/>
        <v>143.19999999999999</v>
      </c>
      <c r="R167" s="4"/>
      <c r="T167" t="s">
        <v>18</v>
      </c>
      <c r="U167">
        <f ca="1">+VLOOKUP($T167,INDIRECT(Adrese!B$2),4,FALSE)</f>
        <v>94144</v>
      </c>
      <c r="V167">
        <f ca="1">+VLOOKUP($T167,INDIRECT(Adrese!C$2),4,FALSE)</f>
        <v>94729</v>
      </c>
      <c r="W167">
        <f ca="1">+VLOOKUP($T167,INDIRECT(Adrese!D$2),4,FALSE)</f>
        <v>95529</v>
      </c>
      <c r="X167">
        <f ca="1">+VLOOKUP($T167,INDIRECT(Adrese!E$2),4,FALSE)</f>
        <v>96674</v>
      </c>
      <c r="Y167">
        <f ca="1">+VLOOKUP($T167,INDIRECT(Adrese!F$2),4,FALSE)</f>
        <v>95181</v>
      </c>
      <c r="Z167">
        <f t="shared" ca="1" si="45"/>
        <v>476257</v>
      </c>
      <c r="AA167" s="4">
        <f t="shared" ca="1" si="56"/>
        <v>95251.4</v>
      </c>
      <c r="AC167" t="s">
        <v>18</v>
      </c>
      <c r="AD167">
        <f ca="1">+VLOOKUP($A167,INDIRECT(Adrese!B$2),5,FALSE)</f>
        <v>18465</v>
      </c>
      <c r="AE167">
        <f ca="1">+VLOOKUP($A167,INDIRECT(Adrese!C$2),5,FALSE)</f>
        <v>17990</v>
      </c>
      <c r="AF167">
        <f ca="1">+VLOOKUP($A167,INDIRECT(Adrese!D$2),5,FALSE)</f>
        <v>18331</v>
      </c>
      <c r="AG167">
        <f ca="1">+VLOOKUP($A167,INDIRECT(Adrese!E$2),5,FALSE)</f>
        <v>18828</v>
      </c>
      <c r="AH167">
        <f ca="1">+VLOOKUP($A167,INDIRECT(Adrese!F$2),5,FALSE)</f>
        <v>18370</v>
      </c>
      <c r="AI167" s="4">
        <f t="shared" ca="1" si="57"/>
        <v>18396.8</v>
      </c>
      <c r="AJ167" s="4"/>
      <c r="AK167" s="4"/>
      <c r="AM167" t="s">
        <v>18</v>
      </c>
      <c r="AN167" s="4">
        <f ca="1">+VLOOKUP($A167,INDIRECT(Adrese!B$2),6,FALSE)</f>
        <v>0.40719026548672571</v>
      </c>
      <c r="AO167" s="4">
        <f ca="1">+VLOOKUP($A167,INDIRECT(Adrese!C$2),6,FALSE)</f>
        <v>0.39703539823008849</v>
      </c>
      <c r="AP167" s="4">
        <f ca="1">+VLOOKUP($A167,INDIRECT(Adrese!D$2),6,FALSE)</f>
        <v>0.40455752212389379</v>
      </c>
      <c r="AQ167" s="4">
        <f ca="1">+VLOOKUP($A167,INDIRECT(Adrese!E$2),6,FALSE)</f>
        <v>0.4154867256637168</v>
      </c>
      <c r="AR167" s="4">
        <f ca="1">+VLOOKUP($A167,INDIRECT(Adrese!F$2),6,FALSE)</f>
        <v>0.40522123893805312</v>
      </c>
      <c r="AS167" s="4" t="str">
        <f t="shared" ca="1" si="46"/>
        <v>0.41 (0.01)</v>
      </c>
      <c r="AT167" s="4">
        <f t="shared" ca="1" si="58"/>
        <v>0.40589823008849557</v>
      </c>
      <c r="AU167" s="4">
        <f t="shared" ca="1" si="47"/>
        <v>6.6032985371107626E-3</v>
      </c>
      <c r="AW167" t="s">
        <v>18</v>
      </c>
      <c r="AX167" s="4">
        <f ca="1">+VLOOKUP($A167,INDIRECT(Adrese!B$2),7,FALSE)</f>
        <v>0.37610619469026552</v>
      </c>
      <c r="AY167" s="4">
        <f ca="1">+VLOOKUP($A167,INDIRECT(Adrese!C$2),7,FALSE)</f>
        <v>0.3584070796460177</v>
      </c>
      <c r="AZ167" s="4">
        <f ca="1">+VLOOKUP($A167,INDIRECT(Adrese!D$2),7,FALSE)</f>
        <v>0.36725663716814161</v>
      </c>
      <c r="BA167" s="4">
        <f ca="1">+VLOOKUP($A167,INDIRECT(Adrese!E$2),7,FALSE)</f>
        <v>0.35398230088495569</v>
      </c>
      <c r="BB167" s="4">
        <f ca="1">+VLOOKUP($A167,INDIRECT(Adrese!F$2),7,FALSE)</f>
        <v>0.37610619469026552</v>
      </c>
      <c r="BC167" s="4" t="str">
        <f t="shared" ca="1" si="48"/>
        <v>0.37 (0.01)</v>
      </c>
      <c r="BD167">
        <f t="shared" ca="1" si="59"/>
        <v>0.36637168141592918</v>
      </c>
      <c r="BE167" s="4">
        <f t="shared" ca="1" si="49"/>
        <v>1.0090048009726918E-2</v>
      </c>
      <c r="BG167" t="s">
        <v>18</v>
      </c>
      <c r="BH167" s="4">
        <f ca="1">+VLOOKUP($BG167,INDIRECT(Adrese!B$2),8,FALSE)</f>
        <v>6.0477356593610719E-2</v>
      </c>
      <c r="BI167" s="4">
        <f ca="1">+VLOOKUP($BG167,INDIRECT(Adrese!C$2),8,FALSE)</f>
        <v>5.9129366143948779E-2</v>
      </c>
      <c r="BJ167" s="4">
        <f ca="1">+VLOOKUP($BG167,INDIRECT(Adrese!D$2),8,FALSE)</f>
        <v>6.0203028478622737E-2</v>
      </c>
      <c r="BK167" s="4">
        <f ca="1">+VLOOKUP($BG167,INDIRECT(Adrese!E$2),8,FALSE)</f>
        <v>6.1444653369395821E-2</v>
      </c>
      <c r="BL167" s="4">
        <f ca="1">+VLOOKUP($BG167,INDIRECT(Adrese!F$2),8,FALSE)</f>
        <v>6.013387748718093E-2</v>
      </c>
      <c r="BM167" s="4" t="str">
        <f t="shared" ca="1" si="50"/>
        <v>0.06 (0.00)</v>
      </c>
      <c r="BN167" s="4">
        <f t="shared" ca="1" si="60"/>
        <v>6.0277656414551795E-2</v>
      </c>
      <c r="BO167" s="4">
        <f t="shared" ca="1" si="51"/>
        <v>8.2863959422506059E-4</v>
      </c>
      <c r="BQ167" t="s">
        <v>18</v>
      </c>
      <c r="BR167" s="4">
        <f ca="1">+VLOOKUP($BG167,INDIRECT(Adrese!B$2),9,FALSE)</f>
        <v>8.1733227791701724E-2</v>
      </c>
      <c r="BS167" s="4">
        <f ca="1">+VLOOKUP($BG167,INDIRECT(Adrese!C$2),9,FALSE)</f>
        <v>8.2862927720428067E-2</v>
      </c>
      <c r="BT167" s="4">
        <f ca="1">+VLOOKUP($BG167,INDIRECT(Adrese!D$2),9,FALSE)</f>
        <v>7.99309777501961E-2</v>
      </c>
      <c r="BU167" s="4">
        <f ca="1">+VLOOKUP($BG167,INDIRECT(Adrese!E$2),9,FALSE)</f>
        <v>7.6824247983433513E-2</v>
      </c>
      <c r="BV167" s="4">
        <f ca="1">+VLOOKUP($BG167,INDIRECT(Adrese!F$2),9,FALSE)</f>
        <v>7.8958806096502368E-2</v>
      </c>
      <c r="BW167" s="4" t="str">
        <f t="shared" ca="1" si="52"/>
        <v>0.08 (0.00)</v>
      </c>
      <c r="BX167" s="4">
        <f t="shared" ca="1" si="61"/>
        <v>8.0062037468452349E-2</v>
      </c>
      <c r="BY167" s="4">
        <f t="shared" ca="1" si="53"/>
        <v>2.3640769953217223E-3</v>
      </c>
    </row>
    <row r="168" spans="1:77" x14ac:dyDescent="0.25">
      <c r="A168" t="s">
        <v>217</v>
      </c>
      <c r="B168" s="11">
        <f ca="1">+VLOOKUP($A168,INDIRECT(Adrese!B$2),2,FALSE)</f>
        <v>144</v>
      </c>
      <c r="C168" s="11">
        <f ca="1">+VLOOKUP($A168,INDIRECT(Adrese!C$2),2,FALSE)</f>
        <v>143</v>
      </c>
      <c r="D168" s="11">
        <f ca="1">+VLOOKUP($A168,INDIRECT(Adrese!D$2),2,FALSE)</f>
        <v>171</v>
      </c>
      <c r="E168" s="11">
        <f ca="1">+VLOOKUP($A168,INDIRECT(Adrese!E$2),2,FALSE)</f>
        <v>121</v>
      </c>
      <c r="F168" s="11">
        <f ca="1">+VLOOKUP($A168,INDIRECT(Adrese!F$2),2,FALSE)</f>
        <v>165</v>
      </c>
      <c r="G168" s="4">
        <f t="shared" ca="1" si="54"/>
        <v>148.80000000000001</v>
      </c>
      <c r="J168" t="s">
        <v>217</v>
      </c>
      <c r="K168">
        <f ca="1">+VLOOKUP($A168,INDIRECT(Adrese!B$2),3,FALSE)</f>
        <v>112</v>
      </c>
      <c r="L168">
        <f ca="1">+VLOOKUP($A168,INDIRECT(Adrese!C$2),3,FALSE)</f>
        <v>126</v>
      </c>
      <c r="M168">
        <f ca="1">+VLOOKUP($A168,INDIRECT(Adrese!D$2),3,FALSE)</f>
        <v>105</v>
      </c>
      <c r="N168">
        <f ca="1">+VLOOKUP($A168,INDIRECT(Adrese!E$2),3,FALSE)</f>
        <v>117</v>
      </c>
      <c r="O168">
        <f ca="1">+VLOOKUP($A168,INDIRECT(Adrese!F$2),3,FALSE)</f>
        <v>128</v>
      </c>
      <c r="P168">
        <f t="shared" ca="1" si="44"/>
        <v>588</v>
      </c>
      <c r="Q168" s="4">
        <f t="shared" ca="1" si="55"/>
        <v>117.6</v>
      </c>
      <c r="R168" s="4"/>
      <c r="T168" t="s">
        <v>217</v>
      </c>
      <c r="U168">
        <f ca="1">+VLOOKUP($T168,INDIRECT(Adrese!B$2),4,FALSE)</f>
        <v>93880</v>
      </c>
      <c r="V168">
        <f ca="1">+VLOOKUP($T168,INDIRECT(Adrese!C$2),4,FALSE)</f>
        <v>93885</v>
      </c>
      <c r="W168">
        <f ca="1">+VLOOKUP($T168,INDIRECT(Adrese!D$2),4,FALSE)</f>
        <v>91639</v>
      </c>
      <c r="X168">
        <f ca="1">+VLOOKUP($T168,INDIRECT(Adrese!E$2),4,FALSE)</f>
        <v>94724</v>
      </c>
      <c r="Y168">
        <f ca="1">+VLOOKUP($T168,INDIRECT(Adrese!F$2),4,FALSE)</f>
        <v>92676</v>
      </c>
      <c r="Z168">
        <f t="shared" ca="1" si="45"/>
        <v>466804</v>
      </c>
      <c r="AA168" s="4">
        <f t="shared" ca="1" si="56"/>
        <v>93360.8</v>
      </c>
      <c r="AC168" t="s">
        <v>217</v>
      </c>
      <c r="AD168">
        <f ca="1">+VLOOKUP($A168,INDIRECT(Adrese!B$2),5,FALSE)</f>
        <v>20410</v>
      </c>
      <c r="AE168">
        <f ca="1">+VLOOKUP($A168,INDIRECT(Adrese!C$2),5,FALSE)</f>
        <v>19317</v>
      </c>
      <c r="AF168">
        <f ca="1">+VLOOKUP($A168,INDIRECT(Adrese!D$2),5,FALSE)</f>
        <v>19240</v>
      </c>
      <c r="AG168">
        <f ca="1">+VLOOKUP($A168,INDIRECT(Adrese!E$2),5,FALSE)</f>
        <v>20703</v>
      </c>
      <c r="AH168">
        <f ca="1">+VLOOKUP($A168,INDIRECT(Adrese!F$2),5,FALSE)</f>
        <v>19409</v>
      </c>
      <c r="AI168" s="4">
        <f t="shared" ca="1" si="57"/>
        <v>19815.8</v>
      </c>
      <c r="AJ168" s="4"/>
      <c r="AK168" s="4"/>
      <c r="AM168" t="s">
        <v>217</v>
      </c>
      <c r="AN168" s="4">
        <f ca="1">+VLOOKUP($A168,INDIRECT(Adrese!B$2),6,FALSE)</f>
        <v>0.45101769911504419</v>
      </c>
      <c r="AO168" s="4">
        <f ca="1">+VLOOKUP($A168,INDIRECT(Adrese!C$2),6,FALSE)</f>
        <v>0.42699115044247787</v>
      </c>
      <c r="AP168" s="4">
        <f ca="1">+VLOOKUP($A168,INDIRECT(Adrese!D$2),6,FALSE)</f>
        <v>0.42522123893805308</v>
      </c>
      <c r="AQ168" s="4">
        <f ca="1">+VLOOKUP($A168,INDIRECT(Adrese!E$2),6,FALSE)</f>
        <v>0.45758849557522119</v>
      </c>
      <c r="AR168" s="4">
        <f ca="1">+VLOOKUP($A168,INDIRECT(Adrese!F$2),6,FALSE)</f>
        <v>0.42889380530973448</v>
      </c>
      <c r="AS168" s="4" t="str">
        <f t="shared" ca="1" si="46"/>
        <v>0.44 (0.02)</v>
      </c>
      <c r="AT168" s="4">
        <f t="shared" ca="1" si="58"/>
        <v>0.43794247787610613</v>
      </c>
      <c r="AU168" s="4">
        <f t="shared" ca="1" si="47"/>
        <v>1.5170426738988772E-2</v>
      </c>
      <c r="AW168" t="s">
        <v>217</v>
      </c>
      <c r="AX168" s="4">
        <f ca="1">+VLOOKUP($A168,INDIRECT(Adrese!B$2),7,FALSE)</f>
        <v>0.50442477876106195</v>
      </c>
      <c r="AY168" s="4">
        <f ca="1">+VLOOKUP($A168,INDIRECT(Adrese!C$2),7,FALSE)</f>
        <v>0.44247787610619471</v>
      </c>
      <c r="AZ168" s="4">
        <f ca="1">+VLOOKUP($A168,INDIRECT(Adrese!D$2),7,FALSE)</f>
        <v>0.53539823008849563</v>
      </c>
      <c r="BA168" s="4">
        <f ca="1">+VLOOKUP($A168,INDIRECT(Adrese!E$2),7,FALSE)</f>
        <v>0.48230088495575218</v>
      </c>
      <c r="BB168" s="4">
        <f ca="1">+VLOOKUP($A168,INDIRECT(Adrese!F$2),7,FALSE)</f>
        <v>0.4336283185840708</v>
      </c>
      <c r="BC168" s="4" t="str">
        <f t="shared" ca="1" si="48"/>
        <v>0.48 (0.04)</v>
      </c>
      <c r="BD168">
        <f t="shared" ca="1" si="59"/>
        <v>0.47964601769911502</v>
      </c>
      <c r="BE168" s="4">
        <f t="shared" ca="1" si="49"/>
        <v>4.2510127874249397E-2</v>
      </c>
      <c r="BG168" t="s">
        <v>217</v>
      </c>
      <c r="BH168" s="4">
        <f ca="1">+VLOOKUP($BG168,INDIRECT(Adrese!B$2),8,FALSE)</f>
        <v>7.0208161806369823E-2</v>
      </c>
      <c r="BI168" s="4">
        <f ca="1">+VLOOKUP($BG168,INDIRECT(Adrese!C$2),8,FALSE)</f>
        <v>6.6097700200823922E-2</v>
      </c>
      <c r="BJ168" s="4">
        <f ca="1">+VLOOKUP($BG168,INDIRECT(Adrese!D$2),8,FALSE)</f>
        <v>6.5796483634069883E-2</v>
      </c>
      <c r="BK168" s="4">
        <f ca="1">+VLOOKUP($BG168,INDIRECT(Adrese!E$2),8,FALSE)</f>
        <v>6.9473228817880026E-2</v>
      </c>
      <c r="BL168" s="4">
        <f ca="1">+VLOOKUP($BG168,INDIRECT(Adrese!F$2),8,FALSE)</f>
        <v>6.7295872246094249E-2</v>
      </c>
      <c r="BM168" s="4" t="str">
        <f t="shared" ca="1" si="50"/>
        <v>0.07 (0.00)</v>
      </c>
      <c r="BN168" s="4">
        <f t="shared" ca="1" si="60"/>
        <v>6.7774289341047581E-2</v>
      </c>
      <c r="BO168" s="4">
        <f t="shared" ca="1" si="51"/>
        <v>1.9850491177680284E-3</v>
      </c>
      <c r="BQ168" t="s">
        <v>217</v>
      </c>
      <c r="BR168" s="4">
        <f ca="1">+VLOOKUP($BG168,INDIRECT(Adrese!B$2),9,FALSE)</f>
        <v>8.7287804085666179E-2</v>
      </c>
      <c r="BS168" s="4">
        <f ca="1">+VLOOKUP($BG168,INDIRECT(Adrese!C$2),9,FALSE)</f>
        <v>9.011016837539032E-2</v>
      </c>
      <c r="BT168" s="4">
        <f ca="1">+VLOOKUP($BG168,INDIRECT(Adrese!D$2),9,FALSE)</f>
        <v>9.9179741019384857E-2</v>
      </c>
      <c r="BU168" s="4">
        <f ca="1">+VLOOKUP($BG168,INDIRECT(Adrese!E$2),9,FALSE)</f>
        <v>8.5004220297670227E-2</v>
      </c>
      <c r="BV168" s="4">
        <f ca="1">+VLOOKUP($BG168,INDIRECT(Adrese!F$2),9,FALSE)</f>
        <v>9.9326972881744122E-2</v>
      </c>
      <c r="BW168" s="4" t="str">
        <f t="shared" ca="1" si="52"/>
        <v>0.09 (0.01)</v>
      </c>
      <c r="BX168" s="4">
        <f t="shared" ca="1" si="61"/>
        <v>9.2181781331971149E-2</v>
      </c>
      <c r="BY168" s="4">
        <f t="shared" ca="1" si="53"/>
        <v>6.7041997658175752E-3</v>
      </c>
    </row>
    <row r="169" spans="1:77" x14ac:dyDescent="0.25">
      <c r="A169" t="s">
        <v>218</v>
      </c>
      <c r="B169" s="11">
        <f ca="1">+VLOOKUP($A169,INDIRECT(Adrese!B$2),2,FALSE)</f>
        <v>183</v>
      </c>
      <c r="C169" s="11">
        <f ca="1">+VLOOKUP($A169,INDIRECT(Adrese!C$2),2,FALSE)</f>
        <v>180</v>
      </c>
      <c r="D169" s="11">
        <f ca="1">+VLOOKUP($A169,INDIRECT(Adrese!D$2),2,FALSE)</f>
        <v>168</v>
      </c>
      <c r="E169" s="11">
        <f ca="1">+VLOOKUP($A169,INDIRECT(Adrese!E$2),2,FALSE)</f>
        <v>183</v>
      </c>
      <c r="F169" s="11">
        <f ca="1">+VLOOKUP($A169,INDIRECT(Adrese!F$2),2,FALSE)</f>
        <v>172</v>
      </c>
      <c r="G169" s="4">
        <f t="shared" ca="1" si="54"/>
        <v>177.2</v>
      </c>
      <c r="J169" t="s">
        <v>218</v>
      </c>
      <c r="K169">
        <f ca="1">+VLOOKUP($A169,INDIRECT(Adrese!B$2),3,FALSE)</f>
        <v>44</v>
      </c>
      <c r="L169">
        <f ca="1">+VLOOKUP($A169,INDIRECT(Adrese!C$2),3,FALSE)</f>
        <v>42</v>
      </c>
      <c r="M169">
        <f ca="1">+VLOOKUP($A169,INDIRECT(Adrese!D$2),3,FALSE)</f>
        <v>40</v>
      </c>
      <c r="N169">
        <f ca="1">+VLOOKUP($A169,INDIRECT(Adrese!E$2),3,FALSE)</f>
        <v>37</v>
      </c>
      <c r="O169">
        <f ca="1">+VLOOKUP($A169,INDIRECT(Adrese!F$2),3,FALSE)</f>
        <v>43</v>
      </c>
      <c r="P169">
        <f t="shared" ca="1" si="44"/>
        <v>206</v>
      </c>
      <c r="Q169" s="4">
        <f t="shared" ca="1" si="55"/>
        <v>41.2</v>
      </c>
      <c r="R169" s="4"/>
      <c r="T169" t="s">
        <v>218</v>
      </c>
      <c r="U169">
        <f ca="1">+VLOOKUP($T169,INDIRECT(Adrese!B$2),4,FALSE)</f>
        <v>90466</v>
      </c>
      <c r="V169">
        <f ca="1">+VLOOKUP($T169,INDIRECT(Adrese!C$2),4,FALSE)</f>
        <v>90222</v>
      </c>
      <c r="W169">
        <f ca="1">+VLOOKUP($T169,INDIRECT(Adrese!D$2),4,FALSE)</f>
        <v>91764</v>
      </c>
      <c r="X169">
        <f ca="1">+VLOOKUP($T169,INDIRECT(Adrese!E$2),4,FALSE)</f>
        <v>90449</v>
      </c>
      <c r="Y169">
        <f ca="1">+VLOOKUP($T169,INDIRECT(Adrese!F$2),4,FALSE)</f>
        <v>92009</v>
      </c>
      <c r="Z169">
        <f t="shared" ca="1" si="45"/>
        <v>454910</v>
      </c>
      <c r="AA169" s="4">
        <f t="shared" ca="1" si="56"/>
        <v>90982</v>
      </c>
      <c r="AC169" t="s">
        <v>218</v>
      </c>
      <c r="AD169">
        <f ca="1">+VLOOKUP($A169,INDIRECT(Adrese!B$2),5,FALSE)</f>
        <v>31551</v>
      </c>
      <c r="AE169">
        <f ca="1">+VLOOKUP($A169,INDIRECT(Adrese!C$2),5,FALSE)</f>
        <v>31586</v>
      </c>
      <c r="AF169">
        <f ca="1">+VLOOKUP($A169,INDIRECT(Adrese!D$2),5,FALSE)</f>
        <v>31997</v>
      </c>
      <c r="AG169">
        <f ca="1">+VLOOKUP($A169,INDIRECT(Adrese!E$2),5,FALSE)</f>
        <v>31817</v>
      </c>
      <c r="AH169">
        <f ca="1">+VLOOKUP($A169,INDIRECT(Adrese!F$2),5,FALSE)</f>
        <v>31865</v>
      </c>
      <c r="AI169" s="4">
        <f t="shared" ca="1" si="57"/>
        <v>31763.200000000001</v>
      </c>
      <c r="AJ169" s="4"/>
      <c r="AK169" s="4"/>
      <c r="AM169" t="s">
        <v>218</v>
      </c>
      <c r="AN169" s="4">
        <f ca="1">+VLOOKUP($A169,INDIRECT(Adrese!B$2),6,FALSE)</f>
        <v>0.69451327433628318</v>
      </c>
      <c r="AO169" s="4">
        <f ca="1">+VLOOKUP($A169,INDIRECT(Adrese!C$2),6,FALSE)</f>
        <v>0.6948672566371682</v>
      </c>
      <c r="AP169" s="4">
        <f ca="1">+VLOOKUP($A169,INDIRECT(Adrese!D$2),6,FALSE)</f>
        <v>0.70422566371681417</v>
      </c>
      <c r="AQ169" s="4">
        <f ca="1">+VLOOKUP($A169,INDIRECT(Adrese!E$2),6,FALSE)</f>
        <v>0.70019911504424781</v>
      </c>
      <c r="AR169" s="4">
        <f ca="1">+VLOOKUP($A169,INDIRECT(Adrese!F$2),6,FALSE)</f>
        <v>0.70123893805309734</v>
      </c>
      <c r="AS169" s="4" t="str">
        <f t="shared" ca="1" si="46"/>
        <v>0.70 (0.00)</v>
      </c>
      <c r="AT169" s="4">
        <f t="shared" ca="1" si="58"/>
        <v>0.69900884955752218</v>
      </c>
      <c r="AU169" s="4">
        <f t="shared" ca="1" si="47"/>
        <v>4.2121302534264219E-3</v>
      </c>
      <c r="AW169" t="s">
        <v>218</v>
      </c>
      <c r="AX169" s="4">
        <f ca="1">+VLOOKUP($A169,INDIRECT(Adrese!B$2),7,FALSE)</f>
        <v>0.80530973451327437</v>
      </c>
      <c r="AY169" s="4">
        <f ca="1">+VLOOKUP($A169,INDIRECT(Adrese!C$2),7,FALSE)</f>
        <v>0.81415929203539827</v>
      </c>
      <c r="AZ169" s="4">
        <f ca="1">+VLOOKUP($A169,INDIRECT(Adrese!D$2),7,FALSE)</f>
        <v>0.82300884955752207</v>
      </c>
      <c r="BA169" s="4">
        <f ca="1">+VLOOKUP($A169,INDIRECT(Adrese!E$2),7,FALSE)</f>
        <v>0.83628318584070793</v>
      </c>
      <c r="BB169" s="4">
        <f ca="1">+VLOOKUP($A169,INDIRECT(Adrese!F$2),7,FALSE)</f>
        <v>0.80973451327433632</v>
      </c>
      <c r="BC169" s="4" t="str">
        <f t="shared" ca="1" si="48"/>
        <v>0.82 (0.01)</v>
      </c>
      <c r="BD169">
        <f t="shared" ca="1" si="59"/>
        <v>0.81769911504424786</v>
      </c>
      <c r="BE169" s="4">
        <f t="shared" ca="1" si="49"/>
        <v>1.2278262765939442E-2</v>
      </c>
      <c r="BG169" t="s">
        <v>218</v>
      </c>
      <c r="BH169" s="4">
        <f ca="1">+VLOOKUP($BG169,INDIRECT(Adrese!B$2),8,FALSE)</f>
        <v>9.317682393335934E-2</v>
      </c>
      <c r="BI169" s="4">
        <f ca="1">+VLOOKUP($BG169,INDIRECT(Adrese!C$2),8,FALSE)</f>
        <v>9.3570277808052729E-2</v>
      </c>
      <c r="BJ169" s="4">
        <f ca="1">+VLOOKUP($BG169,INDIRECT(Adrese!D$2),8,FALSE)</f>
        <v>9.4673205559922535E-2</v>
      </c>
      <c r="BK169" s="4">
        <f ca="1">+VLOOKUP($BG169,INDIRECT(Adrese!E$2),8,FALSE)</f>
        <v>9.4178490585551042E-2</v>
      </c>
      <c r="BL169" s="4">
        <f ca="1">+VLOOKUP($BG169,INDIRECT(Adrese!F$2),8,FALSE)</f>
        <v>9.4307064280202121E-2</v>
      </c>
      <c r="BM169" s="4" t="str">
        <f t="shared" ca="1" si="50"/>
        <v>0.09 (0.00)</v>
      </c>
      <c r="BN169" s="4">
        <f t="shared" ca="1" si="60"/>
        <v>9.3981172433417554E-2</v>
      </c>
      <c r="BO169" s="4">
        <f t="shared" ca="1" si="51"/>
        <v>5.9997097843185053E-4</v>
      </c>
      <c r="BQ169" t="s">
        <v>218</v>
      </c>
      <c r="BR169" s="4">
        <f ca="1">+VLOOKUP($BG169,INDIRECT(Adrese!B$2),9,FALSE)</f>
        <v>-2.3047400038353621E-2</v>
      </c>
      <c r="BS169" s="4">
        <f ca="1">+VLOOKUP($BG169,INDIRECT(Adrese!C$2),9,FALSE)</f>
        <v>-2.2430858204023581E-2</v>
      </c>
      <c r="BT169" s="4">
        <f ca="1">+VLOOKUP($BG169,INDIRECT(Adrese!D$2),9,FALSE)</f>
        <v>-2.5468468162085141E-2</v>
      </c>
      <c r="BU169" s="4">
        <f ca="1">+VLOOKUP($BG169,INDIRECT(Adrese!E$2),9,FALSE)</f>
        <v>-2.3337157657891329E-2</v>
      </c>
      <c r="BV169" s="4">
        <f ca="1">+VLOOKUP($BG169,INDIRECT(Adrese!F$2),9,FALSE)</f>
        <v>-2.4176685493082811E-2</v>
      </c>
      <c r="BW169" s="4" t="str">
        <f t="shared" ca="1" si="52"/>
        <v>-0.02 (0.00)</v>
      </c>
      <c r="BX169" s="4">
        <f t="shared" ca="1" si="61"/>
        <v>-2.3692113911087297E-2</v>
      </c>
      <c r="BY169" s="4">
        <f t="shared" ca="1" si="53"/>
        <v>1.1750170127592533E-3</v>
      </c>
    </row>
    <row r="170" spans="1:77" x14ac:dyDescent="0.25">
      <c r="A170" t="s">
        <v>219</v>
      </c>
      <c r="B170" s="11">
        <f ca="1">+VLOOKUP($A170,INDIRECT(Adrese!B$2),2,FALSE)</f>
        <v>73</v>
      </c>
      <c r="C170" s="11">
        <f ca="1">+VLOOKUP($A170,INDIRECT(Adrese!C$2),2,FALSE)</f>
        <v>108</v>
      </c>
      <c r="D170" s="11">
        <f ca="1">+VLOOKUP($A170,INDIRECT(Adrese!D$2),2,FALSE)</f>
        <v>80</v>
      </c>
      <c r="E170" s="11">
        <f ca="1">+VLOOKUP($A170,INDIRECT(Adrese!E$2),2,FALSE)</f>
        <v>69</v>
      </c>
      <c r="F170" s="11">
        <f ca="1">+VLOOKUP($A170,INDIRECT(Adrese!F$2),2,FALSE)</f>
        <v>86</v>
      </c>
      <c r="G170" s="4">
        <f t="shared" ca="1" si="54"/>
        <v>83.2</v>
      </c>
      <c r="J170" t="s">
        <v>219</v>
      </c>
      <c r="K170">
        <f ca="1">+VLOOKUP($A170,INDIRECT(Adrese!B$2),3,FALSE)</f>
        <v>111</v>
      </c>
      <c r="L170">
        <f ca="1">+VLOOKUP($A170,INDIRECT(Adrese!C$2),3,FALSE)</f>
        <v>103</v>
      </c>
      <c r="M170">
        <f ca="1">+VLOOKUP($A170,INDIRECT(Adrese!D$2),3,FALSE)</f>
        <v>107</v>
      </c>
      <c r="N170">
        <f ca="1">+VLOOKUP($A170,INDIRECT(Adrese!E$2),3,FALSE)</f>
        <v>105</v>
      </c>
      <c r="O170">
        <f ca="1">+VLOOKUP($A170,INDIRECT(Adrese!F$2),3,FALSE)</f>
        <v>101</v>
      </c>
      <c r="P170">
        <f t="shared" ca="1" si="44"/>
        <v>527</v>
      </c>
      <c r="Q170" s="4">
        <f t="shared" ca="1" si="55"/>
        <v>105.4</v>
      </c>
      <c r="R170" s="4"/>
      <c r="T170" t="s">
        <v>219</v>
      </c>
      <c r="U170">
        <f ca="1">+VLOOKUP($T170,INDIRECT(Adrese!B$2),4,FALSE)</f>
        <v>96611</v>
      </c>
      <c r="V170">
        <f ca="1">+VLOOKUP($T170,INDIRECT(Adrese!C$2),4,FALSE)</f>
        <v>95339</v>
      </c>
      <c r="W170">
        <f ca="1">+VLOOKUP($T170,INDIRECT(Adrese!D$2),4,FALSE)</f>
        <v>96392</v>
      </c>
      <c r="X170">
        <f ca="1">+VLOOKUP($T170,INDIRECT(Adrese!E$2),4,FALSE)</f>
        <v>96807</v>
      </c>
      <c r="Y170">
        <f ca="1">+VLOOKUP($T170,INDIRECT(Adrese!F$2),4,FALSE)</f>
        <v>96083</v>
      </c>
      <c r="Z170">
        <f t="shared" ca="1" si="45"/>
        <v>481232</v>
      </c>
      <c r="AA170" s="4">
        <f t="shared" ca="1" si="56"/>
        <v>96246.399999999994</v>
      </c>
      <c r="AC170" t="s">
        <v>219</v>
      </c>
      <c r="AD170">
        <f ca="1">+VLOOKUP($A170,INDIRECT(Adrese!B$2),5,FALSE)</f>
        <v>21239</v>
      </c>
      <c r="AE170">
        <f ca="1">+VLOOKUP($A170,INDIRECT(Adrese!C$2),5,FALSE)</f>
        <v>20948</v>
      </c>
      <c r="AF170">
        <f ca="1">+VLOOKUP($A170,INDIRECT(Adrese!D$2),5,FALSE)</f>
        <v>20796</v>
      </c>
      <c r="AG170">
        <f ca="1">+VLOOKUP($A170,INDIRECT(Adrese!E$2),5,FALSE)</f>
        <v>21375</v>
      </c>
      <c r="AH170">
        <f ca="1">+VLOOKUP($A170,INDIRECT(Adrese!F$2),5,FALSE)</f>
        <v>21105</v>
      </c>
      <c r="AI170" s="4">
        <f t="shared" ca="1" si="57"/>
        <v>21092.6</v>
      </c>
      <c r="AJ170" s="4"/>
      <c r="AK170" s="4"/>
      <c r="AM170" t="s">
        <v>219</v>
      </c>
      <c r="AN170" s="4">
        <f ca="1">+VLOOKUP($A170,INDIRECT(Adrese!B$2),6,FALSE)</f>
        <v>0.46787610619469028</v>
      </c>
      <c r="AO170" s="4">
        <f ca="1">+VLOOKUP($A170,INDIRECT(Adrese!C$2),6,FALSE)</f>
        <v>0.46199115044247779</v>
      </c>
      <c r="AP170" s="4">
        <f ca="1">+VLOOKUP($A170,INDIRECT(Adrese!D$2),6,FALSE)</f>
        <v>0.45847345132743361</v>
      </c>
      <c r="AQ170" s="4">
        <f ca="1">+VLOOKUP($A170,INDIRECT(Adrese!E$2),6,FALSE)</f>
        <v>0.47064159292035401</v>
      </c>
      <c r="AR170" s="4">
        <f ca="1">+VLOOKUP($A170,INDIRECT(Adrese!F$2),6,FALSE)</f>
        <v>0.46484513274336281</v>
      </c>
      <c r="AS170" s="4" t="str">
        <f t="shared" ca="1" si="46"/>
        <v>0.46 (0.00)</v>
      </c>
      <c r="AT170" s="4">
        <f t="shared" ca="1" si="58"/>
        <v>0.46476548672566376</v>
      </c>
      <c r="AU170" s="4">
        <f t="shared" ca="1" si="47"/>
        <v>4.7827181666203851E-3</v>
      </c>
      <c r="AW170" t="s">
        <v>219</v>
      </c>
      <c r="AX170" s="4">
        <f ca="1">+VLOOKUP($A170,INDIRECT(Adrese!B$2),7,FALSE)</f>
        <v>0.50884955752212391</v>
      </c>
      <c r="AY170" s="4">
        <f ca="1">+VLOOKUP($A170,INDIRECT(Adrese!C$2),7,FALSE)</f>
        <v>0.54424778761061943</v>
      </c>
      <c r="AZ170" s="4">
        <f ca="1">+VLOOKUP($A170,INDIRECT(Adrese!D$2),7,FALSE)</f>
        <v>0.52654867256637172</v>
      </c>
      <c r="BA170" s="4">
        <f ca="1">+VLOOKUP($A170,INDIRECT(Adrese!E$2),7,FALSE)</f>
        <v>0.53539823008849563</v>
      </c>
      <c r="BB170" s="4">
        <f ca="1">+VLOOKUP($A170,INDIRECT(Adrese!F$2),7,FALSE)</f>
        <v>0.55309734513274333</v>
      </c>
      <c r="BC170" s="4" t="str">
        <f t="shared" ca="1" si="48"/>
        <v>0.53 (0.02)</v>
      </c>
      <c r="BD170">
        <f t="shared" ca="1" si="59"/>
        <v>0.53362831858407089</v>
      </c>
      <c r="BE170" s="4">
        <f t="shared" ca="1" si="49"/>
        <v>1.7022463771390547E-2</v>
      </c>
      <c r="BG170" t="s">
        <v>219</v>
      </c>
      <c r="BH170" s="4">
        <f ca="1">+VLOOKUP($BG170,INDIRECT(Adrese!B$2),8,FALSE)</f>
        <v>6.8080383037400757E-2</v>
      </c>
      <c r="BI170" s="4">
        <f ca="1">+VLOOKUP($BG170,INDIRECT(Adrese!C$2),8,FALSE)</f>
        <v>6.7060015141170978E-2</v>
      </c>
      <c r="BJ170" s="4">
        <f ca="1">+VLOOKUP($BG170,INDIRECT(Adrese!D$2),8,FALSE)</f>
        <v>6.6241746257427098E-2</v>
      </c>
      <c r="BK170" s="4">
        <f ca="1">+VLOOKUP($BG170,INDIRECT(Adrese!E$2),8,FALSE)</f>
        <v>6.8208539108717339E-2</v>
      </c>
      <c r="BL170" s="4">
        <f ca="1">+VLOOKUP($BG170,INDIRECT(Adrese!F$2),8,FALSE)</f>
        <v>6.7671373478166791E-2</v>
      </c>
      <c r="BM170" s="4" t="str">
        <f t="shared" ca="1" si="50"/>
        <v>0.07 (0.00)</v>
      </c>
      <c r="BN170" s="4">
        <f t="shared" ca="1" si="60"/>
        <v>6.7452411404576584E-2</v>
      </c>
      <c r="BO170" s="4">
        <f t="shared" ca="1" si="51"/>
        <v>8.1143496232432568E-4</v>
      </c>
      <c r="BQ170" t="s">
        <v>219</v>
      </c>
      <c r="BR170" s="4">
        <f ca="1">+VLOOKUP($BG170,INDIRECT(Adrese!B$2),9,FALSE)</f>
        <v>6.2430816712569899E-2</v>
      </c>
      <c r="BS170" s="4">
        <f ca="1">+VLOOKUP($BG170,INDIRECT(Adrese!C$2),9,FALSE)</f>
        <v>7.2315942202461236E-2</v>
      </c>
      <c r="BT170" s="4">
        <f ca="1">+VLOOKUP($BG170,INDIRECT(Adrese!D$2),9,FALSE)</f>
        <v>6.4088163543327317E-2</v>
      </c>
      <c r="BU170" s="4">
        <f ca="1">+VLOOKUP($BG170,INDIRECT(Adrese!E$2),9,FALSE)</f>
        <v>6.2700965265594669E-2</v>
      </c>
      <c r="BV170" s="4">
        <f ca="1">+VLOOKUP($BG170,INDIRECT(Adrese!F$2),9,FALSE)</f>
        <v>6.9745169274369523E-2</v>
      </c>
      <c r="BW170" s="4" t="str">
        <f t="shared" ca="1" si="52"/>
        <v>0.07 (0.00)</v>
      </c>
      <c r="BX170" s="4">
        <f t="shared" ca="1" si="61"/>
        <v>6.6256211399664519E-2</v>
      </c>
      <c r="BY170" s="4">
        <f t="shared" ca="1" si="53"/>
        <v>4.4963044699805445E-3</v>
      </c>
    </row>
    <row r="171" spans="1:77" x14ac:dyDescent="0.25">
      <c r="A171" t="s">
        <v>220</v>
      </c>
      <c r="B171" s="11">
        <f ca="1">+VLOOKUP($A171,INDIRECT(Adrese!B$2),2,FALSE)</f>
        <v>74</v>
      </c>
      <c r="C171" s="11">
        <f ca="1">+VLOOKUP($A171,INDIRECT(Adrese!C$2),2,FALSE)</f>
        <v>149</v>
      </c>
      <c r="D171" s="11">
        <f ca="1">+VLOOKUP($A171,INDIRECT(Adrese!D$2),2,FALSE)</f>
        <v>56</v>
      </c>
      <c r="E171" s="11">
        <f ca="1">+VLOOKUP($A171,INDIRECT(Adrese!E$2),2,FALSE)</f>
        <v>102</v>
      </c>
      <c r="F171" s="11">
        <f ca="1">+VLOOKUP($A171,INDIRECT(Adrese!F$2),2,FALSE)</f>
        <v>131</v>
      </c>
      <c r="G171" s="4">
        <f t="shared" ca="1" si="54"/>
        <v>102.4</v>
      </c>
      <c r="J171" t="s">
        <v>220</v>
      </c>
      <c r="K171">
        <f ca="1">+VLOOKUP($A171,INDIRECT(Adrese!B$2),3,FALSE)</f>
        <v>127</v>
      </c>
      <c r="L171">
        <f ca="1">+VLOOKUP($A171,INDIRECT(Adrese!C$2),3,FALSE)</f>
        <v>118</v>
      </c>
      <c r="M171">
        <f ca="1">+VLOOKUP($A171,INDIRECT(Adrese!D$2),3,FALSE)</f>
        <v>130</v>
      </c>
      <c r="N171">
        <f ca="1">+VLOOKUP($A171,INDIRECT(Adrese!E$2),3,FALSE)</f>
        <v>130</v>
      </c>
      <c r="O171">
        <f ca="1">+VLOOKUP($A171,INDIRECT(Adrese!F$2),3,FALSE)</f>
        <v>121</v>
      </c>
      <c r="P171">
        <f t="shared" ca="1" si="44"/>
        <v>626</v>
      </c>
      <c r="Q171" s="4">
        <f t="shared" ca="1" si="55"/>
        <v>125.2</v>
      </c>
      <c r="R171" s="4"/>
      <c r="T171" t="s">
        <v>220</v>
      </c>
      <c r="U171">
        <f ca="1">+VLOOKUP($T171,INDIRECT(Adrese!B$2),4,FALSE)</f>
        <v>96588</v>
      </c>
      <c r="V171">
        <f ca="1">+VLOOKUP($T171,INDIRECT(Adrese!C$2),4,FALSE)</f>
        <v>93646</v>
      </c>
      <c r="W171">
        <f ca="1">+VLOOKUP($T171,INDIRECT(Adrese!D$2),4,FALSE)</f>
        <v>96975</v>
      </c>
      <c r="X171">
        <f ca="1">+VLOOKUP($T171,INDIRECT(Adrese!E$2),4,FALSE)</f>
        <v>95494</v>
      </c>
      <c r="Y171">
        <f ca="1">+VLOOKUP($T171,INDIRECT(Adrese!F$2),4,FALSE)</f>
        <v>94395</v>
      </c>
      <c r="Z171">
        <f t="shared" ca="1" si="45"/>
        <v>477098</v>
      </c>
      <c r="AA171" s="4">
        <f t="shared" ca="1" si="56"/>
        <v>95419.6</v>
      </c>
      <c r="AC171" t="s">
        <v>220</v>
      </c>
      <c r="AD171">
        <f ca="1">+VLOOKUP($A171,INDIRECT(Adrese!B$2),5,FALSE)</f>
        <v>11392</v>
      </c>
      <c r="AE171">
        <f ca="1">+VLOOKUP($A171,INDIRECT(Adrese!C$2),5,FALSE)</f>
        <v>11672</v>
      </c>
      <c r="AF171">
        <f ca="1">+VLOOKUP($A171,INDIRECT(Adrese!D$2),5,FALSE)</f>
        <v>11356</v>
      </c>
      <c r="AG171">
        <f ca="1">+VLOOKUP($A171,INDIRECT(Adrese!E$2),5,FALSE)</f>
        <v>11641</v>
      </c>
      <c r="AH171">
        <f ca="1">+VLOOKUP($A171,INDIRECT(Adrese!F$2),5,FALSE)</f>
        <v>11592</v>
      </c>
      <c r="AI171" s="4">
        <f t="shared" ca="1" si="57"/>
        <v>11530.6</v>
      </c>
      <c r="AJ171" s="4"/>
      <c r="AK171" s="4"/>
      <c r="AM171" t="s">
        <v>220</v>
      </c>
      <c r="AN171" s="4">
        <f ca="1">+VLOOKUP($A171,INDIRECT(Adrese!B$2),6,FALSE)</f>
        <v>0.25024336283185838</v>
      </c>
      <c r="AO171" s="4">
        <f ca="1">+VLOOKUP($A171,INDIRECT(Adrese!C$2),6,FALSE)</f>
        <v>0.25592920353982301</v>
      </c>
      <c r="AP171" s="4">
        <f ca="1">+VLOOKUP($A171,INDIRECT(Adrese!D$2),6,FALSE)</f>
        <v>0.2495132743362832</v>
      </c>
      <c r="AQ171" s="4">
        <f ca="1">+VLOOKUP($A171,INDIRECT(Adrese!E$2),6,FALSE)</f>
        <v>0.25579646017699109</v>
      </c>
      <c r="AR171" s="4">
        <f ca="1">+VLOOKUP($A171,INDIRECT(Adrese!F$2),6,FALSE)</f>
        <v>0.25422566371681421</v>
      </c>
      <c r="AS171" s="4" t="str">
        <f t="shared" ca="1" si="46"/>
        <v>0.25 (0.00)</v>
      </c>
      <c r="AT171" s="4">
        <f t="shared" ca="1" si="58"/>
        <v>0.25314159292035399</v>
      </c>
      <c r="AU171" s="4">
        <f t="shared" ca="1" si="47"/>
        <v>3.0642591274748967E-3</v>
      </c>
      <c r="AW171" t="s">
        <v>220</v>
      </c>
      <c r="AX171" s="4">
        <f ca="1">+VLOOKUP($A171,INDIRECT(Adrese!B$2),7,FALSE)</f>
        <v>0.43805309734513281</v>
      </c>
      <c r="AY171" s="4">
        <f ca="1">+VLOOKUP($A171,INDIRECT(Adrese!C$2),7,FALSE)</f>
        <v>0.47787610619469029</v>
      </c>
      <c r="AZ171" s="4">
        <f ca="1">+VLOOKUP($A171,INDIRECT(Adrese!D$2),7,FALSE)</f>
        <v>0.4247787610619469</v>
      </c>
      <c r="BA171" s="4">
        <f ca="1">+VLOOKUP($A171,INDIRECT(Adrese!E$2),7,FALSE)</f>
        <v>0.4247787610619469</v>
      </c>
      <c r="BB171" s="4">
        <f ca="1">+VLOOKUP($A171,INDIRECT(Adrese!F$2),7,FALSE)</f>
        <v>0.46460176991150443</v>
      </c>
      <c r="BC171" s="4" t="str">
        <f t="shared" ca="1" si="48"/>
        <v>0.45 (0.02)</v>
      </c>
      <c r="BD171">
        <f t="shared" ca="1" si="59"/>
        <v>0.4460176991150443</v>
      </c>
      <c r="BE171" s="4">
        <f t="shared" ca="1" si="49"/>
        <v>2.4114029368918079E-2</v>
      </c>
      <c r="BG171" t="s">
        <v>220</v>
      </c>
      <c r="BH171" s="4">
        <f ca="1">+VLOOKUP($BG171,INDIRECT(Adrese!B$2),8,FALSE)</f>
        <v>3.030581994974247E-2</v>
      </c>
      <c r="BI171" s="4">
        <f ca="1">+VLOOKUP($BG171,INDIRECT(Adrese!C$2),8,FALSE)</f>
        <v>3.10325812493016E-2</v>
      </c>
      <c r="BJ171" s="4">
        <f ca="1">+VLOOKUP($BG171,INDIRECT(Adrese!D$2),8,FALSE)</f>
        <v>3.0275162091720931E-2</v>
      </c>
      <c r="BK171" s="4">
        <f ca="1">+VLOOKUP($BG171,INDIRECT(Adrese!E$2),8,FALSE)</f>
        <v>3.090205980236636E-2</v>
      </c>
      <c r="BL171" s="4">
        <f ca="1">+VLOOKUP($BG171,INDIRECT(Adrese!F$2),8,FALSE)</f>
        <v>3.0898451466989281E-2</v>
      </c>
      <c r="BM171" s="4" t="str">
        <f t="shared" ca="1" si="50"/>
        <v>0.03 (0.00)</v>
      </c>
      <c r="BN171" s="4">
        <f t="shared" ca="1" si="60"/>
        <v>3.0682814912024133E-2</v>
      </c>
      <c r="BO171" s="4">
        <f t="shared" ca="1" si="51"/>
        <v>3.6235685448112294E-4</v>
      </c>
      <c r="BQ171" t="s">
        <v>220</v>
      </c>
      <c r="BR171" s="4">
        <f ca="1">+VLOOKUP($BG171,INDIRECT(Adrese!B$2),9,FALSE)</f>
        <v>3.8604196895557032E-2</v>
      </c>
      <c r="BS171" s="4">
        <f ca="1">+VLOOKUP($BG171,INDIRECT(Adrese!C$2),9,FALSE)</f>
        <v>3.6738782092449469E-2</v>
      </c>
      <c r="BT171" s="4">
        <f ca="1">+VLOOKUP($BG171,INDIRECT(Adrese!D$2),9,FALSE)</f>
        <v>3.7216983156935092E-2</v>
      </c>
      <c r="BU171" s="4">
        <f ca="1">+VLOOKUP($BG171,INDIRECT(Adrese!E$2),9,FALSE)</f>
        <v>3.6290282414278063E-2</v>
      </c>
      <c r="BV171" s="4">
        <f ca="1">+VLOOKUP($BG171,INDIRECT(Adrese!F$2),9,FALSE)</f>
        <v>3.7054628783662613E-2</v>
      </c>
      <c r="BW171" s="4" t="str">
        <f t="shared" ca="1" si="52"/>
        <v>0.04 (0.00)</v>
      </c>
      <c r="BX171" s="4">
        <f t="shared" ca="1" si="61"/>
        <v>3.7180974668576457E-2</v>
      </c>
      <c r="BY171" s="4">
        <f t="shared" ca="1" si="53"/>
        <v>8.7058721095147301E-4</v>
      </c>
    </row>
    <row r="172" spans="1:77" x14ac:dyDescent="0.25">
      <c r="A172" t="s">
        <v>221</v>
      </c>
      <c r="B172" s="11">
        <f ca="1">+VLOOKUP($A172,INDIRECT(Adrese!B$2),2,FALSE)</f>
        <v>106</v>
      </c>
      <c r="C172" s="11">
        <f ca="1">+VLOOKUP($A172,INDIRECT(Adrese!C$2),2,FALSE)</f>
        <v>79</v>
      </c>
      <c r="D172" s="11">
        <f ca="1">+VLOOKUP($A172,INDIRECT(Adrese!D$2),2,FALSE)</f>
        <v>58</v>
      </c>
      <c r="E172" s="11">
        <f ca="1">+VLOOKUP($A172,INDIRECT(Adrese!E$2),2,FALSE)</f>
        <v>58</v>
      </c>
      <c r="F172" s="11">
        <f ca="1">+VLOOKUP($A172,INDIRECT(Adrese!F$2),2,FALSE)</f>
        <v>91</v>
      </c>
      <c r="G172" s="4">
        <f t="shared" ca="1" si="54"/>
        <v>78.400000000000006</v>
      </c>
      <c r="J172" t="s">
        <v>221</v>
      </c>
      <c r="K172">
        <f ca="1">+VLOOKUP($A172,INDIRECT(Adrese!B$2),3,FALSE)</f>
        <v>136</v>
      </c>
      <c r="L172">
        <f ca="1">+VLOOKUP($A172,INDIRECT(Adrese!C$2),3,FALSE)</f>
        <v>133</v>
      </c>
      <c r="M172">
        <f ca="1">+VLOOKUP($A172,INDIRECT(Adrese!D$2),3,FALSE)</f>
        <v>138</v>
      </c>
      <c r="N172">
        <f ca="1">+VLOOKUP($A172,INDIRECT(Adrese!E$2),3,FALSE)</f>
        <v>138</v>
      </c>
      <c r="O172">
        <f ca="1">+VLOOKUP($A172,INDIRECT(Adrese!F$2),3,FALSE)</f>
        <v>139</v>
      </c>
      <c r="P172">
        <f t="shared" ca="1" si="44"/>
        <v>684</v>
      </c>
      <c r="Q172" s="4">
        <f t="shared" ca="1" si="55"/>
        <v>136.80000000000001</v>
      </c>
      <c r="R172" s="4"/>
      <c r="T172" t="s">
        <v>221</v>
      </c>
      <c r="U172">
        <f ca="1">+VLOOKUP($T172,INDIRECT(Adrese!B$2),4,FALSE)</f>
        <v>95368</v>
      </c>
      <c r="V172">
        <f ca="1">+VLOOKUP($T172,INDIRECT(Adrese!C$2),4,FALSE)</f>
        <v>96073</v>
      </c>
      <c r="W172">
        <f ca="1">+VLOOKUP($T172,INDIRECT(Adrese!D$2),4,FALSE)</f>
        <v>96933</v>
      </c>
      <c r="X172">
        <f ca="1">+VLOOKUP($T172,INDIRECT(Adrese!E$2),4,FALSE)</f>
        <v>97146</v>
      </c>
      <c r="Y172">
        <f ca="1">+VLOOKUP($T172,INDIRECT(Adrese!F$2),4,FALSE)</f>
        <v>95791</v>
      </c>
      <c r="Z172">
        <f t="shared" ca="1" si="45"/>
        <v>481311</v>
      </c>
      <c r="AA172" s="4">
        <f t="shared" ca="1" si="56"/>
        <v>96262.2</v>
      </c>
      <c r="AC172" t="s">
        <v>221</v>
      </c>
      <c r="AD172">
        <f ca="1">+VLOOKUP($A172,INDIRECT(Adrese!B$2),5,FALSE)</f>
        <v>10964</v>
      </c>
      <c r="AE172">
        <f ca="1">+VLOOKUP($A172,INDIRECT(Adrese!C$2),5,FALSE)</f>
        <v>11249</v>
      </c>
      <c r="AF172">
        <f ca="1">+VLOOKUP($A172,INDIRECT(Adrese!D$2),5,FALSE)</f>
        <v>11019</v>
      </c>
      <c r="AG172">
        <f ca="1">+VLOOKUP($A172,INDIRECT(Adrese!E$2),5,FALSE)</f>
        <v>10753</v>
      </c>
      <c r="AH172">
        <f ca="1">+VLOOKUP($A172,INDIRECT(Adrese!F$2),5,FALSE)</f>
        <v>10924</v>
      </c>
      <c r="AI172" s="4">
        <f t="shared" ca="1" si="57"/>
        <v>10981.8</v>
      </c>
      <c r="AJ172" s="4"/>
      <c r="AK172" s="4"/>
      <c r="AM172" t="s">
        <v>221</v>
      </c>
      <c r="AN172" s="4">
        <f ca="1">+VLOOKUP($A172,INDIRECT(Adrese!B$2),6,FALSE)</f>
        <v>0.2416150442477876</v>
      </c>
      <c r="AO172" s="4">
        <f ca="1">+VLOOKUP($A172,INDIRECT(Adrese!C$2),6,FALSE)</f>
        <v>0.24780973451327429</v>
      </c>
      <c r="AP172" s="4">
        <f ca="1">+VLOOKUP($A172,INDIRECT(Adrese!D$2),6,FALSE)</f>
        <v>0.24261061946902651</v>
      </c>
      <c r="AQ172" s="4">
        <f ca="1">+VLOOKUP($A172,INDIRECT(Adrese!E$2),6,FALSE)</f>
        <v>0.23674778761061949</v>
      </c>
      <c r="AR172" s="4">
        <f ca="1">+VLOOKUP($A172,INDIRECT(Adrese!F$2),6,FALSE)</f>
        <v>0.24068584070796459</v>
      </c>
      <c r="AS172" s="4" t="str">
        <f t="shared" ca="1" si="46"/>
        <v>0.24 (0.00)</v>
      </c>
      <c r="AT172" s="4">
        <f t="shared" ca="1" si="58"/>
        <v>0.24189380530973451</v>
      </c>
      <c r="AU172" s="4">
        <f t="shared" ca="1" si="47"/>
        <v>3.9852987732618087E-3</v>
      </c>
      <c r="AW172" t="s">
        <v>221</v>
      </c>
      <c r="AX172" s="4">
        <f ca="1">+VLOOKUP($A172,INDIRECT(Adrese!B$2),7,FALSE)</f>
        <v>0.39823008849557517</v>
      </c>
      <c r="AY172" s="4">
        <f ca="1">+VLOOKUP($A172,INDIRECT(Adrese!C$2),7,FALSE)</f>
        <v>0.41150442477876098</v>
      </c>
      <c r="AZ172" s="4">
        <f ca="1">+VLOOKUP($A172,INDIRECT(Adrese!D$2),7,FALSE)</f>
        <v>0.38938053097345132</v>
      </c>
      <c r="BA172" s="4">
        <f ca="1">+VLOOKUP($A172,INDIRECT(Adrese!E$2),7,FALSE)</f>
        <v>0.38938053097345132</v>
      </c>
      <c r="BB172" s="4">
        <f ca="1">+VLOOKUP($A172,INDIRECT(Adrese!F$2),7,FALSE)</f>
        <v>0.38495575221238942</v>
      </c>
      <c r="BC172" s="4" t="str">
        <f t="shared" ca="1" si="48"/>
        <v>0.39 (0.01)</v>
      </c>
      <c r="BD172">
        <f t="shared" ca="1" si="59"/>
        <v>0.39469026548672559</v>
      </c>
      <c r="BE172" s="4">
        <f t="shared" ca="1" si="49"/>
        <v>1.0564014501162186E-2</v>
      </c>
      <c r="BG172" t="s">
        <v>221</v>
      </c>
      <c r="BH172" s="4">
        <f ca="1">+VLOOKUP($BG172,INDIRECT(Adrese!B$2),8,FALSE)</f>
        <v>2.99210735877385E-2</v>
      </c>
      <c r="BI172" s="4">
        <f ca="1">+VLOOKUP($BG172,INDIRECT(Adrese!C$2),8,FALSE)</f>
        <v>3.0438843446522069E-2</v>
      </c>
      <c r="BJ172" s="4">
        <f ca="1">+VLOOKUP($BG172,INDIRECT(Adrese!D$2),8,FALSE)</f>
        <v>3.052641285674957E-2</v>
      </c>
      <c r="BK172" s="4">
        <f ca="1">+VLOOKUP($BG172,INDIRECT(Adrese!E$2),8,FALSE)</f>
        <v>2.8403868157497569E-2</v>
      </c>
      <c r="BL172" s="4">
        <f ca="1">+VLOOKUP($BG172,INDIRECT(Adrese!F$2),8,FALSE)</f>
        <v>2.9646710367917939E-2</v>
      </c>
      <c r="BM172" s="4" t="str">
        <f t="shared" ca="1" si="50"/>
        <v>0.03 (0.00)</v>
      </c>
      <c r="BN172" s="4">
        <f t="shared" ca="1" si="60"/>
        <v>2.9787381683285132E-2</v>
      </c>
      <c r="BO172" s="4">
        <f t="shared" ca="1" si="51"/>
        <v>8.5474281579792186E-4</v>
      </c>
      <c r="BQ172" t="s">
        <v>221</v>
      </c>
      <c r="BR172" s="4">
        <f ca="1">+VLOOKUP($BG172,INDIRECT(Adrese!B$2),9,FALSE)</f>
        <v>4.8906802267879267E-2</v>
      </c>
      <c r="BS172" s="4">
        <f ca="1">+VLOOKUP($BG172,INDIRECT(Adrese!C$2),9,FALSE)</f>
        <v>4.3952252382245878E-2</v>
      </c>
      <c r="BT172" s="4">
        <f ca="1">+VLOOKUP($BG172,INDIRECT(Adrese!D$2),9,FALSE)</f>
        <v>5.0684901508040558E-2</v>
      </c>
      <c r="BU172" s="4">
        <f ca="1">+VLOOKUP($BG172,INDIRECT(Adrese!E$2),9,FALSE)</f>
        <v>4.4345799062664233E-2</v>
      </c>
      <c r="BV172" s="4">
        <f ca="1">+VLOOKUP($BG172,INDIRECT(Adrese!F$2),9,FALSE)</f>
        <v>4.8096078892238207E-2</v>
      </c>
      <c r="BW172" s="4" t="str">
        <f t="shared" ca="1" si="52"/>
        <v>0.05 (0.00)</v>
      </c>
      <c r="BX172" s="4">
        <f t="shared" ca="1" si="61"/>
        <v>4.7197166822613629E-2</v>
      </c>
      <c r="BY172" s="4">
        <f t="shared" ca="1" si="53"/>
        <v>2.9391732395497483E-3</v>
      </c>
    </row>
    <row r="173" spans="1:77" x14ac:dyDescent="0.25">
      <c r="A173" t="s">
        <v>222</v>
      </c>
      <c r="B173" s="11">
        <f ca="1">+VLOOKUP($A173,INDIRECT(Adrese!B$2),2,FALSE)</f>
        <v>189</v>
      </c>
      <c r="C173" s="11">
        <f ca="1">+VLOOKUP($A173,INDIRECT(Adrese!C$2),2,FALSE)</f>
        <v>173</v>
      </c>
      <c r="D173" s="11">
        <f ca="1">+VLOOKUP($A173,INDIRECT(Adrese!D$2),2,FALSE)</f>
        <v>167</v>
      </c>
      <c r="E173" s="11">
        <f ca="1">+VLOOKUP($A173,INDIRECT(Adrese!E$2),2,FALSE)</f>
        <v>170</v>
      </c>
      <c r="F173" s="11">
        <f ca="1">+VLOOKUP($A173,INDIRECT(Adrese!F$2),2,FALSE)</f>
        <v>185</v>
      </c>
      <c r="G173" s="4">
        <f t="shared" ca="1" si="54"/>
        <v>176.8</v>
      </c>
      <c r="J173" t="s">
        <v>222</v>
      </c>
      <c r="K173">
        <f ca="1">+VLOOKUP($A173,INDIRECT(Adrese!B$2),3,FALSE)</f>
        <v>100</v>
      </c>
      <c r="L173">
        <f ca="1">+VLOOKUP($A173,INDIRECT(Adrese!C$2),3,FALSE)</f>
        <v>87</v>
      </c>
      <c r="M173">
        <f ca="1">+VLOOKUP($A173,INDIRECT(Adrese!D$2),3,FALSE)</f>
        <v>97</v>
      </c>
      <c r="N173">
        <f ca="1">+VLOOKUP($A173,INDIRECT(Adrese!E$2),3,FALSE)</f>
        <v>91</v>
      </c>
      <c r="O173">
        <f ca="1">+VLOOKUP($A173,INDIRECT(Adrese!F$2),3,FALSE)</f>
        <v>85</v>
      </c>
      <c r="P173">
        <f t="shared" ca="1" si="44"/>
        <v>460</v>
      </c>
      <c r="Q173" s="4">
        <f t="shared" ca="1" si="55"/>
        <v>92</v>
      </c>
      <c r="R173" s="4"/>
      <c r="T173" t="s">
        <v>222</v>
      </c>
      <c r="U173">
        <f ca="1">+VLOOKUP($T173,INDIRECT(Adrese!B$2),4,FALSE)</f>
        <v>90089</v>
      </c>
      <c r="V173">
        <f ca="1">+VLOOKUP($T173,INDIRECT(Adrese!C$2),4,FALSE)</f>
        <v>91333</v>
      </c>
      <c r="W173">
        <f ca="1">+VLOOKUP($T173,INDIRECT(Adrese!D$2),4,FALSE)</f>
        <v>91812</v>
      </c>
      <c r="X173">
        <f ca="1">+VLOOKUP($T173,INDIRECT(Adrese!E$2),4,FALSE)</f>
        <v>92030</v>
      </c>
      <c r="Y173">
        <f ca="1">+VLOOKUP($T173,INDIRECT(Adrese!F$2),4,FALSE)</f>
        <v>90105</v>
      </c>
      <c r="Z173">
        <f t="shared" ca="1" si="45"/>
        <v>455369</v>
      </c>
      <c r="AA173" s="4">
        <f t="shared" ca="1" si="56"/>
        <v>91073.8</v>
      </c>
      <c r="AC173" t="s">
        <v>222</v>
      </c>
      <c r="AD173">
        <f ca="1">+VLOOKUP($A173,INDIRECT(Adrese!B$2),5,FALSE)</f>
        <v>22428</v>
      </c>
      <c r="AE173">
        <f ca="1">+VLOOKUP($A173,INDIRECT(Adrese!C$2),5,FALSE)</f>
        <v>22656</v>
      </c>
      <c r="AF173">
        <f ca="1">+VLOOKUP($A173,INDIRECT(Adrese!D$2),5,FALSE)</f>
        <v>22698</v>
      </c>
      <c r="AG173">
        <f ca="1">+VLOOKUP($A173,INDIRECT(Adrese!E$2),5,FALSE)</f>
        <v>22678</v>
      </c>
      <c r="AH173">
        <f ca="1">+VLOOKUP($A173,INDIRECT(Adrese!F$2),5,FALSE)</f>
        <v>22653</v>
      </c>
      <c r="AI173" s="4">
        <f t="shared" ca="1" si="57"/>
        <v>22622.6</v>
      </c>
      <c r="AJ173" s="4"/>
      <c r="AK173" s="4"/>
      <c r="AM173" t="s">
        <v>222</v>
      </c>
      <c r="AN173" s="4">
        <f ca="1">+VLOOKUP($A173,INDIRECT(Adrese!B$2),6,FALSE)</f>
        <v>0.49575221238938061</v>
      </c>
      <c r="AO173" s="4">
        <f ca="1">+VLOOKUP($A173,INDIRECT(Adrese!C$2),6,FALSE)</f>
        <v>0.49778761061946902</v>
      </c>
      <c r="AP173" s="4">
        <f ca="1">+VLOOKUP($A173,INDIRECT(Adrese!D$2),6,FALSE)</f>
        <v>0.49889380530973448</v>
      </c>
      <c r="AQ173" s="4">
        <f ca="1">+VLOOKUP($A173,INDIRECT(Adrese!E$2),6,FALSE)</f>
        <v>0.49840707964601771</v>
      </c>
      <c r="AR173" s="4">
        <f ca="1">+VLOOKUP($A173,INDIRECT(Adrese!F$2),6,FALSE)</f>
        <v>0.4975</v>
      </c>
      <c r="AS173" s="4" t="str">
        <f t="shared" ca="1" si="46"/>
        <v>0.50 (0.00)</v>
      </c>
      <c r="AT173" s="4">
        <f t="shared" ca="1" si="58"/>
        <v>0.49766814159292039</v>
      </c>
      <c r="AU173" s="4">
        <f t="shared" ca="1" si="47"/>
        <v>1.2001677121949111E-3</v>
      </c>
      <c r="AW173" t="s">
        <v>222</v>
      </c>
      <c r="AX173" s="4">
        <f ca="1">+VLOOKUP($A173,INDIRECT(Adrese!B$2),7,FALSE)</f>
        <v>0.55752212389380529</v>
      </c>
      <c r="AY173" s="4">
        <f ca="1">+VLOOKUP($A173,INDIRECT(Adrese!C$2),7,FALSE)</f>
        <v>0.61504424778761058</v>
      </c>
      <c r="AZ173" s="4">
        <f ca="1">+VLOOKUP($A173,INDIRECT(Adrese!D$2),7,FALSE)</f>
        <v>0.57079646017699115</v>
      </c>
      <c r="BA173" s="4">
        <f ca="1">+VLOOKUP($A173,INDIRECT(Adrese!E$2),7,FALSE)</f>
        <v>0.59734513274336287</v>
      </c>
      <c r="BB173" s="4">
        <f ca="1">+VLOOKUP($A173,INDIRECT(Adrese!F$2),7,FALSE)</f>
        <v>0.62389380530973448</v>
      </c>
      <c r="BC173" s="4" t="str">
        <f t="shared" ca="1" si="48"/>
        <v>0.59 (0.03)</v>
      </c>
      <c r="BD173">
        <f t="shared" ca="1" si="59"/>
        <v>0.59292035398230092</v>
      </c>
      <c r="BE173" s="4">
        <f t="shared" ca="1" si="49"/>
        <v>2.8332408130233838E-2</v>
      </c>
      <c r="BG173" t="s">
        <v>222</v>
      </c>
      <c r="BH173" s="4">
        <f ca="1">+VLOOKUP($BG173,INDIRECT(Adrese!B$2),8,FALSE)</f>
        <v>6.2643097695044642E-2</v>
      </c>
      <c r="BI173" s="4">
        <f ca="1">+VLOOKUP($BG173,INDIRECT(Adrese!C$2),8,FALSE)</f>
        <v>6.3927415997256778E-2</v>
      </c>
      <c r="BJ173" s="4">
        <f ca="1">+VLOOKUP($BG173,INDIRECT(Adrese!D$2),8,FALSE)</f>
        <v>6.4751332215202073E-2</v>
      </c>
      <c r="BK173" s="4">
        <f ca="1">+VLOOKUP($BG173,INDIRECT(Adrese!E$2),8,FALSE)</f>
        <v>6.4189546818937654E-2</v>
      </c>
      <c r="BL173" s="4">
        <f ca="1">+VLOOKUP($BG173,INDIRECT(Adrese!F$2),8,FALSE)</f>
        <v>6.3678961978776996E-2</v>
      </c>
      <c r="BM173" s="4" t="str">
        <f t="shared" ca="1" si="50"/>
        <v>0.06 (0.00)</v>
      </c>
      <c r="BN173" s="4">
        <f t="shared" ca="1" si="60"/>
        <v>6.3838070941043629E-2</v>
      </c>
      <c r="BO173" s="4">
        <f t="shared" ca="1" si="51"/>
        <v>7.7763113158095922E-4</v>
      </c>
      <c r="BQ173" t="s">
        <v>222</v>
      </c>
      <c r="BR173" s="4">
        <f ca="1">+VLOOKUP($BG173,INDIRECT(Adrese!B$2),9,FALSE)</f>
        <v>9.0010668570528248E-3</v>
      </c>
      <c r="BS173" s="4">
        <f ca="1">+VLOOKUP($BG173,INDIRECT(Adrese!C$2),9,FALSE)</f>
        <v>-6.6453721209530896E-4</v>
      </c>
      <c r="BT173" s="4">
        <f ca="1">+VLOOKUP($BG173,INDIRECT(Adrese!D$2),9,FALSE)</f>
        <v>4.1845187605206889E-3</v>
      </c>
      <c r="BU173" s="4">
        <f ca="1">+VLOOKUP($BG173,INDIRECT(Adrese!E$2),9,FALSE)</f>
        <v>8.8034598961129313E-4</v>
      </c>
      <c r="BV173" s="4">
        <f ca="1">+VLOOKUP($BG173,INDIRECT(Adrese!F$2),9,FALSE)</f>
        <v>-4.7297726502439656E-3</v>
      </c>
      <c r="BW173" s="4" t="str">
        <f t="shared" ca="1" si="52"/>
        <v>0.00 (0.01)</v>
      </c>
      <c r="BX173" s="4">
        <f t="shared" ca="1" si="61"/>
        <v>1.7343243489691066E-3</v>
      </c>
      <c r="BY173" s="4">
        <f t="shared" ca="1" si="53"/>
        <v>5.1739096719943985E-3</v>
      </c>
    </row>
    <row r="174" spans="1:77" x14ac:dyDescent="0.25">
      <c r="A174" t="s">
        <v>16</v>
      </c>
      <c r="B174" s="11">
        <f ca="1">+VLOOKUP($A174,INDIRECT(Adrese!B$2),2,FALSE)</f>
        <v>105</v>
      </c>
      <c r="C174" s="11">
        <f ca="1">+VLOOKUP($A174,INDIRECT(Adrese!C$2),2,FALSE)</f>
        <v>101</v>
      </c>
      <c r="D174" s="11">
        <f ca="1">+VLOOKUP($A174,INDIRECT(Adrese!D$2),2,FALSE)</f>
        <v>99</v>
      </c>
      <c r="E174" s="11">
        <f ca="1">+VLOOKUP($A174,INDIRECT(Adrese!E$2),2,FALSE)</f>
        <v>89</v>
      </c>
      <c r="F174" s="11">
        <f ca="1">+VLOOKUP($A174,INDIRECT(Adrese!F$2),2,FALSE)</f>
        <v>103</v>
      </c>
      <c r="G174" s="4">
        <f t="shared" ca="1" si="54"/>
        <v>99.4</v>
      </c>
      <c r="J174" t="s">
        <v>16</v>
      </c>
      <c r="K174">
        <f ca="1">+VLOOKUP($A174,INDIRECT(Adrese!B$2),3,FALSE)</f>
        <v>125</v>
      </c>
      <c r="L174">
        <f ca="1">+VLOOKUP($A174,INDIRECT(Adrese!C$2),3,FALSE)</f>
        <v>122</v>
      </c>
      <c r="M174">
        <f ca="1">+VLOOKUP($A174,INDIRECT(Adrese!D$2),3,FALSE)</f>
        <v>138</v>
      </c>
      <c r="N174">
        <f ca="1">+VLOOKUP($A174,INDIRECT(Adrese!E$2),3,FALSE)</f>
        <v>136</v>
      </c>
      <c r="O174">
        <f ca="1">+VLOOKUP($A174,INDIRECT(Adrese!F$2),3,FALSE)</f>
        <v>130</v>
      </c>
      <c r="P174">
        <f t="shared" ca="1" si="44"/>
        <v>651</v>
      </c>
      <c r="Q174" s="4">
        <f t="shared" ca="1" si="55"/>
        <v>130.19999999999999</v>
      </c>
      <c r="R174" s="4"/>
      <c r="T174" t="s">
        <v>16</v>
      </c>
      <c r="U174">
        <f ca="1">+VLOOKUP($T174,INDIRECT(Adrese!B$2),4,FALSE)</f>
        <v>95388</v>
      </c>
      <c r="V174">
        <f ca="1">+VLOOKUP($T174,INDIRECT(Adrese!C$2),4,FALSE)</f>
        <v>95508</v>
      </c>
      <c r="W174">
        <f ca="1">+VLOOKUP($T174,INDIRECT(Adrese!D$2),4,FALSE)</f>
        <v>95796</v>
      </c>
      <c r="X174">
        <f ca="1">+VLOOKUP($T174,INDIRECT(Adrese!E$2),4,FALSE)</f>
        <v>96119</v>
      </c>
      <c r="Y174">
        <f ca="1">+VLOOKUP($T174,INDIRECT(Adrese!F$2),4,FALSE)</f>
        <v>95329</v>
      </c>
      <c r="Z174">
        <f t="shared" ca="1" si="45"/>
        <v>478140</v>
      </c>
      <c r="AA174" s="4">
        <f t="shared" ca="1" si="56"/>
        <v>95628</v>
      </c>
      <c r="AC174" t="s">
        <v>16</v>
      </c>
      <c r="AD174">
        <f ca="1">+VLOOKUP($A174,INDIRECT(Adrese!B$2),5,FALSE)</f>
        <v>19346</v>
      </c>
      <c r="AE174">
        <f ca="1">+VLOOKUP($A174,INDIRECT(Adrese!C$2),5,FALSE)</f>
        <v>19360</v>
      </c>
      <c r="AF174">
        <f ca="1">+VLOOKUP($A174,INDIRECT(Adrese!D$2),5,FALSE)</f>
        <v>19322</v>
      </c>
      <c r="AG174">
        <f ca="1">+VLOOKUP($A174,INDIRECT(Adrese!E$2),5,FALSE)</f>
        <v>19302</v>
      </c>
      <c r="AH174">
        <f ca="1">+VLOOKUP($A174,INDIRECT(Adrese!F$2),5,FALSE)</f>
        <v>19275</v>
      </c>
      <c r="AI174" s="4">
        <f t="shared" ca="1" si="57"/>
        <v>19321</v>
      </c>
      <c r="AJ174" s="4"/>
      <c r="AK174" s="4"/>
      <c r="AM174" t="s">
        <v>16</v>
      </c>
      <c r="AN174" s="4">
        <f ca="1">+VLOOKUP($A174,INDIRECT(Adrese!B$2),6,FALSE)</f>
        <v>0.42617256637168138</v>
      </c>
      <c r="AO174" s="4">
        <f ca="1">+VLOOKUP($A174,INDIRECT(Adrese!C$2),6,FALSE)</f>
        <v>0.42654867256637169</v>
      </c>
      <c r="AP174" s="4">
        <f ca="1">+VLOOKUP($A174,INDIRECT(Adrese!D$2),6,FALSE)</f>
        <v>0.42608407079646021</v>
      </c>
      <c r="AQ174" s="4">
        <f ca="1">+VLOOKUP($A174,INDIRECT(Adrese!E$2),6,FALSE)</f>
        <v>0.42535398230088489</v>
      </c>
      <c r="AR174" s="4">
        <f ca="1">+VLOOKUP($A174,INDIRECT(Adrese!F$2),6,FALSE)</f>
        <v>0.4245796460176991</v>
      </c>
      <c r="AS174" s="4" t="str">
        <f t="shared" ca="1" si="46"/>
        <v>0.43 (0.00)</v>
      </c>
      <c r="AT174" s="4">
        <f t="shared" ca="1" si="58"/>
        <v>0.42574778761061943</v>
      </c>
      <c r="AU174" s="4">
        <f t="shared" ca="1" si="47"/>
        <v>7.8335456409668353E-4</v>
      </c>
      <c r="AW174" t="s">
        <v>16</v>
      </c>
      <c r="AX174" s="4">
        <f ca="1">+VLOOKUP($A174,INDIRECT(Adrese!B$2),7,FALSE)</f>
        <v>0.44690265486725661</v>
      </c>
      <c r="AY174" s="4">
        <f ca="1">+VLOOKUP($A174,INDIRECT(Adrese!C$2),7,FALSE)</f>
        <v>0.46017699115044253</v>
      </c>
      <c r="AZ174" s="4">
        <f ca="1">+VLOOKUP($A174,INDIRECT(Adrese!D$2),7,FALSE)</f>
        <v>0.38938053097345132</v>
      </c>
      <c r="BA174" s="4">
        <f ca="1">+VLOOKUP($A174,INDIRECT(Adrese!E$2),7,FALSE)</f>
        <v>0.39823008849557517</v>
      </c>
      <c r="BB174" s="4">
        <f ca="1">+VLOOKUP($A174,INDIRECT(Adrese!F$2),7,FALSE)</f>
        <v>0.4247787610619469</v>
      </c>
      <c r="BC174" s="4" t="str">
        <f t="shared" ca="1" si="48"/>
        <v>0.42 (0.03)</v>
      </c>
      <c r="BD174">
        <f t="shared" ca="1" si="59"/>
        <v>0.42389380530973442</v>
      </c>
      <c r="BE174" s="4">
        <f t="shared" ca="1" si="49"/>
        <v>3.0399228384633062E-2</v>
      </c>
      <c r="BG174" t="s">
        <v>16</v>
      </c>
      <c r="BH174" s="4">
        <f ca="1">+VLOOKUP($BG174,INDIRECT(Adrese!B$2),8,FALSE)</f>
        <v>6.2538889957746702E-2</v>
      </c>
      <c r="BI174" s="4">
        <f ca="1">+VLOOKUP($BG174,INDIRECT(Adrese!C$2),8,FALSE)</f>
        <v>6.2257179684045018E-2</v>
      </c>
      <c r="BJ174" s="4">
        <f ca="1">+VLOOKUP($BG174,INDIRECT(Adrese!D$2),8,FALSE)</f>
        <v>6.1905506949927573E-2</v>
      </c>
      <c r="BK174" s="4">
        <f ca="1">+VLOOKUP($BG174,INDIRECT(Adrese!E$2),8,FALSE)</f>
        <v>6.2129916599454549E-2</v>
      </c>
      <c r="BL174" s="4">
        <f ca="1">+VLOOKUP($BG174,INDIRECT(Adrese!F$2),8,FALSE)</f>
        <v>6.2586700631692971E-2</v>
      </c>
      <c r="BM174" s="4" t="str">
        <f t="shared" ca="1" si="50"/>
        <v>0.06 (0.00)</v>
      </c>
      <c r="BN174" s="4">
        <f t="shared" ca="1" si="60"/>
        <v>6.2283638764573365E-2</v>
      </c>
      <c r="BO174" s="4">
        <f t="shared" ca="1" si="51"/>
        <v>2.8474283272673223E-4</v>
      </c>
      <c r="BQ174" t="s">
        <v>16</v>
      </c>
      <c r="BR174" s="4">
        <f ca="1">+VLOOKUP($BG174,INDIRECT(Adrese!B$2),9,FALSE)</f>
        <v>7.6242042469522639E-2</v>
      </c>
      <c r="BS174" s="4">
        <f ca="1">+VLOOKUP($BG174,INDIRECT(Adrese!C$2),9,FALSE)</f>
        <v>7.6965205620470836E-2</v>
      </c>
      <c r="BT174" s="4">
        <f ca="1">+VLOOKUP($BG174,INDIRECT(Adrese!D$2),9,FALSE)</f>
        <v>7.4646190410425833E-2</v>
      </c>
      <c r="BU174" s="4">
        <f ca="1">+VLOOKUP($BG174,INDIRECT(Adrese!E$2),9,FALSE)</f>
        <v>7.7082966301018838E-2</v>
      </c>
      <c r="BV174" s="4">
        <f ca="1">+VLOOKUP($BG174,INDIRECT(Adrese!F$2),9,FALSE)</f>
        <v>7.9078558094635959E-2</v>
      </c>
      <c r="BW174" s="4" t="str">
        <f t="shared" ca="1" si="52"/>
        <v>0.08 (0.00)</v>
      </c>
      <c r="BX174" s="4">
        <f t="shared" ca="1" si="61"/>
        <v>7.6802992579214815E-2</v>
      </c>
      <c r="BY174" s="4">
        <f t="shared" ca="1" si="53"/>
        <v>1.6007308792770835E-3</v>
      </c>
    </row>
    <row r="175" spans="1:77" x14ac:dyDescent="0.25">
      <c r="A175" t="s">
        <v>223</v>
      </c>
      <c r="B175" s="11">
        <f ca="1">+VLOOKUP($A175,INDIRECT(Adrese!B$2),2,FALSE)</f>
        <v>62</v>
      </c>
      <c r="C175" s="11">
        <f ca="1">+VLOOKUP($A175,INDIRECT(Adrese!C$2),2,FALSE)</f>
        <v>99</v>
      </c>
      <c r="D175" s="11">
        <f ca="1">+VLOOKUP($A175,INDIRECT(Adrese!D$2),2,FALSE)</f>
        <v>142</v>
      </c>
      <c r="E175" s="11">
        <f ca="1">+VLOOKUP($A175,INDIRECT(Adrese!E$2),2,FALSE)</f>
        <v>87</v>
      </c>
      <c r="F175" s="11">
        <f ca="1">+VLOOKUP($A175,INDIRECT(Adrese!F$2),2,FALSE)</f>
        <v>82</v>
      </c>
      <c r="G175" s="4">
        <f t="shared" ca="1" si="54"/>
        <v>94.4</v>
      </c>
      <c r="J175" t="s">
        <v>223</v>
      </c>
      <c r="K175">
        <f ca="1">+VLOOKUP($A175,INDIRECT(Adrese!B$2),3,FALSE)</f>
        <v>131</v>
      </c>
      <c r="L175">
        <f ca="1">+VLOOKUP($A175,INDIRECT(Adrese!C$2),3,FALSE)</f>
        <v>126</v>
      </c>
      <c r="M175">
        <f ca="1">+VLOOKUP($A175,INDIRECT(Adrese!D$2),3,FALSE)</f>
        <v>127</v>
      </c>
      <c r="N175">
        <f ca="1">+VLOOKUP($A175,INDIRECT(Adrese!E$2),3,FALSE)</f>
        <v>132</v>
      </c>
      <c r="O175">
        <f ca="1">+VLOOKUP($A175,INDIRECT(Adrese!F$2),3,FALSE)</f>
        <v>130</v>
      </c>
      <c r="P175">
        <f t="shared" ca="1" si="44"/>
        <v>646</v>
      </c>
      <c r="Q175" s="4">
        <f t="shared" ca="1" si="55"/>
        <v>129.19999999999999</v>
      </c>
      <c r="R175" s="4"/>
      <c r="T175" t="s">
        <v>223</v>
      </c>
      <c r="U175">
        <f ca="1">+VLOOKUP($T175,INDIRECT(Adrese!B$2),4,FALSE)</f>
        <v>97039</v>
      </c>
      <c r="V175">
        <f ca="1">+VLOOKUP($T175,INDIRECT(Adrese!C$2),4,FALSE)</f>
        <v>95583</v>
      </c>
      <c r="W175">
        <f ca="1">+VLOOKUP($T175,INDIRECT(Adrese!D$2),4,FALSE)</f>
        <v>94005</v>
      </c>
      <c r="X175">
        <f ca="1">+VLOOKUP($T175,INDIRECT(Adrese!E$2),4,FALSE)</f>
        <v>96138</v>
      </c>
      <c r="Y175">
        <f ca="1">+VLOOKUP($T175,INDIRECT(Adrese!F$2),4,FALSE)</f>
        <v>96255</v>
      </c>
      <c r="Z175">
        <f t="shared" ca="1" si="45"/>
        <v>479020</v>
      </c>
      <c r="AA175" s="4">
        <f t="shared" ca="1" si="56"/>
        <v>95804</v>
      </c>
      <c r="AC175" t="s">
        <v>223</v>
      </c>
      <c r="AD175">
        <f ca="1">+VLOOKUP($A175,INDIRECT(Adrese!B$2),5,FALSE)</f>
        <v>19609</v>
      </c>
      <c r="AE175">
        <f ca="1">+VLOOKUP($A175,INDIRECT(Adrese!C$2),5,FALSE)</f>
        <v>19175</v>
      </c>
      <c r="AF175">
        <f ca="1">+VLOOKUP($A175,INDIRECT(Adrese!D$2),5,FALSE)</f>
        <v>18825</v>
      </c>
      <c r="AG175">
        <f ca="1">+VLOOKUP($A175,INDIRECT(Adrese!E$2),5,FALSE)</f>
        <v>19520</v>
      </c>
      <c r="AH175">
        <f ca="1">+VLOOKUP($A175,INDIRECT(Adrese!F$2),5,FALSE)</f>
        <v>19557</v>
      </c>
      <c r="AI175" s="4">
        <f t="shared" ca="1" si="57"/>
        <v>19337.2</v>
      </c>
      <c r="AJ175" s="4"/>
      <c r="AK175" s="4"/>
      <c r="AM175" t="s">
        <v>223</v>
      </c>
      <c r="AN175" s="4">
        <f ca="1">+VLOOKUP($A175,INDIRECT(Adrese!B$2),6,FALSE)</f>
        <v>0.43232300884955749</v>
      </c>
      <c r="AO175" s="4">
        <f ca="1">+VLOOKUP($A175,INDIRECT(Adrese!C$2),6,FALSE)</f>
        <v>0.42287610619469018</v>
      </c>
      <c r="AP175" s="4">
        <f ca="1">+VLOOKUP($A175,INDIRECT(Adrese!D$2),6,FALSE)</f>
        <v>0.41526548672566371</v>
      </c>
      <c r="AQ175" s="4">
        <f ca="1">+VLOOKUP($A175,INDIRECT(Adrese!E$2),6,FALSE)</f>
        <v>0.42971238938053102</v>
      </c>
      <c r="AR175" s="4">
        <f ca="1">+VLOOKUP($A175,INDIRECT(Adrese!F$2),6,FALSE)</f>
        <v>0.4309513274336283</v>
      </c>
      <c r="AS175" s="4" t="str">
        <f t="shared" ca="1" si="46"/>
        <v>0.43 (0.01)</v>
      </c>
      <c r="AT175" s="4">
        <f t="shared" ca="1" si="58"/>
        <v>0.42622566371681414</v>
      </c>
      <c r="AU175" s="4">
        <f t="shared" ca="1" si="47"/>
        <v>7.1241102314181168E-3</v>
      </c>
      <c r="AW175" t="s">
        <v>223</v>
      </c>
      <c r="AX175" s="4">
        <f ca="1">+VLOOKUP($A175,INDIRECT(Adrese!B$2),7,FALSE)</f>
        <v>0.42035398230088489</v>
      </c>
      <c r="AY175" s="4">
        <f ca="1">+VLOOKUP($A175,INDIRECT(Adrese!C$2),7,FALSE)</f>
        <v>0.44247787610619471</v>
      </c>
      <c r="AZ175" s="4">
        <f ca="1">+VLOOKUP($A175,INDIRECT(Adrese!D$2),7,FALSE)</f>
        <v>0.43805309734513281</v>
      </c>
      <c r="BA175" s="4">
        <f ca="1">+VLOOKUP($A175,INDIRECT(Adrese!E$2),7,FALSE)</f>
        <v>0.41592920353982299</v>
      </c>
      <c r="BB175" s="4">
        <f ca="1">+VLOOKUP($A175,INDIRECT(Adrese!F$2),7,FALSE)</f>
        <v>0.4247787610619469</v>
      </c>
      <c r="BC175" s="4" t="str">
        <f t="shared" ca="1" si="48"/>
        <v>0.43 (0.01)</v>
      </c>
      <c r="BD175">
        <f t="shared" ca="1" si="59"/>
        <v>0.42831858407079648</v>
      </c>
      <c r="BE175" s="4">
        <f t="shared" ca="1" si="49"/>
        <v>1.1453255845614893E-2</v>
      </c>
      <c r="BG175" t="s">
        <v>223</v>
      </c>
      <c r="BH175" s="4">
        <f ca="1">+VLOOKUP($BG175,INDIRECT(Adrese!B$2),8,FALSE)</f>
        <v>6.2458570022402501E-2</v>
      </c>
      <c r="BI175" s="4">
        <f ca="1">+VLOOKUP($BG175,INDIRECT(Adrese!C$2),8,FALSE)</f>
        <v>6.1285858746322211E-2</v>
      </c>
      <c r="BJ175" s="4">
        <f ca="1">+VLOOKUP($BG175,INDIRECT(Adrese!D$2),8,FALSE)</f>
        <v>6.0328361593185269E-2</v>
      </c>
      <c r="BK175" s="4">
        <f ca="1">+VLOOKUP($BG175,INDIRECT(Adrese!E$2),8,FALSE)</f>
        <v>6.3071419208253307E-2</v>
      </c>
      <c r="BL175" s="4">
        <f ca="1">+VLOOKUP($BG175,INDIRECT(Adrese!F$2),8,FALSE)</f>
        <v>6.2919998200894611E-2</v>
      </c>
      <c r="BM175" s="4" t="str">
        <f t="shared" ca="1" si="50"/>
        <v>0.06 (0.00)</v>
      </c>
      <c r="BN175" s="4">
        <f t="shared" ca="1" si="60"/>
        <v>6.2012841554211585E-2</v>
      </c>
      <c r="BO175" s="4">
        <f t="shared" ca="1" si="51"/>
        <v>1.1734745886340517E-3</v>
      </c>
      <c r="BQ175" t="s">
        <v>223</v>
      </c>
      <c r="BR175" s="4">
        <f ca="1">+VLOOKUP($BG175,INDIRECT(Adrese!B$2),9,FALSE)</f>
        <v>6.9963045594576737E-2</v>
      </c>
      <c r="BS175" s="4">
        <f ca="1">+VLOOKUP($BG175,INDIRECT(Adrese!C$2),9,FALSE)</f>
        <v>7.6680581246682755E-2</v>
      </c>
      <c r="BT175" s="4">
        <f ca="1">+VLOOKUP($BG175,INDIRECT(Adrese!D$2),9,FALSE)</f>
        <v>7.8119450247726957E-2</v>
      </c>
      <c r="BU175" s="4">
        <f ca="1">+VLOOKUP($BG175,INDIRECT(Adrese!E$2),9,FALSE)</f>
        <v>7.8171798341290566E-2</v>
      </c>
      <c r="BV175" s="4">
        <f ca="1">+VLOOKUP($BG175,INDIRECT(Adrese!F$2),9,FALSE)</f>
        <v>7.5376406707246366E-2</v>
      </c>
      <c r="BW175" s="4" t="str">
        <f t="shared" ca="1" si="52"/>
        <v>0.08 (0.00)</v>
      </c>
      <c r="BX175" s="4">
        <f t="shared" ca="1" si="61"/>
        <v>7.5662256427504668E-2</v>
      </c>
      <c r="BY175" s="4">
        <f t="shared" ca="1" si="53"/>
        <v>3.3887793416389521E-3</v>
      </c>
    </row>
    <row r="176" spans="1:77" x14ac:dyDescent="0.25">
      <c r="A176" t="s">
        <v>224</v>
      </c>
      <c r="B176" s="11">
        <f ca="1">+VLOOKUP($A176,INDIRECT(Adrese!B$2),2,FALSE)</f>
        <v>78</v>
      </c>
      <c r="C176" s="11">
        <f ca="1">+VLOOKUP($A176,INDIRECT(Adrese!C$2),2,FALSE)</f>
        <v>62</v>
      </c>
      <c r="D176" s="11">
        <f ca="1">+VLOOKUP($A176,INDIRECT(Adrese!D$2),2,FALSE)</f>
        <v>68</v>
      </c>
      <c r="E176" s="11">
        <f ca="1">+VLOOKUP($A176,INDIRECT(Adrese!E$2),2,FALSE)</f>
        <v>96</v>
      </c>
      <c r="F176" s="11">
        <f ca="1">+VLOOKUP($A176,INDIRECT(Adrese!F$2),2,FALSE)</f>
        <v>113</v>
      </c>
      <c r="G176" s="4">
        <f t="shared" ca="1" si="54"/>
        <v>83.4</v>
      </c>
      <c r="J176" t="s">
        <v>224</v>
      </c>
      <c r="K176">
        <f ca="1">+VLOOKUP($A176,INDIRECT(Adrese!B$2),3,FALSE)</f>
        <v>126</v>
      </c>
      <c r="L176">
        <f ca="1">+VLOOKUP($A176,INDIRECT(Adrese!C$2),3,FALSE)</f>
        <v>137</v>
      </c>
      <c r="M176">
        <f ca="1">+VLOOKUP($A176,INDIRECT(Adrese!D$2),3,FALSE)</f>
        <v>133</v>
      </c>
      <c r="N176">
        <f ca="1">+VLOOKUP($A176,INDIRECT(Adrese!E$2),3,FALSE)</f>
        <v>131</v>
      </c>
      <c r="O176">
        <f ca="1">+VLOOKUP($A176,INDIRECT(Adrese!F$2),3,FALSE)</f>
        <v>129</v>
      </c>
      <c r="P176">
        <f t="shared" ca="1" si="44"/>
        <v>656</v>
      </c>
      <c r="Q176" s="4">
        <f t="shared" ca="1" si="55"/>
        <v>131.19999999999999</v>
      </c>
      <c r="R176" s="4"/>
      <c r="T176" t="s">
        <v>224</v>
      </c>
      <c r="U176">
        <f ca="1">+VLOOKUP($T176,INDIRECT(Adrese!B$2),4,FALSE)</f>
        <v>96469</v>
      </c>
      <c r="V176">
        <f ca="1">+VLOOKUP($T176,INDIRECT(Adrese!C$2),4,FALSE)</f>
        <v>97002</v>
      </c>
      <c r="W176">
        <f ca="1">+VLOOKUP($T176,INDIRECT(Adrese!D$2),4,FALSE)</f>
        <v>96786</v>
      </c>
      <c r="X176">
        <f ca="1">+VLOOKUP($T176,INDIRECT(Adrese!E$2),4,FALSE)</f>
        <v>95799</v>
      </c>
      <c r="Y176">
        <f ca="1">+VLOOKUP($T176,INDIRECT(Adrese!F$2),4,FALSE)</f>
        <v>95024</v>
      </c>
      <c r="Z176">
        <f t="shared" ca="1" si="45"/>
        <v>481080</v>
      </c>
      <c r="AA176" s="4">
        <f t="shared" ca="1" si="56"/>
        <v>96216</v>
      </c>
      <c r="AC176" t="s">
        <v>224</v>
      </c>
      <c r="AD176">
        <f ca="1">+VLOOKUP($A176,INDIRECT(Adrese!B$2),5,FALSE)</f>
        <v>19723</v>
      </c>
      <c r="AE176">
        <f ca="1">+VLOOKUP($A176,INDIRECT(Adrese!C$2),5,FALSE)</f>
        <v>19647</v>
      </c>
      <c r="AF176">
        <f ca="1">+VLOOKUP($A176,INDIRECT(Adrese!D$2),5,FALSE)</f>
        <v>19610</v>
      </c>
      <c r="AG176">
        <f ca="1">+VLOOKUP($A176,INDIRECT(Adrese!E$2),5,FALSE)</f>
        <v>19328</v>
      </c>
      <c r="AH176">
        <f ca="1">+VLOOKUP($A176,INDIRECT(Adrese!F$2),5,FALSE)</f>
        <v>19221</v>
      </c>
      <c r="AI176" s="4">
        <f t="shared" ca="1" si="57"/>
        <v>19505.8</v>
      </c>
      <c r="AJ176" s="4"/>
      <c r="AK176" s="4"/>
      <c r="AM176" t="s">
        <v>224</v>
      </c>
      <c r="AN176" s="4">
        <f ca="1">+VLOOKUP($A176,INDIRECT(Adrese!B$2),6,FALSE)</f>
        <v>0.43453539823008852</v>
      </c>
      <c r="AO176" s="4">
        <f ca="1">+VLOOKUP($A176,INDIRECT(Adrese!C$2),6,FALSE)</f>
        <v>0.43307522123893799</v>
      </c>
      <c r="AP176" s="4">
        <f ca="1">+VLOOKUP($A176,INDIRECT(Adrese!D$2),6,FALSE)</f>
        <v>0.43234513274336278</v>
      </c>
      <c r="AQ176" s="4">
        <f ca="1">+VLOOKUP($A176,INDIRECT(Adrese!E$2),6,FALSE)</f>
        <v>0.42537610619469018</v>
      </c>
      <c r="AR176" s="4">
        <f ca="1">+VLOOKUP($A176,INDIRECT(Adrese!F$2),6,FALSE)</f>
        <v>0.4234070796460177</v>
      </c>
      <c r="AS176" s="4" t="str">
        <f t="shared" ca="1" si="46"/>
        <v>0.43 (0.01)</v>
      </c>
      <c r="AT176" s="4">
        <f t="shared" ca="1" si="58"/>
        <v>0.42974778761061944</v>
      </c>
      <c r="AU176" s="4">
        <f t="shared" ca="1" si="47"/>
        <v>5.0013849988740349E-3</v>
      </c>
      <c r="AW176" t="s">
        <v>224</v>
      </c>
      <c r="AX176" s="4">
        <f ca="1">+VLOOKUP($A176,INDIRECT(Adrese!B$2),7,FALSE)</f>
        <v>0.44247787610619471</v>
      </c>
      <c r="AY176" s="4">
        <f ca="1">+VLOOKUP($A176,INDIRECT(Adrese!C$2),7,FALSE)</f>
        <v>0.39380530973451328</v>
      </c>
      <c r="AZ176" s="4">
        <f ca="1">+VLOOKUP($A176,INDIRECT(Adrese!D$2),7,FALSE)</f>
        <v>0.41150442477876098</v>
      </c>
      <c r="BA176" s="4">
        <f ca="1">+VLOOKUP($A176,INDIRECT(Adrese!E$2),7,FALSE)</f>
        <v>0.42035398230088489</v>
      </c>
      <c r="BB176" s="4">
        <f ca="1">+VLOOKUP($A176,INDIRECT(Adrese!F$2),7,FALSE)</f>
        <v>0.42920353982300891</v>
      </c>
      <c r="BC176" s="4" t="str">
        <f t="shared" ca="1" si="48"/>
        <v>0.42 (0.02)</v>
      </c>
      <c r="BD176">
        <f t="shared" ca="1" si="59"/>
        <v>0.41946902654867257</v>
      </c>
      <c r="BE176" s="4">
        <f t="shared" ca="1" si="49"/>
        <v>1.8350833056042255E-2</v>
      </c>
      <c r="BG176" t="s">
        <v>224</v>
      </c>
      <c r="BH176" s="4">
        <f ca="1">+VLOOKUP($BG176,INDIRECT(Adrese!B$2),8,FALSE)</f>
        <v>6.3245869992082898E-2</v>
      </c>
      <c r="BI176" s="4">
        <f ca="1">+VLOOKUP($BG176,INDIRECT(Adrese!C$2),8,FALSE)</f>
        <v>6.3199005159674082E-2</v>
      </c>
      <c r="BJ176" s="4">
        <f ca="1">+VLOOKUP($BG176,INDIRECT(Adrese!D$2),8,FALSE)</f>
        <v>6.2967106282521973E-2</v>
      </c>
      <c r="BK176" s="4">
        <f ca="1">+VLOOKUP($BG176,INDIRECT(Adrese!E$2),8,FALSE)</f>
        <v>6.1954523842933339E-2</v>
      </c>
      <c r="BL176" s="4">
        <f ca="1">+VLOOKUP($BG176,INDIRECT(Adrese!F$2),8,FALSE)</f>
        <v>6.1906742081488032E-2</v>
      </c>
      <c r="BM176" s="4" t="str">
        <f t="shared" ca="1" si="50"/>
        <v>0.06 (0.00)</v>
      </c>
      <c r="BN176" s="4">
        <f t="shared" ca="1" si="60"/>
        <v>6.265464947174007E-2</v>
      </c>
      <c r="BO176" s="4">
        <f t="shared" ca="1" si="51"/>
        <v>6.6952136593431222E-4</v>
      </c>
      <c r="BQ176" t="s">
        <v>224</v>
      </c>
      <c r="BR176" s="4">
        <f ca="1">+VLOOKUP($BG176,INDIRECT(Adrese!B$2),9,FALSE)</f>
        <v>7.2583357075407542E-2</v>
      </c>
      <c r="BS176" s="4">
        <f ca="1">+VLOOKUP($BG176,INDIRECT(Adrese!C$2),9,FALSE)</f>
        <v>7.6656591863024412E-2</v>
      </c>
      <c r="BT176" s="4">
        <f ca="1">+VLOOKUP($BG176,INDIRECT(Adrese!D$2),9,FALSE)</f>
        <v>7.4160625628737056E-2</v>
      </c>
      <c r="BU176" s="4">
        <f ca="1">+VLOOKUP($BG176,INDIRECT(Adrese!E$2),9,FALSE)</f>
        <v>7.4715421892330214E-2</v>
      </c>
      <c r="BV176" s="4">
        <f ca="1">+VLOOKUP($BG176,INDIRECT(Adrese!F$2),9,FALSE)</f>
        <v>7.787852794598249E-2</v>
      </c>
      <c r="BW176" s="4" t="str">
        <f t="shared" ca="1" si="52"/>
        <v>0.08 (0.00)</v>
      </c>
      <c r="BX176" s="4">
        <f t="shared" ca="1" si="61"/>
        <v>7.5198904881096346E-2</v>
      </c>
      <c r="BY176" s="4">
        <f t="shared" ca="1" si="53"/>
        <v>2.0891446238414106E-3</v>
      </c>
    </row>
    <row r="177" spans="1:77" x14ac:dyDescent="0.25">
      <c r="A177" t="s">
        <v>225</v>
      </c>
      <c r="B177" s="11">
        <f ca="1">+VLOOKUP($A177,INDIRECT(Adrese!B$2),2,FALSE)</f>
        <v>132</v>
      </c>
      <c r="C177" s="11">
        <f ca="1">+VLOOKUP($A177,INDIRECT(Adrese!C$2),2,FALSE)</f>
        <v>167</v>
      </c>
      <c r="D177" s="11">
        <f ca="1">+VLOOKUP($A177,INDIRECT(Adrese!D$2),2,FALSE)</f>
        <v>163</v>
      </c>
      <c r="E177" s="11">
        <f ca="1">+VLOOKUP($A177,INDIRECT(Adrese!E$2),2,FALSE)</f>
        <v>156</v>
      </c>
      <c r="F177" s="11">
        <f ca="1">+VLOOKUP($A177,INDIRECT(Adrese!F$2),2,FALSE)</f>
        <v>129</v>
      </c>
      <c r="G177" s="4">
        <f t="shared" ca="1" si="54"/>
        <v>149.4</v>
      </c>
      <c r="J177" t="s">
        <v>225</v>
      </c>
      <c r="K177">
        <f ca="1">+VLOOKUP($A177,INDIRECT(Adrese!B$2),3,FALSE)</f>
        <v>116</v>
      </c>
      <c r="L177">
        <f ca="1">+VLOOKUP($A177,INDIRECT(Adrese!C$2),3,FALSE)</f>
        <v>101</v>
      </c>
      <c r="M177">
        <f ca="1">+VLOOKUP($A177,INDIRECT(Adrese!D$2),3,FALSE)</f>
        <v>108</v>
      </c>
      <c r="N177">
        <f ca="1">+VLOOKUP($A177,INDIRECT(Adrese!E$2),3,FALSE)</f>
        <v>112</v>
      </c>
      <c r="O177">
        <f ca="1">+VLOOKUP($A177,INDIRECT(Adrese!F$2),3,FALSE)</f>
        <v>113</v>
      </c>
      <c r="P177">
        <f t="shared" ca="1" si="44"/>
        <v>550</v>
      </c>
      <c r="Q177" s="4">
        <f t="shared" ca="1" si="55"/>
        <v>110</v>
      </c>
      <c r="R177" s="4"/>
      <c r="T177" t="s">
        <v>225</v>
      </c>
      <c r="U177">
        <f ca="1">+VLOOKUP($T177,INDIRECT(Adrese!B$2),4,FALSE)</f>
        <v>94228</v>
      </c>
      <c r="V177">
        <f ca="1">+VLOOKUP($T177,INDIRECT(Adrese!C$2),4,FALSE)</f>
        <v>92670</v>
      </c>
      <c r="W177">
        <f ca="1">+VLOOKUP($T177,INDIRECT(Adrese!D$2),4,FALSE)</f>
        <v>92537</v>
      </c>
      <c r="X177">
        <f ca="1">+VLOOKUP($T177,INDIRECT(Adrese!E$2),4,FALSE)</f>
        <v>93327</v>
      </c>
      <c r="Y177">
        <f ca="1">+VLOOKUP($T177,INDIRECT(Adrese!F$2),4,FALSE)</f>
        <v>94427</v>
      </c>
      <c r="Z177">
        <f t="shared" ca="1" si="45"/>
        <v>467189</v>
      </c>
      <c r="AA177" s="4">
        <f t="shared" ca="1" si="56"/>
        <v>93437.8</v>
      </c>
      <c r="AC177" t="s">
        <v>225</v>
      </c>
      <c r="AD177">
        <f ca="1">+VLOOKUP($A177,INDIRECT(Adrese!B$2),5,FALSE)</f>
        <v>15142</v>
      </c>
      <c r="AE177">
        <f ca="1">+VLOOKUP($A177,INDIRECT(Adrese!C$2),5,FALSE)</f>
        <v>15131</v>
      </c>
      <c r="AF177">
        <f ca="1">+VLOOKUP($A177,INDIRECT(Adrese!D$2),5,FALSE)</f>
        <v>15327</v>
      </c>
      <c r="AG177">
        <f ca="1">+VLOOKUP($A177,INDIRECT(Adrese!E$2),5,FALSE)</f>
        <v>15027</v>
      </c>
      <c r="AH177">
        <f ca="1">+VLOOKUP($A177,INDIRECT(Adrese!F$2),5,FALSE)</f>
        <v>14925</v>
      </c>
      <c r="AI177" s="4">
        <f t="shared" ca="1" si="57"/>
        <v>15110.4</v>
      </c>
      <c r="AJ177" s="4"/>
      <c r="AK177" s="4"/>
      <c r="AM177" t="s">
        <v>225</v>
      </c>
      <c r="AN177" s="4">
        <f ca="1">+VLOOKUP($A177,INDIRECT(Adrese!B$2),6,FALSE)</f>
        <v>0.3325442477876106</v>
      </c>
      <c r="AO177" s="4">
        <f ca="1">+VLOOKUP($A177,INDIRECT(Adrese!C$2),6,FALSE)</f>
        <v>0.33219026548672559</v>
      </c>
      <c r="AP177" s="4">
        <f ca="1">+VLOOKUP($A177,INDIRECT(Adrese!D$2),6,FALSE)</f>
        <v>0.33665929203539818</v>
      </c>
      <c r="AQ177" s="4">
        <f ca="1">+VLOOKUP($A177,INDIRECT(Adrese!E$2),6,FALSE)</f>
        <v>0.3300442477876106</v>
      </c>
      <c r="AR177" s="4">
        <f ca="1">+VLOOKUP($A177,INDIRECT(Adrese!F$2),6,FALSE)</f>
        <v>0.32752212389380531</v>
      </c>
      <c r="AS177" s="4" t="str">
        <f t="shared" ca="1" si="46"/>
        <v>0.33 (0.00)</v>
      </c>
      <c r="AT177" s="4">
        <f t="shared" ca="1" si="58"/>
        <v>0.3317920353982301</v>
      </c>
      <c r="AU177" s="4">
        <f t="shared" ca="1" si="47"/>
        <v>3.3801443623620439E-3</v>
      </c>
      <c r="AW177" t="s">
        <v>225</v>
      </c>
      <c r="AX177" s="4">
        <f ca="1">+VLOOKUP($A177,INDIRECT(Adrese!B$2),7,FALSE)</f>
        <v>0.48672566371681408</v>
      </c>
      <c r="AY177" s="4">
        <f ca="1">+VLOOKUP($A177,INDIRECT(Adrese!C$2),7,FALSE)</f>
        <v>0.55309734513274333</v>
      </c>
      <c r="AZ177" s="4">
        <f ca="1">+VLOOKUP($A177,INDIRECT(Adrese!D$2),7,FALSE)</f>
        <v>0.52212389380530977</v>
      </c>
      <c r="BA177" s="4">
        <f ca="1">+VLOOKUP($A177,INDIRECT(Adrese!E$2),7,FALSE)</f>
        <v>0.50442477876106195</v>
      </c>
      <c r="BB177" s="4">
        <f ca="1">+VLOOKUP($A177,INDIRECT(Adrese!F$2),7,FALSE)</f>
        <v>0.5</v>
      </c>
      <c r="BC177" s="4" t="str">
        <f t="shared" ca="1" si="48"/>
        <v>0.51 (0.03)</v>
      </c>
      <c r="BD177">
        <f t="shared" ca="1" si="59"/>
        <v>0.51327433628318586</v>
      </c>
      <c r="BE177" s="4">
        <f t="shared" ca="1" si="49"/>
        <v>2.5610258634491661E-2</v>
      </c>
      <c r="BG177" t="s">
        <v>225</v>
      </c>
      <c r="BH177" s="4">
        <f ca="1">+VLOOKUP($BG177,INDIRECT(Adrese!B$2),8,FALSE)</f>
        <v>4.0615825064954002E-2</v>
      </c>
      <c r="BI177" s="4">
        <f ca="1">+VLOOKUP($BG177,INDIRECT(Adrese!C$2),8,FALSE)</f>
        <v>4.0670346673485361E-2</v>
      </c>
      <c r="BJ177" s="4">
        <f ca="1">+VLOOKUP($BG177,INDIRECT(Adrese!D$2),8,FALSE)</f>
        <v>4.1467071430480597E-2</v>
      </c>
      <c r="BK177" s="4">
        <f ca="1">+VLOOKUP($BG177,INDIRECT(Adrese!E$2),8,FALSE)</f>
        <v>4.0538727882592197E-2</v>
      </c>
      <c r="BL177" s="4">
        <f ca="1">+VLOOKUP($BG177,INDIRECT(Adrese!F$2),8,FALSE)</f>
        <v>4.0181884457248643E-2</v>
      </c>
      <c r="BM177" s="4" t="str">
        <f t="shared" ca="1" si="50"/>
        <v>0.04 (0.00)</v>
      </c>
      <c r="BN177" s="4">
        <f t="shared" ca="1" si="60"/>
        <v>4.069477110175216E-2</v>
      </c>
      <c r="BO177" s="4">
        <f t="shared" ca="1" si="51"/>
        <v>4.7187896317070255E-4</v>
      </c>
      <c r="BQ177" t="s">
        <v>225</v>
      </c>
      <c r="BR177" s="4">
        <f ca="1">+VLOOKUP($BG177,INDIRECT(Adrese!B$2),9,FALSE)</f>
        <v>1.9240908786438211E-2</v>
      </c>
      <c r="BS177" s="4">
        <f ca="1">+VLOOKUP($BG177,INDIRECT(Adrese!C$2),9,FALSE)</f>
        <v>2.0534469763383668E-2</v>
      </c>
      <c r="BT177" s="4">
        <f ca="1">+VLOOKUP($BG177,INDIRECT(Adrese!D$2),9,FALSE)</f>
        <v>2.1203405422375671E-2</v>
      </c>
      <c r="BU177" s="4">
        <f ca="1">+VLOOKUP($BG177,INDIRECT(Adrese!E$2),9,FALSE)</f>
        <v>2.0520371364879969E-2</v>
      </c>
      <c r="BV177" s="4">
        <f ca="1">+VLOOKUP($BG177,INDIRECT(Adrese!F$2),9,FALSE)</f>
        <v>2.2069705783410509E-2</v>
      </c>
      <c r="BW177" s="4" t="str">
        <f t="shared" ca="1" si="52"/>
        <v>0.02 (0.00)</v>
      </c>
      <c r="BX177" s="4">
        <f t="shared" ca="1" si="61"/>
        <v>2.0713772224097607E-2</v>
      </c>
      <c r="BY177" s="4">
        <f t="shared" ca="1" si="53"/>
        <v>1.0388908095758918E-3</v>
      </c>
    </row>
    <row r="178" spans="1:77" x14ac:dyDescent="0.25">
      <c r="A178" t="s">
        <v>226</v>
      </c>
      <c r="B178" s="11">
        <f ca="1">+VLOOKUP($A178,INDIRECT(Adrese!B$2),2,FALSE)</f>
        <v>171</v>
      </c>
      <c r="C178" s="11">
        <f ca="1">+VLOOKUP($A178,INDIRECT(Adrese!C$2),2,FALSE)</f>
        <v>135</v>
      </c>
      <c r="D178" s="11">
        <f ca="1">+VLOOKUP($A178,INDIRECT(Adrese!D$2),2,FALSE)</f>
        <v>158</v>
      </c>
      <c r="E178" s="11">
        <f ca="1">+VLOOKUP($A178,INDIRECT(Adrese!E$2),2,FALSE)</f>
        <v>145</v>
      </c>
      <c r="F178" s="11">
        <f ca="1">+VLOOKUP($A178,INDIRECT(Adrese!F$2),2,FALSE)</f>
        <v>143</v>
      </c>
      <c r="G178" s="4">
        <f t="shared" ca="1" si="54"/>
        <v>150.4</v>
      </c>
      <c r="J178" t="s">
        <v>226</v>
      </c>
      <c r="K178">
        <f ca="1">+VLOOKUP($A178,INDIRECT(Adrese!B$2),3,FALSE)</f>
        <v>127</v>
      </c>
      <c r="L178">
        <f ca="1">+VLOOKUP($A178,INDIRECT(Adrese!C$2),3,FALSE)</f>
        <v>118</v>
      </c>
      <c r="M178">
        <f ca="1">+VLOOKUP($A178,INDIRECT(Adrese!D$2),3,FALSE)</f>
        <v>134</v>
      </c>
      <c r="N178">
        <f ca="1">+VLOOKUP($A178,INDIRECT(Adrese!E$2),3,FALSE)</f>
        <v>125</v>
      </c>
      <c r="O178">
        <f ca="1">+VLOOKUP($A178,INDIRECT(Adrese!F$2),3,FALSE)</f>
        <v>127</v>
      </c>
      <c r="P178">
        <f t="shared" ca="1" si="44"/>
        <v>631</v>
      </c>
      <c r="Q178" s="4">
        <f t="shared" ca="1" si="55"/>
        <v>126.2</v>
      </c>
      <c r="R178" s="4"/>
      <c r="T178" t="s">
        <v>226</v>
      </c>
      <c r="U178">
        <f ca="1">+VLOOKUP($T178,INDIRECT(Adrese!B$2),4,FALSE)</f>
        <v>91949</v>
      </c>
      <c r="V178">
        <f ca="1">+VLOOKUP($T178,INDIRECT(Adrese!C$2),4,FALSE)</f>
        <v>94205</v>
      </c>
      <c r="W178">
        <f ca="1">+VLOOKUP($T178,INDIRECT(Adrese!D$2),4,FALSE)</f>
        <v>93098</v>
      </c>
      <c r="X178">
        <f ca="1">+VLOOKUP($T178,INDIRECT(Adrese!E$2),4,FALSE)</f>
        <v>93962</v>
      </c>
      <c r="Y178">
        <f ca="1">+VLOOKUP($T178,INDIRECT(Adrese!F$2),4,FALSE)</f>
        <v>93897</v>
      </c>
      <c r="Z178">
        <f t="shared" ca="1" si="45"/>
        <v>467111</v>
      </c>
      <c r="AA178" s="4">
        <f t="shared" ca="1" si="56"/>
        <v>93422.2</v>
      </c>
      <c r="AC178" t="s">
        <v>226</v>
      </c>
      <c r="AD178">
        <f ca="1">+VLOOKUP($A178,INDIRECT(Adrese!B$2),5,FALSE)</f>
        <v>18583</v>
      </c>
      <c r="AE178">
        <f ca="1">+VLOOKUP($A178,INDIRECT(Adrese!C$2),5,FALSE)</f>
        <v>20147</v>
      </c>
      <c r="AF178">
        <f ca="1">+VLOOKUP($A178,INDIRECT(Adrese!D$2),5,FALSE)</f>
        <v>19061</v>
      </c>
      <c r="AG178">
        <f ca="1">+VLOOKUP($A178,INDIRECT(Adrese!E$2),5,FALSE)</f>
        <v>19560</v>
      </c>
      <c r="AH178">
        <f ca="1">+VLOOKUP($A178,INDIRECT(Adrese!F$2),5,FALSE)</f>
        <v>19982</v>
      </c>
      <c r="AI178" s="4">
        <f t="shared" ca="1" si="57"/>
        <v>19466.599999999999</v>
      </c>
      <c r="AJ178" s="4"/>
      <c r="AK178" s="4"/>
      <c r="AM178" t="s">
        <v>226</v>
      </c>
      <c r="AN178" s="4">
        <f ca="1">+VLOOKUP($A178,INDIRECT(Adrese!B$2),6,FALSE)</f>
        <v>0.41066371681415931</v>
      </c>
      <c r="AO178" s="4">
        <f ca="1">+VLOOKUP($A178,INDIRECT(Adrese!C$2),6,FALSE)</f>
        <v>0.44535398230088502</v>
      </c>
      <c r="AP178" s="4">
        <f ca="1">+VLOOKUP($A178,INDIRECT(Adrese!D$2),6,FALSE)</f>
        <v>0.42119469026548673</v>
      </c>
      <c r="AQ178" s="4">
        <f ca="1">+VLOOKUP($A178,INDIRECT(Adrese!E$2),6,FALSE)</f>
        <v>0.43236725663716807</v>
      </c>
      <c r="AR178" s="4">
        <f ca="1">+VLOOKUP($A178,INDIRECT(Adrese!F$2),6,FALSE)</f>
        <v>0.44168141592920351</v>
      </c>
      <c r="AS178" s="4" t="str">
        <f t="shared" ca="1" si="46"/>
        <v>0.43 (0.01)</v>
      </c>
      <c r="AT178" s="4">
        <f t="shared" ca="1" si="58"/>
        <v>0.4302522123893805</v>
      </c>
      <c r="AU178" s="4">
        <f t="shared" ca="1" si="47"/>
        <v>1.439541095375633E-2</v>
      </c>
      <c r="AW178" t="s">
        <v>226</v>
      </c>
      <c r="AX178" s="4">
        <f ca="1">+VLOOKUP($A178,INDIRECT(Adrese!B$2),7,FALSE)</f>
        <v>0.43805309734513281</v>
      </c>
      <c r="AY178" s="4">
        <f ca="1">+VLOOKUP($A178,INDIRECT(Adrese!C$2),7,FALSE)</f>
        <v>0.47787610619469029</v>
      </c>
      <c r="AZ178" s="4">
        <f ca="1">+VLOOKUP($A178,INDIRECT(Adrese!D$2),7,FALSE)</f>
        <v>0.40707964601769908</v>
      </c>
      <c r="BA178" s="4">
        <f ca="1">+VLOOKUP($A178,INDIRECT(Adrese!E$2),7,FALSE)</f>
        <v>0.44690265486725661</v>
      </c>
      <c r="BB178" s="4">
        <f ca="1">+VLOOKUP($A178,INDIRECT(Adrese!F$2),7,FALSE)</f>
        <v>0.43805309734513281</v>
      </c>
      <c r="BC178" s="4" t="str">
        <f t="shared" ca="1" si="48"/>
        <v>0.44 (0.03)</v>
      </c>
      <c r="BD178">
        <f t="shared" ca="1" si="59"/>
        <v>0.44159292035398234</v>
      </c>
      <c r="BE178" s="4">
        <f t="shared" ca="1" si="49"/>
        <v>2.5302616735390804E-2</v>
      </c>
      <c r="BG178" t="s">
        <v>226</v>
      </c>
      <c r="BH178" s="4">
        <f ca="1">+VLOOKUP($BG178,INDIRECT(Adrese!B$2),8,FALSE)</f>
        <v>6.4493788008720285E-2</v>
      </c>
      <c r="BI178" s="4">
        <f ca="1">+VLOOKUP($BG178,INDIRECT(Adrese!C$2),8,FALSE)</f>
        <v>6.919507824145181E-2</v>
      </c>
      <c r="BJ178" s="4">
        <f ca="1">+VLOOKUP($BG178,INDIRECT(Adrese!D$2),8,FALSE)</f>
        <v>6.5862315873107022E-2</v>
      </c>
      <c r="BK178" s="4">
        <f ca="1">+VLOOKUP($BG178,INDIRECT(Adrese!E$2),8,FALSE)</f>
        <v>6.7620842524313107E-2</v>
      </c>
      <c r="BL178" s="4">
        <f ca="1">+VLOOKUP($BG178,INDIRECT(Adrese!F$2),8,FALSE)</f>
        <v>6.8658203964183928E-2</v>
      </c>
      <c r="BM178" s="4" t="str">
        <f t="shared" ca="1" si="50"/>
        <v>0.07 (0.00)</v>
      </c>
      <c r="BN178" s="4">
        <f t="shared" ca="1" si="60"/>
        <v>6.7166045722355225E-2</v>
      </c>
      <c r="BO178" s="4">
        <f t="shared" ca="1" si="51"/>
        <v>1.9615696598121401E-3</v>
      </c>
      <c r="BQ178" t="s">
        <v>226</v>
      </c>
      <c r="BR178" s="4">
        <f ca="1">+VLOOKUP($BG178,INDIRECT(Adrese!B$2),9,FALSE)</f>
        <v>0.10272962695967799</v>
      </c>
      <c r="BS178" s="4">
        <f ca="1">+VLOOKUP($BG178,INDIRECT(Adrese!C$2),9,FALSE)</f>
        <v>8.80491918284379E-2</v>
      </c>
      <c r="BT178" s="4">
        <f ca="1">+VLOOKUP($BG178,INDIRECT(Adrese!D$2),9,FALSE)</f>
        <v>9.6749313366285519E-2</v>
      </c>
      <c r="BU178" s="4">
        <f ca="1">+VLOOKUP($BG178,INDIRECT(Adrese!E$2),9,FALSE)</f>
        <v>9.3104384069311277E-2</v>
      </c>
      <c r="BV178" s="4">
        <f ca="1">+VLOOKUP($BG178,INDIRECT(Adrese!F$2),9,FALSE)</f>
        <v>9.181349401250842E-2</v>
      </c>
      <c r="BW178" s="4" t="str">
        <f t="shared" ca="1" si="52"/>
        <v>0.09 (0.01)</v>
      </c>
      <c r="BX178" s="4">
        <f t="shared" ca="1" si="61"/>
        <v>9.4489202047244231E-2</v>
      </c>
      <c r="BY178" s="4">
        <f t="shared" ca="1" si="53"/>
        <v>5.5579576250949329E-3</v>
      </c>
    </row>
    <row r="179" spans="1:77" x14ac:dyDescent="0.25">
      <c r="A179" t="s">
        <v>227</v>
      </c>
      <c r="B179" s="11">
        <f ca="1">+VLOOKUP($A179,INDIRECT(Adrese!B$2),2,FALSE)</f>
        <v>225</v>
      </c>
      <c r="C179" s="11">
        <f ca="1">+VLOOKUP($A179,INDIRECT(Adrese!C$2),2,FALSE)</f>
        <v>227</v>
      </c>
      <c r="D179" s="11">
        <f ca="1">+VLOOKUP($A179,INDIRECT(Adrese!D$2),2,FALSE)</f>
        <v>202</v>
      </c>
      <c r="E179" s="11">
        <f ca="1">+VLOOKUP($A179,INDIRECT(Adrese!E$2),2,FALSE)</f>
        <v>224</v>
      </c>
      <c r="F179" s="11">
        <f ca="1">+VLOOKUP($A179,INDIRECT(Adrese!F$2),2,FALSE)</f>
        <v>215</v>
      </c>
      <c r="G179" s="4">
        <f t="shared" ca="1" si="54"/>
        <v>218.6</v>
      </c>
      <c r="J179" t="s">
        <v>227</v>
      </c>
      <c r="K179">
        <f ca="1">+VLOOKUP($A179,INDIRECT(Adrese!B$2),3,FALSE)</f>
        <v>20</v>
      </c>
      <c r="L179">
        <f ca="1">+VLOOKUP($A179,INDIRECT(Adrese!C$2),3,FALSE)</f>
        <v>20</v>
      </c>
      <c r="M179">
        <f ca="1">+VLOOKUP($A179,INDIRECT(Adrese!D$2),3,FALSE)</f>
        <v>24</v>
      </c>
      <c r="N179">
        <f ca="1">+VLOOKUP($A179,INDIRECT(Adrese!E$2),3,FALSE)</f>
        <v>15</v>
      </c>
      <c r="O179">
        <f ca="1">+VLOOKUP($A179,INDIRECT(Adrese!F$2),3,FALSE)</f>
        <v>20</v>
      </c>
      <c r="P179">
        <f t="shared" ca="1" si="44"/>
        <v>99</v>
      </c>
      <c r="Q179" s="4">
        <f t="shared" ca="1" si="55"/>
        <v>19.8</v>
      </c>
      <c r="R179" s="4"/>
      <c r="T179" t="s">
        <v>227</v>
      </c>
      <c r="U179">
        <f ca="1">+VLOOKUP($T179,INDIRECT(Adrese!B$2),4,FALSE)</f>
        <v>85434</v>
      </c>
      <c r="V179">
        <f ca="1">+VLOOKUP($T179,INDIRECT(Adrese!C$2),4,FALSE)</f>
        <v>85869</v>
      </c>
      <c r="W179">
        <f ca="1">+VLOOKUP($T179,INDIRECT(Adrese!D$2),4,FALSE)</f>
        <v>88147</v>
      </c>
      <c r="X179">
        <f ca="1">+VLOOKUP($T179,INDIRECT(Adrese!E$2),4,FALSE)</f>
        <v>86209</v>
      </c>
      <c r="Y179">
        <f ca="1">+VLOOKUP($T179,INDIRECT(Adrese!F$2),4,FALSE)</f>
        <v>87190</v>
      </c>
      <c r="Z179">
        <f t="shared" ca="1" si="45"/>
        <v>432849</v>
      </c>
      <c r="AA179" s="4">
        <f t="shared" ca="1" si="56"/>
        <v>86569.8</v>
      </c>
      <c r="AC179" t="s">
        <v>227</v>
      </c>
      <c r="AD179">
        <f ca="1">+VLOOKUP($A179,INDIRECT(Adrese!B$2),5,FALSE)</f>
        <v>40624</v>
      </c>
      <c r="AE179">
        <f ca="1">+VLOOKUP($A179,INDIRECT(Adrese!C$2),5,FALSE)</f>
        <v>40663</v>
      </c>
      <c r="AF179">
        <f ca="1">+VLOOKUP($A179,INDIRECT(Adrese!D$2),5,FALSE)</f>
        <v>40704</v>
      </c>
      <c r="AG179">
        <f ca="1">+VLOOKUP($A179,INDIRECT(Adrese!E$2),5,FALSE)</f>
        <v>40547</v>
      </c>
      <c r="AH179">
        <f ca="1">+VLOOKUP($A179,INDIRECT(Adrese!F$2),5,FALSE)</f>
        <v>40570</v>
      </c>
      <c r="AI179" s="4">
        <f t="shared" ca="1" si="57"/>
        <v>40621.599999999999</v>
      </c>
      <c r="AJ179" s="4"/>
      <c r="AK179" s="4"/>
      <c r="AM179" t="s">
        <v>227</v>
      </c>
      <c r="AN179" s="4">
        <f ca="1">+VLOOKUP($A179,INDIRECT(Adrese!B$2),6,FALSE)</f>
        <v>0.89482300884955757</v>
      </c>
      <c r="AO179" s="4">
        <f ca="1">+VLOOKUP($A179,INDIRECT(Adrese!C$2),6,FALSE)</f>
        <v>0.89577433628318581</v>
      </c>
      <c r="AP179" s="4">
        <f ca="1">+VLOOKUP($A179,INDIRECT(Adrese!D$2),6,FALSE)</f>
        <v>0.89668141592920358</v>
      </c>
      <c r="AQ179" s="4">
        <f ca="1">+VLOOKUP($A179,INDIRECT(Adrese!E$2),6,FALSE)</f>
        <v>0.89311946902654871</v>
      </c>
      <c r="AR179" s="4">
        <f ca="1">+VLOOKUP($A179,INDIRECT(Adrese!F$2),6,FALSE)</f>
        <v>0.89373893805309734</v>
      </c>
      <c r="AS179" s="4" t="str">
        <f t="shared" ca="1" si="46"/>
        <v>0.89 (0.00)</v>
      </c>
      <c r="AT179" s="4">
        <f t="shared" ca="1" si="58"/>
        <v>0.89482743362831862</v>
      </c>
      <c r="AU179" s="4">
        <f t="shared" ca="1" si="47"/>
        <v>1.4522276239136624E-3</v>
      </c>
      <c r="AW179" t="s">
        <v>227</v>
      </c>
      <c r="AX179" s="4">
        <f ca="1">+VLOOKUP($A179,INDIRECT(Adrese!B$2),7,FALSE)</f>
        <v>0.91150442477876104</v>
      </c>
      <c r="AY179" s="4">
        <f ca="1">+VLOOKUP($A179,INDIRECT(Adrese!C$2),7,FALSE)</f>
        <v>0.91150442477876104</v>
      </c>
      <c r="AZ179" s="4">
        <f ca="1">+VLOOKUP($A179,INDIRECT(Adrese!D$2),7,FALSE)</f>
        <v>0.89380530973451322</v>
      </c>
      <c r="BA179" s="4">
        <f ca="1">+VLOOKUP($A179,INDIRECT(Adrese!E$2),7,FALSE)</f>
        <v>0.9336283185840708</v>
      </c>
      <c r="BB179" s="4">
        <f ca="1">+VLOOKUP($A179,INDIRECT(Adrese!F$2),7,FALSE)</f>
        <v>0.91150442477876104</v>
      </c>
      <c r="BC179" s="4" t="str">
        <f t="shared" ca="1" si="48"/>
        <v>0.91 (0.01)</v>
      </c>
      <c r="BD179">
        <f t="shared" ca="1" si="59"/>
        <v>0.9123893805309734</v>
      </c>
      <c r="BE179" s="4">
        <f t="shared" ca="1" si="49"/>
        <v>1.4131610108558705E-2</v>
      </c>
      <c r="BG179" t="s">
        <v>227</v>
      </c>
      <c r="BH179" s="4">
        <f ca="1">+VLOOKUP($BG179,INDIRECT(Adrese!B$2),8,FALSE)</f>
        <v>0.1137344214251086</v>
      </c>
      <c r="BI179" s="4">
        <f ca="1">+VLOOKUP($BG179,INDIRECT(Adrese!C$2),8,FALSE)</f>
        <v>0.11393011711135249</v>
      </c>
      <c r="BJ179" s="4">
        <f ca="1">+VLOOKUP($BG179,INDIRECT(Adrese!D$2),8,FALSE)</f>
        <v>0.1137997974456839</v>
      </c>
      <c r="BK179" s="4">
        <f ca="1">+VLOOKUP($BG179,INDIRECT(Adrese!E$2),8,FALSE)</f>
        <v>0.1135338645075798</v>
      </c>
      <c r="BL179" s="4">
        <f ca="1">+VLOOKUP($BG179,INDIRECT(Adrese!F$2),8,FALSE)</f>
        <v>0.113617225715872</v>
      </c>
      <c r="BM179" s="4" t="str">
        <f t="shared" ca="1" si="50"/>
        <v>0.11 (0.00)</v>
      </c>
      <c r="BN179" s="4">
        <f t="shared" ca="1" si="60"/>
        <v>0.11372308524111936</v>
      </c>
      <c r="BO179" s="4">
        <f t="shared" ca="1" si="51"/>
        <v>1.548274780002453E-4</v>
      </c>
      <c r="BQ179" t="s">
        <v>227</v>
      </c>
      <c r="BR179" s="4">
        <f ca="1">+VLOOKUP($BG179,INDIRECT(Adrese!B$2),9,FALSE)</f>
        <v>-9.4295209556134338E-2</v>
      </c>
      <c r="BS179" s="4">
        <f ca="1">+VLOOKUP($BG179,INDIRECT(Adrese!C$2),9,FALSE)</f>
        <v>-9.5149243923210669E-2</v>
      </c>
      <c r="BT179" s="4">
        <f ca="1">+VLOOKUP($BG179,INDIRECT(Adrese!D$2),9,FALSE)</f>
        <v>-9.644873234801149E-2</v>
      </c>
      <c r="BU179" s="4">
        <f ca="1">+VLOOKUP($BG179,INDIRECT(Adrese!E$2),9,FALSE)</f>
        <v>-9.537952720355998E-2</v>
      </c>
      <c r="BV179" s="4">
        <f ca="1">+VLOOKUP($BG179,INDIRECT(Adrese!F$2),9,FALSE)</f>
        <v>-9.5951132465055766E-2</v>
      </c>
      <c r="BW179" s="4" t="str">
        <f t="shared" ca="1" si="52"/>
        <v>-0.10 (0.00)</v>
      </c>
      <c r="BX179" s="4">
        <f t="shared" ca="1" si="61"/>
        <v>-9.5444769099194443E-2</v>
      </c>
      <c r="BY179" s="4">
        <f t="shared" ca="1" si="53"/>
        <v>8.1814192547632956E-4</v>
      </c>
    </row>
    <row r="180" spans="1:77" x14ac:dyDescent="0.25">
      <c r="A180" t="s">
        <v>228</v>
      </c>
      <c r="B180" s="11">
        <f ca="1">+VLOOKUP($A180,INDIRECT(Adrese!B$2),2,FALSE)</f>
        <v>187</v>
      </c>
      <c r="C180" s="11">
        <f ca="1">+VLOOKUP($A180,INDIRECT(Adrese!C$2),2,FALSE)</f>
        <v>179</v>
      </c>
      <c r="D180" s="11">
        <f ca="1">+VLOOKUP($A180,INDIRECT(Adrese!D$2),2,FALSE)</f>
        <v>192</v>
      </c>
      <c r="E180" s="11">
        <f ca="1">+VLOOKUP($A180,INDIRECT(Adrese!E$2),2,FALSE)</f>
        <v>178</v>
      </c>
      <c r="F180" s="11">
        <f ca="1">+VLOOKUP($A180,INDIRECT(Adrese!F$2),2,FALSE)</f>
        <v>181</v>
      </c>
      <c r="G180" s="4">
        <f t="shared" ca="1" si="54"/>
        <v>183.4</v>
      </c>
      <c r="J180" t="s">
        <v>228</v>
      </c>
      <c r="K180">
        <f ca="1">+VLOOKUP($A180,INDIRECT(Adrese!B$2),3,FALSE)</f>
        <v>91</v>
      </c>
      <c r="L180">
        <f ca="1">+VLOOKUP($A180,INDIRECT(Adrese!C$2),3,FALSE)</f>
        <v>88</v>
      </c>
      <c r="M180">
        <f ca="1">+VLOOKUP($A180,INDIRECT(Adrese!D$2),3,FALSE)</f>
        <v>85</v>
      </c>
      <c r="N180">
        <f ca="1">+VLOOKUP($A180,INDIRECT(Adrese!E$2),3,FALSE)</f>
        <v>94</v>
      </c>
      <c r="O180">
        <f ca="1">+VLOOKUP($A180,INDIRECT(Adrese!F$2),3,FALSE)</f>
        <v>85</v>
      </c>
      <c r="P180">
        <f t="shared" ca="1" si="44"/>
        <v>443</v>
      </c>
      <c r="Q180" s="4">
        <f t="shared" ca="1" si="55"/>
        <v>88.6</v>
      </c>
      <c r="R180" s="4"/>
      <c r="T180" t="s">
        <v>228</v>
      </c>
      <c r="U180">
        <f ca="1">+VLOOKUP($T180,INDIRECT(Adrese!B$2),4,FALSE)</f>
        <v>90228</v>
      </c>
      <c r="V180">
        <f ca="1">+VLOOKUP($T180,INDIRECT(Adrese!C$2),4,FALSE)</f>
        <v>90906</v>
      </c>
      <c r="W180">
        <f ca="1">+VLOOKUP($T180,INDIRECT(Adrese!D$2),4,FALSE)</f>
        <v>89299</v>
      </c>
      <c r="X180">
        <f ca="1">+VLOOKUP($T180,INDIRECT(Adrese!E$2),4,FALSE)</f>
        <v>91121</v>
      </c>
      <c r="Y180">
        <f ca="1">+VLOOKUP($T180,INDIRECT(Adrese!F$2),4,FALSE)</f>
        <v>90551</v>
      </c>
      <c r="Z180">
        <f t="shared" ca="1" si="45"/>
        <v>452105</v>
      </c>
      <c r="AA180" s="4">
        <f t="shared" ca="1" si="56"/>
        <v>90421</v>
      </c>
      <c r="AC180" t="s">
        <v>228</v>
      </c>
      <c r="AD180">
        <f ca="1">+VLOOKUP($A180,INDIRECT(Adrese!B$2),5,FALSE)</f>
        <v>22655</v>
      </c>
      <c r="AE180">
        <f ca="1">+VLOOKUP($A180,INDIRECT(Adrese!C$2),5,FALSE)</f>
        <v>22846</v>
      </c>
      <c r="AF180">
        <f ca="1">+VLOOKUP($A180,INDIRECT(Adrese!D$2),5,FALSE)</f>
        <v>22400</v>
      </c>
      <c r="AG180">
        <f ca="1">+VLOOKUP($A180,INDIRECT(Adrese!E$2),5,FALSE)</f>
        <v>23057</v>
      </c>
      <c r="AH180">
        <f ca="1">+VLOOKUP($A180,INDIRECT(Adrese!F$2),5,FALSE)</f>
        <v>23029</v>
      </c>
      <c r="AI180" s="4">
        <f t="shared" ca="1" si="57"/>
        <v>22797.4</v>
      </c>
      <c r="AJ180" s="4"/>
      <c r="AK180" s="4"/>
      <c r="AM180" t="s">
        <v>228</v>
      </c>
      <c r="AN180" s="4">
        <f ca="1">+VLOOKUP($A180,INDIRECT(Adrese!B$2),6,FALSE)</f>
        <v>0.49909292035398228</v>
      </c>
      <c r="AO180" s="4">
        <f ca="1">+VLOOKUP($A180,INDIRECT(Adrese!C$2),6,FALSE)</f>
        <v>0.50323008849557527</v>
      </c>
      <c r="AP180" s="4">
        <f ca="1">+VLOOKUP($A180,INDIRECT(Adrese!D$2),6,FALSE)</f>
        <v>0.49303097345132751</v>
      </c>
      <c r="AQ180" s="4">
        <f ca="1">+VLOOKUP($A180,INDIRECT(Adrese!E$2),6,FALSE)</f>
        <v>0.50761061946902652</v>
      </c>
      <c r="AR180" s="4">
        <f ca="1">+VLOOKUP($A180,INDIRECT(Adrese!F$2),6,FALSE)</f>
        <v>0.50756637168141594</v>
      </c>
      <c r="AS180" s="4" t="str">
        <f t="shared" ca="1" si="46"/>
        <v>0.50 (0.01)</v>
      </c>
      <c r="AT180" s="4">
        <f t="shared" ca="1" si="58"/>
        <v>0.50210619469026552</v>
      </c>
      <c r="AU180" s="4">
        <f t="shared" ca="1" si="47"/>
        <v>6.1809146767835841E-3</v>
      </c>
      <c r="AW180" t="s">
        <v>228</v>
      </c>
      <c r="AX180" s="4">
        <f ca="1">+VLOOKUP($A180,INDIRECT(Adrese!B$2),7,FALSE)</f>
        <v>0.59734513274336287</v>
      </c>
      <c r="AY180" s="4">
        <f ca="1">+VLOOKUP($A180,INDIRECT(Adrese!C$2),7,FALSE)</f>
        <v>0.61061946902654862</v>
      </c>
      <c r="AZ180" s="4">
        <f ca="1">+VLOOKUP($A180,INDIRECT(Adrese!D$2),7,FALSE)</f>
        <v>0.62389380530973448</v>
      </c>
      <c r="BA180" s="4">
        <f ca="1">+VLOOKUP($A180,INDIRECT(Adrese!E$2),7,FALSE)</f>
        <v>0.58407079646017701</v>
      </c>
      <c r="BB180" s="4">
        <f ca="1">+VLOOKUP($A180,INDIRECT(Adrese!F$2),7,FALSE)</f>
        <v>0.62389380530973448</v>
      </c>
      <c r="BC180" s="4" t="str">
        <f t="shared" ca="1" si="48"/>
        <v>0.61 (0.02)</v>
      </c>
      <c r="BD180">
        <f t="shared" ca="1" si="59"/>
        <v>0.60796460176991152</v>
      </c>
      <c r="BE180" s="4">
        <f t="shared" ca="1" si="49"/>
        <v>1.7307617004962757E-2</v>
      </c>
      <c r="BG180" t="s">
        <v>228</v>
      </c>
      <c r="BH180" s="4">
        <f ca="1">+VLOOKUP($BG180,INDIRECT(Adrese!B$2),8,FALSE)</f>
        <v>6.3668980133077008E-2</v>
      </c>
      <c r="BI180" s="4">
        <f ca="1">+VLOOKUP($BG180,INDIRECT(Adrese!C$2),8,FALSE)</f>
        <v>6.3450764849559388E-2</v>
      </c>
      <c r="BJ180" s="4">
        <f ca="1">+VLOOKUP($BG180,INDIRECT(Adrese!D$2),8,FALSE)</f>
        <v>6.2994058219934854E-2</v>
      </c>
      <c r="BK180" s="4">
        <f ca="1">+VLOOKUP($BG180,INDIRECT(Adrese!E$2),8,FALSE)</f>
        <v>6.4313775199325393E-2</v>
      </c>
      <c r="BL180" s="4">
        <f ca="1">+VLOOKUP($BG180,INDIRECT(Adrese!F$2),8,FALSE)</f>
        <v>6.497036868430095E-2</v>
      </c>
      <c r="BM180" s="4" t="str">
        <f t="shared" ca="1" si="50"/>
        <v>0.06 (0.00)</v>
      </c>
      <c r="BN180" s="4">
        <f t="shared" ca="1" si="60"/>
        <v>6.3879589417239521E-2</v>
      </c>
      <c r="BO180" s="4">
        <f t="shared" ca="1" si="51"/>
        <v>7.730991179399193E-4</v>
      </c>
      <c r="BQ180" t="s">
        <v>228</v>
      </c>
      <c r="BR180" s="4">
        <f ca="1">+VLOOKUP($BG180,INDIRECT(Adrese!B$2),9,FALSE)</f>
        <v>2.1270849335982469E-3</v>
      </c>
      <c r="BS180" s="4">
        <f ca="1">+VLOOKUP($BG180,INDIRECT(Adrese!C$2),9,FALSE)</f>
        <v>-3.6325051490848849E-3</v>
      </c>
      <c r="BT180" s="4">
        <f ca="1">+VLOOKUP($BG180,INDIRECT(Adrese!D$2),9,FALSE)</f>
        <v>2.9235390813701452E-3</v>
      </c>
      <c r="BU180" s="4">
        <f ca="1">+VLOOKUP($BG180,INDIRECT(Adrese!E$2),9,FALSE)</f>
        <v>-3.8907545682147372E-3</v>
      </c>
      <c r="BV180" s="4">
        <f ca="1">+VLOOKUP($BG180,INDIRECT(Adrese!F$2),9,FALSE)</f>
        <v>-2.300821803402184E-3</v>
      </c>
      <c r="BW180" s="4" t="str">
        <f t="shared" ca="1" si="52"/>
        <v>0.00 (0.00)</v>
      </c>
      <c r="BX180" s="4">
        <f t="shared" ca="1" si="61"/>
        <v>-9.5469150114668266E-4</v>
      </c>
      <c r="BY180" s="4">
        <f t="shared" ca="1" si="53"/>
        <v>3.2458141314026918E-3</v>
      </c>
    </row>
    <row r="181" spans="1:77" x14ac:dyDescent="0.25">
      <c r="A181" t="s">
        <v>229</v>
      </c>
      <c r="B181" s="11">
        <f ca="1">+VLOOKUP($A181,INDIRECT(Adrese!B$2),2,FALSE)</f>
        <v>153</v>
      </c>
      <c r="C181" s="11">
        <f ca="1">+VLOOKUP($A181,INDIRECT(Adrese!C$2),2,FALSE)</f>
        <v>141</v>
      </c>
      <c r="D181" s="11">
        <f ca="1">+VLOOKUP($A181,INDIRECT(Adrese!D$2),2,FALSE)</f>
        <v>144</v>
      </c>
      <c r="E181" s="11">
        <f ca="1">+VLOOKUP($A181,INDIRECT(Adrese!E$2),2,FALSE)</f>
        <v>169</v>
      </c>
      <c r="F181" s="11">
        <f ca="1">+VLOOKUP($A181,INDIRECT(Adrese!F$2),2,FALSE)</f>
        <v>171</v>
      </c>
      <c r="G181" s="4">
        <f t="shared" ca="1" si="54"/>
        <v>155.6</v>
      </c>
      <c r="J181" t="s">
        <v>229</v>
      </c>
      <c r="K181">
        <f ca="1">+VLOOKUP($A181,INDIRECT(Adrese!B$2),3,FALSE)</f>
        <v>136</v>
      </c>
      <c r="L181">
        <f ca="1">+VLOOKUP($A181,INDIRECT(Adrese!C$2),3,FALSE)</f>
        <v>143</v>
      </c>
      <c r="M181">
        <f ca="1">+VLOOKUP($A181,INDIRECT(Adrese!D$2),3,FALSE)</f>
        <v>130</v>
      </c>
      <c r="N181">
        <f ca="1">+VLOOKUP($A181,INDIRECT(Adrese!E$2),3,FALSE)</f>
        <v>143</v>
      </c>
      <c r="O181">
        <f ca="1">+VLOOKUP($A181,INDIRECT(Adrese!F$2),3,FALSE)</f>
        <v>145</v>
      </c>
      <c r="P181">
        <f t="shared" ca="1" si="44"/>
        <v>697</v>
      </c>
      <c r="Q181" s="4">
        <f t="shared" ca="1" si="55"/>
        <v>139.4</v>
      </c>
      <c r="R181" s="4"/>
      <c r="T181" t="s">
        <v>229</v>
      </c>
      <c r="U181">
        <f ca="1">+VLOOKUP($T181,INDIRECT(Adrese!B$2),4,FALSE)</f>
        <v>93160</v>
      </c>
      <c r="V181">
        <f ca="1">+VLOOKUP($T181,INDIRECT(Adrese!C$2),4,FALSE)</f>
        <v>93931</v>
      </c>
      <c r="W181">
        <f ca="1">+VLOOKUP($T181,INDIRECT(Adrese!D$2),4,FALSE)</f>
        <v>93943</v>
      </c>
      <c r="X181">
        <f ca="1">+VLOOKUP($T181,INDIRECT(Adrese!E$2),4,FALSE)</f>
        <v>92148</v>
      </c>
      <c r="Y181">
        <f ca="1">+VLOOKUP($T181,INDIRECT(Adrese!F$2),4,FALSE)</f>
        <v>92281</v>
      </c>
      <c r="Z181">
        <f t="shared" ca="1" si="45"/>
        <v>465463</v>
      </c>
      <c r="AA181" s="4">
        <f t="shared" ca="1" si="56"/>
        <v>93092.6</v>
      </c>
      <c r="AC181" t="s">
        <v>229</v>
      </c>
      <c r="AD181">
        <f ca="1">+VLOOKUP($A181,INDIRECT(Adrese!B$2),5,FALSE)</f>
        <v>18335</v>
      </c>
      <c r="AE181">
        <f ca="1">+VLOOKUP($A181,INDIRECT(Adrese!C$2),5,FALSE)</f>
        <v>18153</v>
      </c>
      <c r="AF181">
        <f ca="1">+VLOOKUP($A181,INDIRECT(Adrese!D$2),5,FALSE)</f>
        <v>18675</v>
      </c>
      <c r="AG181">
        <f ca="1">+VLOOKUP($A181,INDIRECT(Adrese!E$2),5,FALSE)</f>
        <v>17936</v>
      </c>
      <c r="AH181">
        <f ca="1">+VLOOKUP($A181,INDIRECT(Adrese!F$2),5,FALSE)</f>
        <v>17859</v>
      </c>
      <c r="AI181" s="4">
        <f t="shared" ca="1" si="57"/>
        <v>18191.599999999999</v>
      </c>
      <c r="AJ181" s="4"/>
      <c r="AK181" s="4"/>
      <c r="AM181" t="s">
        <v>229</v>
      </c>
      <c r="AN181" s="4">
        <f ca="1">+VLOOKUP($A181,INDIRECT(Adrese!B$2),6,FALSE)</f>
        <v>0.40524336283185841</v>
      </c>
      <c r="AO181" s="4">
        <f ca="1">+VLOOKUP($A181,INDIRECT(Adrese!C$2),6,FALSE)</f>
        <v>0.40123893805309729</v>
      </c>
      <c r="AP181" s="4">
        <f ca="1">+VLOOKUP($A181,INDIRECT(Adrese!D$2),6,FALSE)</f>
        <v>0.41265486725663719</v>
      </c>
      <c r="AQ181" s="4">
        <f ca="1">+VLOOKUP($A181,INDIRECT(Adrese!E$2),6,FALSE)</f>
        <v>0.3964159292035398</v>
      </c>
      <c r="AR181" s="4">
        <f ca="1">+VLOOKUP($A181,INDIRECT(Adrese!F$2),6,FALSE)</f>
        <v>0.39460176991150442</v>
      </c>
      <c r="AS181" s="4" t="str">
        <f t="shared" ca="1" si="46"/>
        <v>0.40 (0.01)</v>
      </c>
      <c r="AT181" s="4">
        <f t="shared" ca="1" si="58"/>
        <v>0.40203097345132743</v>
      </c>
      <c r="AU181" s="4">
        <f t="shared" ca="1" si="47"/>
        <v>7.2549237130970006E-3</v>
      </c>
      <c r="AW181" t="s">
        <v>229</v>
      </c>
      <c r="AX181" s="4">
        <f ca="1">+VLOOKUP($A181,INDIRECT(Adrese!B$2),7,FALSE)</f>
        <v>0.39823008849557517</v>
      </c>
      <c r="AY181" s="4">
        <f ca="1">+VLOOKUP($A181,INDIRECT(Adrese!C$2),7,FALSE)</f>
        <v>0.36725663716814161</v>
      </c>
      <c r="AZ181" s="4">
        <f ca="1">+VLOOKUP($A181,INDIRECT(Adrese!D$2),7,FALSE)</f>
        <v>0.4247787610619469</v>
      </c>
      <c r="BA181" s="4">
        <f ca="1">+VLOOKUP($A181,INDIRECT(Adrese!E$2),7,FALSE)</f>
        <v>0.36725663716814161</v>
      </c>
      <c r="BB181" s="4">
        <f ca="1">+VLOOKUP($A181,INDIRECT(Adrese!F$2),7,FALSE)</f>
        <v>0.3584070796460177</v>
      </c>
      <c r="BC181" s="4" t="str">
        <f t="shared" ca="1" si="48"/>
        <v>0.38 (0.03)</v>
      </c>
      <c r="BD181">
        <f t="shared" ca="1" si="59"/>
        <v>0.38318584070796458</v>
      </c>
      <c r="BE181" s="4">
        <f t="shared" ca="1" si="49"/>
        <v>2.7738810652491099E-2</v>
      </c>
      <c r="BG181" t="s">
        <v>229</v>
      </c>
      <c r="BH181" s="4">
        <f ca="1">+VLOOKUP($BG181,INDIRECT(Adrese!B$2),8,FALSE)</f>
        <v>6.3438558481237931E-2</v>
      </c>
      <c r="BI181" s="4">
        <f ca="1">+VLOOKUP($BG181,INDIRECT(Adrese!C$2),8,FALSE)</f>
        <v>6.3469509289481321E-2</v>
      </c>
      <c r="BJ181" s="4">
        <f ca="1">+VLOOKUP($BG181,INDIRECT(Adrese!D$2),8,FALSE)</f>
        <v>6.5358785847716927E-2</v>
      </c>
      <c r="BK181" s="4">
        <f ca="1">+VLOOKUP($BG181,INDIRECT(Adrese!E$2),8,FALSE)</f>
        <v>6.2384356235643638E-2</v>
      </c>
      <c r="BL181" s="4">
        <f ca="1">+VLOOKUP($BG181,INDIRECT(Adrese!F$2),8,FALSE)</f>
        <v>6.2122728039790971E-2</v>
      </c>
      <c r="BM181" s="4" t="str">
        <f t="shared" ca="1" si="50"/>
        <v>0.06 (0.00)</v>
      </c>
      <c r="BN181" s="4">
        <f t="shared" ca="1" si="60"/>
        <v>6.3354787578774149E-2</v>
      </c>
      <c r="BO181" s="4">
        <f t="shared" ca="1" si="51"/>
        <v>1.2743523253267081E-3</v>
      </c>
      <c r="BQ181" t="s">
        <v>229</v>
      </c>
      <c r="BR181" s="4">
        <f ca="1">+VLOOKUP($BG181,INDIRECT(Adrese!B$2),9,FALSE)</f>
        <v>0.1022728113063924</v>
      </c>
      <c r="BS181" s="4">
        <f ca="1">+VLOOKUP($BG181,INDIRECT(Adrese!C$2),9,FALSE)</f>
        <v>0.1052678326501276</v>
      </c>
      <c r="BT181" s="4">
        <f ca="1">+VLOOKUP($BG181,INDIRECT(Adrese!D$2),9,FALSE)</f>
        <v>0.1049546314547371</v>
      </c>
      <c r="BU181" s="4">
        <f ca="1">+VLOOKUP($BG181,INDIRECT(Adrese!E$2),9,FALSE)</f>
        <v>0.1062039621900541</v>
      </c>
      <c r="BV181" s="4">
        <f ca="1">+VLOOKUP($BG181,INDIRECT(Adrese!F$2),9,FALSE)</f>
        <v>0.1106628139507954</v>
      </c>
      <c r="BW181" s="4" t="str">
        <f t="shared" ca="1" si="52"/>
        <v>0.11 (0.00)</v>
      </c>
      <c r="BX181" s="4">
        <f t="shared" ca="1" si="61"/>
        <v>0.10587241031042131</v>
      </c>
      <c r="BY181" s="4">
        <f t="shared" ca="1" si="53"/>
        <v>3.05052613706515E-3</v>
      </c>
    </row>
    <row r="182" spans="1:77" x14ac:dyDescent="0.25">
      <c r="A182" t="s">
        <v>230</v>
      </c>
      <c r="B182" s="11">
        <f ca="1">+VLOOKUP($A182,INDIRECT(Adrese!B$2),2,FALSE)</f>
        <v>166</v>
      </c>
      <c r="C182" s="11">
        <f ca="1">+VLOOKUP($A182,INDIRECT(Adrese!C$2),2,FALSE)</f>
        <v>153</v>
      </c>
      <c r="D182" s="11">
        <f ca="1">+VLOOKUP($A182,INDIRECT(Adrese!D$2),2,FALSE)</f>
        <v>179</v>
      </c>
      <c r="E182" s="11">
        <f ca="1">+VLOOKUP($A182,INDIRECT(Adrese!E$2),2,FALSE)</f>
        <v>181</v>
      </c>
      <c r="F182" s="11">
        <f ca="1">+VLOOKUP($A182,INDIRECT(Adrese!F$2),2,FALSE)</f>
        <v>176</v>
      </c>
      <c r="G182" s="4">
        <f t="shared" ca="1" si="54"/>
        <v>171</v>
      </c>
      <c r="J182" t="s">
        <v>230</v>
      </c>
      <c r="K182">
        <f ca="1">+VLOOKUP($A182,INDIRECT(Adrese!B$2),3,FALSE)</f>
        <v>108</v>
      </c>
      <c r="L182">
        <f ca="1">+VLOOKUP($A182,INDIRECT(Adrese!C$2),3,FALSE)</f>
        <v>113</v>
      </c>
      <c r="M182">
        <f ca="1">+VLOOKUP($A182,INDIRECT(Adrese!D$2),3,FALSE)</f>
        <v>105</v>
      </c>
      <c r="N182">
        <f ca="1">+VLOOKUP($A182,INDIRECT(Adrese!E$2),3,FALSE)</f>
        <v>97</v>
      </c>
      <c r="O182">
        <f ca="1">+VLOOKUP($A182,INDIRECT(Adrese!F$2),3,FALSE)</f>
        <v>99</v>
      </c>
      <c r="P182">
        <f t="shared" ca="1" si="44"/>
        <v>522</v>
      </c>
      <c r="Q182" s="4">
        <f t="shared" ca="1" si="55"/>
        <v>104.4</v>
      </c>
      <c r="R182" s="4"/>
      <c r="T182" t="s">
        <v>230</v>
      </c>
      <c r="U182">
        <f ca="1">+VLOOKUP($T182,INDIRECT(Adrese!B$2),4,FALSE)</f>
        <v>92451</v>
      </c>
      <c r="V182">
        <f ca="1">+VLOOKUP($T182,INDIRECT(Adrese!C$2),4,FALSE)</f>
        <v>93476</v>
      </c>
      <c r="W182">
        <f ca="1">+VLOOKUP($T182,INDIRECT(Adrese!D$2),4,FALSE)</f>
        <v>91056</v>
      </c>
      <c r="X182">
        <f ca="1">+VLOOKUP($T182,INDIRECT(Adrese!E$2),4,FALSE)</f>
        <v>90738</v>
      </c>
      <c r="Y182">
        <f ca="1">+VLOOKUP($T182,INDIRECT(Adrese!F$2),4,FALSE)</f>
        <v>91810</v>
      </c>
      <c r="Z182">
        <f t="shared" ca="1" si="45"/>
        <v>459531</v>
      </c>
      <c r="AA182" s="4">
        <f t="shared" ca="1" si="56"/>
        <v>91906.2</v>
      </c>
      <c r="AC182" t="s">
        <v>230</v>
      </c>
      <c r="AD182">
        <f ca="1">+VLOOKUP($A182,INDIRECT(Adrese!B$2),5,FALSE)</f>
        <v>19619</v>
      </c>
      <c r="AE182">
        <f ca="1">+VLOOKUP($A182,INDIRECT(Adrese!C$2),5,FALSE)</f>
        <v>19498</v>
      </c>
      <c r="AF182">
        <f ca="1">+VLOOKUP($A182,INDIRECT(Adrese!D$2),5,FALSE)</f>
        <v>19506</v>
      </c>
      <c r="AG182">
        <f ca="1">+VLOOKUP($A182,INDIRECT(Adrese!E$2),5,FALSE)</f>
        <v>19445</v>
      </c>
      <c r="AH182">
        <f ca="1">+VLOOKUP($A182,INDIRECT(Adrese!F$2),5,FALSE)</f>
        <v>19387</v>
      </c>
      <c r="AI182" s="4">
        <f t="shared" ca="1" si="57"/>
        <v>19491</v>
      </c>
      <c r="AJ182" s="4"/>
      <c r="AK182" s="4"/>
      <c r="AM182" t="s">
        <v>230</v>
      </c>
      <c r="AN182" s="4">
        <f ca="1">+VLOOKUP($A182,INDIRECT(Adrese!B$2),6,FALSE)</f>
        <v>0.43223451327433632</v>
      </c>
      <c r="AO182" s="4">
        <f ca="1">+VLOOKUP($A182,INDIRECT(Adrese!C$2),6,FALSE)</f>
        <v>0.42953539823008852</v>
      </c>
      <c r="AP182" s="4">
        <f ca="1">+VLOOKUP($A182,INDIRECT(Adrese!D$2),6,FALSE)</f>
        <v>0.42982300884955749</v>
      </c>
      <c r="AQ182" s="4">
        <f ca="1">+VLOOKUP($A182,INDIRECT(Adrese!E$2),6,FALSE)</f>
        <v>0.42845132743362829</v>
      </c>
      <c r="AR182" s="4">
        <f ca="1">+VLOOKUP($A182,INDIRECT(Adrese!F$2),6,FALSE)</f>
        <v>0.4270796460176991</v>
      </c>
      <c r="AS182" s="4" t="str">
        <f t="shared" ca="1" si="46"/>
        <v>0.43 (0.00)</v>
      </c>
      <c r="AT182" s="4">
        <f t="shared" ca="1" si="58"/>
        <v>0.429424778761062</v>
      </c>
      <c r="AU182" s="4">
        <f t="shared" ca="1" si="47"/>
        <v>1.9047760351463207E-3</v>
      </c>
      <c r="AW182" t="s">
        <v>230</v>
      </c>
      <c r="AX182" s="4">
        <f ca="1">+VLOOKUP($A182,INDIRECT(Adrese!B$2),7,FALSE)</f>
        <v>0.52212389380530977</v>
      </c>
      <c r="AY182" s="4">
        <f ca="1">+VLOOKUP($A182,INDIRECT(Adrese!C$2),7,FALSE)</f>
        <v>0.5</v>
      </c>
      <c r="AZ182" s="4">
        <f ca="1">+VLOOKUP($A182,INDIRECT(Adrese!D$2),7,FALSE)</f>
        <v>0.53539823008849563</v>
      </c>
      <c r="BA182" s="4">
        <f ca="1">+VLOOKUP($A182,INDIRECT(Adrese!E$2),7,FALSE)</f>
        <v>0.57079646017699115</v>
      </c>
      <c r="BB182" s="4">
        <f ca="1">+VLOOKUP($A182,INDIRECT(Adrese!F$2),7,FALSE)</f>
        <v>0.56194690265486724</v>
      </c>
      <c r="BC182" s="4" t="str">
        <f t="shared" ca="1" si="48"/>
        <v>0.54 (0.03)</v>
      </c>
      <c r="BD182">
        <f t="shared" ca="1" si="59"/>
        <v>0.53805309734513274</v>
      </c>
      <c r="BE182" s="4">
        <f t="shared" ca="1" si="49"/>
        <v>2.8947658820878092E-2</v>
      </c>
      <c r="BG182" t="s">
        <v>230</v>
      </c>
      <c r="BH182" s="4">
        <f ca="1">+VLOOKUP($BG182,INDIRECT(Adrese!B$2),8,FALSE)</f>
        <v>5.8537828056745067E-2</v>
      </c>
      <c r="BI182" s="4">
        <f ca="1">+VLOOKUP($BG182,INDIRECT(Adrese!C$2),8,FALSE)</f>
        <v>5.8188865021062117E-2</v>
      </c>
      <c r="BJ182" s="4">
        <f ca="1">+VLOOKUP($BG182,INDIRECT(Adrese!D$2),8,FALSE)</f>
        <v>5.7880739020192987E-2</v>
      </c>
      <c r="BK182" s="4">
        <f ca="1">+VLOOKUP($BG182,INDIRECT(Adrese!E$2),8,FALSE)</f>
        <v>5.7850854044785981E-2</v>
      </c>
      <c r="BL182" s="4">
        <f ca="1">+VLOOKUP($BG182,INDIRECT(Adrese!F$2),8,FALSE)</f>
        <v>5.7920569880031213E-2</v>
      </c>
      <c r="BM182" s="4" t="str">
        <f t="shared" ca="1" si="50"/>
        <v>0.06 (0.00)</v>
      </c>
      <c r="BN182" s="4">
        <f t="shared" ca="1" si="60"/>
        <v>5.8075771204563476E-2</v>
      </c>
      <c r="BO182" s="4">
        <f t="shared" ca="1" si="51"/>
        <v>2.9111830877559801E-4</v>
      </c>
      <c r="BQ182" t="s">
        <v>230</v>
      </c>
      <c r="BR182" s="4">
        <f ca="1">+VLOOKUP($BG182,INDIRECT(Adrese!B$2),9,FALSE)</f>
        <v>4.3363414542510623E-2</v>
      </c>
      <c r="BS182" s="4">
        <f ca="1">+VLOOKUP($BG182,INDIRECT(Adrese!C$2),9,FALSE)</f>
        <v>4.2123154813964572E-2</v>
      </c>
      <c r="BT182" s="4">
        <f ca="1">+VLOOKUP($BG182,INDIRECT(Adrese!D$2),9,FALSE)</f>
        <v>4.087148468631345E-2</v>
      </c>
      <c r="BU182" s="4">
        <f ca="1">+VLOOKUP($BG182,INDIRECT(Adrese!E$2),9,FALSE)</f>
        <v>4.1451954377722949E-2</v>
      </c>
      <c r="BV182" s="4">
        <f ca="1">+VLOOKUP($BG182,INDIRECT(Adrese!F$2),9,FALSE)</f>
        <v>4.3091977539852229E-2</v>
      </c>
      <c r="BW182" s="4" t="str">
        <f t="shared" ca="1" si="52"/>
        <v>0.04 (0.00)</v>
      </c>
      <c r="BX182" s="4">
        <f t="shared" ca="1" si="61"/>
        <v>4.2180397192072769E-2</v>
      </c>
      <c r="BY182" s="4">
        <f t="shared" ca="1" si="53"/>
        <v>1.0580248524086316E-3</v>
      </c>
    </row>
    <row r="183" spans="1:77" x14ac:dyDescent="0.25">
      <c r="A183" t="s">
        <v>231</v>
      </c>
      <c r="B183" s="11">
        <f ca="1">+VLOOKUP($A183,INDIRECT(Adrese!B$2),2,FALSE)</f>
        <v>194</v>
      </c>
      <c r="C183" s="11">
        <f ca="1">+VLOOKUP($A183,INDIRECT(Adrese!C$2),2,FALSE)</f>
        <v>195</v>
      </c>
      <c r="D183" s="11">
        <f ca="1">+VLOOKUP($A183,INDIRECT(Adrese!D$2),2,FALSE)</f>
        <v>194</v>
      </c>
      <c r="E183" s="11">
        <f ca="1">+VLOOKUP($A183,INDIRECT(Adrese!E$2),2,FALSE)</f>
        <v>197</v>
      </c>
      <c r="F183" s="11">
        <f ca="1">+VLOOKUP($A183,INDIRECT(Adrese!F$2),2,FALSE)</f>
        <v>208</v>
      </c>
      <c r="G183" s="4">
        <f t="shared" ca="1" si="54"/>
        <v>197.6</v>
      </c>
      <c r="J183" t="s">
        <v>231</v>
      </c>
      <c r="K183">
        <f ca="1">+VLOOKUP($A183,INDIRECT(Adrese!B$2),3,FALSE)</f>
        <v>56</v>
      </c>
      <c r="L183">
        <f ca="1">+VLOOKUP($A183,INDIRECT(Adrese!C$2),3,FALSE)</f>
        <v>52</v>
      </c>
      <c r="M183">
        <f ca="1">+VLOOKUP($A183,INDIRECT(Adrese!D$2),3,FALSE)</f>
        <v>56</v>
      </c>
      <c r="N183">
        <f ca="1">+VLOOKUP($A183,INDIRECT(Adrese!E$2),3,FALSE)</f>
        <v>53</v>
      </c>
      <c r="O183">
        <f ca="1">+VLOOKUP($A183,INDIRECT(Adrese!F$2),3,FALSE)</f>
        <v>56</v>
      </c>
      <c r="P183">
        <f t="shared" ca="1" si="44"/>
        <v>273</v>
      </c>
      <c r="Q183" s="4">
        <f t="shared" ca="1" si="55"/>
        <v>54.6</v>
      </c>
      <c r="R183" s="4"/>
      <c r="T183" t="s">
        <v>231</v>
      </c>
      <c r="U183">
        <f ca="1">+VLOOKUP($T183,INDIRECT(Adrese!B$2),4,FALSE)</f>
        <v>89482</v>
      </c>
      <c r="V183">
        <f ca="1">+VLOOKUP($T183,INDIRECT(Adrese!C$2),4,FALSE)</f>
        <v>89050</v>
      </c>
      <c r="W183">
        <f ca="1">+VLOOKUP($T183,INDIRECT(Adrese!D$2),4,FALSE)</f>
        <v>89114</v>
      </c>
      <c r="X183">
        <f ca="1">+VLOOKUP($T183,INDIRECT(Adrese!E$2),4,FALSE)</f>
        <v>88980</v>
      </c>
      <c r="Y183">
        <f ca="1">+VLOOKUP($T183,INDIRECT(Adrese!F$2),4,FALSE)</f>
        <v>87760</v>
      </c>
      <c r="Z183">
        <f t="shared" ca="1" si="45"/>
        <v>444386</v>
      </c>
      <c r="AA183" s="4">
        <f t="shared" ca="1" si="56"/>
        <v>88877.2</v>
      </c>
      <c r="AC183" t="s">
        <v>231</v>
      </c>
      <c r="AD183">
        <f ca="1">+VLOOKUP($A183,INDIRECT(Adrese!B$2),5,FALSE)</f>
        <v>31810</v>
      </c>
      <c r="AE183">
        <f ca="1">+VLOOKUP($A183,INDIRECT(Adrese!C$2),5,FALSE)</f>
        <v>31881</v>
      </c>
      <c r="AF183">
        <f ca="1">+VLOOKUP($A183,INDIRECT(Adrese!D$2),5,FALSE)</f>
        <v>31884</v>
      </c>
      <c r="AG183">
        <f ca="1">+VLOOKUP($A183,INDIRECT(Adrese!E$2),5,FALSE)</f>
        <v>31738</v>
      </c>
      <c r="AH183">
        <f ca="1">+VLOOKUP($A183,INDIRECT(Adrese!F$2),5,FALSE)</f>
        <v>31744</v>
      </c>
      <c r="AI183" s="4">
        <f t="shared" ca="1" si="57"/>
        <v>31811.4</v>
      </c>
      <c r="AJ183" s="4"/>
      <c r="AK183" s="4"/>
      <c r="AM183" t="s">
        <v>231</v>
      </c>
      <c r="AN183" s="4">
        <f ca="1">+VLOOKUP($A183,INDIRECT(Adrese!B$2),6,FALSE)</f>
        <v>0.70048672566371684</v>
      </c>
      <c r="AO183" s="4">
        <f ca="1">+VLOOKUP($A183,INDIRECT(Adrese!C$2),6,FALSE)</f>
        <v>0.70225663716814157</v>
      </c>
      <c r="AP183" s="4">
        <f ca="1">+VLOOKUP($A183,INDIRECT(Adrese!D$2),6,FALSE)</f>
        <v>0.70234513274336285</v>
      </c>
      <c r="AQ183" s="4">
        <f ca="1">+VLOOKUP($A183,INDIRECT(Adrese!E$2),6,FALSE)</f>
        <v>0.69900442477876101</v>
      </c>
      <c r="AR183" s="4">
        <f ca="1">+VLOOKUP($A183,INDIRECT(Adrese!F$2),6,FALSE)</f>
        <v>0.69911504424778759</v>
      </c>
      <c r="AS183" s="4" t="str">
        <f t="shared" ca="1" si="46"/>
        <v>0.70 (0.00)</v>
      </c>
      <c r="AT183" s="4">
        <f t="shared" ca="1" si="58"/>
        <v>0.70064159292035399</v>
      </c>
      <c r="AU183" s="4">
        <f t="shared" ca="1" si="47"/>
        <v>1.6236586842397326E-3</v>
      </c>
      <c r="AW183" t="s">
        <v>231</v>
      </c>
      <c r="AX183" s="4">
        <f ca="1">+VLOOKUP($A183,INDIRECT(Adrese!B$2),7,FALSE)</f>
        <v>0.75221238938053092</v>
      </c>
      <c r="AY183" s="4">
        <f ca="1">+VLOOKUP($A183,INDIRECT(Adrese!C$2),7,FALSE)</f>
        <v>0.76991150442477874</v>
      </c>
      <c r="AZ183" s="4">
        <f ca="1">+VLOOKUP($A183,INDIRECT(Adrese!D$2),7,FALSE)</f>
        <v>0.75221238938053092</v>
      </c>
      <c r="BA183" s="4">
        <f ca="1">+VLOOKUP($A183,INDIRECT(Adrese!E$2),7,FALSE)</f>
        <v>0.76548672566371678</v>
      </c>
      <c r="BB183" s="4">
        <f ca="1">+VLOOKUP($A183,INDIRECT(Adrese!F$2),7,FALSE)</f>
        <v>0.75221238938053092</v>
      </c>
      <c r="BC183" s="4" t="str">
        <f t="shared" ca="1" si="48"/>
        <v>0.76 (0.01)</v>
      </c>
      <c r="BD183">
        <f t="shared" ca="1" si="59"/>
        <v>0.75840707964601761</v>
      </c>
      <c r="BE183" s="4">
        <f t="shared" ca="1" si="49"/>
        <v>8.6254817210698921E-3</v>
      </c>
      <c r="BG183" t="s">
        <v>231</v>
      </c>
      <c r="BH183" s="4">
        <f ca="1">+VLOOKUP($BG183,INDIRECT(Adrese!B$2),8,FALSE)</f>
        <v>8.9191286389980473E-2</v>
      </c>
      <c r="BI183" s="4">
        <f ca="1">+VLOOKUP($BG183,INDIRECT(Adrese!C$2),8,FALSE)</f>
        <v>8.9382863948660796E-2</v>
      </c>
      <c r="BJ183" s="4">
        <f ca="1">+VLOOKUP($BG183,INDIRECT(Adrese!D$2),8,FALSE)</f>
        <v>8.9377824640183734E-2</v>
      </c>
      <c r="BK183" s="4">
        <f ca="1">+VLOOKUP($BG183,INDIRECT(Adrese!E$2),8,FALSE)</f>
        <v>8.9117841509357199E-2</v>
      </c>
      <c r="BL183" s="4">
        <f ca="1">+VLOOKUP($BG183,INDIRECT(Adrese!F$2),8,FALSE)</f>
        <v>8.9103557979694492E-2</v>
      </c>
      <c r="BM183" s="4" t="str">
        <f t="shared" ca="1" si="50"/>
        <v>0.09 (0.00)</v>
      </c>
      <c r="BN183" s="4">
        <f t="shared" ca="1" si="60"/>
        <v>8.9234674893575339E-2</v>
      </c>
      <c r="BO183" s="4">
        <f t="shared" ca="1" si="51"/>
        <v>1.3709129532803218E-4</v>
      </c>
      <c r="BQ183" t="s">
        <v>231</v>
      </c>
      <c r="BR183" s="4">
        <f ca="1">+VLOOKUP($BG183,INDIRECT(Adrese!B$2),9,FALSE)</f>
        <v>-4.7292822634207102E-2</v>
      </c>
      <c r="BS183" s="4">
        <f ca="1">+VLOOKUP($BG183,INDIRECT(Adrese!C$2),9,FALSE)</f>
        <v>-4.9442640562239293E-2</v>
      </c>
      <c r="BT183" s="4">
        <f ca="1">+VLOOKUP($BG183,INDIRECT(Adrese!D$2),9,FALSE)</f>
        <v>-4.7845116105292969E-2</v>
      </c>
      <c r="BU183" s="4">
        <f ca="1">+VLOOKUP($BG183,INDIRECT(Adrese!E$2),9,FALSE)</f>
        <v>-4.6921483884606908E-2</v>
      </c>
      <c r="BV183" s="4">
        <f ca="1">+VLOOKUP($BG183,INDIRECT(Adrese!F$2),9,FALSE)</f>
        <v>-4.7429433549634928E-2</v>
      </c>
      <c r="BW183" s="4" t="str">
        <f t="shared" ca="1" si="52"/>
        <v>-0.05 (0.00)</v>
      </c>
      <c r="BX183" s="4">
        <f t="shared" ca="1" si="61"/>
        <v>-4.7786299347196234E-2</v>
      </c>
      <c r="BY183" s="4">
        <f t="shared" ca="1" si="53"/>
        <v>9.830696668787697E-4</v>
      </c>
    </row>
    <row r="184" spans="1:77" x14ac:dyDescent="0.25">
      <c r="A184" t="s">
        <v>232</v>
      </c>
      <c r="B184" s="11">
        <f ca="1">+VLOOKUP($A184,INDIRECT(Adrese!B$2),2,FALSE)</f>
        <v>204</v>
      </c>
      <c r="C184" s="11">
        <f ca="1">+VLOOKUP($A184,INDIRECT(Adrese!C$2),2,FALSE)</f>
        <v>192</v>
      </c>
      <c r="D184" s="11">
        <f ca="1">+VLOOKUP($A184,INDIRECT(Adrese!D$2),2,FALSE)</f>
        <v>187</v>
      </c>
      <c r="E184" s="11">
        <f ca="1">+VLOOKUP($A184,INDIRECT(Adrese!E$2),2,FALSE)</f>
        <v>193</v>
      </c>
      <c r="F184" s="11">
        <f ca="1">+VLOOKUP($A184,INDIRECT(Adrese!F$2),2,FALSE)</f>
        <v>201</v>
      </c>
      <c r="G184" s="4">
        <f t="shared" ca="1" si="54"/>
        <v>195.4</v>
      </c>
      <c r="J184" t="s">
        <v>232</v>
      </c>
      <c r="K184">
        <f ca="1">+VLOOKUP($A184,INDIRECT(Adrese!B$2),3,FALSE)</f>
        <v>75</v>
      </c>
      <c r="L184">
        <f ca="1">+VLOOKUP($A184,INDIRECT(Adrese!C$2),3,FALSE)</f>
        <v>80</v>
      </c>
      <c r="M184">
        <f ca="1">+VLOOKUP($A184,INDIRECT(Adrese!D$2),3,FALSE)</f>
        <v>81</v>
      </c>
      <c r="N184">
        <f ca="1">+VLOOKUP($A184,INDIRECT(Adrese!E$2),3,FALSE)</f>
        <v>82</v>
      </c>
      <c r="O184">
        <f ca="1">+VLOOKUP($A184,INDIRECT(Adrese!F$2),3,FALSE)</f>
        <v>75</v>
      </c>
      <c r="P184">
        <f t="shared" ca="1" si="44"/>
        <v>393</v>
      </c>
      <c r="Q184" s="4">
        <f t="shared" ca="1" si="55"/>
        <v>78.599999999999994</v>
      </c>
      <c r="R184" s="4"/>
      <c r="T184" t="s">
        <v>232</v>
      </c>
      <c r="U184">
        <f ca="1">+VLOOKUP($T184,INDIRECT(Adrese!B$2),4,FALSE)</f>
        <v>88483</v>
      </c>
      <c r="V184">
        <f ca="1">+VLOOKUP($T184,INDIRECT(Adrese!C$2),4,FALSE)</f>
        <v>89265</v>
      </c>
      <c r="W184">
        <f ca="1">+VLOOKUP($T184,INDIRECT(Adrese!D$2),4,FALSE)</f>
        <v>89768</v>
      </c>
      <c r="X184">
        <f ca="1">+VLOOKUP($T184,INDIRECT(Adrese!E$2),4,FALSE)</f>
        <v>89467</v>
      </c>
      <c r="Y184">
        <f ca="1">+VLOOKUP($T184,INDIRECT(Adrese!F$2),4,FALSE)</f>
        <v>88504</v>
      </c>
      <c r="Z184">
        <f t="shared" ca="1" si="45"/>
        <v>445487</v>
      </c>
      <c r="AA184" s="4">
        <f t="shared" ca="1" si="56"/>
        <v>89097.4</v>
      </c>
      <c r="AC184" t="s">
        <v>232</v>
      </c>
      <c r="AD184">
        <f ca="1">+VLOOKUP($A184,INDIRECT(Adrese!B$2),5,FALSE)</f>
        <v>23462</v>
      </c>
      <c r="AE184">
        <f ca="1">+VLOOKUP($A184,INDIRECT(Adrese!C$2),5,FALSE)</f>
        <v>23350</v>
      </c>
      <c r="AF184">
        <f ca="1">+VLOOKUP($A184,INDIRECT(Adrese!D$2),5,FALSE)</f>
        <v>23493</v>
      </c>
      <c r="AG184">
        <f ca="1">+VLOOKUP($A184,INDIRECT(Adrese!E$2),5,FALSE)</f>
        <v>23437</v>
      </c>
      <c r="AH184">
        <f ca="1">+VLOOKUP($A184,INDIRECT(Adrese!F$2),5,FALSE)</f>
        <v>23455</v>
      </c>
      <c r="AI184" s="4">
        <f t="shared" ca="1" si="57"/>
        <v>23439.4</v>
      </c>
      <c r="AJ184" s="4"/>
      <c r="AK184" s="4"/>
      <c r="AM184" t="s">
        <v>232</v>
      </c>
      <c r="AN184" s="4">
        <f ca="1">+VLOOKUP($A184,INDIRECT(Adrese!B$2),6,FALSE)</f>
        <v>0.5161946902654867</v>
      </c>
      <c r="AO184" s="4">
        <f ca="1">+VLOOKUP($A184,INDIRECT(Adrese!C$2),6,FALSE)</f>
        <v>0.51340707964601773</v>
      </c>
      <c r="AP184" s="4">
        <f ca="1">+VLOOKUP($A184,INDIRECT(Adrese!D$2),6,FALSE)</f>
        <v>0.5165929203539823</v>
      </c>
      <c r="AQ184" s="4">
        <f ca="1">+VLOOKUP($A184,INDIRECT(Adrese!E$2),6,FALSE)</f>
        <v>0.51553097345132748</v>
      </c>
      <c r="AR184" s="4">
        <f ca="1">+VLOOKUP($A184,INDIRECT(Adrese!F$2),6,FALSE)</f>
        <v>0.51612831858407082</v>
      </c>
      <c r="AS184" s="4" t="str">
        <f t="shared" ca="1" si="46"/>
        <v>0.52 (0.00)</v>
      </c>
      <c r="AT184" s="4">
        <f t="shared" ca="1" si="58"/>
        <v>0.51557079646017701</v>
      </c>
      <c r="AU184" s="4">
        <f t="shared" ca="1" si="47"/>
        <v>1.2676817401394546E-3</v>
      </c>
      <c r="AW184" t="s">
        <v>232</v>
      </c>
      <c r="AX184" s="4">
        <f ca="1">+VLOOKUP($A184,INDIRECT(Adrese!B$2),7,FALSE)</f>
        <v>0.66814159292035402</v>
      </c>
      <c r="AY184" s="4">
        <f ca="1">+VLOOKUP($A184,INDIRECT(Adrese!C$2),7,FALSE)</f>
        <v>0.64601769911504425</v>
      </c>
      <c r="AZ184" s="4">
        <f ca="1">+VLOOKUP($A184,INDIRECT(Adrese!D$2),7,FALSE)</f>
        <v>0.6415929203539823</v>
      </c>
      <c r="BA184" s="4">
        <f ca="1">+VLOOKUP($A184,INDIRECT(Adrese!E$2),7,FALSE)</f>
        <v>0.63716814159292035</v>
      </c>
      <c r="BB184" s="4">
        <f ca="1">+VLOOKUP($A184,INDIRECT(Adrese!F$2),7,FALSE)</f>
        <v>0.66814159292035402</v>
      </c>
      <c r="BC184" s="4" t="str">
        <f t="shared" ca="1" si="48"/>
        <v>0.65 (0.01)</v>
      </c>
      <c r="BD184">
        <f t="shared" ca="1" si="59"/>
        <v>0.65221238938053094</v>
      </c>
      <c r="BE184" s="4">
        <f t="shared" ca="1" si="49"/>
        <v>1.4874102932718264E-2</v>
      </c>
      <c r="BG184" t="s">
        <v>232</v>
      </c>
      <c r="BH184" s="4">
        <f ca="1">+VLOOKUP($BG184,INDIRECT(Adrese!B$2),8,FALSE)</f>
        <v>6.5700758563871364E-2</v>
      </c>
      <c r="BI184" s="4">
        <f ca="1">+VLOOKUP($BG184,INDIRECT(Adrese!C$2),8,FALSE)</f>
        <v>6.5480947156071861E-2</v>
      </c>
      <c r="BJ184" s="4">
        <f ca="1">+VLOOKUP($BG184,INDIRECT(Adrese!D$2),8,FALSE)</f>
        <v>6.5899865355538725E-2</v>
      </c>
      <c r="BK184" s="4">
        <f ca="1">+VLOOKUP($BG184,INDIRECT(Adrese!E$2),8,FALSE)</f>
        <v>6.5605592609709704E-2</v>
      </c>
      <c r="BL184" s="4">
        <f ca="1">+VLOOKUP($BG184,INDIRECT(Adrese!F$2),8,FALSE)</f>
        <v>6.5797623899951529E-2</v>
      </c>
      <c r="BM184" s="4" t="str">
        <f t="shared" ca="1" si="50"/>
        <v>0.07 (0.00)</v>
      </c>
      <c r="BN184" s="4">
        <f t="shared" ca="1" si="60"/>
        <v>6.5696957517028642E-2</v>
      </c>
      <c r="BO184" s="4">
        <f t="shared" ca="1" si="51"/>
        <v>1.6303970518464887E-4</v>
      </c>
      <c r="BQ184" t="s">
        <v>232</v>
      </c>
      <c r="BR184" s="4">
        <f ca="1">+VLOOKUP($BG184,INDIRECT(Adrese!B$2),9,FALSE)</f>
        <v>-4.276470981448499E-3</v>
      </c>
      <c r="BS184" s="4">
        <f ca="1">+VLOOKUP($BG184,INDIRECT(Adrese!C$2),9,FALSE)</f>
        <v>-2.5966467655371209E-3</v>
      </c>
      <c r="BT184" s="4">
        <f ca="1">+VLOOKUP($BG184,INDIRECT(Adrese!D$2),9,FALSE)</f>
        <v>-4.1100949675603711E-3</v>
      </c>
      <c r="BU184" s="4">
        <f ca="1">+VLOOKUP($BG184,INDIRECT(Adrese!E$2),9,FALSE)</f>
        <v>-4.9091645266235544E-3</v>
      </c>
      <c r="BV184" s="4">
        <f ca="1">+VLOOKUP($BG184,INDIRECT(Adrese!F$2),9,FALSE)</f>
        <v>-5.0109068607007232E-3</v>
      </c>
      <c r="BW184" s="4" t="str">
        <f t="shared" ca="1" si="52"/>
        <v>0.00 (0.00)</v>
      </c>
      <c r="BX184" s="4">
        <f t="shared" ca="1" si="61"/>
        <v>-4.1806568203740539E-3</v>
      </c>
      <c r="BY184" s="4">
        <f t="shared" ca="1" si="53"/>
        <v>9.6737864741355904E-4</v>
      </c>
    </row>
    <row r="185" spans="1:77" x14ac:dyDescent="0.25">
      <c r="A185" t="s">
        <v>233</v>
      </c>
      <c r="B185" s="11">
        <f ca="1">+VLOOKUP($A185,INDIRECT(Adrese!B$2),2,FALSE)</f>
        <v>203</v>
      </c>
      <c r="C185" s="11">
        <f ca="1">+VLOOKUP($A185,INDIRECT(Adrese!C$2),2,FALSE)</f>
        <v>196</v>
      </c>
      <c r="D185" s="11">
        <f ca="1">+VLOOKUP($A185,INDIRECT(Adrese!D$2),2,FALSE)</f>
        <v>196</v>
      </c>
      <c r="E185" s="11">
        <f ca="1">+VLOOKUP($A185,INDIRECT(Adrese!E$2),2,FALSE)</f>
        <v>188</v>
      </c>
      <c r="F185" s="11">
        <f ca="1">+VLOOKUP($A185,INDIRECT(Adrese!F$2),2,FALSE)</f>
        <v>193</v>
      </c>
      <c r="G185" s="4">
        <f t="shared" ca="1" si="54"/>
        <v>195.2</v>
      </c>
      <c r="J185" t="s">
        <v>233</v>
      </c>
      <c r="K185">
        <f ca="1">+VLOOKUP($A185,INDIRECT(Adrese!B$2),3,FALSE)</f>
        <v>61</v>
      </c>
      <c r="L185">
        <f ca="1">+VLOOKUP($A185,INDIRECT(Adrese!C$2),3,FALSE)</f>
        <v>63</v>
      </c>
      <c r="M185">
        <f ca="1">+VLOOKUP($A185,INDIRECT(Adrese!D$2),3,FALSE)</f>
        <v>58</v>
      </c>
      <c r="N185">
        <f ca="1">+VLOOKUP($A185,INDIRECT(Adrese!E$2),3,FALSE)</f>
        <v>61</v>
      </c>
      <c r="O185">
        <f ca="1">+VLOOKUP($A185,INDIRECT(Adrese!F$2),3,FALSE)</f>
        <v>63</v>
      </c>
      <c r="P185">
        <f t="shared" ca="1" si="44"/>
        <v>306</v>
      </c>
      <c r="Q185" s="4">
        <f t="shared" ca="1" si="55"/>
        <v>61.2</v>
      </c>
      <c r="R185" s="4"/>
      <c r="T185" t="s">
        <v>233</v>
      </c>
      <c r="U185">
        <f ca="1">+VLOOKUP($T185,INDIRECT(Adrese!B$2),4,FALSE)</f>
        <v>88527</v>
      </c>
      <c r="V185">
        <f ca="1">+VLOOKUP($T185,INDIRECT(Adrese!C$2),4,FALSE)</f>
        <v>88974</v>
      </c>
      <c r="W185">
        <f ca="1">+VLOOKUP($T185,INDIRECT(Adrese!D$2),4,FALSE)</f>
        <v>88872</v>
      </c>
      <c r="X185">
        <f ca="1">+VLOOKUP($T185,INDIRECT(Adrese!E$2),4,FALSE)</f>
        <v>90078</v>
      </c>
      <c r="Y185">
        <f ca="1">+VLOOKUP($T185,INDIRECT(Adrese!F$2),4,FALSE)</f>
        <v>89119</v>
      </c>
      <c r="Z185">
        <f t="shared" ca="1" si="45"/>
        <v>445570</v>
      </c>
      <c r="AA185" s="4">
        <f t="shared" ca="1" si="56"/>
        <v>89114</v>
      </c>
      <c r="AC185" t="s">
        <v>233</v>
      </c>
      <c r="AD185">
        <f ca="1">+VLOOKUP($A185,INDIRECT(Adrese!B$2),5,FALSE)</f>
        <v>28901</v>
      </c>
      <c r="AE185">
        <f ca="1">+VLOOKUP($A185,INDIRECT(Adrese!C$2),5,FALSE)</f>
        <v>28865</v>
      </c>
      <c r="AF185">
        <f ca="1">+VLOOKUP($A185,INDIRECT(Adrese!D$2),5,FALSE)</f>
        <v>29096</v>
      </c>
      <c r="AG185">
        <f ca="1">+VLOOKUP($A185,INDIRECT(Adrese!E$2),5,FALSE)</f>
        <v>28941</v>
      </c>
      <c r="AH185">
        <f ca="1">+VLOOKUP($A185,INDIRECT(Adrese!F$2),5,FALSE)</f>
        <v>28892</v>
      </c>
      <c r="AI185" s="4">
        <f t="shared" ca="1" si="57"/>
        <v>28939</v>
      </c>
      <c r="AJ185" s="4"/>
      <c r="AK185" s="4"/>
      <c r="AM185" t="s">
        <v>233</v>
      </c>
      <c r="AN185" s="4">
        <f ca="1">+VLOOKUP($A185,INDIRECT(Adrese!B$2),6,FALSE)</f>
        <v>0.63650442477876101</v>
      </c>
      <c r="AO185" s="4">
        <f ca="1">+VLOOKUP($A185,INDIRECT(Adrese!C$2),6,FALSE)</f>
        <v>0.63575221238938051</v>
      </c>
      <c r="AP185" s="4">
        <f ca="1">+VLOOKUP($A185,INDIRECT(Adrese!D$2),6,FALSE)</f>
        <v>0.6408185840707965</v>
      </c>
      <c r="AQ185" s="4">
        <f ca="1">+VLOOKUP($A185,INDIRECT(Adrese!E$2),6,FALSE)</f>
        <v>0.63761061946902653</v>
      </c>
      <c r="AR185" s="4">
        <f ca="1">+VLOOKUP($A185,INDIRECT(Adrese!F$2),6,FALSE)</f>
        <v>0.63634955752212385</v>
      </c>
      <c r="AS185" s="4" t="str">
        <f t="shared" ca="1" si="46"/>
        <v>0.64 (0.00)</v>
      </c>
      <c r="AT185" s="4">
        <f t="shared" ca="1" si="58"/>
        <v>0.63740707964601762</v>
      </c>
      <c r="AU185" s="4">
        <f t="shared" ca="1" si="47"/>
        <v>2.0218503523278409E-3</v>
      </c>
      <c r="AW185" t="s">
        <v>233</v>
      </c>
      <c r="AX185" s="4">
        <f ca="1">+VLOOKUP($A185,INDIRECT(Adrese!B$2),7,FALSE)</f>
        <v>0.73008849557522126</v>
      </c>
      <c r="AY185" s="4">
        <f ca="1">+VLOOKUP($A185,INDIRECT(Adrese!C$2),7,FALSE)</f>
        <v>0.72123893805309736</v>
      </c>
      <c r="AZ185" s="4">
        <f ca="1">+VLOOKUP($A185,INDIRECT(Adrese!D$2),7,FALSE)</f>
        <v>0.74336283185840712</v>
      </c>
      <c r="BA185" s="4">
        <f ca="1">+VLOOKUP($A185,INDIRECT(Adrese!E$2),7,FALSE)</f>
        <v>0.73008849557522126</v>
      </c>
      <c r="BB185" s="4">
        <f ca="1">+VLOOKUP($A185,INDIRECT(Adrese!F$2),7,FALSE)</f>
        <v>0.72123893805309736</v>
      </c>
      <c r="BC185" s="4" t="str">
        <f t="shared" ca="1" si="48"/>
        <v>0.73 (0.01)</v>
      </c>
      <c r="BD185">
        <f t="shared" ca="1" si="59"/>
        <v>0.72920353982300878</v>
      </c>
      <c r="BE185" s="4">
        <f t="shared" ca="1" si="49"/>
        <v>9.0680980229731097E-3</v>
      </c>
      <c r="BG185" t="s">
        <v>233</v>
      </c>
      <c r="BH185" s="4">
        <f ca="1">+VLOOKUP($BG185,INDIRECT(Adrese!B$2),8,FALSE)</f>
        <v>8.1025345883174227E-2</v>
      </c>
      <c r="BI185" s="4">
        <f ca="1">+VLOOKUP($BG185,INDIRECT(Adrese!C$2),8,FALSE)</f>
        <v>8.097169723775019E-2</v>
      </c>
      <c r="BJ185" s="4">
        <f ca="1">+VLOOKUP($BG185,INDIRECT(Adrese!D$2),8,FALSE)</f>
        <v>8.1614368430973222E-2</v>
      </c>
      <c r="BK185" s="4">
        <f ca="1">+VLOOKUP($BG185,INDIRECT(Adrese!E$2),8,FALSE)</f>
        <v>8.1049736266617642E-2</v>
      </c>
      <c r="BL185" s="4">
        <f ca="1">+VLOOKUP($BG185,INDIRECT(Adrese!F$2),8,FALSE)</f>
        <v>8.1160835191374875E-2</v>
      </c>
      <c r="BM185" s="4" t="str">
        <f t="shared" ca="1" si="50"/>
        <v>0.08 (0.00)</v>
      </c>
      <c r="BN185" s="4">
        <f t="shared" ca="1" si="60"/>
        <v>8.1164396601978023E-2</v>
      </c>
      <c r="BO185" s="4">
        <f t="shared" ca="1" si="51"/>
        <v>2.6081721109494837E-4</v>
      </c>
      <c r="BQ185" t="s">
        <v>233</v>
      </c>
      <c r="BR185" s="4">
        <f ca="1">+VLOOKUP($BG185,INDIRECT(Adrese!B$2),9,FALSE)</f>
        <v>-3.2390182168295097E-2</v>
      </c>
      <c r="BS185" s="4">
        <f ca="1">+VLOOKUP($BG185,INDIRECT(Adrese!C$2),9,FALSE)</f>
        <v>-3.2551016334604083E-2</v>
      </c>
      <c r="BT185" s="4">
        <f ca="1">+VLOOKUP($BG185,INDIRECT(Adrese!D$2),9,FALSE)</f>
        <v>-3.3211342509225653E-2</v>
      </c>
      <c r="BU185" s="4">
        <f ca="1">+VLOOKUP($BG185,INDIRECT(Adrese!E$2),9,FALSE)</f>
        <v>-3.3768014146689777E-2</v>
      </c>
      <c r="BV185" s="4">
        <f ca="1">+VLOOKUP($BG185,INDIRECT(Adrese!F$2),9,FALSE)</f>
        <v>-3.2802997265761108E-2</v>
      </c>
      <c r="BW185" s="4" t="str">
        <f t="shared" ca="1" si="52"/>
        <v>-0.03 (0.00)</v>
      </c>
      <c r="BX185" s="4">
        <f t="shared" ca="1" si="61"/>
        <v>-3.2944710484915138E-2</v>
      </c>
      <c r="BY185" s="4">
        <f t="shared" ca="1" si="53"/>
        <v>5.5486505798370733E-4</v>
      </c>
    </row>
    <row r="186" spans="1:77" x14ac:dyDescent="0.25">
      <c r="A186" t="s">
        <v>234</v>
      </c>
      <c r="B186" s="11">
        <f ca="1">+VLOOKUP($A186,INDIRECT(Adrese!B$2),2,FALSE)</f>
        <v>173</v>
      </c>
      <c r="C186" s="11">
        <f ca="1">+VLOOKUP($A186,INDIRECT(Adrese!C$2),2,FALSE)</f>
        <v>170</v>
      </c>
      <c r="D186" s="11">
        <f ca="1">+VLOOKUP($A186,INDIRECT(Adrese!D$2),2,FALSE)</f>
        <v>181</v>
      </c>
      <c r="E186" s="11">
        <f ca="1">+VLOOKUP($A186,INDIRECT(Adrese!E$2),2,FALSE)</f>
        <v>171</v>
      </c>
      <c r="F186" s="11">
        <f ca="1">+VLOOKUP($A186,INDIRECT(Adrese!F$2),2,FALSE)</f>
        <v>178</v>
      </c>
      <c r="G186" s="4">
        <f t="shared" ca="1" si="54"/>
        <v>174.6</v>
      </c>
      <c r="J186" t="s">
        <v>234</v>
      </c>
      <c r="K186">
        <f ca="1">+VLOOKUP($A186,INDIRECT(Adrese!B$2),3,FALSE)</f>
        <v>180</v>
      </c>
      <c r="L186">
        <f ca="1">+VLOOKUP($A186,INDIRECT(Adrese!C$2),3,FALSE)</f>
        <v>176</v>
      </c>
      <c r="M186">
        <f ca="1">+VLOOKUP($A186,INDIRECT(Adrese!D$2),3,FALSE)</f>
        <v>184</v>
      </c>
      <c r="N186">
        <f ca="1">+VLOOKUP($A186,INDIRECT(Adrese!E$2),3,FALSE)</f>
        <v>183</v>
      </c>
      <c r="O186">
        <f ca="1">+VLOOKUP($A186,INDIRECT(Adrese!F$2),3,FALSE)</f>
        <v>177</v>
      </c>
      <c r="P186">
        <f t="shared" ca="1" si="44"/>
        <v>900</v>
      </c>
      <c r="Q186" s="4">
        <f t="shared" ca="1" si="55"/>
        <v>180</v>
      </c>
      <c r="R186" s="4"/>
      <c r="T186" t="s">
        <v>234</v>
      </c>
      <c r="U186">
        <f ca="1">+VLOOKUP($T186,INDIRECT(Adrese!B$2),4,FALSE)</f>
        <v>91847</v>
      </c>
      <c r="V186">
        <f ca="1">+VLOOKUP($T186,INDIRECT(Adrese!C$2),4,FALSE)</f>
        <v>92070</v>
      </c>
      <c r="W186">
        <f ca="1">+VLOOKUP($T186,INDIRECT(Adrese!D$2),4,FALSE)</f>
        <v>90787</v>
      </c>
      <c r="X186">
        <f ca="1">+VLOOKUP($T186,INDIRECT(Adrese!E$2),4,FALSE)</f>
        <v>91861</v>
      </c>
      <c r="Y186">
        <f ca="1">+VLOOKUP($T186,INDIRECT(Adrese!F$2),4,FALSE)</f>
        <v>91230</v>
      </c>
      <c r="Z186">
        <f t="shared" ca="1" si="45"/>
        <v>457795</v>
      </c>
      <c r="AA186" s="4">
        <f t="shared" ca="1" si="56"/>
        <v>91559</v>
      </c>
      <c r="AC186" t="s">
        <v>234</v>
      </c>
      <c r="AD186">
        <f ca="1">+VLOOKUP($A186,INDIRECT(Adrese!B$2),5,FALSE)</f>
        <v>13041</v>
      </c>
      <c r="AE186">
        <f ca="1">+VLOOKUP($A186,INDIRECT(Adrese!C$2),5,FALSE)</f>
        <v>13479</v>
      </c>
      <c r="AF186">
        <f ca="1">+VLOOKUP($A186,INDIRECT(Adrese!D$2),5,FALSE)</f>
        <v>12823</v>
      </c>
      <c r="AG186">
        <f ca="1">+VLOOKUP($A186,INDIRECT(Adrese!E$2),5,FALSE)</f>
        <v>13255</v>
      </c>
      <c r="AH186">
        <f ca="1">+VLOOKUP($A186,INDIRECT(Adrese!F$2),5,FALSE)</f>
        <v>12968</v>
      </c>
      <c r="AI186" s="4">
        <f t="shared" ca="1" si="57"/>
        <v>13113.2</v>
      </c>
      <c r="AJ186" s="4"/>
      <c r="AK186" s="4"/>
      <c r="AM186" t="s">
        <v>234</v>
      </c>
      <c r="AN186" s="4">
        <f ca="1">+VLOOKUP($A186,INDIRECT(Adrese!B$2),6,FALSE)</f>
        <v>0.28769911504424778</v>
      </c>
      <c r="AO186" s="4">
        <f ca="1">+VLOOKUP($A186,INDIRECT(Adrese!C$2),6,FALSE)</f>
        <v>0.29747787610619469</v>
      </c>
      <c r="AP186" s="4">
        <f ca="1">+VLOOKUP($A186,INDIRECT(Adrese!D$2),6,FALSE)</f>
        <v>0.28314159292035401</v>
      </c>
      <c r="AQ186" s="4">
        <f ca="1">+VLOOKUP($A186,INDIRECT(Adrese!E$2),6,FALSE)</f>
        <v>0.29274336283185842</v>
      </c>
      <c r="AR186" s="4">
        <f ca="1">+VLOOKUP($A186,INDIRECT(Adrese!F$2),6,FALSE)</f>
        <v>0.28550884955752209</v>
      </c>
      <c r="AS186" s="4" t="str">
        <f t="shared" ca="1" si="46"/>
        <v>0.29 (0.01)</v>
      </c>
      <c r="AT186" s="4">
        <f t="shared" ca="1" si="58"/>
        <v>0.28931415929203547</v>
      </c>
      <c r="AU186" s="4">
        <f t="shared" ca="1" si="47"/>
        <v>5.7791659184095821E-3</v>
      </c>
      <c r="AW186" t="s">
        <v>234</v>
      </c>
      <c r="AX186" s="4">
        <f ca="1">+VLOOKUP($A186,INDIRECT(Adrese!B$2),7,FALSE)</f>
        <v>0.2035398230088496</v>
      </c>
      <c r="AY186" s="4">
        <f ca="1">+VLOOKUP($A186,INDIRECT(Adrese!C$2),7,FALSE)</f>
        <v>0.22123893805309741</v>
      </c>
      <c r="AZ186" s="4">
        <f ca="1">+VLOOKUP($A186,INDIRECT(Adrese!D$2),7,FALSE)</f>
        <v>0.18584070796460181</v>
      </c>
      <c r="BA186" s="4">
        <f ca="1">+VLOOKUP($A186,INDIRECT(Adrese!E$2),7,FALSE)</f>
        <v>0.19026548672566371</v>
      </c>
      <c r="BB186" s="4">
        <f ca="1">+VLOOKUP($A186,INDIRECT(Adrese!F$2),7,FALSE)</f>
        <v>0.2168141592920354</v>
      </c>
      <c r="BC186" s="4" t="str">
        <f t="shared" ca="1" si="48"/>
        <v>0.20 (0.02)</v>
      </c>
      <c r="BD186">
        <f t="shared" ca="1" si="59"/>
        <v>0.20353982300884957</v>
      </c>
      <c r="BE186" s="4">
        <f t="shared" ca="1" si="49"/>
        <v>1.5643955335985574E-2</v>
      </c>
      <c r="BG186" t="s">
        <v>234</v>
      </c>
      <c r="BH186" s="4">
        <f ca="1">+VLOOKUP($BG186,INDIRECT(Adrese!B$2),8,FALSE)</f>
        <v>4.4060495391314139E-2</v>
      </c>
      <c r="BI186" s="4">
        <f ca="1">+VLOOKUP($BG186,INDIRECT(Adrese!C$2),8,FALSE)</f>
        <v>4.4984572689583793E-2</v>
      </c>
      <c r="BJ186" s="4">
        <f ca="1">+VLOOKUP($BG186,INDIRECT(Adrese!D$2),8,FALSE)</f>
        <v>4.3275914443192787E-2</v>
      </c>
      <c r="BK186" s="4">
        <f ca="1">+VLOOKUP($BG186,INDIRECT(Adrese!E$2),8,FALSE)</f>
        <v>4.3738614209185282E-2</v>
      </c>
      <c r="BL186" s="4">
        <f ca="1">+VLOOKUP($BG186,INDIRECT(Adrese!F$2),8,FALSE)</f>
        <v>4.3816087815380073E-2</v>
      </c>
      <c r="BM186" s="4" t="str">
        <f t="shared" ca="1" si="50"/>
        <v>0.04 (0.00)</v>
      </c>
      <c r="BN186" s="4">
        <f t="shared" ca="1" si="60"/>
        <v>4.3975136909731219E-2</v>
      </c>
      <c r="BO186" s="4">
        <f t="shared" ca="1" si="51"/>
        <v>6.3174328726632871E-4</v>
      </c>
      <c r="BQ186" t="s">
        <v>234</v>
      </c>
      <c r="BR186" s="4">
        <f ca="1">+VLOOKUP($BG186,INDIRECT(Adrese!B$2),9,FALSE)</f>
        <v>0.11545784979462589</v>
      </c>
      <c r="BS186" s="4">
        <f ca="1">+VLOOKUP($BG186,INDIRECT(Adrese!C$2),9,FALSE)</f>
        <v>0.1145525821242023</v>
      </c>
      <c r="BT186" s="4">
        <f ca="1">+VLOOKUP($BG186,INDIRECT(Adrese!D$2),9,FALSE)</f>
        <v>0.12057948741909021</v>
      </c>
      <c r="BU186" s="4">
        <f ca="1">+VLOOKUP($BG186,INDIRECT(Adrese!E$2),9,FALSE)</f>
        <v>0.11546981640806139</v>
      </c>
      <c r="BV186" s="4">
        <f ca="1">+VLOOKUP($BG186,INDIRECT(Adrese!F$2),9,FALSE)</f>
        <v>0.1156818406281388</v>
      </c>
      <c r="BW186" s="4" t="str">
        <f t="shared" ca="1" si="52"/>
        <v>0.12 (0.00)</v>
      </c>
      <c r="BX186" s="4">
        <f t="shared" ca="1" si="61"/>
        <v>0.11634831527482373</v>
      </c>
      <c r="BY186" s="4">
        <f t="shared" ca="1" si="53"/>
        <v>2.4050131365367742E-3</v>
      </c>
    </row>
    <row r="187" spans="1:77" x14ac:dyDescent="0.25">
      <c r="A187" t="s">
        <v>235</v>
      </c>
      <c r="B187" s="11">
        <f ca="1">+VLOOKUP($A187,INDIRECT(Adrese!B$2),2,FALSE)</f>
        <v>129</v>
      </c>
      <c r="C187" s="11">
        <f ca="1">+VLOOKUP($A187,INDIRECT(Adrese!C$2),2,FALSE)</f>
        <v>157</v>
      </c>
      <c r="D187" s="11">
        <f ca="1">+VLOOKUP($A187,INDIRECT(Adrese!D$2),2,FALSE)</f>
        <v>170</v>
      </c>
      <c r="E187" s="11">
        <f ca="1">+VLOOKUP($A187,INDIRECT(Adrese!E$2),2,FALSE)</f>
        <v>173</v>
      </c>
      <c r="F187" s="11">
        <f ca="1">+VLOOKUP($A187,INDIRECT(Adrese!F$2),2,FALSE)</f>
        <v>168</v>
      </c>
      <c r="G187" s="4">
        <f t="shared" ca="1" si="54"/>
        <v>159.4</v>
      </c>
      <c r="J187" t="s">
        <v>235</v>
      </c>
      <c r="K187">
        <f ca="1">+VLOOKUP($A187,INDIRECT(Adrese!B$2),3,FALSE)</f>
        <v>166</v>
      </c>
      <c r="L187">
        <f ca="1">+VLOOKUP($A187,INDIRECT(Adrese!C$2),3,FALSE)</f>
        <v>158</v>
      </c>
      <c r="M187">
        <f ca="1">+VLOOKUP($A187,INDIRECT(Adrese!D$2),3,FALSE)</f>
        <v>151</v>
      </c>
      <c r="N187">
        <f ca="1">+VLOOKUP($A187,INDIRECT(Adrese!E$2),3,FALSE)</f>
        <v>157</v>
      </c>
      <c r="O187">
        <f ca="1">+VLOOKUP($A187,INDIRECT(Adrese!F$2),3,FALSE)</f>
        <v>154</v>
      </c>
      <c r="P187">
        <f t="shared" ca="1" si="44"/>
        <v>786</v>
      </c>
      <c r="Q187" s="4">
        <f t="shared" ca="1" si="55"/>
        <v>157.19999999999999</v>
      </c>
      <c r="R187" s="4"/>
      <c r="T187" t="s">
        <v>235</v>
      </c>
      <c r="U187">
        <f ca="1">+VLOOKUP($T187,INDIRECT(Adrese!B$2),4,FALSE)</f>
        <v>94295</v>
      </c>
      <c r="V187">
        <f ca="1">+VLOOKUP($T187,INDIRECT(Adrese!C$2),4,FALSE)</f>
        <v>93234</v>
      </c>
      <c r="W187">
        <f ca="1">+VLOOKUP($T187,INDIRECT(Adrese!D$2),4,FALSE)</f>
        <v>91651</v>
      </c>
      <c r="X187">
        <f ca="1">+VLOOKUP($T187,INDIRECT(Adrese!E$2),4,FALSE)</f>
        <v>91643</v>
      </c>
      <c r="Y187">
        <f ca="1">+VLOOKUP($T187,INDIRECT(Adrese!F$2),4,FALSE)</f>
        <v>92476</v>
      </c>
      <c r="Z187">
        <f t="shared" ca="1" si="45"/>
        <v>463299</v>
      </c>
      <c r="AA187" s="4">
        <f t="shared" ca="1" si="56"/>
        <v>92659.8</v>
      </c>
      <c r="AC187" t="s">
        <v>235</v>
      </c>
      <c r="AD187">
        <f ca="1">+VLOOKUP($A187,INDIRECT(Adrese!B$2),5,FALSE)</f>
        <v>11034</v>
      </c>
      <c r="AE187">
        <f ca="1">+VLOOKUP($A187,INDIRECT(Adrese!C$2),5,FALSE)</f>
        <v>11025</v>
      </c>
      <c r="AF187">
        <f ca="1">+VLOOKUP($A187,INDIRECT(Adrese!D$2),5,FALSE)</f>
        <v>10833</v>
      </c>
      <c r="AG187">
        <f ca="1">+VLOOKUP($A187,INDIRECT(Adrese!E$2),5,FALSE)</f>
        <v>10870</v>
      </c>
      <c r="AH187">
        <f ca="1">+VLOOKUP($A187,INDIRECT(Adrese!F$2),5,FALSE)</f>
        <v>11238</v>
      </c>
      <c r="AI187" s="4">
        <f t="shared" ca="1" si="57"/>
        <v>11000</v>
      </c>
      <c r="AJ187" s="4"/>
      <c r="AK187" s="4"/>
      <c r="AM187" t="s">
        <v>235</v>
      </c>
      <c r="AN187" s="4">
        <f ca="1">+VLOOKUP($A187,INDIRECT(Adrese!B$2),6,FALSE)</f>
        <v>0.24331858407079651</v>
      </c>
      <c r="AO187" s="4">
        <f ca="1">+VLOOKUP($A187,INDIRECT(Adrese!C$2),6,FALSE)</f>
        <v>0.24318584070796459</v>
      </c>
      <c r="AP187" s="4">
        <f ca="1">+VLOOKUP($A187,INDIRECT(Adrese!D$2),6,FALSE)</f>
        <v>0.23873893805309729</v>
      </c>
      <c r="AQ187" s="4">
        <f ca="1">+VLOOKUP($A187,INDIRECT(Adrese!E$2),6,FALSE)</f>
        <v>0.2394911504424779</v>
      </c>
      <c r="AR187" s="4">
        <f ca="1">+VLOOKUP($A187,INDIRECT(Adrese!F$2),6,FALSE)</f>
        <v>0.2477654867256637</v>
      </c>
      <c r="AS187" s="4" t="str">
        <f t="shared" ca="1" si="46"/>
        <v>0.24 (0.00)</v>
      </c>
      <c r="AT187" s="4">
        <f t="shared" ca="1" si="58"/>
        <v>0.24250000000000002</v>
      </c>
      <c r="AU187" s="4">
        <f t="shared" ca="1" si="47"/>
        <v>3.6077891583365974E-3</v>
      </c>
      <c r="AW187" t="s">
        <v>235</v>
      </c>
      <c r="AX187" s="4">
        <f ca="1">+VLOOKUP($A187,INDIRECT(Adrese!B$2),7,FALSE)</f>
        <v>0.26548672566371678</v>
      </c>
      <c r="AY187" s="4">
        <f ca="1">+VLOOKUP($A187,INDIRECT(Adrese!C$2),7,FALSE)</f>
        <v>0.30088495575221241</v>
      </c>
      <c r="AZ187" s="4">
        <f ca="1">+VLOOKUP($A187,INDIRECT(Adrese!D$2),7,FALSE)</f>
        <v>0.33185840707964598</v>
      </c>
      <c r="BA187" s="4">
        <f ca="1">+VLOOKUP($A187,INDIRECT(Adrese!E$2),7,FALSE)</f>
        <v>0.30530973451327431</v>
      </c>
      <c r="BB187" s="4">
        <f ca="1">+VLOOKUP($A187,INDIRECT(Adrese!F$2),7,FALSE)</f>
        <v>0.31858407079646017</v>
      </c>
      <c r="BC187" s="4" t="str">
        <f t="shared" ca="1" si="48"/>
        <v>0.30 (0.02)</v>
      </c>
      <c r="BD187">
        <f t="shared" ca="1" si="59"/>
        <v>0.30442477876106194</v>
      </c>
      <c r="BE187" s="4">
        <f t="shared" ca="1" si="49"/>
        <v>2.4912722584529642E-2</v>
      </c>
      <c r="BG187" t="s">
        <v>235</v>
      </c>
      <c r="BH187" s="4">
        <f ca="1">+VLOOKUP($BG187,INDIRECT(Adrese!B$2),8,FALSE)</f>
        <v>3.3958228389551953E-2</v>
      </c>
      <c r="BI187" s="4">
        <f ca="1">+VLOOKUP($BG187,INDIRECT(Adrese!C$2),8,FALSE)</f>
        <v>3.4197214890484592E-2</v>
      </c>
      <c r="BJ187" s="4">
        <f ca="1">+VLOOKUP($BG187,INDIRECT(Adrese!D$2),8,FALSE)</f>
        <v>3.3674273735925409E-2</v>
      </c>
      <c r="BK187" s="4">
        <f ca="1">+VLOOKUP($BG187,INDIRECT(Adrese!E$2),8,FALSE)</f>
        <v>3.3354048942603833E-2</v>
      </c>
      <c r="BL187" s="4">
        <f ca="1">+VLOOKUP($BG187,INDIRECT(Adrese!F$2),8,FALSE)</f>
        <v>3.465710781842269E-2</v>
      </c>
      <c r="BM187" s="4" t="str">
        <f t="shared" ca="1" si="50"/>
        <v>0.03 (0.00)</v>
      </c>
      <c r="BN187" s="4">
        <f t="shared" ca="1" si="60"/>
        <v>3.3968174755397693E-2</v>
      </c>
      <c r="BO187" s="4">
        <f t="shared" ca="1" si="51"/>
        <v>4.9767343765508894E-4</v>
      </c>
      <c r="BQ187" t="s">
        <v>235</v>
      </c>
      <c r="BR187" s="4">
        <f ca="1">+VLOOKUP($BG187,INDIRECT(Adrese!B$2),9,FALSE)</f>
        <v>9.3664170753383735E-2</v>
      </c>
      <c r="BS187" s="4">
        <f ca="1">+VLOOKUP($BG187,INDIRECT(Adrese!C$2),9,FALSE)</f>
        <v>9.5484608946365596E-2</v>
      </c>
      <c r="BT187" s="4">
        <f ca="1">+VLOOKUP($BG187,INDIRECT(Adrese!D$2),9,FALSE)</f>
        <v>9.3638336910711426E-2</v>
      </c>
      <c r="BU187" s="4">
        <f ca="1">+VLOOKUP($BG187,INDIRECT(Adrese!E$2),9,FALSE)</f>
        <v>9.2168656337127342E-2</v>
      </c>
      <c r="BV187" s="4">
        <f ca="1">+VLOOKUP($BG187,INDIRECT(Adrese!F$2),9,FALSE)</f>
        <v>9.290561852393607E-2</v>
      </c>
      <c r="BW187" s="4" t="str">
        <f t="shared" ca="1" si="52"/>
        <v>0.09 (0.00)</v>
      </c>
      <c r="BX187" s="4">
        <f t="shared" ca="1" si="61"/>
        <v>9.3572278294304839E-2</v>
      </c>
      <c r="BY187" s="4">
        <f t="shared" ca="1" si="53"/>
        <v>1.233329470959318E-3</v>
      </c>
    </row>
    <row r="188" spans="1:77" x14ac:dyDescent="0.25">
      <c r="A188" t="s">
        <v>236</v>
      </c>
      <c r="B188" s="11">
        <f ca="1">+VLOOKUP($A188,INDIRECT(Adrese!B$2),2,FALSE)</f>
        <v>128</v>
      </c>
      <c r="C188" s="11">
        <f ca="1">+VLOOKUP($A188,INDIRECT(Adrese!C$2),2,FALSE)</f>
        <v>124</v>
      </c>
      <c r="D188" s="11">
        <f ca="1">+VLOOKUP($A188,INDIRECT(Adrese!D$2),2,FALSE)</f>
        <v>133</v>
      </c>
      <c r="E188" s="11">
        <f ca="1">+VLOOKUP($A188,INDIRECT(Adrese!E$2),2,FALSE)</f>
        <v>155</v>
      </c>
      <c r="F188" s="11">
        <f ca="1">+VLOOKUP($A188,INDIRECT(Adrese!F$2),2,FALSE)</f>
        <v>150</v>
      </c>
      <c r="G188" s="4">
        <f t="shared" ca="1" si="54"/>
        <v>138</v>
      </c>
      <c r="J188" t="s">
        <v>236</v>
      </c>
      <c r="K188">
        <f ca="1">+VLOOKUP($A188,INDIRECT(Adrese!B$2),3,FALSE)</f>
        <v>148</v>
      </c>
      <c r="L188">
        <f ca="1">+VLOOKUP($A188,INDIRECT(Adrese!C$2),3,FALSE)</f>
        <v>139</v>
      </c>
      <c r="M188">
        <f ca="1">+VLOOKUP($A188,INDIRECT(Adrese!D$2),3,FALSE)</f>
        <v>135</v>
      </c>
      <c r="N188">
        <f ca="1">+VLOOKUP($A188,INDIRECT(Adrese!E$2),3,FALSE)</f>
        <v>140</v>
      </c>
      <c r="O188">
        <f ca="1">+VLOOKUP($A188,INDIRECT(Adrese!F$2),3,FALSE)</f>
        <v>142</v>
      </c>
      <c r="P188">
        <f t="shared" ca="1" si="44"/>
        <v>704</v>
      </c>
      <c r="Q188" s="4">
        <f t="shared" ca="1" si="55"/>
        <v>140.80000000000001</v>
      </c>
      <c r="R188" s="4"/>
      <c r="T188" t="s">
        <v>236</v>
      </c>
      <c r="U188">
        <f ca="1">+VLOOKUP($T188,INDIRECT(Adrese!B$2),4,FALSE)</f>
        <v>94450</v>
      </c>
      <c r="V188">
        <f ca="1">+VLOOKUP($T188,INDIRECT(Adrese!C$2),4,FALSE)</f>
        <v>94506</v>
      </c>
      <c r="W188">
        <f ca="1">+VLOOKUP($T188,INDIRECT(Adrese!D$2),4,FALSE)</f>
        <v>94270</v>
      </c>
      <c r="X188">
        <f ca="1">+VLOOKUP($T188,INDIRECT(Adrese!E$2),4,FALSE)</f>
        <v>93409</v>
      </c>
      <c r="Y188">
        <f ca="1">+VLOOKUP($T188,INDIRECT(Adrese!F$2),4,FALSE)</f>
        <v>93489</v>
      </c>
      <c r="Z188">
        <f t="shared" ca="1" si="45"/>
        <v>470124</v>
      </c>
      <c r="AA188" s="4">
        <f t="shared" ca="1" si="56"/>
        <v>94024.8</v>
      </c>
      <c r="AC188" t="s">
        <v>236</v>
      </c>
      <c r="AD188">
        <f ca="1">+VLOOKUP($A188,INDIRECT(Adrese!B$2),5,FALSE)</f>
        <v>16375</v>
      </c>
      <c r="AE188">
        <f ca="1">+VLOOKUP($A188,INDIRECT(Adrese!C$2),5,FALSE)</f>
        <v>16383</v>
      </c>
      <c r="AF188">
        <f ca="1">+VLOOKUP($A188,INDIRECT(Adrese!D$2),5,FALSE)</f>
        <v>16577</v>
      </c>
      <c r="AG188">
        <f ca="1">+VLOOKUP($A188,INDIRECT(Adrese!E$2),5,FALSE)</f>
        <v>16369</v>
      </c>
      <c r="AH188">
        <f ca="1">+VLOOKUP($A188,INDIRECT(Adrese!F$2),5,FALSE)</f>
        <v>16422</v>
      </c>
      <c r="AI188" s="4">
        <f t="shared" ca="1" si="57"/>
        <v>16425.2</v>
      </c>
      <c r="AJ188" s="4"/>
      <c r="AK188" s="4"/>
      <c r="AM188" t="s">
        <v>236</v>
      </c>
      <c r="AN188" s="4">
        <f ca="1">+VLOOKUP($A188,INDIRECT(Adrese!B$2),6,FALSE)</f>
        <v>0.36075221238938049</v>
      </c>
      <c r="AO188" s="4">
        <f ca="1">+VLOOKUP($A188,INDIRECT(Adrese!C$2),6,FALSE)</f>
        <v>0.36117256637168138</v>
      </c>
      <c r="AP188" s="4">
        <f ca="1">+VLOOKUP($A188,INDIRECT(Adrese!D$2),6,FALSE)</f>
        <v>0.36557522123893799</v>
      </c>
      <c r="AQ188" s="4">
        <f ca="1">+VLOOKUP($A188,INDIRECT(Adrese!E$2),6,FALSE)</f>
        <v>0.36101769911504422</v>
      </c>
      <c r="AR188" s="4">
        <f ca="1">+VLOOKUP($A188,INDIRECT(Adrese!F$2),6,FALSE)</f>
        <v>0.36176991150442478</v>
      </c>
      <c r="AS188" s="4" t="str">
        <f t="shared" ca="1" si="46"/>
        <v>0.36 (0.00)</v>
      </c>
      <c r="AT188" s="4">
        <f t="shared" ca="1" si="58"/>
        <v>0.3620575221238938</v>
      </c>
      <c r="AU188" s="4">
        <f t="shared" ca="1" si="47"/>
        <v>2.0015705713599045E-3</v>
      </c>
      <c r="AW188" t="s">
        <v>236</v>
      </c>
      <c r="AX188" s="4">
        <f ca="1">+VLOOKUP($A188,INDIRECT(Adrese!B$2),7,FALSE)</f>
        <v>0.34513274336283178</v>
      </c>
      <c r="AY188" s="4">
        <f ca="1">+VLOOKUP($A188,INDIRECT(Adrese!C$2),7,FALSE)</f>
        <v>0.38495575221238942</v>
      </c>
      <c r="AZ188" s="4">
        <f ca="1">+VLOOKUP($A188,INDIRECT(Adrese!D$2),7,FALSE)</f>
        <v>0.40265486725663718</v>
      </c>
      <c r="BA188" s="4">
        <f ca="1">+VLOOKUP($A188,INDIRECT(Adrese!E$2),7,FALSE)</f>
        <v>0.38053097345132741</v>
      </c>
      <c r="BB188" s="4">
        <f ca="1">+VLOOKUP($A188,INDIRECT(Adrese!F$2),7,FALSE)</f>
        <v>0.37168141592920362</v>
      </c>
      <c r="BC188" s="4" t="str">
        <f t="shared" ca="1" si="48"/>
        <v>0.38 (0.02)</v>
      </c>
      <c r="BD188">
        <f t="shared" ca="1" si="59"/>
        <v>0.37699115044247788</v>
      </c>
      <c r="BE188" s="4">
        <f t="shared" ca="1" si="49"/>
        <v>2.1081644689507278E-2</v>
      </c>
      <c r="BG188" t="s">
        <v>236</v>
      </c>
      <c r="BH188" s="4">
        <f ca="1">+VLOOKUP($BG188,INDIRECT(Adrese!B$2),8,FALSE)</f>
        <v>5.1995872472918148E-2</v>
      </c>
      <c r="BI188" s="4">
        <f ca="1">+VLOOKUP($BG188,INDIRECT(Adrese!C$2),8,FALSE)</f>
        <v>5.2492984481971497E-2</v>
      </c>
      <c r="BJ188" s="4">
        <f ca="1">+VLOOKUP($BG188,INDIRECT(Adrese!D$2),8,FALSE)</f>
        <v>5.3159201732469387E-2</v>
      </c>
      <c r="BK188" s="4">
        <f ca="1">+VLOOKUP($BG188,INDIRECT(Adrese!E$2),8,FALSE)</f>
        <v>5.2741199197915561E-2</v>
      </c>
      <c r="BL188" s="4">
        <f ca="1">+VLOOKUP($BG188,INDIRECT(Adrese!F$2),8,FALSE)</f>
        <v>5.3128257408125927E-2</v>
      </c>
      <c r="BM188" s="4" t="str">
        <f t="shared" ca="1" si="50"/>
        <v>0.05 (0.00)</v>
      </c>
      <c r="BN188" s="4">
        <f t="shared" ca="1" si="60"/>
        <v>5.2703503058680101E-2</v>
      </c>
      <c r="BO188" s="4">
        <f t="shared" ca="1" si="51"/>
        <v>4.8336261094155335E-4</v>
      </c>
      <c r="BQ188" t="s">
        <v>236</v>
      </c>
      <c r="BR188" s="4">
        <f ca="1">+VLOOKUP($BG188,INDIRECT(Adrese!B$2),9,FALSE)</f>
        <v>8.4551196136081738E-2</v>
      </c>
      <c r="BS188" s="4">
        <f ca="1">+VLOOKUP($BG188,INDIRECT(Adrese!C$2),9,FALSE)</f>
        <v>8.537864871881333E-2</v>
      </c>
      <c r="BT188" s="4">
        <f ca="1">+VLOOKUP($BG188,INDIRECT(Adrese!D$2),9,FALSE)</f>
        <v>8.66975726215473E-2</v>
      </c>
      <c r="BU188" s="4">
        <f ca="1">+VLOOKUP($BG188,INDIRECT(Adrese!E$2),9,FALSE)</f>
        <v>8.7708356400742579E-2</v>
      </c>
      <c r="BV188" s="4">
        <f ca="1">+VLOOKUP($BG188,INDIRECT(Adrese!F$2),9,FALSE)</f>
        <v>8.8004466700770764E-2</v>
      </c>
      <c r="BW188" s="4" t="str">
        <f t="shared" ca="1" si="52"/>
        <v>0.09 (0.00)</v>
      </c>
      <c r="BX188" s="4">
        <f t="shared" ca="1" si="61"/>
        <v>8.646804811559114E-2</v>
      </c>
      <c r="BY188" s="4">
        <f t="shared" ca="1" si="53"/>
        <v>1.484313036979064E-3</v>
      </c>
    </row>
    <row r="189" spans="1:77" x14ac:dyDescent="0.25">
      <c r="A189" t="s">
        <v>237</v>
      </c>
      <c r="B189" s="11">
        <f ca="1">+VLOOKUP($A189,INDIRECT(Adrese!B$2),2,FALSE)</f>
        <v>219</v>
      </c>
      <c r="C189" s="11">
        <f ca="1">+VLOOKUP($A189,INDIRECT(Adrese!C$2),2,FALSE)</f>
        <v>202</v>
      </c>
      <c r="D189" s="11">
        <f ca="1">+VLOOKUP($A189,INDIRECT(Adrese!D$2),2,FALSE)</f>
        <v>201</v>
      </c>
      <c r="E189" s="11">
        <f ca="1">+VLOOKUP($A189,INDIRECT(Adrese!E$2),2,FALSE)</f>
        <v>209</v>
      </c>
      <c r="F189" s="11">
        <f ca="1">+VLOOKUP($A189,INDIRECT(Adrese!F$2),2,FALSE)</f>
        <v>202</v>
      </c>
      <c r="G189" s="4">
        <f t="shared" ca="1" si="54"/>
        <v>206.6</v>
      </c>
      <c r="J189" t="s">
        <v>237</v>
      </c>
      <c r="K189">
        <f ca="1">+VLOOKUP($A189,INDIRECT(Adrese!B$2),3,FALSE)</f>
        <v>51</v>
      </c>
      <c r="L189">
        <f ca="1">+VLOOKUP($A189,INDIRECT(Adrese!C$2),3,FALSE)</f>
        <v>48</v>
      </c>
      <c r="M189">
        <f ca="1">+VLOOKUP($A189,INDIRECT(Adrese!D$2),3,FALSE)</f>
        <v>55</v>
      </c>
      <c r="N189">
        <f ca="1">+VLOOKUP($A189,INDIRECT(Adrese!E$2),3,FALSE)</f>
        <v>53</v>
      </c>
      <c r="O189">
        <f ca="1">+VLOOKUP($A189,INDIRECT(Adrese!F$2),3,FALSE)</f>
        <v>49</v>
      </c>
      <c r="P189">
        <f t="shared" ca="1" si="44"/>
        <v>256</v>
      </c>
      <c r="Q189" s="4">
        <f t="shared" ca="1" si="55"/>
        <v>51.2</v>
      </c>
      <c r="R189" s="4"/>
      <c r="T189" t="s">
        <v>237</v>
      </c>
      <c r="U189">
        <f ca="1">+VLOOKUP($T189,INDIRECT(Adrese!B$2),4,FALSE)</f>
        <v>86710</v>
      </c>
      <c r="V189">
        <f ca="1">+VLOOKUP($T189,INDIRECT(Adrese!C$2),4,FALSE)</f>
        <v>88520</v>
      </c>
      <c r="W189">
        <f ca="1">+VLOOKUP($T189,INDIRECT(Adrese!D$2),4,FALSE)</f>
        <v>88306</v>
      </c>
      <c r="X189">
        <f ca="1">+VLOOKUP($T189,INDIRECT(Adrese!E$2),4,FALSE)</f>
        <v>87465</v>
      </c>
      <c r="Y189">
        <f ca="1">+VLOOKUP($T189,INDIRECT(Adrese!F$2),4,FALSE)</f>
        <v>88449</v>
      </c>
      <c r="Z189">
        <f t="shared" ca="1" si="45"/>
        <v>439450</v>
      </c>
      <c r="AA189" s="4">
        <f t="shared" ca="1" si="56"/>
        <v>87890</v>
      </c>
      <c r="AC189" t="s">
        <v>237</v>
      </c>
      <c r="AD189">
        <f ca="1">+VLOOKUP($A189,INDIRECT(Adrese!B$2),5,FALSE)</f>
        <v>34932</v>
      </c>
      <c r="AE189">
        <f ca="1">+VLOOKUP($A189,INDIRECT(Adrese!C$2),5,FALSE)</f>
        <v>34813</v>
      </c>
      <c r="AF189">
        <f ca="1">+VLOOKUP($A189,INDIRECT(Adrese!D$2),5,FALSE)</f>
        <v>34846</v>
      </c>
      <c r="AG189">
        <f ca="1">+VLOOKUP($A189,INDIRECT(Adrese!E$2),5,FALSE)</f>
        <v>34905</v>
      </c>
      <c r="AH189">
        <f ca="1">+VLOOKUP($A189,INDIRECT(Adrese!F$2),5,FALSE)</f>
        <v>34837</v>
      </c>
      <c r="AI189" s="4">
        <f t="shared" ca="1" si="57"/>
        <v>34866.6</v>
      </c>
      <c r="AJ189" s="4"/>
      <c r="AK189" s="4"/>
      <c r="AM189" t="s">
        <v>237</v>
      </c>
      <c r="AN189" s="4">
        <f ca="1">+VLOOKUP($A189,INDIRECT(Adrese!B$2),6,FALSE)</f>
        <v>0.76935840707964598</v>
      </c>
      <c r="AO189" s="4">
        <f ca="1">+VLOOKUP($A189,INDIRECT(Adrese!C$2),6,FALSE)</f>
        <v>0.76674778761061946</v>
      </c>
      <c r="AP189" s="4">
        <f ca="1">+VLOOKUP($A189,INDIRECT(Adrese!D$2),6,FALSE)</f>
        <v>0.76761061946902653</v>
      </c>
      <c r="AQ189" s="4">
        <f ca="1">+VLOOKUP($A189,INDIRECT(Adrese!E$2),6,FALSE)</f>
        <v>0.76891592920353979</v>
      </c>
      <c r="AR189" s="4">
        <f ca="1">+VLOOKUP($A189,INDIRECT(Adrese!F$2),6,FALSE)</f>
        <v>0.76745575221238937</v>
      </c>
      <c r="AS189" s="4" t="str">
        <f t="shared" ca="1" si="46"/>
        <v>0.77 (0.00)</v>
      </c>
      <c r="AT189" s="4">
        <f t="shared" ca="1" si="58"/>
        <v>0.76801769911504425</v>
      </c>
      <c r="AU189" s="4">
        <f t="shared" ca="1" si="47"/>
        <v>1.0837998577805979E-3</v>
      </c>
      <c r="AW189" t="s">
        <v>237</v>
      </c>
      <c r="AX189" s="4">
        <f ca="1">+VLOOKUP($A189,INDIRECT(Adrese!B$2),7,FALSE)</f>
        <v>0.77433628318584069</v>
      </c>
      <c r="AY189" s="4">
        <f ca="1">+VLOOKUP($A189,INDIRECT(Adrese!C$2),7,FALSE)</f>
        <v>0.78761061946902655</v>
      </c>
      <c r="AZ189" s="4">
        <f ca="1">+VLOOKUP($A189,INDIRECT(Adrese!D$2),7,FALSE)</f>
        <v>0.75663716814159288</v>
      </c>
      <c r="BA189" s="4">
        <f ca="1">+VLOOKUP($A189,INDIRECT(Adrese!E$2),7,FALSE)</f>
        <v>0.76548672566371678</v>
      </c>
      <c r="BB189" s="4">
        <f ca="1">+VLOOKUP($A189,INDIRECT(Adrese!F$2),7,FALSE)</f>
        <v>0.7831858407079646</v>
      </c>
      <c r="BC189" s="4" t="str">
        <f t="shared" ca="1" si="48"/>
        <v>0.77 (0.01)</v>
      </c>
      <c r="BD189">
        <f t="shared" ca="1" si="59"/>
        <v>0.77345132743362821</v>
      </c>
      <c r="BE189" s="4">
        <f t="shared" ca="1" si="49"/>
        <v>1.2670638109094138E-2</v>
      </c>
      <c r="BG189" t="s">
        <v>237</v>
      </c>
      <c r="BH189" s="4">
        <f ca="1">+VLOOKUP($BG189,INDIRECT(Adrese!B$2),8,FALSE)</f>
        <v>9.8012239420543726E-2</v>
      </c>
      <c r="BI189" s="4">
        <f ca="1">+VLOOKUP($BG189,INDIRECT(Adrese!C$2),8,FALSE)</f>
        <v>9.769885783500025E-2</v>
      </c>
      <c r="BJ189" s="4">
        <f ca="1">+VLOOKUP($BG189,INDIRECT(Adrese!D$2),8,FALSE)</f>
        <v>9.75462489461877E-2</v>
      </c>
      <c r="BK189" s="4">
        <f ca="1">+VLOOKUP($BG189,INDIRECT(Adrese!E$2),8,FALSE)</f>
        <v>9.7850441901246241E-2</v>
      </c>
      <c r="BL189" s="4">
        <f ca="1">+VLOOKUP($BG189,INDIRECT(Adrese!F$2),8,FALSE)</f>
        <v>9.7882411901006258E-2</v>
      </c>
      <c r="BM189" s="4" t="str">
        <f t="shared" ca="1" si="50"/>
        <v>0.10 (0.00)</v>
      </c>
      <c r="BN189" s="4">
        <f t="shared" ca="1" si="60"/>
        <v>9.7798040000796838E-2</v>
      </c>
      <c r="BO189" s="4">
        <f t="shared" ca="1" si="51"/>
        <v>1.7957018497571147E-4</v>
      </c>
      <c r="BQ189" t="s">
        <v>237</v>
      </c>
      <c r="BR189" s="4">
        <f ca="1">+VLOOKUP($BG189,INDIRECT(Adrese!B$2),9,FALSE)</f>
        <v>-6.2809712608791562E-2</v>
      </c>
      <c r="BS189" s="4">
        <f ca="1">+VLOOKUP($BG189,INDIRECT(Adrese!C$2),9,FALSE)</f>
        <v>-6.4027746065658322E-2</v>
      </c>
      <c r="BT189" s="4">
        <f ca="1">+VLOOKUP($BG189,INDIRECT(Adrese!D$2),9,FALSE)</f>
        <v>-6.4185724611878991E-2</v>
      </c>
      <c r="BU189" s="4">
        <f ca="1">+VLOOKUP($BG189,INDIRECT(Adrese!E$2),9,FALSE)</f>
        <v>-6.3674090572037614E-2</v>
      </c>
      <c r="BV189" s="4">
        <f ca="1">+VLOOKUP($BG189,INDIRECT(Adrese!F$2),9,FALSE)</f>
        <v>-6.4041707893494657E-2</v>
      </c>
      <c r="BW189" s="4" t="str">
        <f t="shared" ca="1" si="52"/>
        <v>-0.06 (0.00)</v>
      </c>
      <c r="BX189" s="4">
        <f t="shared" ca="1" si="61"/>
        <v>-6.3747796350372227E-2</v>
      </c>
      <c r="BY189" s="4">
        <f t="shared" ca="1" si="53"/>
        <v>5.5721868428687874E-4</v>
      </c>
    </row>
    <row r="190" spans="1:77" x14ac:dyDescent="0.25">
      <c r="A190" t="s">
        <v>238</v>
      </c>
      <c r="B190" s="11">
        <f ca="1">+VLOOKUP($A190,INDIRECT(Adrese!B$2),2,FALSE)</f>
        <v>81</v>
      </c>
      <c r="C190" s="11">
        <f ca="1">+VLOOKUP($A190,INDIRECT(Adrese!C$2),2,FALSE)</f>
        <v>148</v>
      </c>
      <c r="D190" s="11">
        <f ca="1">+VLOOKUP($A190,INDIRECT(Adrese!D$2),2,FALSE)</f>
        <v>119</v>
      </c>
      <c r="E190" s="11">
        <f ca="1">+VLOOKUP($A190,INDIRECT(Adrese!E$2),2,FALSE)</f>
        <v>80</v>
      </c>
      <c r="F190" s="11">
        <f ca="1">+VLOOKUP($A190,INDIRECT(Adrese!F$2),2,FALSE)</f>
        <v>66</v>
      </c>
      <c r="G190" s="4">
        <f t="shared" ca="1" si="54"/>
        <v>98.8</v>
      </c>
      <c r="J190" t="s">
        <v>238</v>
      </c>
      <c r="K190">
        <f ca="1">+VLOOKUP($A190,INDIRECT(Adrese!B$2),3,FALSE)</f>
        <v>152</v>
      </c>
      <c r="L190">
        <f ca="1">+VLOOKUP($A190,INDIRECT(Adrese!C$2),3,FALSE)</f>
        <v>142</v>
      </c>
      <c r="M190">
        <f ca="1">+VLOOKUP($A190,INDIRECT(Adrese!D$2),3,FALSE)</f>
        <v>143</v>
      </c>
      <c r="N190">
        <f ca="1">+VLOOKUP($A190,INDIRECT(Adrese!E$2),3,FALSE)</f>
        <v>148</v>
      </c>
      <c r="O190">
        <f ca="1">+VLOOKUP($A190,INDIRECT(Adrese!F$2),3,FALSE)</f>
        <v>139</v>
      </c>
      <c r="P190">
        <f t="shared" ca="1" si="44"/>
        <v>724</v>
      </c>
      <c r="Q190" s="4">
        <f t="shared" ca="1" si="55"/>
        <v>144.80000000000001</v>
      </c>
      <c r="R190" s="4"/>
      <c r="T190" t="s">
        <v>238</v>
      </c>
      <c r="U190">
        <f ca="1">+VLOOKUP($T190,INDIRECT(Adrese!B$2),4,FALSE)</f>
        <v>96443</v>
      </c>
      <c r="V190">
        <f ca="1">+VLOOKUP($T190,INDIRECT(Adrese!C$2),4,FALSE)</f>
        <v>93696</v>
      </c>
      <c r="W190">
        <f ca="1">+VLOOKUP($T190,INDIRECT(Adrese!D$2),4,FALSE)</f>
        <v>94871</v>
      </c>
      <c r="X190">
        <f ca="1">+VLOOKUP($T190,INDIRECT(Adrese!E$2),4,FALSE)</f>
        <v>96437</v>
      </c>
      <c r="Y190">
        <f ca="1">+VLOOKUP($T190,INDIRECT(Adrese!F$2),4,FALSE)</f>
        <v>96955</v>
      </c>
      <c r="Z190">
        <f t="shared" ca="1" si="45"/>
        <v>478402</v>
      </c>
      <c r="AA190" s="4">
        <f t="shared" ca="1" si="56"/>
        <v>95680.4</v>
      </c>
      <c r="AC190" t="s">
        <v>238</v>
      </c>
      <c r="AD190">
        <f ca="1">+VLOOKUP($A190,INDIRECT(Adrese!B$2),5,FALSE)</f>
        <v>8970</v>
      </c>
      <c r="AE190">
        <f ca="1">+VLOOKUP($A190,INDIRECT(Adrese!C$2),5,FALSE)</f>
        <v>8982</v>
      </c>
      <c r="AF190">
        <f ca="1">+VLOOKUP($A190,INDIRECT(Adrese!D$2),5,FALSE)</f>
        <v>9467</v>
      </c>
      <c r="AG190">
        <f ca="1">+VLOOKUP($A190,INDIRECT(Adrese!E$2),5,FALSE)</f>
        <v>9238</v>
      </c>
      <c r="AH190">
        <f ca="1">+VLOOKUP($A190,INDIRECT(Adrese!F$2),5,FALSE)</f>
        <v>9831</v>
      </c>
      <c r="AI190" s="4">
        <f t="shared" ca="1" si="57"/>
        <v>9297.6</v>
      </c>
      <c r="AJ190" s="4"/>
      <c r="AK190" s="4"/>
      <c r="AM190" t="s">
        <v>238</v>
      </c>
      <c r="AN190" s="4">
        <f ca="1">+VLOOKUP($A190,INDIRECT(Adrese!B$2),6,FALSE)</f>
        <v>0.19626106194690271</v>
      </c>
      <c r="AO190" s="4">
        <f ca="1">+VLOOKUP($A190,INDIRECT(Adrese!C$2),6,FALSE)</f>
        <v>0.1980088495575221</v>
      </c>
      <c r="AP190" s="4">
        <f ca="1">+VLOOKUP($A190,INDIRECT(Adrese!D$2),6,FALSE)</f>
        <v>0.20876106194690269</v>
      </c>
      <c r="AQ190" s="4">
        <f ca="1">+VLOOKUP($A190,INDIRECT(Adrese!E$2),6,FALSE)</f>
        <v>0.2031194690265487</v>
      </c>
      <c r="AR190" s="4">
        <f ca="1">+VLOOKUP($A190,INDIRECT(Adrese!F$2),6,FALSE)</f>
        <v>0.21679203539823011</v>
      </c>
      <c r="AS190" s="4" t="str">
        <f t="shared" ca="1" si="46"/>
        <v>0.20 (0.01)</v>
      </c>
      <c r="AT190" s="4">
        <f t="shared" ca="1" si="58"/>
        <v>0.20458849557522124</v>
      </c>
      <c r="AU190" s="4">
        <f t="shared" ca="1" si="47"/>
        <v>8.3835050231217366E-3</v>
      </c>
      <c r="AW190" t="s">
        <v>238</v>
      </c>
      <c r="AX190" s="4">
        <f ca="1">+VLOOKUP($A190,INDIRECT(Adrese!B$2),7,FALSE)</f>
        <v>0.32743362831858408</v>
      </c>
      <c r="AY190" s="4">
        <f ca="1">+VLOOKUP($A190,INDIRECT(Adrese!C$2),7,FALSE)</f>
        <v>0.37168141592920362</v>
      </c>
      <c r="AZ190" s="4">
        <f ca="1">+VLOOKUP($A190,INDIRECT(Adrese!D$2),7,FALSE)</f>
        <v>0.36725663716814161</v>
      </c>
      <c r="BA190" s="4">
        <f ca="1">+VLOOKUP($A190,INDIRECT(Adrese!E$2),7,FALSE)</f>
        <v>0.34513274336283178</v>
      </c>
      <c r="BB190" s="4">
        <f ca="1">+VLOOKUP($A190,INDIRECT(Adrese!F$2),7,FALSE)</f>
        <v>0.38495575221238942</v>
      </c>
      <c r="BC190" s="4" t="str">
        <f t="shared" ca="1" si="48"/>
        <v>0.36 (0.02)</v>
      </c>
      <c r="BD190">
        <f t="shared" ca="1" si="59"/>
        <v>0.35929203539823007</v>
      </c>
      <c r="BE190" s="4">
        <f t="shared" ca="1" si="49"/>
        <v>2.2863735721705896E-2</v>
      </c>
      <c r="BG190" t="s">
        <v>238</v>
      </c>
      <c r="BH190" s="4">
        <f ca="1">+VLOOKUP($BG190,INDIRECT(Adrese!B$2),8,FALSE)</f>
        <v>2.556489735205468E-2</v>
      </c>
      <c r="BI190" s="4">
        <f ca="1">+VLOOKUP($BG190,INDIRECT(Adrese!C$2),8,FALSE)</f>
        <v>2.5522399911879368E-2</v>
      </c>
      <c r="BJ190" s="4">
        <f ca="1">+VLOOKUP($BG190,INDIRECT(Adrese!D$2),8,FALSE)</f>
        <v>2.7316401057725981E-2</v>
      </c>
      <c r="BK190" s="4">
        <f ca="1">+VLOOKUP($BG190,INDIRECT(Adrese!E$2),8,FALSE)</f>
        <v>2.57404762670954E-2</v>
      </c>
      <c r="BL190" s="4">
        <f ca="1">+VLOOKUP($BG190,INDIRECT(Adrese!F$2),8,FALSE)</f>
        <v>2.7838820173712642E-2</v>
      </c>
      <c r="BM190" s="4" t="str">
        <f t="shared" ca="1" si="50"/>
        <v>0.03 (0.00)</v>
      </c>
      <c r="BN190" s="4">
        <f t="shared" ca="1" si="60"/>
        <v>2.6396598952493612E-2</v>
      </c>
      <c r="BO190" s="4">
        <f t="shared" ca="1" si="51"/>
        <v>1.0968690050322913E-3</v>
      </c>
      <c r="BQ190" t="s">
        <v>238</v>
      </c>
      <c r="BR190" s="4">
        <f ca="1">+VLOOKUP($BG190,INDIRECT(Adrese!B$2),9,FALSE)</f>
        <v>7.2478121984904026E-2</v>
      </c>
      <c r="BS190" s="4">
        <f ca="1">+VLOOKUP($BG190,INDIRECT(Adrese!C$2),9,FALSE)</f>
        <v>7.2368583074445741E-2</v>
      </c>
      <c r="BT190" s="4">
        <f ca="1">+VLOOKUP($BG190,INDIRECT(Adrese!D$2),9,FALSE)</f>
        <v>6.7972970722445972E-2</v>
      </c>
      <c r="BU190" s="4">
        <f ca="1">+VLOOKUP($BG190,INDIRECT(Adrese!E$2),9,FALSE)</f>
        <v>6.5558737590051874E-2</v>
      </c>
      <c r="BV190" s="4">
        <f ca="1">+VLOOKUP($BG190,INDIRECT(Adrese!F$2),9,FALSE)</f>
        <v>6.591900718741843E-2</v>
      </c>
      <c r="BW190" s="4" t="str">
        <f t="shared" ca="1" si="52"/>
        <v>0.07 (0.00)</v>
      </c>
      <c r="BX190" s="4">
        <f t="shared" ca="1" si="61"/>
        <v>6.8859484111853206E-2</v>
      </c>
      <c r="BY190" s="4">
        <f t="shared" ca="1" si="53"/>
        <v>3.3814033225667219E-3</v>
      </c>
    </row>
    <row r="191" spans="1:77" x14ac:dyDescent="0.25">
      <c r="A191" t="s">
        <v>239</v>
      </c>
      <c r="B191" s="11">
        <f ca="1">+VLOOKUP($A191,INDIRECT(Adrese!B$2),2,FALSE)</f>
        <v>217</v>
      </c>
      <c r="C191" s="11">
        <f ca="1">+VLOOKUP($A191,INDIRECT(Adrese!C$2),2,FALSE)</f>
        <v>216</v>
      </c>
      <c r="D191" s="11">
        <f ca="1">+VLOOKUP($A191,INDIRECT(Adrese!D$2),2,FALSE)</f>
        <v>215</v>
      </c>
      <c r="E191" s="11">
        <f ca="1">+VLOOKUP($A191,INDIRECT(Adrese!E$2),2,FALSE)</f>
        <v>225</v>
      </c>
      <c r="F191" s="11">
        <f ca="1">+VLOOKUP($A191,INDIRECT(Adrese!F$2),2,FALSE)</f>
        <v>217</v>
      </c>
      <c r="G191" s="4">
        <f t="shared" ca="1" si="54"/>
        <v>218</v>
      </c>
      <c r="J191" t="s">
        <v>239</v>
      </c>
      <c r="K191">
        <f ca="1">+VLOOKUP($A191,INDIRECT(Adrese!B$2),3,FALSE)</f>
        <v>16</v>
      </c>
      <c r="L191">
        <f ca="1">+VLOOKUP($A191,INDIRECT(Adrese!C$2),3,FALSE)</f>
        <v>20</v>
      </c>
      <c r="M191">
        <f ca="1">+VLOOKUP($A191,INDIRECT(Adrese!D$2),3,FALSE)</f>
        <v>16</v>
      </c>
      <c r="N191">
        <f ca="1">+VLOOKUP($A191,INDIRECT(Adrese!E$2),3,FALSE)</f>
        <v>17</v>
      </c>
      <c r="O191">
        <f ca="1">+VLOOKUP($A191,INDIRECT(Adrese!F$2),3,FALSE)</f>
        <v>14</v>
      </c>
      <c r="P191">
        <f t="shared" ca="1" si="44"/>
        <v>83</v>
      </c>
      <c r="Q191" s="4">
        <f t="shared" ca="1" si="55"/>
        <v>16.600000000000001</v>
      </c>
      <c r="R191" s="4"/>
      <c r="T191" t="s">
        <v>239</v>
      </c>
      <c r="U191">
        <f ca="1">+VLOOKUP($T191,INDIRECT(Adrese!B$2),4,FALSE)</f>
        <v>86747</v>
      </c>
      <c r="V191">
        <f ca="1">+VLOOKUP($T191,INDIRECT(Adrese!C$2),4,FALSE)</f>
        <v>87195</v>
      </c>
      <c r="W191">
        <f ca="1">+VLOOKUP($T191,INDIRECT(Adrese!D$2),4,FALSE)</f>
        <v>87230</v>
      </c>
      <c r="X191">
        <f ca="1">+VLOOKUP($T191,INDIRECT(Adrese!E$2),4,FALSE)</f>
        <v>85940</v>
      </c>
      <c r="Y191">
        <f ca="1">+VLOOKUP($T191,INDIRECT(Adrese!F$2),4,FALSE)</f>
        <v>86966</v>
      </c>
      <c r="Z191">
        <f t="shared" ca="1" si="45"/>
        <v>434078</v>
      </c>
      <c r="AA191" s="4">
        <f t="shared" ca="1" si="56"/>
        <v>86815.6</v>
      </c>
      <c r="AC191" t="s">
        <v>239</v>
      </c>
      <c r="AD191">
        <f ca="1">+VLOOKUP($A191,INDIRECT(Adrese!B$2),5,FALSE)</f>
        <v>40365</v>
      </c>
      <c r="AE191">
        <f ca="1">+VLOOKUP($A191,INDIRECT(Adrese!C$2),5,FALSE)</f>
        <v>40275</v>
      </c>
      <c r="AF191">
        <f ca="1">+VLOOKUP($A191,INDIRECT(Adrese!D$2),5,FALSE)</f>
        <v>40401</v>
      </c>
      <c r="AG191">
        <f ca="1">+VLOOKUP($A191,INDIRECT(Adrese!E$2),5,FALSE)</f>
        <v>40380</v>
      </c>
      <c r="AH191">
        <f ca="1">+VLOOKUP($A191,INDIRECT(Adrese!F$2),5,FALSE)</f>
        <v>40276</v>
      </c>
      <c r="AI191" s="4">
        <f t="shared" ca="1" si="57"/>
        <v>40339.4</v>
      </c>
      <c r="AJ191" s="4"/>
      <c r="AK191" s="4"/>
      <c r="AM191" t="s">
        <v>239</v>
      </c>
      <c r="AN191" s="4">
        <f ca="1">+VLOOKUP($A191,INDIRECT(Adrese!B$2),6,FALSE)</f>
        <v>0.88907079646017695</v>
      </c>
      <c r="AO191" s="4">
        <f ca="1">+VLOOKUP($A191,INDIRECT(Adrese!C$2),6,FALSE)</f>
        <v>0.8869690265486726</v>
      </c>
      <c r="AP191" s="4">
        <f ca="1">+VLOOKUP($A191,INDIRECT(Adrese!D$2),6,FALSE)</f>
        <v>0.89006637168141589</v>
      </c>
      <c r="AQ191" s="4">
        <f ca="1">+VLOOKUP($A191,INDIRECT(Adrese!E$2),6,FALSE)</f>
        <v>0.88953539823008854</v>
      </c>
      <c r="AR191" s="4">
        <f ca="1">+VLOOKUP($A191,INDIRECT(Adrese!F$2),6,FALSE)</f>
        <v>0.88730088495575221</v>
      </c>
      <c r="AS191" s="4" t="str">
        <f t="shared" ca="1" si="46"/>
        <v>0.89 (0.00)</v>
      </c>
      <c r="AT191" s="4">
        <f t="shared" ca="1" si="58"/>
        <v>0.88858849557522124</v>
      </c>
      <c r="AU191" s="4">
        <f t="shared" ca="1" si="47"/>
        <v>1.3778586286340001E-3</v>
      </c>
      <c r="AW191" t="s">
        <v>239</v>
      </c>
      <c r="AX191" s="4">
        <f ca="1">+VLOOKUP($A191,INDIRECT(Adrese!B$2),7,FALSE)</f>
        <v>0.92920353982300885</v>
      </c>
      <c r="AY191" s="4">
        <f ca="1">+VLOOKUP($A191,INDIRECT(Adrese!C$2),7,FALSE)</f>
        <v>0.91150442477876104</v>
      </c>
      <c r="AZ191" s="4">
        <f ca="1">+VLOOKUP($A191,INDIRECT(Adrese!D$2),7,FALSE)</f>
        <v>0.92920353982300885</v>
      </c>
      <c r="BA191" s="4">
        <f ca="1">+VLOOKUP($A191,INDIRECT(Adrese!E$2),7,FALSE)</f>
        <v>0.9247787610619469</v>
      </c>
      <c r="BB191" s="4">
        <f ca="1">+VLOOKUP($A191,INDIRECT(Adrese!F$2),7,FALSE)</f>
        <v>0.93805309734513276</v>
      </c>
      <c r="BC191" s="4" t="str">
        <f t="shared" ca="1" si="48"/>
        <v>0.93 (0.01)</v>
      </c>
      <c r="BD191">
        <f t="shared" ca="1" si="59"/>
        <v>0.92654867256637163</v>
      </c>
      <c r="BE191" s="4">
        <f t="shared" ca="1" si="49"/>
        <v>9.6942045576135748E-3</v>
      </c>
      <c r="BG191" t="s">
        <v>239</v>
      </c>
      <c r="BH191" s="4">
        <f ca="1">+VLOOKUP($BG191,INDIRECT(Adrese!B$2),8,FALSE)</f>
        <v>0.11324290854715049</v>
      </c>
      <c r="BI191" s="4">
        <f ca="1">+VLOOKUP($BG191,INDIRECT(Adrese!C$2),8,FALSE)</f>
        <v>0.1130955059679201</v>
      </c>
      <c r="BJ191" s="4">
        <f ca="1">+VLOOKUP($BG191,INDIRECT(Adrese!D$2),8,FALSE)</f>
        <v>0.1133407645046396</v>
      </c>
      <c r="BK191" s="4">
        <f ca="1">+VLOOKUP($BG191,INDIRECT(Adrese!E$2),8,FALSE)</f>
        <v>0.113145515157687</v>
      </c>
      <c r="BL191" s="4">
        <f ca="1">+VLOOKUP($BG191,INDIRECT(Adrese!F$2),8,FALSE)</f>
        <v>0.1131176436721569</v>
      </c>
      <c r="BM191" s="4" t="str">
        <f t="shared" ca="1" si="50"/>
        <v>0.11 (0.00)</v>
      </c>
      <c r="BN191" s="4">
        <f t="shared" ca="1" si="60"/>
        <v>0.11318846756991081</v>
      </c>
      <c r="BO191" s="4">
        <f t="shared" ca="1" si="51"/>
        <v>1.0205509539481177E-4</v>
      </c>
      <c r="BQ191" t="s">
        <v>239</v>
      </c>
      <c r="BR191" s="4">
        <f ca="1">+VLOOKUP($BG191,INDIRECT(Adrese!B$2),9,FALSE)</f>
        <v>-9.186453591320122E-2</v>
      </c>
      <c r="BS191" s="4">
        <f ca="1">+VLOOKUP($BG191,INDIRECT(Adrese!C$2),9,FALSE)</f>
        <v>-9.2298284337702735E-2</v>
      </c>
      <c r="BT191" s="4">
        <f ca="1">+VLOOKUP($BG191,INDIRECT(Adrese!D$2),9,FALSE)</f>
        <v>-9.2335389380978045E-2</v>
      </c>
      <c r="BU191" s="4">
        <f ca="1">+VLOOKUP($BG191,INDIRECT(Adrese!E$2),9,FALSE)</f>
        <v>-9.3263272488669419E-2</v>
      </c>
      <c r="BV191" s="4">
        <f ca="1">+VLOOKUP($BG191,INDIRECT(Adrese!F$2),9,FALSE)</f>
        <v>-9.0231076524796644E-2</v>
      </c>
      <c r="BW191" s="4" t="str">
        <f t="shared" ca="1" si="52"/>
        <v>-0.09 (0.00)</v>
      </c>
      <c r="BX191" s="4">
        <f t="shared" ca="1" si="61"/>
        <v>-9.1998511729069615E-2</v>
      </c>
      <c r="BY191" s="4">
        <f t="shared" ca="1" si="53"/>
        <v>1.1118393171684652E-3</v>
      </c>
    </row>
    <row r="192" spans="1:77" x14ac:dyDescent="0.25">
      <c r="A192" t="s">
        <v>240</v>
      </c>
      <c r="B192" s="11">
        <f ca="1">+VLOOKUP($A192,INDIRECT(Adrese!B$2),2,FALSE)</f>
        <v>179</v>
      </c>
      <c r="C192" s="11">
        <f ca="1">+VLOOKUP($A192,INDIRECT(Adrese!C$2),2,FALSE)</f>
        <v>181</v>
      </c>
      <c r="D192" s="11">
        <f ca="1">+VLOOKUP($A192,INDIRECT(Adrese!D$2),2,FALSE)</f>
        <v>178</v>
      </c>
      <c r="E192" s="11">
        <f ca="1">+VLOOKUP($A192,INDIRECT(Adrese!E$2),2,FALSE)</f>
        <v>179</v>
      </c>
      <c r="F192" s="11">
        <f ca="1">+VLOOKUP($A192,INDIRECT(Adrese!F$2),2,FALSE)</f>
        <v>191</v>
      </c>
      <c r="G192" s="4">
        <f t="shared" ca="1" si="54"/>
        <v>181.6</v>
      </c>
      <c r="J192" t="s">
        <v>240</v>
      </c>
      <c r="K192">
        <f ca="1">+VLOOKUP($A192,INDIRECT(Adrese!B$2),3,FALSE)</f>
        <v>83</v>
      </c>
      <c r="L192">
        <f ca="1">+VLOOKUP($A192,INDIRECT(Adrese!C$2),3,FALSE)</f>
        <v>80</v>
      </c>
      <c r="M192">
        <f ca="1">+VLOOKUP($A192,INDIRECT(Adrese!D$2),3,FALSE)</f>
        <v>84</v>
      </c>
      <c r="N192">
        <f ca="1">+VLOOKUP($A192,INDIRECT(Adrese!E$2),3,FALSE)</f>
        <v>86</v>
      </c>
      <c r="O192">
        <f ca="1">+VLOOKUP($A192,INDIRECT(Adrese!F$2),3,FALSE)</f>
        <v>82</v>
      </c>
      <c r="P192">
        <f t="shared" ca="1" si="44"/>
        <v>415</v>
      </c>
      <c r="Q192" s="4">
        <f t="shared" ca="1" si="55"/>
        <v>83</v>
      </c>
      <c r="R192" s="4"/>
      <c r="T192" t="s">
        <v>240</v>
      </c>
      <c r="U192">
        <f ca="1">+VLOOKUP($T192,INDIRECT(Adrese!B$2),4,FALSE)</f>
        <v>91405</v>
      </c>
      <c r="V192">
        <f ca="1">+VLOOKUP($T192,INDIRECT(Adrese!C$2),4,FALSE)</f>
        <v>90211</v>
      </c>
      <c r="W192">
        <f ca="1">+VLOOKUP($T192,INDIRECT(Adrese!D$2),4,FALSE)</f>
        <v>91124</v>
      </c>
      <c r="X192">
        <f ca="1">+VLOOKUP($T192,INDIRECT(Adrese!E$2),4,FALSE)</f>
        <v>91005</v>
      </c>
      <c r="Y192">
        <f ca="1">+VLOOKUP($T192,INDIRECT(Adrese!F$2),4,FALSE)</f>
        <v>89508</v>
      </c>
      <c r="Z192">
        <f t="shared" ca="1" si="45"/>
        <v>453253</v>
      </c>
      <c r="AA192" s="4">
        <f t="shared" ca="1" si="56"/>
        <v>90650.6</v>
      </c>
      <c r="AC192" t="s">
        <v>240</v>
      </c>
      <c r="AD192">
        <f ca="1">+VLOOKUP($A192,INDIRECT(Adrese!B$2),5,FALSE)</f>
        <v>21647</v>
      </c>
      <c r="AE192">
        <f ca="1">+VLOOKUP($A192,INDIRECT(Adrese!C$2),5,FALSE)</f>
        <v>21673</v>
      </c>
      <c r="AF192">
        <f ca="1">+VLOOKUP($A192,INDIRECT(Adrese!D$2),5,FALSE)</f>
        <v>21804</v>
      </c>
      <c r="AG192">
        <f ca="1">+VLOOKUP($A192,INDIRECT(Adrese!E$2),5,FALSE)</f>
        <v>21587</v>
      </c>
      <c r="AH192">
        <f ca="1">+VLOOKUP($A192,INDIRECT(Adrese!F$2),5,FALSE)</f>
        <v>21674</v>
      </c>
      <c r="AI192" s="4">
        <f t="shared" ca="1" si="57"/>
        <v>21677</v>
      </c>
      <c r="AJ192" s="4"/>
      <c r="AK192" s="4"/>
      <c r="AM192" t="s">
        <v>240</v>
      </c>
      <c r="AN192" s="4">
        <f ca="1">+VLOOKUP($A192,INDIRECT(Adrese!B$2),6,FALSE)</f>
        <v>0.4766371681415929</v>
      </c>
      <c r="AO192" s="4">
        <f ca="1">+VLOOKUP($A192,INDIRECT(Adrese!C$2),6,FALSE)</f>
        <v>0.47727876106194689</v>
      </c>
      <c r="AP192" s="4">
        <f ca="1">+VLOOKUP($A192,INDIRECT(Adrese!D$2),6,FALSE)</f>
        <v>0.48033185840707959</v>
      </c>
      <c r="AQ192" s="4">
        <f ca="1">+VLOOKUP($A192,INDIRECT(Adrese!E$2),6,FALSE)</f>
        <v>0.475287610619469</v>
      </c>
      <c r="AR192" s="4">
        <f ca="1">+VLOOKUP($A192,INDIRECT(Adrese!F$2),6,FALSE)</f>
        <v>0.47710176991150438</v>
      </c>
      <c r="AS192" s="4" t="str">
        <f t="shared" ca="1" si="46"/>
        <v>0.48 (0.00)</v>
      </c>
      <c r="AT192" s="4">
        <f t="shared" ca="1" si="58"/>
        <v>0.47732743362831859</v>
      </c>
      <c r="AU192" s="4">
        <f t="shared" ca="1" si="47"/>
        <v>1.8518373128216165E-3</v>
      </c>
      <c r="AW192" t="s">
        <v>240</v>
      </c>
      <c r="AX192" s="4">
        <f ca="1">+VLOOKUP($A192,INDIRECT(Adrese!B$2),7,FALSE)</f>
        <v>0.63274336283185839</v>
      </c>
      <c r="AY192" s="4">
        <f ca="1">+VLOOKUP($A192,INDIRECT(Adrese!C$2),7,FALSE)</f>
        <v>0.64601769911504425</v>
      </c>
      <c r="AZ192" s="4">
        <f ca="1">+VLOOKUP($A192,INDIRECT(Adrese!D$2),7,FALSE)</f>
        <v>0.62831858407079644</v>
      </c>
      <c r="BA192" s="4">
        <f ca="1">+VLOOKUP($A192,INDIRECT(Adrese!E$2),7,FALSE)</f>
        <v>0.61946902654867253</v>
      </c>
      <c r="BB192" s="4">
        <f ca="1">+VLOOKUP($A192,INDIRECT(Adrese!F$2),7,FALSE)</f>
        <v>0.63716814159292035</v>
      </c>
      <c r="BC192" s="4" t="str">
        <f t="shared" ca="1" si="48"/>
        <v>0.63 (0.01)</v>
      </c>
      <c r="BD192">
        <f t="shared" ca="1" si="59"/>
        <v>0.63274336283185839</v>
      </c>
      <c r="BE192" s="4">
        <f t="shared" ca="1" si="49"/>
        <v>9.8941060951318292E-3</v>
      </c>
      <c r="BG192" t="s">
        <v>240</v>
      </c>
      <c r="BH192" s="4">
        <f ca="1">+VLOOKUP($BG192,INDIRECT(Adrese!B$2),8,FALSE)</f>
        <v>6.4224358637224074E-2</v>
      </c>
      <c r="BI192" s="4">
        <f ca="1">+VLOOKUP($BG192,INDIRECT(Adrese!C$2),8,FALSE)</f>
        <v>6.4300340790038324E-2</v>
      </c>
      <c r="BJ192" s="4">
        <f ca="1">+VLOOKUP($BG192,INDIRECT(Adrese!D$2),8,FALSE)</f>
        <v>6.4544963056170385E-2</v>
      </c>
      <c r="BK192" s="4">
        <f ca="1">+VLOOKUP($BG192,INDIRECT(Adrese!E$2),8,FALSE)</f>
        <v>6.4066219541074609E-2</v>
      </c>
      <c r="BL192" s="4">
        <f ca="1">+VLOOKUP($BG192,INDIRECT(Adrese!F$2),8,FALSE)</f>
        <v>6.4257081559567178E-2</v>
      </c>
      <c r="BM192" s="4" t="str">
        <f t="shared" ca="1" si="50"/>
        <v>0.06 (0.00)</v>
      </c>
      <c r="BN192" s="4">
        <f t="shared" ca="1" si="60"/>
        <v>6.4278592716814922E-2</v>
      </c>
      <c r="BO192" s="4">
        <f t="shared" ca="1" si="51"/>
        <v>1.7315640865017389E-4</v>
      </c>
      <c r="BQ192" t="s">
        <v>240</v>
      </c>
      <c r="BR192" s="4">
        <f ca="1">+VLOOKUP($BG192,INDIRECT(Adrese!B$2),9,FALSE)</f>
        <v>2.9817753433170811E-2</v>
      </c>
      <c r="BS192" s="4">
        <f ca="1">+VLOOKUP($BG192,INDIRECT(Adrese!C$2),9,FALSE)</f>
        <v>2.9267221091716721E-2</v>
      </c>
      <c r="BT192" s="4">
        <f ca="1">+VLOOKUP($BG192,INDIRECT(Adrese!D$2),9,FALSE)</f>
        <v>2.5978431512547012E-2</v>
      </c>
      <c r="BU192" s="4">
        <f ca="1">+VLOOKUP($BG192,INDIRECT(Adrese!E$2),9,FALSE)</f>
        <v>2.8892673561370139E-2</v>
      </c>
      <c r="BV192" s="4">
        <f ca="1">+VLOOKUP($BG192,INDIRECT(Adrese!F$2),9,FALSE)</f>
        <v>2.9585872917936601E-2</v>
      </c>
      <c r="BW192" s="4" t="str">
        <f t="shared" ca="1" si="52"/>
        <v>0.03 (0.00)</v>
      </c>
      <c r="BX192" s="4">
        <f t="shared" ca="1" si="61"/>
        <v>2.8708390503348259E-2</v>
      </c>
      <c r="BY192" s="4">
        <f t="shared" ca="1" si="53"/>
        <v>1.5652147984704021E-3</v>
      </c>
    </row>
    <row r="193" spans="1:77" x14ac:dyDescent="0.25">
      <c r="A193" t="s">
        <v>241</v>
      </c>
      <c r="B193" s="11">
        <f ca="1">+VLOOKUP($A193,INDIRECT(Adrese!B$2),2,FALSE)</f>
        <v>97</v>
      </c>
      <c r="C193" s="11">
        <f ca="1">+VLOOKUP($A193,INDIRECT(Adrese!C$2),2,FALSE)</f>
        <v>53</v>
      </c>
      <c r="D193" s="11">
        <f ca="1">+VLOOKUP($A193,INDIRECT(Adrese!D$2),2,FALSE)</f>
        <v>92</v>
      </c>
      <c r="E193" s="11">
        <f ca="1">+VLOOKUP($A193,INDIRECT(Adrese!E$2),2,FALSE)</f>
        <v>74</v>
      </c>
      <c r="F193" s="11">
        <f ca="1">+VLOOKUP($A193,INDIRECT(Adrese!F$2),2,FALSE)</f>
        <v>54</v>
      </c>
      <c r="G193" s="4">
        <f t="shared" ca="1" si="54"/>
        <v>74</v>
      </c>
      <c r="J193" t="s">
        <v>241</v>
      </c>
      <c r="K193">
        <f ca="1">+VLOOKUP($A193,INDIRECT(Adrese!B$2),3,FALSE)</f>
        <v>201</v>
      </c>
      <c r="L193">
        <f ca="1">+VLOOKUP($A193,INDIRECT(Adrese!C$2),3,FALSE)</f>
        <v>189</v>
      </c>
      <c r="M193">
        <f ca="1">+VLOOKUP($A193,INDIRECT(Adrese!D$2),3,FALSE)</f>
        <v>195</v>
      </c>
      <c r="N193">
        <f ca="1">+VLOOKUP($A193,INDIRECT(Adrese!E$2),3,FALSE)</f>
        <v>199</v>
      </c>
      <c r="O193">
        <f ca="1">+VLOOKUP($A193,INDIRECT(Adrese!F$2),3,FALSE)</f>
        <v>202</v>
      </c>
      <c r="P193">
        <f t="shared" ca="1" si="44"/>
        <v>986</v>
      </c>
      <c r="Q193" s="4">
        <f t="shared" ca="1" si="55"/>
        <v>197.2</v>
      </c>
      <c r="R193" s="4"/>
      <c r="T193" t="s">
        <v>241</v>
      </c>
      <c r="U193">
        <f ca="1">+VLOOKUP($T193,INDIRECT(Adrese!B$2),4,FALSE)</f>
        <v>95796</v>
      </c>
      <c r="V193">
        <f ca="1">+VLOOKUP($T193,INDIRECT(Adrese!C$2),4,FALSE)</f>
        <v>97392</v>
      </c>
      <c r="W193">
        <f ca="1">+VLOOKUP($T193,INDIRECT(Adrese!D$2),4,FALSE)</f>
        <v>95993</v>
      </c>
      <c r="X193">
        <f ca="1">+VLOOKUP($T193,INDIRECT(Adrese!E$2),4,FALSE)</f>
        <v>96679</v>
      </c>
      <c r="Y193">
        <f ca="1">+VLOOKUP($T193,INDIRECT(Adrese!F$2),4,FALSE)</f>
        <v>97458</v>
      </c>
      <c r="Z193">
        <f t="shared" ca="1" si="45"/>
        <v>483318</v>
      </c>
      <c r="AA193" s="4">
        <f t="shared" ca="1" si="56"/>
        <v>96663.6</v>
      </c>
      <c r="AC193" t="s">
        <v>241</v>
      </c>
      <c r="AD193">
        <f ca="1">+VLOOKUP($A193,INDIRECT(Adrese!B$2),5,FALSE)</f>
        <v>5103</v>
      </c>
      <c r="AE193">
        <f ca="1">+VLOOKUP($A193,INDIRECT(Adrese!C$2),5,FALSE)</f>
        <v>5138</v>
      </c>
      <c r="AF193">
        <f ca="1">+VLOOKUP($A193,INDIRECT(Adrese!D$2),5,FALSE)</f>
        <v>5188</v>
      </c>
      <c r="AG193">
        <f ca="1">+VLOOKUP($A193,INDIRECT(Adrese!E$2),5,FALSE)</f>
        <v>5138</v>
      </c>
      <c r="AH193">
        <f ca="1">+VLOOKUP($A193,INDIRECT(Adrese!F$2),5,FALSE)</f>
        <v>5159</v>
      </c>
      <c r="AI193" s="4">
        <f t="shared" ca="1" si="57"/>
        <v>5145.2</v>
      </c>
      <c r="AJ193" s="4"/>
      <c r="AK193" s="4"/>
      <c r="AM193" t="s">
        <v>241</v>
      </c>
      <c r="AN193" s="4">
        <f ca="1">+VLOOKUP($A193,INDIRECT(Adrese!B$2),6,FALSE)</f>
        <v>0.1122345132743363</v>
      </c>
      <c r="AO193" s="4">
        <f ca="1">+VLOOKUP($A193,INDIRECT(Adrese!C$2),6,FALSE)</f>
        <v>0.1132964601769911</v>
      </c>
      <c r="AP193" s="4">
        <f ca="1">+VLOOKUP($A193,INDIRECT(Adrese!D$2),6,FALSE)</f>
        <v>0.1142699115044248</v>
      </c>
      <c r="AQ193" s="4">
        <f ca="1">+VLOOKUP($A193,INDIRECT(Adrese!E$2),6,FALSE)</f>
        <v>0.11311946902654869</v>
      </c>
      <c r="AR193" s="4">
        <f ca="1">+VLOOKUP($A193,INDIRECT(Adrese!F$2),6,FALSE)</f>
        <v>0.11360619469026551</v>
      </c>
      <c r="AS193" s="4" t="str">
        <f t="shared" ca="1" si="46"/>
        <v>0.11 (0.00)</v>
      </c>
      <c r="AT193" s="4">
        <f t="shared" ca="1" si="58"/>
        <v>0.11330530973451328</v>
      </c>
      <c r="AU193" s="4">
        <f t="shared" ca="1" si="47"/>
        <v>7.4199199349573826E-4</v>
      </c>
      <c r="AW193" t="s">
        <v>241</v>
      </c>
      <c r="AX193" s="4">
        <f ca="1">+VLOOKUP($A193,INDIRECT(Adrese!B$2),7,FALSE)</f>
        <v>0.11061946902654871</v>
      </c>
      <c r="AY193" s="4">
        <f ca="1">+VLOOKUP($A193,INDIRECT(Adrese!C$2),7,FALSE)</f>
        <v>0.16371681415929201</v>
      </c>
      <c r="AZ193" s="4">
        <f ca="1">+VLOOKUP($A193,INDIRECT(Adrese!D$2),7,FALSE)</f>
        <v>0.13716814159292029</v>
      </c>
      <c r="BA193" s="4">
        <f ca="1">+VLOOKUP($A193,INDIRECT(Adrese!E$2),7,FALSE)</f>
        <v>0.1194690265486726</v>
      </c>
      <c r="BB193" s="4">
        <f ca="1">+VLOOKUP($A193,INDIRECT(Adrese!F$2),7,FALSE)</f>
        <v>0.1061946902654867</v>
      </c>
      <c r="BC193" s="4" t="str">
        <f t="shared" ca="1" si="48"/>
        <v>0.13 (0.02)</v>
      </c>
      <c r="BD193">
        <f t="shared" ca="1" si="59"/>
        <v>0.12743362831858404</v>
      </c>
      <c r="BE193" s="4">
        <f t="shared" ca="1" si="49"/>
        <v>2.3497200083808543E-2</v>
      </c>
      <c r="BG193" t="s">
        <v>241</v>
      </c>
      <c r="BH193" s="4">
        <f ca="1">+VLOOKUP($BG193,INDIRECT(Adrese!B$2),8,FALSE)</f>
        <v>1.431714662706754E-2</v>
      </c>
      <c r="BI193" s="4">
        <f ca="1">+VLOOKUP($BG193,INDIRECT(Adrese!C$2),8,FALSE)</f>
        <v>1.433089238789898E-2</v>
      </c>
      <c r="BJ193" s="4">
        <f ca="1">+VLOOKUP($BG193,INDIRECT(Adrese!D$2),8,FALSE)</f>
        <v>1.459840323326984E-2</v>
      </c>
      <c r="BK193" s="4">
        <f ca="1">+VLOOKUP($BG193,INDIRECT(Adrese!E$2),8,FALSE)</f>
        <v>1.4453754386902719E-2</v>
      </c>
      <c r="BL193" s="4">
        <f ca="1">+VLOOKUP($BG193,INDIRECT(Adrese!F$2),8,FALSE)</f>
        <v>1.4547598099322221E-2</v>
      </c>
      <c r="BM193" s="4" t="str">
        <f t="shared" ca="1" si="50"/>
        <v>0.01 (0.00)</v>
      </c>
      <c r="BN193" s="4">
        <f t="shared" ca="1" si="60"/>
        <v>1.444955894689226E-2</v>
      </c>
      <c r="BO193" s="4">
        <f t="shared" ca="1" si="51"/>
        <v>1.2589546594098141E-4</v>
      </c>
      <c r="BQ193" t="s">
        <v>241</v>
      </c>
      <c r="BR193" s="4">
        <f ca="1">+VLOOKUP($BG193,INDIRECT(Adrese!B$2),9,FALSE)</f>
        <v>9.2263198567968094E-2</v>
      </c>
      <c r="BS193" s="4">
        <f ca="1">+VLOOKUP($BG193,INDIRECT(Adrese!C$2),9,FALSE)</f>
        <v>9.2259128467847978E-2</v>
      </c>
      <c r="BT193" s="4">
        <f ca="1">+VLOOKUP($BG193,INDIRECT(Adrese!D$2),9,FALSE)</f>
        <v>9.2072494821828915E-2</v>
      </c>
      <c r="BU193" s="4">
        <f ca="1">+VLOOKUP($BG193,INDIRECT(Adrese!E$2),9,FALSE)</f>
        <v>9.2380749364238596E-2</v>
      </c>
      <c r="BV193" s="4">
        <f ca="1">+VLOOKUP($BG193,INDIRECT(Adrese!F$2),9,FALSE)</f>
        <v>9.2446684346156813E-2</v>
      </c>
      <c r="BW193" s="4" t="str">
        <f t="shared" ca="1" si="52"/>
        <v>0.09 (0.00)</v>
      </c>
      <c r="BX193" s="4">
        <f t="shared" ca="1" si="61"/>
        <v>9.2284451113608071E-2</v>
      </c>
      <c r="BY193" s="4">
        <f t="shared" ca="1" si="53"/>
        <v>1.4283850279857543E-4</v>
      </c>
    </row>
    <row r="194" spans="1:77" x14ac:dyDescent="0.25">
      <c r="A194" t="s">
        <v>242</v>
      </c>
      <c r="B194" s="11">
        <f ca="1">+VLOOKUP($A194,INDIRECT(Adrese!B$2),2,FALSE)</f>
        <v>188</v>
      </c>
      <c r="C194" s="11">
        <f ca="1">+VLOOKUP($A194,INDIRECT(Adrese!C$2),2,FALSE)</f>
        <v>185</v>
      </c>
      <c r="D194" s="11">
        <f ca="1">+VLOOKUP($A194,INDIRECT(Adrese!D$2),2,FALSE)</f>
        <v>222</v>
      </c>
      <c r="E194" s="11">
        <f ca="1">+VLOOKUP($A194,INDIRECT(Adrese!E$2),2,FALSE)</f>
        <v>207</v>
      </c>
      <c r="F194" s="11">
        <f ca="1">+VLOOKUP($A194,INDIRECT(Adrese!F$2),2,FALSE)</f>
        <v>194</v>
      </c>
      <c r="G194" s="4">
        <f t="shared" ca="1" si="54"/>
        <v>199.2</v>
      </c>
      <c r="J194" t="s">
        <v>242</v>
      </c>
      <c r="K194">
        <f ca="1">+VLOOKUP($A194,INDIRECT(Adrese!B$2),3,FALSE)</f>
        <v>63</v>
      </c>
      <c r="L194">
        <f ca="1">+VLOOKUP($A194,INDIRECT(Adrese!C$2),3,FALSE)</f>
        <v>59</v>
      </c>
      <c r="M194">
        <f ca="1">+VLOOKUP($A194,INDIRECT(Adrese!D$2),3,FALSE)</f>
        <v>57</v>
      </c>
      <c r="N194">
        <f ca="1">+VLOOKUP($A194,INDIRECT(Adrese!E$2),3,FALSE)</f>
        <v>57</v>
      </c>
      <c r="O194">
        <f ca="1">+VLOOKUP($A194,INDIRECT(Adrese!F$2),3,FALSE)</f>
        <v>63</v>
      </c>
      <c r="P194">
        <f t="shared" ca="1" si="44"/>
        <v>299</v>
      </c>
      <c r="Q194" s="4">
        <f t="shared" ca="1" si="55"/>
        <v>59.8</v>
      </c>
      <c r="R194" s="4"/>
      <c r="T194" t="s">
        <v>242</v>
      </c>
      <c r="U194">
        <f ca="1">+VLOOKUP($T194,INDIRECT(Adrese!B$2),4,FALSE)</f>
        <v>90206</v>
      </c>
      <c r="V194">
        <f ca="1">+VLOOKUP($T194,INDIRECT(Adrese!C$2),4,FALSE)</f>
        <v>89901</v>
      </c>
      <c r="W194">
        <f ca="1">+VLOOKUP($T194,INDIRECT(Adrese!D$2),4,FALSE)</f>
        <v>86871</v>
      </c>
      <c r="X194">
        <f ca="1">+VLOOKUP($T194,INDIRECT(Adrese!E$2),4,FALSE)</f>
        <v>87513</v>
      </c>
      <c r="Y194">
        <f ca="1">+VLOOKUP($T194,INDIRECT(Adrese!F$2),4,FALSE)</f>
        <v>89009</v>
      </c>
      <c r="Z194">
        <f t="shared" ca="1" si="45"/>
        <v>443500</v>
      </c>
      <c r="AA194" s="4">
        <f t="shared" ca="1" si="56"/>
        <v>88700</v>
      </c>
      <c r="AC194" t="s">
        <v>242</v>
      </c>
      <c r="AD194">
        <f ca="1">+VLOOKUP($A194,INDIRECT(Adrese!B$2),5,FALSE)</f>
        <v>28748</v>
      </c>
      <c r="AE194">
        <f ca="1">+VLOOKUP($A194,INDIRECT(Adrese!C$2),5,FALSE)</f>
        <v>28937</v>
      </c>
      <c r="AF194">
        <f ca="1">+VLOOKUP($A194,INDIRECT(Adrese!D$2),5,FALSE)</f>
        <v>28899</v>
      </c>
      <c r="AG194">
        <f ca="1">+VLOOKUP($A194,INDIRECT(Adrese!E$2),5,FALSE)</f>
        <v>28827</v>
      </c>
      <c r="AH194">
        <f ca="1">+VLOOKUP($A194,INDIRECT(Adrese!F$2),5,FALSE)</f>
        <v>28694</v>
      </c>
      <c r="AI194" s="4">
        <f t="shared" ca="1" si="57"/>
        <v>28821</v>
      </c>
      <c r="AJ194" s="4"/>
      <c r="AK194" s="4"/>
      <c r="AM194" t="s">
        <v>242</v>
      </c>
      <c r="AN194" s="4">
        <f ca="1">+VLOOKUP($A194,INDIRECT(Adrese!B$2),6,FALSE)</f>
        <v>0.63336283185840703</v>
      </c>
      <c r="AO194" s="4">
        <f ca="1">+VLOOKUP($A194,INDIRECT(Adrese!C$2),6,FALSE)</f>
        <v>0.6373451327433628</v>
      </c>
      <c r="AP194" s="4">
        <f ca="1">+VLOOKUP($A194,INDIRECT(Adrese!D$2),6,FALSE)</f>
        <v>0.63652654867256642</v>
      </c>
      <c r="AQ194" s="4">
        <f ca="1">+VLOOKUP($A194,INDIRECT(Adrese!E$2),6,FALSE)</f>
        <v>0.63495575221238942</v>
      </c>
      <c r="AR194" s="4">
        <f ca="1">+VLOOKUP($A194,INDIRECT(Adrese!F$2),6,FALSE)</f>
        <v>0.63203539823008847</v>
      </c>
      <c r="AS194" s="4" t="str">
        <f t="shared" ca="1" si="46"/>
        <v>0.63 (0.00)</v>
      </c>
      <c r="AT194" s="4">
        <f t="shared" ca="1" si="58"/>
        <v>0.63484513274336285</v>
      </c>
      <c r="AU194" s="4">
        <f t="shared" ca="1" si="47"/>
        <v>2.1898184937645493E-3</v>
      </c>
      <c r="AW194" t="s">
        <v>242</v>
      </c>
      <c r="AX194" s="4">
        <f ca="1">+VLOOKUP($A194,INDIRECT(Adrese!B$2),7,FALSE)</f>
        <v>0.72123893805309736</v>
      </c>
      <c r="AY194" s="4">
        <f ca="1">+VLOOKUP($A194,INDIRECT(Adrese!C$2),7,FALSE)</f>
        <v>0.73893805309734517</v>
      </c>
      <c r="AZ194" s="4">
        <f ca="1">+VLOOKUP($A194,INDIRECT(Adrese!D$2),7,FALSE)</f>
        <v>0.74778761061946908</v>
      </c>
      <c r="BA194" s="4">
        <f ca="1">+VLOOKUP($A194,INDIRECT(Adrese!E$2),7,FALSE)</f>
        <v>0.74778761061946908</v>
      </c>
      <c r="BB194" s="4">
        <f ca="1">+VLOOKUP($A194,INDIRECT(Adrese!F$2),7,FALSE)</f>
        <v>0.72123893805309736</v>
      </c>
      <c r="BC194" s="4" t="str">
        <f t="shared" ca="1" si="48"/>
        <v>0.74 (0.01)</v>
      </c>
      <c r="BD194">
        <f t="shared" ca="1" si="59"/>
        <v>0.73539823008849559</v>
      </c>
      <c r="BE194" s="4">
        <f t="shared" ca="1" si="49"/>
        <v>1.3421018485047013E-2</v>
      </c>
      <c r="BG194" t="s">
        <v>242</v>
      </c>
      <c r="BH194" s="4">
        <f ca="1">+VLOOKUP($BG194,INDIRECT(Adrese!B$2),8,FALSE)</f>
        <v>8.0560805217070305E-2</v>
      </c>
      <c r="BI194" s="4">
        <f ca="1">+VLOOKUP($BG194,INDIRECT(Adrese!C$2),8,FALSE)</f>
        <v>8.1106562890075146E-2</v>
      </c>
      <c r="BJ194" s="4">
        <f ca="1">+VLOOKUP($BG194,INDIRECT(Adrese!D$2),8,FALSE)</f>
        <v>8.102196612626418E-2</v>
      </c>
      <c r="BK194" s="4">
        <f ca="1">+VLOOKUP($BG194,INDIRECT(Adrese!E$2),8,FALSE)</f>
        <v>8.0801950655955287E-2</v>
      </c>
      <c r="BL194" s="4">
        <f ca="1">+VLOOKUP($BG194,INDIRECT(Adrese!F$2),8,FALSE)</f>
        <v>8.0493400438851781E-2</v>
      </c>
      <c r="BM194" s="4" t="str">
        <f t="shared" ca="1" si="50"/>
        <v>0.08 (0.00)</v>
      </c>
      <c r="BN194" s="4">
        <f t="shared" ca="1" si="60"/>
        <v>8.0796937065643337E-2</v>
      </c>
      <c r="BO194" s="4">
        <f t="shared" ca="1" si="51"/>
        <v>2.7130430289681455E-4</v>
      </c>
      <c r="BQ194" t="s">
        <v>242</v>
      </c>
      <c r="BR194" s="4">
        <f ca="1">+VLOOKUP($BG194,INDIRECT(Adrese!B$2),9,FALSE)</f>
        <v>-3.1775330501237077E-2</v>
      </c>
      <c r="BS194" s="4">
        <f ca="1">+VLOOKUP($BG194,INDIRECT(Adrese!C$2),9,FALSE)</f>
        <v>-3.3780118955052868E-2</v>
      </c>
      <c r="BT194" s="4">
        <f ca="1">+VLOOKUP($BG194,INDIRECT(Adrese!D$2),9,FALSE)</f>
        <v>-3.2487397888427957E-2</v>
      </c>
      <c r="BU194" s="4">
        <f ca="1">+VLOOKUP($BG194,INDIRECT(Adrese!E$2),9,FALSE)</f>
        <v>-3.2294405894518978E-2</v>
      </c>
      <c r="BV194" s="4">
        <f ca="1">+VLOOKUP($BG194,INDIRECT(Adrese!F$2),9,FALSE)</f>
        <v>-3.1301358982599843E-2</v>
      </c>
      <c r="BW194" s="4" t="str">
        <f t="shared" ca="1" si="52"/>
        <v>-0.03 (0.00)</v>
      </c>
      <c r="BX194" s="4">
        <f t="shared" ca="1" si="61"/>
        <v>-3.2327722444367338E-2</v>
      </c>
      <c r="BY194" s="4">
        <f t="shared" ca="1" si="53"/>
        <v>9.3469522822520049E-4</v>
      </c>
    </row>
    <row r="195" spans="1:77" x14ac:dyDescent="0.25">
      <c r="A195" t="s">
        <v>243</v>
      </c>
      <c r="B195" s="11">
        <f ca="1">+VLOOKUP($A195,INDIRECT(Adrese!B$2),2,FALSE)</f>
        <v>191</v>
      </c>
      <c r="C195" s="11">
        <f ca="1">+VLOOKUP($A195,INDIRECT(Adrese!C$2),2,FALSE)</f>
        <v>189</v>
      </c>
      <c r="D195" s="11">
        <f ca="1">+VLOOKUP($A195,INDIRECT(Adrese!D$2),2,FALSE)</f>
        <v>166</v>
      </c>
      <c r="E195" s="11">
        <f ca="1">+VLOOKUP($A195,INDIRECT(Adrese!E$2),2,FALSE)</f>
        <v>192</v>
      </c>
      <c r="F195" s="11">
        <f ca="1">+VLOOKUP($A195,INDIRECT(Adrese!F$2),2,FALSE)</f>
        <v>188</v>
      </c>
      <c r="G195" s="4">
        <f t="shared" ca="1" si="54"/>
        <v>185.2</v>
      </c>
      <c r="J195" t="s">
        <v>243</v>
      </c>
      <c r="K195">
        <f ca="1">+VLOOKUP($A195,INDIRECT(Adrese!B$2),3,FALSE)</f>
        <v>80</v>
      </c>
      <c r="L195">
        <f ca="1">+VLOOKUP($A195,INDIRECT(Adrese!C$2),3,FALSE)</f>
        <v>80</v>
      </c>
      <c r="M195">
        <f ca="1">+VLOOKUP($A195,INDIRECT(Adrese!D$2),3,FALSE)</f>
        <v>93</v>
      </c>
      <c r="N195">
        <f ca="1">+VLOOKUP($A195,INDIRECT(Adrese!E$2),3,FALSE)</f>
        <v>85</v>
      </c>
      <c r="O195">
        <f ca="1">+VLOOKUP($A195,INDIRECT(Adrese!F$2),3,FALSE)</f>
        <v>85</v>
      </c>
      <c r="P195">
        <f t="shared" ca="1" si="44"/>
        <v>423</v>
      </c>
      <c r="Q195" s="4">
        <f t="shared" ca="1" si="55"/>
        <v>84.6</v>
      </c>
      <c r="R195" s="4"/>
      <c r="T195" t="s">
        <v>243</v>
      </c>
      <c r="U195">
        <f ca="1">+VLOOKUP($T195,INDIRECT(Adrese!B$2),4,FALSE)</f>
        <v>89888</v>
      </c>
      <c r="V195">
        <f ca="1">+VLOOKUP($T195,INDIRECT(Adrese!C$2),4,FALSE)</f>
        <v>89332</v>
      </c>
      <c r="W195">
        <f ca="1">+VLOOKUP($T195,INDIRECT(Adrese!D$2),4,FALSE)</f>
        <v>91978</v>
      </c>
      <c r="X195">
        <f ca="1">+VLOOKUP($T195,INDIRECT(Adrese!E$2),4,FALSE)</f>
        <v>89524</v>
      </c>
      <c r="Y195">
        <f ca="1">+VLOOKUP($T195,INDIRECT(Adrese!F$2),4,FALSE)</f>
        <v>89634</v>
      </c>
      <c r="Z195">
        <f t="shared" ca="1" si="45"/>
        <v>450356</v>
      </c>
      <c r="AA195" s="4">
        <f t="shared" ca="1" si="56"/>
        <v>90071.2</v>
      </c>
      <c r="AC195" t="s">
        <v>243</v>
      </c>
      <c r="AD195">
        <f ca="1">+VLOOKUP($A195,INDIRECT(Adrese!B$2),5,FALSE)</f>
        <v>22722</v>
      </c>
      <c r="AE195">
        <f ca="1">+VLOOKUP($A195,INDIRECT(Adrese!C$2),5,FALSE)</f>
        <v>22754</v>
      </c>
      <c r="AF195">
        <f ca="1">+VLOOKUP($A195,INDIRECT(Adrese!D$2),5,FALSE)</f>
        <v>22705</v>
      </c>
      <c r="AG195">
        <f ca="1">+VLOOKUP($A195,INDIRECT(Adrese!E$2),5,FALSE)</f>
        <v>22739</v>
      </c>
      <c r="AH195">
        <f ca="1">+VLOOKUP($A195,INDIRECT(Adrese!F$2),5,FALSE)</f>
        <v>22791</v>
      </c>
      <c r="AI195" s="4">
        <f t="shared" ca="1" si="57"/>
        <v>22742.2</v>
      </c>
      <c r="AJ195" s="4"/>
      <c r="AK195" s="4"/>
      <c r="AM195" t="s">
        <v>243</v>
      </c>
      <c r="AN195" s="4">
        <f ca="1">+VLOOKUP($A195,INDIRECT(Adrese!B$2),6,FALSE)</f>
        <v>0.50053097345132747</v>
      </c>
      <c r="AO195" s="4">
        <f ca="1">+VLOOKUP($A195,INDIRECT(Adrese!C$2),6,FALSE)</f>
        <v>0.5011504424778761</v>
      </c>
      <c r="AP195" s="4">
        <f ca="1">+VLOOKUP($A195,INDIRECT(Adrese!D$2),6,FALSE)</f>
        <v>0.50008849557522128</v>
      </c>
      <c r="AQ195" s="4">
        <f ca="1">+VLOOKUP($A195,INDIRECT(Adrese!E$2),6,FALSE)</f>
        <v>0.50086283185840708</v>
      </c>
      <c r="AR195" s="4">
        <f ca="1">+VLOOKUP($A195,INDIRECT(Adrese!F$2),6,FALSE)</f>
        <v>0.50203539823008847</v>
      </c>
      <c r="AS195" s="4" t="str">
        <f t="shared" ca="1" si="46"/>
        <v>0.50 (0.00)</v>
      </c>
      <c r="AT195" s="4">
        <f t="shared" ca="1" si="58"/>
        <v>0.50093362831858401</v>
      </c>
      <c r="AU195" s="4">
        <f t="shared" ca="1" si="47"/>
        <v>7.3182951436261145E-4</v>
      </c>
      <c r="AW195" t="s">
        <v>243</v>
      </c>
      <c r="AX195" s="4">
        <f ca="1">+VLOOKUP($A195,INDIRECT(Adrese!B$2),7,FALSE)</f>
        <v>0.64601769911504425</v>
      </c>
      <c r="AY195" s="4">
        <f ca="1">+VLOOKUP($A195,INDIRECT(Adrese!C$2),7,FALSE)</f>
        <v>0.64601769911504425</v>
      </c>
      <c r="AZ195" s="4">
        <f ca="1">+VLOOKUP($A195,INDIRECT(Adrese!D$2),7,FALSE)</f>
        <v>0.58849557522123896</v>
      </c>
      <c r="BA195" s="4">
        <f ca="1">+VLOOKUP($A195,INDIRECT(Adrese!E$2),7,FALSE)</f>
        <v>0.62389380530973448</v>
      </c>
      <c r="BB195" s="4">
        <f ca="1">+VLOOKUP($A195,INDIRECT(Adrese!F$2),7,FALSE)</f>
        <v>0.62389380530973448</v>
      </c>
      <c r="BC195" s="4" t="str">
        <f t="shared" ca="1" si="48"/>
        <v>0.63 (0.02)</v>
      </c>
      <c r="BD195">
        <f t="shared" ca="1" si="59"/>
        <v>0.62566371681415922</v>
      </c>
      <c r="BE195" s="4">
        <f t="shared" ca="1" si="49"/>
        <v>2.353882491729271E-2</v>
      </c>
      <c r="BG195" t="s">
        <v>243</v>
      </c>
      <c r="BH195" s="4">
        <f ca="1">+VLOOKUP($BG195,INDIRECT(Adrese!B$2),8,FALSE)</f>
        <v>6.3630164432815023E-2</v>
      </c>
      <c r="BI195" s="4">
        <f ca="1">+VLOOKUP($BG195,INDIRECT(Adrese!C$2),8,FALSE)</f>
        <v>6.3837482258975425E-2</v>
      </c>
      <c r="BJ195" s="4">
        <f ca="1">+VLOOKUP($BG195,INDIRECT(Adrese!D$2),8,FALSE)</f>
        <v>6.3657125929181588E-2</v>
      </c>
      <c r="BK195" s="4">
        <f ca="1">+VLOOKUP($BG195,INDIRECT(Adrese!E$2),8,FALSE)</f>
        <v>6.3766944512991516E-2</v>
      </c>
      <c r="BL195" s="4">
        <f ca="1">+VLOOKUP($BG195,INDIRECT(Adrese!F$2),8,FALSE)</f>
        <v>6.402455189518054E-2</v>
      </c>
      <c r="BM195" s="4" t="str">
        <f t="shared" ca="1" si="50"/>
        <v>0.06 (0.00)</v>
      </c>
      <c r="BN195" s="4">
        <f t="shared" ca="1" si="60"/>
        <v>6.3783253805828818E-2</v>
      </c>
      <c r="BO195" s="4">
        <f t="shared" ca="1" si="51"/>
        <v>1.5872624506175248E-4</v>
      </c>
      <c r="BQ195" t="s">
        <v>243</v>
      </c>
      <c r="BR195" s="4">
        <f ca="1">+VLOOKUP($BG195,INDIRECT(Adrese!B$2),9,FALSE)</f>
        <v>-3.6940867337523242E-4</v>
      </c>
      <c r="BS195" s="4">
        <f ca="1">+VLOOKUP($BG195,INDIRECT(Adrese!C$2),9,FALSE)</f>
        <v>-2.9969959703966402E-4</v>
      </c>
      <c r="BT195" s="4">
        <f ca="1">+VLOOKUP($BG195,INDIRECT(Adrese!D$2),9,FALSE)</f>
        <v>-4.7658136660482013E-5</v>
      </c>
      <c r="BU195" s="4">
        <f ca="1">+VLOOKUP($BG195,INDIRECT(Adrese!E$2),9,FALSE)</f>
        <v>-3.4619268986225971E-4</v>
      </c>
      <c r="BV195" s="4">
        <f ca="1">+VLOOKUP($BG195,INDIRECT(Adrese!F$2),9,FALSE)</f>
        <v>-1.1510995968025499E-4</v>
      </c>
      <c r="BW195" s="4" t="str">
        <f t="shared" ca="1" si="52"/>
        <v>0.00 (0.00)</v>
      </c>
      <c r="BX195" s="4">
        <f t="shared" ca="1" si="61"/>
        <v>-2.356138113235786E-4</v>
      </c>
      <c r="BY195" s="4">
        <f t="shared" ca="1" si="53"/>
        <v>1.4498642636474407E-4</v>
      </c>
    </row>
    <row r="196" spans="1:77" x14ac:dyDescent="0.25">
      <c r="A196" t="s">
        <v>244</v>
      </c>
      <c r="B196" s="11">
        <f ca="1">+VLOOKUP($A196,INDIRECT(Adrese!B$2),2,FALSE)</f>
        <v>207</v>
      </c>
      <c r="C196" s="11">
        <f ca="1">+VLOOKUP($A196,INDIRECT(Adrese!C$2),2,FALSE)</f>
        <v>208</v>
      </c>
      <c r="D196" s="11">
        <f ca="1">+VLOOKUP($A196,INDIRECT(Adrese!D$2),2,FALSE)</f>
        <v>200</v>
      </c>
      <c r="E196" s="11">
        <f ca="1">+VLOOKUP($A196,INDIRECT(Adrese!E$2),2,FALSE)</f>
        <v>212</v>
      </c>
      <c r="F196" s="11">
        <f ca="1">+VLOOKUP($A196,INDIRECT(Adrese!F$2),2,FALSE)</f>
        <v>216</v>
      </c>
      <c r="G196" s="4">
        <f t="shared" ca="1" si="54"/>
        <v>208.6</v>
      </c>
      <c r="J196" t="s">
        <v>244</v>
      </c>
      <c r="K196">
        <f ca="1">+VLOOKUP($A196,INDIRECT(Adrese!B$2),3,FALSE)</f>
        <v>53</v>
      </c>
      <c r="L196">
        <f ca="1">+VLOOKUP($A196,INDIRECT(Adrese!C$2),3,FALSE)</f>
        <v>54</v>
      </c>
      <c r="M196">
        <f ca="1">+VLOOKUP($A196,INDIRECT(Adrese!D$2),3,FALSE)</f>
        <v>53</v>
      </c>
      <c r="N196">
        <f ca="1">+VLOOKUP($A196,INDIRECT(Adrese!E$2),3,FALSE)</f>
        <v>56</v>
      </c>
      <c r="O196">
        <f ca="1">+VLOOKUP($A196,INDIRECT(Adrese!F$2),3,FALSE)</f>
        <v>50</v>
      </c>
      <c r="P196">
        <f t="shared" ref="P196:P229" ca="1" si="62">SUM(K196:O196)</f>
        <v>266</v>
      </c>
      <c r="Q196" s="4">
        <f t="shared" ca="1" si="55"/>
        <v>53.2</v>
      </c>
      <c r="R196" s="4"/>
      <c r="T196" t="s">
        <v>244</v>
      </c>
      <c r="U196">
        <f ca="1">+VLOOKUP($T196,INDIRECT(Adrese!B$2),4,FALSE)</f>
        <v>88357</v>
      </c>
      <c r="V196">
        <f ca="1">+VLOOKUP($T196,INDIRECT(Adrese!C$2),4,FALSE)</f>
        <v>88020</v>
      </c>
      <c r="W196">
        <f ca="1">+VLOOKUP($T196,INDIRECT(Adrese!D$2),4,FALSE)</f>
        <v>88408</v>
      </c>
      <c r="X196">
        <f ca="1">+VLOOKUP($T196,INDIRECT(Adrese!E$2),4,FALSE)</f>
        <v>87386</v>
      </c>
      <c r="Y196">
        <f ca="1">+VLOOKUP($T196,INDIRECT(Adrese!F$2),4,FALSE)</f>
        <v>87081</v>
      </c>
      <c r="Z196">
        <f t="shared" ref="Z196:Z229" ca="1" si="63">SUM(U196:Y196)</f>
        <v>439252</v>
      </c>
      <c r="AA196" s="4">
        <f t="shared" ca="1" si="56"/>
        <v>87850.4</v>
      </c>
      <c r="AC196" t="s">
        <v>244</v>
      </c>
      <c r="AD196">
        <f ca="1">+VLOOKUP($A196,INDIRECT(Adrese!B$2),5,FALSE)</f>
        <v>36807</v>
      </c>
      <c r="AE196">
        <f ca="1">+VLOOKUP($A196,INDIRECT(Adrese!C$2),5,FALSE)</f>
        <v>36767</v>
      </c>
      <c r="AF196">
        <f ca="1">+VLOOKUP($A196,INDIRECT(Adrese!D$2),5,FALSE)</f>
        <v>36748</v>
      </c>
      <c r="AG196">
        <f ca="1">+VLOOKUP($A196,INDIRECT(Adrese!E$2),5,FALSE)</f>
        <v>36950</v>
      </c>
      <c r="AH196">
        <f ca="1">+VLOOKUP($A196,INDIRECT(Adrese!F$2),5,FALSE)</f>
        <v>36869</v>
      </c>
      <c r="AI196" s="4">
        <f t="shared" ca="1" si="57"/>
        <v>36828.199999999997</v>
      </c>
      <c r="AJ196" s="4"/>
      <c r="AK196" s="4"/>
      <c r="AM196" t="s">
        <v>244</v>
      </c>
      <c r="AN196" s="4">
        <f ca="1">+VLOOKUP($A196,INDIRECT(Adrese!B$2),6,FALSE)</f>
        <v>0.81097345132743359</v>
      </c>
      <c r="AO196" s="4">
        <f ca="1">+VLOOKUP($A196,INDIRECT(Adrese!C$2),6,FALSE)</f>
        <v>0.81008849557522122</v>
      </c>
      <c r="AP196" s="4">
        <f ca="1">+VLOOKUP($A196,INDIRECT(Adrese!D$2),6,FALSE)</f>
        <v>0.80966814159292033</v>
      </c>
      <c r="AQ196" s="4">
        <f ca="1">+VLOOKUP($A196,INDIRECT(Adrese!E$2),6,FALSE)</f>
        <v>0.81413716814159287</v>
      </c>
      <c r="AR196" s="4">
        <f ca="1">+VLOOKUP($A196,INDIRECT(Adrese!F$2),6,FALSE)</f>
        <v>0.81234513274336284</v>
      </c>
      <c r="AS196" s="4" t="str">
        <f t="shared" ref="AS196:AS229" ca="1" si="64">TEXT(AT196,"0.00")&amp;" ("&amp;TEXT(AU196,"0.00")&amp;")"</f>
        <v>0.81 (0.00)</v>
      </c>
      <c r="AT196" s="4">
        <f t="shared" ca="1" si="58"/>
        <v>0.81144247787610602</v>
      </c>
      <c r="AU196" s="4">
        <f t="shared" ref="AU196:AU229" ca="1" si="65">_xlfn.STDEV.S(AN196:AR196)</f>
        <v>1.82192649800905E-3</v>
      </c>
      <c r="AW196" t="s">
        <v>244</v>
      </c>
      <c r="AX196" s="4">
        <f ca="1">+VLOOKUP($A196,INDIRECT(Adrese!B$2),7,FALSE)</f>
        <v>0.76548672566371678</v>
      </c>
      <c r="AY196" s="4">
        <f ca="1">+VLOOKUP($A196,INDIRECT(Adrese!C$2),7,FALSE)</f>
        <v>0.76106194690265483</v>
      </c>
      <c r="AZ196" s="4">
        <f ca="1">+VLOOKUP($A196,INDIRECT(Adrese!D$2),7,FALSE)</f>
        <v>0.76548672566371678</v>
      </c>
      <c r="BA196" s="4">
        <f ca="1">+VLOOKUP($A196,INDIRECT(Adrese!E$2),7,FALSE)</f>
        <v>0.75221238938053092</v>
      </c>
      <c r="BB196" s="4">
        <f ca="1">+VLOOKUP($A196,INDIRECT(Adrese!F$2),7,FALSE)</f>
        <v>0.77876106194690264</v>
      </c>
      <c r="BC196" s="4" t="str">
        <f t="shared" ref="BC196:BC229" ca="1" si="66">TEXT(BD196,"0.00")&amp;" ("&amp;TEXT(BE196,"0.00")&amp;")"</f>
        <v>0.76 (0.01)</v>
      </c>
      <c r="BD196">
        <f t="shared" ca="1" si="59"/>
        <v>0.76460176991150441</v>
      </c>
      <c r="BE196" s="4">
        <f t="shared" ref="BE196:BE229" ca="1" si="67">_xlfn.STDEV.S(AX196:BB196)</f>
        <v>9.5926917649021386E-3</v>
      </c>
      <c r="BG196" t="s">
        <v>244</v>
      </c>
      <c r="BH196" s="4">
        <f ca="1">+VLOOKUP($BG196,INDIRECT(Adrese!B$2),8,FALSE)</f>
        <v>9.9368904098574115E-2</v>
      </c>
      <c r="BI196" s="4">
        <f ca="1">+VLOOKUP($BG196,INDIRECT(Adrese!C$2),8,FALSE)</f>
        <v>9.9361283778051895E-2</v>
      </c>
      <c r="BJ196" s="4">
        <f ca="1">+VLOOKUP($BG196,INDIRECT(Adrese!D$2),8,FALSE)</f>
        <v>9.934652580995644E-2</v>
      </c>
      <c r="BK196" s="4">
        <f ca="1">+VLOOKUP($BG196,INDIRECT(Adrese!E$2),8,FALSE)</f>
        <v>9.9991422098173591E-2</v>
      </c>
      <c r="BL196" s="4">
        <f ca="1">+VLOOKUP($BG196,INDIRECT(Adrese!F$2),8,FALSE)</f>
        <v>9.9717513853726306E-2</v>
      </c>
      <c r="BM196" s="4" t="str">
        <f t="shared" ref="BM196:BM229" ca="1" si="68">TEXT(BN196,"0.00")&amp;" ("&amp;TEXT(BO196,"0.00")&amp;")"</f>
        <v>0.10 (0.00)</v>
      </c>
      <c r="BN196" s="4">
        <f t="shared" ca="1" si="60"/>
        <v>9.9557129927696469E-2</v>
      </c>
      <c r="BO196" s="4">
        <f t="shared" ref="BO196:BO229" ca="1" si="69">_xlfn.STDEV.S(BH196:BL196)</f>
        <v>2.8830169291686947E-4</v>
      </c>
      <c r="BQ196" t="s">
        <v>244</v>
      </c>
      <c r="BR196" s="4">
        <f ca="1">+VLOOKUP($BG196,INDIRECT(Adrese!B$2),9,FALSE)</f>
        <v>-8.8220609171783759E-2</v>
      </c>
      <c r="BS196" s="4">
        <f ca="1">+VLOOKUP($BG196,INDIRECT(Adrese!C$2),9,FALSE)</f>
        <v>-8.8618321397725616E-2</v>
      </c>
      <c r="BT196" s="4">
        <f ca="1">+VLOOKUP($BG196,INDIRECT(Adrese!D$2),9,FALSE)</f>
        <v>-8.7541104587061963E-2</v>
      </c>
      <c r="BU196" s="4">
        <f ca="1">+VLOOKUP($BG196,INDIRECT(Adrese!E$2),9,FALSE)</f>
        <v>-8.7013235699580693E-2</v>
      </c>
      <c r="BV196" s="4">
        <f ca="1">+VLOOKUP($BG196,INDIRECT(Adrese!F$2),9,FALSE)</f>
        <v>-8.9565460061694885E-2</v>
      </c>
      <c r="BW196" s="4" t="str">
        <f t="shared" ref="BW196:BW229" ca="1" si="70">TEXT(BX196,"0.00")&amp;" ("&amp;TEXT(BY196,"0.00")&amp;")"</f>
        <v>-0.09 (0.00)</v>
      </c>
      <c r="BX196" s="4">
        <f t="shared" ca="1" si="61"/>
        <v>-8.8191746183569397E-2</v>
      </c>
      <c r="BY196" s="4">
        <f t="shared" ref="BY196:BY229" ca="1" si="71">_xlfn.STDEV.S(BR196:BV196)</f>
        <v>9.8515363679386146E-4</v>
      </c>
    </row>
    <row r="197" spans="1:77" x14ac:dyDescent="0.25">
      <c r="A197" t="s">
        <v>245</v>
      </c>
      <c r="B197" s="11">
        <f ca="1">+VLOOKUP($A197,INDIRECT(Adrese!B$2),2,FALSE)</f>
        <v>167</v>
      </c>
      <c r="C197" s="11">
        <f ca="1">+VLOOKUP($A197,INDIRECT(Adrese!C$2),2,FALSE)</f>
        <v>152</v>
      </c>
      <c r="D197" s="11">
        <f ca="1">+VLOOKUP($A197,INDIRECT(Adrese!D$2),2,FALSE)</f>
        <v>159</v>
      </c>
      <c r="E197" s="11">
        <f ca="1">+VLOOKUP($A197,INDIRECT(Adrese!E$2),2,FALSE)</f>
        <v>157</v>
      </c>
      <c r="F197" s="11">
        <f ca="1">+VLOOKUP($A197,INDIRECT(Adrese!F$2),2,FALSE)</f>
        <v>166</v>
      </c>
      <c r="G197" s="4">
        <f t="shared" ca="1" si="54"/>
        <v>160.19999999999999</v>
      </c>
      <c r="J197" t="s">
        <v>245</v>
      </c>
      <c r="K197">
        <f ca="1">+VLOOKUP($A197,INDIRECT(Adrese!B$2),3,FALSE)</f>
        <v>133</v>
      </c>
      <c r="L197">
        <f ca="1">+VLOOKUP($A197,INDIRECT(Adrese!C$2),3,FALSE)</f>
        <v>134</v>
      </c>
      <c r="M197">
        <f ca="1">+VLOOKUP($A197,INDIRECT(Adrese!D$2),3,FALSE)</f>
        <v>133</v>
      </c>
      <c r="N197">
        <f ca="1">+VLOOKUP($A197,INDIRECT(Adrese!E$2),3,FALSE)</f>
        <v>138</v>
      </c>
      <c r="O197">
        <f ca="1">+VLOOKUP($A197,INDIRECT(Adrese!F$2),3,FALSE)</f>
        <v>130</v>
      </c>
      <c r="P197">
        <f t="shared" ca="1" si="62"/>
        <v>668</v>
      </c>
      <c r="Q197" s="4">
        <f t="shared" ca="1" si="55"/>
        <v>133.6</v>
      </c>
      <c r="R197" s="4"/>
      <c r="T197" t="s">
        <v>245</v>
      </c>
      <c r="U197">
        <f ca="1">+VLOOKUP($T197,INDIRECT(Adrese!B$2),4,FALSE)</f>
        <v>92333</v>
      </c>
      <c r="V197">
        <f ca="1">+VLOOKUP($T197,INDIRECT(Adrese!C$2),4,FALSE)</f>
        <v>93547</v>
      </c>
      <c r="W197">
        <f ca="1">+VLOOKUP($T197,INDIRECT(Adrese!D$2),4,FALSE)</f>
        <v>93009</v>
      </c>
      <c r="X197">
        <f ca="1">+VLOOKUP($T197,INDIRECT(Adrese!E$2),4,FALSE)</f>
        <v>93067</v>
      </c>
      <c r="Y197">
        <f ca="1">+VLOOKUP($T197,INDIRECT(Adrese!F$2),4,FALSE)</f>
        <v>92626</v>
      </c>
      <c r="Z197">
        <f t="shared" ca="1" si="63"/>
        <v>464582</v>
      </c>
      <c r="AA197" s="4">
        <f t="shared" ca="1" si="56"/>
        <v>92916.4</v>
      </c>
      <c r="AC197" t="s">
        <v>245</v>
      </c>
      <c r="AD197">
        <f ca="1">+VLOOKUP($A197,INDIRECT(Adrese!B$2),5,FALSE)</f>
        <v>16131</v>
      </c>
      <c r="AE197">
        <f ca="1">+VLOOKUP($A197,INDIRECT(Adrese!C$2),5,FALSE)</f>
        <v>16591</v>
      </c>
      <c r="AF197">
        <f ca="1">+VLOOKUP($A197,INDIRECT(Adrese!D$2),5,FALSE)</f>
        <v>16282</v>
      </c>
      <c r="AG197">
        <f ca="1">+VLOOKUP($A197,INDIRECT(Adrese!E$2),5,FALSE)</f>
        <v>16438</v>
      </c>
      <c r="AH197">
        <f ca="1">+VLOOKUP($A197,INDIRECT(Adrese!F$2),5,FALSE)</f>
        <v>16422</v>
      </c>
      <c r="AI197" s="4">
        <f t="shared" ca="1" si="57"/>
        <v>16372.8</v>
      </c>
      <c r="AJ197" s="4"/>
      <c r="AK197" s="4"/>
      <c r="AM197" t="s">
        <v>245</v>
      </c>
      <c r="AN197" s="4">
        <f ca="1">+VLOOKUP($A197,INDIRECT(Adrese!B$2),6,FALSE)</f>
        <v>0.35528761061946901</v>
      </c>
      <c r="AO197" s="4">
        <f ca="1">+VLOOKUP($A197,INDIRECT(Adrese!C$2),6,FALSE)</f>
        <v>0.365929203539823</v>
      </c>
      <c r="AP197" s="4">
        <f ca="1">+VLOOKUP($A197,INDIRECT(Adrese!D$2),6,FALSE)</f>
        <v>0.35873893805309742</v>
      </c>
      <c r="AQ197" s="4">
        <f ca="1">+VLOOKUP($A197,INDIRECT(Adrese!E$2),6,FALSE)</f>
        <v>0.36256637168141592</v>
      </c>
      <c r="AR197" s="4">
        <f ca="1">+VLOOKUP($A197,INDIRECT(Adrese!F$2),6,FALSE)</f>
        <v>0.36203539823008851</v>
      </c>
      <c r="AS197" s="4" t="str">
        <f t="shared" ca="1" si="64"/>
        <v>0.36 (0.00)</v>
      </c>
      <c r="AT197" s="4">
        <f t="shared" ca="1" si="58"/>
        <v>0.36091150442477876</v>
      </c>
      <c r="AU197" s="4">
        <f t="shared" ca="1" si="65"/>
        <v>4.0474452900743831E-3</v>
      </c>
      <c r="AW197" t="s">
        <v>245</v>
      </c>
      <c r="AX197" s="4">
        <f ca="1">+VLOOKUP($A197,INDIRECT(Adrese!B$2),7,FALSE)</f>
        <v>0.41150442477876098</v>
      </c>
      <c r="AY197" s="4">
        <f ca="1">+VLOOKUP($A197,INDIRECT(Adrese!C$2),7,FALSE)</f>
        <v>0.40707964601769908</v>
      </c>
      <c r="AZ197" s="4">
        <f ca="1">+VLOOKUP($A197,INDIRECT(Adrese!D$2),7,FALSE)</f>
        <v>0.41150442477876098</v>
      </c>
      <c r="BA197" s="4">
        <f ca="1">+VLOOKUP($A197,INDIRECT(Adrese!E$2),7,FALSE)</f>
        <v>0.38938053097345132</v>
      </c>
      <c r="BB197" s="4">
        <f ca="1">+VLOOKUP($A197,INDIRECT(Adrese!F$2),7,FALSE)</f>
        <v>0.4247787610619469</v>
      </c>
      <c r="BC197" s="4" t="str">
        <f t="shared" ca="1" si="66"/>
        <v>0.41 (0.01)</v>
      </c>
      <c r="BD197">
        <f t="shared" ca="1" si="59"/>
        <v>0.40884955752212376</v>
      </c>
      <c r="BE197" s="4">
        <f t="shared" ca="1" si="67"/>
        <v>1.2747663974237102E-2</v>
      </c>
      <c r="BG197" t="s">
        <v>245</v>
      </c>
      <c r="BH197" s="4">
        <f ca="1">+VLOOKUP($BG197,INDIRECT(Adrese!B$2),8,FALSE)</f>
        <v>5.0546546996214282E-2</v>
      </c>
      <c r="BI197" s="4">
        <f ca="1">+VLOOKUP($BG197,INDIRECT(Adrese!C$2),8,FALSE)</f>
        <v>5.1708832327674148E-2</v>
      </c>
      <c r="BJ197" s="4">
        <f ca="1">+VLOOKUP($BG197,INDIRECT(Adrese!D$2),8,FALSE)</f>
        <v>5.1274437818846233E-2</v>
      </c>
      <c r="BK197" s="4">
        <f ca="1">+VLOOKUP($BG197,INDIRECT(Adrese!E$2),8,FALSE)</f>
        <v>5.1273745237533468E-2</v>
      </c>
      <c r="BL197" s="4">
        <f ca="1">+VLOOKUP($BG197,INDIRECT(Adrese!F$2),8,FALSE)</f>
        <v>5.0987534139721902E-2</v>
      </c>
      <c r="BM197" s="4" t="str">
        <f t="shared" ca="1" si="68"/>
        <v>0.05 (0.00)</v>
      </c>
      <c r="BN197" s="4">
        <f t="shared" ca="1" si="60"/>
        <v>5.1158219303998012E-2</v>
      </c>
      <c r="BO197" s="4">
        <f t="shared" ca="1" si="69"/>
        <v>4.2816589184800147E-4</v>
      </c>
      <c r="BQ197" t="s">
        <v>245</v>
      </c>
      <c r="BR197" s="4">
        <f ca="1">+VLOOKUP($BG197,INDIRECT(Adrese!B$2),9,FALSE)</f>
        <v>7.5659483297925725E-2</v>
      </c>
      <c r="BS197" s="4">
        <f ca="1">+VLOOKUP($BG197,INDIRECT(Adrese!C$2),9,FALSE)</f>
        <v>7.399319770696039E-2</v>
      </c>
      <c r="BT197" s="4">
        <f ca="1">+VLOOKUP($BG197,INDIRECT(Adrese!D$2),9,FALSE)</f>
        <v>7.9058690284414534E-2</v>
      </c>
      <c r="BU197" s="4">
        <f ca="1">+VLOOKUP($BG197,INDIRECT(Adrese!E$2),9,FALSE)</f>
        <v>7.6210864947933332E-2</v>
      </c>
      <c r="BV197" s="4">
        <f ca="1">+VLOOKUP($BG197,INDIRECT(Adrese!F$2),9,FALSE)</f>
        <v>7.4218334479270842E-2</v>
      </c>
      <c r="BW197" s="4" t="str">
        <f t="shared" ca="1" si="70"/>
        <v>0.08 (0.00)</v>
      </c>
      <c r="BX197" s="4">
        <f t="shared" ca="1" si="61"/>
        <v>7.5828114143300956E-2</v>
      </c>
      <c r="BY197" s="4">
        <f t="shared" ca="1" si="71"/>
        <v>2.0353049918297667E-3</v>
      </c>
    </row>
    <row r="198" spans="1:77" x14ac:dyDescent="0.25">
      <c r="A198" t="s">
        <v>246</v>
      </c>
      <c r="B198" s="11">
        <f ca="1">+VLOOKUP($A198,INDIRECT(Adrese!B$2),2,FALSE)</f>
        <v>221</v>
      </c>
      <c r="C198" s="11">
        <f ca="1">+VLOOKUP($A198,INDIRECT(Adrese!C$2),2,FALSE)</f>
        <v>225</v>
      </c>
      <c r="D198" s="11">
        <f ca="1">+VLOOKUP($A198,INDIRECT(Adrese!D$2),2,FALSE)</f>
        <v>223</v>
      </c>
      <c r="E198" s="11">
        <f ca="1">+VLOOKUP($A198,INDIRECT(Adrese!E$2),2,FALSE)</f>
        <v>214</v>
      </c>
      <c r="F198" s="11">
        <f ca="1">+VLOOKUP($A198,INDIRECT(Adrese!F$2),2,FALSE)</f>
        <v>221</v>
      </c>
      <c r="G198" s="4">
        <f t="shared" ca="1" si="54"/>
        <v>220.8</v>
      </c>
      <c r="J198" t="s">
        <v>246</v>
      </c>
      <c r="K198">
        <f ca="1">+VLOOKUP($A198,INDIRECT(Adrese!B$2),3,FALSE)</f>
        <v>43</v>
      </c>
      <c r="L198">
        <f ca="1">+VLOOKUP($A198,INDIRECT(Adrese!C$2),3,FALSE)</f>
        <v>44</v>
      </c>
      <c r="M198">
        <f ca="1">+VLOOKUP($A198,INDIRECT(Adrese!D$2),3,FALSE)</f>
        <v>46</v>
      </c>
      <c r="N198">
        <f ca="1">+VLOOKUP($A198,INDIRECT(Adrese!E$2),3,FALSE)</f>
        <v>46</v>
      </c>
      <c r="O198">
        <f ca="1">+VLOOKUP($A198,INDIRECT(Adrese!F$2),3,FALSE)</f>
        <v>41</v>
      </c>
      <c r="P198">
        <f t="shared" ca="1" si="62"/>
        <v>220</v>
      </c>
      <c r="Q198" s="4">
        <f t="shared" ca="1" si="55"/>
        <v>44</v>
      </c>
      <c r="R198" s="4"/>
      <c r="T198" t="s">
        <v>246</v>
      </c>
      <c r="U198">
        <f ca="1">+VLOOKUP($T198,INDIRECT(Adrese!B$2),4,FALSE)</f>
        <v>86420</v>
      </c>
      <c r="V198">
        <f ca="1">+VLOOKUP($T198,INDIRECT(Adrese!C$2),4,FALSE)</f>
        <v>86121</v>
      </c>
      <c r="W198">
        <f ca="1">+VLOOKUP($T198,INDIRECT(Adrese!D$2),4,FALSE)</f>
        <v>86815</v>
      </c>
      <c r="X198">
        <f ca="1">+VLOOKUP($T198,INDIRECT(Adrese!E$2),4,FALSE)</f>
        <v>87351</v>
      </c>
      <c r="Y198">
        <f ca="1">+VLOOKUP($T198,INDIRECT(Adrese!F$2),4,FALSE)</f>
        <v>86530</v>
      </c>
      <c r="Z198">
        <f t="shared" ca="1" si="63"/>
        <v>433237</v>
      </c>
      <c r="AA198" s="4">
        <f t="shared" ca="1" si="56"/>
        <v>86647.4</v>
      </c>
      <c r="AC198" t="s">
        <v>246</v>
      </c>
      <c r="AD198">
        <f ca="1">+VLOOKUP($A198,INDIRECT(Adrese!B$2),5,FALSE)</f>
        <v>38266</v>
      </c>
      <c r="AE198">
        <f ca="1">+VLOOKUP($A198,INDIRECT(Adrese!C$2),5,FALSE)</f>
        <v>38063</v>
      </c>
      <c r="AF198">
        <f ca="1">+VLOOKUP($A198,INDIRECT(Adrese!D$2),5,FALSE)</f>
        <v>38153</v>
      </c>
      <c r="AG198">
        <f ca="1">+VLOOKUP($A198,INDIRECT(Adrese!E$2),5,FALSE)</f>
        <v>37881</v>
      </c>
      <c r="AH198">
        <f ca="1">+VLOOKUP($A198,INDIRECT(Adrese!F$2),5,FALSE)</f>
        <v>38104</v>
      </c>
      <c r="AI198" s="4">
        <f t="shared" ca="1" si="57"/>
        <v>38093.4</v>
      </c>
      <c r="AJ198" s="4"/>
      <c r="AK198" s="4"/>
      <c r="AM198" t="s">
        <v>246</v>
      </c>
      <c r="AN198" s="4">
        <f ca="1">+VLOOKUP($A198,INDIRECT(Adrese!B$2),6,FALSE)</f>
        <v>0.84320796460176994</v>
      </c>
      <c r="AO198" s="4">
        <f ca="1">+VLOOKUP($A198,INDIRECT(Adrese!C$2),6,FALSE)</f>
        <v>0.83889380530973456</v>
      </c>
      <c r="AP198" s="4">
        <f ca="1">+VLOOKUP($A198,INDIRECT(Adrese!D$2),6,FALSE)</f>
        <v>0.84075221238938058</v>
      </c>
      <c r="AQ198" s="4">
        <f ca="1">+VLOOKUP($A198,INDIRECT(Adrese!E$2),6,FALSE)</f>
        <v>0.83497787610619467</v>
      </c>
      <c r="AR198" s="4">
        <f ca="1">+VLOOKUP($A198,INDIRECT(Adrese!F$2),6,FALSE)</f>
        <v>0.83962389380530977</v>
      </c>
      <c r="AS198" s="4" t="str">
        <f t="shared" ca="1" si="64"/>
        <v>0.84 (0.00)</v>
      </c>
      <c r="AT198" s="4">
        <f t="shared" ca="1" si="58"/>
        <v>0.83949115044247802</v>
      </c>
      <c r="AU198" s="4">
        <f t="shared" ca="1" si="65"/>
        <v>3.006204915303541E-3</v>
      </c>
      <c r="AW198" t="s">
        <v>246</v>
      </c>
      <c r="AX198" s="4">
        <f ca="1">+VLOOKUP($A198,INDIRECT(Adrese!B$2),7,FALSE)</f>
        <v>0.80973451327433632</v>
      </c>
      <c r="AY198" s="4">
        <f ca="1">+VLOOKUP($A198,INDIRECT(Adrese!C$2),7,FALSE)</f>
        <v>0.80530973451327437</v>
      </c>
      <c r="AZ198" s="4">
        <f ca="1">+VLOOKUP($A198,INDIRECT(Adrese!D$2),7,FALSE)</f>
        <v>0.79646017699115046</v>
      </c>
      <c r="BA198" s="4">
        <f ca="1">+VLOOKUP($A198,INDIRECT(Adrese!E$2),7,FALSE)</f>
        <v>0.79646017699115046</v>
      </c>
      <c r="BB198" s="4">
        <f ca="1">+VLOOKUP($A198,INDIRECT(Adrese!F$2),7,FALSE)</f>
        <v>0.81858407079646023</v>
      </c>
      <c r="BC198" s="4" t="str">
        <f t="shared" ca="1" si="66"/>
        <v>0.81 (0.01)</v>
      </c>
      <c r="BD198">
        <f t="shared" ca="1" si="59"/>
        <v>0.80530973451327426</v>
      </c>
      <c r="BE198" s="4">
        <f t="shared" ca="1" si="67"/>
        <v>9.3863732015913529E-3</v>
      </c>
      <c r="BG198" t="s">
        <v>246</v>
      </c>
      <c r="BH198" s="4">
        <f ca="1">+VLOOKUP($BG198,INDIRECT(Adrese!B$2),8,FALSE)</f>
        <v>0.104575672975166</v>
      </c>
      <c r="BI198" s="4">
        <f ca="1">+VLOOKUP($BG198,INDIRECT(Adrese!C$2),8,FALSE)</f>
        <v>0.1038518507640749</v>
      </c>
      <c r="BJ198" s="4">
        <f ca="1">+VLOOKUP($BG198,INDIRECT(Adrese!D$2),8,FALSE)</f>
        <v>0.10421308474807089</v>
      </c>
      <c r="BK198" s="4">
        <f ca="1">+VLOOKUP($BG198,INDIRECT(Adrese!E$2),8,FALSE)</f>
        <v>0.1032583240978544</v>
      </c>
      <c r="BL198" s="4">
        <f ca="1">+VLOOKUP($BG198,INDIRECT(Adrese!F$2),8,FALSE)</f>
        <v>0.1042828686513448</v>
      </c>
      <c r="BM198" s="4" t="str">
        <f t="shared" ca="1" si="68"/>
        <v>0.10 (0.00)</v>
      </c>
      <c r="BN198" s="4">
        <f t="shared" ca="1" si="60"/>
        <v>0.1040363602473022</v>
      </c>
      <c r="BO198" s="4">
        <f t="shared" ca="1" si="69"/>
        <v>5.0552946504625834E-4</v>
      </c>
      <c r="BQ198" t="s">
        <v>246</v>
      </c>
      <c r="BR198" s="4">
        <f ca="1">+VLOOKUP($BG198,INDIRECT(Adrese!B$2),9,FALSE)</f>
        <v>-9.3939511882746768E-2</v>
      </c>
      <c r="BS198" s="4">
        <f ca="1">+VLOOKUP($BG198,INDIRECT(Adrese!C$2),9,FALSE)</f>
        <v>-9.6712450278184758E-2</v>
      </c>
      <c r="BT198" s="4">
        <f ca="1">+VLOOKUP($BG198,INDIRECT(Adrese!D$2),9,FALSE)</f>
        <v>-9.4273603819623644E-2</v>
      </c>
      <c r="BU198" s="4">
        <f ca="1">+VLOOKUP($BG198,INDIRECT(Adrese!E$2),9,FALSE)</f>
        <v>-9.418721268039662E-2</v>
      </c>
      <c r="BV198" s="4">
        <f ca="1">+VLOOKUP($BG198,INDIRECT(Adrese!F$2),9,FALSE)</f>
        <v>-9.2678952160465983E-2</v>
      </c>
      <c r="BW198" s="4" t="str">
        <f t="shared" ca="1" si="70"/>
        <v>-0.09 (0.00)</v>
      </c>
      <c r="BX198" s="4">
        <f t="shared" ca="1" si="61"/>
        <v>-9.4358346164283555E-2</v>
      </c>
      <c r="BY198" s="4">
        <f t="shared" ca="1" si="71"/>
        <v>1.4640748349060886E-3</v>
      </c>
    </row>
    <row r="199" spans="1:77" x14ac:dyDescent="0.25">
      <c r="A199" t="s">
        <v>247</v>
      </c>
      <c r="B199" s="11">
        <f ca="1">+VLOOKUP($A199,INDIRECT(Adrese!B$2),2,FALSE)</f>
        <v>159</v>
      </c>
      <c r="C199" s="11">
        <f ca="1">+VLOOKUP($A199,INDIRECT(Adrese!C$2),2,FALSE)</f>
        <v>137</v>
      </c>
      <c r="D199" s="11">
        <f ca="1">+VLOOKUP($A199,INDIRECT(Adrese!D$2),2,FALSE)</f>
        <v>124</v>
      </c>
      <c r="E199" s="11">
        <f ca="1">+VLOOKUP($A199,INDIRECT(Adrese!E$2),2,FALSE)</f>
        <v>151</v>
      </c>
      <c r="F199" s="11">
        <f ca="1">+VLOOKUP($A199,INDIRECT(Adrese!F$2),2,FALSE)</f>
        <v>157</v>
      </c>
      <c r="G199" s="4">
        <f t="shared" ca="1" si="54"/>
        <v>145.6</v>
      </c>
      <c r="J199" t="s">
        <v>247</v>
      </c>
      <c r="K199">
        <f ca="1">+VLOOKUP($A199,INDIRECT(Adrese!B$2),3,FALSE)</f>
        <v>142</v>
      </c>
      <c r="L199">
        <f ca="1">+VLOOKUP($A199,INDIRECT(Adrese!C$2),3,FALSE)</f>
        <v>151</v>
      </c>
      <c r="M199">
        <f ca="1">+VLOOKUP($A199,INDIRECT(Adrese!D$2),3,FALSE)</f>
        <v>152</v>
      </c>
      <c r="N199">
        <f ca="1">+VLOOKUP($A199,INDIRECT(Adrese!E$2),3,FALSE)</f>
        <v>147</v>
      </c>
      <c r="O199">
        <f ca="1">+VLOOKUP($A199,INDIRECT(Adrese!F$2),3,FALSE)</f>
        <v>147</v>
      </c>
      <c r="P199">
        <f t="shared" ca="1" si="62"/>
        <v>739</v>
      </c>
      <c r="Q199" s="4">
        <f t="shared" ca="1" si="55"/>
        <v>147.80000000000001</v>
      </c>
      <c r="R199" s="4"/>
      <c r="T199" t="s">
        <v>247</v>
      </c>
      <c r="U199">
        <f ca="1">+VLOOKUP($T199,INDIRECT(Adrese!B$2),4,FALSE)</f>
        <v>92870</v>
      </c>
      <c r="V199">
        <f ca="1">+VLOOKUP($T199,INDIRECT(Adrese!C$2),4,FALSE)</f>
        <v>94188</v>
      </c>
      <c r="W199">
        <f ca="1">+VLOOKUP($T199,INDIRECT(Adrese!D$2),4,FALSE)</f>
        <v>94789</v>
      </c>
      <c r="X199">
        <f ca="1">+VLOOKUP($T199,INDIRECT(Adrese!E$2),4,FALSE)</f>
        <v>93529</v>
      </c>
      <c r="Y199">
        <f ca="1">+VLOOKUP($T199,INDIRECT(Adrese!F$2),4,FALSE)</f>
        <v>93212</v>
      </c>
      <c r="Z199">
        <f t="shared" ca="1" si="63"/>
        <v>468588</v>
      </c>
      <c r="AA199" s="4">
        <f t="shared" ca="1" si="56"/>
        <v>93717.6</v>
      </c>
      <c r="AC199" t="s">
        <v>247</v>
      </c>
      <c r="AD199">
        <f ca="1">+VLOOKUP($A199,INDIRECT(Adrese!B$2),5,FALSE)</f>
        <v>8255</v>
      </c>
      <c r="AE199">
        <f ca="1">+VLOOKUP($A199,INDIRECT(Adrese!C$2),5,FALSE)</f>
        <v>8234</v>
      </c>
      <c r="AF199">
        <f ca="1">+VLOOKUP($A199,INDIRECT(Adrese!D$2),5,FALSE)</f>
        <v>8309</v>
      </c>
      <c r="AG199">
        <f ca="1">+VLOOKUP($A199,INDIRECT(Adrese!E$2),5,FALSE)</f>
        <v>8025</v>
      </c>
      <c r="AH199">
        <f ca="1">+VLOOKUP($A199,INDIRECT(Adrese!F$2),5,FALSE)</f>
        <v>8215</v>
      </c>
      <c r="AI199" s="4">
        <f t="shared" ca="1" si="57"/>
        <v>8207.6</v>
      </c>
      <c r="AJ199" s="4"/>
      <c r="AK199" s="4"/>
      <c r="AM199" t="s">
        <v>247</v>
      </c>
      <c r="AN199" s="4">
        <f ca="1">+VLOOKUP($A199,INDIRECT(Adrese!B$2),6,FALSE)</f>
        <v>0.18176991150442481</v>
      </c>
      <c r="AO199" s="4">
        <f ca="1">+VLOOKUP($A199,INDIRECT(Adrese!C$2),6,FALSE)</f>
        <v>0.1814159292035398</v>
      </c>
      <c r="AP199" s="4">
        <f ca="1">+VLOOKUP($A199,INDIRECT(Adrese!D$2),6,FALSE)</f>
        <v>0.18320796460176991</v>
      </c>
      <c r="AQ199" s="4">
        <f ca="1">+VLOOKUP($A199,INDIRECT(Adrese!E$2),6,FALSE)</f>
        <v>0.17665929203539821</v>
      </c>
      <c r="AR199" s="4">
        <f ca="1">+VLOOKUP($A199,INDIRECT(Adrese!F$2),6,FALSE)</f>
        <v>0.180929203539823</v>
      </c>
      <c r="AS199" s="4" t="str">
        <f t="shared" ca="1" si="64"/>
        <v>0.18 (0.00)</v>
      </c>
      <c r="AT199" s="4">
        <f t="shared" ca="1" si="58"/>
        <v>0.18079646017699116</v>
      </c>
      <c r="AU199" s="4">
        <f t="shared" ca="1" si="65"/>
        <v>2.4637615542423413E-3</v>
      </c>
      <c r="AW199" t="s">
        <v>247</v>
      </c>
      <c r="AX199" s="4">
        <f ca="1">+VLOOKUP($A199,INDIRECT(Adrese!B$2),7,FALSE)</f>
        <v>0.37168141592920362</v>
      </c>
      <c r="AY199" s="4">
        <f ca="1">+VLOOKUP($A199,INDIRECT(Adrese!C$2),7,FALSE)</f>
        <v>0.33185840707964598</v>
      </c>
      <c r="AZ199" s="4">
        <f ca="1">+VLOOKUP($A199,INDIRECT(Adrese!D$2),7,FALSE)</f>
        <v>0.32743362831858408</v>
      </c>
      <c r="BA199" s="4">
        <f ca="1">+VLOOKUP($A199,INDIRECT(Adrese!E$2),7,FALSE)</f>
        <v>0.34955752212389379</v>
      </c>
      <c r="BB199" s="4">
        <f ca="1">+VLOOKUP($A199,INDIRECT(Adrese!F$2),7,FALSE)</f>
        <v>0.34955752212389379</v>
      </c>
      <c r="BC199" s="4" t="str">
        <f t="shared" ca="1" si="66"/>
        <v>0.35 (0.02)</v>
      </c>
      <c r="BD199">
        <f t="shared" ca="1" si="59"/>
        <v>0.34601769911504426</v>
      </c>
      <c r="BE199" s="4">
        <f t="shared" ca="1" si="67"/>
        <v>1.7532400669167246E-2</v>
      </c>
      <c r="BG199" t="s">
        <v>247</v>
      </c>
      <c r="BH199" s="4">
        <f ca="1">+VLOOKUP($BG199,INDIRECT(Adrese!B$2),8,FALSE)</f>
        <v>2.3272884071647609E-2</v>
      </c>
      <c r="BI199" s="4">
        <f ca="1">+VLOOKUP($BG199,INDIRECT(Adrese!C$2),8,FALSE)</f>
        <v>2.3212058834795931E-2</v>
      </c>
      <c r="BJ199" s="4">
        <f ca="1">+VLOOKUP($BG199,INDIRECT(Adrese!D$2),8,FALSE)</f>
        <v>2.3388808970931891E-2</v>
      </c>
      <c r="BK199" s="4">
        <f ca="1">+VLOOKUP($BG199,INDIRECT(Adrese!E$2),8,FALSE)</f>
        <v>2.2338325760027779E-2</v>
      </c>
      <c r="BL199" s="4">
        <f ca="1">+VLOOKUP($BG199,INDIRECT(Adrese!F$2),8,FALSE)</f>
        <v>2.3222423354306739E-2</v>
      </c>
      <c r="BM199" s="4" t="str">
        <f t="shared" ca="1" si="68"/>
        <v>0.02 (0.00)</v>
      </c>
      <c r="BN199" s="4">
        <f t="shared" ca="1" si="60"/>
        <v>2.3086900198341993E-2</v>
      </c>
      <c r="BO199" s="4">
        <f t="shared" ca="1" si="69"/>
        <v>4.2430349040385945E-4</v>
      </c>
      <c r="BQ199" t="s">
        <v>247</v>
      </c>
      <c r="BR199" s="4">
        <f ca="1">+VLOOKUP($BG199,INDIRECT(Adrese!B$2),9,FALSE)</f>
        <v>7.7059047246018156E-2</v>
      </c>
      <c r="BS199" s="4">
        <f ca="1">+VLOOKUP($BG199,INDIRECT(Adrese!C$2),9,FALSE)</f>
        <v>7.763873832151004E-2</v>
      </c>
      <c r="BT199" s="4">
        <f ca="1">+VLOOKUP($BG199,INDIRECT(Adrese!D$2),9,FALSE)</f>
        <v>7.5680418528121282E-2</v>
      </c>
      <c r="BU199" s="4">
        <f ca="1">+VLOOKUP($BG199,INDIRECT(Adrese!E$2),9,FALSE)</f>
        <v>7.579129909636996E-2</v>
      </c>
      <c r="BV199" s="4">
        <f ca="1">+VLOOKUP($BG199,INDIRECT(Adrese!F$2),9,FALSE)</f>
        <v>7.6008881805251352E-2</v>
      </c>
      <c r="BW199" s="4" t="str">
        <f t="shared" ca="1" si="70"/>
        <v>0.08 (0.00)</v>
      </c>
      <c r="BX199" s="4">
        <f t="shared" ca="1" si="61"/>
        <v>7.6435676999454152E-2</v>
      </c>
      <c r="BY199" s="4">
        <f t="shared" ca="1" si="71"/>
        <v>8.665649697550058E-4</v>
      </c>
    </row>
    <row r="200" spans="1:77" x14ac:dyDescent="0.25">
      <c r="A200" t="s">
        <v>248</v>
      </c>
      <c r="B200" s="11">
        <f ca="1">+VLOOKUP($A200,INDIRECT(Adrese!B$2),2,FALSE)</f>
        <v>193</v>
      </c>
      <c r="C200" s="11">
        <f ca="1">+VLOOKUP($A200,INDIRECT(Adrese!C$2),2,FALSE)</f>
        <v>203</v>
      </c>
      <c r="D200" s="11">
        <f ca="1">+VLOOKUP($A200,INDIRECT(Adrese!D$2),2,FALSE)</f>
        <v>188</v>
      </c>
      <c r="E200" s="11">
        <f ca="1">+VLOOKUP($A200,INDIRECT(Adrese!E$2),2,FALSE)</f>
        <v>195</v>
      </c>
      <c r="F200" s="11">
        <f ca="1">+VLOOKUP($A200,INDIRECT(Adrese!F$2),2,FALSE)</f>
        <v>205</v>
      </c>
      <c r="G200" s="4">
        <f t="shared" ca="1" si="54"/>
        <v>196.8</v>
      </c>
      <c r="J200" t="s">
        <v>248</v>
      </c>
      <c r="K200">
        <f ca="1">+VLOOKUP($A200,INDIRECT(Adrese!B$2),3,FALSE)</f>
        <v>75</v>
      </c>
      <c r="L200">
        <f ca="1">+VLOOKUP($A200,INDIRECT(Adrese!C$2),3,FALSE)</f>
        <v>83</v>
      </c>
      <c r="M200">
        <f ca="1">+VLOOKUP($A200,INDIRECT(Adrese!D$2),3,FALSE)</f>
        <v>83</v>
      </c>
      <c r="N200">
        <f ca="1">+VLOOKUP($A200,INDIRECT(Adrese!E$2),3,FALSE)</f>
        <v>78</v>
      </c>
      <c r="O200">
        <f ca="1">+VLOOKUP($A200,INDIRECT(Adrese!F$2),3,FALSE)</f>
        <v>82</v>
      </c>
      <c r="P200">
        <f t="shared" ca="1" si="62"/>
        <v>401</v>
      </c>
      <c r="Q200" s="4">
        <f t="shared" ca="1" si="55"/>
        <v>80.2</v>
      </c>
      <c r="R200" s="4"/>
      <c r="T200" t="s">
        <v>248</v>
      </c>
      <c r="U200">
        <f ca="1">+VLOOKUP($T200,INDIRECT(Adrese!B$2),4,FALSE)</f>
        <v>89608</v>
      </c>
      <c r="V200">
        <f ca="1">+VLOOKUP($T200,INDIRECT(Adrese!C$2),4,FALSE)</f>
        <v>88440</v>
      </c>
      <c r="W200">
        <f ca="1">+VLOOKUP($T200,INDIRECT(Adrese!D$2),4,FALSE)</f>
        <v>89638</v>
      </c>
      <c r="X200">
        <f ca="1">+VLOOKUP($T200,INDIRECT(Adrese!E$2),4,FALSE)</f>
        <v>89234</v>
      </c>
      <c r="Y200">
        <f ca="1">+VLOOKUP($T200,INDIRECT(Adrese!F$2),4,FALSE)</f>
        <v>88140</v>
      </c>
      <c r="Z200">
        <f t="shared" ca="1" si="63"/>
        <v>445060</v>
      </c>
      <c r="AA200" s="4">
        <f t="shared" ca="1" si="56"/>
        <v>89012</v>
      </c>
      <c r="AC200" t="s">
        <v>248</v>
      </c>
      <c r="AD200">
        <f ca="1">+VLOOKUP($A200,INDIRECT(Adrese!B$2),5,FALSE)</f>
        <v>22712</v>
      </c>
      <c r="AE200">
        <f ca="1">+VLOOKUP($A200,INDIRECT(Adrese!C$2),5,FALSE)</f>
        <v>22682</v>
      </c>
      <c r="AF200">
        <f ca="1">+VLOOKUP($A200,INDIRECT(Adrese!D$2),5,FALSE)</f>
        <v>22639</v>
      </c>
      <c r="AG200">
        <f ca="1">+VLOOKUP($A200,INDIRECT(Adrese!E$2),5,FALSE)</f>
        <v>22728</v>
      </c>
      <c r="AH200">
        <f ca="1">+VLOOKUP($A200,INDIRECT(Adrese!F$2),5,FALSE)</f>
        <v>22718</v>
      </c>
      <c r="AI200" s="4">
        <f t="shared" ca="1" si="57"/>
        <v>22695.8</v>
      </c>
      <c r="AJ200" s="4"/>
      <c r="AK200" s="4"/>
      <c r="AM200" t="s">
        <v>248</v>
      </c>
      <c r="AN200" s="4">
        <f ca="1">+VLOOKUP($A200,INDIRECT(Adrese!B$2),6,FALSE)</f>
        <v>0.50028761061946903</v>
      </c>
      <c r="AO200" s="4">
        <f ca="1">+VLOOKUP($A200,INDIRECT(Adrese!C$2),6,FALSE)</f>
        <v>0.49969026548672568</v>
      </c>
      <c r="AP200" s="4">
        <f ca="1">+VLOOKUP($A200,INDIRECT(Adrese!D$2),6,FALSE)</f>
        <v>0.49856194690265487</v>
      </c>
      <c r="AQ200" s="4">
        <f ca="1">+VLOOKUP($A200,INDIRECT(Adrese!E$2),6,FALSE)</f>
        <v>0.50059734513274334</v>
      </c>
      <c r="AR200" s="4">
        <f ca="1">+VLOOKUP($A200,INDIRECT(Adrese!F$2),6,FALSE)</f>
        <v>0.50046460176991148</v>
      </c>
      <c r="AS200" s="4" t="str">
        <f t="shared" ca="1" si="64"/>
        <v>0.50 (0.00)</v>
      </c>
      <c r="AT200" s="4">
        <f t="shared" ca="1" si="58"/>
        <v>0.49992035398230089</v>
      </c>
      <c r="AU200" s="4">
        <f t="shared" ca="1" si="65"/>
        <v>8.3480695664760489E-4</v>
      </c>
      <c r="AW200" t="s">
        <v>248</v>
      </c>
      <c r="AX200" s="4">
        <f ca="1">+VLOOKUP($A200,INDIRECT(Adrese!B$2),7,FALSE)</f>
        <v>0.66814159292035402</v>
      </c>
      <c r="AY200" s="4">
        <f ca="1">+VLOOKUP($A200,INDIRECT(Adrese!C$2),7,FALSE)</f>
        <v>0.63274336283185839</v>
      </c>
      <c r="AZ200" s="4">
        <f ca="1">+VLOOKUP($A200,INDIRECT(Adrese!D$2),7,FALSE)</f>
        <v>0.63274336283185839</v>
      </c>
      <c r="BA200" s="4">
        <f ca="1">+VLOOKUP($A200,INDIRECT(Adrese!E$2),7,FALSE)</f>
        <v>0.65486725663716816</v>
      </c>
      <c r="BB200" s="4">
        <f ca="1">+VLOOKUP($A200,INDIRECT(Adrese!F$2),7,FALSE)</f>
        <v>0.63716814159292035</v>
      </c>
      <c r="BC200" s="4" t="str">
        <f t="shared" ca="1" si="66"/>
        <v>0.65 (0.02)</v>
      </c>
      <c r="BD200">
        <f t="shared" ca="1" si="59"/>
        <v>0.64513274336283188</v>
      </c>
      <c r="BE200" s="4">
        <f t="shared" ca="1" si="67"/>
        <v>1.5768610337349991E-2</v>
      </c>
      <c r="BG200" t="s">
        <v>248</v>
      </c>
      <c r="BH200" s="4">
        <f ca="1">+VLOOKUP($BG200,INDIRECT(Adrese!B$2),8,FALSE)</f>
        <v>6.3635561452136155E-2</v>
      </c>
      <c r="BI200" s="4">
        <f ca="1">+VLOOKUP($BG200,INDIRECT(Adrese!C$2),8,FALSE)</f>
        <v>6.365565666896951E-2</v>
      </c>
      <c r="BJ200" s="4">
        <f ca="1">+VLOOKUP($BG200,INDIRECT(Adrese!D$2),8,FALSE)</f>
        <v>6.3465803663338177E-2</v>
      </c>
      <c r="BK200" s="4">
        <f ca="1">+VLOOKUP($BG200,INDIRECT(Adrese!E$2),8,FALSE)</f>
        <v>6.381120299246984E-2</v>
      </c>
      <c r="BL200" s="4">
        <f ca="1">+VLOOKUP($BG200,INDIRECT(Adrese!F$2),8,FALSE)</f>
        <v>6.3732321127784389E-2</v>
      </c>
      <c r="BM200" s="4" t="str">
        <f t="shared" ca="1" si="68"/>
        <v>0.06 (0.00)</v>
      </c>
      <c r="BN200" s="4">
        <f t="shared" ca="1" si="60"/>
        <v>6.3660109180939603E-2</v>
      </c>
      <c r="BO200" s="4">
        <f t="shared" ca="1" si="69"/>
        <v>1.2886131612363185E-4</v>
      </c>
      <c r="BQ200" t="s">
        <v>248</v>
      </c>
      <c r="BR200" s="4">
        <f ca="1">+VLOOKUP($BG200,INDIRECT(Adrese!B$2),9,FALSE)</f>
        <v>1.4352798144408619E-4</v>
      </c>
      <c r="BS200" s="4">
        <f ca="1">+VLOOKUP($BG200,INDIRECT(Adrese!C$2),9,FALSE)</f>
        <v>3.005391118819391E-4</v>
      </c>
      <c r="BT200" s="4">
        <f ca="1">+VLOOKUP($BG200,INDIRECT(Adrese!D$2),9,FALSE)</f>
        <v>3.1798014187168328E-4</v>
      </c>
      <c r="BU200" s="4">
        <f ca="1">+VLOOKUP($BG200,INDIRECT(Adrese!E$2),9,FALSE)</f>
        <v>1.081926178530339E-4</v>
      </c>
      <c r="BV200" s="4">
        <f ca="1">+VLOOKUP($BG200,INDIRECT(Adrese!F$2),9,FALSE)</f>
        <v>-4.021704456182942E-4</v>
      </c>
      <c r="BW200" s="4" t="str">
        <f t="shared" ca="1" si="70"/>
        <v>0.00 (0.00)</v>
      </c>
      <c r="BX200" s="4">
        <f t="shared" ca="1" si="61"/>
        <v>9.3613881486489663E-5</v>
      </c>
      <c r="BY200" s="4">
        <f t="shared" ca="1" si="71"/>
        <v>2.922602973826636E-4</v>
      </c>
    </row>
    <row r="201" spans="1:77" x14ac:dyDescent="0.25">
      <c r="A201" t="s">
        <v>249</v>
      </c>
      <c r="B201" s="11">
        <f ca="1">+VLOOKUP($A201,INDIRECT(Adrese!B$2),2,FALSE)</f>
        <v>220</v>
      </c>
      <c r="C201" s="11">
        <f ca="1">+VLOOKUP($A201,INDIRECT(Adrese!C$2),2,FALSE)</f>
        <v>222</v>
      </c>
      <c r="D201" s="11">
        <f ca="1">+VLOOKUP($A201,INDIRECT(Adrese!D$2),2,FALSE)</f>
        <v>225</v>
      </c>
      <c r="E201" s="11">
        <f ca="1">+VLOOKUP($A201,INDIRECT(Adrese!E$2),2,FALSE)</f>
        <v>210</v>
      </c>
      <c r="F201" s="11">
        <f ca="1">+VLOOKUP($A201,INDIRECT(Adrese!F$2),2,FALSE)</f>
        <v>224</v>
      </c>
      <c r="G201" s="4">
        <f t="shared" ca="1" si="54"/>
        <v>220.2</v>
      </c>
      <c r="J201" t="s">
        <v>249</v>
      </c>
      <c r="K201">
        <f ca="1">+VLOOKUP($A201,INDIRECT(Adrese!B$2),3,FALSE)</f>
        <v>39</v>
      </c>
      <c r="L201">
        <f ca="1">+VLOOKUP($A201,INDIRECT(Adrese!C$2),3,FALSE)</f>
        <v>42</v>
      </c>
      <c r="M201">
        <f ca="1">+VLOOKUP($A201,INDIRECT(Adrese!D$2),3,FALSE)</f>
        <v>41</v>
      </c>
      <c r="N201">
        <f ca="1">+VLOOKUP($A201,INDIRECT(Adrese!E$2),3,FALSE)</f>
        <v>45</v>
      </c>
      <c r="O201">
        <f ca="1">+VLOOKUP($A201,INDIRECT(Adrese!F$2),3,FALSE)</f>
        <v>43</v>
      </c>
      <c r="P201">
        <f t="shared" ca="1" si="62"/>
        <v>210</v>
      </c>
      <c r="Q201" s="4">
        <f t="shared" ca="1" si="55"/>
        <v>42</v>
      </c>
      <c r="R201" s="4"/>
      <c r="T201" t="s">
        <v>249</v>
      </c>
      <c r="U201">
        <f ca="1">+VLOOKUP($T201,INDIRECT(Adrese!B$2),4,FALSE)</f>
        <v>86452</v>
      </c>
      <c r="V201">
        <f ca="1">+VLOOKUP($T201,INDIRECT(Adrese!C$2),4,FALSE)</f>
        <v>86616</v>
      </c>
      <c r="W201">
        <f ca="1">+VLOOKUP($T201,INDIRECT(Adrese!D$2),4,FALSE)</f>
        <v>86461</v>
      </c>
      <c r="X201">
        <f ca="1">+VLOOKUP($T201,INDIRECT(Adrese!E$2),4,FALSE)</f>
        <v>87440</v>
      </c>
      <c r="Y201">
        <f ca="1">+VLOOKUP($T201,INDIRECT(Adrese!F$2),4,FALSE)</f>
        <v>86136</v>
      </c>
      <c r="Z201">
        <f t="shared" ca="1" si="63"/>
        <v>433105</v>
      </c>
      <c r="AA201" s="4">
        <f t="shared" ca="1" si="56"/>
        <v>86621</v>
      </c>
      <c r="AC201" t="s">
        <v>249</v>
      </c>
      <c r="AD201">
        <f ca="1">+VLOOKUP($A201,INDIRECT(Adrese!B$2),5,FALSE)</f>
        <v>37413</v>
      </c>
      <c r="AE201">
        <f ca="1">+VLOOKUP($A201,INDIRECT(Adrese!C$2),5,FALSE)</f>
        <v>37261</v>
      </c>
      <c r="AF201">
        <f ca="1">+VLOOKUP($A201,INDIRECT(Adrese!D$2),5,FALSE)</f>
        <v>37228</v>
      </c>
      <c r="AG201">
        <f ca="1">+VLOOKUP($A201,INDIRECT(Adrese!E$2),5,FALSE)</f>
        <v>37327</v>
      </c>
      <c r="AH201">
        <f ca="1">+VLOOKUP($A201,INDIRECT(Adrese!F$2),5,FALSE)</f>
        <v>37321</v>
      </c>
      <c r="AI201" s="4">
        <f t="shared" ca="1" si="57"/>
        <v>37310</v>
      </c>
      <c r="AJ201" s="4"/>
      <c r="AK201" s="4"/>
      <c r="AM201" t="s">
        <v>249</v>
      </c>
      <c r="AN201" s="4">
        <f ca="1">+VLOOKUP($A201,INDIRECT(Adrese!B$2),6,FALSE)</f>
        <v>0.824070796460177</v>
      </c>
      <c r="AO201" s="4">
        <f ca="1">+VLOOKUP($A201,INDIRECT(Adrese!C$2),6,FALSE)</f>
        <v>0.82084070796460173</v>
      </c>
      <c r="AP201" s="4">
        <f ca="1">+VLOOKUP($A201,INDIRECT(Adrese!D$2),6,FALSE)</f>
        <v>0.81995575221238937</v>
      </c>
      <c r="AQ201" s="4">
        <f ca="1">+VLOOKUP($A201,INDIRECT(Adrese!E$2),6,FALSE)</f>
        <v>0.82221238938053098</v>
      </c>
      <c r="AR201" s="4">
        <f ca="1">+VLOOKUP($A201,INDIRECT(Adrese!F$2),6,FALSE)</f>
        <v>0.82201327433628324</v>
      </c>
      <c r="AS201" s="4" t="str">
        <f t="shared" ca="1" si="64"/>
        <v>0.82 (0.00)</v>
      </c>
      <c r="AT201" s="4">
        <f t="shared" ca="1" si="58"/>
        <v>0.82181858407079655</v>
      </c>
      <c r="AU201" s="4">
        <f t="shared" ca="1" si="65"/>
        <v>1.5565853478120475E-3</v>
      </c>
      <c r="AW201" t="s">
        <v>249</v>
      </c>
      <c r="AX201" s="4">
        <f ca="1">+VLOOKUP($A201,INDIRECT(Adrese!B$2),7,FALSE)</f>
        <v>0.82743362831858402</v>
      </c>
      <c r="AY201" s="4">
        <f ca="1">+VLOOKUP($A201,INDIRECT(Adrese!C$2),7,FALSE)</f>
        <v>0.81415929203539827</v>
      </c>
      <c r="AZ201" s="4">
        <f ca="1">+VLOOKUP($A201,INDIRECT(Adrese!D$2),7,FALSE)</f>
        <v>0.81858407079646023</v>
      </c>
      <c r="BA201" s="4">
        <f ca="1">+VLOOKUP($A201,INDIRECT(Adrese!E$2),7,FALSE)</f>
        <v>0.80088495575221241</v>
      </c>
      <c r="BB201" s="4">
        <f ca="1">+VLOOKUP($A201,INDIRECT(Adrese!F$2),7,FALSE)</f>
        <v>0.80973451327433632</v>
      </c>
      <c r="BC201" s="4" t="str">
        <f t="shared" ca="1" si="66"/>
        <v>0.81 (0.01)</v>
      </c>
      <c r="BD201">
        <f t="shared" ca="1" si="59"/>
        <v>0.81415929203539827</v>
      </c>
      <c r="BE201" s="4">
        <f t="shared" ca="1" si="67"/>
        <v>9.8941060951317911E-3</v>
      </c>
      <c r="BG201" t="s">
        <v>249</v>
      </c>
      <c r="BH201" s="4">
        <f ca="1">+VLOOKUP($BG201,INDIRECT(Adrese!B$2),8,FALSE)</f>
        <v>0.1047698840152326</v>
      </c>
      <c r="BI201" s="4">
        <f ca="1">+VLOOKUP($BG201,INDIRECT(Adrese!C$2),8,FALSE)</f>
        <v>0.1044986769193897</v>
      </c>
      <c r="BJ201" s="4">
        <f ca="1">+VLOOKUP($BG201,INDIRECT(Adrese!D$2),8,FALSE)</f>
        <v>0.1043773782346358</v>
      </c>
      <c r="BK201" s="4">
        <f ca="1">+VLOOKUP($BG201,INDIRECT(Adrese!E$2),8,FALSE)</f>
        <v>0.1046391167887492</v>
      </c>
      <c r="BL201" s="4">
        <f ca="1">+VLOOKUP($BG201,INDIRECT(Adrese!F$2),8,FALSE)</f>
        <v>0.1047897289142026</v>
      </c>
      <c r="BM201" s="4" t="str">
        <f t="shared" ca="1" si="68"/>
        <v>0.10 (0.00)</v>
      </c>
      <c r="BN201" s="4">
        <f t="shared" ca="1" si="60"/>
        <v>0.10461495697444198</v>
      </c>
      <c r="BO201" s="4">
        <f t="shared" ca="1" si="69"/>
        <v>1.7684458171940098E-4</v>
      </c>
      <c r="BQ201" t="s">
        <v>249</v>
      </c>
      <c r="BR201" s="4">
        <f ca="1">+VLOOKUP($BG201,INDIRECT(Adrese!B$2),9,FALSE)</f>
        <v>-7.7753348810582074E-2</v>
      </c>
      <c r="BS201" s="4">
        <f ca="1">+VLOOKUP($BG201,INDIRECT(Adrese!C$2),9,FALSE)</f>
        <v>-7.6752474089498104E-2</v>
      </c>
      <c r="BT201" s="4">
        <f ca="1">+VLOOKUP($BG201,INDIRECT(Adrese!D$2),9,FALSE)</f>
        <v>-7.6053397653669211E-2</v>
      </c>
      <c r="BU201" s="4">
        <f ca="1">+VLOOKUP($BG201,INDIRECT(Adrese!E$2),9,FALSE)</f>
        <v>-7.7096509488894668E-2</v>
      </c>
      <c r="BV201" s="4">
        <f ca="1">+VLOOKUP($BG201,INDIRECT(Adrese!F$2),9,FALSE)</f>
        <v>-7.6323505911910464E-2</v>
      </c>
      <c r="BW201" s="4" t="str">
        <f t="shared" ca="1" si="70"/>
        <v>-0.08 (0.00)</v>
      </c>
      <c r="BX201" s="4">
        <f t="shared" ca="1" si="61"/>
        <v>-7.6795847190910899E-2</v>
      </c>
      <c r="BY201" s="4">
        <f t="shared" ca="1" si="71"/>
        <v>6.6772486740912464E-4</v>
      </c>
    </row>
    <row r="202" spans="1:77" x14ac:dyDescent="0.25">
      <c r="A202" t="s">
        <v>250</v>
      </c>
      <c r="B202" s="11">
        <f ca="1">+VLOOKUP($A202,INDIRECT(Adrese!B$2),2,FALSE)</f>
        <v>66</v>
      </c>
      <c r="C202" s="11">
        <f ca="1">+VLOOKUP($A202,INDIRECT(Adrese!C$2),2,FALSE)</f>
        <v>95</v>
      </c>
      <c r="D202" s="11">
        <f ca="1">+VLOOKUP($A202,INDIRECT(Adrese!D$2),2,FALSE)</f>
        <v>128</v>
      </c>
      <c r="E202" s="11">
        <f ca="1">+VLOOKUP($A202,INDIRECT(Adrese!E$2),2,FALSE)</f>
        <v>111</v>
      </c>
      <c r="F202" s="11">
        <f ca="1">+VLOOKUP($A202,INDIRECT(Adrese!F$2),2,FALSE)</f>
        <v>94</v>
      </c>
      <c r="G202" s="4">
        <f t="shared" ca="1" si="54"/>
        <v>98.8</v>
      </c>
      <c r="J202" t="s">
        <v>250</v>
      </c>
      <c r="K202">
        <f ca="1">+VLOOKUP($A202,INDIRECT(Adrese!B$2),3,FALSE)</f>
        <v>205</v>
      </c>
      <c r="L202">
        <f ca="1">+VLOOKUP($A202,INDIRECT(Adrese!C$2),3,FALSE)</f>
        <v>201</v>
      </c>
      <c r="M202">
        <f ca="1">+VLOOKUP($A202,INDIRECT(Adrese!D$2),3,FALSE)</f>
        <v>199</v>
      </c>
      <c r="N202">
        <f ca="1">+VLOOKUP($A202,INDIRECT(Adrese!E$2),3,FALSE)</f>
        <v>194</v>
      </c>
      <c r="O202">
        <f ca="1">+VLOOKUP($A202,INDIRECT(Adrese!F$2),3,FALSE)</f>
        <v>196</v>
      </c>
      <c r="P202">
        <f t="shared" ca="1" si="62"/>
        <v>995</v>
      </c>
      <c r="Q202" s="4">
        <f t="shared" ca="1" si="55"/>
        <v>199</v>
      </c>
      <c r="R202" s="4"/>
      <c r="T202" t="s">
        <v>250</v>
      </c>
      <c r="U202">
        <f ca="1">+VLOOKUP($T202,INDIRECT(Adrese!B$2),4,FALSE)</f>
        <v>96826</v>
      </c>
      <c r="V202">
        <f ca="1">+VLOOKUP($T202,INDIRECT(Adrese!C$2),4,FALSE)</f>
        <v>95681</v>
      </c>
      <c r="W202">
        <f ca="1">+VLOOKUP($T202,INDIRECT(Adrese!D$2),4,FALSE)</f>
        <v>94554</v>
      </c>
      <c r="X202">
        <f ca="1">+VLOOKUP($T202,INDIRECT(Adrese!E$2),4,FALSE)</f>
        <v>95198</v>
      </c>
      <c r="Y202">
        <f ca="1">+VLOOKUP($T202,INDIRECT(Adrese!F$2),4,FALSE)</f>
        <v>95726</v>
      </c>
      <c r="Z202">
        <f t="shared" ca="1" si="63"/>
        <v>477985</v>
      </c>
      <c r="AA202" s="4">
        <f t="shared" ca="1" si="56"/>
        <v>95597</v>
      </c>
      <c r="AC202" t="s">
        <v>250</v>
      </c>
      <c r="AD202">
        <f ca="1">+VLOOKUP($A202,INDIRECT(Adrese!B$2),5,FALSE)</f>
        <v>4807</v>
      </c>
      <c r="AE202">
        <f ca="1">+VLOOKUP($A202,INDIRECT(Adrese!C$2),5,FALSE)</f>
        <v>4820</v>
      </c>
      <c r="AF202">
        <f ca="1">+VLOOKUP($A202,INDIRECT(Adrese!D$2),5,FALSE)</f>
        <v>4764</v>
      </c>
      <c r="AG202">
        <f ca="1">+VLOOKUP($A202,INDIRECT(Adrese!E$2),5,FALSE)</f>
        <v>4794</v>
      </c>
      <c r="AH202">
        <f ca="1">+VLOOKUP($A202,INDIRECT(Adrese!F$2),5,FALSE)</f>
        <v>4884</v>
      </c>
      <c r="AI202" s="4">
        <f t="shared" ca="1" si="57"/>
        <v>4813.8</v>
      </c>
      <c r="AJ202" s="4"/>
      <c r="AK202" s="4"/>
      <c r="AM202" t="s">
        <v>250</v>
      </c>
      <c r="AN202" s="4">
        <f ca="1">+VLOOKUP($A202,INDIRECT(Adrese!B$2),6,FALSE)</f>
        <v>0.10588495575221241</v>
      </c>
      <c r="AO202" s="4">
        <f ca="1">+VLOOKUP($A202,INDIRECT(Adrese!C$2),6,FALSE)</f>
        <v>0.1060619469026549</v>
      </c>
      <c r="AP202" s="4">
        <f ca="1">+VLOOKUP($A202,INDIRECT(Adrese!D$2),6,FALSE)</f>
        <v>0.105</v>
      </c>
      <c r="AQ202" s="4">
        <f ca="1">+VLOOKUP($A202,INDIRECT(Adrese!E$2),6,FALSE)</f>
        <v>0.10544247787610619</v>
      </c>
      <c r="AR202" s="4">
        <f ca="1">+VLOOKUP($A202,INDIRECT(Adrese!F$2),6,FALSE)</f>
        <v>0.10763274336283191</v>
      </c>
      <c r="AS202" s="4" t="str">
        <f t="shared" ca="1" si="64"/>
        <v>0.11 (0.00)</v>
      </c>
      <c r="AT202" s="4">
        <f t="shared" ca="1" si="58"/>
        <v>0.10600442477876108</v>
      </c>
      <c r="AU202" s="4">
        <f t="shared" ca="1" si="65"/>
        <v>9.992067493598154E-4</v>
      </c>
      <c r="AW202" t="s">
        <v>250</v>
      </c>
      <c r="AX202" s="4">
        <f ca="1">+VLOOKUP($A202,INDIRECT(Adrese!B$2),7,FALSE)</f>
        <v>9.2920353982300891E-2</v>
      </c>
      <c r="AY202" s="4">
        <f ca="1">+VLOOKUP($A202,INDIRECT(Adrese!C$2),7,FALSE)</f>
        <v>0.11061946902654871</v>
      </c>
      <c r="AZ202" s="4">
        <f ca="1">+VLOOKUP($A202,INDIRECT(Adrese!D$2),7,FALSE)</f>
        <v>0.1194690265486726</v>
      </c>
      <c r="BA202" s="4">
        <f ca="1">+VLOOKUP($A202,INDIRECT(Adrese!E$2),7,FALSE)</f>
        <v>0.1415929203539823</v>
      </c>
      <c r="BB202" s="4">
        <f ca="1">+VLOOKUP($A202,INDIRECT(Adrese!F$2),7,FALSE)</f>
        <v>0.13274336283185839</v>
      </c>
      <c r="BC202" s="4" t="str">
        <f t="shared" ca="1" si="66"/>
        <v>0.12 (0.02)</v>
      </c>
      <c r="BD202">
        <f t="shared" ca="1" si="59"/>
        <v>0.11946902654867257</v>
      </c>
      <c r="BE202" s="4">
        <f t="shared" ca="1" si="67"/>
        <v>1.9031693068678329E-2</v>
      </c>
      <c r="BG202" t="s">
        <v>250</v>
      </c>
      <c r="BH202" s="4">
        <f ca="1">+VLOOKUP($BG202,INDIRECT(Adrese!B$2),8,FALSE)</f>
        <v>1.3439434239285611E-2</v>
      </c>
      <c r="BI202" s="4">
        <f ca="1">+VLOOKUP($BG202,INDIRECT(Adrese!C$2),8,FALSE)</f>
        <v>1.3654851529222139E-2</v>
      </c>
      <c r="BJ202" s="4">
        <f ca="1">+VLOOKUP($BG202,INDIRECT(Adrese!D$2),8,FALSE)</f>
        <v>1.343198456777598E-2</v>
      </c>
      <c r="BK202" s="4">
        <f ca="1">+VLOOKUP($BG202,INDIRECT(Adrese!E$2),8,FALSE)</f>
        <v>1.349115785119555E-2</v>
      </c>
      <c r="BL202" s="4">
        <f ca="1">+VLOOKUP($BG202,INDIRECT(Adrese!F$2),8,FALSE)</f>
        <v>1.37421933780087E-2</v>
      </c>
      <c r="BM202" s="4" t="str">
        <f t="shared" ca="1" si="68"/>
        <v>0.01 (0.00)</v>
      </c>
      <c r="BN202" s="4">
        <f t="shared" ca="1" si="60"/>
        <v>1.3551924313097596E-2</v>
      </c>
      <c r="BO202" s="4">
        <f t="shared" ca="1" si="69"/>
        <v>1.3921965646724189E-4</v>
      </c>
      <c r="BQ202" t="s">
        <v>250</v>
      </c>
      <c r="BR202" s="4">
        <f ca="1">+VLOOKUP($BG202,INDIRECT(Adrese!B$2),9,FALSE)</f>
        <v>9.3738422967129073E-2</v>
      </c>
      <c r="BS202" s="4">
        <f ca="1">+VLOOKUP($BG202,INDIRECT(Adrese!C$2),9,FALSE)</f>
        <v>9.5265272105514859E-2</v>
      </c>
      <c r="BT202" s="4">
        <f ca="1">+VLOOKUP($BG202,INDIRECT(Adrese!D$2),9,FALSE)</f>
        <v>9.506854101502224E-2</v>
      </c>
      <c r="BU202" s="4">
        <f ca="1">+VLOOKUP($BG202,INDIRECT(Adrese!E$2),9,FALSE)</f>
        <v>9.3951541094826299E-2</v>
      </c>
      <c r="BV202" s="4">
        <f ca="1">+VLOOKUP($BG202,INDIRECT(Adrese!F$2),9,FALSE)</f>
        <v>9.3735054190344197E-2</v>
      </c>
      <c r="BW202" s="4" t="str">
        <f t="shared" ca="1" si="70"/>
        <v>0.09 (0.00)</v>
      </c>
      <c r="BX202" s="4">
        <f t="shared" ca="1" si="61"/>
        <v>9.4351766274567345E-2</v>
      </c>
      <c r="BY202" s="4">
        <f t="shared" ca="1" si="71"/>
        <v>7.5248968993505479E-4</v>
      </c>
    </row>
    <row r="203" spans="1:77" x14ac:dyDescent="0.25">
      <c r="A203" t="s">
        <v>251</v>
      </c>
      <c r="B203" s="11">
        <f ca="1">+VLOOKUP($A203,INDIRECT(Adrese!B$2),2,FALSE)</f>
        <v>198</v>
      </c>
      <c r="C203" s="11">
        <f ca="1">+VLOOKUP($A203,INDIRECT(Adrese!C$2),2,FALSE)</f>
        <v>215</v>
      </c>
      <c r="D203" s="11">
        <f ca="1">+VLOOKUP($A203,INDIRECT(Adrese!D$2),2,FALSE)</f>
        <v>219</v>
      </c>
      <c r="E203" s="11">
        <f ca="1">+VLOOKUP($A203,INDIRECT(Adrese!E$2),2,FALSE)</f>
        <v>215</v>
      </c>
      <c r="F203" s="11">
        <f ca="1">+VLOOKUP($A203,INDIRECT(Adrese!F$2),2,FALSE)</f>
        <v>200</v>
      </c>
      <c r="G203" s="4">
        <f t="shared" ca="1" si="54"/>
        <v>209.4</v>
      </c>
      <c r="J203" t="s">
        <v>251</v>
      </c>
      <c r="K203">
        <f ca="1">+VLOOKUP($A203,INDIRECT(Adrese!B$2),3,FALSE)</f>
        <v>80</v>
      </c>
      <c r="L203">
        <f ca="1">+VLOOKUP($A203,INDIRECT(Adrese!C$2),3,FALSE)</f>
        <v>76</v>
      </c>
      <c r="M203">
        <f ca="1">+VLOOKUP($A203,INDIRECT(Adrese!D$2),3,FALSE)</f>
        <v>78</v>
      </c>
      <c r="N203">
        <f ca="1">+VLOOKUP($A203,INDIRECT(Adrese!E$2),3,FALSE)</f>
        <v>76</v>
      </c>
      <c r="O203">
        <f ca="1">+VLOOKUP($A203,INDIRECT(Adrese!F$2),3,FALSE)</f>
        <v>75</v>
      </c>
      <c r="P203">
        <f t="shared" ca="1" si="62"/>
        <v>385</v>
      </c>
      <c r="Q203" s="4">
        <f t="shared" ca="1" si="55"/>
        <v>77</v>
      </c>
      <c r="R203" s="4"/>
      <c r="T203" t="s">
        <v>251</v>
      </c>
      <c r="U203">
        <f ca="1">+VLOOKUP($T203,INDIRECT(Adrese!B$2),4,FALSE)</f>
        <v>88619</v>
      </c>
      <c r="V203">
        <f ca="1">+VLOOKUP($T203,INDIRECT(Adrese!C$2),4,FALSE)</f>
        <v>87356</v>
      </c>
      <c r="W203">
        <f ca="1">+VLOOKUP($T203,INDIRECT(Adrese!D$2),4,FALSE)</f>
        <v>87009</v>
      </c>
      <c r="X203">
        <f ca="1">+VLOOKUP($T203,INDIRECT(Adrese!E$2),4,FALSE)</f>
        <v>87212</v>
      </c>
      <c r="Y203">
        <f ca="1">+VLOOKUP($T203,INDIRECT(Adrese!F$2),4,FALSE)</f>
        <v>88509</v>
      </c>
      <c r="Z203">
        <f t="shared" ca="1" si="63"/>
        <v>438705</v>
      </c>
      <c r="AA203" s="4">
        <f t="shared" ca="1" si="56"/>
        <v>87741</v>
      </c>
      <c r="AC203" t="s">
        <v>251</v>
      </c>
      <c r="AD203">
        <f ca="1">+VLOOKUP($A203,INDIRECT(Adrese!B$2),5,FALSE)</f>
        <v>22653</v>
      </c>
      <c r="AE203">
        <f ca="1">+VLOOKUP($A203,INDIRECT(Adrese!C$2),5,FALSE)</f>
        <v>22621</v>
      </c>
      <c r="AF203">
        <f ca="1">+VLOOKUP($A203,INDIRECT(Adrese!D$2),5,FALSE)</f>
        <v>22752</v>
      </c>
      <c r="AG203">
        <f ca="1">+VLOOKUP($A203,INDIRECT(Adrese!E$2),5,FALSE)</f>
        <v>22717</v>
      </c>
      <c r="AH203">
        <f ca="1">+VLOOKUP($A203,INDIRECT(Adrese!F$2),5,FALSE)</f>
        <v>22672</v>
      </c>
      <c r="AI203" s="4">
        <f t="shared" ca="1" si="57"/>
        <v>22683</v>
      </c>
      <c r="AJ203" s="4"/>
      <c r="AK203" s="4"/>
      <c r="AM203" t="s">
        <v>251</v>
      </c>
      <c r="AN203" s="4">
        <f ca="1">+VLOOKUP($A203,INDIRECT(Adrese!B$2),6,FALSE)</f>
        <v>0.49913716814159292</v>
      </c>
      <c r="AO203" s="4">
        <f ca="1">+VLOOKUP($A203,INDIRECT(Adrese!C$2),6,FALSE)</f>
        <v>0.49831858407079638</v>
      </c>
      <c r="AP203" s="4">
        <f ca="1">+VLOOKUP($A203,INDIRECT(Adrese!D$2),6,FALSE)</f>
        <v>0.5011504424778761</v>
      </c>
      <c r="AQ203" s="4">
        <f ca="1">+VLOOKUP($A203,INDIRECT(Adrese!E$2),6,FALSE)</f>
        <v>0.5003539823008849</v>
      </c>
      <c r="AR203" s="4">
        <f ca="1">+VLOOKUP($A203,INDIRECT(Adrese!F$2),6,FALSE)</f>
        <v>0.49929203539823008</v>
      </c>
      <c r="AS203" s="4" t="str">
        <f t="shared" ca="1" si="64"/>
        <v>0.50 (0.00)</v>
      </c>
      <c r="AT203" s="4">
        <f t="shared" ca="1" si="58"/>
        <v>0.49965044247787604</v>
      </c>
      <c r="AU203" s="4">
        <f t="shared" ca="1" si="65"/>
        <v>1.1080073643816089E-3</v>
      </c>
      <c r="AW203" t="s">
        <v>251</v>
      </c>
      <c r="AX203" s="4">
        <f ca="1">+VLOOKUP($A203,INDIRECT(Adrese!B$2),7,FALSE)</f>
        <v>0.64601769911504425</v>
      </c>
      <c r="AY203" s="4">
        <f ca="1">+VLOOKUP($A203,INDIRECT(Adrese!C$2),7,FALSE)</f>
        <v>0.66371681415929207</v>
      </c>
      <c r="AZ203" s="4">
        <f ca="1">+VLOOKUP($A203,INDIRECT(Adrese!D$2),7,FALSE)</f>
        <v>0.65486725663716816</v>
      </c>
      <c r="BA203" s="4">
        <f ca="1">+VLOOKUP($A203,INDIRECT(Adrese!E$2),7,FALSE)</f>
        <v>0.66371681415929207</v>
      </c>
      <c r="BB203" s="4">
        <f ca="1">+VLOOKUP($A203,INDIRECT(Adrese!F$2),7,FALSE)</f>
        <v>0.66814159292035402</v>
      </c>
      <c r="BC203" s="4" t="str">
        <f t="shared" ca="1" si="66"/>
        <v>0.66 (0.01)</v>
      </c>
      <c r="BD203">
        <f t="shared" ca="1" si="59"/>
        <v>0.65929203539823011</v>
      </c>
      <c r="BE203" s="4">
        <f t="shared" ca="1" si="67"/>
        <v>8.8495575221239076E-3</v>
      </c>
      <c r="BG203" t="s">
        <v>251</v>
      </c>
      <c r="BH203" s="4">
        <f ca="1">+VLOOKUP($BG203,INDIRECT(Adrese!B$2),8,FALSE)</f>
        <v>6.3380503755354506E-2</v>
      </c>
      <c r="BI203" s="4">
        <f ca="1">+VLOOKUP($BG203,INDIRECT(Adrese!C$2),8,FALSE)</f>
        <v>6.3447645693906485E-2</v>
      </c>
      <c r="BJ203" s="4">
        <f ca="1">+VLOOKUP($BG203,INDIRECT(Adrese!D$2),8,FALSE)</f>
        <v>6.3629636235608369E-2</v>
      </c>
      <c r="BK203" s="4">
        <f ca="1">+VLOOKUP($BG203,INDIRECT(Adrese!E$2),8,FALSE)</f>
        <v>6.3688191335512345E-2</v>
      </c>
      <c r="BL203" s="4">
        <f ca="1">+VLOOKUP($BG203,INDIRECT(Adrese!F$2),8,FALSE)</f>
        <v>6.3695638091319798E-2</v>
      </c>
      <c r="BM203" s="4" t="str">
        <f t="shared" ca="1" si="68"/>
        <v>0.06 (0.00)</v>
      </c>
      <c r="BN203" s="4">
        <f t="shared" ca="1" si="60"/>
        <v>6.3568323022340306E-2</v>
      </c>
      <c r="BO203" s="4">
        <f t="shared" ca="1" si="69"/>
        <v>1.4506545424585542E-4</v>
      </c>
      <c r="BQ203" t="s">
        <v>251</v>
      </c>
      <c r="BR203" s="4">
        <f ca="1">+VLOOKUP($BG203,INDIRECT(Adrese!B$2),9,FALSE)</f>
        <v>-7.573344469406927E-4</v>
      </c>
      <c r="BS203" s="4">
        <f ca="1">+VLOOKUP($BG203,INDIRECT(Adrese!C$2),9,FALSE)</f>
        <v>6.6479215128162583E-5</v>
      </c>
      <c r="BT203" s="4">
        <f ca="1">+VLOOKUP($BG203,INDIRECT(Adrese!D$2),9,FALSE)</f>
        <v>-1.333613706186378E-3</v>
      </c>
      <c r="BU203" s="4">
        <f ca="1">+VLOOKUP($BG203,INDIRECT(Adrese!E$2),9,FALSE)</f>
        <v>4.0449790223687861E-4</v>
      </c>
      <c r="BV203" s="4">
        <f ca="1">+VLOOKUP($BG203,INDIRECT(Adrese!F$2),9,FALSE)</f>
        <v>2.4342332493366669E-4</v>
      </c>
      <c r="BW203" s="4" t="str">
        <f t="shared" ca="1" si="70"/>
        <v>0.00 (0.00)</v>
      </c>
      <c r="BX203" s="4">
        <f t="shared" ca="1" si="61"/>
        <v>-2.7530954216567255E-4</v>
      </c>
      <c r="BY203" s="4">
        <f t="shared" ca="1" si="71"/>
        <v>7.4168679641301819E-4</v>
      </c>
    </row>
    <row r="204" spans="1:77" x14ac:dyDescent="0.25">
      <c r="A204" t="s">
        <v>252</v>
      </c>
      <c r="B204" s="11">
        <f ca="1">+VLOOKUP($A204,INDIRECT(Adrese!B$2),2,FALSE)</f>
        <v>148</v>
      </c>
      <c r="C204" s="11">
        <f ca="1">+VLOOKUP($A204,INDIRECT(Adrese!C$2),2,FALSE)</f>
        <v>169</v>
      </c>
      <c r="D204" s="11">
        <f ca="1">+VLOOKUP($A204,INDIRECT(Adrese!D$2),2,FALSE)</f>
        <v>137</v>
      </c>
      <c r="E204" s="11">
        <f ca="1">+VLOOKUP($A204,INDIRECT(Adrese!E$2),2,FALSE)</f>
        <v>162</v>
      </c>
      <c r="F204" s="11">
        <f ca="1">+VLOOKUP($A204,INDIRECT(Adrese!F$2),2,FALSE)</f>
        <v>148</v>
      </c>
      <c r="G204" s="4">
        <f t="shared" ca="1" si="54"/>
        <v>152.80000000000001</v>
      </c>
      <c r="J204" t="s">
        <v>252</v>
      </c>
      <c r="K204">
        <f ca="1">+VLOOKUP($A204,INDIRECT(Adrese!B$2),3,FALSE)</f>
        <v>126</v>
      </c>
      <c r="L204">
        <f ca="1">+VLOOKUP($A204,INDIRECT(Adrese!C$2),3,FALSE)</f>
        <v>122</v>
      </c>
      <c r="M204">
        <f ca="1">+VLOOKUP($A204,INDIRECT(Adrese!D$2),3,FALSE)</f>
        <v>136</v>
      </c>
      <c r="N204">
        <f ca="1">+VLOOKUP($A204,INDIRECT(Adrese!E$2),3,FALSE)</f>
        <v>131</v>
      </c>
      <c r="O204">
        <f ca="1">+VLOOKUP($A204,INDIRECT(Adrese!F$2),3,FALSE)</f>
        <v>130</v>
      </c>
      <c r="P204">
        <f t="shared" ca="1" si="62"/>
        <v>645</v>
      </c>
      <c r="Q204" s="4">
        <f t="shared" ca="1" si="55"/>
        <v>129</v>
      </c>
      <c r="R204" s="4"/>
      <c r="T204" t="s">
        <v>252</v>
      </c>
      <c r="U204">
        <f ca="1">+VLOOKUP($T204,INDIRECT(Adrese!B$2),4,FALSE)</f>
        <v>93533</v>
      </c>
      <c r="V204">
        <f ca="1">+VLOOKUP($T204,INDIRECT(Adrese!C$2),4,FALSE)</f>
        <v>92371</v>
      </c>
      <c r="W204">
        <f ca="1">+VLOOKUP($T204,INDIRECT(Adrese!D$2),4,FALSE)</f>
        <v>94094</v>
      </c>
      <c r="X204">
        <f ca="1">+VLOOKUP($T204,INDIRECT(Adrese!E$2),4,FALSE)</f>
        <v>92583</v>
      </c>
      <c r="Y204">
        <f ca="1">+VLOOKUP($T204,INDIRECT(Adrese!F$2),4,FALSE)</f>
        <v>93560</v>
      </c>
      <c r="Z204">
        <f t="shared" ca="1" si="63"/>
        <v>466141</v>
      </c>
      <c r="AA204" s="4">
        <f t="shared" ca="1" si="56"/>
        <v>93228.2</v>
      </c>
      <c r="AC204" t="s">
        <v>252</v>
      </c>
      <c r="AD204">
        <f ca="1">+VLOOKUP($A204,INDIRECT(Adrese!B$2),5,FALSE)</f>
        <v>16749</v>
      </c>
      <c r="AE204">
        <f ca="1">+VLOOKUP($A204,INDIRECT(Adrese!C$2),5,FALSE)</f>
        <v>16493</v>
      </c>
      <c r="AF204">
        <f ca="1">+VLOOKUP($A204,INDIRECT(Adrese!D$2),5,FALSE)</f>
        <v>16846</v>
      </c>
      <c r="AG204">
        <f ca="1">+VLOOKUP($A204,INDIRECT(Adrese!E$2),5,FALSE)</f>
        <v>16709</v>
      </c>
      <c r="AH204">
        <f ca="1">+VLOOKUP($A204,INDIRECT(Adrese!F$2),5,FALSE)</f>
        <v>16868</v>
      </c>
      <c r="AI204" s="4">
        <f t="shared" ca="1" si="57"/>
        <v>16733</v>
      </c>
      <c r="AJ204" s="4"/>
      <c r="AK204" s="4"/>
      <c r="AM204" t="s">
        <v>252</v>
      </c>
      <c r="AN204" s="4">
        <f ca="1">+VLOOKUP($A204,INDIRECT(Adrese!B$2),6,FALSE)</f>
        <v>0.36898230088495582</v>
      </c>
      <c r="AO204" s="4">
        <f ca="1">+VLOOKUP($A204,INDIRECT(Adrese!C$2),6,FALSE)</f>
        <v>0.36309734513274339</v>
      </c>
      <c r="AP204" s="4">
        <f ca="1">+VLOOKUP($A204,INDIRECT(Adrese!D$2),6,FALSE)</f>
        <v>0.3711283185840708</v>
      </c>
      <c r="AQ204" s="4">
        <f ca="1">+VLOOKUP($A204,INDIRECT(Adrese!E$2),6,FALSE)</f>
        <v>0.36816371681415933</v>
      </c>
      <c r="AR204" s="4">
        <f ca="1">+VLOOKUP($A204,INDIRECT(Adrese!F$2),6,FALSE)</f>
        <v>0.37176991150442479</v>
      </c>
      <c r="AS204" s="4" t="str">
        <f t="shared" ca="1" si="64"/>
        <v>0.37 (0.00)</v>
      </c>
      <c r="AT204" s="4">
        <f t="shared" ca="1" si="58"/>
        <v>0.36862831858407086</v>
      </c>
      <c r="AU204" s="4">
        <f t="shared" ca="1" si="65"/>
        <v>3.4297387535514902E-3</v>
      </c>
      <c r="AW204" t="s">
        <v>252</v>
      </c>
      <c r="AX204" s="4">
        <f ca="1">+VLOOKUP($A204,INDIRECT(Adrese!B$2),7,FALSE)</f>
        <v>0.44247787610619471</v>
      </c>
      <c r="AY204" s="4">
        <f ca="1">+VLOOKUP($A204,INDIRECT(Adrese!C$2),7,FALSE)</f>
        <v>0.46017699115044253</v>
      </c>
      <c r="AZ204" s="4">
        <f ca="1">+VLOOKUP($A204,INDIRECT(Adrese!D$2),7,FALSE)</f>
        <v>0.39823008849557517</v>
      </c>
      <c r="BA204" s="4">
        <f ca="1">+VLOOKUP($A204,INDIRECT(Adrese!E$2),7,FALSE)</f>
        <v>0.42035398230088489</v>
      </c>
      <c r="BB204" s="4">
        <f ca="1">+VLOOKUP($A204,INDIRECT(Adrese!F$2),7,FALSE)</f>
        <v>0.4247787610619469</v>
      </c>
      <c r="BC204" s="4" t="str">
        <f t="shared" ca="1" si="66"/>
        <v>0.43 (0.02)</v>
      </c>
      <c r="BD204">
        <f t="shared" ca="1" si="59"/>
        <v>0.42920353982300885</v>
      </c>
      <c r="BE204" s="4">
        <f t="shared" ca="1" si="67"/>
        <v>2.3413728416500842E-2</v>
      </c>
      <c r="BG204" t="s">
        <v>252</v>
      </c>
      <c r="BH204" s="4">
        <f ca="1">+VLOOKUP($BG204,INDIRECT(Adrese!B$2),8,FALSE)</f>
        <v>5.1789704854940027E-2</v>
      </c>
      <c r="BI204" s="4">
        <f ca="1">+VLOOKUP($BG204,INDIRECT(Adrese!C$2),8,FALSE)</f>
        <v>5.1353558336561508E-2</v>
      </c>
      <c r="BJ204" s="4">
        <f ca="1">+VLOOKUP($BG204,INDIRECT(Adrese!D$2),8,FALSE)</f>
        <v>5.1840798192150143E-2</v>
      </c>
      <c r="BK204" s="4">
        <f ca="1">+VLOOKUP($BG204,INDIRECT(Adrese!E$2),8,FALSE)</f>
        <v>5.2172643281528312E-2</v>
      </c>
      <c r="BL204" s="4">
        <f ca="1">+VLOOKUP($BG204,INDIRECT(Adrese!F$2),8,FALSE)</f>
        <v>5.2451213983245502E-2</v>
      </c>
      <c r="BM204" s="4" t="str">
        <f t="shared" ca="1" si="68"/>
        <v>0.05 (0.00)</v>
      </c>
      <c r="BN204" s="4">
        <f t="shared" ca="1" si="60"/>
        <v>5.1921583729685097E-2</v>
      </c>
      <c r="BO204" s="4">
        <f t="shared" ca="1" si="69"/>
        <v>4.1536438580185828E-4</v>
      </c>
      <c r="BQ204" t="s">
        <v>252</v>
      </c>
      <c r="BR204" s="4">
        <f ca="1">+VLOOKUP($BG204,INDIRECT(Adrese!B$2),9,FALSE)</f>
        <v>6.9089584209808694E-2</v>
      </c>
      <c r="BS204" s="4">
        <f ca="1">+VLOOKUP($BG204,INDIRECT(Adrese!C$2),9,FALSE)</f>
        <v>7.0203923358197334E-2</v>
      </c>
      <c r="BT204" s="4">
        <f ca="1">+VLOOKUP($BG204,INDIRECT(Adrese!D$2),9,FALSE)</f>
        <v>6.6748880894929002E-2</v>
      </c>
      <c r="BU204" s="4">
        <f ca="1">+VLOOKUP($BG204,INDIRECT(Adrese!E$2),9,FALSE)</f>
        <v>7.3574892925167598E-2</v>
      </c>
      <c r="BV204" s="4">
        <f ca="1">+VLOOKUP($BG204,INDIRECT(Adrese!F$2),9,FALSE)</f>
        <v>6.9209938633688295E-2</v>
      </c>
      <c r="BW204" s="4" t="str">
        <f t="shared" ca="1" si="70"/>
        <v>0.07 (0.00)</v>
      </c>
      <c r="BX204" s="4">
        <f t="shared" ca="1" si="61"/>
        <v>6.9765444004358176E-2</v>
      </c>
      <c r="BY204" s="4">
        <f t="shared" ca="1" si="71"/>
        <v>2.4783659382696006E-3</v>
      </c>
    </row>
    <row r="205" spans="1:77" x14ac:dyDescent="0.25">
      <c r="A205" t="s">
        <v>253</v>
      </c>
      <c r="B205" s="11">
        <f ca="1">+VLOOKUP($A205,INDIRECT(Adrese!B$2),2,FALSE)</f>
        <v>224</v>
      </c>
      <c r="C205" s="11">
        <f ca="1">+VLOOKUP($A205,INDIRECT(Adrese!C$2),2,FALSE)</f>
        <v>209</v>
      </c>
      <c r="D205" s="11">
        <f ca="1">+VLOOKUP($A205,INDIRECT(Adrese!D$2),2,FALSE)</f>
        <v>220</v>
      </c>
      <c r="E205" s="11">
        <f ca="1">+VLOOKUP($A205,INDIRECT(Adrese!E$2),2,FALSE)</f>
        <v>227</v>
      </c>
      <c r="F205" s="11">
        <f ca="1">+VLOOKUP($A205,INDIRECT(Adrese!F$2),2,FALSE)</f>
        <v>227</v>
      </c>
      <c r="G205" s="4">
        <f t="shared" ca="1" si="54"/>
        <v>221.4</v>
      </c>
      <c r="J205" t="s">
        <v>253</v>
      </c>
      <c r="K205">
        <f ca="1">+VLOOKUP($A205,INDIRECT(Adrese!B$2),3,FALSE)</f>
        <v>75</v>
      </c>
      <c r="L205">
        <f ca="1">+VLOOKUP($A205,INDIRECT(Adrese!C$2),3,FALSE)</f>
        <v>80</v>
      </c>
      <c r="M205">
        <f ca="1">+VLOOKUP($A205,INDIRECT(Adrese!D$2),3,FALSE)</f>
        <v>86</v>
      </c>
      <c r="N205">
        <f ca="1">+VLOOKUP($A205,INDIRECT(Adrese!E$2),3,FALSE)</f>
        <v>75</v>
      </c>
      <c r="O205">
        <f ca="1">+VLOOKUP($A205,INDIRECT(Adrese!F$2),3,FALSE)</f>
        <v>73</v>
      </c>
      <c r="P205">
        <f t="shared" ca="1" si="62"/>
        <v>389</v>
      </c>
      <c r="Q205" s="4">
        <f t="shared" ca="1" si="55"/>
        <v>77.8</v>
      </c>
      <c r="R205" s="4"/>
      <c r="T205" t="s">
        <v>253</v>
      </c>
      <c r="U205">
        <f ca="1">+VLOOKUP($T205,INDIRECT(Adrese!B$2),4,FALSE)</f>
        <v>86298</v>
      </c>
      <c r="V205">
        <f ca="1">+VLOOKUP($T205,INDIRECT(Adrese!C$2),4,FALSE)</f>
        <v>87940</v>
      </c>
      <c r="W205">
        <f ca="1">+VLOOKUP($T205,INDIRECT(Adrese!D$2),4,FALSE)</f>
        <v>87007</v>
      </c>
      <c r="X205">
        <f ca="1">+VLOOKUP($T205,INDIRECT(Adrese!E$2),4,FALSE)</f>
        <v>85297</v>
      </c>
      <c r="Y205">
        <f ca="1">+VLOOKUP($T205,INDIRECT(Adrese!F$2),4,FALSE)</f>
        <v>84170</v>
      </c>
      <c r="Z205">
        <f t="shared" ca="1" si="63"/>
        <v>430712</v>
      </c>
      <c r="AA205" s="4">
        <f t="shared" ca="1" si="56"/>
        <v>86142.399999999994</v>
      </c>
      <c r="AC205" t="s">
        <v>253</v>
      </c>
      <c r="AD205">
        <f ca="1">+VLOOKUP($A205,INDIRECT(Adrese!B$2),5,FALSE)</f>
        <v>27348</v>
      </c>
      <c r="AE205">
        <f ca="1">+VLOOKUP($A205,INDIRECT(Adrese!C$2),5,FALSE)</f>
        <v>27110</v>
      </c>
      <c r="AF205">
        <f ca="1">+VLOOKUP($A205,INDIRECT(Adrese!D$2),5,FALSE)</f>
        <v>26185</v>
      </c>
      <c r="AG205">
        <f ca="1">+VLOOKUP($A205,INDIRECT(Adrese!E$2),5,FALSE)</f>
        <v>26050</v>
      </c>
      <c r="AH205">
        <f ca="1">+VLOOKUP($A205,INDIRECT(Adrese!F$2),5,FALSE)</f>
        <v>27889</v>
      </c>
      <c r="AI205" s="4">
        <f t="shared" ca="1" si="57"/>
        <v>26916.400000000001</v>
      </c>
      <c r="AJ205" s="4"/>
      <c r="AK205" s="4"/>
      <c r="AM205" t="s">
        <v>253</v>
      </c>
      <c r="AN205" s="4">
        <f ca="1">+VLOOKUP($A205,INDIRECT(Adrese!B$2),6,FALSE)</f>
        <v>0.60117256637168137</v>
      </c>
      <c r="AO205" s="4">
        <f ca="1">+VLOOKUP($A205,INDIRECT(Adrese!C$2),6,FALSE)</f>
        <v>0.59590707964601775</v>
      </c>
      <c r="AP205" s="4">
        <f ca="1">+VLOOKUP($A205,INDIRECT(Adrese!D$2),6,FALSE)</f>
        <v>0.57535398230088497</v>
      </c>
      <c r="AQ205" s="4">
        <f ca="1">+VLOOKUP($A205,INDIRECT(Adrese!E$2),6,FALSE)</f>
        <v>0.57243362831858402</v>
      </c>
      <c r="AR205" s="4">
        <f ca="1">+VLOOKUP($A205,INDIRECT(Adrese!F$2),6,FALSE)</f>
        <v>0.61314159292035397</v>
      </c>
      <c r="AS205" s="4" t="str">
        <f t="shared" ca="1" si="64"/>
        <v>0.59 (0.02)</v>
      </c>
      <c r="AT205" s="4">
        <f t="shared" ca="1" si="58"/>
        <v>0.59160176991150437</v>
      </c>
      <c r="AU205" s="4">
        <f t="shared" ca="1" si="65"/>
        <v>1.7360213610514989E-2</v>
      </c>
      <c r="AW205" t="s">
        <v>253</v>
      </c>
      <c r="AX205" s="4">
        <f ca="1">+VLOOKUP($A205,INDIRECT(Adrese!B$2),7,FALSE)</f>
        <v>0.66814159292035402</v>
      </c>
      <c r="AY205" s="4">
        <f ca="1">+VLOOKUP($A205,INDIRECT(Adrese!C$2),7,FALSE)</f>
        <v>0.64601769911504425</v>
      </c>
      <c r="AZ205" s="4">
        <f ca="1">+VLOOKUP($A205,INDIRECT(Adrese!D$2),7,FALSE)</f>
        <v>0.61946902654867253</v>
      </c>
      <c r="BA205" s="4">
        <f ca="1">+VLOOKUP($A205,INDIRECT(Adrese!E$2),7,FALSE)</f>
        <v>0.66814159292035402</v>
      </c>
      <c r="BB205" s="4">
        <f ca="1">+VLOOKUP($A205,INDIRECT(Adrese!F$2),7,FALSE)</f>
        <v>0.67699115044247793</v>
      </c>
      <c r="BC205" s="4" t="str">
        <f t="shared" ca="1" si="66"/>
        <v>0.66 (0.02)</v>
      </c>
      <c r="BD205">
        <f t="shared" ca="1" si="59"/>
        <v>0.65575221238938064</v>
      </c>
      <c r="BE205" s="4">
        <f t="shared" ca="1" si="67"/>
        <v>2.3287959941488121E-2</v>
      </c>
      <c r="BG205" t="s">
        <v>253</v>
      </c>
      <c r="BH205" s="4">
        <f ca="1">+VLOOKUP($BG205,INDIRECT(Adrese!B$2),8,FALSE)</f>
        <v>8.3890914147676424E-2</v>
      </c>
      <c r="BI205" s="4">
        <f ca="1">+VLOOKUP($BG205,INDIRECT(Adrese!C$2),8,FALSE)</f>
        <v>8.43802760787907E-2</v>
      </c>
      <c r="BJ205" s="4">
        <f ca="1">+VLOOKUP($BG205,INDIRECT(Adrese!D$2),8,FALSE)</f>
        <v>8.0273596903593994E-2</v>
      </c>
      <c r="BK205" s="4">
        <f ca="1">+VLOOKUP($BG205,INDIRECT(Adrese!E$2),8,FALSE)</f>
        <v>8.1926219517649682E-2</v>
      </c>
      <c r="BL205" s="4">
        <f ca="1">+VLOOKUP($BG205,INDIRECT(Adrese!F$2),8,FALSE)</f>
        <v>8.5042191004205889E-2</v>
      </c>
      <c r="BM205" s="4" t="str">
        <f t="shared" ca="1" si="68"/>
        <v>0.08 (0.00)</v>
      </c>
      <c r="BN205" s="4">
        <f t="shared" ca="1" si="60"/>
        <v>8.310263953038334E-2</v>
      </c>
      <c r="BO205" s="4">
        <f t="shared" ca="1" si="69"/>
        <v>1.9623352269842603E-3</v>
      </c>
      <c r="BQ205" t="s">
        <v>253</v>
      </c>
      <c r="BR205" s="4">
        <f ca="1">+VLOOKUP($BG205,INDIRECT(Adrese!B$2),9,FALSE)</f>
        <v>2.977551194044779E-2</v>
      </c>
      <c r="BS205" s="4">
        <f ca="1">+VLOOKUP($BG205,INDIRECT(Adrese!C$2),9,FALSE)</f>
        <v>3.4212183234466502E-2</v>
      </c>
      <c r="BT205" s="4">
        <f ca="1">+VLOOKUP($BG205,INDIRECT(Adrese!D$2),9,FALSE)</f>
        <v>3.1372209309166663E-2</v>
      </c>
      <c r="BU205" s="4">
        <f ca="1">+VLOOKUP($BG205,INDIRECT(Adrese!E$2),9,FALSE)</f>
        <v>5.4523533999922422E-2</v>
      </c>
      <c r="BV205" s="4">
        <f ca="1">+VLOOKUP($BG205,INDIRECT(Adrese!F$2),9,FALSE)</f>
        <v>3.1812840252876867E-2</v>
      </c>
      <c r="BW205" s="4" t="str">
        <f t="shared" ca="1" si="70"/>
        <v>0.04 (0.01)</v>
      </c>
      <c r="BX205" s="4">
        <f t="shared" ca="1" si="61"/>
        <v>3.6339255747376051E-2</v>
      </c>
      <c r="BY205" s="4">
        <f t="shared" ca="1" si="71"/>
        <v>1.028876976796019E-2</v>
      </c>
    </row>
    <row r="206" spans="1:77" x14ac:dyDescent="0.25">
      <c r="A206" t="s">
        <v>254</v>
      </c>
      <c r="B206" s="11">
        <f ca="1">+VLOOKUP($A206,INDIRECT(Adrese!B$2),2,FALSE)</f>
        <v>161</v>
      </c>
      <c r="C206" s="11">
        <f ca="1">+VLOOKUP($A206,INDIRECT(Adrese!C$2),2,FALSE)</f>
        <v>147</v>
      </c>
      <c r="D206" s="11">
        <f ca="1">+VLOOKUP($A206,INDIRECT(Adrese!D$2),2,FALSE)</f>
        <v>151</v>
      </c>
      <c r="E206" s="11">
        <f ca="1">+VLOOKUP($A206,INDIRECT(Adrese!E$2),2,FALSE)</f>
        <v>120</v>
      </c>
      <c r="F206" s="11">
        <f ca="1">+VLOOKUP($A206,INDIRECT(Adrese!F$2),2,FALSE)</f>
        <v>137</v>
      </c>
      <c r="G206" s="4">
        <f t="shared" ca="1" si="54"/>
        <v>143.19999999999999</v>
      </c>
      <c r="J206" t="s">
        <v>254</v>
      </c>
      <c r="K206">
        <f ca="1">+VLOOKUP($A206,INDIRECT(Adrese!B$2),3,FALSE)</f>
        <v>169</v>
      </c>
      <c r="L206">
        <f ca="1">+VLOOKUP($A206,INDIRECT(Adrese!C$2),3,FALSE)</f>
        <v>164</v>
      </c>
      <c r="M206">
        <f ca="1">+VLOOKUP($A206,INDIRECT(Adrese!D$2),3,FALSE)</f>
        <v>163</v>
      </c>
      <c r="N206">
        <f ca="1">+VLOOKUP($A206,INDIRECT(Adrese!E$2),3,FALSE)</f>
        <v>164</v>
      </c>
      <c r="O206">
        <f ca="1">+VLOOKUP($A206,INDIRECT(Adrese!F$2),3,FALSE)</f>
        <v>167</v>
      </c>
      <c r="P206">
        <f t="shared" ca="1" si="62"/>
        <v>827</v>
      </c>
      <c r="Q206" s="4">
        <f t="shared" ca="1" si="55"/>
        <v>165.4</v>
      </c>
      <c r="R206" s="4"/>
      <c r="T206" t="s">
        <v>254</v>
      </c>
      <c r="U206">
        <f ca="1">+VLOOKUP($T206,INDIRECT(Adrese!B$2),4,FALSE)</f>
        <v>92753</v>
      </c>
      <c r="V206">
        <f ca="1">+VLOOKUP($T206,INDIRECT(Adrese!C$2),4,FALSE)</f>
        <v>93740</v>
      </c>
      <c r="W206">
        <f ca="1">+VLOOKUP($T206,INDIRECT(Adrese!D$2),4,FALSE)</f>
        <v>93398</v>
      </c>
      <c r="X206">
        <f ca="1">+VLOOKUP($T206,INDIRECT(Adrese!E$2),4,FALSE)</f>
        <v>94730</v>
      </c>
      <c r="Y206">
        <f ca="1">+VLOOKUP($T206,INDIRECT(Adrese!F$2),4,FALSE)</f>
        <v>94173</v>
      </c>
      <c r="Z206">
        <f t="shared" ca="1" si="63"/>
        <v>468794</v>
      </c>
      <c r="AA206" s="4">
        <f t="shared" ca="1" si="56"/>
        <v>93758.8</v>
      </c>
      <c r="AC206" t="s">
        <v>254</v>
      </c>
      <c r="AD206">
        <f ca="1">+VLOOKUP($A206,INDIRECT(Adrese!B$2),5,FALSE)</f>
        <v>11711</v>
      </c>
      <c r="AE206">
        <f ca="1">+VLOOKUP($A206,INDIRECT(Adrese!C$2),5,FALSE)</f>
        <v>11924</v>
      </c>
      <c r="AF206">
        <f ca="1">+VLOOKUP($A206,INDIRECT(Adrese!D$2),5,FALSE)</f>
        <v>11617</v>
      </c>
      <c r="AG206">
        <f ca="1">+VLOOKUP($A206,INDIRECT(Adrese!E$2),5,FALSE)</f>
        <v>12043</v>
      </c>
      <c r="AH206">
        <f ca="1">+VLOOKUP($A206,INDIRECT(Adrese!F$2),5,FALSE)</f>
        <v>11809</v>
      </c>
      <c r="AI206" s="4">
        <f t="shared" ca="1" si="57"/>
        <v>11820.8</v>
      </c>
      <c r="AJ206" s="4"/>
      <c r="AK206" s="4"/>
      <c r="AM206" t="s">
        <v>254</v>
      </c>
      <c r="AN206" s="4">
        <f ca="1">+VLOOKUP($A206,INDIRECT(Adrese!B$2),6,FALSE)</f>
        <v>0.25825221238938051</v>
      </c>
      <c r="AO206" s="4">
        <f ca="1">+VLOOKUP($A206,INDIRECT(Adrese!C$2),6,FALSE)</f>
        <v>0.2629203539823009</v>
      </c>
      <c r="AP206" s="4">
        <f ca="1">+VLOOKUP($A206,INDIRECT(Adrese!D$2),6,FALSE)</f>
        <v>0.25626106194690268</v>
      </c>
      <c r="AQ206" s="4">
        <f ca="1">+VLOOKUP($A206,INDIRECT(Adrese!E$2),6,FALSE)</f>
        <v>0.26542035398230091</v>
      </c>
      <c r="AR206" s="4">
        <f ca="1">+VLOOKUP($A206,INDIRECT(Adrese!F$2),6,FALSE)</f>
        <v>0.26053097345132742</v>
      </c>
      <c r="AS206" s="4" t="str">
        <f t="shared" ca="1" si="64"/>
        <v>0.26 (0.00)</v>
      </c>
      <c r="AT206" s="4">
        <f t="shared" ca="1" si="58"/>
        <v>0.26067699115044252</v>
      </c>
      <c r="AU206" s="4">
        <f t="shared" ca="1" si="65"/>
        <v>3.6377696356850154E-3</v>
      </c>
      <c r="AW206" t="s">
        <v>254</v>
      </c>
      <c r="AX206" s="4">
        <f ca="1">+VLOOKUP($A206,INDIRECT(Adrese!B$2),7,FALSE)</f>
        <v>0.25221238938053098</v>
      </c>
      <c r="AY206" s="4">
        <f ca="1">+VLOOKUP($A206,INDIRECT(Adrese!C$2),7,FALSE)</f>
        <v>0.27433628318584069</v>
      </c>
      <c r="AZ206" s="4">
        <f ca="1">+VLOOKUP($A206,INDIRECT(Adrese!D$2),7,FALSE)</f>
        <v>0.27876106194690259</v>
      </c>
      <c r="BA206" s="4">
        <f ca="1">+VLOOKUP($A206,INDIRECT(Adrese!E$2),7,FALSE)</f>
        <v>0.27433628318584069</v>
      </c>
      <c r="BB206" s="4">
        <f ca="1">+VLOOKUP($A206,INDIRECT(Adrese!F$2),7,FALSE)</f>
        <v>0.26106194690265488</v>
      </c>
      <c r="BC206" s="4" t="str">
        <f t="shared" ca="1" si="66"/>
        <v>0.27 (0.01)</v>
      </c>
      <c r="BD206">
        <f t="shared" ca="1" si="59"/>
        <v>0.268141592920354</v>
      </c>
      <c r="BE206" s="4">
        <f t="shared" ca="1" si="67"/>
        <v>1.1106106546912482E-2</v>
      </c>
      <c r="BG206" t="s">
        <v>254</v>
      </c>
      <c r="BH206" s="4">
        <f ca="1">+VLOOKUP($BG206,INDIRECT(Adrese!B$2),8,FALSE)</f>
        <v>3.7199066052132371E-2</v>
      </c>
      <c r="BI206" s="4">
        <f ca="1">+VLOOKUP($BG206,INDIRECT(Adrese!C$2),8,FALSE)</f>
        <v>3.7673231901016381E-2</v>
      </c>
      <c r="BJ206" s="4">
        <f ca="1">+VLOOKUP($BG206,INDIRECT(Adrese!D$2),8,FALSE)</f>
        <v>3.6554721963492277E-2</v>
      </c>
      <c r="BK206" s="4">
        <f ca="1">+VLOOKUP($BG206,INDIRECT(Adrese!E$2),8,FALSE)</f>
        <v>3.8097410541737868E-2</v>
      </c>
      <c r="BL206" s="4">
        <f ca="1">+VLOOKUP($BG206,INDIRECT(Adrese!F$2),8,FALSE)</f>
        <v>3.7291576808115068E-2</v>
      </c>
      <c r="BM206" s="4" t="str">
        <f t="shared" ca="1" si="68"/>
        <v>0.04 (0.00)</v>
      </c>
      <c r="BN206" s="4">
        <f t="shared" ca="1" si="60"/>
        <v>3.7363201453298793E-2</v>
      </c>
      <c r="BO206" s="4">
        <f t="shared" ca="1" si="69"/>
        <v>5.746502130013671E-4</v>
      </c>
      <c r="BQ206" t="s">
        <v>254</v>
      </c>
      <c r="BR206" s="4">
        <f ca="1">+VLOOKUP($BG206,INDIRECT(Adrese!B$2),9,FALSE)</f>
        <v>9.7911013274773528E-2</v>
      </c>
      <c r="BS206" s="4">
        <f ca="1">+VLOOKUP($BG206,INDIRECT(Adrese!C$2),9,FALSE)</f>
        <v>9.7746110939347777E-2</v>
      </c>
      <c r="BT206" s="4">
        <f ca="1">+VLOOKUP($BG206,INDIRECT(Adrese!D$2),9,FALSE)</f>
        <v>9.7169218012533948E-2</v>
      </c>
      <c r="BU206" s="4">
        <f ca="1">+VLOOKUP($BG206,INDIRECT(Adrese!E$2),9,FALSE)</f>
        <v>9.6917407084679927E-2</v>
      </c>
      <c r="BV206" s="4">
        <f ca="1">+VLOOKUP($BG206,INDIRECT(Adrese!F$2),9,FALSE)</f>
        <v>9.882865108147762E-2</v>
      </c>
      <c r="BW206" s="4" t="str">
        <f t="shared" ca="1" si="70"/>
        <v>0.10 (0.00)</v>
      </c>
      <c r="BX206" s="4">
        <f t="shared" ca="1" si="61"/>
        <v>9.7714480078562566E-2</v>
      </c>
      <c r="BY206" s="4">
        <f t="shared" ca="1" si="71"/>
        <v>7.4391513469791661E-4</v>
      </c>
    </row>
    <row r="207" spans="1:77" x14ac:dyDescent="0.25">
      <c r="A207" t="s">
        <v>255</v>
      </c>
      <c r="B207" s="11">
        <f ca="1">+VLOOKUP($A207,INDIRECT(Adrese!B$2),2,FALSE)</f>
        <v>137</v>
      </c>
      <c r="C207" s="11">
        <f ca="1">+VLOOKUP($A207,INDIRECT(Adrese!C$2),2,FALSE)</f>
        <v>133</v>
      </c>
      <c r="D207" s="11">
        <f ca="1">+VLOOKUP($A207,INDIRECT(Adrese!D$2),2,FALSE)</f>
        <v>147</v>
      </c>
      <c r="E207" s="11">
        <f ca="1">+VLOOKUP($A207,INDIRECT(Adrese!E$2),2,FALSE)</f>
        <v>154</v>
      </c>
      <c r="F207" s="11">
        <f ca="1">+VLOOKUP($A207,INDIRECT(Adrese!F$2),2,FALSE)</f>
        <v>144</v>
      </c>
      <c r="G207" s="4">
        <f t="shared" ca="1" si="54"/>
        <v>143</v>
      </c>
      <c r="J207" t="s">
        <v>255</v>
      </c>
      <c r="K207">
        <f ca="1">+VLOOKUP($A207,INDIRECT(Adrese!B$2),3,FALSE)</f>
        <v>187</v>
      </c>
      <c r="L207">
        <f ca="1">+VLOOKUP($A207,INDIRECT(Adrese!C$2),3,FALSE)</f>
        <v>182</v>
      </c>
      <c r="M207">
        <f ca="1">+VLOOKUP($A207,INDIRECT(Adrese!D$2),3,FALSE)</f>
        <v>187</v>
      </c>
      <c r="N207">
        <f ca="1">+VLOOKUP($A207,INDIRECT(Adrese!E$2),3,FALSE)</f>
        <v>186</v>
      </c>
      <c r="O207">
        <f ca="1">+VLOOKUP($A207,INDIRECT(Adrese!F$2),3,FALSE)</f>
        <v>179</v>
      </c>
      <c r="P207">
        <f t="shared" ca="1" si="62"/>
        <v>921</v>
      </c>
      <c r="Q207" s="4">
        <f t="shared" ca="1" si="55"/>
        <v>184.2</v>
      </c>
      <c r="R207" s="4"/>
      <c r="T207" t="s">
        <v>255</v>
      </c>
      <c r="U207">
        <f ca="1">+VLOOKUP($T207,INDIRECT(Adrese!B$2),4,FALSE)</f>
        <v>94086</v>
      </c>
      <c r="V207">
        <f ca="1">+VLOOKUP($T207,INDIRECT(Adrese!C$2),4,FALSE)</f>
        <v>94250</v>
      </c>
      <c r="W207">
        <f ca="1">+VLOOKUP($T207,INDIRECT(Adrese!D$2),4,FALSE)</f>
        <v>93705</v>
      </c>
      <c r="X207">
        <f ca="1">+VLOOKUP($T207,INDIRECT(Adrese!E$2),4,FALSE)</f>
        <v>93462</v>
      </c>
      <c r="Y207">
        <f ca="1">+VLOOKUP($T207,INDIRECT(Adrese!F$2),4,FALSE)</f>
        <v>93862</v>
      </c>
      <c r="Z207">
        <f t="shared" ca="1" si="63"/>
        <v>469365</v>
      </c>
      <c r="AA207" s="4">
        <f t="shared" ca="1" si="56"/>
        <v>93873</v>
      </c>
      <c r="AC207" t="s">
        <v>255</v>
      </c>
      <c r="AD207">
        <f ca="1">+VLOOKUP($A207,INDIRECT(Adrese!B$2),5,FALSE)</f>
        <v>8244</v>
      </c>
      <c r="AE207">
        <f ca="1">+VLOOKUP($A207,INDIRECT(Adrese!C$2),5,FALSE)</f>
        <v>8160</v>
      </c>
      <c r="AF207">
        <f ca="1">+VLOOKUP($A207,INDIRECT(Adrese!D$2),5,FALSE)</f>
        <v>8337</v>
      </c>
      <c r="AG207">
        <f ca="1">+VLOOKUP($A207,INDIRECT(Adrese!E$2),5,FALSE)</f>
        <v>8370</v>
      </c>
      <c r="AH207">
        <f ca="1">+VLOOKUP($A207,INDIRECT(Adrese!F$2),5,FALSE)</f>
        <v>8280</v>
      </c>
      <c r="AI207" s="4">
        <f t="shared" ca="1" si="57"/>
        <v>8278.2000000000007</v>
      </c>
      <c r="AJ207" s="4"/>
      <c r="AK207" s="4"/>
      <c r="AM207" t="s">
        <v>255</v>
      </c>
      <c r="AN207" s="4">
        <f ca="1">+VLOOKUP($A207,INDIRECT(Adrese!B$2),6,FALSE)</f>
        <v>0.18179203539823011</v>
      </c>
      <c r="AO207" s="4">
        <f ca="1">+VLOOKUP($A207,INDIRECT(Adrese!C$2),6,FALSE)</f>
        <v>0.1799778761061947</v>
      </c>
      <c r="AP207" s="4">
        <f ca="1">+VLOOKUP($A207,INDIRECT(Adrese!D$2),6,FALSE)</f>
        <v>0.18387168141592919</v>
      </c>
      <c r="AQ207" s="4">
        <f ca="1">+VLOOKUP($A207,INDIRECT(Adrese!E$2),6,FALSE)</f>
        <v>0.18453539823008849</v>
      </c>
      <c r="AR207" s="4">
        <f ca="1">+VLOOKUP($A207,INDIRECT(Adrese!F$2),6,FALSE)</f>
        <v>0.18254424778761061</v>
      </c>
      <c r="AS207" s="4" t="str">
        <f t="shared" ca="1" si="64"/>
        <v>0.18 (0.00)</v>
      </c>
      <c r="AT207" s="4">
        <f t="shared" ca="1" si="58"/>
        <v>0.18254424778761061</v>
      </c>
      <c r="AU207" s="4">
        <f t="shared" ca="1" si="65"/>
        <v>1.7943555394682757E-3</v>
      </c>
      <c r="AW207" t="s">
        <v>255</v>
      </c>
      <c r="AX207" s="4">
        <f ca="1">+VLOOKUP($A207,INDIRECT(Adrese!B$2),7,FALSE)</f>
        <v>0.17256637168141589</v>
      </c>
      <c r="AY207" s="4">
        <f ca="1">+VLOOKUP($A207,INDIRECT(Adrese!C$2),7,FALSE)</f>
        <v>0.19469026548672569</v>
      </c>
      <c r="AZ207" s="4">
        <f ca="1">+VLOOKUP($A207,INDIRECT(Adrese!D$2),7,FALSE)</f>
        <v>0.17256637168141589</v>
      </c>
      <c r="BA207" s="4">
        <f ca="1">+VLOOKUP($A207,INDIRECT(Adrese!E$2),7,FALSE)</f>
        <v>0.1769911504424779</v>
      </c>
      <c r="BB207" s="4">
        <f ca="1">+VLOOKUP($A207,INDIRECT(Adrese!F$2),7,FALSE)</f>
        <v>0.20796460176991149</v>
      </c>
      <c r="BC207" s="4" t="str">
        <f t="shared" ca="1" si="66"/>
        <v>0.18 (0.02)</v>
      </c>
      <c r="BD207">
        <f t="shared" ca="1" si="59"/>
        <v>0.18495575221238938</v>
      </c>
      <c r="BE207" s="4">
        <f t="shared" ca="1" si="67"/>
        <v>1.5768610337349977E-2</v>
      </c>
      <c r="BG207" t="s">
        <v>255</v>
      </c>
      <c r="BH207" s="4">
        <f ca="1">+VLOOKUP($BG207,INDIRECT(Adrese!B$2),8,FALSE)</f>
        <v>2.5051727427298349E-2</v>
      </c>
      <c r="BI207" s="4">
        <f ca="1">+VLOOKUP($BG207,INDIRECT(Adrese!C$2),8,FALSE)</f>
        <v>2.4581533576109191E-2</v>
      </c>
      <c r="BJ207" s="4">
        <f ca="1">+VLOOKUP($BG207,INDIRECT(Adrese!D$2),8,FALSE)</f>
        <v>2.5398775468032639E-2</v>
      </c>
      <c r="BK207" s="4">
        <f ca="1">+VLOOKUP($BG207,INDIRECT(Adrese!E$2),8,FALSE)</f>
        <v>2.5418617976224391E-2</v>
      </c>
      <c r="BL207" s="4">
        <f ca="1">+VLOOKUP($BG207,INDIRECT(Adrese!F$2),8,FALSE)</f>
        <v>2.5323295550289591E-2</v>
      </c>
      <c r="BM207" s="4" t="str">
        <f t="shared" ca="1" si="68"/>
        <v>0.03 (0.00)</v>
      </c>
      <c r="BN207" s="4">
        <f t="shared" ca="1" si="60"/>
        <v>2.5154789999590831E-2</v>
      </c>
      <c r="BO207" s="4">
        <f t="shared" ca="1" si="69"/>
        <v>3.5241064525356054E-4</v>
      </c>
      <c r="BQ207" t="s">
        <v>255</v>
      </c>
      <c r="BR207" s="4">
        <f ca="1">+VLOOKUP($BG207,INDIRECT(Adrese!B$2),9,FALSE)</f>
        <v>9.4975271959168966E-2</v>
      </c>
      <c r="BS207" s="4">
        <f ca="1">+VLOOKUP($BG207,INDIRECT(Adrese!C$2),9,FALSE)</f>
        <v>9.3342065293818596E-2</v>
      </c>
      <c r="BT207" s="4">
        <f ca="1">+VLOOKUP($BG207,INDIRECT(Adrese!D$2),9,FALSE)</f>
        <v>9.531905816516352E-2</v>
      </c>
      <c r="BU207" s="4">
        <f ca="1">+VLOOKUP($BG207,INDIRECT(Adrese!E$2),9,FALSE)</f>
        <v>9.5368028822918394E-2</v>
      </c>
      <c r="BV207" s="4">
        <f ca="1">+VLOOKUP($BG207,INDIRECT(Adrese!F$2),9,FALSE)</f>
        <v>9.4582668636101291E-2</v>
      </c>
      <c r="BW207" s="4" t="str">
        <f t="shared" ca="1" si="70"/>
        <v>0.09 (0.00)</v>
      </c>
      <c r="BX207" s="4">
        <f t="shared" ca="1" si="61"/>
        <v>9.4717418575434142E-2</v>
      </c>
      <c r="BY207" s="4">
        <f t="shared" ca="1" si="71"/>
        <v>8.3088904989860241E-4</v>
      </c>
    </row>
    <row r="208" spans="1:77" x14ac:dyDescent="0.25">
      <c r="A208" t="s">
        <v>17</v>
      </c>
      <c r="B208" s="11">
        <f ca="1">+VLOOKUP($A208,INDIRECT(Adrese!B$2),2,FALSE)</f>
        <v>196</v>
      </c>
      <c r="C208" s="11">
        <f ca="1">+VLOOKUP($A208,INDIRECT(Adrese!C$2),2,FALSE)</f>
        <v>210</v>
      </c>
      <c r="D208" s="11">
        <f ca="1">+VLOOKUP($A208,INDIRECT(Adrese!D$2),2,FALSE)</f>
        <v>217</v>
      </c>
      <c r="E208" s="11">
        <f ca="1">+VLOOKUP($A208,INDIRECT(Adrese!E$2),2,FALSE)</f>
        <v>184</v>
      </c>
      <c r="F208" s="11">
        <f ca="1">+VLOOKUP($A208,INDIRECT(Adrese!F$2),2,FALSE)</f>
        <v>199</v>
      </c>
      <c r="G208" s="4">
        <f t="shared" ca="1" si="54"/>
        <v>201.2</v>
      </c>
      <c r="J208" t="s">
        <v>17</v>
      </c>
      <c r="K208">
        <f ca="1">+VLOOKUP($A208,INDIRECT(Adrese!B$2),3,FALSE)</f>
        <v>81</v>
      </c>
      <c r="L208">
        <f ca="1">+VLOOKUP($A208,INDIRECT(Adrese!C$2),3,FALSE)</f>
        <v>79</v>
      </c>
      <c r="M208">
        <f ca="1">+VLOOKUP($A208,INDIRECT(Adrese!D$2),3,FALSE)</f>
        <v>78</v>
      </c>
      <c r="N208">
        <f ca="1">+VLOOKUP($A208,INDIRECT(Adrese!E$2),3,FALSE)</f>
        <v>83</v>
      </c>
      <c r="O208">
        <f ca="1">+VLOOKUP($A208,INDIRECT(Adrese!F$2),3,FALSE)</f>
        <v>83</v>
      </c>
      <c r="P208">
        <f t="shared" ca="1" si="62"/>
        <v>404</v>
      </c>
      <c r="Q208" s="4">
        <f t="shared" ca="1" si="55"/>
        <v>80.8</v>
      </c>
      <c r="R208" s="4"/>
      <c r="T208" t="s">
        <v>17</v>
      </c>
      <c r="U208">
        <f ca="1">+VLOOKUP($T208,INDIRECT(Adrese!B$2),4,FALSE)</f>
        <v>88893</v>
      </c>
      <c r="V208">
        <f ca="1">+VLOOKUP($T208,INDIRECT(Adrese!C$2),4,FALSE)</f>
        <v>87904</v>
      </c>
      <c r="W208">
        <f ca="1">+VLOOKUP($T208,INDIRECT(Adrese!D$2),4,FALSE)</f>
        <v>87190</v>
      </c>
      <c r="X208">
        <f ca="1">+VLOOKUP($T208,INDIRECT(Adrese!E$2),4,FALSE)</f>
        <v>90380</v>
      </c>
      <c r="Y208">
        <f ca="1">+VLOOKUP($T208,INDIRECT(Adrese!F$2),4,FALSE)</f>
        <v>88710</v>
      </c>
      <c r="Z208">
        <f t="shared" ca="1" si="63"/>
        <v>443077</v>
      </c>
      <c r="AA208" s="4">
        <f t="shared" ca="1" si="56"/>
        <v>88615.4</v>
      </c>
      <c r="AC208" t="s">
        <v>17</v>
      </c>
      <c r="AD208">
        <f ca="1">+VLOOKUP($A208,INDIRECT(Adrese!B$2),5,FALSE)</f>
        <v>22720</v>
      </c>
      <c r="AE208">
        <f ca="1">+VLOOKUP($A208,INDIRECT(Adrese!C$2),5,FALSE)</f>
        <v>22762</v>
      </c>
      <c r="AF208">
        <f ca="1">+VLOOKUP($A208,INDIRECT(Adrese!D$2),5,FALSE)</f>
        <v>22670</v>
      </c>
      <c r="AG208">
        <f ca="1">+VLOOKUP($A208,INDIRECT(Adrese!E$2),5,FALSE)</f>
        <v>22780</v>
      </c>
      <c r="AH208">
        <f ca="1">+VLOOKUP($A208,INDIRECT(Adrese!F$2),5,FALSE)</f>
        <v>22642</v>
      </c>
      <c r="AI208" s="4">
        <f t="shared" ca="1" si="57"/>
        <v>22714.799999999999</v>
      </c>
      <c r="AJ208" s="4"/>
      <c r="AK208" s="4"/>
      <c r="AM208" t="s">
        <v>17</v>
      </c>
      <c r="AN208" s="4">
        <f ca="1">+VLOOKUP($A208,INDIRECT(Adrese!B$2),6,FALSE)</f>
        <v>0.50064159292035393</v>
      </c>
      <c r="AO208" s="4">
        <f ca="1">+VLOOKUP($A208,INDIRECT(Adrese!C$2),6,FALSE)</f>
        <v>0.50165929203539827</v>
      </c>
      <c r="AP208" s="4">
        <f ca="1">+VLOOKUP($A208,INDIRECT(Adrese!D$2),6,FALSE)</f>
        <v>0.49938053097345131</v>
      </c>
      <c r="AQ208" s="4">
        <f ca="1">+VLOOKUP($A208,INDIRECT(Adrese!E$2),6,FALSE)</f>
        <v>0.50210176991150446</v>
      </c>
      <c r="AR208" s="4">
        <f ca="1">+VLOOKUP($A208,INDIRECT(Adrese!F$2),6,FALSE)</f>
        <v>0.4988495575221239</v>
      </c>
      <c r="AS208" s="4" t="str">
        <f t="shared" ca="1" si="64"/>
        <v>0.50 (0.00)</v>
      </c>
      <c r="AT208" s="4">
        <f t="shared" ca="1" si="58"/>
        <v>0.50052654867256641</v>
      </c>
      <c r="AU208" s="4">
        <f t="shared" ca="1" si="65"/>
        <v>1.40564225017763E-3</v>
      </c>
      <c r="AW208" t="s">
        <v>17</v>
      </c>
      <c r="AX208" s="4">
        <f ca="1">+VLOOKUP($A208,INDIRECT(Adrese!B$2),7,FALSE)</f>
        <v>0.6415929203539823</v>
      </c>
      <c r="AY208" s="4">
        <f ca="1">+VLOOKUP($A208,INDIRECT(Adrese!C$2),7,FALSE)</f>
        <v>0.65044247787610621</v>
      </c>
      <c r="AZ208" s="4">
        <f ca="1">+VLOOKUP($A208,INDIRECT(Adrese!D$2),7,FALSE)</f>
        <v>0.65486725663716816</v>
      </c>
      <c r="BA208" s="4">
        <f ca="1">+VLOOKUP($A208,INDIRECT(Adrese!E$2),7,FALSE)</f>
        <v>0.63274336283185839</v>
      </c>
      <c r="BB208" s="4">
        <f ca="1">+VLOOKUP($A208,INDIRECT(Adrese!F$2),7,FALSE)</f>
        <v>0.63274336283185839</v>
      </c>
      <c r="BC208" s="4" t="str">
        <f t="shared" ca="1" si="66"/>
        <v>0.64 (0.01)</v>
      </c>
      <c r="BD208">
        <f t="shared" ca="1" si="59"/>
        <v>0.64247787610619467</v>
      </c>
      <c r="BE208" s="4">
        <f t="shared" ca="1" si="67"/>
        <v>1.0090048009726901E-2</v>
      </c>
      <c r="BG208" t="s">
        <v>17</v>
      </c>
      <c r="BH208" s="4">
        <f ca="1">+VLOOKUP($BG208,INDIRECT(Adrese!B$2),8,FALSE)</f>
        <v>6.3699568743943669E-2</v>
      </c>
      <c r="BI208" s="4">
        <f ca="1">+VLOOKUP($BG208,INDIRECT(Adrese!C$2),8,FALSE)</f>
        <v>6.3769201184269236E-2</v>
      </c>
      <c r="BJ208" s="4">
        <f ca="1">+VLOOKUP($BG208,INDIRECT(Adrese!D$2),8,FALSE)</f>
        <v>6.3472458457683095E-2</v>
      </c>
      <c r="BK208" s="4">
        <f ca="1">+VLOOKUP($BG208,INDIRECT(Adrese!E$2),8,FALSE)</f>
        <v>6.3706824495675995E-2</v>
      </c>
      <c r="BL208" s="4">
        <f ca="1">+VLOOKUP($BG208,INDIRECT(Adrese!F$2),8,FALSE)</f>
        <v>6.3717339779555085E-2</v>
      </c>
      <c r="BM208" s="4" t="str">
        <f t="shared" ca="1" si="68"/>
        <v>0.06 (0.00)</v>
      </c>
      <c r="BN208" s="4">
        <f t="shared" ca="1" si="60"/>
        <v>6.3673078532225411E-2</v>
      </c>
      <c r="BO208" s="4">
        <f t="shared" ca="1" si="69"/>
        <v>1.1542048986918172E-4</v>
      </c>
      <c r="BQ208" t="s">
        <v>17</v>
      </c>
      <c r="BR208" s="4">
        <f ca="1">+VLOOKUP($BG208,INDIRECT(Adrese!B$2),9,FALSE)</f>
        <v>2.1077615212615041E-4</v>
      </c>
      <c r="BS208" s="4">
        <f ca="1">+VLOOKUP($BG208,INDIRECT(Adrese!C$2),9,FALSE)</f>
        <v>-4.4854308195889299E-4</v>
      </c>
      <c r="BT208" s="4">
        <f ca="1">+VLOOKUP($BG208,INDIRECT(Adrese!D$2),9,FALSE)</f>
        <v>5.9821170953967742E-4</v>
      </c>
      <c r="BU208" s="4">
        <f ca="1">+VLOOKUP($BG208,INDIRECT(Adrese!E$2),9,FALSE)</f>
        <v>-1.4561620361497091E-3</v>
      </c>
      <c r="BV208" s="4">
        <f ca="1">+VLOOKUP($BG208,INDIRECT(Adrese!F$2),9,FALSE)</f>
        <v>1.8608530388325251E-3</v>
      </c>
      <c r="BW208" s="4" t="str">
        <f t="shared" ca="1" si="70"/>
        <v>0.00 (0.00)</v>
      </c>
      <c r="BX208" s="4">
        <f t="shared" ca="1" si="61"/>
        <v>1.5302715647795014E-4</v>
      </c>
      <c r="BY208" s="4">
        <f t="shared" ca="1" si="71"/>
        <v>1.2318248745931731E-3</v>
      </c>
    </row>
    <row r="209" spans="1:77" x14ac:dyDescent="0.25">
      <c r="A209" t="s">
        <v>256</v>
      </c>
      <c r="B209" s="11">
        <f ca="1">+VLOOKUP($A209,INDIRECT(Adrese!B$2),2,FALSE)</f>
        <v>186</v>
      </c>
      <c r="C209" s="11">
        <f ca="1">+VLOOKUP($A209,INDIRECT(Adrese!C$2),2,FALSE)</f>
        <v>186</v>
      </c>
      <c r="D209" s="11">
        <f ca="1">+VLOOKUP($A209,INDIRECT(Adrese!D$2),2,FALSE)</f>
        <v>184</v>
      </c>
      <c r="E209" s="11">
        <f ca="1">+VLOOKUP($A209,INDIRECT(Adrese!E$2),2,FALSE)</f>
        <v>180</v>
      </c>
      <c r="F209" s="11">
        <f ca="1">+VLOOKUP($A209,INDIRECT(Adrese!F$2),2,FALSE)</f>
        <v>198</v>
      </c>
      <c r="G209" s="4">
        <f t="shared" ca="1" si="54"/>
        <v>186.8</v>
      </c>
      <c r="J209" t="s">
        <v>256</v>
      </c>
      <c r="K209">
        <f ca="1">+VLOOKUP($A209,INDIRECT(Adrese!B$2),3,FALSE)</f>
        <v>89</v>
      </c>
      <c r="L209">
        <f ca="1">+VLOOKUP($A209,INDIRECT(Adrese!C$2),3,FALSE)</f>
        <v>82</v>
      </c>
      <c r="M209">
        <f ca="1">+VLOOKUP($A209,INDIRECT(Adrese!D$2),3,FALSE)</f>
        <v>85</v>
      </c>
      <c r="N209">
        <f ca="1">+VLOOKUP($A209,INDIRECT(Adrese!E$2),3,FALSE)</f>
        <v>81</v>
      </c>
      <c r="O209">
        <f ca="1">+VLOOKUP($A209,INDIRECT(Adrese!F$2),3,FALSE)</f>
        <v>85</v>
      </c>
      <c r="P209">
        <f t="shared" ca="1" si="62"/>
        <v>422</v>
      </c>
      <c r="Q209" s="4">
        <f t="shared" ca="1" si="55"/>
        <v>84.4</v>
      </c>
      <c r="R209" s="4"/>
      <c r="T209" t="s">
        <v>256</v>
      </c>
      <c r="U209">
        <f ca="1">+VLOOKUP($T209,INDIRECT(Adrese!B$2),4,FALSE)</f>
        <v>90248</v>
      </c>
      <c r="V209">
        <f ca="1">+VLOOKUP($T209,INDIRECT(Adrese!C$2),4,FALSE)</f>
        <v>89871</v>
      </c>
      <c r="W209">
        <f ca="1">+VLOOKUP($T209,INDIRECT(Adrese!D$2),4,FALSE)</f>
        <v>90539</v>
      </c>
      <c r="X209">
        <f ca="1">+VLOOKUP($T209,INDIRECT(Adrese!E$2),4,FALSE)</f>
        <v>90899</v>
      </c>
      <c r="Y209">
        <f ca="1">+VLOOKUP($T209,INDIRECT(Adrese!F$2),4,FALSE)</f>
        <v>88809</v>
      </c>
      <c r="Z209">
        <f t="shared" ca="1" si="63"/>
        <v>450366</v>
      </c>
      <c r="AA209" s="4">
        <f t="shared" ca="1" si="56"/>
        <v>90073.2</v>
      </c>
      <c r="AC209" t="s">
        <v>256</v>
      </c>
      <c r="AD209">
        <f ca="1">+VLOOKUP($A209,INDIRECT(Adrese!B$2),5,FALSE)</f>
        <v>23100</v>
      </c>
      <c r="AE209">
        <f ca="1">+VLOOKUP($A209,INDIRECT(Adrese!C$2),5,FALSE)</f>
        <v>23206</v>
      </c>
      <c r="AF209">
        <f ca="1">+VLOOKUP($A209,INDIRECT(Adrese!D$2),5,FALSE)</f>
        <v>22901</v>
      </c>
      <c r="AG209">
        <f ca="1">+VLOOKUP($A209,INDIRECT(Adrese!E$2),5,FALSE)</f>
        <v>23027</v>
      </c>
      <c r="AH209">
        <f ca="1">+VLOOKUP($A209,INDIRECT(Adrese!F$2),5,FALSE)</f>
        <v>23287</v>
      </c>
      <c r="AI209" s="4">
        <f t="shared" ca="1" si="57"/>
        <v>23104.2</v>
      </c>
      <c r="AJ209" s="4"/>
      <c r="AK209" s="4"/>
      <c r="AM209" t="s">
        <v>256</v>
      </c>
      <c r="AN209" s="4">
        <f ca="1">+VLOOKUP($A209,INDIRECT(Adrese!B$2),6,FALSE)</f>
        <v>0.51026548672566374</v>
      </c>
      <c r="AO209" s="4">
        <f ca="1">+VLOOKUP($A209,INDIRECT(Adrese!C$2),6,FALSE)</f>
        <v>0.51236725663716809</v>
      </c>
      <c r="AP209" s="4">
        <f ca="1">+VLOOKUP($A209,INDIRECT(Adrese!D$2),6,FALSE)</f>
        <v>0.50555309734513276</v>
      </c>
      <c r="AQ209" s="4">
        <f ca="1">+VLOOKUP($A209,INDIRECT(Adrese!E$2),6,FALSE)</f>
        <v>0.50842920353982302</v>
      </c>
      <c r="AR209" s="4">
        <f ca="1">+VLOOKUP($A209,INDIRECT(Adrese!F$2),6,FALSE)</f>
        <v>0.51398230088495578</v>
      </c>
      <c r="AS209" s="4" t="str">
        <f t="shared" ca="1" si="64"/>
        <v>0.51 (0.00)</v>
      </c>
      <c r="AT209" s="4">
        <f t="shared" ca="1" si="58"/>
        <v>0.5101194690265487</v>
      </c>
      <c r="AU209" s="4">
        <f t="shared" ca="1" si="65"/>
        <v>3.3054533738084623E-3</v>
      </c>
      <c r="AW209" t="s">
        <v>256</v>
      </c>
      <c r="AX209" s="4">
        <f ca="1">+VLOOKUP($A209,INDIRECT(Adrese!B$2),7,FALSE)</f>
        <v>0.60619469026548678</v>
      </c>
      <c r="AY209" s="4">
        <f ca="1">+VLOOKUP($A209,INDIRECT(Adrese!C$2),7,FALSE)</f>
        <v>0.63716814159292035</v>
      </c>
      <c r="AZ209" s="4">
        <f ca="1">+VLOOKUP($A209,INDIRECT(Adrese!D$2),7,FALSE)</f>
        <v>0.62389380530973448</v>
      </c>
      <c r="BA209" s="4">
        <f ca="1">+VLOOKUP($A209,INDIRECT(Adrese!E$2),7,FALSE)</f>
        <v>0.6415929203539823</v>
      </c>
      <c r="BB209" s="4">
        <f ca="1">+VLOOKUP($A209,INDIRECT(Adrese!F$2),7,FALSE)</f>
        <v>0.62389380530973448</v>
      </c>
      <c r="BC209" s="4" t="str">
        <f t="shared" ca="1" si="66"/>
        <v>0.63 (0.01)</v>
      </c>
      <c r="BD209">
        <f t="shared" ca="1" si="59"/>
        <v>0.6265486725663717</v>
      </c>
      <c r="BE209" s="4">
        <f t="shared" ca="1" si="67"/>
        <v>1.3851748533184518E-2</v>
      </c>
      <c r="BG209" t="s">
        <v>256</v>
      </c>
      <c r="BH209" s="4">
        <f ca="1">+VLOOKUP($BG209,INDIRECT(Adrese!B$2),8,FALSE)</f>
        <v>6.5016415604463765E-2</v>
      </c>
      <c r="BI209" s="4">
        <f ca="1">+VLOOKUP($BG209,INDIRECT(Adrese!C$2),8,FALSE)</f>
        <v>6.5157764935863699E-2</v>
      </c>
      <c r="BJ209" s="4">
        <f ca="1">+VLOOKUP($BG209,INDIRECT(Adrese!D$2),8,FALSE)</f>
        <v>6.4446843083280234E-2</v>
      </c>
      <c r="BK209" s="4">
        <f ca="1">+VLOOKUP($BG209,INDIRECT(Adrese!E$2),8,FALSE)</f>
        <v>6.4647729746056648E-2</v>
      </c>
      <c r="BL209" s="4">
        <f ca="1">+VLOOKUP($BG209,INDIRECT(Adrese!F$2),8,FALSE)</f>
        <v>6.5242281519848525E-2</v>
      </c>
      <c r="BM209" s="4" t="str">
        <f t="shared" ca="1" si="68"/>
        <v>0.06 (0.00)</v>
      </c>
      <c r="BN209" s="4">
        <f t="shared" ca="1" si="60"/>
        <v>6.4902206977902582E-2</v>
      </c>
      <c r="BO209" s="4">
        <f t="shared" ca="1" si="69"/>
        <v>3.4136458237183628E-4</v>
      </c>
      <c r="BQ209" t="s">
        <v>256</v>
      </c>
      <c r="BR209" s="4">
        <f ca="1">+VLOOKUP($BG209,INDIRECT(Adrese!B$2),9,FALSE)</f>
        <v>1.418785174738067E-3</v>
      </c>
      <c r="BS209" s="4">
        <f ca="1">+VLOOKUP($BG209,INDIRECT(Adrese!C$2),9,FALSE)</f>
        <v>-2.1894761366021641E-4</v>
      </c>
      <c r="BT209" s="4">
        <f ca="1">+VLOOKUP($BG209,INDIRECT(Adrese!D$2),9,FALSE)</f>
        <v>2.9122829997421588E-3</v>
      </c>
      <c r="BU209" s="4">
        <f ca="1">+VLOOKUP($BG209,INDIRECT(Adrese!E$2),9,FALSE)</f>
        <v>2.2569709250655481E-3</v>
      </c>
      <c r="BV209" s="4">
        <f ca="1">+VLOOKUP($BG209,INDIRECT(Adrese!F$2),9,FALSE)</f>
        <v>-1.0574794178167691E-3</v>
      </c>
      <c r="BW209" s="4" t="str">
        <f t="shared" ca="1" si="70"/>
        <v>0.00 (0.00)</v>
      </c>
      <c r="BX209" s="4">
        <f t="shared" ca="1" si="61"/>
        <v>1.0623224136137577E-3</v>
      </c>
      <c r="BY209" s="4">
        <f t="shared" ca="1" si="71"/>
        <v>1.6667196542563588E-3</v>
      </c>
    </row>
    <row r="210" spans="1:77" x14ac:dyDescent="0.25">
      <c r="A210" t="s">
        <v>257</v>
      </c>
      <c r="B210" s="11">
        <f ca="1">+VLOOKUP($A210,INDIRECT(Adrese!B$2),2,FALSE)</f>
        <v>218</v>
      </c>
      <c r="C210" s="11">
        <f ca="1">+VLOOKUP($A210,INDIRECT(Adrese!C$2),2,FALSE)</f>
        <v>213</v>
      </c>
      <c r="D210" s="11">
        <f ca="1">+VLOOKUP($A210,INDIRECT(Adrese!D$2),2,FALSE)</f>
        <v>208</v>
      </c>
      <c r="E210" s="11">
        <f ca="1">+VLOOKUP($A210,INDIRECT(Adrese!E$2),2,FALSE)</f>
        <v>208</v>
      </c>
      <c r="F210" s="11">
        <f ca="1">+VLOOKUP($A210,INDIRECT(Adrese!F$2),2,FALSE)</f>
        <v>225</v>
      </c>
      <c r="G210" s="4">
        <f t="shared" ca="1" si="54"/>
        <v>214.4</v>
      </c>
      <c r="J210" t="s">
        <v>257</v>
      </c>
      <c r="K210">
        <f ca="1">+VLOOKUP($A210,INDIRECT(Adrese!B$2),3,FALSE)</f>
        <v>49</v>
      </c>
      <c r="L210">
        <f ca="1">+VLOOKUP($A210,INDIRECT(Adrese!C$2),3,FALSE)</f>
        <v>56</v>
      </c>
      <c r="M210">
        <f ca="1">+VLOOKUP($A210,INDIRECT(Adrese!D$2),3,FALSE)</f>
        <v>53</v>
      </c>
      <c r="N210">
        <f ca="1">+VLOOKUP($A210,INDIRECT(Adrese!E$2),3,FALSE)</f>
        <v>59</v>
      </c>
      <c r="O210">
        <f ca="1">+VLOOKUP($A210,INDIRECT(Adrese!F$2),3,FALSE)</f>
        <v>56</v>
      </c>
      <c r="P210">
        <f t="shared" ca="1" si="62"/>
        <v>273</v>
      </c>
      <c r="Q210" s="4">
        <f t="shared" ca="1" si="55"/>
        <v>54.6</v>
      </c>
      <c r="R210" s="4"/>
      <c r="T210" t="s">
        <v>257</v>
      </c>
      <c r="U210">
        <f ca="1">+VLOOKUP($T210,INDIRECT(Adrese!B$2),4,FALSE)</f>
        <v>86735</v>
      </c>
      <c r="V210">
        <f ca="1">+VLOOKUP($T210,INDIRECT(Adrese!C$2),4,FALSE)</f>
        <v>87496</v>
      </c>
      <c r="W210">
        <f ca="1">+VLOOKUP($T210,INDIRECT(Adrese!D$2),4,FALSE)</f>
        <v>87847</v>
      </c>
      <c r="X210">
        <f ca="1">+VLOOKUP($T210,INDIRECT(Adrese!E$2),4,FALSE)</f>
        <v>87513</v>
      </c>
      <c r="Y210">
        <f ca="1">+VLOOKUP($T210,INDIRECT(Adrese!F$2),4,FALSE)</f>
        <v>85988</v>
      </c>
      <c r="Z210">
        <f t="shared" ca="1" si="63"/>
        <v>435579</v>
      </c>
      <c r="AA210" s="4">
        <f t="shared" ca="1" si="56"/>
        <v>87115.8</v>
      </c>
      <c r="AC210" t="s">
        <v>257</v>
      </c>
      <c r="AD210">
        <f ca="1">+VLOOKUP($A210,INDIRECT(Adrese!B$2),5,FALSE)</f>
        <v>35960</v>
      </c>
      <c r="AE210">
        <f ca="1">+VLOOKUP($A210,INDIRECT(Adrese!C$2),5,FALSE)</f>
        <v>36073</v>
      </c>
      <c r="AF210">
        <f ca="1">+VLOOKUP($A210,INDIRECT(Adrese!D$2),5,FALSE)</f>
        <v>35892</v>
      </c>
      <c r="AG210">
        <f ca="1">+VLOOKUP($A210,INDIRECT(Adrese!E$2),5,FALSE)</f>
        <v>35917</v>
      </c>
      <c r="AH210">
        <f ca="1">+VLOOKUP($A210,INDIRECT(Adrese!F$2),5,FALSE)</f>
        <v>36060</v>
      </c>
      <c r="AI210" s="4">
        <f t="shared" ca="1" si="57"/>
        <v>35980.400000000001</v>
      </c>
      <c r="AJ210" s="4"/>
      <c r="AK210" s="4"/>
      <c r="AM210" t="s">
        <v>257</v>
      </c>
      <c r="AN210" s="4">
        <f ca="1">+VLOOKUP($A210,INDIRECT(Adrese!B$2),6,FALSE)</f>
        <v>0.79234513274336282</v>
      </c>
      <c r="AO210" s="4">
        <f ca="1">+VLOOKUP($A210,INDIRECT(Adrese!C$2),6,FALSE)</f>
        <v>0.79484513274336288</v>
      </c>
      <c r="AP210" s="4">
        <f ca="1">+VLOOKUP($A210,INDIRECT(Adrese!D$2),6,FALSE)</f>
        <v>0.79084070796460182</v>
      </c>
      <c r="AQ210" s="4">
        <f ca="1">+VLOOKUP($A210,INDIRECT(Adrese!E$2),6,FALSE)</f>
        <v>0.79139380530973447</v>
      </c>
      <c r="AR210" s="4">
        <f ca="1">+VLOOKUP($A210,INDIRECT(Adrese!F$2),6,FALSE)</f>
        <v>0.79457964601769915</v>
      </c>
      <c r="AS210" s="4" t="str">
        <f t="shared" ca="1" si="64"/>
        <v>0.79 (0.00)</v>
      </c>
      <c r="AT210" s="4">
        <f t="shared" ca="1" si="58"/>
        <v>0.79280088495575218</v>
      </c>
      <c r="AU210" s="4">
        <f t="shared" ca="1" si="65"/>
        <v>1.828443120431995E-3</v>
      </c>
      <c r="AW210" t="s">
        <v>257</v>
      </c>
      <c r="AX210" s="4">
        <f ca="1">+VLOOKUP($A210,INDIRECT(Adrese!B$2),7,FALSE)</f>
        <v>0.7831858407079646</v>
      </c>
      <c r="AY210" s="4">
        <f ca="1">+VLOOKUP($A210,INDIRECT(Adrese!C$2),7,FALSE)</f>
        <v>0.75221238938053092</v>
      </c>
      <c r="AZ210" s="4">
        <f ca="1">+VLOOKUP($A210,INDIRECT(Adrese!D$2),7,FALSE)</f>
        <v>0.76548672566371678</v>
      </c>
      <c r="BA210" s="4">
        <f ca="1">+VLOOKUP($A210,INDIRECT(Adrese!E$2),7,FALSE)</f>
        <v>0.73893805309734517</v>
      </c>
      <c r="BB210" s="4">
        <f ca="1">+VLOOKUP($A210,INDIRECT(Adrese!F$2),7,FALSE)</f>
        <v>0.75221238938053092</v>
      </c>
      <c r="BC210" s="4" t="str">
        <f t="shared" ca="1" si="66"/>
        <v>0.76 (0.02)</v>
      </c>
      <c r="BD210">
        <f t="shared" ca="1" si="59"/>
        <v>0.75840707964601772</v>
      </c>
      <c r="BE210" s="4">
        <f t="shared" ca="1" si="67"/>
        <v>1.6732451682468168E-2</v>
      </c>
      <c r="BG210" t="s">
        <v>257</v>
      </c>
      <c r="BH210" s="4">
        <f ca="1">+VLOOKUP($BG210,INDIRECT(Adrese!B$2),8,FALSE)</f>
        <v>9.6098533021621885E-2</v>
      </c>
      <c r="BI210" s="4">
        <f ca="1">+VLOOKUP($BG210,INDIRECT(Adrese!C$2),8,FALSE)</f>
        <v>9.6410808814628796E-2</v>
      </c>
      <c r="BJ210" s="4">
        <f ca="1">+VLOOKUP($BG210,INDIRECT(Adrese!D$2),8,FALSE)</f>
        <v>9.5972822879445391E-2</v>
      </c>
      <c r="BK210" s="4">
        <f ca="1">+VLOOKUP($BG210,INDIRECT(Adrese!E$2),8,FALSE)</f>
        <v>9.6253828931554583E-2</v>
      </c>
      <c r="BL210" s="4">
        <f ca="1">+VLOOKUP($BG210,INDIRECT(Adrese!F$2),8,FALSE)</f>
        <v>9.6545371389839554E-2</v>
      </c>
      <c r="BM210" s="4" t="str">
        <f t="shared" ca="1" si="68"/>
        <v>0.10 (0.00)</v>
      </c>
      <c r="BN210" s="4">
        <f t="shared" ca="1" si="60"/>
        <v>9.6256273007418042E-2</v>
      </c>
      <c r="BO210" s="4">
        <f t="shared" ca="1" si="69"/>
        <v>2.305921952834293E-4</v>
      </c>
      <c r="BQ210" t="s">
        <v>257</v>
      </c>
      <c r="BR210" s="4">
        <f ca="1">+VLOOKUP($BG210,INDIRECT(Adrese!B$2),9,FALSE)</f>
        <v>-8.8532371627463288E-2</v>
      </c>
      <c r="BS210" s="4">
        <f ca="1">+VLOOKUP($BG210,INDIRECT(Adrese!C$2),9,FALSE)</f>
        <v>-8.8954862422861228E-2</v>
      </c>
      <c r="BT210" s="4">
        <f ca="1">+VLOOKUP($BG210,INDIRECT(Adrese!D$2),9,FALSE)</f>
        <v>-8.823063765667713E-2</v>
      </c>
      <c r="BU210" s="4">
        <f ca="1">+VLOOKUP($BG210,INDIRECT(Adrese!E$2),9,FALSE)</f>
        <v>-8.6109496638221913E-2</v>
      </c>
      <c r="BV210" s="4">
        <f ca="1">+VLOOKUP($BG210,INDIRECT(Adrese!F$2),9,FALSE)</f>
        <v>-8.9439839448166678E-2</v>
      </c>
      <c r="BW210" s="4" t="str">
        <f t="shared" ca="1" si="70"/>
        <v>-0.09 (0.00)</v>
      </c>
      <c r="BX210" s="4">
        <f t="shared" ca="1" si="61"/>
        <v>-8.8253441558678064E-2</v>
      </c>
      <c r="BY210" s="4">
        <f t="shared" ca="1" si="71"/>
        <v>1.2820250586536152E-3</v>
      </c>
    </row>
    <row r="211" spans="1:77" x14ac:dyDescent="0.25">
      <c r="A211" t="s">
        <v>258</v>
      </c>
      <c r="B211" s="11">
        <f ca="1">+VLOOKUP($A211,INDIRECT(Adrese!B$2),2,FALSE)</f>
        <v>182</v>
      </c>
      <c r="C211" s="11">
        <f ca="1">+VLOOKUP($A211,INDIRECT(Adrese!C$2),2,FALSE)</f>
        <v>174</v>
      </c>
      <c r="D211" s="11">
        <f ca="1">+VLOOKUP($A211,INDIRECT(Adrese!D$2),2,FALSE)</f>
        <v>186</v>
      </c>
      <c r="E211" s="11">
        <f ca="1">+VLOOKUP($A211,INDIRECT(Adrese!E$2),2,FALSE)</f>
        <v>182</v>
      </c>
      <c r="F211" s="11">
        <f ca="1">+VLOOKUP($A211,INDIRECT(Adrese!F$2),2,FALSE)</f>
        <v>174</v>
      </c>
      <c r="G211" s="4">
        <f t="shared" ca="1" si="54"/>
        <v>179.6</v>
      </c>
      <c r="J211" t="s">
        <v>258</v>
      </c>
      <c r="K211">
        <f ca="1">+VLOOKUP($A211,INDIRECT(Adrese!B$2),3,FALSE)</f>
        <v>126</v>
      </c>
      <c r="L211">
        <f ca="1">+VLOOKUP($A211,INDIRECT(Adrese!C$2),3,FALSE)</f>
        <v>127</v>
      </c>
      <c r="M211">
        <f ca="1">+VLOOKUP($A211,INDIRECT(Adrese!D$2),3,FALSE)</f>
        <v>120</v>
      </c>
      <c r="N211">
        <f ca="1">+VLOOKUP($A211,INDIRECT(Adrese!E$2),3,FALSE)</f>
        <v>119</v>
      </c>
      <c r="O211">
        <f ca="1">+VLOOKUP($A211,INDIRECT(Adrese!F$2),3,FALSE)</f>
        <v>134</v>
      </c>
      <c r="P211">
        <f t="shared" ca="1" si="62"/>
        <v>626</v>
      </c>
      <c r="Q211" s="4">
        <f t="shared" ca="1" si="55"/>
        <v>125.2</v>
      </c>
      <c r="R211" s="4"/>
      <c r="T211" t="s">
        <v>258</v>
      </c>
      <c r="U211">
        <f ca="1">+VLOOKUP($T211,INDIRECT(Adrese!B$2),4,FALSE)</f>
        <v>90492</v>
      </c>
      <c r="V211">
        <f ca="1">+VLOOKUP($T211,INDIRECT(Adrese!C$2),4,FALSE)</f>
        <v>91235</v>
      </c>
      <c r="W211">
        <f ca="1">+VLOOKUP($T211,INDIRECT(Adrese!D$2),4,FALSE)</f>
        <v>89882</v>
      </c>
      <c r="X211">
        <f ca="1">+VLOOKUP($T211,INDIRECT(Adrese!E$2),4,FALSE)</f>
        <v>90457</v>
      </c>
      <c r="Y211">
        <f ca="1">+VLOOKUP($T211,INDIRECT(Adrese!F$2),4,FALSE)</f>
        <v>91881</v>
      </c>
      <c r="Z211">
        <f t="shared" ca="1" si="63"/>
        <v>453947</v>
      </c>
      <c r="AA211" s="4">
        <f t="shared" ca="1" si="56"/>
        <v>90789.4</v>
      </c>
      <c r="AC211" t="s">
        <v>258</v>
      </c>
      <c r="AD211">
        <f ca="1">+VLOOKUP($A211,INDIRECT(Adrese!B$2),5,FALSE)</f>
        <v>14485</v>
      </c>
      <c r="AE211">
        <f ca="1">+VLOOKUP($A211,INDIRECT(Adrese!C$2),5,FALSE)</f>
        <v>14482</v>
      </c>
      <c r="AF211">
        <f ca="1">+VLOOKUP($A211,INDIRECT(Adrese!D$2),5,FALSE)</f>
        <v>14397</v>
      </c>
      <c r="AG211">
        <f ca="1">+VLOOKUP($A211,INDIRECT(Adrese!E$2),5,FALSE)</f>
        <v>14484</v>
      </c>
      <c r="AH211">
        <f ca="1">+VLOOKUP($A211,INDIRECT(Adrese!F$2),5,FALSE)</f>
        <v>14416</v>
      </c>
      <c r="AI211" s="4">
        <f t="shared" ca="1" si="57"/>
        <v>14452.8</v>
      </c>
      <c r="AJ211" s="4"/>
      <c r="AK211" s="4"/>
      <c r="AM211" t="s">
        <v>258</v>
      </c>
      <c r="AN211" s="4">
        <f ca="1">+VLOOKUP($A211,INDIRECT(Adrese!B$2),6,FALSE)</f>
        <v>0.3190486725663717</v>
      </c>
      <c r="AO211" s="4">
        <f ca="1">+VLOOKUP($A211,INDIRECT(Adrese!C$2),6,FALSE)</f>
        <v>0.31911504424778758</v>
      </c>
      <c r="AP211" s="4">
        <f ca="1">+VLOOKUP($A211,INDIRECT(Adrese!D$2),6,FALSE)</f>
        <v>0.31688053097345131</v>
      </c>
      <c r="AQ211" s="4">
        <f ca="1">+VLOOKUP($A211,INDIRECT(Adrese!E$2),6,FALSE)</f>
        <v>0.31878318584070803</v>
      </c>
      <c r="AR211" s="4">
        <f ca="1">+VLOOKUP($A211,INDIRECT(Adrese!F$2),6,FALSE)</f>
        <v>0.31734513274336279</v>
      </c>
      <c r="AS211" s="4" t="str">
        <f t="shared" ca="1" si="64"/>
        <v>0.32 (0.00)</v>
      </c>
      <c r="AT211" s="4">
        <f t="shared" ca="1" si="58"/>
        <v>0.31823451327433627</v>
      </c>
      <c r="AU211" s="4">
        <f t="shared" ca="1" si="65"/>
        <v>1.0444493205857476E-3</v>
      </c>
      <c r="AW211" t="s">
        <v>258</v>
      </c>
      <c r="AX211" s="4">
        <f ca="1">+VLOOKUP($A211,INDIRECT(Adrese!B$2),7,FALSE)</f>
        <v>0.44247787610619471</v>
      </c>
      <c r="AY211" s="4">
        <f ca="1">+VLOOKUP($A211,INDIRECT(Adrese!C$2),7,FALSE)</f>
        <v>0.43805309734513281</v>
      </c>
      <c r="AZ211" s="4">
        <f ca="1">+VLOOKUP($A211,INDIRECT(Adrese!D$2),7,FALSE)</f>
        <v>0.46902654867256638</v>
      </c>
      <c r="BA211" s="4">
        <f ca="1">+VLOOKUP($A211,INDIRECT(Adrese!E$2),7,FALSE)</f>
        <v>0.47345132743362828</v>
      </c>
      <c r="BB211" s="4">
        <f ca="1">+VLOOKUP($A211,INDIRECT(Adrese!F$2),7,FALSE)</f>
        <v>0.40707964601769908</v>
      </c>
      <c r="BC211" s="4" t="str">
        <f t="shared" ca="1" si="66"/>
        <v>0.45 (0.03)</v>
      </c>
      <c r="BD211">
        <f t="shared" ca="1" si="59"/>
        <v>0.44601769911504424</v>
      </c>
      <c r="BE211" s="4">
        <f t="shared" ca="1" si="67"/>
        <v>2.6805542001523821E-2</v>
      </c>
      <c r="BG211" t="s">
        <v>258</v>
      </c>
      <c r="BH211" s="4">
        <f ca="1">+VLOOKUP($BG211,INDIRECT(Adrese!B$2),8,FALSE)</f>
        <v>4.3414110535765722E-2</v>
      </c>
      <c r="BI211" s="4">
        <f ca="1">+VLOOKUP($BG211,INDIRECT(Adrese!C$2),8,FALSE)</f>
        <v>4.3674255197758798E-2</v>
      </c>
      <c r="BJ211" s="4">
        <f ca="1">+VLOOKUP($BG211,INDIRECT(Adrese!D$2),8,FALSE)</f>
        <v>4.3346069264739662E-2</v>
      </c>
      <c r="BK211" s="4">
        <f ca="1">+VLOOKUP($BG211,INDIRECT(Adrese!E$2),8,FALSE)</f>
        <v>4.3467599955426588E-2</v>
      </c>
      <c r="BL211" s="4">
        <f ca="1">+VLOOKUP($BG211,INDIRECT(Adrese!F$2),8,FALSE)</f>
        <v>4.3395978555875542E-2</v>
      </c>
      <c r="BM211" s="4" t="str">
        <f t="shared" ca="1" si="68"/>
        <v>0.04 (0.00)</v>
      </c>
      <c r="BN211" s="4">
        <f t="shared" ca="1" si="60"/>
        <v>4.3459602701913264E-2</v>
      </c>
      <c r="BO211" s="4">
        <f t="shared" ca="1" si="69"/>
        <v>1.2761961108382835E-4</v>
      </c>
      <c r="BQ211" t="s">
        <v>258</v>
      </c>
      <c r="BR211" s="4">
        <f ca="1">+VLOOKUP($BG211,INDIRECT(Adrese!B$2),9,FALSE)</f>
        <v>6.6931200563740828E-2</v>
      </c>
      <c r="BS211" s="4">
        <f ca="1">+VLOOKUP($BG211,INDIRECT(Adrese!C$2),9,FALSE)</f>
        <v>6.8915154146766716E-2</v>
      </c>
      <c r="BT211" s="4">
        <f ca="1">+VLOOKUP($BG211,INDIRECT(Adrese!D$2),9,FALSE)</f>
        <v>6.7654835644679806E-2</v>
      </c>
      <c r="BU211" s="4">
        <f ca="1">+VLOOKUP($BG211,INDIRECT(Adrese!E$2),9,FALSE)</f>
        <v>6.7033994273589317E-2</v>
      </c>
      <c r="BV211" s="4">
        <f ca="1">+VLOOKUP($BG211,INDIRECT(Adrese!F$2),9,FALSE)</f>
        <v>6.8322818420835679E-2</v>
      </c>
      <c r="BW211" s="4" t="str">
        <f t="shared" ca="1" si="70"/>
        <v>0.07 (0.00)</v>
      </c>
      <c r="BX211" s="4">
        <f t="shared" ca="1" si="61"/>
        <v>6.7771600609922461E-2</v>
      </c>
      <c r="BY211" s="4">
        <f t="shared" ca="1" si="71"/>
        <v>8.4786867627392292E-4</v>
      </c>
    </row>
    <row r="212" spans="1:77" x14ac:dyDescent="0.25">
      <c r="A212" t="s">
        <v>259</v>
      </c>
      <c r="B212" s="11">
        <f ca="1">+VLOOKUP($A212,INDIRECT(Adrese!B$2),2,FALSE)</f>
        <v>124</v>
      </c>
      <c r="C212" s="11">
        <f ca="1">+VLOOKUP($A212,INDIRECT(Adrese!C$2),2,FALSE)</f>
        <v>81</v>
      </c>
      <c r="D212" s="11">
        <f ca="1">+VLOOKUP($A212,INDIRECT(Adrese!D$2),2,FALSE)</f>
        <v>91</v>
      </c>
      <c r="E212" s="11">
        <f ca="1">+VLOOKUP($A212,INDIRECT(Adrese!E$2),2,FALSE)</f>
        <v>104</v>
      </c>
      <c r="F212" s="11">
        <f ca="1">+VLOOKUP($A212,INDIRECT(Adrese!F$2),2,FALSE)</f>
        <v>76</v>
      </c>
      <c r="G212" s="4">
        <f t="shared" ref="G212:G229" ca="1" si="72">AVERAGE(B212:F212)</f>
        <v>95.2</v>
      </c>
      <c r="J212" t="s">
        <v>259</v>
      </c>
      <c r="K212">
        <f ca="1">+VLOOKUP($A212,INDIRECT(Adrese!B$2),3,FALSE)</f>
        <v>198</v>
      </c>
      <c r="L212">
        <f ca="1">+VLOOKUP($A212,INDIRECT(Adrese!C$2),3,FALSE)</f>
        <v>195</v>
      </c>
      <c r="M212">
        <f ca="1">+VLOOKUP($A212,INDIRECT(Adrese!D$2),3,FALSE)</f>
        <v>195</v>
      </c>
      <c r="N212">
        <f ca="1">+VLOOKUP($A212,INDIRECT(Adrese!E$2),3,FALSE)</f>
        <v>199</v>
      </c>
      <c r="O212">
        <f ca="1">+VLOOKUP($A212,INDIRECT(Adrese!F$2),3,FALSE)</f>
        <v>198</v>
      </c>
      <c r="P212">
        <f t="shared" ca="1" si="62"/>
        <v>985</v>
      </c>
      <c r="Q212" s="4">
        <f t="shared" ref="Q212:Q229" ca="1" si="73">AVERAGE(K212:O212)</f>
        <v>197</v>
      </c>
      <c r="R212" s="4"/>
      <c r="T212" t="s">
        <v>259</v>
      </c>
      <c r="U212">
        <f ca="1">+VLOOKUP($T212,INDIRECT(Adrese!B$2),4,FALSE)</f>
        <v>94541</v>
      </c>
      <c r="V212">
        <f ca="1">+VLOOKUP($T212,INDIRECT(Adrese!C$2),4,FALSE)</f>
        <v>96054</v>
      </c>
      <c r="W212">
        <f ca="1">+VLOOKUP($T212,INDIRECT(Adrese!D$2),4,FALSE)</f>
        <v>96080</v>
      </c>
      <c r="X212">
        <f ca="1">+VLOOKUP($T212,INDIRECT(Adrese!E$2),4,FALSE)</f>
        <v>95441</v>
      </c>
      <c r="Y212">
        <f ca="1">+VLOOKUP($T212,INDIRECT(Adrese!F$2),4,FALSE)</f>
        <v>96610</v>
      </c>
      <c r="Z212">
        <f t="shared" ca="1" si="63"/>
        <v>478726</v>
      </c>
      <c r="AA212" s="4">
        <f t="shared" ref="AA212:AA229" ca="1" si="74">AVERAGE(U212:Y212)</f>
        <v>95745.2</v>
      </c>
      <c r="AC212" t="s">
        <v>259</v>
      </c>
      <c r="AD212">
        <f ca="1">+VLOOKUP($A212,INDIRECT(Adrese!B$2),5,FALSE)</f>
        <v>4755</v>
      </c>
      <c r="AE212">
        <f ca="1">+VLOOKUP($A212,INDIRECT(Adrese!C$2),5,FALSE)</f>
        <v>4780</v>
      </c>
      <c r="AF212">
        <f ca="1">+VLOOKUP($A212,INDIRECT(Adrese!D$2),5,FALSE)</f>
        <v>4846</v>
      </c>
      <c r="AG212">
        <f ca="1">+VLOOKUP($A212,INDIRECT(Adrese!E$2),5,FALSE)</f>
        <v>4791</v>
      </c>
      <c r="AH212">
        <f ca="1">+VLOOKUP($A212,INDIRECT(Adrese!F$2),5,FALSE)</f>
        <v>4706</v>
      </c>
      <c r="AI212" s="4">
        <f t="shared" ref="AI212:AI229" ca="1" si="75">AVERAGE(AD212:AH212)</f>
        <v>4775.6000000000004</v>
      </c>
      <c r="AJ212" s="4"/>
      <c r="AK212" s="4"/>
      <c r="AM212" t="s">
        <v>259</v>
      </c>
      <c r="AN212" s="4">
        <f ca="1">+VLOOKUP($A212,INDIRECT(Adrese!B$2),6,FALSE)</f>
        <v>0.104712389380531</v>
      </c>
      <c r="AO212" s="4">
        <f ca="1">+VLOOKUP($A212,INDIRECT(Adrese!C$2),6,FALSE)</f>
        <v>0.1053761061946903</v>
      </c>
      <c r="AP212" s="4">
        <f ca="1">+VLOOKUP($A212,INDIRECT(Adrese!D$2),6,FALSE)</f>
        <v>0.10668141592920349</v>
      </c>
      <c r="AQ212" s="4">
        <f ca="1">+VLOOKUP($A212,INDIRECT(Adrese!E$2),6,FALSE)</f>
        <v>0.1055530973451327</v>
      </c>
      <c r="AR212" s="4">
        <f ca="1">+VLOOKUP($A212,INDIRECT(Adrese!F$2),6,FALSE)</f>
        <v>0.103716814159292</v>
      </c>
      <c r="AS212" s="4" t="str">
        <f t="shared" ca="1" si="64"/>
        <v>0.11 (0.00)</v>
      </c>
      <c r="AT212" s="4">
        <f t="shared" ref="AT212:AT229" ca="1" si="76">AVERAGE(AN212:AR212)</f>
        <v>0.10520796460176988</v>
      </c>
      <c r="AU212" s="4">
        <f t="shared" ca="1" si="65"/>
        <v>1.0940259894233297E-3</v>
      </c>
      <c r="AW212" t="s">
        <v>259</v>
      </c>
      <c r="AX212" s="4">
        <f ca="1">+VLOOKUP($A212,INDIRECT(Adrese!B$2),7,FALSE)</f>
        <v>0.1238938053097345</v>
      </c>
      <c r="AY212" s="4">
        <f ca="1">+VLOOKUP($A212,INDIRECT(Adrese!C$2),7,FALSE)</f>
        <v>0.13716814159292029</v>
      </c>
      <c r="AZ212" s="4">
        <f ca="1">+VLOOKUP($A212,INDIRECT(Adrese!D$2),7,FALSE)</f>
        <v>0.13716814159292029</v>
      </c>
      <c r="BA212" s="4">
        <f ca="1">+VLOOKUP($A212,INDIRECT(Adrese!E$2),7,FALSE)</f>
        <v>0.1194690265486726</v>
      </c>
      <c r="BB212" s="4">
        <f ca="1">+VLOOKUP($A212,INDIRECT(Adrese!F$2),7,FALSE)</f>
        <v>0.1238938053097345</v>
      </c>
      <c r="BC212" s="4" t="str">
        <f t="shared" ca="1" si="66"/>
        <v>0.13 (0.01)</v>
      </c>
      <c r="BD212">
        <f t="shared" ref="BD212:BD229" ca="1" si="77">AVERAGE(AX212:BB212)</f>
        <v>0.12831858407079644</v>
      </c>
      <c r="BE212" s="4">
        <f t="shared" ca="1" si="67"/>
        <v>8.2780030680839022E-3</v>
      </c>
      <c r="BG212" t="s">
        <v>259</v>
      </c>
      <c r="BH212" s="4">
        <f ca="1">+VLOOKUP($BG212,INDIRECT(Adrese!B$2),8,FALSE)</f>
        <v>1.3416514521552601E-2</v>
      </c>
      <c r="BI212" s="4">
        <f ca="1">+VLOOKUP($BG212,INDIRECT(Adrese!C$2),8,FALSE)</f>
        <v>1.350176867938345E-2</v>
      </c>
      <c r="BJ212" s="4">
        <f ca="1">+VLOOKUP($BG212,INDIRECT(Adrese!D$2),8,FALSE)</f>
        <v>1.386276129616021E-2</v>
      </c>
      <c r="BK212" s="4">
        <f ca="1">+VLOOKUP($BG212,INDIRECT(Adrese!E$2),8,FALSE)</f>
        <v>1.350704731848045E-2</v>
      </c>
      <c r="BL212" s="4">
        <f ca="1">+VLOOKUP($BG212,INDIRECT(Adrese!F$2),8,FALSE)</f>
        <v>1.3439376363029099E-2</v>
      </c>
      <c r="BM212" s="4" t="str">
        <f t="shared" ca="1" si="68"/>
        <v>0.01 (0.00)</v>
      </c>
      <c r="BN212" s="4">
        <f t="shared" ref="BN212:BN229" ca="1" si="78">AVERAGE(BH212:BL212)</f>
        <v>1.3545493635721162E-2</v>
      </c>
      <c r="BO212" s="4">
        <f t="shared" ca="1" si="69"/>
        <v>1.816213416230896E-4</v>
      </c>
      <c r="BQ212" t="s">
        <v>259</v>
      </c>
      <c r="BR212" s="4">
        <f ca="1">+VLOOKUP($BG212,INDIRECT(Adrese!B$2),9,FALSE)</f>
        <v>9.4124920046891519E-2</v>
      </c>
      <c r="BS212" s="4">
        <f ca="1">+VLOOKUP($BG212,INDIRECT(Adrese!C$2),9,FALSE)</f>
        <v>9.4826087505950923E-2</v>
      </c>
      <c r="BT212" s="4">
        <f ca="1">+VLOOKUP($BG212,INDIRECT(Adrese!D$2),9,FALSE)</f>
        <v>9.6605183418642757E-2</v>
      </c>
      <c r="BU212" s="4">
        <f ca="1">+VLOOKUP($BG212,INDIRECT(Adrese!E$2),9,FALSE)</f>
        <v>9.4799700815223764E-2</v>
      </c>
      <c r="BV212" s="4">
        <f ca="1">+VLOOKUP($BG212,INDIRECT(Adrese!F$2),9,FALSE)</f>
        <v>9.6029958217822592E-2</v>
      </c>
      <c r="BW212" s="4" t="str">
        <f t="shared" ca="1" si="70"/>
        <v>0.10 (0.00)</v>
      </c>
      <c r="BX212" s="4">
        <f t="shared" ref="BX212:BX229" ca="1" si="79">AVERAGE(BR212:BV212)</f>
        <v>9.5277170000906325E-2</v>
      </c>
      <c r="BY212" s="4">
        <f t="shared" ca="1" si="71"/>
        <v>1.0111184320190502E-3</v>
      </c>
    </row>
    <row r="213" spans="1:77" x14ac:dyDescent="0.25">
      <c r="A213" t="s">
        <v>260</v>
      </c>
      <c r="B213" s="11">
        <f ca="1">+VLOOKUP($A213,INDIRECT(Adrese!B$2),2,FALSE)</f>
        <v>197</v>
      </c>
      <c r="C213" s="11">
        <f ca="1">+VLOOKUP($A213,INDIRECT(Adrese!C$2),2,FALSE)</f>
        <v>223</v>
      </c>
      <c r="D213" s="11">
        <f ca="1">+VLOOKUP($A213,INDIRECT(Adrese!D$2),2,FALSE)</f>
        <v>224</v>
      </c>
      <c r="E213" s="11">
        <f ca="1">+VLOOKUP($A213,INDIRECT(Adrese!E$2),2,FALSE)</f>
        <v>222</v>
      </c>
      <c r="F213" s="11">
        <f ca="1">+VLOOKUP($A213,INDIRECT(Adrese!F$2),2,FALSE)</f>
        <v>210</v>
      </c>
      <c r="G213" s="4">
        <f t="shared" ca="1" si="72"/>
        <v>215.2</v>
      </c>
      <c r="J213" t="s">
        <v>260</v>
      </c>
      <c r="K213">
        <f ca="1">+VLOOKUP($A213,INDIRECT(Adrese!B$2),3,FALSE)</f>
        <v>79</v>
      </c>
      <c r="L213">
        <f ca="1">+VLOOKUP($A213,INDIRECT(Adrese!C$2),3,FALSE)</f>
        <v>78</v>
      </c>
      <c r="M213">
        <f ca="1">+VLOOKUP($A213,INDIRECT(Adrese!D$2),3,FALSE)</f>
        <v>80</v>
      </c>
      <c r="N213">
        <f ca="1">+VLOOKUP($A213,INDIRECT(Adrese!E$2),3,FALSE)</f>
        <v>78</v>
      </c>
      <c r="O213">
        <f ca="1">+VLOOKUP($A213,INDIRECT(Adrese!F$2),3,FALSE)</f>
        <v>77</v>
      </c>
      <c r="P213">
        <f t="shared" ca="1" si="62"/>
        <v>392</v>
      </c>
      <c r="Q213" s="4">
        <f t="shared" ca="1" si="73"/>
        <v>78.400000000000006</v>
      </c>
      <c r="R213" s="4"/>
      <c r="T213" t="s">
        <v>260</v>
      </c>
      <c r="U213">
        <f ca="1">+VLOOKUP($T213,INDIRECT(Adrese!B$2),4,FALSE)</f>
        <v>88620</v>
      </c>
      <c r="V213">
        <f ca="1">+VLOOKUP($T213,INDIRECT(Adrese!C$2),4,FALSE)</f>
        <v>86519</v>
      </c>
      <c r="W213">
        <f ca="1">+VLOOKUP($T213,INDIRECT(Adrese!D$2),4,FALSE)</f>
        <v>86496</v>
      </c>
      <c r="X213">
        <f ca="1">+VLOOKUP($T213,INDIRECT(Adrese!E$2),4,FALSE)</f>
        <v>86393</v>
      </c>
      <c r="Y213">
        <f ca="1">+VLOOKUP($T213,INDIRECT(Adrese!F$2),4,FALSE)</f>
        <v>87539</v>
      </c>
      <c r="Z213">
        <f t="shared" ca="1" si="63"/>
        <v>435567</v>
      </c>
      <c r="AA213" s="4">
        <f t="shared" ca="1" si="74"/>
        <v>87113.4</v>
      </c>
      <c r="AC213" t="s">
        <v>260</v>
      </c>
      <c r="AD213">
        <f ca="1">+VLOOKUP($A213,INDIRECT(Adrese!B$2),5,FALSE)</f>
        <v>25258</v>
      </c>
      <c r="AE213">
        <f ca="1">+VLOOKUP($A213,INDIRECT(Adrese!C$2),5,FALSE)</f>
        <v>25649</v>
      </c>
      <c r="AF213">
        <f ca="1">+VLOOKUP($A213,INDIRECT(Adrese!D$2),5,FALSE)</f>
        <v>25715</v>
      </c>
      <c r="AG213">
        <f ca="1">+VLOOKUP($A213,INDIRECT(Adrese!E$2),5,FALSE)</f>
        <v>25689</v>
      </c>
      <c r="AH213">
        <f ca="1">+VLOOKUP($A213,INDIRECT(Adrese!F$2),5,FALSE)</f>
        <v>25536</v>
      </c>
      <c r="AI213" s="4">
        <f t="shared" ca="1" si="75"/>
        <v>25569.4</v>
      </c>
      <c r="AJ213" s="4"/>
      <c r="AK213" s="4"/>
      <c r="AM213" t="s">
        <v>260</v>
      </c>
      <c r="AN213" s="4">
        <f ca="1">+VLOOKUP($A213,INDIRECT(Adrese!B$2),6,FALSE)</f>
        <v>0.55663716814159292</v>
      </c>
      <c r="AO213" s="4">
        <f ca="1">+VLOOKUP($A213,INDIRECT(Adrese!C$2),6,FALSE)</f>
        <v>0.56522123893805309</v>
      </c>
      <c r="AP213" s="4">
        <f ca="1">+VLOOKUP($A213,INDIRECT(Adrese!D$2),6,FALSE)</f>
        <v>0.56676991150442479</v>
      </c>
      <c r="AQ213" s="4">
        <f ca="1">+VLOOKUP($A213,INDIRECT(Adrese!E$2),6,FALSE)</f>
        <v>0.56610619469026546</v>
      </c>
      <c r="AR213" s="4">
        <f ca="1">+VLOOKUP($A213,INDIRECT(Adrese!F$2),6,FALSE)</f>
        <v>0.56274336283185844</v>
      </c>
      <c r="AS213" s="4" t="str">
        <f t="shared" ca="1" si="64"/>
        <v>0.56 (0.00)</v>
      </c>
      <c r="AT213" s="4">
        <f t="shared" ca="1" si="76"/>
        <v>0.56349557522123894</v>
      </c>
      <c r="AU213" s="4">
        <f t="shared" ca="1" si="65"/>
        <v>4.1266844597040823E-3</v>
      </c>
      <c r="AW213" t="s">
        <v>260</v>
      </c>
      <c r="AX213" s="4">
        <f ca="1">+VLOOKUP($A213,INDIRECT(Adrese!B$2),7,FALSE)</f>
        <v>0.65044247787610621</v>
      </c>
      <c r="AY213" s="4">
        <f ca="1">+VLOOKUP($A213,INDIRECT(Adrese!C$2),7,FALSE)</f>
        <v>0.65486725663716816</v>
      </c>
      <c r="AZ213" s="4">
        <f ca="1">+VLOOKUP($A213,INDIRECT(Adrese!D$2),7,FALSE)</f>
        <v>0.64601769911504425</v>
      </c>
      <c r="BA213" s="4">
        <f ca="1">+VLOOKUP($A213,INDIRECT(Adrese!E$2),7,FALSE)</f>
        <v>0.65486725663716816</v>
      </c>
      <c r="BB213" s="4">
        <f ca="1">+VLOOKUP($A213,INDIRECT(Adrese!F$2),7,FALSE)</f>
        <v>0.65929203539823011</v>
      </c>
      <c r="BC213" s="4" t="str">
        <f t="shared" ca="1" si="66"/>
        <v>0.65 (0.01)</v>
      </c>
      <c r="BD213">
        <f t="shared" ca="1" si="77"/>
        <v>0.65309734513274331</v>
      </c>
      <c r="BE213" s="4">
        <f t="shared" ca="1" si="67"/>
        <v>5.0450240048634503E-3</v>
      </c>
      <c r="BG213" t="s">
        <v>260</v>
      </c>
      <c r="BH213" s="4">
        <f ca="1">+VLOOKUP($BG213,INDIRECT(Adrese!B$2),8,FALSE)</f>
        <v>6.2200601713612941E-2</v>
      </c>
      <c r="BI213" s="4">
        <f ca="1">+VLOOKUP($BG213,INDIRECT(Adrese!C$2),8,FALSE)</f>
        <v>6.3417721330209259E-2</v>
      </c>
      <c r="BJ213" s="4">
        <f ca="1">+VLOOKUP($BG213,INDIRECT(Adrese!D$2),8,FALSE)</f>
        <v>6.3651035676261278E-2</v>
      </c>
      <c r="BK213" s="4">
        <f ca="1">+VLOOKUP($BG213,INDIRECT(Adrese!E$2),8,FALSE)</f>
        <v>6.3678780919700237E-2</v>
      </c>
      <c r="BL213" s="4">
        <f ca="1">+VLOOKUP($BG213,INDIRECT(Adrese!F$2),8,FALSE)</f>
        <v>6.3179161717835983E-2</v>
      </c>
      <c r="BM213" s="4" t="str">
        <f t="shared" ca="1" si="68"/>
        <v>0.06 (0.00)</v>
      </c>
      <c r="BN213" s="4">
        <f t="shared" ca="1" si="78"/>
        <v>6.3225460271523953E-2</v>
      </c>
      <c r="BO213" s="4">
        <f t="shared" ca="1" si="69"/>
        <v>6.0746542487291741E-4</v>
      </c>
      <c r="BQ213" t="s">
        <v>260</v>
      </c>
      <c r="BR213" s="4">
        <f ca="1">+VLOOKUP($BG213,INDIRECT(Adrese!B$2),9,FALSE)</f>
        <v>-6.6194276977191727E-2</v>
      </c>
      <c r="BS213" s="4">
        <f ca="1">+VLOOKUP($BG213,INDIRECT(Adrese!C$2),9,FALSE)</f>
        <v>-6.5428590010045959E-2</v>
      </c>
      <c r="BT213" s="4">
        <f ca="1">+VLOOKUP($BG213,INDIRECT(Adrese!D$2),9,FALSE)</f>
        <v>-6.6143139857532923E-2</v>
      </c>
      <c r="BU213" s="4">
        <f ca="1">+VLOOKUP($BG213,INDIRECT(Adrese!E$2),9,FALSE)</f>
        <v>-6.4563764375457425E-2</v>
      </c>
      <c r="BV213" s="4">
        <f ca="1">+VLOOKUP($BG213,INDIRECT(Adrese!F$2),9,FALSE)</f>
        <v>-6.6293900204115699E-2</v>
      </c>
      <c r="BW213" s="4" t="str">
        <f t="shared" ca="1" si="70"/>
        <v>-0.07 (0.00)</v>
      </c>
      <c r="BX213" s="4">
        <f t="shared" ca="1" si="79"/>
        <v>-6.5724734284868747E-2</v>
      </c>
      <c r="BY213" s="4">
        <f t="shared" ca="1" si="71"/>
        <v>7.340020382893066E-4</v>
      </c>
    </row>
    <row r="214" spans="1:77" x14ac:dyDescent="0.25">
      <c r="A214" t="s">
        <v>261</v>
      </c>
      <c r="B214" s="11">
        <f ca="1">+VLOOKUP($A214,INDIRECT(Adrese!B$2),2,FALSE)</f>
        <v>117</v>
      </c>
      <c r="C214" s="11">
        <f ca="1">+VLOOKUP($A214,INDIRECT(Adrese!C$2),2,FALSE)</f>
        <v>116</v>
      </c>
      <c r="D214" s="11">
        <f ca="1">+VLOOKUP($A214,INDIRECT(Adrese!D$2),2,FALSE)</f>
        <v>139</v>
      </c>
      <c r="E214" s="11">
        <f ca="1">+VLOOKUP($A214,INDIRECT(Adrese!E$2),2,FALSE)</f>
        <v>136</v>
      </c>
      <c r="F214" s="11">
        <f ca="1">+VLOOKUP($A214,INDIRECT(Adrese!F$2),2,FALSE)</f>
        <v>135</v>
      </c>
      <c r="G214" s="4">
        <f t="shared" ca="1" si="72"/>
        <v>128.6</v>
      </c>
      <c r="J214" t="s">
        <v>261</v>
      </c>
      <c r="K214">
        <f ca="1">+VLOOKUP($A214,INDIRECT(Adrese!B$2),3,FALSE)</f>
        <v>152</v>
      </c>
      <c r="L214">
        <f ca="1">+VLOOKUP($A214,INDIRECT(Adrese!C$2),3,FALSE)</f>
        <v>146</v>
      </c>
      <c r="M214">
        <f ca="1">+VLOOKUP($A214,INDIRECT(Adrese!D$2),3,FALSE)</f>
        <v>143</v>
      </c>
      <c r="N214">
        <f ca="1">+VLOOKUP($A214,INDIRECT(Adrese!E$2),3,FALSE)</f>
        <v>144</v>
      </c>
      <c r="O214">
        <f ca="1">+VLOOKUP($A214,INDIRECT(Adrese!F$2),3,FALSE)</f>
        <v>149</v>
      </c>
      <c r="P214">
        <f t="shared" ca="1" si="62"/>
        <v>734</v>
      </c>
      <c r="Q214" s="4">
        <f t="shared" ca="1" si="73"/>
        <v>146.80000000000001</v>
      </c>
      <c r="R214" s="4"/>
      <c r="T214" t="s">
        <v>261</v>
      </c>
      <c r="U214">
        <f ca="1">+VLOOKUP($T214,INDIRECT(Adrese!B$2),4,FALSE)</f>
        <v>94656</v>
      </c>
      <c r="V214">
        <f ca="1">+VLOOKUP($T214,INDIRECT(Adrese!C$2),4,FALSE)</f>
        <v>94833</v>
      </c>
      <c r="W214">
        <f ca="1">+VLOOKUP($T214,INDIRECT(Adrese!D$2),4,FALSE)</f>
        <v>94045</v>
      </c>
      <c r="X214">
        <f ca="1">+VLOOKUP($T214,INDIRECT(Adrese!E$2),4,FALSE)</f>
        <v>94267</v>
      </c>
      <c r="Y214">
        <f ca="1">+VLOOKUP($T214,INDIRECT(Adrese!F$2),4,FALSE)</f>
        <v>94251</v>
      </c>
      <c r="Z214">
        <f t="shared" ca="1" si="63"/>
        <v>472052</v>
      </c>
      <c r="AA214" s="4">
        <f t="shared" ca="1" si="74"/>
        <v>94410.4</v>
      </c>
      <c r="AC214" t="s">
        <v>261</v>
      </c>
      <c r="AD214">
        <f ca="1">+VLOOKUP($A214,INDIRECT(Adrese!B$2),5,FALSE)</f>
        <v>8880</v>
      </c>
      <c r="AE214">
        <f ca="1">+VLOOKUP($A214,INDIRECT(Adrese!C$2),5,FALSE)</f>
        <v>8887</v>
      </c>
      <c r="AF214">
        <f ca="1">+VLOOKUP($A214,INDIRECT(Adrese!D$2),5,FALSE)</f>
        <v>8894</v>
      </c>
      <c r="AG214">
        <f ca="1">+VLOOKUP($A214,INDIRECT(Adrese!E$2),5,FALSE)</f>
        <v>8855</v>
      </c>
      <c r="AH214">
        <f ca="1">+VLOOKUP($A214,INDIRECT(Adrese!F$2),5,FALSE)</f>
        <v>8869</v>
      </c>
      <c r="AI214" s="4">
        <f t="shared" ca="1" si="75"/>
        <v>8877</v>
      </c>
      <c r="AJ214" s="4"/>
      <c r="AK214" s="4"/>
      <c r="AM214" t="s">
        <v>261</v>
      </c>
      <c r="AN214" s="4">
        <f ca="1">+VLOOKUP($A214,INDIRECT(Adrese!B$2),6,FALSE)</f>
        <v>0.19535398230088499</v>
      </c>
      <c r="AO214" s="4">
        <f ca="1">+VLOOKUP($A214,INDIRECT(Adrese!C$2),6,FALSE)</f>
        <v>0.19533185840707959</v>
      </c>
      <c r="AP214" s="4">
        <f ca="1">+VLOOKUP($A214,INDIRECT(Adrese!D$2),6,FALSE)</f>
        <v>0.19595132743362831</v>
      </c>
      <c r="AQ214" s="4">
        <f ca="1">+VLOOKUP($A214,INDIRECT(Adrese!E$2),6,FALSE)</f>
        <v>0.1948230088495575</v>
      </c>
      <c r="AR214" s="4">
        <f ca="1">+VLOOKUP($A214,INDIRECT(Adrese!F$2),6,FALSE)</f>
        <v>0.1952212389380531</v>
      </c>
      <c r="AS214" s="4" t="str">
        <f t="shared" ca="1" si="64"/>
        <v>0.20 (0.00)</v>
      </c>
      <c r="AT214" s="4">
        <f t="shared" ca="1" si="76"/>
        <v>0.1953362831858407</v>
      </c>
      <c r="AU214" s="4">
        <f t="shared" ca="1" si="65"/>
        <v>4.0475238952754675E-4</v>
      </c>
      <c r="AW214" t="s">
        <v>261</v>
      </c>
      <c r="AX214" s="4">
        <f ca="1">+VLOOKUP($A214,INDIRECT(Adrese!B$2),7,FALSE)</f>
        <v>0.32743362831858408</v>
      </c>
      <c r="AY214" s="4">
        <f ca="1">+VLOOKUP($A214,INDIRECT(Adrese!C$2),7,FALSE)</f>
        <v>0.35398230088495569</v>
      </c>
      <c r="AZ214" s="4">
        <f ca="1">+VLOOKUP($A214,INDIRECT(Adrese!D$2),7,FALSE)</f>
        <v>0.36725663716814161</v>
      </c>
      <c r="BA214" s="4">
        <f ca="1">+VLOOKUP($A214,INDIRECT(Adrese!E$2),7,FALSE)</f>
        <v>0.36283185840707971</v>
      </c>
      <c r="BB214" s="4">
        <f ca="1">+VLOOKUP($A214,INDIRECT(Adrese!F$2),7,FALSE)</f>
        <v>0.34070796460176989</v>
      </c>
      <c r="BC214" s="4" t="str">
        <f t="shared" ca="1" si="66"/>
        <v>0.35 (0.02)</v>
      </c>
      <c r="BD214">
        <f t="shared" ca="1" si="77"/>
        <v>0.35044247787610622</v>
      </c>
      <c r="BE214" s="4">
        <f t="shared" ca="1" si="67"/>
        <v>1.6377659755152003E-2</v>
      </c>
      <c r="BG214" t="s">
        <v>261</v>
      </c>
      <c r="BH214" s="4">
        <f ca="1">+VLOOKUP($BG214,INDIRECT(Adrese!B$2),8,FALSE)</f>
        <v>2.496625340950365E-2</v>
      </c>
      <c r="BI214" s="4">
        <f ca="1">+VLOOKUP($BG214,INDIRECT(Adrese!C$2),8,FALSE)</f>
        <v>2.5011560016387841E-2</v>
      </c>
      <c r="BJ214" s="4">
        <f ca="1">+VLOOKUP($BG214,INDIRECT(Adrese!D$2),8,FALSE)</f>
        <v>2.4797101123461979E-2</v>
      </c>
      <c r="BK214" s="4">
        <f ca="1">+VLOOKUP($BG214,INDIRECT(Adrese!E$2),8,FALSE)</f>
        <v>2.4632417165053589E-2</v>
      </c>
      <c r="BL214" s="4">
        <f ca="1">+VLOOKUP($BG214,INDIRECT(Adrese!F$2),8,FALSE)</f>
        <v>2.5002196422680589E-2</v>
      </c>
      <c r="BM214" s="4" t="str">
        <f t="shared" ca="1" si="68"/>
        <v>0.02 (0.00)</v>
      </c>
      <c r="BN214" s="4">
        <f t="shared" ca="1" si="78"/>
        <v>2.488190562741753E-2</v>
      </c>
      <c r="BO214" s="4">
        <f t="shared" ca="1" si="69"/>
        <v>1.6418813986628444E-4</v>
      </c>
      <c r="BQ214" t="s">
        <v>261</v>
      </c>
      <c r="BR214" s="4">
        <f ca="1">+VLOOKUP($BG214,INDIRECT(Adrese!B$2),9,FALSE)</f>
        <v>7.2878046935601543E-2</v>
      </c>
      <c r="BS214" s="4">
        <f ca="1">+VLOOKUP($BG214,INDIRECT(Adrese!C$2),9,FALSE)</f>
        <v>7.3725751859233635E-2</v>
      </c>
      <c r="BT214" s="4">
        <f ca="1">+VLOOKUP($BG214,INDIRECT(Adrese!D$2),9,FALSE)</f>
        <v>7.2455785133664269E-2</v>
      </c>
      <c r="BU214" s="4">
        <f ca="1">+VLOOKUP($BG214,INDIRECT(Adrese!E$2),9,FALSE)</f>
        <v>7.0561704564999536E-2</v>
      </c>
      <c r="BV214" s="4">
        <f ca="1">+VLOOKUP($BG214,INDIRECT(Adrese!F$2),9,FALSE)</f>
        <v>7.3416707204203804E-2</v>
      </c>
      <c r="BW214" s="4" t="str">
        <f t="shared" ca="1" si="70"/>
        <v>0.07 (0.00)</v>
      </c>
      <c r="BX214" s="4">
        <f t="shared" ca="1" si="79"/>
        <v>7.2607599139540555E-2</v>
      </c>
      <c r="BY214" s="4">
        <f t="shared" ca="1" si="71"/>
        <v>1.2436634872194092E-3</v>
      </c>
    </row>
    <row r="215" spans="1:77" x14ac:dyDescent="0.25">
      <c r="A215" t="s">
        <v>262</v>
      </c>
      <c r="B215" s="11">
        <f ca="1">+VLOOKUP($A215,INDIRECT(Adrese!B$2),2,FALSE)</f>
        <v>199</v>
      </c>
      <c r="C215" s="11">
        <f ca="1">+VLOOKUP($A215,INDIRECT(Adrese!C$2),2,FALSE)</f>
        <v>197</v>
      </c>
      <c r="D215" s="11">
        <f ca="1">+VLOOKUP($A215,INDIRECT(Adrese!D$2),2,FALSE)</f>
        <v>195</v>
      </c>
      <c r="E215" s="11">
        <f ca="1">+VLOOKUP($A215,INDIRECT(Adrese!E$2),2,FALSE)</f>
        <v>196</v>
      </c>
      <c r="F215" s="11">
        <f ca="1">+VLOOKUP($A215,INDIRECT(Adrese!F$2),2,FALSE)</f>
        <v>207</v>
      </c>
      <c r="G215" s="4">
        <f t="shared" ca="1" si="72"/>
        <v>198.8</v>
      </c>
      <c r="J215" t="s">
        <v>262</v>
      </c>
      <c r="K215">
        <f ca="1">+VLOOKUP($A215,INDIRECT(Adrese!B$2),3,FALSE)</f>
        <v>80</v>
      </c>
      <c r="L215">
        <f ca="1">+VLOOKUP($A215,INDIRECT(Adrese!C$2),3,FALSE)</f>
        <v>83</v>
      </c>
      <c r="M215">
        <f ca="1">+VLOOKUP($A215,INDIRECT(Adrese!D$2),3,FALSE)</f>
        <v>83</v>
      </c>
      <c r="N215">
        <f ca="1">+VLOOKUP($A215,INDIRECT(Adrese!E$2),3,FALSE)</f>
        <v>83</v>
      </c>
      <c r="O215">
        <f ca="1">+VLOOKUP($A215,INDIRECT(Adrese!F$2),3,FALSE)</f>
        <v>73</v>
      </c>
      <c r="P215">
        <f t="shared" ca="1" si="62"/>
        <v>402</v>
      </c>
      <c r="Q215" s="4">
        <f t="shared" ca="1" si="73"/>
        <v>80.400000000000006</v>
      </c>
      <c r="R215" s="4"/>
      <c r="T215" t="s">
        <v>262</v>
      </c>
      <c r="U215">
        <f ca="1">+VLOOKUP($T215,INDIRECT(Adrese!B$2),4,FALSE)</f>
        <v>88614</v>
      </c>
      <c r="V215">
        <f ca="1">+VLOOKUP($T215,INDIRECT(Adrese!C$2),4,FALSE)</f>
        <v>88930</v>
      </c>
      <c r="W215">
        <f ca="1">+VLOOKUP($T215,INDIRECT(Adrese!D$2),4,FALSE)</f>
        <v>89111</v>
      </c>
      <c r="X215">
        <f ca="1">+VLOOKUP($T215,INDIRECT(Adrese!E$2),4,FALSE)</f>
        <v>89160</v>
      </c>
      <c r="Y215">
        <f ca="1">+VLOOKUP($T215,INDIRECT(Adrese!F$2),4,FALSE)</f>
        <v>87866</v>
      </c>
      <c r="Z215">
        <f t="shared" ca="1" si="63"/>
        <v>443681</v>
      </c>
      <c r="AA215" s="4">
        <f t="shared" ca="1" si="74"/>
        <v>88736.2</v>
      </c>
      <c r="AC215" t="s">
        <v>262</v>
      </c>
      <c r="AD215">
        <f ca="1">+VLOOKUP($A215,INDIRECT(Adrese!B$2),5,FALSE)</f>
        <v>22785</v>
      </c>
      <c r="AE215">
        <f ca="1">+VLOOKUP($A215,INDIRECT(Adrese!C$2),5,FALSE)</f>
        <v>22615</v>
      </c>
      <c r="AF215">
        <f ca="1">+VLOOKUP($A215,INDIRECT(Adrese!D$2),5,FALSE)</f>
        <v>22732</v>
      </c>
      <c r="AG215">
        <f ca="1">+VLOOKUP($A215,INDIRECT(Adrese!E$2),5,FALSE)</f>
        <v>22631</v>
      </c>
      <c r="AH215">
        <f ca="1">+VLOOKUP($A215,INDIRECT(Adrese!F$2),5,FALSE)</f>
        <v>22782</v>
      </c>
      <c r="AI215" s="4">
        <f t="shared" ca="1" si="75"/>
        <v>22709</v>
      </c>
      <c r="AJ215" s="4"/>
      <c r="AK215" s="4"/>
      <c r="AM215" t="s">
        <v>262</v>
      </c>
      <c r="AN215" s="4">
        <f ca="1">+VLOOKUP($A215,INDIRECT(Adrese!B$2),6,FALSE)</f>
        <v>0.50196902654867259</v>
      </c>
      <c r="AO215" s="4">
        <f ca="1">+VLOOKUP($A215,INDIRECT(Adrese!C$2),6,FALSE)</f>
        <v>0.49825221238938061</v>
      </c>
      <c r="AP215" s="4">
        <f ca="1">+VLOOKUP($A215,INDIRECT(Adrese!D$2),6,FALSE)</f>
        <v>0.5007522123893805</v>
      </c>
      <c r="AQ215" s="4">
        <f ca="1">+VLOOKUP($A215,INDIRECT(Adrese!E$2),6,FALSE)</f>
        <v>0.49853982300884958</v>
      </c>
      <c r="AR215" s="4">
        <f ca="1">+VLOOKUP($A215,INDIRECT(Adrese!F$2),6,FALSE)</f>
        <v>0.50185840707964602</v>
      </c>
      <c r="AS215" s="4" t="str">
        <f t="shared" ca="1" si="64"/>
        <v>0.50 (0.00)</v>
      </c>
      <c r="AT215" s="4">
        <f t="shared" ca="1" si="76"/>
        <v>0.50027433628318585</v>
      </c>
      <c r="AU215" s="4">
        <f t="shared" ca="1" si="65"/>
        <v>1.7823539419649528E-3</v>
      </c>
      <c r="AW215" t="s">
        <v>262</v>
      </c>
      <c r="AX215" s="4">
        <f ca="1">+VLOOKUP($A215,INDIRECT(Adrese!B$2),7,FALSE)</f>
        <v>0.64601769911504425</v>
      </c>
      <c r="AY215" s="4">
        <f ca="1">+VLOOKUP($A215,INDIRECT(Adrese!C$2),7,FALSE)</f>
        <v>0.63274336283185839</v>
      </c>
      <c r="AZ215" s="4">
        <f ca="1">+VLOOKUP($A215,INDIRECT(Adrese!D$2),7,FALSE)</f>
        <v>0.63274336283185839</v>
      </c>
      <c r="BA215" s="4">
        <f ca="1">+VLOOKUP($A215,INDIRECT(Adrese!E$2),7,FALSE)</f>
        <v>0.63274336283185839</v>
      </c>
      <c r="BB215" s="4">
        <f ca="1">+VLOOKUP($A215,INDIRECT(Adrese!F$2),7,FALSE)</f>
        <v>0.67699115044247793</v>
      </c>
      <c r="BC215" s="4" t="str">
        <f t="shared" ca="1" si="66"/>
        <v>0.64 (0.02)</v>
      </c>
      <c r="BD215">
        <f t="shared" ca="1" si="77"/>
        <v>0.6442477876106194</v>
      </c>
      <c r="BE215" s="4">
        <f t="shared" ca="1" si="67"/>
        <v>1.9185383529804277E-2</v>
      </c>
      <c r="BG215" t="s">
        <v>262</v>
      </c>
      <c r="BH215" s="4">
        <f ca="1">+VLOOKUP($BG215,INDIRECT(Adrese!B$2),8,FALSE)</f>
        <v>6.3959722529161656E-2</v>
      </c>
      <c r="BI215" s="4">
        <f ca="1">+VLOOKUP($BG215,INDIRECT(Adrese!C$2),8,FALSE)</f>
        <v>6.3547803704365538E-2</v>
      </c>
      <c r="BJ215" s="4">
        <f ca="1">+VLOOKUP($BG215,INDIRECT(Adrese!D$2),8,FALSE)</f>
        <v>6.3722158788456162E-2</v>
      </c>
      <c r="BK215" s="4">
        <f ca="1">+VLOOKUP($BG215,INDIRECT(Adrese!E$2),8,FALSE)</f>
        <v>6.3467835092426081E-2</v>
      </c>
      <c r="BL215" s="4">
        <f ca="1">+VLOOKUP($BG215,INDIRECT(Adrese!F$2),8,FALSE)</f>
        <v>6.3996797843912698E-2</v>
      </c>
      <c r="BM215" s="4" t="str">
        <f t="shared" ca="1" si="68"/>
        <v>0.06 (0.00)</v>
      </c>
      <c r="BN215" s="4">
        <f t="shared" ca="1" si="78"/>
        <v>6.3738863591664432E-2</v>
      </c>
      <c r="BO215" s="4">
        <f t="shared" ca="1" si="69"/>
        <v>2.3745953715294341E-4</v>
      </c>
      <c r="BQ215" t="s">
        <v>262</v>
      </c>
      <c r="BR215" s="4">
        <f ca="1">+VLOOKUP($BG215,INDIRECT(Adrese!B$2),9,FALSE)</f>
        <v>-1.8851091180587491E-4</v>
      </c>
      <c r="BS215" s="4">
        <f ca="1">+VLOOKUP($BG215,INDIRECT(Adrese!C$2),9,FALSE)</f>
        <v>1.3356033826986741E-3</v>
      </c>
      <c r="BT215" s="4">
        <f ca="1">+VLOOKUP($BG215,INDIRECT(Adrese!D$2),9,FALSE)</f>
        <v>-2.9172488879470942E-4</v>
      </c>
      <c r="BU215" s="4">
        <f ca="1">+VLOOKUP($BG215,INDIRECT(Adrese!E$2),9,FALSE)</f>
        <v>6.2750549355569782E-4</v>
      </c>
      <c r="BV215" s="4">
        <f ca="1">+VLOOKUP($BG215,INDIRECT(Adrese!F$2),9,FALSE)</f>
        <v>5.3505428094911627E-4</v>
      </c>
      <c r="BW215" s="4" t="str">
        <f t="shared" ca="1" si="70"/>
        <v>0.00 (0.00)</v>
      </c>
      <c r="BX215" s="4">
        <f t="shared" ca="1" si="79"/>
        <v>4.0358547132058069E-4</v>
      </c>
      <c r="BY215" s="4">
        <f t="shared" ca="1" si="71"/>
        <v>6.6522857635319382E-4</v>
      </c>
    </row>
    <row r="216" spans="1:77" x14ac:dyDescent="0.25">
      <c r="A216" t="s">
        <v>263</v>
      </c>
      <c r="B216" s="11">
        <f ca="1">+VLOOKUP($A216,INDIRECT(Adrese!B$2),2,FALSE)</f>
        <v>158</v>
      </c>
      <c r="C216" s="11">
        <f ca="1">+VLOOKUP($A216,INDIRECT(Adrese!C$2),2,FALSE)</f>
        <v>156</v>
      </c>
      <c r="D216" s="11">
        <f ca="1">+VLOOKUP($A216,INDIRECT(Adrese!D$2),2,FALSE)</f>
        <v>162</v>
      </c>
      <c r="E216" s="11">
        <f ca="1">+VLOOKUP($A216,INDIRECT(Adrese!E$2),2,FALSE)</f>
        <v>160</v>
      </c>
      <c r="F216" s="11">
        <f ca="1">+VLOOKUP($A216,INDIRECT(Adrese!F$2),2,FALSE)</f>
        <v>170</v>
      </c>
      <c r="G216" s="4">
        <f t="shared" ca="1" si="72"/>
        <v>161.19999999999999</v>
      </c>
      <c r="J216" t="s">
        <v>263</v>
      </c>
      <c r="K216">
        <f ca="1">+VLOOKUP($A216,INDIRECT(Adrese!B$2),3,FALSE)</f>
        <v>160</v>
      </c>
      <c r="L216">
        <f ca="1">+VLOOKUP($A216,INDIRECT(Adrese!C$2),3,FALSE)</f>
        <v>169</v>
      </c>
      <c r="M216">
        <f ca="1">+VLOOKUP($A216,INDIRECT(Adrese!D$2),3,FALSE)</f>
        <v>160</v>
      </c>
      <c r="N216">
        <f ca="1">+VLOOKUP($A216,INDIRECT(Adrese!E$2),3,FALSE)</f>
        <v>160</v>
      </c>
      <c r="O216">
        <f ca="1">+VLOOKUP($A216,INDIRECT(Adrese!F$2),3,FALSE)</f>
        <v>159</v>
      </c>
      <c r="P216">
        <f t="shared" ca="1" si="62"/>
        <v>808</v>
      </c>
      <c r="Q216" s="4">
        <f t="shared" ca="1" si="73"/>
        <v>161.6</v>
      </c>
      <c r="R216" s="4"/>
      <c r="T216" t="s">
        <v>263</v>
      </c>
      <c r="U216">
        <f ca="1">+VLOOKUP($T216,INDIRECT(Adrese!B$2),4,FALSE)</f>
        <v>92879</v>
      </c>
      <c r="V216">
        <f ca="1">+VLOOKUP($T216,INDIRECT(Adrese!C$2),4,FALSE)</f>
        <v>93292</v>
      </c>
      <c r="W216">
        <f ca="1">+VLOOKUP($T216,INDIRECT(Adrese!D$2),4,FALSE)</f>
        <v>92648</v>
      </c>
      <c r="X216">
        <f ca="1">+VLOOKUP($T216,INDIRECT(Adrese!E$2),4,FALSE)</f>
        <v>92894</v>
      </c>
      <c r="Y216">
        <f ca="1">+VLOOKUP($T216,INDIRECT(Adrese!F$2),4,FALSE)</f>
        <v>92322</v>
      </c>
      <c r="Z216">
        <f t="shared" ca="1" si="63"/>
        <v>464035</v>
      </c>
      <c r="AA216" s="4">
        <f t="shared" ca="1" si="74"/>
        <v>92807</v>
      </c>
      <c r="AC216" t="s">
        <v>263</v>
      </c>
      <c r="AD216">
        <f ca="1">+VLOOKUP($A216,INDIRECT(Adrese!B$2),5,FALSE)</f>
        <v>10505</v>
      </c>
      <c r="AE216">
        <f ca="1">+VLOOKUP($A216,INDIRECT(Adrese!C$2),5,FALSE)</f>
        <v>10333</v>
      </c>
      <c r="AF216">
        <f ca="1">+VLOOKUP($A216,INDIRECT(Adrese!D$2),5,FALSE)</f>
        <v>10453</v>
      </c>
      <c r="AG216">
        <f ca="1">+VLOOKUP($A216,INDIRECT(Adrese!E$2),5,FALSE)</f>
        <v>10508</v>
      </c>
      <c r="AH216">
        <f ca="1">+VLOOKUP($A216,INDIRECT(Adrese!F$2),5,FALSE)</f>
        <v>10772</v>
      </c>
      <c r="AI216" s="4">
        <f t="shared" ca="1" si="75"/>
        <v>10514.2</v>
      </c>
      <c r="AJ216" s="4"/>
      <c r="AK216" s="4"/>
      <c r="AM216" t="s">
        <v>263</v>
      </c>
      <c r="AN216" s="4">
        <f ca="1">+VLOOKUP($A216,INDIRECT(Adrese!B$2),6,FALSE)</f>
        <v>0.2316592920353982</v>
      </c>
      <c r="AO216" s="4">
        <f ca="1">+VLOOKUP($A216,INDIRECT(Adrese!C$2),6,FALSE)</f>
        <v>0.22787610619469029</v>
      </c>
      <c r="AP216" s="4">
        <f ca="1">+VLOOKUP($A216,INDIRECT(Adrese!D$2),6,FALSE)</f>
        <v>0.23013274336283179</v>
      </c>
      <c r="AQ216" s="4">
        <f ca="1">+VLOOKUP($A216,INDIRECT(Adrese!E$2),6,FALSE)</f>
        <v>0.23181415929203539</v>
      </c>
      <c r="AR216" s="4">
        <f ca="1">+VLOOKUP($A216,INDIRECT(Adrese!F$2),6,FALSE)</f>
        <v>0.23736725663716821</v>
      </c>
      <c r="AS216" s="4" t="str">
        <f t="shared" ca="1" si="64"/>
        <v>0.23 (0.00)</v>
      </c>
      <c r="AT216" s="4">
        <f t="shared" ca="1" si="76"/>
        <v>0.23176991150442477</v>
      </c>
      <c r="AU216" s="4">
        <f t="shared" ca="1" si="65"/>
        <v>3.5066546159639904E-3</v>
      </c>
      <c r="AW216" t="s">
        <v>263</v>
      </c>
      <c r="AX216" s="4">
        <f ca="1">+VLOOKUP($A216,INDIRECT(Adrese!B$2),7,FALSE)</f>
        <v>0.29203539823008851</v>
      </c>
      <c r="AY216" s="4">
        <f ca="1">+VLOOKUP($A216,INDIRECT(Adrese!C$2),7,FALSE)</f>
        <v>0.25221238938053098</v>
      </c>
      <c r="AZ216" s="4">
        <f ca="1">+VLOOKUP($A216,INDIRECT(Adrese!D$2),7,FALSE)</f>
        <v>0.29203539823008851</v>
      </c>
      <c r="BA216" s="4">
        <f ca="1">+VLOOKUP($A216,INDIRECT(Adrese!E$2),7,FALSE)</f>
        <v>0.29203539823008851</v>
      </c>
      <c r="BB216" s="4">
        <f ca="1">+VLOOKUP($A216,INDIRECT(Adrese!F$2),7,FALSE)</f>
        <v>0.29646017699115051</v>
      </c>
      <c r="BC216" s="4" t="str">
        <f t="shared" ca="1" si="66"/>
        <v>0.28 (0.02)</v>
      </c>
      <c r="BD216">
        <f t="shared" ca="1" si="77"/>
        <v>0.28495575221238945</v>
      </c>
      <c r="BE216" s="4">
        <f t="shared" ca="1" si="67"/>
        <v>1.8404101188571182E-2</v>
      </c>
      <c r="BG216" t="s">
        <v>263</v>
      </c>
      <c r="BH216" s="4">
        <f ca="1">+VLOOKUP($BG216,INDIRECT(Adrese!B$2),8,FALSE)</f>
        <v>3.2524495058276023E-2</v>
      </c>
      <c r="BI216" s="4">
        <f ca="1">+VLOOKUP($BG216,INDIRECT(Adrese!C$2),8,FALSE)</f>
        <v>3.1779858161555527E-2</v>
      </c>
      <c r="BJ216" s="4">
        <f ca="1">+VLOOKUP($BG216,INDIRECT(Adrese!D$2),8,FALSE)</f>
        <v>3.2334579297834377E-2</v>
      </c>
      <c r="BK216" s="4">
        <f ca="1">+VLOOKUP($BG216,INDIRECT(Adrese!E$2),8,FALSE)</f>
        <v>3.2781570418745791E-2</v>
      </c>
      <c r="BL216" s="4">
        <f ca="1">+VLOOKUP($BG216,INDIRECT(Adrese!F$2),8,FALSE)</f>
        <v>3.3178552845607993E-2</v>
      </c>
      <c r="BM216" s="4" t="str">
        <f t="shared" ca="1" si="68"/>
        <v>0.03 (0.00)</v>
      </c>
      <c r="BN216" s="4">
        <f t="shared" ca="1" si="78"/>
        <v>3.2519811156403941E-2</v>
      </c>
      <c r="BO216" s="4">
        <f t="shared" ca="1" si="69"/>
        <v>5.2065385321444055E-4</v>
      </c>
      <c r="BQ216" t="s">
        <v>263</v>
      </c>
      <c r="BR216" s="4">
        <f ca="1">+VLOOKUP($BG216,INDIRECT(Adrese!B$2),9,FALSE)</f>
        <v>9.2595278844456327E-2</v>
      </c>
      <c r="BS216" s="4">
        <f ca="1">+VLOOKUP($BG216,INDIRECT(Adrese!C$2),9,FALSE)</f>
        <v>9.2751615509714974E-2</v>
      </c>
      <c r="BT216" s="4">
        <f ca="1">+VLOOKUP($BG216,INDIRECT(Adrese!D$2),9,FALSE)</f>
        <v>9.3031912450644405E-2</v>
      </c>
      <c r="BU216" s="4">
        <f ca="1">+VLOOKUP($BG216,INDIRECT(Adrese!E$2),9,FALSE)</f>
        <v>9.3659681027560462E-2</v>
      </c>
      <c r="BV216" s="4">
        <f ca="1">+VLOOKUP($BG216,INDIRECT(Adrese!F$2),9,FALSE)</f>
        <v>9.0729217231096074E-2</v>
      </c>
      <c r="BW216" s="4" t="str">
        <f t="shared" ca="1" si="70"/>
        <v>0.09 (0.00)</v>
      </c>
      <c r="BX216" s="4">
        <f t="shared" ca="1" si="79"/>
        <v>9.2553541012694446E-2</v>
      </c>
      <c r="BY216" s="4">
        <f t="shared" ca="1" si="71"/>
        <v>1.0978977386589342E-3</v>
      </c>
    </row>
    <row r="217" spans="1:77" x14ac:dyDescent="0.25">
      <c r="A217" t="s">
        <v>264</v>
      </c>
      <c r="B217" s="11">
        <f ca="1">+VLOOKUP($A217,INDIRECT(Adrese!B$2),2,FALSE)</f>
        <v>178</v>
      </c>
      <c r="C217" s="11">
        <f ca="1">+VLOOKUP($A217,INDIRECT(Adrese!C$2),2,FALSE)</f>
        <v>187</v>
      </c>
      <c r="D217" s="11">
        <f ca="1">+VLOOKUP($A217,INDIRECT(Adrese!D$2),2,FALSE)</f>
        <v>183</v>
      </c>
      <c r="E217" s="11">
        <f ca="1">+VLOOKUP($A217,INDIRECT(Adrese!E$2),2,FALSE)</f>
        <v>185</v>
      </c>
      <c r="F217" s="11">
        <f ca="1">+VLOOKUP($A217,INDIRECT(Adrese!F$2),2,FALSE)</f>
        <v>179</v>
      </c>
      <c r="G217" s="4">
        <f t="shared" ca="1" si="72"/>
        <v>182.4</v>
      </c>
      <c r="J217" t="s">
        <v>264</v>
      </c>
      <c r="K217">
        <f ca="1">+VLOOKUP($A217,INDIRECT(Adrese!B$2),3,FALSE)</f>
        <v>110</v>
      </c>
      <c r="L217">
        <f ca="1">+VLOOKUP($A217,INDIRECT(Adrese!C$2),3,FALSE)</f>
        <v>108</v>
      </c>
      <c r="M217">
        <f ca="1">+VLOOKUP($A217,INDIRECT(Adrese!D$2),3,FALSE)</f>
        <v>106</v>
      </c>
      <c r="N217">
        <f ca="1">+VLOOKUP($A217,INDIRECT(Adrese!E$2),3,FALSE)</f>
        <v>106</v>
      </c>
      <c r="O217">
        <f ca="1">+VLOOKUP($A217,INDIRECT(Adrese!F$2),3,FALSE)</f>
        <v>110</v>
      </c>
      <c r="P217">
        <f t="shared" ca="1" si="62"/>
        <v>540</v>
      </c>
      <c r="Q217" s="4">
        <f t="shared" ca="1" si="73"/>
        <v>108</v>
      </c>
      <c r="R217" s="4"/>
      <c r="T217" t="s">
        <v>264</v>
      </c>
      <c r="U217">
        <f ca="1">+VLOOKUP($T217,INDIRECT(Adrese!B$2),4,FALSE)</f>
        <v>91432</v>
      </c>
      <c r="V217">
        <f ca="1">+VLOOKUP($T217,INDIRECT(Adrese!C$2),4,FALSE)</f>
        <v>89698</v>
      </c>
      <c r="W217">
        <f ca="1">+VLOOKUP($T217,INDIRECT(Adrese!D$2),4,FALSE)</f>
        <v>90686</v>
      </c>
      <c r="X217">
        <f ca="1">+VLOOKUP($T217,INDIRECT(Adrese!E$2),4,FALSE)</f>
        <v>90380</v>
      </c>
      <c r="Y217">
        <f ca="1">+VLOOKUP($T217,INDIRECT(Adrese!F$2),4,FALSE)</f>
        <v>91103</v>
      </c>
      <c r="Z217">
        <f t="shared" ca="1" si="63"/>
        <v>453299</v>
      </c>
      <c r="AA217" s="4">
        <f t="shared" ca="1" si="74"/>
        <v>90659.8</v>
      </c>
      <c r="AC217" t="s">
        <v>264</v>
      </c>
      <c r="AD217">
        <f ca="1">+VLOOKUP($A217,INDIRECT(Adrese!B$2),5,FALSE)</f>
        <v>16646</v>
      </c>
      <c r="AE217">
        <f ca="1">+VLOOKUP($A217,INDIRECT(Adrese!C$2),5,FALSE)</f>
        <v>16564</v>
      </c>
      <c r="AF217">
        <f ca="1">+VLOOKUP($A217,INDIRECT(Adrese!D$2),5,FALSE)</f>
        <v>16577</v>
      </c>
      <c r="AG217">
        <f ca="1">+VLOOKUP($A217,INDIRECT(Adrese!E$2),5,FALSE)</f>
        <v>16553</v>
      </c>
      <c r="AH217">
        <f ca="1">+VLOOKUP($A217,INDIRECT(Adrese!F$2),5,FALSE)</f>
        <v>16519</v>
      </c>
      <c r="AI217" s="4">
        <f t="shared" ca="1" si="75"/>
        <v>16571.8</v>
      </c>
      <c r="AJ217" s="4"/>
      <c r="AK217" s="4"/>
      <c r="AM217" t="s">
        <v>264</v>
      </c>
      <c r="AN217" s="4">
        <f ca="1">+VLOOKUP($A217,INDIRECT(Adrese!B$2),6,FALSE)</f>
        <v>0.36659292035398228</v>
      </c>
      <c r="AO217" s="4">
        <f ca="1">+VLOOKUP($A217,INDIRECT(Adrese!C$2),6,FALSE)</f>
        <v>0.36482300884955748</v>
      </c>
      <c r="AP217" s="4">
        <f ca="1">+VLOOKUP($A217,INDIRECT(Adrese!D$2),6,FALSE)</f>
        <v>0.36504424778761058</v>
      </c>
      <c r="AQ217" s="4">
        <f ca="1">+VLOOKUP($A217,INDIRECT(Adrese!E$2),6,FALSE)</f>
        <v>0.36462389380530968</v>
      </c>
      <c r="AR217" s="4">
        <f ca="1">+VLOOKUP($A217,INDIRECT(Adrese!F$2),6,FALSE)</f>
        <v>0.36371681415929202</v>
      </c>
      <c r="AS217" s="4" t="str">
        <f t="shared" ca="1" si="64"/>
        <v>0.36 (0.00)</v>
      </c>
      <c r="AT217" s="4">
        <f t="shared" ca="1" si="76"/>
        <v>0.36496017699115041</v>
      </c>
      <c r="AU217" s="4">
        <f t="shared" ca="1" si="65"/>
        <v>1.0429251410675542E-3</v>
      </c>
      <c r="AW217" t="s">
        <v>264</v>
      </c>
      <c r="AX217" s="4">
        <f ca="1">+VLOOKUP($A217,INDIRECT(Adrese!B$2),7,FALSE)</f>
        <v>0.51327433628318586</v>
      </c>
      <c r="AY217" s="4">
        <f ca="1">+VLOOKUP($A217,INDIRECT(Adrese!C$2),7,FALSE)</f>
        <v>0.52212389380530977</v>
      </c>
      <c r="AZ217" s="4">
        <f ca="1">+VLOOKUP($A217,INDIRECT(Adrese!D$2),7,FALSE)</f>
        <v>0.53097345132743368</v>
      </c>
      <c r="BA217" s="4">
        <f ca="1">+VLOOKUP($A217,INDIRECT(Adrese!E$2),7,FALSE)</f>
        <v>0.53097345132743368</v>
      </c>
      <c r="BB217" s="4">
        <f ca="1">+VLOOKUP($A217,INDIRECT(Adrese!F$2),7,FALSE)</f>
        <v>0.51327433628318586</v>
      </c>
      <c r="BC217" s="4" t="str">
        <f t="shared" ca="1" si="66"/>
        <v>0.52 (0.01)</v>
      </c>
      <c r="BD217">
        <f t="shared" ca="1" si="77"/>
        <v>0.52212389380530966</v>
      </c>
      <c r="BE217" s="4">
        <f t="shared" ca="1" si="67"/>
        <v>8.8495575221239076E-3</v>
      </c>
      <c r="BG217" t="s">
        <v>264</v>
      </c>
      <c r="BH217" s="4">
        <f ca="1">+VLOOKUP($BG217,INDIRECT(Adrese!B$2),8,FALSE)</f>
        <v>4.6818234334421713E-2</v>
      </c>
      <c r="BI217" s="4">
        <f ca="1">+VLOOKUP($BG217,INDIRECT(Adrese!C$2),8,FALSE)</f>
        <v>4.6470749233092037E-2</v>
      </c>
      <c r="BJ217" s="4">
        <f ca="1">+VLOOKUP($BG217,INDIRECT(Adrese!D$2),8,FALSE)</f>
        <v>4.6462513930102617E-2</v>
      </c>
      <c r="BK217" s="4">
        <f ca="1">+VLOOKUP($BG217,INDIRECT(Adrese!E$2),8,FALSE)</f>
        <v>4.6393149669620798E-2</v>
      </c>
      <c r="BL217" s="4">
        <f ca="1">+VLOOKUP($BG217,INDIRECT(Adrese!F$2),8,FALSE)</f>
        <v>4.643120037473026E-2</v>
      </c>
      <c r="BM217" s="4" t="str">
        <f t="shared" ca="1" si="68"/>
        <v>0.05 (0.00)</v>
      </c>
      <c r="BN217" s="4">
        <f t="shared" ca="1" si="78"/>
        <v>4.6515169508393482E-2</v>
      </c>
      <c r="BO217" s="4">
        <f t="shared" ca="1" si="69"/>
        <v>1.721436289997304E-4</v>
      </c>
      <c r="BQ217" t="s">
        <v>264</v>
      </c>
      <c r="BR217" s="4">
        <f ca="1">+VLOOKUP($BG217,INDIRECT(Adrese!B$2),9,FALSE)</f>
        <v>3.2399854081807372E-2</v>
      </c>
      <c r="BS217" s="4">
        <f ca="1">+VLOOKUP($BG217,INDIRECT(Adrese!C$2),9,FALSE)</f>
        <v>3.2960665459039903E-2</v>
      </c>
      <c r="BT217" s="4">
        <f ca="1">+VLOOKUP($BG217,INDIRECT(Adrese!D$2),9,FALSE)</f>
        <v>3.1959478825817608E-2</v>
      </c>
      <c r="BU217" s="4">
        <f ca="1">+VLOOKUP($BG217,INDIRECT(Adrese!E$2),9,FALSE)</f>
        <v>3.2436897486429223E-2</v>
      </c>
      <c r="BV217" s="4">
        <f ca="1">+VLOOKUP($BG217,INDIRECT(Adrese!F$2),9,FALSE)</f>
        <v>3.2795774609527567E-2</v>
      </c>
      <c r="BW217" s="4" t="str">
        <f t="shared" ca="1" si="70"/>
        <v>0.03 (0.00)</v>
      </c>
      <c r="BX217" s="4">
        <f t="shared" ca="1" si="79"/>
        <v>3.2510534092524336E-2</v>
      </c>
      <c r="BY217" s="4">
        <f t="shared" ca="1" si="71"/>
        <v>3.8900987171156074E-4</v>
      </c>
    </row>
    <row r="218" spans="1:77" x14ac:dyDescent="0.25">
      <c r="A218" t="s">
        <v>19</v>
      </c>
      <c r="B218" s="11">
        <f ca="1">+VLOOKUP($A218,INDIRECT(Adrese!B$2),2,FALSE)</f>
        <v>201</v>
      </c>
      <c r="C218" s="11">
        <f ca="1">+VLOOKUP($A218,INDIRECT(Adrese!C$2),2,FALSE)</f>
        <v>200</v>
      </c>
      <c r="D218" s="11">
        <f ca="1">+VLOOKUP($A218,INDIRECT(Adrese!D$2),2,FALSE)</f>
        <v>204</v>
      </c>
      <c r="E218" s="11">
        <f ca="1">+VLOOKUP($A218,INDIRECT(Adrese!E$2),2,FALSE)</f>
        <v>206</v>
      </c>
      <c r="F218" s="11">
        <f ca="1">+VLOOKUP($A218,INDIRECT(Adrese!F$2),2,FALSE)</f>
        <v>195</v>
      </c>
      <c r="G218" s="4">
        <f t="shared" ca="1" si="72"/>
        <v>201.2</v>
      </c>
      <c r="J218" t="s">
        <v>19</v>
      </c>
      <c r="K218">
        <f ca="1">+VLOOKUP($A218,INDIRECT(Adrese!B$2),3,FALSE)</f>
        <v>73</v>
      </c>
      <c r="L218">
        <f ca="1">+VLOOKUP($A218,INDIRECT(Adrese!C$2),3,FALSE)</f>
        <v>85</v>
      </c>
      <c r="M218">
        <f ca="1">+VLOOKUP($A218,INDIRECT(Adrese!D$2),3,FALSE)</f>
        <v>73</v>
      </c>
      <c r="N218">
        <f ca="1">+VLOOKUP($A218,INDIRECT(Adrese!E$2),3,FALSE)</f>
        <v>82</v>
      </c>
      <c r="O218">
        <f ca="1">+VLOOKUP($A218,INDIRECT(Adrese!F$2),3,FALSE)</f>
        <v>78</v>
      </c>
      <c r="P218">
        <f t="shared" ca="1" si="62"/>
        <v>391</v>
      </c>
      <c r="Q218" s="4">
        <f t="shared" ca="1" si="73"/>
        <v>78.2</v>
      </c>
      <c r="R218" s="4"/>
      <c r="T218" t="s">
        <v>19</v>
      </c>
      <c r="U218">
        <f ca="1">+VLOOKUP($T218,INDIRECT(Adrese!B$2),4,FALSE)</f>
        <v>88563</v>
      </c>
      <c r="V218">
        <f ca="1">+VLOOKUP($T218,INDIRECT(Adrese!C$2),4,FALSE)</f>
        <v>88636</v>
      </c>
      <c r="W218">
        <f ca="1">+VLOOKUP($T218,INDIRECT(Adrese!D$2),4,FALSE)</f>
        <v>88090</v>
      </c>
      <c r="X218">
        <f ca="1">+VLOOKUP($T218,INDIRECT(Adrese!E$2),4,FALSE)</f>
        <v>87598</v>
      </c>
      <c r="Y218">
        <f ca="1">+VLOOKUP($T218,INDIRECT(Adrese!F$2),4,FALSE)</f>
        <v>88972</v>
      </c>
      <c r="Z218">
        <f t="shared" ca="1" si="63"/>
        <v>441859</v>
      </c>
      <c r="AA218" s="4">
        <f t="shared" ca="1" si="74"/>
        <v>88371.8</v>
      </c>
      <c r="AC218" t="s">
        <v>19</v>
      </c>
      <c r="AD218">
        <f ca="1">+VLOOKUP($A218,INDIRECT(Adrese!B$2),5,FALSE)</f>
        <v>22681</v>
      </c>
      <c r="AE218">
        <f ca="1">+VLOOKUP($A218,INDIRECT(Adrese!C$2),5,FALSE)</f>
        <v>22710</v>
      </c>
      <c r="AF218">
        <f ca="1">+VLOOKUP($A218,INDIRECT(Adrese!D$2),5,FALSE)</f>
        <v>22666</v>
      </c>
      <c r="AG218">
        <f ca="1">+VLOOKUP($A218,INDIRECT(Adrese!E$2),5,FALSE)</f>
        <v>22754</v>
      </c>
      <c r="AH218">
        <f ca="1">+VLOOKUP($A218,INDIRECT(Adrese!F$2),5,FALSE)</f>
        <v>22665</v>
      </c>
      <c r="AI218" s="4">
        <f t="shared" ca="1" si="75"/>
        <v>22695.200000000001</v>
      </c>
      <c r="AJ218" s="4"/>
      <c r="AK218" s="4"/>
      <c r="AM218" t="s">
        <v>19</v>
      </c>
      <c r="AN218" s="4">
        <f ca="1">+VLOOKUP($A218,INDIRECT(Adrese!B$2),6,FALSE)</f>
        <v>0.49955752212389382</v>
      </c>
      <c r="AO218" s="4">
        <f ca="1">+VLOOKUP($A218,INDIRECT(Adrese!C$2),6,FALSE)</f>
        <v>0.50028761061946903</v>
      </c>
      <c r="AP218" s="4">
        <f ca="1">+VLOOKUP($A218,INDIRECT(Adrese!D$2),6,FALSE)</f>
        <v>0.49944690265486719</v>
      </c>
      <c r="AQ218" s="4">
        <f ca="1">+VLOOKUP($A218,INDIRECT(Adrese!E$2),6,FALSE)</f>
        <v>0.50119469026548669</v>
      </c>
      <c r="AR218" s="4">
        <f ca="1">+VLOOKUP($A218,INDIRECT(Adrese!F$2),6,FALSE)</f>
        <v>0.49924778761061939</v>
      </c>
      <c r="AS218" s="4" t="str">
        <f t="shared" ca="1" si="64"/>
        <v>0.50 (0.00)</v>
      </c>
      <c r="AT218" s="4">
        <f t="shared" ca="1" si="76"/>
        <v>0.49994690265486719</v>
      </c>
      <c r="AU218" s="4">
        <f t="shared" ca="1" si="65"/>
        <v>8.0053652030268984E-4</v>
      </c>
      <c r="AW218" t="s">
        <v>19</v>
      </c>
      <c r="AX218" s="4">
        <f ca="1">+VLOOKUP($A218,INDIRECT(Adrese!B$2),7,FALSE)</f>
        <v>0.67699115044247793</v>
      </c>
      <c r="AY218" s="4">
        <f ca="1">+VLOOKUP($A218,INDIRECT(Adrese!C$2),7,FALSE)</f>
        <v>0.62389380530973448</v>
      </c>
      <c r="AZ218" s="4">
        <f ca="1">+VLOOKUP($A218,INDIRECT(Adrese!D$2),7,FALSE)</f>
        <v>0.67699115044247793</v>
      </c>
      <c r="BA218" s="4">
        <f ca="1">+VLOOKUP($A218,INDIRECT(Adrese!E$2),7,FALSE)</f>
        <v>0.63716814159292035</v>
      </c>
      <c r="BB218" s="4">
        <f ca="1">+VLOOKUP($A218,INDIRECT(Adrese!F$2),7,FALSE)</f>
        <v>0.65486725663716816</v>
      </c>
      <c r="BC218" s="4" t="str">
        <f t="shared" ca="1" si="66"/>
        <v>0.65 (0.02)</v>
      </c>
      <c r="BD218">
        <f t="shared" ca="1" si="77"/>
        <v>0.65398230088495579</v>
      </c>
      <c r="BE218" s="4">
        <f t="shared" ca="1" si="67"/>
        <v>2.3704593338015743E-2</v>
      </c>
      <c r="BG218" t="s">
        <v>19</v>
      </c>
      <c r="BH218" s="4">
        <f ca="1">+VLOOKUP($BG218,INDIRECT(Adrese!B$2),8,FALSE)</f>
        <v>6.3585433199525893E-2</v>
      </c>
      <c r="BI218" s="4">
        <f ca="1">+VLOOKUP($BG218,INDIRECT(Adrese!C$2),8,FALSE)</f>
        <v>6.3572155826339696E-2</v>
      </c>
      <c r="BJ218" s="4">
        <f ca="1">+VLOOKUP($BG218,INDIRECT(Adrese!D$2),8,FALSE)</f>
        <v>6.3568361800309364E-2</v>
      </c>
      <c r="BK218" s="4">
        <f ca="1">+VLOOKUP($BG218,INDIRECT(Adrese!E$2),8,FALSE)</f>
        <v>6.3768099792282276E-2</v>
      </c>
      <c r="BL218" s="4">
        <f ca="1">+VLOOKUP($BG218,INDIRECT(Adrese!F$2),8,FALSE)</f>
        <v>6.3515412171059105E-2</v>
      </c>
      <c r="BM218" s="4" t="str">
        <f t="shared" ca="1" si="68"/>
        <v>0.06 (0.00)</v>
      </c>
      <c r="BN218" s="4">
        <f t="shared" ca="1" si="78"/>
        <v>6.3601892557903272E-2</v>
      </c>
      <c r="BO218" s="4">
        <f t="shared" ca="1" si="69"/>
        <v>9.6673674616896933E-5</v>
      </c>
      <c r="BQ218" t="s">
        <v>19</v>
      </c>
      <c r="BR218" s="4">
        <f ca="1">+VLOOKUP($BG218,INDIRECT(Adrese!B$2),9,FALSE)</f>
        <v>7.94977260663822E-4</v>
      </c>
      <c r="BS218" s="4">
        <f ca="1">+VLOOKUP($BG218,INDIRECT(Adrese!C$2),9,FALSE)</f>
        <v>-9.4735603953035273E-4</v>
      </c>
      <c r="BT218" s="4">
        <f ca="1">+VLOOKUP($BG218,INDIRECT(Adrese!D$2),9,FALSE)</f>
        <v>6.4245616891602908E-4</v>
      </c>
      <c r="BU218" s="4">
        <f ca="1">+VLOOKUP($BG218,INDIRECT(Adrese!E$2),9,FALSE)</f>
        <v>-2.421145776070442E-4</v>
      </c>
      <c r="BV218" s="4">
        <f ca="1">+VLOOKUP($BG218,INDIRECT(Adrese!F$2),9,FALSE)</f>
        <v>-1.0393496361962239E-4</v>
      </c>
      <c r="BW218" s="4" t="str">
        <f t="shared" ca="1" si="70"/>
        <v>0.00 (0.00)</v>
      </c>
      <c r="BX218" s="4">
        <f t="shared" ca="1" si="79"/>
        <v>2.8805569764566351E-5</v>
      </c>
      <c r="BY218" s="4">
        <f t="shared" ca="1" si="71"/>
        <v>7.0843055070532392E-4</v>
      </c>
    </row>
    <row r="219" spans="1:77" x14ac:dyDescent="0.25">
      <c r="A219" t="s">
        <v>265</v>
      </c>
      <c r="B219" s="11">
        <f ca="1">+VLOOKUP($A219,INDIRECT(Adrese!B$2),2,FALSE)</f>
        <v>126</v>
      </c>
      <c r="C219" s="11">
        <f ca="1">+VLOOKUP($A219,INDIRECT(Adrese!C$2),2,FALSE)</f>
        <v>110</v>
      </c>
      <c r="D219" s="11">
        <f ca="1">+VLOOKUP($A219,INDIRECT(Adrese!D$2),2,FALSE)</f>
        <v>105</v>
      </c>
      <c r="E219" s="11">
        <f ca="1">+VLOOKUP($A219,INDIRECT(Adrese!E$2),2,FALSE)</f>
        <v>124</v>
      </c>
      <c r="F219" s="11">
        <f ca="1">+VLOOKUP($A219,INDIRECT(Adrese!F$2),2,FALSE)</f>
        <v>134</v>
      </c>
      <c r="G219" s="4">
        <f t="shared" ca="1" si="72"/>
        <v>119.8</v>
      </c>
      <c r="J219" t="s">
        <v>265</v>
      </c>
      <c r="K219">
        <f ca="1">+VLOOKUP($A219,INDIRECT(Adrese!B$2),3,FALSE)</f>
        <v>200</v>
      </c>
      <c r="L219">
        <f ca="1">+VLOOKUP($A219,INDIRECT(Adrese!C$2),3,FALSE)</f>
        <v>199</v>
      </c>
      <c r="M219">
        <f ca="1">+VLOOKUP($A219,INDIRECT(Adrese!D$2),3,FALSE)</f>
        <v>192</v>
      </c>
      <c r="N219">
        <f ca="1">+VLOOKUP($A219,INDIRECT(Adrese!E$2),3,FALSE)</f>
        <v>194</v>
      </c>
      <c r="O219">
        <f ca="1">+VLOOKUP($A219,INDIRECT(Adrese!F$2),3,FALSE)</f>
        <v>190</v>
      </c>
      <c r="P219">
        <f t="shared" ca="1" si="62"/>
        <v>975</v>
      </c>
      <c r="Q219" s="4">
        <f t="shared" ca="1" si="73"/>
        <v>195</v>
      </c>
      <c r="R219" s="4"/>
      <c r="T219" t="s">
        <v>265</v>
      </c>
      <c r="U219">
        <f ca="1">+VLOOKUP($T219,INDIRECT(Adrese!B$2),4,FALSE)</f>
        <v>94482</v>
      </c>
      <c r="V219">
        <f ca="1">+VLOOKUP($T219,INDIRECT(Adrese!C$2),4,FALSE)</f>
        <v>95140</v>
      </c>
      <c r="W219">
        <f ca="1">+VLOOKUP($T219,INDIRECT(Adrese!D$2),4,FALSE)</f>
        <v>95649</v>
      </c>
      <c r="X219">
        <f ca="1">+VLOOKUP($T219,INDIRECT(Adrese!E$2),4,FALSE)</f>
        <v>94639</v>
      </c>
      <c r="Y219">
        <f ca="1">+VLOOKUP($T219,INDIRECT(Adrese!F$2),4,FALSE)</f>
        <v>94268</v>
      </c>
      <c r="Z219">
        <f t="shared" ca="1" si="63"/>
        <v>474178</v>
      </c>
      <c r="AA219" s="4">
        <f t="shared" ca="1" si="74"/>
        <v>94835.6</v>
      </c>
      <c r="AC219" t="s">
        <v>265</v>
      </c>
      <c r="AD219">
        <f ca="1">+VLOOKUP($A219,INDIRECT(Adrese!B$2),5,FALSE)</f>
        <v>6716</v>
      </c>
      <c r="AE219">
        <f ca="1">+VLOOKUP($A219,INDIRECT(Adrese!C$2),5,FALSE)</f>
        <v>6548</v>
      </c>
      <c r="AF219">
        <f ca="1">+VLOOKUP($A219,INDIRECT(Adrese!D$2),5,FALSE)</f>
        <v>6817</v>
      </c>
      <c r="AG219">
        <f ca="1">+VLOOKUP($A219,INDIRECT(Adrese!E$2),5,FALSE)</f>
        <v>6659</v>
      </c>
      <c r="AH219">
        <f ca="1">+VLOOKUP($A219,INDIRECT(Adrese!F$2),5,FALSE)</f>
        <v>6690</v>
      </c>
      <c r="AI219" s="4">
        <f t="shared" ca="1" si="75"/>
        <v>6686</v>
      </c>
      <c r="AJ219" s="4"/>
      <c r="AK219" s="4"/>
      <c r="AM219" t="s">
        <v>265</v>
      </c>
      <c r="AN219" s="4">
        <f ca="1">+VLOOKUP($A219,INDIRECT(Adrese!B$2),6,FALSE)</f>
        <v>0.1480309734513274</v>
      </c>
      <c r="AO219" s="4">
        <f ca="1">+VLOOKUP($A219,INDIRECT(Adrese!C$2),6,FALSE)</f>
        <v>0.14435840707964601</v>
      </c>
      <c r="AP219" s="4">
        <f ca="1">+VLOOKUP($A219,INDIRECT(Adrese!D$2),6,FALSE)</f>
        <v>0.15024336283185841</v>
      </c>
      <c r="AQ219" s="4">
        <f ca="1">+VLOOKUP($A219,INDIRECT(Adrese!E$2),6,FALSE)</f>
        <v>0.14696902654867261</v>
      </c>
      <c r="AR219" s="4">
        <f ca="1">+VLOOKUP($A219,INDIRECT(Adrese!F$2),6,FALSE)</f>
        <v>0.14749999999999999</v>
      </c>
      <c r="AS219" s="4" t="str">
        <f t="shared" ca="1" si="64"/>
        <v>0.15 (0.00)</v>
      </c>
      <c r="AT219" s="4">
        <f t="shared" ca="1" si="76"/>
        <v>0.14742035398230086</v>
      </c>
      <c r="AU219" s="4">
        <f t="shared" ca="1" si="65"/>
        <v>2.1170612813398272E-3</v>
      </c>
      <c r="AW219" t="s">
        <v>265</v>
      </c>
      <c r="AX219" s="4">
        <f ca="1">+VLOOKUP($A219,INDIRECT(Adrese!B$2),7,FALSE)</f>
        <v>0.1150442477876106</v>
      </c>
      <c r="AY219" s="4">
        <f ca="1">+VLOOKUP($A219,INDIRECT(Adrese!C$2),7,FALSE)</f>
        <v>0.1194690265486726</v>
      </c>
      <c r="AZ219" s="4">
        <f ca="1">+VLOOKUP($A219,INDIRECT(Adrese!D$2),7,FALSE)</f>
        <v>0.15044247787610621</v>
      </c>
      <c r="BA219" s="4">
        <f ca="1">+VLOOKUP($A219,INDIRECT(Adrese!E$2),7,FALSE)</f>
        <v>0.1415929203539823</v>
      </c>
      <c r="BB219" s="4">
        <f ca="1">+VLOOKUP($A219,INDIRECT(Adrese!F$2),7,FALSE)</f>
        <v>0.15929203539823009</v>
      </c>
      <c r="BC219" s="4" t="str">
        <f t="shared" ca="1" si="66"/>
        <v>0.14 (0.02)</v>
      </c>
      <c r="BD219">
        <f t="shared" ca="1" si="77"/>
        <v>0.13716814159292037</v>
      </c>
      <c r="BE219" s="4">
        <f t="shared" ca="1" si="67"/>
        <v>1.9287163466994089E-2</v>
      </c>
      <c r="BG219" t="s">
        <v>265</v>
      </c>
      <c r="BH219" s="4">
        <f ca="1">+VLOOKUP($BG219,INDIRECT(Adrese!B$2),8,FALSE)</f>
        <v>1.9778167211748771E-2</v>
      </c>
      <c r="BI219" s="4">
        <f ca="1">+VLOOKUP($BG219,INDIRECT(Adrese!C$2),8,FALSE)</f>
        <v>1.9297265350927271E-2</v>
      </c>
      <c r="BJ219" s="4">
        <f ca="1">+VLOOKUP($BG219,INDIRECT(Adrese!D$2),8,FALSE)</f>
        <v>2.0223015012703752E-2</v>
      </c>
      <c r="BK219" s="4">
        <f ca="1">+VLOOKUP($BG219,INDIRECT(Adrese!E$2),8,FALSE)</f>
        <v>1.9474980806012121E-2</v>
      </c>
      <c r="BL219" s="4">
        <f ca="1">+VLOOKUP($BG219,INDIRECT(Adrese!F$2),8,FALSE)</f>
        <v>1.975093677711267E-2</v>
      </c>
      <c r="BM219" s="4" t="str">
        <f t="shared" ca="1" si="68"/>
        <v>0.02 (0.00)</v>
      </c>
      <c r="BN219" s="4">
        <f t="shared" ca="1" si="78"/>
        <v>1.9704873031700914E-2</v>
      </c>
      <c r="BO219" s="4">
        <f t="shared" ca="1" si="69"/>
        <v>3.5176678169122465E-4</v>
      </c>
      <c r="BQ219" t="s">
        <v>265</v>
      </c>
      <c r="BR219" s="4">
        <f ca="1">+VLOOKUP($BG219,INDIRECT(Adrese!B$2),9,FALSE)</f>
        <v>9.4857572024265896E-2</v>
      </c>
      <c r="BS219" s="4">
        <f ca="1">+VLOOKUP($BG219,INDIRECT(Adrese!C$2),9,FALSE)</f>
        <v>9.6095253200298714E-2</v>
      </c>
      <c r="BT219" s="4">
        <f ca="1">+VLOOKUP($BG219,INDIRECT(Adrese!D$2),9,FALSE)</f>
        <v>9.4706415858068618E-2</v>
      </c>
      <c r="BU219" s="4">
        <f ca="1">+VLOOKUP($BG219,INDIRECT(Adrese!E$2),9,FALSE)</f>
        <v>9.4383343034198305E-2</v>
      </c>
      <c r="BV219" s="4">
        <f ca="1">+VLOOKUP($BG219,INDIRECT(Adrese!F$2),9,FALSE)</f>
        <v>9.5355127040254492E-2</v>
      </c>
      <c r="BW219" s="4" t="str">
        <f t="shared" ca="1" si="70"/>
        <v>0.10 (0.00)</v>
      </c>
      <c r="BX219" s="4">
        <f t="shared" ca="1" si="79"/>
        <v>9.5079542231417208E-2</v>
      </c>
      <c r="BY219" s="4">
        <f t="shared" ca="1" si="71"/>
        <v>6.67233681840066E-4</v>
      </c>
    </row>
    <row r="220" spans="1:77" x14ac:dyDescent="0.25">
      <c r="A220" t="s">
        <v>266</v>
      </c>
      <c r="B220" s="11">
        <f ca="1">+VLOOKUP($A220,INDIRECT(Adrese!B$2),2,FALSE)</f>
        <v>202</v>
      </c>
      <c r="C220" s="11">
        <f ca="1">+VLOOKUP($A220,INDIRECT(Adrese!C$2),2,FALSE)</f>
        <v>193</v>
      </c>
      <c r="D220" s="11">
        <f ca="1">+VLOOKUP($A220,INDIRECT(Adrese!D$2),2,FALSE)</f>
        <v>207</v>
      </c>
      <c r="E220" s="11">
        <f ca="1">+VLOOKUP($A220,INDIRECT(Adrese!E$2),2,FALSE)</f>
        <v>191</v>
      </c>
      <c r="F220" s="11">
        <f ca="1">+VLOOKUP($A220,INDIRECT(Adrese!F$2),2,FALSE)</f>
        <v>190</v>
      </c>
      <c r="G220" s="4">
        <f t="shared" ca="1" si="72"/>
        <v>196.6</v>
      </c>
      <c r="J220" t="s">
        <v>266</v>
      </c>
      <c r="K220">
        <f ca="1">+VLOOKUP($A220,INDIRECT(Adrese!B$2),3,FALSE)</f>
        <v>97</v>
      </c>
      <c r="L220">
        <f ca="1">+VLOOKUP($A220,INDIRECT(Adrese!C$2),3,FALSE)</f>
        <v>105</v>
      </c>
      <c r="M220">
        <f ca="1">+VLOOKUP($A220,INDIRECT(Adrese!D$2),3,FALSE)</f>
        <v>100</v>
      </c>
      <c r="N220">
        <f ca="1">+VLOOKUP($A220,INDIRECT(Adrese!E$2),3,FALSE)</f>
        <v>104</v>
      </c>
      <c r="O220">
        <f ca="1">+VLOOKUP($A220,INDIRECT(Adrese!F$2),3,FALSE)</f>
        <v>105</v>
      </c>
      <c r="P220">
        <f t="shared" ca="1" si="62"/>
        <v>511</v>
      </c>
      <c r="Q220" s="4">
        <f t="shared" ca="1" si="73"/>
        <v>102.2</v>
      </c>
      <c r="R220" s="4"/>
      <c r="T220" t="s">
        <v>266</v>
      </c>
      <c r="U220">
        <f ca="1">+VLOOKUP($T220,INDIRECT(Adrese!B$2),4,FALSE)</f>
        <v>88541</v>
      </c>
      <c r="V220">
        <f ca="1">+VLOOKUP($T220,INDIRECT(Adrese!C$2),4,FALSE)</f>
        <v>89177</v>
      </c>
      <c r="W220">
        <f ca="1">+VLOOKUP($T220,INDIRECT(Adrese!D$2),4,FALSE)</f>
        <v>87877</v>
      </c>
      <c r="X220">
        <f ca="1">+VLOOKUP($T220,INDIRECT(Adrese!E$2),4,FALSE)</f>
        <v>89720</v>
      </c>
      <c r="Y220">
        <f ca="1">+VLOOKUP($T220,INDIRECT(Adrese!F$2),4,FALSE)</f>
        <v>89601</v>
      </c>
      <c r="Z220">
        <f t="shared" ca="1" si="63"/>
        <v>444916</v>
      </c>
      <c r="AA220" s="4">
        <f t="shared" ca="1" si="74"/>
        <v>88983.2</v>
      </c>
      <c r="AC220" t="s">
        <v>266</v>
      </c>
      <c r="AD220">
        <f ca="1">+VLOOKUP($A220,INDIRECT(Adrese!B$2),5,FALSE)</f>
        <v>17604</v>
      </c>
      <c r="AE220">
        <f ca="1">+VLOOKUP($A220,INDIRECT(Adrese!C$2),5,FALSE)</f>
        <v>17522</v>
      </c>
      <c r="AF220">
        <f ca="1">+VLOOKUP($A220,INDIRECT(Adrese!D$2),5,FALSE)</f>
        <v>17521</v>
      </c>
      <c r="AG220">
        <f ca="1">+VLOOKUP($A220,INDIRECT(Adrese!E$2),5,FALSE)</f>
        <v>17431</v>
      </c>
      <c r="AH220">
        <f ca="1">+VLOOKUP($A220,INDIRECT(Adrese!F$2),5,FALSE)</f>
        <v>17397</v>
      </c>
      <c r="AI220" s="4">
        <f t="shared" ca="1" si="75"/>
        <v>17495</v>
      </c>
      <c r="AJ220" s="4"/>
      <c r="AK220" s="4"/>
      <c r="AM220" t="s">
        <v>266</v>
      </c>
      <c r="AN220" s="4">
        <f ca="1">+VLOOKUP($A220,INDIRECT(Adrese!B$2),6,FALSE)</f>
        <v>0.38741150442477879</v>
      </c>
      <c r="AO220" s="4">
        <f ca="1">+VLOOKUP($A220,INDIRECT(Adrese!C$2),6,FALSE)</f>
        <v>0.3856194690265487</v>
      </c>
      <c r="AP220" s="4">
        <f ca="1">+VLOOKUP($A220,INDIRECT(Adrese!D$2),6,FALSE)</f>
        <v>0.38559734513274341</v>
      </c>
      <c r="AQ220" s="4">
        <f ca="1">+VLOOKUP($A220,INDIRECT(Adrese!E$2),6,FALSE)</f>
        <v>0.38362831858407082</v>
      </c>
      <c r="AR220" s="4">
        <f ca="1">+VLOOKUP($A220,INDIRECT(Adrese!F$2),6,FALSE)</f>
        <v>0.38289823008849561</v>
      </c>
      <c r="AS220" s="4" t="str">
        <f t="shared" ca="1" si="64"/>
        <v>0.39 (0.00)</v>
      </c>
      <c r="AT220" s="4">
        <f t="shared" ca="1" si="76"/>
        <v>0.38503097345132742</v>
      </c>
      <c r="AU220" s="4">
        <f t="shared" ca="1" si="65"/>
        <v>1.7923494753722068E-3</v>
      </c>
      <c r="AW220" t="s">
        <v>266</v>
      </c>
      <c r="AX220" s="4">
        <f ca="1">+VLOOKUP($A220,INDIRECT(Adrese!B$2),7,FALSE)</f>
        <v>0.57079646017699115</v>
      </c>
      <c r="AY220" s="4">
        <f ca="1">+VLOOKUP($A220,INDIRECT(Adrese!C$2),7,FALSE)</f>
        <v>0.53539823008849563</v>
      </c>
      <c r="AZ220" s="4">
        <f ca="1">+VLOOKUP($A220,INDIRECT(Adrese!D$2),7,FALSE)</f>
        <v>0.55752212389380529</v>
      </c>
      <c r="BA220" s="4">
        <f ca="1">+VLOOKUP($A220,INDIRECT(Adrese!E$2),7,FALSE)</f>
        <v>0.53982300884955747</v>
      </c>
      <c r="BB220" s="4">
        <f ca="1">+VLOOKUP($A220,INDIRECT(Adrese!F$2),7,FALSE)</f>
        <v>0.53539823008849563</v>
      </c>
      <c r="BC220" s="4" t="str">
        <f t="shared" ca="1" si="66"/>
        <v>0.55 (0.02)</v>
      </c>
      <c r="BD220">
        <f t="shared" ca="1" si="77"/>
        <v>0.54778761061946901</v>
      </c>
      <c r="BE220" s="4">
        <f t="shared" ca="1" si="67"/>
        <v>1.5768610337349949E-2</v>
      </c>
      <c r="BG220" t="s">
        <v>266</v>
      </c>
      <c r="BH220" s="4">
        <f ca="1">+VLOOKUP($BG220,INDIRECT(Adrese!B$2),8,FALSE)</f>
        <v>4.5626929349160891E-2</v>
      </c>
      <c r="BI220" s="4">
        <f ca="1">+VLOOKUP($BG220,INDIRECT(Adrese!C$2),8,FALSE)</f>
        <v>4.563617710826879E-2</v>
      </c>
      <c r="BJ220" s="4">
        <f ca="1">+VLOOKUP($BG220,INDIRECT(Adrese!D$2),8,FALSE)</f>
        <v>4.5469833059552323E-2</v>
      </c>
      <c r="BK220" s="4">
        <f ca="1">+VLOOKUP($BG220,INDIRECT(Adrese!E$2),8,FALSE)</f>
        <v>4.5416867108265258E-2</v>
      </c>
      <c r="BL220" s="4">
        <f ca="1">+VLOOKUP($BG220,INDIRECT(Adrese!F$2),8,FALSE)</f>
        <v>4.5393600607893207E-2</v>
      </c>
      <c r="BM220" s="4" t="str">
        <f t="shared" ca="1" si="68"/>
        <v>0.05 (0.00)</v>
      </c>
      <c r="BN220" s="4">
        <f t="shared" ca="1" si="78"/>
        <v>4.5508681446628098E-2</v>
      </c>
      <c r="BO220" s="4">
        <f t="shared" ca="1" si="69"/>
        <v>1.1556424570549937E-4</v>
      </c>
      <c r="BQ220" t="s">
        <v>266</v>
      </c>
      <c r="BR220" s="4">
        <f ca="1">+VLOOKUP($BG220,INDIRECT(Adrese!B$2),9,FALSE)</f>
        <v>2.3677226463941309E-4</v>
      </c>
      <c r="BS220" s="4">
        <f ca="1">+VLOOKUP($BG220,INDIRECT(Adrese!C$2),9,FALSE)</f>
        <v>2.1257039992844499E-3</v>
      </c>
      <c r="BT220" s="4">
        <f ca="1">+VLOOKUP($BG220,INDIRECT(Adrese!D$2),9,FALSE)</f>
        <v>1.2093208860131871E-4</v>
      </c>
      <c r="BU220" s="4">
        <f ca="1">+VLOOKUP($BG220,INDIRECT(Adrese!E$2),9,FALSE)</f>
        <v>1.457744882030226E-3</v>
      </c>
      <c r="BV220" s="4">
        <f ca="1">+VLOOKUP($BG220,INDIRECT(Adrese!F$2),9,FALSE)</f>
        <v>2.4227158289132559E-3</v>
      </c>
      <c r="BW220" s="4" t="str">
        <f t="shared" ca="1" si="70"/>
        <v>0.00 (0.00)</v>
      </c>
      <c r="BX220" s="4">
        <f t="shared" ca="1" si="79"/>
        <v>1.2727738126937327E-3</v>
      </c>
      <c r="BY220" s="4">
        <f t="shared" ca="1" si="71"/>
        <v>1.0587857910464367E-3</v>
      </c>
    </row>
    <row r="221" spans="1:77" x14ac:dyDescent="0.25">
      <c r="A221" t="s">
        <v>267</v>
      </c>
      <c r="B221" s="11">
        <f ca="1">+VLOOKUP($A221,INDIRECT(Adrese!B$2),2,FALSE)</f>
        <v>223</v>
      </c>
      <c r="C221" s="11">
        <f ca="1">+VLOOKUP($A221,INDIRECT(Adrese!C$2),2,FALSE)</f>
        <v>221</v>
      </c>
      <c r="D221" s="11">
        <f ca="1">+VLOOKUP($A221,INDIRECT(Adrese!D$2),2,FALSE)</f>
        <v>210</v>
      </c>
      <c r="E221" s="11">
        <f ca="1">+VLOOKUP($A221,INDIRECT(Adrese!E$2),2,FALSE)</f>
        <v>202</v>
      </c>
      <c r="F221" s="11">
        <f ca="1">+VLOOKUP($A221,INDIRECT(Adrese!F$2),2,FALSE)</f>
        <v>218</v>
      </c>
      <c r="G221" s="4">
        <f t="shared" ca="1" si="72"/>
        <v>214.8</v>
      </c>
      <c r="J221" t="s">
        <v>267</v>
      </c>
      <c r="K221">
        <f ca="1">+VLOOKUP($A221,INDIRECT(Adrese!B$2),3,FALSE)</f>
        <v>73</v>
      </c>
      <c r="L221">
        <f ca="1">+VLOOKUP($A221,INDIRECT(Adrese!C$2),3,FALSE)</f>
        <v>76</v>
      </c>
      <c r="M221">
        <f ca="1">+VLOOKUP($A221,INDIRECT(Adrese!D$2),3,FALSE)</f>
        <v>81</v>
      </c>
      <c r="N221">
        <f ca="1">+VLOOKUP($A221,INDIRECT(Adrese!E$2),3,FALSE)</f>
        <v>80</v>
      </c>
      <c r="O221">
        <f ca="1">+VLOOKUP($A221,INDIRECT(Adrese!F$2),3,FALSE)</f>
        <v>76</v>
      </c>
      <c r="P221">
        <f t="shared" ca="1" si="62"/>
        <v>386</v>
      </c>
      <c r="Q221" s="4">
        <f t="shared" ca="1" si="73"/>
        <v>77.2</v>
      </c>
      <c r="R221" s="4"/>
      <c r="T221" t="s">
        <v>267</v>
      </c>
      <c r="U221">
        <f ca="1">+VLOOKUP($T221,INDIRECT(Adrese!B$2),4,FALSE)</f>
        <v>86307</v>
      </c>
      <c r="V221">
        <f ca="1">+VLOOKUP($T221,INDIRECT(Adrese!C$2),4,FALSE)</f>
        <v>86628</v>
      </c>
      <c r="W221">
        <f ca="1">+VLOOKUP($T221,INDIRECT(Adrese!D$2),4,FALSE)</f>
        <v>87574</v>
      </c>
      <c r="X221">
        <f ca="1">+VLOOKUP($T221,INDIRECT(Adrese!E$2),4,FALSE)</f>
        <v>88045</v>
      </c>
      <c r="Y221">
        <f ca="1">+VLOOKUP($T221,INDIRECT(Adrese!F$2),4,FALSE)</f>
        <v>86947</v>
      </c>
      <c r="Z221">
        <f t="shared" ca="1" si="63"/>
        <v>435501</v>
      </c>
      <c r="AA221" s="4">
        <f t="shared" ca="1" si="74"/>
        <v>87100.2</v>
      </c>
      <c r="AC221" t="s">
        <v>267</v>
      </c>
      <c r="AD221">
        <f ca="1">+VLOOKUP($A221,INDIRECT(Adrese!B$2),5,FALSE)</f>
        <v>25847</v>
      </c>
      <c r="AE221">
        <f ca="1">+VLOOKUP($A221,INDIRECT(Adrese!C$2),5,FALSE)</f>
        <v>25743</v>
      </c>
      <c r="AF221">
        <f ca="1">+VLOOKUP($A221,INDIRECT(Adrese!D$2),5,FALSE)</f>
        <v>25532</v>
      </c>
      <c r="AG221">
        <f ca="1">+VLOOKUP($A221,INDIRECT(Adrese!E$2),5,FALSE)</f>
        <v>25553</v>
      </c>
      <c r="AH221">
        <f ca="1">+VLOOKUP($A221,INDIRECT(Adrese!F$2),5,FALSE)</f>
        <v>25730</v>
      </c>
      <c r="AI221" s="4">
        <f t="shared" ca="1" si="75"/>
        <v>25681</v>
      </c>
      <c r="AJ221" s="4"/>
      <c r="AK221" s="4"/>
      <c r="AM221" t="s">
        <v>267</v>
      </c>
      <c r="AN221" s="4">
        <f ca="1">+VLOOKUP($A221,INDIRECT(Adrese!B$2),6,FALSE)</f>
        <v>0.56964601769911505</v>
      </c>
      <c r="AO221" s="4">
        <f ca="1">+VLOOKUP($A221,INDIRECT(Adrese!C$2),6,FALSE)</f>
        <v>0.56732300884955755</v>
      </c>
      <c r="AP221" s="4">
        <f ca="1">+VLOOKUP($A221,INDIRECT(Adrese!D$2),6,FALSE)</f>
        <v>0.56261061946902657</v>
      </c>
      <c r="AQ221" s="4">
        <f ca="1">+VLOOKUP($A221,INDIRECT(Adrese!E$2),6,FALSE)</f>
        <v>0.56318584070796462</v>
      </c>
      <c r="AR221" s="4">
        <f ca="1">+VLOOKUP($A221,INDIRECT(Adrese!F$2),6,FALSE)</f>
        <v>0.56705752212389382</v>
      </c>
      <c r="AS221" s="4" t="str">
        <f t="shared" ca="1" si="64"/>
        <v>0.57 (0.00)</v>
      </c>
      <c r="AT221" s="4">
        <f t="shared" ca="1" si="76"/>
        <v>0.56596460176991159</v>
      </c>
      <c r="AU221" s="4">
        <f t="shared" ca="1" si="65"/>
        <v>2.9817477363123985E-3</v>
      </c>
      <c r="AW221" t="s">
        <v>267</v>
      </c>
      <c r="AX221" s="4">
        <f ca="1">+VLOOKUP($A221,INDIRECT(Adrese!B$2),7,FALSE)</f>
        <v>0.67699115044247793</v>
      </c>
      <c r="AY221" s="4">
        <f ca="1">+VLOOKUP($A221,INDIRECT(Adrese!C$2),7,FALSE)</f>
        <v>0.66371681415929207</v>
      </c>
      <c r="AZ221" s="4">
        <f ca="1">+VLOOKUP($A221,INDIRECT(Adrese!D$2),7,FALSE)</f>
        <v>0.6415929203539823</v>
      </c>
      <c r="BA221" s="4">
        <f ca="1">+VLOOKUP($A221,INDIRECT(Adrese!E$2),7,FALSE)</f>
        <v>0.64601769911504425</v>
      </c>
      <c r="BB221" s="4">
        <f ca="1">+VLOOKUP($A221,INDIRECT(Adrese!F$2),7,FALSE)</f>
        <v>0.66371681415929207</v>
      </c>
      <c r="BC221" s="4" t="str">
        <f t="shared" ca="1" si="66"/>
        <v>0.66 (0.01)</v>
      </c>
      <c r="BD221">
        <f t="shared" ca="1" si="77"/>
        <v>0.65840707964601775</v>
      </c>
      <c r="BE221" s="4">
        <f t="shared" ca="1" si="67"/>
        <v>1.4473829410439072E-2</v>
      </c>
      <c r="BG221" t="s">
        <v>267</v>
      </c>
      <c r="BH221" s="4">
        <f ca="1">+VLOOKUP($BG221,INDIRECT(Adrese!B$2),8,FALSE)</f>
        <v>6.407721547242469E-2</v>
      </c>
      <c r="BI221" s="4">
        <f ca="1">+VLOOKUP($BG221,INDIRECT(Adrese!C$2),8,FALSE)</f>
        <v>6.3901570472187086E-2</v>
      </c>
      <c r="BJ221" s="4">
        <f ca="1">+VLOOKUP($BG221,INDIRECT(Adrese!D$2),8,FALSE)</f>
        <v>6.3178683522621529E-2</v>
      </c>
      <c r="BK221" s="4">
        <f ca="1">+VLOOKUP($BG221,INDIRECT(Adrese!E$2),8,FALSE)</f>
        <v>6.3226204019616747E-2</v>
      </c>
      <c r="BL221" s="4">
        <f ca="1">+VLOOKUP($BG221,INDIRECT(Adrese!F$2),8,FALSE)</f>
        <v>6.3689050720521112E-2</v>
      </c>
      <c r="BM221" s="4" t="str">
        <f t="shared" ca="1" si="68"/>
        <v>0.06 (0.00)</v>
      </c>
      <c r="BN221" s="4">
        <f t="shared" ca="1" si="78"/>
        <v>6.3614544841474233E-2</v>
      </c>
      <c r="BO221" s="4">
        <f t="shared" ca="1" si="69"/>
        <v>4.0086863017568461E-4</v>
      </c>
      <c r="BQ221" t="s">
        <v>267</v>
      </c>
      <c r="BR221" s="4">
        <f ca="1">+VLOOKUP($BG221,INDIRECT(Adrese!B$2),9,FALSE)</f>
        <v>-6.5069007125953843E-2</v>
      </c>
      <c r="BS221" s="4">
        <f ca="1">+VLOOKUP($BG221,INDIRECT(Adrese!C$2),9,FALSE)</f>
        <v>-6.57289670818932E-2</v>
      </c>
      <c r="BT221" s="4">
        <f ca="1">+VLOOKUP($BG221,INDIRECT(Adrese!D$2),9,FALSE)</f>
        <v>-6.4702534889694768E-2</v>
      </c>
      <c r="BU221" s="4">
        <f ca="1">+VLOOKUP($BG221,INDIRECT(Adrese!E$2),9,FALSE)</f>
        <v>-6.4477288360355448E-2</v>
      </c>
      <c r="BV221" s="4">
        <f ca="1">+VLOOKUP($BG221,INDIRECT(Adrese!F$2),9,FALSE)</f>
        <v>-6.5946255310896887E-2</v>
      </c>
      <c r="BW221" s="4" t="str">
        <f t="shared" ca="1" si="70"/>
        <v>-0.07 (0.00)</v>
      </c>
      <c r="BX221" s="4">
        <f t="shared" ca="1" si="79"/>
        <v>-6.5184810553758826E-2</v>
      </c>
      <c r="BY221" s="4">
        <f t="shared" ca="1" si="71"/>
        <v>6.3688545859566373E-4</v>
      </c>
    </row>
    <row r="222" spans="1:77" x14ac:dyDescent="0.25">
      <c r="A222" t="s">
        <v>268</v>
      </c>
      <c r="B222" s="11">
        <f ca="1">+VLOOKUP($A222,INDIRECT(Adrese!B$2),2,FALSE)</f>
        <v>156</v>
      </c>
      <c r="C222" s="11">
        <f ca="1">+VLOOKUP($A222,INDIRECT(Adrese!C$2),2,FALSE)</f>
        <v>176</v>
      </c>
      <c r="D222" s="11">
        <f ca="1">+VLOOKUP($A222,INDIRECT(Adrese!D$2),2,FALSE)</f>
        <v>154</v>
      </c>
      <c r="E222" s="11">
        <f ca="1">+VLOOKUP($A222,INDIRECT(Adrese!E$2),2,FALSE)</f>
        <v>172</v>
      </c>
      <c r="F222" s="11">
        <f ca="1">+VLOOKUP($A222,INDIRECT(Adrese!F$2),2,FALSE)</f>
        <v>159</v>
      </c>
      <c r="G222" s="4">
        <f t="shared" ca="1" si="72"/>
        <v>163.4</v>
      </c>
      <c r="J222" t="s">
        <v>268</v>
      </c>
      <c r="K222">
        <f ca="1">+VLOOKUP($A222,INDIRECT(Adrese!B$2),3,FALSE)</f>
        <v>140</v>
      </c>
      <c r="L222">
        <f ca="1">+VLOOKUP($A222,INDIRECT(Adrese!C$2),3,FALSE)</f>
        <v>134</v>
      </c>
      <c r="M222">
        <f ca="1">+VLOOKUP($A222,INDIRECT(Adrese!D$2),3,FALSE)</f>
        <v>138</v>
      </c>
      <c r="N222">
        <f ca="1">+VLOOKUP($A222,INDIRECT(Adrese!E$2),3,FALSE)</f>
        <v>125</v>
      </c>
      <c r="O222">
        <f ca="1">+VLOOKUP($A222,INDIRECT(Adrese!F$2),3,FALSE)</f>
        <v>142</v>
      </c>
      <c r="P222">
        <f t="shared" ca="1" si="62"/>
        <v>679</v>
      </c>
      <c r="Q222" s="4">
        <f t="shared" ca="1" si="73"/>
        <v>135.80000000000001</v>
      </c>
      <c r="R222" s="4"/>
      <c r="T222" t="s">
        <v>268</v>
      </c>
      <c r="U222">
        <f ca="1">+VLOOKUP($T222,INDIRECT(Adrese!B$2),4,FALSE)</f>
        <v>92961</v>
      </c>
      <c r="V222">
        <f ca="1">+VLOOKUP($T222,INDIRECT(Adrese!C$2),4,FALSE)</f>
        <v>91138</v>
      </c>
      <c r="W222">
        <f ca="1">+VLOOKUP($T222,INDIRECT(Adrese!D$2),4,FALSE)</f>
        <v>93331</v>
      </c>
      <c r="X222">
        <f ca="1">+VLOOKUP($T222,INDIRECT(Adrese!E$2),4,FALSE)</f>
        <v>91671</v>
      </c>
      <c r="Y222">
        <f ca="1">+VLOOKUP($T222,INDIRECT(Adrese!F$2),4,FALSE)</f>
        <v>93208</v>
      </c>
      <c r="Z222">
        <f t="shared" ca="1" si="63"/>
        <v>462309</v>
      </c>
      <c r="AA222" s="4">
        <f t="shared" ca="1" si="74"/>
        <v>92461.8</v>
      </c>
      <c r="AC222" t="s">
        <v>268</v>
      </c>
      <c r="AD222">
        <f ca="1">+VLOOKUP($A222,INDIRECT(Adrese!B$2),5,FALSE)</f>
        <v>14916</v>
      </c>
      <c r="AE222">
        <f ca="1">+VLOOKUP($A222,INDIRECT(Adrese!C$2),5,FALSE)</f>
        <v>15133</v>
      </c>
      <c r="AF222">
        <f ca="1">+VLOOKUP($A222,INDIRECT(Adrese!D$2),5,FALSE)</f>
        <v>14958</v>
      </c>
      <c r="AG222">
        <f ca="1">+VLOOKUP($A222,INDIRECT(Adrese!E$2),5,FALSE)</f>
        <v>14790</v>
      </c>
      <c r="AH222">
        <f ca="1">+VLOOKUP($A222,INDIRECT(Adrese!F$2),5,FALSE)</f>
        <v>14964</v>
      </c>
      <c r="AI222" s="4">
        <f t="shared" ca="1" si="75"/>
        <v>14952.2</v>
      </c>
      <c r="AJ222" s="4"/>
      <c r="AK222" s="4"/>
      <c r="AM222" t="s">
        <v>268</v>
      </c>
      <c r="AN222" s="4">
        <f ca="1">+VLOOKUP($A222,INDIRECT(Adrese!B$2),6,FALSE)</f>
        <v>0.32907079646017701</v>
      </c>
      <c r="AO222" s="4">
        <f ca="1">+VLOOKUP($A222,INDIRECT(Adrese!C$2),6,FALSE)</f>
        <v>0.33300884955752208</v>
      </c>
      <c r="AP222" s="4">
        <f ca="1">+VLOOKUP($A222,INDIRECT(Adrese!D$2),6,FALSE)</f>
        <v>0.32922566371681422</v>
      </c>
      <c r="AQ222" s="4">
        <f ca="1">+VLOOKUP($A222,INDIRECT(Adrese!E$2),6,FALSE)</f>
        <v>0.3263716814159292</v>
      </c>
      <c r="AR222" s="4">
        <f ca="1">+VLOOKUP($A222,INDIRECT(Adrese!F$2),6,FALSE)</f>
        <v>0.32964601769911511</v>
      </c>
      <c r="AS222" s="4" t="str">
        <f t="shared" ca="1" si="64"/>
        <v>0.33 (0.00)</v>
      </c>
      <c r="AT222" s="4">
        <f t="shared" ca="1" si="76"/>
        <v>0.32946460176991155</v>
      </c>
      <c r="AU222" s="4">
        <f t="shared" ca="1" si="65"/>
        <v>2.3650018208567127E-3</v>
      </c>
      <c r="AW222" t="s">
        <v>268</v>
      </c>
      <c r="AX222" s="4">
        <f ca="1">+VLOOKUP($A222,INDIRECT(Adrese!B$2),7,FALSE)</f>
        <v>0.38053097345132741</v>
      </c>
      <c r="AY222" s="4">
        <f ca="1">+VLOOKUP($A222,INDIRECT(Adrese!C$2),7,FALSE)</f>
        <v>0.40707964601769908</v>
      </c>
      <c r="AZ222" s="4">
        <f ca="1">+VLOOKUP($A222,INDIRECT(Adrese!D$2),7,FALSE)</f>
        <v>0.38938053097345132</v>
      </c>
      <c r="BA222" s="4">
        <f ca="1">+VLOOKUP($A222,INDIRECT(Adrese!E$2),7,FALSE)</f>
        <v>0.44690265486725661</v>
      </c>
      <c r="BB222" s="4">
        <f ca="1">+VLOOKUP($A222,INDIRECT(Adrese!F$2),7,FALSE)</f>
        <v>0.37168141592920362</v>
      </c>
      <c r="BC222" s="4" t="str">
        <f t="shared" ca="1" si="66"/>
        <v>0.40 (0.03)</v>
      </c>
      <c r="BD222">
        <f t="shared" ca="1" si="77"/>
        <v>0.3991150442477876</v>
      </c>
      <c r="BE222" s="4">
        <f t="shared" ca="1" si="67"/>
        <v>2.9748205865436451E-2</v>
      </c>
      <c r="BG222" t="s">
        <v>268</v>
      </c>
      <c r="BH222" s="4">
        <f ca="1">+VLOOKUP($BG222,INDIRECT(Adrese!B$2),8,FALSE)</f>
        <v>4.5975074710673802E-2</v>
      </c>
      <c r="BI222" s="4">
        <f ca="1">+VLOOKUP($BG222,INDIRECT(Adrese!C$2),8,FALSE)</f>
        <v>4.6835600034804629E-2</v>
      </c>
      <c r="BJ222" s="4">
        <f ca="1">+VLOOKUP($BG222,INDIRECT(Adrese!D$2),8,FALSE)</f>
        <v>4.6205558791415767E-2</v>
      </c>
      <c r="BK222" s="4">
        <f ca="1">+VLOOKUP($BG222,INDIRECT(Adrese!E$2),8,FALSE)</f>
        <v>4.5445696468497172E-2</v>
      </c>
      <c r="BL222" s="4">
        <f ca="1">+VLOOKUP($BG222,INDIRECT(Adrese!F$2),8,FALSE)</f>
        <v>4.6312768340423471E-2</v>
      </c>
      <c r="BM222" s="4" t="str">
        <f t="shared" ca="1" si="68"/>
        <v>0.05 (0.00)</v>
      </c>
      <c r="BN222" s="4">
        <f t="shared" ca="1" si="78"/>
        <v>4.6154939669162967E-2</v>
      </c>
      <c r="BO222" s="4">
        <f t="shared" ca="1" si="69"/>
        <v>5.0649482705845863E-4</v>
      </c>
      <c r="BQ222" t="s">
        <v>268</v>
      </c>
      <c r="BR222" s="4">
        <f ca="1">+VLOOKUP($BG222,INDIRECT(Adrese!B$2),9,FALSE)</f>
        <v>7.5022259090004276E-2</v>
      </c>
      <c r="BS222" s="4">
        <f ca="1">+VLOOKUP($BG222,INDIRECT(Adrese!C$2),9,FALSE)</f>
        <v>7.6946517582679785E-2</v>
      </c>
      <c r="BT222" s="4">
        <f ca="1">+VLOOKUP($BG222,INDIRECT(Adrese!D$2),9,FALSE)</f>
        <v>7.6317221776205049E-2</v>
      </c>
      <c r="BU222" s="4">
        <f ca="1">+VLOOKUP($BG222,INDIRECT(Adrese!E$2),9,FALSE)</f>
        <v>7.6051760418875208E-2</v>
      </c>
      <c r="BV222" s="4">
        <f ca="1">+VLOOKUP($BG222,INDIRECT(Adrese!F$2),9,FALSE)</f>
        <v>7.7018910008901334E-2</v>
      </c>
      <c r="BW222" s="4" t="str">
        <f t="shared" ca="1" si="70"/>
        <v>0.08 (0.00)</v>
      </c>
      <c r="BX222" s="4">
        <f t="shared" ca="1" si="79"/>
        <v>7.6271333775333114E-2</v>
      </c>
      <c r="BY222" s="4">
        <f t="shared" ca="1" si="71"/>
        <v>8.1013102886489015E-4</v>
      </c>
    </row>
    <row r="223" spans="1:77" x14ac:dyDescent="0.25">
      <c r="A223" t="s">
        <v>269</v>
      </c>
      <c r="B223" s="11">
        <f ca="1">+VLOOKUP($A223,INDIRECT(Adrese!B$2),2,FALSE)</f>
        <v>174</v>
      </c>
      <c r="C223" s="11">
        <f ca="1">+VLOOKUP($A223,INDIRECT(Adrese!C$2),2,FALSE)</f>
        <v>177</v>
      </c>
      <c r="D223" s="11">
        <f ca="1">+VLOOKUP($A223,INDIRECT(Adrese!D$2),2,FALSE)</f>
        <v>180</v>
      </c>
      <c r="E223" s="11">
        <f ca="1">+VLOOKUP($A223,INDIRECT(Adrese!E$2),2,FALSE)</f>
        <v>175</v>
      </c>
      <c r="F223" s="11">
        <f ca="1">+VLOOKUP($A223,INDIRECT(Adrese!F$2),2,FALSE)</f>
        <v>184</v>
      </c>
      <c r="G223" s="4">
        <f t="shared" ca="1" si="72"/>
        <v>178</v>
      </c>
      <c r="J223" t="s">
        <v>269</v>
      </c>
      <c r="K223">
        <f ca="1">+VLOOKUP($A223,INDIRECT(Adrese!B$2),3,FALSE)</f>
        <v>108</v>
      </c>
      <c r="L223">
        <f ca="1">+VLOOKUP($A223,INDIRECT(Adrese!C$2),3,FALSE)</f>
        <v>108</v>
      </c>
      <c r="M223">
        <f ca="1">+VLOOKUP($A223,INDIRECT(Adrese!D$2),3,FALSE)</f>
        <v>110</v>
      </c>
      <c r="N223">
        <f ca="1">+VLOOKUP($A223,INDIRECT(Adrese!E$2),3,FALSE)</f>
        <v>114</v>
      </c>
      <c r="O223">
        <f ca="1">+VLOOKUP($A223,INDIRECT(Adrese!F$2),3,FALSE)</f>
        <v>109</v>
      </c>
      <c r="P223">
        <f t="shared" ca="1" si="62"/>
        <v>549</v>
      </c>
      <c r="Q223" s="4">
        <f t="shared" ca="1" si="73"/>
        <v>109.8</v>
      </c>
      <c r="R223" s="4"/>
      <c r="T223" t="s">
        <v>269</v>
      </c>
      <c r="U223">
        <f ca="1">+VLOOKUP($T223,INDIRECT(Adrese!B$2),4,FALSE)</f>
        <v>91824</v>
      </c>
      <c r="V223">
        <f ca="1">+VLOOKUP($T223,INDIRECT(Adrese!C$2),4,FALSE)</f>
        <v>91097</v>
      </c>
      <c r="W223">
        <f ca="1">+VLOOKUP($T223,INDIRECT(Adrese!D$2),4,FALSE)</f>
        <v>90963</v>
      </c>
      <c r="X223">
        <f ca="1">+VLOOKUP($T223,INDIRECT(Adrese!E$2),4,FALSE)</f>
        <v>91389</v>
      </c>
      <c r="Y223">
        <f ca="1">+VLOOKUP($T223,INDIRECT(Adrese!F$2),4,FALSE)</f>
        <v>90143</v>
      </c>
      <c r="Z223">
        <f t="shared" ca="1" si="63"/>
        <v>455416</v>
      </c>
      <c r="AA223" s="4">
        <f t="shared" ca="1" si="74"/>
        <v>91083.199999999997</v>
      </c>
      <c r="AC223" t="s">
        <v>269</v>
      </c>
      <c r="AD223">
        <f ca="1">+VLOOKUP($A223,INDIRECT(Adrese!B$2),5,FALSE)</f>
        <v>17096</v>
      </c>
      <c r="AE223">
        <f ca="1">+VLOOKUP($A223,INDIRECT(Adrese!C$2),5,FALSE)</f>
        <v>17271</v>
      </c>
      <c r="AF223">
        <f ca="1">+VLOOKUP($A223,INDIRECT(Adrese!D$2),5,FALSE)</f>
        <v>17103</v>
      </c>
      <c r="AG223">
        <f ca="1">+VLOOKUP($A223,INDIRECT(Adrese!E$2),5,FALSE)</f>
        <v>17271</v>
      </c>
      <c r="AH223">
        <f ca="1">+VLOOKUP($A223,INDIRECT(Adrese!F$2),5,FALSE)</f>
        <v>17299</v>
      </c>
      <c r="AI223" s="4">
        <f t="shared" ca="1" si="75"/>
        <v>17208</v>
      </c>
      <c r="AJ223" s="4"/>
      <c r="AK223" s="4"/>
      <c r="AM223" t="s">
        <v>269</v>
      </c>
      <c r="AN223" s="4">
        <f ca="1">+VLOOKUP($A223,INDIRECT(Adrese!B$2),6,FALSE)</f>
        <v>0.37661504424778758</v>
      </c>
      <c r="AO223" s="4">
        <f ca="1">+VLOOKUP($A223,INDIRECT(Adrese!C$2),6,FALSE)</f>
        <v>0.38050884955752212</v>
      </c>
      <c r="AP223" s="4">
        <f ca="1">+VLOOKUP($A223,INDIRECT(Adrese!D$2),6,FALSE)</f>
        <v>0.37703539823008853</v>
      </c>
      <c r="AQ223" s="4">
        <f ca="1">+VLOOKUP($A223,INDIRECT(Adrese!E$2),6,FALSE)</f>
        <v>0.38048672566371677</v>
      </c>
      <c r="AR223" s="4">
        <f ca="1">+VLOOKUP($A223,INDIRECT(Adrese!F$2),6,FALSE)</f>
        <v>0.38090707964601772</v>
      </c>
      <c r="AS223" s="4" t="str">
        <f t="shared" ca="1" si="64"/>
        <v>0.38 (0.00)</v>
      </c>
      <c r="AT223" s="4">
        <f t="shared" ca="1" si="76"/>
        <v>0.37911061946902652</v>
      </c>
      <c r="AU223" s="4">
        <f t="shared" ca="1" si="65"/>
        <v>2.0982387663440322E-3</v>
      </c>
      <c r="AW223" t="s">
        <v>269</v>
      </c>
      <c r="AX223" s="4">
        <f ca="1">+VLOOKUP($A223,INDIRECT(Adrese!B$2),7,FALSE)</f>
        <v>0.52212389380530977</v>
      </c>
      <c r="AY223" s="4">
        <f ca="1">+VLOOKUP($A223,INDIRECT(Adrese!C$2),7,FALSE)</f>
        <v>0.52212389380530977</v>
      </c>
      <c r="AZ223" s="4">
        <f ca="1">+VLOOKUP($A223,INDIRECT(Adrese!D$2),7,FALSE)</f>
        <v>0.51327433628318586</v>
      </c>
      <c r="BA223" s="4">
        <f ca="1">+VLOOKUP($A223,INDIRECT(Adrese!E$2),7,FALSE)</f>
        <v>0.49557522123893799</v>
      </c>
      <c r="BB223" s="4">
        <f ca="1">+VLOOKUP($A223,INDIRECT(Adrese!F$2),7,FALSE)</f>
        <v>0.51769911504424782</v>
      </c>
      <c r="BC223" s="4" t="str">
        <f t="shared" ca="1" si="66"/>
        <v>0.51 (0.01)</v>
      </c>
      <c r="BD223">
        <f t="shared" ca="1" si="77"/>
        <v>0.51415929203539823</v>
      </c>
      <c r="BE223" s="4">
        <f t="shared" ca="1" si="67"/>
        <v>1.1017610263706883E-2</v>
      </c>
      <c r="BG223" t="s">
        <v>269</v>
      </c>
      <c r="BH223" s="4">
        <f ca="1">+VLOOKUP($BG223,INDIRECT(Adrese!B$2),8,FALSE)</f>
        <v>4.0327878568785447E-2</v>
      </c>
      <c r="BI223" s="4">
        <f ca="1">+VLOOKUP($BG223,INDIRECT(Adrese!C$2),8,FALSE)</f>
        <v>4.09122447076785E-2</v>
      </c>
      <c r="BJ223" s="4">
        <f ca="1">+VLOOKUP($BG223,INDIRECT(Adrese!D$2),8,FALSE)</f>
        <v>4.0429404823902539E-2</v>
      </c>
      <c r="BK223" s="4">
        <f ca="1">+VLOOKUP($BG223,INDIRECT(Adrese!E$2),8,FALSE)</f>
        <v>4.0524762428625967E-2</v>
      </c>
      <c r="BL223" s="4">
        <f ca="1">+VLOOKUP($BG223,INDIRECT(Adrese!F$2),8,FALSE)</f>
        <v>4.1140216162651247E-2</v>
      </c>
      <c r="BM223" s="4" t="str">
        <f t="shared" ca="1" si="68"/>
        <v>0.04 (0.00)</v>
      </c>
      <c r="BN223" s="4">
        <f t="shared" ca="1" si="78"/>
        <v>4.0666901338328745E-2</v>
      </c>
      <c r="BO223" s="4">
        <f t="shared" ca="1" si="69"/>
        <v>3.4487852719915419E-4</v>
      </c>
      <c r="BQ223" t="s">
        <v>269</v>
      </c>
      <c r="BR223" s="4">
        <f ca="1">+VLOOKUP($BG223,INDIRECT(Adrese!B$2),9,FALSE)</f>
        <v>-2.62516452195585E-2</v>
      </c>
      <c r="BS223" s="4">
        <f ca="1">+VLOOKUP($BG223,INDIRECT(Adrese!C$2),9,FALSE)</f>
        <v>-2.8121387354279909E-2</v>
      </c>
      <c r="BT223" s="4">
        <f ca="1">+VLOOKUP($BG223,INDIRECT(Adrese!D$2),9,FALSE)</f>
        <v>-2.7274112713595221E-2</v>
      </c>
      <c r="BU223" s="4">
        <f ca="1">+VLOOKUP($BG223,INDIRECT(Adrese!E$2),9,FALSE)</f>
        <v>-2.6640370439730179E-2</v>
      </c>
      <c r="BV223" s="4">
        <f ca="1">+VLOOKUP($BG223,INDIRECT(Adrese!F$2),9,FALSE)</f>
        <v>-2.710622890422687E-2</v>
      </c>
      <c r="BW223" s="4" t="str">
        <f t="shared" ca="1" si="70"/>
        <v>-0.03 (0.00)</v>
      </c>
      <c r="BX223" s="4">
        <f t="shared" ca="1" si="79"/>
        <v>-2.7078748926278141E-2</v>
      </c>
      <c r="BY223" s="4">
        <f t="shared" ca="1" si="71"/>
        <v>7.0751206513853593E-4</v>
      </c>
    </row>
    <row r="224" spans="1:77" x14ac:dyDescent="0.25">
      <c r="A224" t="s">
        <v>270</v>
      </c>
      <c r="B224" s="11">
        <f ca="1">+VLOOKUP($A224,INDIRECT(Adrese!B$2),2,FALSE)</f>
        <v>216</v>
      </c>
      <c r="C224" s="11">
        <f ca="1">+VLOOKUP($A224,INDIRECT(Adrese!C$2),2,FALSE)</f>
        <v>217</v>
      </c>
      <c r="D224" s="11">
        <f ca="1">+VLOOKUP($A224,INDIRECT(Adrese!D$2),2,FALSE)</f>
        <v>218</v>
      </c>
      <c r="E224" s="11">
        <f ca="1">+VLOOKUP($A224,INDIRECT(Adrese!E$2),2,FALSE)</f>
        <v>219</v>
      </c>
      <c r="F224" s="11">
        <f ca="1">+VLOOKUP($A224,INDIRECT(Adrese!F$2),2,FALSE)</f>
        <v>213</v>
      </c>
      <c r="G224" s="4">
        <f t="shared" ca="1" si="72"/>
        <v>216.6</v>
      </c>
      <c r="J224" t="s">
        <v>270</v>
      </c>
      <c r="K224">
        <f ca="1">+VLOOKUP($A224,INDIRECT(Adrese!B$2),3,FALSE)</f>
        <v>64</v>
      </c>
      <c r="L224">
        <f ca="1">+VLOOKUP($A224,INDIRECT(Adrese!C$2),3,FALSE)</f>
        <v>58</v>
      </c>
      <c r="M224">
        <f ca="1">+VLOOKUP($A224,INDIRECT(Adrese!D$2),3,FALSE)</f>
        <v>62</v>
      </c>
      <c r="N224">
        <f ca="1">+VLOOKUP($A224,INDIRECT(Adrese!E$2),3,FALSE)</f>
        <v>62</v>
      </c>
      <c r="O224">
        <f ca="1">+VLOOKUP($A224,INDIRECT(Adrese!F$2),3,FALSE)</f>
        <v>60</v>
      </c>
      <c r="P224">
        <f t="shared" ca="1" si="62"/>
        <v>306</v>
      </c>
      <c r="Q224" s="4">
        <f t="shared" ca="1" si="73"/>
        <v>61.2</v>
      </c>
      <c r="R224" s="4"/>
      <c r="T224" t="s">
        <v>270</v>
      </c>
      <c r="U224">
        <f ca="1">+VLOOKUP($T224,INDIRECT(Adrese!B$2),4,FALSE)</f>
        <v>87244</v>
      </c>
      <c r="V224">
        <f ca="1">+VLOOKUP($T224,INDIRECT(Adrese!C$2),4,FALSE)</f>
        <v>87142</v>
      </c>
      <c r="W224">
        <f ca="1">+VLOOKUP($T224,INDIRECT(Adrese!D$2),4,FALSE)</f>
        <v>87020</v>
      </c>
      <c r="X224">
        <f ca="1">+VLOOKUP($T224,INDIRECT(Adrese!E$2),4,FALSE)</f>
        <v>86706</v>
      </c>
      <c r="Y224">
        <f ca="1">+VLOOKUP($T224,INDIRECT(Adrese!F$2),4,FALSE)</f>
        <v>87309</v>
      </c>
      <c r="Z224">
        <f t="shared" ca="1" si="63"/>
        <v>435421</v>
      </c>
      <c r="AA224" s="4">
        <f t="shared" ca="1" si="74"/>
        <v>87084.2</v>
      </c>
      <c r="AC224" t="s">
        <v>270</v>
      </c>
      <c r="AD224">
        <f ca="1">+VLOOKUP($A224,INDIRECT(Adrese!B$2),5,FALSE)</f>
        <v>30968</v>
      </c>
      <c r="AE224">
        <f ca="1">+VLOOKUP($A224,INDIRECT(Adrese!C$2),5,FALSE)</f>
        <v>30949</v>
      </c>
      <c r="AF224">
        <f ca="1">+VLOOKUP($A224,INDIRECT(Adrese!D$2),5,FALSE)</f>
        <v>30923</v>
      </c>
      <c r="AG224">
        <f ca="1">+VLOOKUP($A224,INDIRECT(Adrese!E$2),5,FALSE)</f>
        <v>30876</v>
      </c>
      <c r="AH224">
        <f ca="1">+VLOOKUP($A224,INDIRECT(Adrese!F$2),5,FALSE)</f>
        <v>30903</v>
      </c>
      <c r="AI224" s="4">
        <f t="shared" ca="1" si="75"/>
        <v>30923.8</v>
      </c>
      <c r="AJ224" s="4"/>
      <c r="AK224" s="4"/>
      <c r="AM224" t="s">
        <v>270</v>
      </c>
      <c r="AN224" s="4">
        <f ca="1">+VLOOKUP($A224,INDIRECT(Adrese!B$2),6,FALSE)</f>
        <v>0.68272123893805314</v>
      </c>
      <c r="AO224" s="4">
        <f ca="1">+VLOOKUP($A224,INDIRECT(Adrese!C$2),6,FALSE)</f>
        <v>0.68230088495575225</v>
      </c>
      <c r="AP224" s="4">
        <f ca="1">+VLOOKUP($A224,INDIRECT(Adrese!D$2),6,FALSE)</f>
        <v>0.68176991150442479</v>
      </c>
      <c r="AQ224" s="4">
        <f ca="1">+VLOOKUP($A224,INDIRECT(Adrese!E$2),6,FALSE)</f>
        <v>0.68068584070796456</v>
      </c>
      <c r="AR224" s="4">
        <f ca="1">+VLOOKUP($A224,INDIRECT(Adrese!F$2),6,FALSE)</f>
        <v>0.68128318584070802</v>
      </c>
      <c r="AS224" s="4" t="str">
        <f t="shared" ca="1" si="64"/>
        <v>0.68 (0.00)</v>
      </c>
      <c r="AT224" s="4">
        <f t="shared" ca="1" si="76"/>
        <v>0.68175221238938055</v>
      </c>
      <c r="AU224" s="4">
        <f t="shared" ca="1" si="65"/>
        <v>8.0583834639464216E-4</v>
      </c>
      <c r="AW224" t="s">
        <v>270</v>
      </c>
      <c r="AX224" s="4">
        <f ca="1">+VLOOKUP($A224,INDIRECT(Adrese!B$2),7,FALSE)</f>
        <v>0.7168141592920354</v>
      </c>
      <c r="AY224" s="4">
        <f ca="1">+VLOOKUP($A224,INDIRECT(Adrese!C$2),7,FALSE)</f>
        <v>0.74336283185840712</v>
      </c>
      <c r="AZ224" s="4">
        <f ca="1">+VLOOKUP($A224,INDIRECT(Adrese!D$2),7,FALSE)</f>
        <v>0.72566371681415931</v>
      </c>
      <c r="BA224" s="4">
        <f ca="1">+VLOOKUP($A224,INDIRECT(Adrese!E$2),7,FALSE)</f>
        <v>0.72566371681415931</v>
      </c>
      <c r="BB224" s="4">
        <f ca="1">+VLOOKUP($A224,INDIRECT(Adrese!F$2),7,FALSE)</f>
        <v>0.73451327433628322</v>
      </c>
      <c r="BC224" s="4" t="str">
        <f t="shared" ca="1" si="66"/>
        <v>0.73 (0.01)</v>
      </c>
      <c r="BD224">
        <f t="shared" ca="1" si="77"/>
        <v>0.72920353982300889</v>
      </c>
      <c r="BE224" s="4">
        <f t="shared" ca="1" si="67"/>
        <v>1.0090048009726901E-2</v>
      </c>
      <c r="BG224" t="s">
        <v>270</v>
      </c>
      <c r="BH224" s="4">
        <f ca="1">+VLOOKUP($BG224,INDIRECT(Adrese!B$2),8,FALSE)</f>
        <v>8.2245243495799911E-2</v>
      </c>
      <c r="BI224" s="4">
        <f ca="1">+VLOOKUP($BG224,INDIRECT(Adrese!C$2),8,FALSE)</f>
        <v>8.2484848802164903E-2</v>
      </c>
      <c r="BJ224" s="4">
        <f ca="1">+VLOOKUP($BG224,INDIRECT(Adrese!D$2),8,FALSE)</f>
        <v>8.2111548963003891E-2</v>
      </c>
      <c r="BK224" s="4">
        <f ca="1">+VLOOKUP($BG224,INDIRECT(Adrese!E$2),8,FALSE)</f>
        <v>8.204338870493677E-2</v>
      </c>
      <c r="BL224" s="4">
        <f ca="1">+VLOOKUP($BG224,INDIRECT(Adrese!F$2),8,FALSE)</f>
        <v>8.2195317333692466E-2</v>
      </c>
      <c r="BM224" s="4" t="str">
        <f t="shared" ca="1" si="68"/>
        <v>0.08 (0.00)</v>
      </c>
      <c r="BN224" s="4">
        <f t="shared" ca="1" si="78"/>
        <v>8.2216069459919577E-2</v>
      </c>
      <c r="BO224" s="4">
        <f t="shared" ca="1" si="69"/>
        <v>1.6901722349161428E-4</v>
      </c>
      <c r="BQ224" t="s">
        <v>270</v>
      </c>
      <c r="BR224" s="4">
        <f ca="1">+VLOOKUP($BG224,INDIRECT(Adrese!B$2),9,FALSE)</f>
        <v>-6.3983888057550634E-2</v>
      </c>
      <c r="BS224" s="4">
        <f ca="1">+VLOOKUP($BG224,INDIRECT(Adrese!C$2),9,FALSE)</f>
        <v>-6.2872166719871586E-2</v>
      </c>
      <c r="BT224" s="4">
        <f ca="1">+VLOOKUP($BG224,INDIRECT(Adrese!D$2),9,FALSE)</f>
        <v>-6.4059689483955448E-2</v>
      </c>
      <c r="BU224" s="4">
        <f ca="1">+VLOOKUP($BG224,INDIRECT(Adrese!E$2),9,FALSE)</f>
        <v>-6.2562754414073857E-2</v>
      </c>
      <c r="BV224" s="4">
        <f ca="1">+VLOOKUP($BG224,INDIRECT(Adrese!F$2),9,FALSE)</f>
        <v>-6.4083915736112607E-2</v>
      </c>
      <c r="BW224" s="4" t="str">
        <f t="shared" ca="1" si="70"/>
        <v>-0.06 (0.00)</v>
      </c>
      <c r="BX224" s="4">
        <f t="shared" ca="1" si="79"/>
        <v>-6.3512482882312843E-2</v>
      </c>
      <c r="BY224" s="4">
        <f t="shared" ca="1" si="71"/>
        <v>7.3487794255084162E-4</v>
      </c>
    </row>
    <row r="225" spans="1:77" x14ac:dyDescent="0.25">
      <c r="A225" t="s">
        <v>271</v>
      </c>
      <c r="B225" s="11">
        <f ca="1">+VLOOKUP($A225,INDIRECT(Adrese!B$2),2,FALSE)</f>
        <v>149</v>
      </c>
      <c r="C225" s="11">
        <f ca="1">+VLOOKUP($A225,INDIRECT(Adrese!C$2),2,FALSE)</f>
        <v>199</v>
      </c>
      <c r="D225" s="11">
        <f ca="1">+VLOOKUP($A225,INDIRECT(Adrese!D$2),2,FALSE)</f>
        <v>176</v>
      </c>
      <c r="E225" s="11">
        <f ca="1">+VLOOKUP($A225,INDIRECT(Adrese!E$2),2,FALSE)</f>
        <v>187</v>
      </c>
      <c r="F225" s="11">
        <f ca="1">+VLOOKUP($A225,INDIRECT(Adrese!F$2),2,FALSE)</f>
        <v>141</v>
      </c>
      <c r="G225" s="4">
        <f t="shared" ca="1" si="72"/>
        <v>170.4</v>
      </c>
      <c r="J225" t="s">
        <v>271</v>
      </c>
      <c r="K225">
        <f ca="1">+VLOOKUP($A225,INDIRECT(Adrese!B$2),3,FALSE)</f>
        <v>171</v>
      </c>
      <c r="L225">
        <f ca="1">+VLOOKUP($A225,INDIRECT(Adrese!C$2),3,FALSE)</f>
        <v>159</v>
      </c>
      <c r="M225">
        <f ca="1">+VLOOKUP($A225,INDIRECT(Adrese!D$2),3,FALSE)</f>
        <v>161</v>
      </c>
      <c r="N225">
        <f ca="1">+VLOOKUP($A225,INDIRECT(Adrese!E$2),3,FALSE)</f>
        <v>169</v>
      </c>
      <c r="O225">
        <f ca="1">+VLOOKUP($A225,INDIRECT(Adrese!F$2),3,FALSE)</f>
        <v>164</v>
      </c>
      <c r="P225">
        <f t="shared" ca="1" si="62"/>
        <v>824</v>
      </c>
      <c r="Q225" s="4">
        <f t="shared" ca="1" si="73"/>
        <v>164.8</v>
      </c>
      <c r="R225" s="4"/>
      <c r="T225" t="s">
        <v>271</v>
      </c>
      <c r="U225">
        <f ca="1">+VLOOKUP($T225,INDIRECT(Adrese!B$2),4,FALSE)</f>
        <v>93496</v>
      </c>
      <c r="V225">
        <f ca="1">+VLOOKUP($T225,INDIRECT(Adrese!C$2),4,FALSE)</f>
        <v>88870</v>
      </c>
      <c r="W225">
        <f ca="1">+VLOOKUP($T225,INDIRECT(Adrese!D$2),4,FALSE)</f>
        <v>91322</v>
      </c>
      <c r="X225">
        <f ca="1">+VLOOKUP($T225,INDIRECT(Adrese!E$2),4,FALSE)</f>
        <v>90271</v>
      </c>
      <c r="Y225">
        <f ca="1">+VLOOKUP($T225,INDIRECT(Adrese!F$2),4,FALSE)</f>
        <v>94039</v>
      </c>
      <c r="Z225">
        <f t="shared" ca="1" si="63"/>
        <v>457998</v>
      </c>
      <c r="AA225" s="4">
        <f t="shared" ca="1" si="74"/>
        <v>91599.6</v>
      </c>
      <c r="AC225" t="s">
        <v>271</v>
      </c>
      <c r="AD225">
        <f ca="1">+VLOOKUP($A225,INDIRECT(Adrese!B$2),5,FALSE)</f>
        <v>10572</v>
      </c>
      <c r="AE225">
        <f ca="1">+VLOOKUP($A225,INDIRECT(Adrese!C$2),5,FALSE)</f>
        <v>11485</v>
      </c>
      <c r="AF225">
        <f ca="1">+VLOOKUP($A225,INDIRECT(Adrese!D$2),5,FALSE)</f>
        <v>12181</v>
      </c>
      <c r="AG225">
        <f ca="1">+VLOOKUP($A225,INDIRECT(Adrese!E$2),5,FALSE)</f>
        <v>11172</v>
      </c>
      <c r="AH225">
        <f ca="1">+VLOOKUP($A225,INDIRECT(Adrese!F$2),5,FALSE)</f>
        <v>11624</v>
      </c>
      <c r="AI225" s="4">
        <f t="shared" ca="1" si="75"/>
        <v>11406.8</v>
      </c>
      <c r="AJ225" s="4"/>
      <c r="AK225" s="4"/>
      <c r="AM225" t="s">
        <v>271</v>
      </c>
      <c r="AN225" s="4">
        <f ca="1">+VLOOKUP($A225,INDIRECT(Adrese!B$2),6,FALSE)</f>
        <v>0.22988938053097349</v>
      </c>
      <c r="AO225" s="4">
        <f ca="1">+VLOOKUP($A225,INDIRECT(Adrese!C$2),6,FALSE)</f>
        <v>0.25022123893805309</v>
      </c>
      <c r="AP225" s="4">
        <f ca="1">+VLOOKUP($A225,INDIRECT(Adrese!D$2),6,FALSE)</f>
        <v>0.26732300884955751</v>
      </c>
      <c r="AQ225" s="4">
        <f ca="1">+VLOOKUP($A225,INDIRECT(Adrese!E$2),6,FALSE)</f>
        <v>0.2431637168141593</v>
      </c>
      <c r="AR225" s="4">
        <f ca="1">+VLOOKUP($A225,INDIRECT(Adrese!F$2),6,FALSE)</f>
        <v>0.25506637168141588</v>
      </c>
      <c r="AS225" s="4" t="str">
        <f t="shared" ca="1" si="64"/>
        <v>0.25 (0.01)</v>
      </c>
      <c r="AT225" s="4">
        <f t="shared" ca="1" si="76"/>
        <v>0.24913274336283181</v>
      </c>
      <c r="AU225" s="4">
        <f t="shared" ca="1" si="65"/>
        <v>1.3903370249109087E-2</v>
      </c>
      <c r="AW225" t="s">
        <v>271</v>
      </c>
      <c r="AX225" s="4">
        <f ca="1">+VLOOKUP($A225,INDIRECT(Adrese!B$2),7,FALSE)</f>
        <v>0.2433628318584071</v>
      </c>
      <c r="AY225" s="4">
        <f ca="1">+VLOOKUP($A225,INDIRECT(Adrese!C$2),7,FALSE)</f>
        <v>0.29646017699115051</v>
      </c>
      <c r="AZ225" s="4">
        <f ca="1">+VLOOKUP($A225,INDIRECT(Adrese!D$2),7,FALSE)</f>
        <v>0.28761061946902661</v>
      </c>
      <c r="BA225" s="4">
        <f ca="1">+VLOOKUP($A225,INDIRECT(Adrese!E$2),7,FALSE)</f>
        <v>0.25221238938053098</v>
      </c>
      <c r="BB225" s="4">
        <f ca="1">+VLOOKUP($A225,INDIRECT(Adrese!F$2),7,FALSE)</f>
        <v>0.27433628318584069</v>
      </c>
      <c r="BC225" s="4" t="str">
        <f t="shared" ca="1" si="66"/>
        <v>0.27 (0.02)</v>
      </c>
      <c r="BD225">
        <f t="shared" ca="1" si="77"/>
        <v>0.27079646017699116</v>
      </c>
      <c r="BE225" s="4">
        <f t="shared" ca="1" si="67"/>
        <v>2.2648644056760606E-2</v>
      </c>
      <c r="BG225" t="s">
        <v>271</v>
      </c>
      <c r="BH225" s="4">
        <f ca="1">+VLOOKUP($BG225,INDIRECT(Adrese!B$2),8,FALSE)</f>
        <v>2.8935964194457889E-2</v>
      </c>
      <c r="BI225" s="4">
        <f ca="1">+VLOOKUP($BG225,INDIRECT(Adrese!C$2),8,FALSE)</f>
        <v>3.1941967990792547E-2</v>
      </c>
      <c r="BJ225" s="4">
        <f ca="1">+VLOOKUP($BG225,INDIRECT(Adrese!D$2),8,FALSE)</f>
        <v>3.3175436290281933E-2</v>
      </c>
      <c r="BK225" s="4">
        <f ca="1">+VLOOKUP($BG225,INDIRECT(Adrese!E$2),8,FALSE)</f>
        <v>3.0231195820619401E-2</v>
      </c>
      <c r="BL225" s="4">
        <f ca="1">+VLOOKUP($BG225,INDIRECT(Adrese!F$2),8,FALSE)</f>
        <v>3.1474925200416823E-2</v>
      </c>
      <c r="BM225" s="4" t="str">
        <f t="shared" ca="1" si="68"/>
        <v>0.03 (0.00)</v>
      </c>
      <c r="BN225" s="4">
        <f t="shared" ca="1" si="78"/>
        <v>3.1151897899313719E-2</v>
      </c>
      <c r="BO225" s="4">
        <f t="shared" ca="1" si="69"/>
        <v>1.6264470102387036E-3</v>
      </c>
      <c r="BQ225" t="s">
        <v>271</v>
      </c>
      <c r="BR225" s="4">
        <f ca="1">+VLOOKUP($BG225,INDIRECT(Adrese!B$2),9,FALSE)</f>
        <v>6.1142462958552128E-2</v>
      </c>
      <c r="BS225" s="4">
        <f ca="1">+VLOOKUP($BG225,INDIRECT(Adrese!C$2),9,FALSE)</f>
        <v>7.5128904488615242E-2</v>
      </c>
      <c r="BT225" s="4">
        <f ca="1">+VLOOKUP($BG225,INDIRECT(Adrese!D$2),9,FALSE)</f>
        <v>5.5912490743425899E-2</v>
      </c>
      <c r="BU225" s="4">
        <f ca="1">+VLOOKUP($BG225,INDIRECT(Adrese!E$2),9,FALSE)</f>
        <v>6.3868485579006554E-2</v>
      </c>
      <c r="BV225" s="4">
        <f ca="1">+VLOOKUP($BG225,INDIRECT(Adrese!F$2),9,FALSE)</f>
        <v>5.2231531985516833E-2</v>
      </c>
      <c r="BW225" s="4" t="str">
        <f t="shared" ca="1" si="70"/>
        <v>0.06 (0.01)</v>
      </c>
      <c r="BX225" s="4">
        <f t="shared" ca="1" si="79"/>
        <v>6.1656775151023323E-2</v>
      </c>
      <c r="BY225" s="4">
        <f t="shared" ca="1" si="71"/>
        <v>8.7818913256439146E-3</v>
      </c>
    </row>
    <row r="226" spans="1:77" x14ac:dyDescent="0.25">
      <c r="A226" t="s">
        <v>272</v>
      </c>
      <c r="B226" s="11">
        <f ca="1">+VLOOKUP($A226,INDIRECT(Adrese!B$2),2,FALSE)</f>
        <v>163</v>
      </c>
      <c r="C226" s="11">
        <f ca="1">+VLOOKUP($A226,INDIRECT(Adrese!C$2),2,FALSE)</f>
        <v>175</v>
      </c>
      <c r="D226" s="11">
        <f ca="1">+VLOOKUP($A226,INDIRECT(Adrese!D$2),2,FALSE)</f>
        <v>172</v>
      </c>
      <c r="E226" s="11">
        <f ca="1">+VLOOKUP($A226,INDIRECT(Adrese!E$2),2,FALSE)</f>
        <v>149</v>
      </c>
      <c r="F226" s="11">
        <f ca="1">+VLOOKUP($A226,INDIRECT(Adrese!F$2),2,FALSE)</f>
        <v>175</v>
      </c>
      <c r="G226" s="4">
        <f t="shared" ca="1" si="72"/>
        <v>166.8</v>
      </c>
      <c r="J226" t="s">
        <v>272</v>
      </c>
      <c r="K226">
        <f ca="1">+VLOOKUP($A226,INDIRECT(Adrese!B$2),3,FALSE)</f>
        <v>141</v>
      </c>
      <c r="L226">
        <f ca="1">+VLOOKUP($A226,INDIRECT(Adrese!C$2),3,FALSE)</f>
        <v>142</v>
      </c>
      <c r="M226">
        <f ca="1">+VLOOKUP($A226,INDIRECT(Adrese!D$2),3,FALSE)</f>
        <v>138</v>
      </c>
      <c r="N226">
        <f ca="1">+VLOOKUP($A226,INDIRECT(Adrese!E$2),3,FALSE)</f>
        <v>146</v>
      </c>
      <c r="O226">
        <f ca="1">+VLOOKUP($A226,INDIRECT(Adrese!F$2),3,FALSE)</f>
        <v>144</v>
      </c>
      <c r="P226">
        <f t="shared" ca="1" si="62"/>
        <v>711</v>
      </c>
      <c r="Q226" s="4">
        <f t="shared" ca="1" si="73"/>
        <v>142.19999999999999</v>
      </c>
      <c r="R226" s="4"/>
      <c r="T226" t="s">
        <v>272</v>
      </c>
      <c r="U226">
        <f ca="1">+VLOOKUP($T226,INDIRECT(Adrese!B$2),4,FALSE)</f>
        <v>92596</v>
      </c>
      <c r="V226">
        <f ca="1">+VLOOKUP($T226,INDIRECT(Adrese!C$2),4,FALSE)</f>
        <v>91190</v>
      </c>
      <c r="W226">
        <f ca="1">+VLOOKUP($T226,INDIRECT(Adrese!D$2),4,FALSE)</f>
        <v>91634</v>
      </c>
      <c r="X226">
        <f ca="1">+VLOOKUP($T226,INDIRECT(Adrese!E$2),4,FALSE)</f>
        <v>93628</v>
      </c>
      <c r="Y226">
        <f ca="1">+VLOOKUP($T226,INDIRECT(Adrese!F$2),4,FALSE)</f>
        <v>91864</v>
      </c>
      <c r="Z226">
        <f t="shared" ca="1" si="63"/>
        <v>460912</v>
      </c>
      <c r="AA226" s="4">
        <f t="shared" ca="1" si="74"/>
        <v>92182.399999999994</v>
      </c>
      <c r="AC226" t="s">
        <v>272</v>
      </c>
      <c r="AD226">
        <f ca="1">+VLOOKUP($A226,INDIRECT(Adrese!B$2),5,FALSE)</f>
        <v>12524</v>
      </c>
      <c r="AE226">
        <f ca="1">+VLOOKUP($A226,INDIRECT(Adrese!C$2),5,FALSE)</f>
        <v>12227</v>
      </c>
      <c r="AF226">
        <f ca="1">+VLOOKUP($A226,INDIRECT(Adrese!D$2),5,FALSE)</f>
        <v>12528</v>
      </c>
      <c r="AG226">
        <f ca="1">+VLOOKUP($A226,INDIRECT(Adrese!E$2),5,FALSE)</f>
        <v>12452</v>
      </c>
      <c r="AH226">
        <f ca="1">+VLOOKUP($A226,INDIRECT(Adrese!F$2),5,FALSE)</f>
        <v>12416</v>
      </c>
      <c r="AI226" s="4">
        <f t="shared" ca="1" si="75"/>
        <v>12429.4</v>
      </c>
      <c r="AJ226" s="4"/>
      <c r="AK226" s="4"/>
      <c r="AM226" t="s">
        <v>272</v>
      </c>
      <c r="AN226" s="4">
        <f ca="1">+VLOOKUP($A226,INDIRECT(Adrese!B$2),6,FALSE)</f>
        <v>0.27579646017699122</v>
      </c>
      <c r="AO226" s="4">
        <f ca="1">+VLOOKUP($A226,INDIRECT(Adrese!C$2),6,FALSE)</f>
        <v>0.26953539823008849</v>
      </c>
      <c r="AP226" s="4">
        <f ca="1">+VLOOKUP($A226,INDIRECT(Adrese!D$2),6,FALSE)</f>
        <v>0.27610619469026548</v>
      </c>
      <c r="AQ226" s="4">
        <f ca="1">+VLOOKUP($A226,INDIRECT(Adrese!E$2),6,FALSE)</f>
        <v>0.27415929203539818</v>
      </c>
      <c r="AR226" s="4">
        <f ca="1">+VLOOKUP($A226,INDIRECT(Adrese!F$2),6,FALSE)</f>
        <v>0.27373893805309729</v>
      </c>
      <c r="AS226" s="4" t="str">
        <f t="shared" ca="1" si="64"/>
        <v>0.27 (0.00)</v>
      </c>
      <c r="AT226" s="4">
        <f t="shared" ca="1" si="76"/>
        <v>0.2738672566371681</v>
      </c>
      <c r="AU226" s="4">
        <f t="shared" ca="1" si="65"/>
        <v>2.6268525603608413E-3</v>
      </c>
      <c r="AW226" t="s">
        <v>272</v>
      </c>
      <c r="AX226" s="4">
        <f ca="1">+VLOOKUP($A226,INDIRECT(Adrese!B$2),7,FALSE)</f>
        <v>0.37610619469026552</v>
      </c>
      <c r="AY226" s="4">
        <f ca="1">+VLOOKUP($A226,INDIRECT(Adrese!C$2),7,FALSE)</f>
        <v>0.37168141592920362</v>
      </c>
      <c r="AZ226" s="4">
        <f ca="1">+VLOOKUP($A226,INDIRECT(Adrese!D$2),7,FALSE)</f>
        <v>0.38938053097345132</v>
      </c>
      <c r="BA226" s="4">
        <f ca="1">+VLOOKUP($A226,INDIRECT(Adrese!E$2),7,FALSE)</f>
        <v>0.35398230088495569</v>
      </c>
      <c r="BB226" s="4">
        <f ca="1">+VLOOKUP($A226,INDIRECT(Adrese!F$2),7,FALSE)</f>
        <v>0.36283185840707971</v>
      </c>
      <c r="BC226" s="4" t="str">
        <f t="shared" ca="1" si="66"/>
        <v>0.37 (0.01)</v>
      </c>
      <c r="BD226">
        <f t="shared" ca="1" si="77"/>
        <v>0.37079646017699119</v>
      </c>
      <c r="BE226" s="4">
        <f t="shared" ca="1" si="67"/>
        <v>1.3421018485047004E-2</v>
      </c>
      <c r="BG226" t="s">
        <v>272</v>
      </c>
      <c r="BH226" s="4">
        <f ca="1">+VLOOKUP($BG226,INDIRECT(Adrese!B$2),8,FALSE)</f>
        <v>3.774279436647044E-2</v>
      </c>
      <c r="BI226" s="4">
        <f ca="1">+VLOOKUP($BG226,INDIRECT(Adrese!C$2),8,FALSE)</f>
        <v>3.6347912061272913E-2</v>
      </c>
      <c r="BJ226" s="4">
        <f ca="1">+VLOOKUP($BG226,INDIRECT(Adrese!D$2),8,FALSE)</f>
        <v>3.7280470571947749E-2</v>
      </c>
      <c r="BK226" s="4">
        <f ca="1">+VLOOKUP($BG226,INDIRECT(Adrese!E$2),8,FALSE)</f>
        <v>3.6768142924535792E-2</v>
      </c>
      <c r="BL226" s="4">
        <f ca="1">+VLOOKUP($BG226,INDIRECT(Adrese!F$2),8,FALSE)</f>
        <v>3.6722628136740577E-2</v>
      </c>
      <c r="BM226" s="4" t="str">
        <f t="shared" ca="1" si="68"/>
        <v>0.04 (0.00)</v>
      </c>
      <c r="BN226" s="4">
        <f t="shared" ca="1" si="78"/>
        <v>3.6972389612193492E-2</v>
      </c>
      <c r="BO226" s="4">
        <f t="shared" ca="1" si="69"/>
        <v>5.4371570669306416E-4</v>
      </c>
      <c r="BQ226" t="s">
        <v>272</v>
      </c>
      <c r="BR226" s="4">
        <f ca="1">+VLOOKUP($BG226,INDIRECT(Adrese!B$2),9,FALSE)</f>
        <v>7.515331703830333E-2</v>
      </c>
      <c r="BS226" s="4">
        <f ca="1">+VLOOKUP($BG226,INDIRECT(Adrese!C$2),9,FALSE)</f>
        <v>7.3509143033988422E-2</v>
      </c>
      <c r="BT226" s="4">
        <f ca="1">+VLOOKUP($BG226,INDIRECT(Adrese!D$2),9,FALSE)</f>
        <v>6.9116200648504517E-2</v>
      </c>
      <c r="BU226" s="4">
        <f ca="1">+VLOOKUP($BG226,INDIRECT(Adrese!E$2),9,FALSE)</f>
        <v>7.000118279980265E-2</v>
      </c>
      <c r="BV226" s="4">
        <f ca="1">+VLOOKUP($BG226,INDIRECT(Adrese!F$2),9,FALSE)</f>
        <v>6.6963945273743872E-2</v>
      </c>
      <c r="BW226" s="4" t="str">
        <f t="shared" ca="1" si="70"/>
        <v>0.07 (0.00)</v>
      </c>
      <c r="BX226" s="4">
        <f t="shared" ca="1" si="79"/>
        <v>7.0948757758868566E-2</v>
      </c>
      <c r="BY226" s="4">
        <f t="shared" ca="1" si="71"/>
        <v>3.3304949293885668E-3</v>
      </c>
    </row>
    <row r="227" spans="1:77" x14ac:dyDescent="0.25">
      <c r="A227" t="s">
        <v>273</v>
      </c>
      <c r="B227" s="11">
        <f ca="1">+VLOOKUP($A227,INDIRECT(Adrese!B$2),2,FALSE)</f>
        <v>226</v>
      </c>
      <c r="C227" s="11">
        <f ca="1">+VLOOKUP($A227,INDIRECT(Adrese!C$2),2,FALSE)</f>
        <v>224</v>
      </c>
      <c r="D227" s="11">
        <f ca="1">+VLOOKUP($A227,INDIRECT(Adrese!D$2),2,FALSE)</f>
        <v>226</v>
      </c>
      <c r="E227" s="11">
        <f ca="1">+VLOOKUP($A227,INDIRECT(Adrese!E$2),2,FALSE)</f>
        <v>218</v>
      </c>
      <c r="F227" s="11">
        <f ca="1">+VLOOKUP($A227,INDIRECT(Adrese!F$2),2,FALSE)</f>
        <v>222</v>
      </c>
      <c r="G227" s="4">
        <f t="shared" ca="1" si="72"/>
        <v>223.2</v>
      </c>
      <c r="J227" t="s">
        <v>273</v>
      </c>
      <c r="K227">
        <f ca="1">+VLOOKUP($A227,INDIRECT(Adrese!B$2),3,FALSE)</f>
        <v>60</v>
      </c>
      <c r="L227">
        <f ca="1">+VLOOKUP($A227,INDIRECT(Adrese!C$2),3,FALSE)</f>
        <v>56</v>
      </c>
      <c r="M227">
        <f ca="1">+VLOOKUP($A227,INDIRECT(Adrese!D$2),3,FALSE)</f>
        <v>60</v>
      </c>
      <c r="N227">
        <f ca="1">+VLOOKUP($A227,INDIRECT(Adrese!E$2),3,FALSE)</f>
        <v>60</v>
      </c>
      <c r="O227">
        <f ca="1">+VLOOKUP($A227,INDIRECT(Adrese!F$2),3,FALSE)</f>
        <v>59</v>
      </c>
      <c r="P227">
        <f t="shared" ca="1" si="62"/>
        <v>295</v>
      </c>
      <c r="Q227" s="4">
        <f t="shared" ca="1" si="73"/>
        <v>59</v>
      </c>
      <c r="R227" s="4"/>
      <c r="T227" t="s">
        <v>273</v>
      </c>
      <c r="U227">
        <f ca="1">+VLOOKUP($T227,INDIRECT(Adrese!B$2),4,FALSE)</f>
        <v>85374</v>
      </c>
      <c r="V227">
        <f ca="1">+VLOOKUP($T227,INDIRECT(Adrese!C$2),4,FALSE)</f>
        <v>86323</v>
      </c>
      <c r="W227">
        <f ca="1">+VLOOKUP($T227,INDIRECT(Adrese!D$2),4,FALSE)</f>
        <v>86374</v>
      </c>
      <c r="X227">
        <f ca="1">+VLOOKUP($T227,INDIRECT(Adrese!E$2),4,FALSE)</f>
        <v>86851</v>
      </c>
      <c r="Y227">
        <f ca="1">+VLOOKUP($T227,INDIRECT(Adrese!F$2),4,FALSE)</f>
        <v>86419</v>
      </c>
      <c r="Z227">
        <f t="shared" ca="1" si="63"/>
        <v>431341</v>
      </c>
      <c r="AA227" s="4">
        <f t="shared" ca="1" si="74"/>
        <v>86268.2</v>
      </c>
      <c r="AC227" t="s">
        <v>273</v>
      </c>
      <c r="AD227">
        <f ca="1">+VLOOKUP($A227,INDIRECT(Adrese!B$2),5,FALSE)</f>
        <v>31969</v>
      </c>
      <c r="AE227">
        <f ca="1">+VLOOKUP($A227,INDIRECT(Adrese!C$2),5,FALSE)</f>
        <v>31815</v>
      </c>
      <c r="AF227">
        <f ca="1">+VLOOKUP($A227,INDIRECT(Adrese!D$2),5,FALSE)</f>
        <v>31722</v>
      </c>
      <c r="AG227">
        <f ca="1">+VLOOKUP($A227,INDIRECT(Adrese!E$2),5,FALSE)</f>
        <v>31781</v>
      </c>
      <c r="AH227">
        <f ca="1">+VLOOKUP($A227,INDIRECT(Adrese!F$2),5,FALSE)</f>
        <v>31811</v>
      </c>
      <c r="AI227" s="4">
        <f t="shared" ca="1" si="75"/>
        <v>31819.599999999999</v>
      </c>
      <c r="AJ227" s="4"/>
      <c r="AK227" s="4"/>
      <c r="AM227" t="s">
        <v>273</v>
      </c>
      <c r="AN227" s="4">
        <f ca="1">+VLOOKUP($A227,INDIRECT(Adrese!B$2),6,FALSE)</f>
        <v>0.70455752212389378</v>
      </c>
      <c r="AO227" s="4">
        <f ca="1">+VLOOKUP($A227,INDIRECT(Adrese!C$2),6,FALSE)</f>
        <v>0.70115044247787606</v>
      </c>
      <c r="AP227" s="4">
        <f ca="1">+VLOOKUP($A227,INDIRECT(Adrese!D$2),6,FALSE)</f>
        <v>0.69909292035398229</v>
      </c>
      <c r="AQ227" s="4">
        <f ca="1">+VLOOKUP($A227,INDIRECT(Adrese!E$2),6,FALSE)</f>
        <v>0.70039823008849555</v>
      </c>
      <c r="AR227" s="4">
        <f ca="1">+VLOOKUP($A227,INDIRECT(Adrese!F$2),6,FALSE)</f>
        <v>0.70106194690265489</v>
      </c>
      <c r="AS227" s="4" t="str">
        <f t="shared" ca="1" si="64"/>
        <v>0.70 (0.00)</v>
      </c>
      <c r="AT227" s="4">
        <f t="shared" ca="1" si="76"/>
        <v>0.70125221238938062</v>
      </c>
      <c r="AU227" s="4">
        <f t="shared" ca="1" si="65"/>
        <v>2.0225885874142601E-3</v>
      </c>
      <c r="AW227" t="s">
        <v>273</v>
      </c>
      <c r="AX227" s="4">
        <f ca="1">+VLOOKUP($A227,INDIRECT(Adrese!B$2),7,FALSE)</f>
        <v>0.73451327433628322</v>
      </c>
      <c r="AY227" s="4">
        <f ca="1">+VLOOKUP($A227,INDIRECT(Adrese!C$2),7,FALSE)</f>
        <v>0.75221238938053092</v>
      </c>
      <c r="AZ227" s="4">
        <f ca="1">+VLOOKUP($A227,INDIRECT(Adrese!D$2),7,FALSE)</f>
        <v>0.73451327433628322</v>
      </c>
      <c r="BA227" s="4">
        <f ca="1">+VLOOKUP($A227,INDIRECT(Adrese!E$2),7,FALSE)</f>
        <v>0.73451327433628322</v>
      </c>
      <c r="BB227" s="4">
        <f ca="1">+VLOOKUP($A227,INDIRECT(Adrese!F$2),7,FALSE)</f>
        <v>0.73893805309734517</v>
      </c>
      <c r="BC227" s="4" t="str">
        <f t="shared" ca="1" si="66"/>
        <v>0.74 (0.01)</v>
      </c>
      <c r="BD227">
        <f t="shared" ca="1" si="77"/>
        <v>0.73893805309734517</v>
      </c>
      <c r="BE227" s="4">
        <f t="shared" ca="1" si="67"/>
        <v>7.6639416264109254E-3</v>
      </c>
      <c r="BG227" t="s">
        <v>273</v>
      </c>
      <c r="BH227" s="4">
        <f ca="1">+VLOOKUP($BG227,INDIRECT(Adrese!B$2),8,FALSE)</f>
        <v>8.1573078421831785E-2</v>
      </c>
      <c r="BI227" s="4">
        <f ca="1">+VLOOKUP($BG227,INDIRECT(Adrese!C$2),8,FALSE)</f>
        <v>8.1747259270300257E-2</v>
      </c>
      <c r="BJ227" s="4">
        <f ca="1">+VLOOKUP($BG227,INDIRECT(Adrese!D$2),8,FALSE)</f>
        <v>8.1347418251279266E-2</v>
      </c>
      <c r="BK227" s="4">
        <f ca="1">+VLOOKUP($BG227,INDIRECT(Adrese!E$2),8,FALSE)</f>
        <v>8.1443559766202447E-2</v>
      </c>
      <c r="BL227" s="4">
        <f ca="1">+VLOOKUP($BG227,INDIRECT(Adrese!F$2),8,FALSE)</f>
        <v>8.1676044354145133E-2</v>
      </c>
      <c r="BM227" s="4" t="str">
        <f t="shared" ca="1" si="68"/>
        <v>0.08 (0.00)</v>
      </c>
      <c r="BN227" s="4">
        <f t="shared" ca="1" si="78"/>
        <v>8.1557472012751792E-2</v>
      </c>
      <c r="BO227" s="4">
        <f t="shared" ca="1" si="69"/>
        <v>1.6387552127934948E-4</v>
      </c>
      <c r="BQ227" t="s">
        <v>273</v>
      </c>
      <c r="BR227" s="4">
        <f ca="1">+VLOOKUP($BG227,INDIRECT(Adrese!B$2),9,FALSE)</f>
        <v>-8.8207095200633967E-2</v>
      </c>
      <c r="BS227" s="4">
        <f ca="1">+VLOOKUP($BG227,INDIRECT(Adrese!C$2),9,FALSE)</f>
        <v>-8.3586252108794931E-2</v>
      </c>
      <c r="BT227" s="4">
        <f ca="1">+VLOOKUP($BG227,INDIRECT(Adrese!D$2),9,FALSE)</f>
        <v>-8.4600202401396443E-2</v>
      </c>
      <c r="BU227" s="4">
        <f ca="1">+VLOOKUP($BG227,INDIRECT(Adrese!E$2),9,FALSE)</f>
        <v>-8.4518244557447317E-2</v>
      </c>
      <c r="BV227" s="4">
        <f ca="1">+VLOOKUP($BG227,INDIRECT(Adrese!F$2),9,FALSE)</f>
        <v>-8.4256810601916171E-2</v>
      </c>
      <c r="BW227" s="4" t="str">
        <f t="shared" ca="1" si="70"/>
        <v>-0.09 (0.00)</v>
      </c>
      <c r="BX227" s="4">
        <f t="shared" ca="1" si="79"/>
        <v>-8.503372097403776E-2</v>
      </c>
      <c r="BY227" s="4">
        <f t="shared" ca="1" si="71"/>
        <v>1.8181525041280524E-3</v>
      </c>
    </row>
    <row r="228" spans="1:77" x14ac:dyDescent="0.25">
      <c r="A228" t="s">
        <v>274</v>
      </c>
      <c r="B228" s="11">
        <f ca="1">+VLOOKUP($A228,INDIRECT(Adrese!B$2),2,FALSE)</f>
        <v>222</v>
      </c>
      <c r="C228" s="11">
        <f ca="1">+VLOOKUP($A228,INDIRECT(Adrese!C$2),2,FALSE)</f>
        <v>219</v>
      </c>
      <c r="D228" s="11">
        <f ca="1">+VLOOKUP($A228,INDIRECT(Adrese!D$2),2,FALSE)</f>
        <v>209</v>
      </c>
      <c r="E228" s="11">
        <f ca="1">+VLOOKUP($A228,INDIRECT(Adrese!E$2),2,FALSE)</f>
        <v>217</v>
      </c>
      <c r="F228" s="11">
        <f ca="1">+VLOOKUP($A228,INDIRECT(Adrese!F$2),2,FALSE)</f>
        <v>223</v>
      </c>
      <c r="G228" s="4">
        <f t="shared" ca="1" si="72"/>
        <v>218</v>
      </c>
      <c r="J228" t="s">
        <v>274</v>
      </c>
      <c r="K228">
        <f ca="1">+VLOOKUP($A228,INDIRECT(Adrese!B$2),3,FALSE)</f>
        <v>77</v>
      </c>
      <c r="L228">
        <f ca="1">+VLOOKUP($A228,INDIRECT(Adrese!C$2),3,FALSE)</f>
        <v>74</v>
      </c>
      <c r="M228">
        <f ca="1">+VLOOKUP($A228,INDIRECT(Adrese!D$2),3,FALSE)</f>
        <v>77</v>
      </c>
      <c r="N228">
        <f ca="1">+VLOOKUP($A228,INDIRECT(Adrese!E$2),3,FALSE)</f>
        <v>78</v>
      </c>
      <c r="O228">
        <f ca="1">+VLOOKUP($A228,INDIRECT(Adrese!F$2),3,FALSE)</f>
        <v>76</v>
      </c>
      <c r="P228">
        <f t="shared" ca="1" si="62"/>
        <v>382</v>
      </c>
      <c r="Q228" s="4">
        <f t="shared" ca="1" si="73"/>
        <v>76.400000000000006</v>
      </c>
      <c r="R228" s="4"/>
      <c r="T228" t="s">
        <v>274</v>
      </c>
      <c r="U228">
        <f ca="1">+VLOOKUP($T228,INDIRECT(Adrese!B$2),4,FALSE)</f>
        <v>86336</v>
      </c>
      <c r="V228">
        <f ca="1">+VLOOKUP($T228,INDIRECT(Adrese!C$2),4,FALSE)</f>
        <v>86945</v>
      </c>
      <c r="W228">
        <f ca="1">+VLOOKUP($T228,INDIRECT(Adrese!D$2),4,FALSE)</f>
        <v>87839</v>
      </c>
      <c r="X228">
        <f ca="1">+VLOOKUP($T228,INDIRECT(Adrese!E$2),4,FALSE)</f>
        <v>87012</v>
      </c>
      <c r="Y228">
        <f ca="1">+VLOOKUP($T228,INDIRECT(Adrese!F$2),4,FALSE)</f>
        <v>86334</v>
      </c>
      <c r="Z228">
        <f t="shared" ca="1" si="63"/>
        <v>434466</v>
      </c>
      <c r="AA228" s="4">
        <f t="shared" ca="1" si="74"/>
        <v>86893.2</v>
      </c>
      <c r="AC228" t="s">
        <v>274</v>
      </c>
      <c r="AD228">
        <f ca="1">+VLOOKUP($A228,INDIRECT(Adrese!B$2),5,FALSE)</f>
        <v>25797</v>
      </c>
      <c r="AE228">
        <f ca="1">+VLOOKUP($A228,INDIRECT(Adrese!C$2),5,FALSE)</f>
        <v>25631</v>
      </c>
      <c r="AF228">
        <f ca="1">+VLOOKUP($A228,INDIRECT(Adrese!D$2),5,FALSE)</f>
        <v>25549</v>
      </c>
      <c r="AG228">
        <f ca="1">+VLOOKUP($A228,INDIRECT(Adrese!E$2),5,FALSE)</f>
        <v>25560</v>
      </c>
      <c r="AH228">
        <f ca="1">+VLOOKUP($A228,INDIRECT(Adrese!F$2),5,FALSE)</f>
        <v>25787</v>
      </c>
      <c r="AI228" s="4">
        <f t="shared" ca="1" si="75"/>
        <v>25664.799999999999</v>
      </c>
      <c r="AJ228" s="4"/>
      <c r="AK228" s="4"/>
      <c r="AM228" t="s">
        <v>274</v>
      </c>
      <c r="AN228" s="4">
        <f ca="1">+VLOOKUP($A228,INDIRECT(Adrese!B$2),6,FALSE)</f>
        <v>0.56851769911504424</v>
      </c>
      <c r="AO228" s="4">
        <f ca="1">+VLOOKUP($A228,INDIRECT(Adrese!C$2),6,FALSE)</f>
        <v>0.5648008849557522</v>
      </c>
      <c r="AP228" s="4">
        <f ca="1">+VLOOKUP($A228,INDIRECT(Adrese!D$2),6,FALSE)</f>
        <v>0.56305309734513276</v>
      </c>
      <c r="AQ228" s="4">
        <f ca="1">+VLOOKUP($A228,INDIRECT(Adrese!E$2),6,FALSE)</f>
        <v>0.56334070796460178</v>
      </c>
      <c r="AR228" s="4">
        <f ca="1">+VLOOKUP($A228,INDIRECT(Adrese!F$2),6,FALSE)</f>
        <v>0.56834070796460179</v>
      </c>
      <c r="AS228" s="4" t="str">
        <f t="shared" ca="1" si="64"/>
        <v>0.57 (0.00)</v>
      </c>
      <c r="AT228" s="4">
        <f t="shared" ca="1" si="76"/>
        <v>0.56561061946902647</v>
      </c>
      <c r="AU228" s="4">
        <f t="shared" ca="1" si="65"/>
        <v>2.6577049730959778E-3</v>
      </c>
      <c r="AW228" t="s">
        <v>274</v>
      </c>
      <c r="AX228" s="4">
        <f ca="1">+VLOOKUP($A228,INDIRECT(Adrese!B$2),7,FALSE)</f>
        <v>0.65929203539823011</v>
      </c>
      <c r="AY228" s="4">
        <f ca="1">+VLOOKUP($A228,INDIRECT(Adrese!C$2),7,FALSE)</f>
        <v>0.67256637168141598</v>
      </c>
      <c r="AZ228" s="4">
        <f ca="1">+VLOOKUP($A228,INDIRECT(Adrese!D$2),7,FALSE)</f>
        <v>0.65929203539823011</v>
      </c>
      <c r="BA228" s="4">
        <f ca="1">+VLOOKUP($A228,INDIRECT(Adrese!E$2),7,FALSE)</f>
        <v>0.65486725663716816</v>
      </c>
      <c r="BB228" s="4">
        <f ca="1">+VLOOKUP($A228,INDIRECT(Adrese!F$2),7,FALSE)</f>
        <v>0.66371681415929207</v>
      </c>
      <c r="BC228" s="4" t="str">
        <f t="shared" ca="1" si="66"/>
        <v>0.66 (0.01)</v>
      </c>
      <c r="BD228">
        <f t="shared" ca="1" si="77"/>
        <v>0.66194690265486722</v>
      </c>
      <c r="BE228" s="4">
        <f t="shared" ca="1" si="67"/>
        <v>6.7105092425235064E-3</v>
      </c>
      <c r="BG228" t="s">
        <v>274</v>
      </c>
      <c r="BH228" s="4">
        <f ca="1">+VLOOKUP($BG228,INDIRECT(Adrese!B$2),8,FALSE)</f>
        <v>6.4152430539708913E-2</v>
      </c>
      <c r="BI228" s="4">
        <f ca="1">+VLOOKUP($BG228,INDIRECT(Adrese!C$2),8,FALSE)</f>
        <v>6.3335205356353425E-2</v>
      </c>
      <c r="BJ228" s="4">
        <f ca="1">+VLOOKUP($BG228,INDIRECT(Adrese!D$2),8,FALSE)</f>
        <v>6.3425258048193364E-2</v>
      </c>
      <c r="BK228" s="4">
        <f ca="1">+VLOOKUP($BG228,INDIRECT(Adrese!E$2),8,FALSE)</f>
        <v>6.3305743482967664E-2</v>
      </c>
      <c r="BL228" s="4">
        <f ca="1">+VLOOKUP($BG228,INDIRECT(Adrese!F$2),8,FALSE)</f>
        <v>6.3862434199040627E-2</v>
      </c>
      <c r="BM228" s="4" t="str">
        <f t="shared" ca="1" si="68"/>
        <v>0.06 (0.00)</v>
      </c>
      <c r="BN228" s="4">
        <f t="shared" ca="1" si="78"/>
        <v>6.3616214325252801E-2</v>
      </c>
      <c r="BO228" s="4">
        <f t="shared" ca="1" si="69"/>
        <v>3.7415723270881382E-4</v>
      </c>
      <c r="BQ228" t="s">
        <v>274</v>
      </c>
      <c r="BR228" s="4">
        <f ca="1">+VLOOKUP($BG228,INDIRECT(Adrese!B$2),9,FALSE)</f>
        <v>-6.3426241577116932E-2</v>
      </c>
      <c r="BS228" s="4">
        <f ca="1">+VLOOKUP($BG228,INDIRECT(Adrese!C$2),9,FALSE)</f>
        <v>-6.6173854837659724E-2</v>
      </c>
      <c r="BT228" s="4">
        <f ca="1">+VLOOKUP($BG228,INDIRECT(Adrese!D$2),9,FALSE)</f>
        <v>-6.3778689277500758E-2</v>
      </c>
      <c r="BU228" s="4">
        <f ca="1">+VLOOKUP($BG228,INDIRECT(Adrese!E$2),9,FALSE)</f>
        <v>-6.4312134635903462E-2</v>
      </c>
      <c r="BV228" s="4">
        <f ca="1">+VLOOKUP($BG228,INDIRECT(Adrese!F$2),9,FALSE)</f>
        <v>-6.6823228546097638E-2</v>
      </c>
      <c r="BW228" s="4" t="str">
        <f t="shared" ca="1" si="70"/>
        <v>-0.06 (0.00)</v>
      </c>
      <c r="BX228" s="4">
        <f t="shared" ca="1" si="79"/>
        <v>-6.4902829774855703E-2</v>
      </c>
      <c r="BY228" s="4">
        <f t="shared" ca="1" si="71"/>
        <v>1.5080087418132032E-3</v>
      </c>
    </row>
    <row r="229" spans="1:77" x14ac:dyDescent="0.25">
      <c r="A229" t="s">
        <v>275</v>
      </c>
      <c r="B229" s="11">
        <f ca="1">+VLOOKUP($A229,INDIRECT(Adrese!B$2),2,FALSE)</f>
        <v>122</v>
      </c>
      <c r="C229" s="11">
        <f ca="1">+VLOOKUP($A229,INDIRECT(Adrese!C$2),2,FALSE)</f>
        <v>98</v>
      </c>
      <c r="D229" s="11">
        <f ca="1">+VLOOKUP($A229,INDIRECT(Adrese!D$2),2,FALSE)</f>
        <v>113</v>
      </c>
      <c r="E229" s="11">
        <f ca="1">+VLOOKUP($A229,INDIRECT(Adrese!E$2),2,FALSE)</f>
        <v>99</v>
      </c>
      <c r="F229" s="11">
        <f ca="1">+VLOOKUP($A229,INDIRECT(Adrese!F$2),2,FALSE)</f>
        <v>97</v>
      </c>
      <c r="G229" s="4">
        <f t="shared" ca="1" si="72"/>
        <v>105.8</v>
      </c>
      <c r="J229" t="s">
        <v>275</v>
      </c>
      <c r="K229">
        <f ca="1">+VLOOKUP($A229,INDIRECT(Adrese!B$2),3,FALSE)</f>
        <v>200</v>
      </c>
      <c r="L229">
        <f ca="1">+VLOOKUP($A229,INDIRECT(Adrese!C$2),3,FALSE)</f>
        <v>205</v>
      </c>
      <c r="M229">
        <f ca="1">+VLOOKUP($A229,INDIRECT(Adrese!D$2),3,FALSE)</f>
        <v>203</v>
      </c>
      <c r="N229">
        <f ca="1">+VLOOKUP($A229,INDIRECT(Adrese!E$2),3,FALSE)</f>
        <v>203</v>
      </c>
      <c r="O229">
        <f ca="1">+VLOOKUP($A229,INDIRECT(Adrese!F$2),3,FALSE)</f>
        <v>210</v>
      </c>
      <c r="P229">
        <f t="shared" ca="1" si="62"/>
        <v>1021</v>
      </c>
      <c r="Q229" s="4">
        <f t="shared" ca="1" si="73"/>
        <v>204.2</v>
      </c>
      <c r="R229" s="4"/>
      <c r="T229" t="s">
        <v>275</v>
      </c>
      <c r="U229">
        <f ca="1">+VLOOKUP($T229,INDIRECT(Adrese!B$2),4,FALSE)</f>
        <v>94583</v>
      </c>
      <c r="V229">
        <f ca="1">+VLOOKUP($T229,INDIRECT(Adrese!C$2),4,FALSE)</f>
        <v>95620</v>
      </c>
      <c r="W229">
        <f ca="1">+VLOOKUP($T229,INDIRECT(Adrese!D$2),4,FALSE)</f>
        <v>95408</v>
      </c>
      <c r="X229">
        <f ca="1">+VLOOKUP($T229,INDIRECT(Adrese!E$2),4,FALSE)</f>
        <v>95523</v>
      </c>
      <c r="Y229">
        <f ca="1">+VLOOKUP($T229,INDIRECT(Adrese!F$2),4,FALSE)</f>
        <v>95479</v>
      </c>
      <c r="Z229">
        <f t="shared" ca="1" si="63"/>
        <v>476613</v>
      </c>
      <c r="AA229" s="4">
        <f t="shared" ca="1" si="74"/>
        <v>95322.6</v>
      </c>
      <c r="AC229" t="s">
        <v>275</v>
      </c>
      <c r="AD229">
        <f ca="1">+VLOOKUP($A229,INDIRECT(Adrese!B$2),5,FALSE)</f>
        <v>4449</v>
      </c>
      <c r="AE229">
        <f ca="1">+VLOOKUP($A229,INDIRECT(Adrese!C$2),5,FALSE)</f>
        <v>4549</v>
      </c>
      <c r="AF229">
        <f ca="1">+VLOOKUP($A229,INDIRECT(Adrese!D$2),5,FALSE)</f>
        <v>4449</v>
      </c>
      <c r="AG229">
        <f ca="1">+VLOOKUP($A229,INDIRECT(Adrese!E$2),5,FALSE)</f>
        <v>4457</v>
      </c>
      <c r="AH229">
        <f ca="1">+VLOOKUP($A229,INDIRECT(Adrese!F$2),5,FALSE)</f>
        <v>4515</v>
      </c>
      <c r="AI229" s="4">
        <f t="shared" ca="1" si="75"/>
        <v>4483.8</v>
      </c>
      <c r="AJ229" s="4"/>
      <c r="AK229" s="4"/>
      <c r="AM229" t="s">
        <v>275</v>
      </c>
      <c r="AN229" s="4">
        <f ca="1">+VLOOKUP($A229,INDIRECT(Adrese!B$2),6,FALSE)</f>
        <v>9.7942477876106201E-2</v>
      </c>
      <c r="AO229" s="4">
        <f ca="1">+VLOOKUP($A229,INDIRECT(Adrese!C$2),6,FALSE)</f>
        <v>0.1002212389380531</v>
      </c>
      <c r="AP229" s="4">
        <f ca="1">+VLOOKUP($A229,INDIRECT(Adrese!D$2),6,FALSE)</f>
        <v>9.8075221238938054E-2</v>
      </c>
      <c r="AQ229" s="4">
        <f ca="1">+VLOOKUP($A229,INDIRECT(Adrese!E$2),6,FALSE)</f>
        <v>9.8119469026548667E-2</v>
      </c>
      <c r="AR229" s="4">
        <f ca="1">+VLOOKUP($A229,INDIRECT(Adrese!F$2),6,FALSE)</f>
        <v>9.9491150442477874E-2</v>
      </c>
      <c r="AS229" s="4" t="str">
        <f t="shared" ca="1" si="64"/>
        <v>0.10 (0.00)</v>
      </c>
      <c r="AT229" s="4">
        <f t="shared" ca="1" si="76"/>
        <v>9.8769911504424768E-2</v>
      </c>
      <c r="AU229" s="4">
        <f t="shared" ca="1" si="65"/>
        <v>1.0267489124204366E-3</v>
      </c>
      <c r="AW229" t="s">
        <v>275</v>
      </c>
      <c r="AX229" s="4">
        <f ca="1">+VLOOKUP($A229,INDIRECT(Adrese!B$2),7,FALSE)</f>
        <v>0.1150442477876106</v>
      </c>
      <c r="AY229" s="4">
        <f ca="1">+VLOOKUP($A229,INDIRECT(Adrese!C$2),7,FALSE)</f>
        <v>9.2920353982300891E-2</v>
      </c>
      <c r="AZ229" s="4">
        <f ca="1">+VLOOKUP($A229,INDIRECT(Adrese!D$2),7,FALSE)</f>
        <v>0.1017699115044248</v>
      </c>
      <c r="BA229" s="4">
        <f ca="1">+VLOOKUP($A229,INDIRECT(Adrese!E$2),7,FALSE)</f>
        <v>0.1017699115044248</v>
      </c>
      <c r="BB229" s="4">
        <f ca="1">+VLOOKUP($A229,INDIRECT(Adrese!F$2),7,FALSE)</f>
        <v>7.0796460176991149E-2</v>
      </c>
      <c r="BC229" s="4" t="str">
        <f t="shared" ca="1" si="66"/>
        <v>0.10 (0.02)</v>
      </c>
      <c r="BD229">
        <f t="shared" ca="1" si="77"/>
        <v>9.6460176991150462E-2</v>
      </c>
      <c r="BE229" s="4">
        <f t="shared" ca="1" si="67"/>
        <v>1.6377659755151916E-2</v>
      </c>
      <c r="BG229" t="s">
        <v>275</v>
      </c>
      <c r="BH229" s="4">
        <f ca="1">+VLOOKUP($BG229,INDIRECT(Adrese!B$2),8,FALSE)</f>
        <v>1.253770592809059E-2</v>
      </c>
      <c r="BI229" s="4">
        <f ca="1">+VLOOKUP($BG229,INDIRECT(Adrese!C$2),8,FALSE)</f>
        <v>1.2778945755565129E-2</v>
      </c>
      <c r="BJ229" s="4">
        <f ca="1">+VLOOKUP($BG229,INDIRECT(Adrese!D$2),8,FALSE)</f>
        <v>1.2479593227453329E-2</v>
      </c>
      <c r="BK229" s="4">
        <f ca="1">+VLOOKUP($BG229,INDIRECT(Adrese!E$2),8,FALSE)</f>
        <v>1.239393006565215E-2</v>
      </c>
      <c r="BL229" s="4">
        <f ca="1">+VLOOKUP($BG229,INDIRECT(Adrese!F$2),8,FALSE)</f>
        <v>1.2707360302141001E-2</v>
      </c>
      <c r="BM229" s="4" t="str">
        <f t="shared" ca="1" si="68"/>
        <v>0.01 (0.00)</v>
      </c>
      <c r="BN229" s="4">
        <f t="shared" ca="1" si="78"/>
        <v>1.2579507055780439E-2</v>
      </c>
      <c r="BO229" s="4">
        <f t="shared" ca="1" si="69"/>
        <v>1.5991495724989249E-4</v>
      </c>
      <c r="BQ229" t="s">
        <v>275</v>
      </c>
      <c r="BR229" s="4">
        <f ca="1">+VLOOKUP($BG229,INDIRECT(Adrese!B$2),9,FALSE)</f>
        <v>9.6339906869128231E-2</v>
      </c>
      <c r="BS229" s="4">
        <f ca="1">+VLOOKUP($BG229,INDIRECT(Adrese!C$2),9,FALSE)</f>
        <v>9.5846069252901595E-2</v>
      </c>
      <c r="BT229" s="4">
        <f ca="1">+VLOOKUP($BG229,INDIRECT(Adrese!D$2),9,FALSE)</f>
        <v>9.603638091126139E-2</v>
      </c>
      <c r="BU229" s="4">
        <f ca="1">+VLOOKUP($BG229,INDIRECT(Adrese!E$2),9,FALSE)</f>
        <v>9.5414371212875715E-2</v>
      </c>
      <c r="BV229" s="4">
        <f ca="1">+VLOOKUP($BG229,INDIRECT(Adrese!F$2),9,FALSE)</f>
        <v>9.5519652570545163E-2</v>
      </c>
      <c r="BW229" s="4" t="str">
        <f t="shared" ca="1" si="70"/>
        <v>0.10 (0.00)</v>
      </c>
      <c r="BX229" s="4">
        <f t="shared" ca="1" si="79"/>
        <v>9.5831276163342416E-2</v>
      </c>
      <c r="BY229" s="4">
        <f t="shared" ca="1" si="71"/>
        <v>3.7812398406385781E-4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4"/>
  <sheetViews>
    <sheetView workbookViewId="0">
      <selection activeCell="C1144" sqref="C1144"/>
    </sheetView>
  </sheetViews>
  <sheetFormatPr defaultRowHeight="15" x14ac:dyDescent="0.25"/>
  <sheetData>
    <row r="1" spans="1:9" x14ac:dyDescent="0.25">
      <c r="A1" s="12" t="s">
        <v>0</v>
      </c>
      <c r="C1" s="12" t="s">
        <v>1</v>
      </c>
      <c r="D1" s="12" t="s">
        <v>2</v>
      </c>
      <c r="E1" s="12" t="s">
        <v>3</v>
      </c>
      <c r="F1" s="12" t="s">
        <v>281</v>
      </c>
      <c r="G1" s="12" t="s">
        <v>282</v>
      </c>
      <c r="H1" s="12" t="s">
        <v>283</v>
      </c>
      <c r="I1" s="12" t="s">
        <v>284</v>
      </c>
    </row>
    <row r="2" spans="1:9" x14ac:dyDescent="0.25">
      <c r="A2" t="s">
        <v>4</v>
      </c>
      <c r="B2" s="12">
        <v>1</v>
      </c>
      <c r="C2">
        <v>87</v>
      </c>
      <c r="D2">
        <v>105874</v>
      </c>
      <c r="E2">
        <v>21631</v>
      </c>
      <c r="F2">
        <v>0.47657079646017703</v>
      </c>
      <c r="G2">
        <v>0.61504424778761058</v>
      </c>
      <c r="H2">
        <v>6.0113025631327879E-2</v>
      </c>
      <c r="I2">
        <v>-4.2943408963758853E-2</v>
      </c>
    </row>
    <row r="3" spans="1:9" x14ac:dyDescent="0.25">
      <c r="A3" t="s">
        <v>14</v>
      </c>
      <c r="B3" s="12">
        <v>2</v>
      </c>
      <c r="C3">
        <v>142</v>
      </c>
      <c r="D3">
        <v>104728</v>
      </c>
      <c r="E3">
        <v>13283</v>
      </c>
      <c r="F3">
        <v>0.29331858407079647</v>
      </c>
      <c r="G3">
        <v>0.37168141592920362</v>
      </c>
      <c r="H3">
        <v>3.7931549159282762E-2</v>
      </c>
      <c r="I3">
        <v>1.5769812633784588E-2</v>
      </c>
    </row>
    <row r="4" spans="1:9" x14ac:dyDescent="0.25">
      <c r="A4" t="s">
        <v>96</v>
      </c>
      <c r="B4" s="12">
        <v>3</v>
      </c>
      <c r="C4">
        <v>125</v>
      </c>
      <c r="D4">
        <v>104650</v>
      </c>
      <c r="E4">
        <v>19634</v>
      </c>
      <c r="F4">
        <v>0.43055309734513281</v>
      </c>
      <c r="G4">
        <v>0.44690265486725661</v>
      </c>
      <c r="H4">
        <v>6.4217353943221339E-2</v>
      </c>
      <c r="I4">
        <v>3.6288131753416233E-2</v>
      </c>
    </row>
    <row r="5" spans="1:9" x14ac:dyDescent="0.25">
      <c r="A5" t="s">
        <v>109</v>
      </c>
      <c r="B5" s="12">
        <v>4</v>
      </c>
      <c r="C5">
        <v>124</v>
      </c>
      <c r="D5">
        <v>104388</v>
      </c>
      <c r="E5">
        <v>15789</v>
      </c>
      <c r="F5">
        <v>0.34716814159292042</v>
      </c>
      <c r="G5">
        <v>0.45132743362831862</v>
      </c>
      <c r="H5">
        <v>4.7077286907559947E-2</v>
      </c>
      <c r="I5">
        <v>3.4631922243105719E-2</v>
      </c>
    </row>
    <row r="6" spans="1:9" x14ac:dyDescent="0.25">
      <c r="A6" t="s">
        <v>91</v>
      </c>
      <c r="B6" s="12">
        <v>5</v>
      </c>
      <c r="C6">
        <v>129</v>
      </c>
      <c r="D6">
        <v>103071</v>
      </c>
      <c r="E6">
        <v>15267</v>
      </c>
      <c r="F6">
        <v>0.33683628318584069</v>
      </c>
      <c r="G6">
        <v>0.42920353982300891</v>
      </c>
      <c r="H6">
        <v>4.3015106497242057E-2</v>
      </c>
      <c r="I6">
        <v>2.7414851920220772E-3</v>
      </c>
    </row>
    <row r="7" spans="1:9" x14ac:dyDescent="0.25">
      <c r="A7" t="s">
        <v>71</v>
      </c>
      <c r="B7" s="12">
        <v>6</v>
      </c>
      <c r="C7">
        <v>174</v>
      </c>
      <c r="D7">
        <v>102638</v>
      </c>
      <c r="E7">
        <v>13066</v>
      </c>
      <c r="F7">
        <v>0.28679203539823012</v>
      </c>
      <c r="G7">
        <v>0.23008849557522121</v>
      </c>
      <c r="H7">
        <v>4.265893069477808E-2</v>
      </c>
      <c r="I7">
        <v>6.6014801678006982E-2</v>
      </c>
    </row>
    <row r="8" spans="1:9" x14ac:dyDescent="0.25">
      <c r="A8" t="s">
        <v>83</v>
      </c>
      <c r="B8" s="12">
        <v>7</v>
      </c>
      <c r="C8">
        <v>114</v>
      </c>
      <c r="D8">
        <v>102153</v>
      </c>
      <c r="E8">
        <v>20487</v>
      </c>
      <c r="F8">
        <v>0.44935840707964603</v>
      </c>
      <c r="G8">
        <v>0.49557522123893799</v>
      </c>
      <c r="H8">
        <v>6.76187166862844E-2</v>
      </c>
      <c r="I8">
        <v>3.840161031845641E-2</v>
      </c>
    </row>
    <row r="9" spans="1:9" x14ac:dyDescent="0.25">
      <c r="A9" t="s">
        <v>81</v>
      </c>
      <c r="B9" s="12">
        <v>8</v>
      </c>
      <c r="C9">
        <v>160</v>
      </c>
      <c r="D9">
        <v>102132</v>
      </c>
      <c r="E9">
        <v>13256</v>
      </c>
      <c r="F9">
        <v>0.29227876106194689</v>
      </c>
      <c r="G9">
        <v>0.29203539823008851</v>
      </c>
      <c r="H9">
        <v>4.0672672221949722E-2</v>
      </c>
      <c r="I9">
        <v>5.9792976542428433E-2</v>
      </c>
    </row>
    <row r="10" spans="1:9" x14ac:dyDescent="0.25">
      <c r="A10" t="s">
        <v>70</v>
      </c>
      <c r="B10" s="12">
        <v>9</v>
      </c>
      <c r="C10">
        <v>112</v>
      </c>
      <c r="D10">
        <v>101553</v>
      </c>
      <c r="E10">
        <v>17311</v>
      </c>
      <c r="F10">
        <v>0.38103982300884948</v>
      </c>
      <c r="G10">
        <v>0.50442477876106195</v>
      </c>
      <c r="H10">
        <v>5.1134998882799577E-2</v>
      </c>
      <c r="I10">
        <v>2.562192309658546E-2</v>
      </c>
    </row>
    <row r="11" spans="1:9" x14ac:dyDescent="0.25">
      <c r="A11" t="s">
        <v>76</v>
      </c>
      <c r="B11" s="12">
        <v>10</v>
      </c>
      <c r="C11">
        <v>190</v>
      </c>
      <c r="D11">
        <v>101325</v>
      </c>
      <c r="E11">
        <v>13534</v>
      </c>
      <c r="F11">
        <v>0.29827433628318578</v>
      </c>
      <c r="G11">
        <v>0.15929203539823009</v>
      </c>
      <c r="H11">
        <v>4.5881133623269801E-2</v>
      </c>
      <c r="I11">
        <v>9.2684912033328473E-2</v>
      </c>
    </row>
    <row r="12" spans="1:9" x14ac:dyDescent="0.25">
      <c r="A12" t="s">
        <v>111</v>
      </c>
      <c r="B12" s="12">
        <v>11</v>
      </c>
      <c r="C12">
        <v>95</v>
      </c>
      <c r="D12">
        <v>101230</v>
      </c>
      <c r="E12">
        <v>22647</v>
      </c>
      <c r="F12">
        <v>0.4971017699115044</v>
      </c>
      <c r="G12">
        <v>0.57964601769911506</v>
      </c>
      <c r="H12">
        <v>7.6517753736866395E-2</v>
      </c>
      <c r="I12">
        <v>4.6355705159655231E-2</v>
      </c>
    </row>
    <row r="13" spans="1:9" x14ac:dyDescent="0.25">
      <c r="A13" t="s">
        <v>135</v>
      </c>
      <c r="B13" s="12">
        <v>12</v>
      </c>
      <c r="C13">
        <v>35</v>
      </c>
      <c r="D13">
        <v>101005</v>
      </c>
      <c r="E13">
        <v>28268</v>
      </c>
      <c r="F13">
        <v>0.62157079646017699</v>
      </c>
      <c r="G13">
        <v>0.84513274336283184</v>
      </c>
      <c r="H13">
        <v>8.9851148547363133E-2</v>
      </c>
      <c r="I13">
        <v>1.336475727318715E-2</v>
      </c>
    </row>
    <row r="14" spans="1:9" x14ac:dyDescent="0.25">
      <c r="A14" t="s">
        <v>134</v>
      </c>
      <c r="B14" s="12">
        <v>13</v>
      </c>
      <c r="C14">
        <v>75</v>
      </c>
      <c r="D14">
        <v>101002</v>
      </c>
      <c r="E14">
        <v>25587</v>
      </c>
      <c r="F14">
        <v>0.56201327433628323</v>
      </c>
      <c r="G14">
        <v>0.66814159292035402</v>
      </c>
      <c r="H14">
        <v>8.5127001524277782E-2</v>
      </c>
      <c r="I14">
        <v>3.1910323776398943E-2</v>
      </c>
    </row>
    <row r="15" spans="1:9" x14ac:dyDescent="0.25">
      <c r="A15" t="s">
        <v>90</v>
      </c>
      <c r="B15" s="12">
        <v>14</v>
      </c>
      <c r="C15">
        <v>198</v>
      </c>
      <c r="D15">
        <v>101000</v>
      </c>
      <c r="E15">
        <v>11820</v>
      </c>
      <c r="F15">
        <v>0.26084070796460179</v>
      </c>
      <c r="G15">
        <v>0.1238938053097345</v>
      </c>
      <c r="H15">
        <v>4.0467694243428637E-2</v>
      </c>
      <c r="I15">
        <v>0.10232641937774679</v>
      </c>
    </row>
    <row r="16" spans="1:9" x14ac:dyDescent="0.25">
      <c r="A16" t="s">
        <v>113</v>
      </c>
      <c r="B16" s="12">
        <v>15</v>
      </c>
      <c r="C16">
        <v>162</v>
      </c>
      <c r="D16">
        <v>100819</v>
      </c>
      <c r="E16">
        <v>15241</v>
      </c>
      <c r="F16">
        <v>0.333141592920354</v>
      </c>
      <c r="G16">
        <v>0.2831858407079646</v>
      </c>
      <c r="H16">
        <v>5.1578457808079008E-2</v>
      </c>
      <c r="I16">
        <v>7.8040234881938897E-2</v>
      </c>
    </row>
    <row r="17" spans="1:9" x14ac:dyDescent="0.25">
      <c r="A17" t="s">
        <v>85</v>
      </c>
      <c r="B17" s="12">
        <v>16</v>
      </c>
      <c r="C17">
        <v>200</v>
      </c>
      <c r="D17">
        <v>100535</v>
      </c>
      <c r="E17">
        <v>7806</v>
      </c>
      <c r="F17">
        <v>0.1717920353982301</v>
      </c>
      <c r="G17">
        <v>0.1150442477876106</v>
      </c>
      <c r="H17">
        <v>2.3480929153564849E-2</v>
      </c>
      <c r="I17">
        <v>8.7627135967191863E-2</v>
      </c>
    </row>
    <row r="18" spans="1:9" x14ac:dyDescent="0.25">
      <c r="A18" t="s">
        <v>82</v>
      </c>
      <c r="B18" s="12">
        <v>17</v>
      </c>
      <c r="C18">
        <v>105</v>
      </c>
      <c r="D18">
        <v>100455</v>
      </c>
      <c r="E18">
        <v>22212</v>
      </c>
      <c r="F18">
        <v>0.48818584070796461</v>
      </c>
      <c r="G18">
        <v>0.53539823008849563</v>
      </c>
      <c r="H18">
        <v>7.0340841852987973E-2</v>
      </c>
      <c r="I18">
        <v>3.7111742382529768E-2</v>
      </c>
    </row>
    <row r="19" spans="1:9" x14ac:dyDescent="0.25">
      <c r="A19" t="s">
        <v>133</v>
      </c>
      <c r="B19" s="12">
        <v>18</v>
      </c>
      <c r="C19">
        <v>63</v>
      </c>
      <c r="D19">
        <v>100397</v>
      </c>
      <c r="E19">
        <v>24492</v>
      </c>
      <c r="F19">
        <v>0.5381858407079646</v>
      </c>
      <c r="G19">
        <v>0.72123893805309736</v>
      </c>
      <c r="H19">
        <v>7.5747451904112958E-2</v>
      </c>
      <c r="I19">
        <v>3.1581602904255028E-3</v>
      </c>
    </row>
    <row r="20" spans="1:9" x14ac:dyDescent="0.25">
      <c r="A20" t="s">
        <v>177</v>
      </c>
      <c r="B20" s="12">
        <v>19</v>
      </c>
      <c r="C20">
        <v>61</v>
      </c>
      <c r="D20">
        <v>100283</v>
      </c>
      <c r="E20">
        <v>25274</v>
      </c>
      <c r="F20">
        <v>0.55575221238938055</v>
      </c>
      <c r="G20">
        <v>0.73008849557522126</v>
      </c>
      <c r="H20">
        <v>8.0947321725151108E-2</v>
      </c>
      <c r="I20">
        <v>3.438865387979443E-2</v>
      </c>
    </row>
    <row r="21" spans="1:9" x14ac:dyDescent="0.25">
      <c r="A21" t="s">
        <v>89</v>
      </c>
      <c r="B21" s="12">
        <v>20</v>
      </c>
      <c r="C21">
        <v>198</v>
      </c>
      <c r="D21">
        <v>100145</v>
      </c>
      <c r="E21">
        <v>7666</v>
      </c>
      <c r="F21">
        <v>0.16838495575221241</v>
      </c>
      <c r="G21">
        <v>0.1238938053097345</v>
      </c>
      <c r="H21">
        <v>2.3771080650684579E-2</v>
      </c>
      <c r="I21">
        <v>8.7910434179185634E-2</v>
      </c>
    </row>
    <row r="22" spans="1:9" x14ac:dyDescent="0.25">
      <c r="A22" t="s">
        <v>86</v>
      </c>
      <c r="B22" s="12">
        <v>21</v>
      </c>
      <c r="C22">
        <v>187</v>
      </c>
      <c r="D22">
        <v>99844</v>
      </c>
      <c r="E22">
        <v>7854</v>
      </c>
      <c r="F22">
        <v>0.17283185840707971</v>
      </c>
      <c r="G22">
        <v>0.17256637168141589</v>
      </c>
      <c r="H22">
        <v>2.3131166011817261E-2</v>
      </c>
      <c r="I22">
        <v>7.9548081839460674E-2</v>
      </c>
    </row>
    <row r="23" spans="1:9" x14ac:dyDescent="0.25">
      <c r="A23" t="s">
        <v>98</v>
      </c>
      <c r="B23" s="12">
        <v>22</v>
      </c>
      <c r="C23">
        <v>145</v>
      </c>
      <c r="D23">
        <v>99651</v>
      </c>
      <c r="E23">
        <v>20297</v>
      </c>
      <c r="F23">
        <v>0.44626106194690268</v>
      </c>
      <c r="G23">
        <v>0.3584070796460177</v>
      </c>
      <c r="H23">
        <v>6.8114897406282945E-2</v>
      </c>
      <c r="I23">
        <v>6.748156941120606E-2</v>
      </c>
    </row>
    <row r="24" spans="1:9" x14ac:dyDescent="0.25">
      <c r="A24" t="s">
        <v>163</v>
      </c>
      <c r="B24" s="12">
        <v>23</v>
      </c>
      <c r="C24">
        <v>41</v>
      </c>
      <c r="D24">
        <v>99643</v>
      </c>
      <c r="E24">
        <v>30988</v>
      </c>
      <c r="F24">
        <v>0.68161504424778763</v>
      </c>
      <c r="G24">
        <v>0.81858407079646023</v>
      </c>
      <c r="H24">
        <v>9.7430236303120685E-2</v>
      </c>
      <c r="I24">
        <v>-1.4661185225342261E-2</v>
      </c>
    </row>
    <row r="25" spans="1:9" x14ac:dyDescent="0.25">
      <c r="A25" t="s">
        <v>137</v>
      </c>
      <c r="B25" s="12">
        <v>24</v>
      </c>
      <c r="C25">
        <v>67</v>
      </c>
      <c r="D25">
        <v>99635</v>
      </c>
      <c r="E25">
        <v>27878</v>
      </c>
      <c r="F25">
        <v>0.61283185840707965</v>
      </c>
      <c r="G25">
        <v>0.70353982300884954</v>
      </c>
      <c r="H25">
        <v>9.0426206649674545E-2</v>
      </c>
      <c r="I25">
        <v>9.1351836891677141E-3</v>
      </c>
    </row>
    <row r="26" spans="1:9" x14ac:dyDescent="0.25">
      <c r="A26" t="s">
        <v>93</v>
      </c>
      <c r="B26" s="12">
        <v>25</v>
      </c>
      <c r="C26">
        <v>184</v>
      </c>
      <c r="D26">
        <v>99505</v>
      </c>
      <c r="E26">
        <v>8741</v>
      </c>
      <c r="F26">
        <v>0.1925884955752212</v>
      </c>
      <c r="G26">
        <v>0.18584070796460181</v>
      </c>
      <c r="H26">
        <v>2.623295592045969E-2</v>
      </c>
      <c r="I26">
        <v>7.8020213670927707E-2</v>
      </c>
    </row>
    <row r="27" spans="1:9" x14ac:dyDescent="0.25">
      <c r="A27" t="s">
        <v>99</v>
      </c>
      <c r="B27" s="12">
        <v>26</v>
      </c>
      <c r="C27">
        <v>102</v>
      </c>
      <c r="D27">
        <v>99263</v>
      </c>
      <c r="E27">
        <v>21006</v>
      </c>
      <c r="F27">
        <v>0.46188053097345128</v>
      </c>
      <c r="G27">
        <v>0.54867256637168138</v>
      </c>
      <c r="H27">
        <v>6.7894814719705099E-2</v>
      </c>
      <c r="I27">
        <v>5.1477158576986988E-2</v>
      </c>
    </row>
    <row r="28" spans="1:9" x14ac:dyDescent="0.25">
      <c r="A28" t="s">
        <v>128</v>
      </c>
      <c r="B28" s="12">
        <v>27</v>
      </c>
      <c r="C28">
        <v>32</v>
      </c>
      <c r="D28">
        <v>98950</v>
      </c>
      <c r="E28">
        <v>27887</v>
      </c>
      <c r="F28">
        <v>0.61298672566371681</v>
      </c>
      <c r="G28">
        <v>0.8584070796460177</v>
      </c>
      <c r="H28">
        <v>8.8938087943313343E-2</v>
      </c>
      <c r="I28">
        <v>2.5213333062520431E-2</v>
      </c>
    </row>
    <row r="29" spans="1:9" x14ac:dyDescent="0.25">
      <c r="A29" t="s">
        <v>108</v>
      </c>
      <c r="B29" s="12">
        <v>28</v>
      </c>
      <c r="C29">
        <v>77</v>
      </c>
      <c r="D29">
        <v>98945</v>
      </c>
      <c r="E29">
        <v>25511</v>
      </c>
      <c r="F29">
        <v>0.56159292035398234</v>
      </c>
      <c r="G29">
        <v>0.65929203539823011</v>
      </c>
      <c r="H29">
        <v>7.9758817546498342E-2</v>
      </c>
      <c r="I29">
        <v>3.1358110055076598E-2</v>
      </c>
    </row>
    <row r="30" spans="1:9" x14ac:dyDescent="0.25">
      <c r="A30" t="s">
        <v>166</v>
      </c>
      <c r="B30" s="12">
        <v>29</v>
      </c>
      <c r="C30">
        <v>65</v>
      </c>
      <c r="D30">
        <v>98923</v>
      </c>
      <c r="E30">
        <v>28133</v>
      </c>
      <c r="F30">
        <v>0.61827433628318584</v>
      </c>
      <c r="G30">
        <v>0.71238938053097345</v>
      </c>
      <c r="H30">
        <v>9.0484521585065938E-2</v>
      </c>
      <c r="I30">
        <v>1.4616265940977429E-2</v>
      </c>
    </row>
    <row r="31" spans="1:9" x14ac:dyDescent="0.25">
      <c r="A31" t="s">
        <v>127</v>
      </c>
      <c r="B31" s="12">
        <v>30</v>
      </c>
      <c r="C31">
        <v>81</v>
      </c>
      <c r="D31">
        <v>98736</v>
      </c>
      <c r="E31">
        <v>23881</v>
      </c>
      <c r="F31">
        <v>0.52555309734513278</v>
      </c>
      <c r="G31">
        <v>0.6415929203539823</v>
      </c>
      <c r="H31">
        <v>7.6649784106796751E-2</v>
      </c>
      <c r="I31">
        <v>4.7797659054003593E-2</v>
      </c>
    </row>
    <row r="32" spans="1:9" x14ac:dyDescent="0.25">
      <c r="A32" t="s">
        <v>159</v>
      </c>
      <c r="B32" s="12">
        <v>31</v>
      </c>
      <c r="C32">
        <v>82</v>
      </c>
      <c r="D32">
        <v>98564</v>
      </c>
      <c r="E32">
        <v>27475</v>
      </c>
      <c r="F32">
        <v>0.60466814159292037</v>
      </c>
      <c r="G32">
        <v>0.63716814159292035</v>
      </c>
      <c r="H32">
        <v>8.0858731605060519E-2</v>
      </c>
      <c r="I32">
        <v>-1.295969293556719E-2</v>
      </c>
    </row>
    <row r="33" spans="1:9" x14ac:dyDescent="0.25">
      <c r="A33" t="s">
        <v>65</v>
      </c>
      <c r="B33" s="12">
        <v>32</v>
      </c>
      <c r="C33">
        <v>94</v>
      </c>
      <c r="D33">
        <v>98491</v>
      </c>
      <c r="E33">
        <v>18653</v>
      </c>
      <c r="F33">
        <v>0.41037610619469028</v>
      </c>
      <c r="G33">
        <v>0.58407079646017701</v>
      </c>
      <c r="H33">
        <v>5.4178714956916237E-2</v>
      </c>
      <c r="I33">
        <v>1.6093677634085181E-2</v>
      </c>
    </row>
    <row r="34" spans="1:9" x14ac:dyDescent="0.25">
      <c r="A34" t="s">
        <v>155</v>
      </c>
      <c r="B34" s="12">
        <v>33</v>
      </c>
      <c r="C34">
        <v>70</v>
      </c>
      <c r="D34">
        <v>98490</v>
      </c>
      <c r="E34">
        <v>26209</v>
      </c>
      <c r="F34">
        <v>0.57581858407079645</v>
      </c>
      <c r="G34">
        <v>0.69026548672566368</v>
      </c>
      <c r="H34">
        <v>8.6005589225699258E-2</v>
      </c>
      <c r="I34">
        <v>3.8014349436783813E-2</v>
      </c>
    </row>
    <row r="35" spans="1:9" x14ac:dyDescent="0.25">
      <c r="A35" t="s">
        <v>106</v>
      </c>
      <c r="B35" s="12">
        <v>34</v>
      </c>
      <c r="C35">
        <v>189</v>
      </c>
      <c r="D35">
        <v>98461</v>
      </c>
      <c r="E35">
        <v>6679</v>
      </c>
      <c r="F35">
        <v>0.1471902654867257</v>
      </c>
      <c r="G35">
        <v>0.16371681415929201</v>
      </c>
      <c r="H35">
        <v>1.9174685360660321E-2</v>
      </c>
      <c r="I35">
        <v>8.7384107833359176E-2</v>
      </c>
    </row>
    <row r="36" spans="1:9" x14ac:dyDescent="0.25">
      <c r="A36" t="s">
        <v>192</v>
      </c>
      <c r="B36" s="12">
        <v>35</v>
      </c>
      <c r="C36">
        <v>110</v>
      </c>
      <c r="D36">
        <v>98445</v>
      </c>
      <c r="E36">
        <v>17113</v>
      </c>
      <c r="F36">
        <v>0.37628318584070802</v>
      </c>
      <c r="G36">
        <v>0.51327433628318586</v>
      </c>
      <c r="H36">
        <v>5.2112411961840722E-2</v>
      </c>
      <c r="I36">
        <v>4.9405867651681833E-2</v>
      </c>
    </row>
    <row r="37" spans="1:9" x14ac:dyDescent="0.25">
      <c r="A37" t="s">
        <v>80</v>
      </c>
      <c r="B37" s="12">
        <v>36</v>
      </c>
      <c r="C37">
        <v>163</v>
      </c>
      <c r="D37">
        <v>98366</v>
      </c>
      <c r="E37">
        <v>12324</v>
      </c>
      <c r="F37">
        <v>0.27117256637168141</v>
      </c>
      <c r="G37">
        <v>0.27876106194690259</v>
      </c>
      <c r="H37">
        <v>3.8895221582419252E-2</v>
      </c>
      <c r="I37">
        <v>8.3981837667109496E-2</v>
      </c>
    </row>
    <row r="38" spans="1:9" x14ac:dyDescent="0.25">
      <c r="A38" t="s">
        <v>7</v>
      </c>
      <c r="B38" s="12">
        <v>37</v>
      </c>
      <c r="C38">
        <v>107</v>
      </c>
      <c r="D38">
        <v>98266</v>
      </c>
      <c r="E38">
        <v>22784</v>
      </c>
      <c r="F38">
        <v>0.50172566371681415</v>
      </c>
      <c r="G38">
        <v>0.52654867256637172</v>
      </c>
      <c r="H38">
        <v>7.2760519346417557E-2</v>
      </c>
      <c r="I38">
        <v>6.0623479284245017E-2</v>
      </c>
    </row>
    <row r="39" spans="1:9" x14ac:dyDescent="0.25">
      <c r="A39" t="s">
        <v>126</v>
      </c>
      <c r="B39" s="12">
        <v>38</v>
      </c>
      <c r="C39">
        <v>105</v>
      </c>
      <c r="D39">
        <v>98222</v>
      </c>
      <c r="E39">
        <v>22789</v>
      </c>
      <c r="F39">
        <v>0.50188053097345131</v>
      </c>
      <c r="G39">
        <v>0.53539823008849563</v>
      </c>
      <c r="H39">
        <v>7.3025170492319463E-2</v>
      </c>
      <c r="I39">
        <v>5.8882276076622567E-2</v>
      </c>
    </row>
    <row r="40" spans="1:9" x14ac:dyDescent="0.25">
      <c r="A40" t="s">
        <v>125</v>
      </c>
      <c r="B40" s="12">
        <v>39</v>
      </c>
      <c r="C40">
        <v>142</v>
      </c>
      <c r="D40">
        <v>98208</v>
      </c>
      <c r="E40">
        <v>21133</v>
      </c>
      <c r="F40">
        <v>0.46632743362831858</v>
      </c>
      <c r="G40">
        <v>0.37168141592920362</v>
      </c>
      <c r="H40">
        <v>6.917032481546341E-2</v>
      </c>
      <c r="I40">
        <v>7.6433730103823552E-2</v>
      </c>
    </row>
    <row r="41" spans="1:9" x14ac:dyDescent="0.25">
      <c r="A41" t="s">
        <v>169</v>
      </c>
      <c r="B41" s="12">
        <v>40</v>
      </c>
      <c r="C41">
        <v>21</v>
      </c>
      <c r="D41">
        <v>98147</v>
      </c>
      <c r="E41">
        <v>31334</v>
      </c>
      <c r="F41">
        <v>0.68915929203539827</v>
      </c>
      <c r="G41">
        <v>0.90707964601769908</v>
      </c>
      <c r="H41">
        <v>9.7465454672153187E-2</v>
      </c>
      <c r="I41">
        <v>-4.9697413841211877E-3</v>
      </c>
    </row>
    <row r="42" spans="1:9" x14ac:dyDescent="0.25">
      <c r="A42" t="s">
        <v>5</v>
      </c>
      <c r="B42" s="12">
        <v>41</v>
      </c>
      <c r="C42">
        <v>141</v>
      </c>
      <c r="D42">
        <v>98064</v>
      </c>
      <c r="E42">
        <v>18344</v>
      </c>
      <c r="F42">
        <v>0.40400442477876108</v>
      </c>
      <c r="G42">
        <v>0.37610619469026552</v>
      </c>
      <c r="H42">
        <v>6.0144547761612932E-2</v>
      </c>
      <c r="I42">
        <v>7.3781025241369605E-2</v>
      </c>
    </row>
    <row r="43" spans="1:9" x14ac:dyDescent="0.25">
      <c r="A43" t="s">
        <v>92</v>
      </c>
      <c r="B43" s="12">
        <v>42</v>
      </c>
      <c r="C43">
        <v>199</v>
      </c>
      <c r="D43">
        <v>98060</v>
      </c>
      <c r="E43">
        <v>5895</v>
      </c>
      <c r="F43">
        <v>0.12991150442477881</v>
      </c>
      <c r="G43">
        <v>0.1194690265486726</v>
      </c>
      <c r="H43">
        <v>1.6667089769037201E-2</v>
      </c>
      <c r="I43">
        <v>8.8243127966541296E-2</v>
      </c>
    </row>
    <row r="44" spans="1:9" x14ac:dyDescent="0.25">
      <c r="A44" t="s">
        <v>103</v>
      </c>
      <c r="B44" s="12">
        <v>43</v>
      </c>
      <c r="C44">
        <v>137</v>
      </c>
      <c r="D44">
        <v>98013</v>
      </c>
      <c r="E44">
        <v>13436</v>
      </c>
      <c r="F44">
        <v>0.29420353982300879</v>
      </c>
      <c r="G44">
        <v>0.39380530973451328</v>
      </c>
      <c r="H44">
        <v>3.8716659988047929E-2</v>
      </c>
      <c r="I44">
        <v>4.9171940603729973E-2</v>
      </c>
    </row>
    <row r="45" spans="1:9" x14ac:dyDescent="0.25">
      <c r="A45" t="s">
        <v>122</v>
      </c>
      <c r="B45" s="12">
        <v>44</v>
      </c>
      <c r="C45">
        <v>139</v>
      </c>
      <c r="D45">
        <v>97919</v>
      </c>
      <c r="E45">
        <v>18122</v>
      </c>
      <c r="F45">
        <v>0.39703539823008849</v>
      </c>
      <c r="G45">
        <v>0.38495575221238942</v>
      </c>
      <c r="H45">
        <v>6.308781535484316E-2</v>
      </c>
      <c r="I45">
        <v>8.6568734311159856E-2</v>
      </c>
    </row>
    <row r="46" spans="1:9" x14ac:dyDescent="0.25">
      <c r="A46" t="s">
        <v>67</v>
      </c>
      <c r="B46" s="12">
        <v>45</v>
      </c>
      <c r="C46">
        <v>105</v>
      </c>
      <c r="D46">
        <v>97844</v>
      </c>
      <c r="E46">
        <v>15873</v>
      </c>
      <c r="F46">
        <v>0.34893805309734521</v>
      </c>
      <c r="G46">
        <v>0.53539823008849563</v>
      </c>
      <c r="H46">
        <v>4.3087687200546988E-2</v>
      </c>
      <c r="I46">
        <v>9.8277382524258224E-3</v>
      </c>
    </row>
    <row r="47" spans="1:9" x14ac:dyDescent="0.25">
      <c r="A47" t="s">
        <v>121</v>
      </c>
      <c r="B47" s="12">
        <v>46</v>
      </c>
      <c r="C47">
        <v>101</v>
      </c>
      <c r="D47">
        <v>97769</v>
      </c>
      <c r="E47">
        <v>22972</v>
      </c>
      <c r="F47">
        <v>0.5053982300884956</v>
      </c>
      <c r="G47">
        <v>0.55309734513274333</v>
      </c>
      <c r="H47">
        <v>7.3842313950528135E-2</v>
      </c>
      <c r="I47">
        <v>6.1864379938538008E-2</v>
      </c>
    </row>
    <row r="48" spans="1:9" x14ac:dyDescent="0.25">
      <c r="A48" t="s">
        <v>143</v>
      </c>
      <c r="B48" s="12">
        <v>47</v>
      </c>
      <c r="C48">
        <v>58</v>
      </c>
      <c r="D48">
        <v>97755</v>
      </c>
      <c r="E48">
        <v>26180</v>
      </c>
      <c r="F48">
        <v>0.57515486725663711</v>
      </c>
      <c r="G48">
        <v>0.74336283185840712</v>
      </c>
      <c r="H48">
        <v>8.6957038523567301E-2</v>
      </c>
      <c r="I48">
        <v>4.71111460354246E-2</v>
      </c>
    </row>
    <row r="49" spans="1:9" x14ac:dyDescent="0.25">
      <c r="A49" t="s">
        <v>151</v>
      </c>
      <c r="B49" s="12">
        <v>48</v>
      </c>
      <c r="C49">
        <v>75</v>
      </c>
      <c r="D49">
        <v>97628</v>
      </c>
      <c r="E49">
        <v>25852</v>
      </c>
      <c r="F49">
        <v>0.56805309734513276</v>
      </c>
      <c r="G49">
        <v>0.66814159292035402</v>
      </c>
      <c r="H49">
        <v>8.5969059243946683E-2</v>
      </c>
      <c r="I49">
        <v>4.6031206014803538E-2</v>
      </c>
    </row>
    <row r="50" spans="1:9" x14ac:dyDescent="0.25">
      <c r="A50" t="s">
        <v>110</v>
      </c>
      <c r="B50" s="12">
        <v>49</v>
      </c>
      <c r="C50">
        <v>202</v>
      </c>
      <c r="D50">
        <v>97550</v>
      </c>
      <c r="E50">
        <v>6083</v>
      </c>
      <c r="F50">
        <v>0.13411504424778761</v>
      </c>
      <c r="G50">
        <v>0.1061946902654867</v>
      </c>
      <c r="H50">
        <v>1.7410385678374409E-2</v>
      </c>
      <c r="I50">
        <v>8.8015866869112572E-2</v>
      </c>
    </row>
    <row r="51" spans="1:9" x14ac:dyDescent="0.25">
      <c r="A51" t="s">
        <v>104</v>
      </c>
      <c r="B51" s="12">
        <v>50</v>
      </c>
      <c r="C51">
        <v>137</v>
      </c>
      <c r="D51">
        <v>97549</v>
      </c>
      <c r="E51">
        <v>19395</v>
      </c>
      <c r="F51">
        <v>0.42738938053097347</v>
      </c>
      <c r="G51">
        <v>0.39380530973451328</v>
      </c>
      <c r="H51">
        <v>6.0423936748606341E-2</v>
      </c>
      <c r="I51">
        <v>5.1161709287845983E-2</v>
      </c>
    </row>
    <row r="52" spans="1:9" x14ac:dyDescent="0.25">
      <c r="A52" t="s">
        <v>195</v>
      </c>
      <c r="B52" s="12">
        <v>51</v>
      </c>
      <c r="C52">
        <v>106</v>
      </c>
      <c r="D52">
        <v>97504</v>
      </c>
      <c r="E52">
        <v>22098</v>
      </c>
      <c r="F52">
        <v>0.48692477876106188</v>
      </c>
      <c r="G52">
        <v>0.53097345132743368</v>
      </c>
      <c r="H52">
        <v>6.9380804326530085E-2</v>
      </c>
      <c r="I52">
        <v>4.7067634521913947E-2</v>
      </c>
    </row>
    <row r="53" spans="1:9" x14ac:dyDescent="0.25">
      <c r="A53" t="s">
        <v>115</v>
      </c>
      <c r="B53" s="12">
        <v>52</v>
      </c>
      <c r="C53">
        <v>200</v>
      </c>
      <c r="D53">
        <v>97490</v>
      </c>
      <c r="E53">
        <v>5596</v>
      </c>
      <c r="F53">
        <v>0.1233407079646018</v>
      </c>
      <c r="G53">
        <v>0.1150442477876106</v>
      </c>
      <c r="H53">
        <v>1.5861107331150578E-2</v>
      </c>
      <c r="I53">
        <v>8.9832022123970595E-2</v>
      </c>
    </row>
    <row r="54" spans="1:9" x14ac:dyDescent="0.25">
      <c r="A54" t="s">
        <v>154</v>
      </c>
      <c r="B54" s="12">
        <v>53</v>
      </c>
      <c r="C54">
        <v>34</v>
      </c>
      <c r="D54">
        <v>97465</v>
      </c>
      <c r="E54">
        <v>27357</v>
      </c>
      <c r="F54">
        <v>0.601858407079646</v>
      </c>
      <c r="G54">
        <v>0.84955752212389379</v>
      </c>
      <c r="H54">
        <v>8.782693304966914E-2</v>
      </c>
      <c r="I54">
        <v>2.9149249170010359E-2</v>
      </c>
    </row>
    <row r="55" spans="1:9" x14ac:dyDescent="0.25">
      <c r="A55" t="s">
        <v>87</v>
      </c>
      <c r="B55" s="12">
        <v>54</v>
      </c>
      <c r="C55">
        <v>189</v>
      </c>
      <c r="D55">
        <v>97412</v>
      </c>
      <c r="E55">
        <v>6403</v>
      </c>
      <c r="F55">
        <v>0.14088495575221241</v>
      </c>
      <c r="G55">
        <v>0.16371681415929201</v>
      </c>
      <c r="H55">
        <v>1.8428901440278981E-2</v>
      </c>
      <c r="I55">
        <v>8.6073674365170688E-2</v>
      </c>
    </row>
    <row r="56" spans="1:9" x14ac:dyDescent="0.25">
      <c r="A56" t="s">
        <v>114</v>
      </c>
      <c r="B56" s="12">
        <v>55</v>
      </c>
      <c r="C56">
        <v>180</v>
      </c>
      <c r="D56">
        <v>97333</v>
      </c>
      <c r="E56">
        <v>9351</v>
      </c>
      <c r="F56">
        <v>0.2060398230088496</v>
      </c>
      <c r="G56">
        <v>0.2035398230088496</v>
      </c>
      <c r="H56">
        <v>2.870099734800742E-2</v>
      </c>
      <c r="I56">
        <v>9.0662059372709658E-2</v>
      </c>
    </row>
    <row r="57" spans="1:9" x14ac:dyDescent="0.25">
      <c r="A57" t="s">
        <v>145</v>
      </c>
      <c r="B57" s="12">
        <v>56</v>
      </c>
      <c r="C57">
        <v>63</v>
      </c>
      <c r="D57">
        <v>97254</v>
      </c>
      <c r="E57">
        <v>24167</v>
      </c>
      <c r="F57">
        <v>0.53230088495575223</v>
      </c>
      <c r="G57">
        <v>0.72123893805309736</v>
      </c>
      <c r="H57">
        <v>8.0717060649861228E-2</v>
      </c>
      <c r="I57">
        <v>6.1412952338460697E-2</v>
      </c>
    </row>
    <row r="58" spans="1:9" x14ac:dyDescent="0.25">
      <c r="A58" t="s">
        <v>78</v>
      </c>
      <c r="B58" s="12">
        <v>57</v>
      </c>
      <c r="C58">
        <v>126</v>
      </c>
      <c r="D58">
        <v>97196</v>
      </c>
      <c r="E58">
        <v>17537</v>
      </c>
      <c r="F58">
        <v>0.38650442477876112</v>
      </c>
      <c r="G58">
        <v>0.44247787610619471</v>
      </c>
      <c r="H58">
        <v>5.3488102037889063E-2</v>
      </c>
      <c r="I58">
        <v>5.1762125222987371E-2</v>
      </c>
    </row>
    <row r="59" spans="1:9" x14ac:dyDescent="0.25">
      <c r="A59" t="s">
        <v>95</v>
      </c>
      <c r="B59" s="12">
        <v>58</v>
      </c>
      <c r="C59">
        <v>68</v>
      </c>
      <c r="D59">
        <v>97151</v>
      </c>
      <c r="E59">
        <v>26926</v>
      </c>
      <c r="F59">
        <v>0.59265486725663719</v>
      </c>
      <c r="G59">
        <v>0.69911504424778759</v>
      </c>
      <c r="H59">
        <v>8.3335926198979574E-2</v>
      </c>
      <c r="I59">
        <v>1.896129401624045E-2</v>
      </c>
    </row>
    <row r="60" spans="1:9" x14ac:dyDescent="0.25">
      <c r="A60" t="s">
        <v>77</v>
      </c>
      <c r="B60" s="12">
        <v>59</v>
      </c>
      <c r="C60">
        <v>90</v>
      </c>
      <c r="D60">
        <v>97151</v>
      </c>
      <c r="E60">
        <v>19919</v>
      </c>
      <c r="F60">
        <v>0.43913716814159293</v>
      </c>
      <c r="G60">
        <v>0.60176991150442483</v>
      </c>
      <c r="H60">
        <v>6.1225709637239702E-2</v>
      </c>
      <c r="I60">
        <v>3.589063189862958E-2</v>
      </c>
    </row>
    <row r="61" spans="1:9" x14ac:dyDescent="0.25">
      <c r="A61" t="s">
        <v>214</v>
      </c>
      <c r="B61" s="12">
        <v>60</v>
      </c>
      <c r="C61">
        <v>146</v>
      </c>
      <c r="D61">
        <v>97075</v>
      </c>
      <c r="E61">
        <v>11036</v>
      </c>
      <c r="F61">
        <v>0.24150442477876111</v>
      </c>
      <c r="G61">
        <v>0.35398230088495569</v>
      </c>
      <c r="H61">
        <v>3.1821624814448071E-2</v>
      </c>
      <c r="I61">
        <v>5.7980053427706971E-2</v>
      </c>
    </row>
    <row r="62" spans="1:9" x14ac:dyDescent="0.25">
      <c r="A62" t="s">
        <v>12</v>
      </c>
      <c r="B62" s="12">
        <v>61</v>
      </c>
      <c r="C62">
        <v>191</v>
      </c>
      <c r="D62">
        <v>97070</v>
      </c>
      <c r="E62">
        <v>6659</v>
      </c>
      <c r="F62">
        <v>0.14674778761061949</v>
      </c>
      <c r="G62">
        <v>0.1548672566371681</v>
      </c>
      <c r="H62">
        <v>1.8668422882062791E-2</v>
      </c>
      <c r="I62">
        <v>8.3969355037912835E-2</v>
      </c>
    </row>
    <row r="63" spans="1:9" x14ac:dyDescent="0.25">
      <c r="A63" t="s">
        <v>223</v>
      </c>
      <c r="B63" s="12">
        <v>62</v>
      </c>
      <c r="C63">
        <v>131</v>
      </c>
      <c r="D63">
        <v>97039</v>
      </c>
      <c r="E63">
        <v>19609</v>
      </c>
      <c r="F63">
        <v>0.43232300884955749</v>
      </c>
      <c r="G63">
        <v>0.42035398230088489</v>
      </c>
      <c r="H63">
        <v>6.2458570022402501E-2</v>
      </c>
      <c r="I63">
        <v>6.9963045594576737E-2</v>
      </c>
    </row>
    <row r="64" spans="1:9" x14ac:dyDescent="0.25">
      <c r="A64" t="s">
        <v>100</v>
      </c>
      <c r="B64" s="12">
        <v>63</v>
      </c>
      <c r="C64">
        <v>200</v>
      </c>
      <c r="D64">
        <v>96897</v>
      </c>
      <c r="E64">
        <v>14554</v>
      </c>
      <c r="F64">
        <v>0.32146017699115043</v>
      </c>
      <c r="G64">
        <v>0.1150442477876106</v>
      </c>
      <c r="H64">
        <v>5.0507492055620253E-2</v>
      </c>
      <c r="I64">
        <v>0.1090791102118405</v>
      </c>
    </row>
    <row r="65" spans="1:9" x14ac:dyDescent="0.25">
      <c r="A65" t="s">
        <v>196</v>
      </c>
      <c r="B65" s="12">
        <v>64</v>
      </c>
      <c r="C65">
        <v>151</v>
      </c>
      <c r="D65">
        <v>96879</v>
      </c>
      <c r="E65">
        <v>13998</v>
      </c>
      <c r="F65">
        <v>0.30577433628318579</v>
      </c>
      <c r="G65">
        <v>0.33185840707964598</v>
      </c>
      <c r="H65">
        <v>3.7519066667586309E-2</v>
      </c>
      <c r="I65">
        <v>2.243726717337946E-2</v>
      </c>
    </row>
    <row r="66" spans="1:9" x14ac:dyDescent="0.25">
      <c r="A66" t="s">
        <v>118</v>
      </c>
      <c r="B66" s="12">
        <v>65</v>
      </c>
      <c r="C66">
        <v>118</v>
      </c>
      <c r="D66">
        <v>96858</v>
      </c>
      <c r="E66">
        <v>16909</v>
      </c>
      <c r="F66">
        <v>0.37203539823008852</v>
      </c>
      <c r="G66">
        <v>0.47787610619469029</v>
      </c>
      <c r="H66">
        <v>4.484163766151484E-2</v>
      </c>
      <c r="I66">
        <v>-1.503830502718344E-3</v>
      </c>
    </row>
    <row r="67" spans="1:9" x14ac:dyDescent="0.25">
      <c r="A67" t="s">
        <v>250</v>
      </c>
      <c r="B67" s="12">
        <v>66</v>
      </c>
      <c r="C67">
        <v>205</v>
      </c>
      <c r="D67">
        <v>96826</v>
      </c>
      <c r="E67">
        <v>4807</v>
      </c>
      <c r="F67">
        <v>0.10588495575221241</v>
      </c>
      <c r="G67">
        <v>9.2920353982300891E-2</v>
      </c>
      <c r="H67">
        <v>1.3439434239285611E-2</v>
      </c>
      <c r="I67">
        <v>9.3738422967129073E-2</v>
      </c>
    </row>
    <row r="68" spans="1:9" x14ac:dyDescent="0.25">
      <c r="A68" t="s">
        <v>200</v>
      </c>
      <c r="B68" s="12">
        <v>67</v>
      </c>
      <c r="C68">
        <v>102</v>
      </c>
      <c r="D68">
        <v>96807</v>
      </c>
      <c r="E68">
        <v>22010</v>
      </c>
      <c r="F68">
        <v>0.48497787610619469</v>
      </c>
      <c r="G68">
        <v>0.54867256637168138</v>
      </c>
      <c r="H68">
        <v>7.077774365546087E-2</v>
      </c>
      <c r="I68">
        <v>6.543125241355939E-2</v>
      </c>
    </row>
    <row r="69" spans="1:9" x14ac:dyDescent="0.25">
      <c r="A69" t="s">
        <v>160</v>
      </c>
      <c r="B69" s="12">
        <v>68</v>
      </c>
      <c r="C69">
        <v>123</v>
      </c>
      <c r="D69">
        <v>96764</v>
      </c>
      <c r="E69">
        <v>20774</v>
      </c>
      <c r="F69">
        <v>0.45849557522123902</v>
      </c>
      <c r="G69">
        <v>0.45575221238938052</v>
      </c>
      <c r="H69">
        <v>6.706993182484039E-2</v>
      </c>
      <c r="I69">
        <v>7.238043740257824E-2</v>
      </c>
    </row>
    <row r="70" spans="1:9" x14ac:dyDescent="0.25">
      <c r="A70" t="s">
        <v>11</v>
      </c>
      <c r="B70" s="12">
        <v>69</v>
      </c>
      <c r="C70">
        <v>198</v>
      </c>
      <c r="D70">
        <v>96731</v>
      </c>
      <c r="E70">
        <v>5610</v>
      </c>
      <c r="F70">
        <v>0.12353982300884959</v>
      </c>
      <c r="G70">
        <v>0.1238938053097345</v>
      </c>
      <c r="H70">
        <v>1.5873119310255718E-2</v>
      </c>
      <c r="I70">
        <v>8.9882080707295808E-2</v>
      </c>
    </row>
    <row r="71" spans="1:9" x14ac:dyDescent="0.25">
      <c r="A71" t="s">
        <v>94</v>
      </c>
      <c r="B71" s="12">
        <v>70</v>
      </c>
      <c r="C71">
        <v>144</v>
      </c>
      <c r="D71">
        <v>96709</v>
      </c>
      <c r="E71">
        <v>11592</v>
      </c>
      <c r="F71">
        <v>0.25539823008849549</v>
      </c>
      <c r="G71">
        <v>0.36283185840707971</v>
      </c>
      <c r="H71">
        <v>3.1582369705782751E-2</v>
      </c>
      <c r="I71">
        <v>4.7081646314565309E-2</v>
      </c>
    </row>
    <row r="72" spans="1:9" x14ac:dyDescent="0.25">
      <c r="A72" t="s">
        <v>97</v>
      </c>
      <c r="B72" s="12">
        <v>71</v>
      </c>
      <c r="C72">
        <v>193</v>
      </c>
      <c r="D72">
        <v>96678</v>
      </c>
      <c r="E72">
        <v>5660</v>
      </c>
      <c r="F72">
        <v>0.124646017699115</v>
      </c>
      <c r="G72">
        <v>0.14601769911504431</v>
      </c>
      <c r="H72">
        <v>1.5973983496607679E-2</v>
      </c>
      <c r="I72">
        <v>8.9360777714673115E-2</v>
      </c>
    </row>
    <row r="73" spans="1:9" x14ac:dyDescent="0.25">
      <c r="A73" t="s">
        <v>119</v>
      </c>
      <c r="B73" s="12">
        <v>72</v>
      </c>
      <c r="C73">
        <v>103</v>
      </c>
      <c r="D73">
        <v>96662</v>
      </c>
      <c r="E73">
        <v>22108</v>
      </c>
      <c r="F73">
        <v>0.48654867256637169</v>
      </c>
      <c r="G73">
        <v>0.54424778761061943</v>
      </c>
      <c r="H73">
        <v>7.1010804919235865E-2</v>
      </c>
      <c r="I73">
        <v>6.7011849722873884E-2</v>
      </c>
    </row>
    <row r="74" spans="1:9" x14ac:dyDescent="0.25">
      <c r="A74" t="s">
        <v>219</v>
      </c>
      <c r="B74" s="12">
        <v>73</v>
      </c>
      <c r="C74">
        <v>111</v>
      </c>
      <c r="D74">
        <v>96611</v>
      </c>
      <c r="E74">
        <v>21239</v>
      </c>
      <c r="F74">
        <v>0.46787610619469028</v>
      </c>
      <c r="G74">
        <v>0.50884955752212391</v>
      </c>
      <c r="H74">
        <v>6.8080383037400757E-2</v>
      </c>
      <c r="I74">
        <v>6.2430816712569899E-2</v>
      </c>
    </row>
    <row r="75" spans="1:9" x14ac:dyDescent="0.25">
      <c r="A75" t="s">
        <v>220</v>
      </c>
      <c r="B75" s="12">
        <v>74</v>
      </c>
      <c r="C75">
        <v>127</v>
      </c>
      <c r="D75">
        <v>96588</v>
      </c>
      <c r="E75">
        <v>11392</v>
      </c>
      <c r="F75">
        <v>0.25024336283185838</v>
      </c>
      <c r="G75">
        <v>0.43805309734513281</v>
      </c>
      <c r="H75">
        <v>3.030581994974247E-2</v>
      </c>
      <c r="I75">
        <v>3.8604196895557032E-2</v>
      </c>
    </row>
    <row r="76" spans="1:9" x14ac:dyDescent="0.25">
      <c r="A76" t="s">
        <v>186</v>
      </c>
      <c r="B76" s="12">
        <v>75</v>
      </c>
      <c r="C76">
        <v>97</v>
      </c>
      <c r="D76">
        <v>96481</v>
      </c>
      <c r="E76">
        <v>21947</v>
      </c>
      <c r="F76">
        <v>0.48356194690265492</v>
      </c>
      <c r="G76">
        <v>0.57079646017699115</v>
      </c>
      <c r="H76">
        <v>7.0597246313421277E-2</v>
      </c>
      <c r="I76">
        <v>6.5399928024282905E-2</v>
      </c>
    </row>
    <row r="77" spans="1:9" x14ac:dyDescent="0.25">
      <c r="A77" t="s">
        <v>10</v>
      </c>
      <c r="B77" s="12">
        <v>76</v>
      </c>
      <c r="C77">
        <v>152</v>
      </c>
      <c r="D77">
        <v>96479</v>
      </c>
      <c r="E77">
        <v>13730</v>
      </c>
      <c r="F77">
        <v>0.30292035398230088</v>
      </c>
      <c r="G77">
        <v>0.32743362831858408</v>
      </c>
      <c r="H77">
        <v>4.364657642513517E-2</v>
      </c>
      <c r="I77">
        <v>8.9063187730716822E-2</v>
      </c>
    </row>
    <row r="78" spans="1:9" x14ac:dyDescent="0.25">
      <c r="A78" t="s">
        <v>9</v>
      </c>
      <c r="B78" s="12">
        <v>77</v>
      </c>
      <c r="C78">
        <v>168</v>
      </c>
      <c r="D78">
        <v>96474</v>
      </c>
      <c r="E78">
        <v>15116</v>
      </c>
      <c r="F78">
        <v>0.33362831858407083</v>
      </c>
      <c r="G78">
        <v>0.25663716814159288</v>
      </c>
      <c r="H78">
        <v>5.0627833717302173E-2</v>
      </c>
      <c r="I78">
        <v>9.6513226626496626E-2</v>
      </c>
    </row>
    <row r="79" spans="1:9" x14ac:dyDescent="0.25">
      <c r="A79" t="s">
        <v>224</v>
      </c>
      <c r="B79" s="12">
        <v>78</v>
      </c>
      <c r="C79">
        <v>126</v>
      </c>
      <c r="D79">
        <v>96469</v>
      </c>
      <c r="E79">
        <v>19723</v>
      </c>
      <c r="F79">
        <v>0.43453539823008852</v>
      </c>
      <c r="G79">
        <v>0.44247787610619471</v>
      </c>
      <c r="H79">
        <v>6.3245869992082898E-2</v>
      </c>
      <c r="I79">
        <v>7.2583357075407542E-2</v>
      </c>
    </row>
    <row r="80" spans="1:9" x14ac:dyDescent="0.25">
      <c r="A80" t="s">
        <v>157</v>
      </c>
      <c r="B80" s="12">
        <v>79</v>
      </c>
      <c r="C80">
        <v>98</v>
      </c>
      <c r="D80">
        <v>96466</v>
      </c>
      <c r="E80">
        <v>22678</v>
      </c>
      <c r="F80">
        <v>0.50004424778761059</v>
      </c>
      <c r="G80">
        <v>0.5663716814159292</v>
      </c>
      <c r="H80">
        <v>7.4793105692366996E-2</v>
      </c>
      <c r="I80">
        <v>6.5899906187641188E-2</v>
      </c>
    </row>
    <row r="81" spans="1:9" x14ac:dyDescent="0.25">
      <c r="A81" t="s">
        <v>176</v>
      </c>
      <c r="B81" s="12">
        <v>80</v>
      </c>
      <c r="C81">
        <v>185</v>
      </c>
      <c r="D81">
        <v>96463</v>
      </c>
      <c r="E81">
        <v>10262</v>
      </c>
      <c r="F81">
        <v>0.2254867256637168</v>
      </c>
      <c r="G81">
        <v>0.1814159292035398</v>
      </c>
      <c r="H81">
        <v>3.1953913925613857E-2</v>
      </c>
      <c r="I81">
        <v>8.8375606510395291E-2</v>
      </c>
    </row>
    <row r="82" spans="1:9" x14ac:dyDescent="0.25">
      <c r="A82" t="s">
        <v>238</v>
      </c>
      <c r="B82" s="12">
        <v>81</v>
      </c>
      <c r="C82">
        <v>152</v>
      </c>
      <c r="D82">
        <v>96443</v>
      </c>
      <c r="E82">
        <v>8970</v>
      </c>
      <c r="F82">
        <v>0.19626106194690271</v>
      </c>
      <c r="G82">
        <v>0.32743362831858408</v>
      </c>
      <c r="H82">
        <v>2.556489735205468E-2</v>
      </c>
      <c r="I82">
        <v>7.2478121984904026E-2</v>
      </c>
    </row>
    <row r="83" spans="1:9" x14ac:dyDescent="0.25">
      <c r="A83" t="s">
        <v>189</v>
      </c>
      <c r="B83" s="12">
        <v>82</v>
      </c>
      <c r="C83">
        <v>105</v>
      </c>
      <c r="D83">
        <v>96437</v>
      </c>
      <c r="E83">
        <v>21714</v>
      </c>
      <c r="F83">
        <v>0.4784070796460177</v>
      </c>
      <c r="G83">
        <v>0.53539823008849563</v>
      </c>
      <c r="H83">
        <v>6.9875151810252764E-2</v>
      </c>
      <c r="I83">
        <v>6.1095950736491822E-2</v>
      </c>
    </row>
    <row r="84" spans="1:9" x14ac:dyDescent="0.25">
      <c r="A84" t="s">
        <v>142</v>
      </c>
      <c r="B84" s="12">
        <v>83</v>
      </c>
      <c r="C84">
        <v>198</v>
      </c>
      <c r="D84">
        <v>96408</v>
      </c>
      <c r="E84">
        <v>6320</v>
      </c>
      <c r="F84">
        <v>0.13931415929203539</v>
      </c>
      <c r="G84">
        <v>0.1238938053097345</v>
      </c>
      <c r="H84">
        <v>1.9144409773458361E-2</v>
      </c>
      <c r="I84">
        <v>9.8741073412049407E-2</v>
      </c>
    </row>
    <row r="85" spans="1:9" x14ac:dyDescent="0.25">
      <c r="A85" t="s">
        <v>101</v>
      </c>
      <c r="B85" s="12">
        <v>84</v>
      </c>
      <c r="C85">
        <v>81</v>
      </c>
      <c r="D85">
        <v>96381</v>
      </c>
      <c r="E85">
        <v>22481</v>
      </c>
      <c r="F85">
        <v>0.49435840707964601</v>
      </c>
      <c r="G85">
        <v>0.6415929203539823</v>
      </c>
      <c r="H85">
        <v>7.0697263007214781E-2</v>
      </c>
      <c r="I85">
        <v>5.182332298631253E-2</v>
      </c>
    </row>
    <row r="86" spans="1:9" x14ac:dyDescent="0.25">
      <c r="A86" t="s">
        <v>197</v>
      </c>
      <c r="B86" s="12">
        <v>85</v>
      </c>
      <c r="C86">
        <v>115</v>
      </c>
      <c r="D86">
        <v>96363</v>
      </c>
      <c r="E86">
        <v>20274</v>
      </c>
      <c r="F86">
        <v>0.44692477876106201</v>
      </c>
      <c r="G86">
        <v>0.49115044247787609</v>
      </c>
      <c r="H86">
        <v>6.4960845338917148E-2</v>
      </c>
      <c r="I86">
        <v>6.7456803725072928E-2</v>
      </c>
    </row>
    <row r="87" spans="1:9" x14ac:dyDescent="0.25">
      <c r="A87" t="s">
        <v>190</v>
      </c>
      <c r="B87" s="12">
        <v>86</v>
      </c>
      <c r="C87">
        <v>79</v>
      </c>
      <c r="D87">
        <v>96272</v>
      </c>
      <c r="E87">
        <v>27364</v>
      </c>
      <c r="F87">
        <v>0.60165929203539825</v>
      </c>
      <c r="G87">
        <v>0.65044247787610621</v>
      </c>
      <c r="H87">
        <v>8.3910126524304712E-2</v>
      </c>
      <c r="I87">
        <v>1.209960249473142E-2</v>
      </c>
    </row>
    <row r="88" spans="1:9" x14ac:dyDescent="0.25">
      <c r="A88" t="s">
        <v>88</v>
      </c>
      <c r="B88" s="12">
        <v>87</v>
      </c>
      <c r="C88">
        <v>141</v>
      </c>
      <c r="D88">
        <v>96175</v>
      </c>
      <c r="E88">
        <v>14669</v>
      </c>
      <c r="F88">
        <v>0.32331858407079639</v>
      </c>
      <c r="G88">
        <v>0.37610619469026552</v>
      </c>
      <c r="H88">
        <v>4.5358588435255337E-2</v>
      </c>
      <c r="I88">
        <v>6.6666684109620192E-2</v>
      </c>
    </row>
    <row r="89" spans="1:9" x14ac:dyDescent="0.25">
      <c r="A89" t="s">
        <v>124</v>
      </c>
      <c r="B89" s="12">
        <v>88</v>
      </c>
      <c r="C89">
        <v>28</v>
      </c>
      <c r="D89">
        <v>96170</v>
      </c>
      <c r="E89">
        <v>32153</v>
      </c>
      <c r="F89">
        <v>0.70747787610619473</v>
      </c>
      <c r="G89">
        <v>0.87610619469026552</v>
      </c>
      <c r="H89">
        <v>9.8270070632438866E-2</v>
      </c>
      <c r="I89">
        <v>-1.733375128850757E-2</v>
      </c>
    </row>
    <row r="90" spans="1:9" x14ac:dyDescent="0.25">
      <c r="A90" t="s">
        <v>73</v>
      </c>
      <c r="B90" s="12">
        <v>89</v>
      </c>
      <c r="C90">
        <v>78</v>
      </c>
      <c r="D90">
        <v>96137</v>
      </c>
      <c r="E90">
        <v>23030</v>
      </c>
      <c r="F90">
        <v>0.50705752212389377</v>
      </c>
      <c r="G90">
        <v>0.65486725663716816</v>
      </c>
      <c r="H90">
        <v>6.0226653766858068E-2</v>
      </c>
      <c r="I90">
        <v>-4.84425391666738E-2</v>
      </c>
    </row>
    <row r="91" spans="1:9" x14ac:dyDescent="0.25">
      <c r="A91" t="s">
        <v>147</v>
      </c>
      <c r="B91" s="12">
        <v>90</v>
      </c>
      <c r="C91">
        <v>92</v>
      </c>
      <c r="D91">
        <v>96079</v>
      </c>
      <c r="E91">
        <v>22518</v>
      </c>
      <c r="F91">
        <v>0.49415929203539821</v>
      </c>
      <c r="G91">
        <v>0.59292035398230092</v>
      </c>
      <c r="H91">
        <v>7.4880301131036886E-2</v>
      </c>
      <c r="I91">
        <v>7.1197561606929499E-2</v>
      </c>
    </row>
    <row r="92" spans="1:9" x14ac:dyDescent="0.25">
      <c r="A92" t="s">
        <v>15</v>
      </c>
      <c r="B92" s="12">
        <v>91</v>
      </c>
      <c r="C92">
        <v>151</v>
      </c>
      <c r="D92">
        <v>96067</v>
      </c>
      <c r="E92">
        <v>16411</v>
      </c>
      <c r="F92">
        <v>0.36196902654867258</v>
      </c>
      <c r="G92">
        <v>0.33185840707964598</v>
      </c>
      <c r="H92">
        <v>5.2365167963897168E-2</v>
      </c>
      <c r="I92">
        <v>8.2991247987096686E-2</v>
      </c>
    </row>
    <row r="93" spans="1:9" x14ac:dyDescent="0.25">
      <c r="A93" t="s">
        <v>120</v>
      </c>
      <c r="B93" s="12">
        <v>92</v>
      </c>
      <c r="C93">
        <v>68</v>
      </c>
      <c r="D93">
        <v>96048</v>
      </c>
      <c r="E93">
        <v>26531</v>
      </c>
      <c r="F93">
        <v>0.58442477876106191</v>
      </c>
      <c r="G93">
        <v>0.69911504424778759</v>
      </c>
      <c r="H93">
        <v>8.0680982808551946E-2</v>
      </c>
      <c r="I93">
        <v>1.5035825023455679E-2</v>
      </c>
    </row>
    <row r="94" spans="1:9" x14ac:dyDescent="0.25">
      <c r="A94" t="s">
        <v>117</v>
      </c>
      <c r="B94" s="12">
        <v>93</v>
      </c>
      <c r="C94">
        <v>52</v>
      </c>
      <c r="D94">
        <v>95915</v>
      </c>
      <c r="E94">
        <v>30136</v>
      </c>
      <c r="F94">
        <v>0.66309734513274332</v>
      </c>
      <c r="G94">
        <v>0.76991150442477874</v>
      </c>
      <c r="H94">
        <v>9.0673809823896584E-2</v>
      </c>
      <c r="I94">
        <v>-1.1398481176962899E-2</v>
      </c>
    </row>
    <row r="95" spans="1:9" x14ac:dyDescent="0.25">
      <c r="A95" t="s">
        <v>199</v>
      </c>
      <c r="B95" s="12">
        <v>94</v>
      </c>
      <c r="C95">
        <v>128</v>
      </c>
      <c r="D95">
        <v>95901</v>
      </c>
      <c r="E95">
        <v>15209</v>
      </c>
      <c r="F95">
        <v>0.33603982300884949</v>
      </c>
      <c r="G95">
        <v>0.4336283185840708</v>
      </c>
      <c r="H95">
        <v>4.5922248660968362E-2</v>
      </c>
      <c r="I95">
        <v>6.3746970994000604E-2</v>
      </c>
    </row>
    <row r="96" spans="1:9" x14ac:dyDescent="0.25">
      <c r="A96" t="s">
        <v>131</v>
      </c>
      <c r="B96" s="12">
        <v>95</v>
      </c>
      <c r="C96">
        <v>22</v>
      </c>
      <c r="D96">
        <v>95881</v>
      </c>
      <c r="E96">
        <v>33136</v>
      </c>
      <c r="F96">
        <v>0.72931415929203536</v>
      </c>
      <c r="G96">
        <v>0.90265486725663713</v>
      </c>
      <c r="H96">
        <v>0.10088286585428111</v>
      </c>
      <c r="I96">
        <v>-2.5076366505923261E-2</v>
      </c>
    </row>
    <row r="97" spans="1:9" x14ac:dyDescent="0.25">
      <c r="A97" t="s">
        <v>141</v>
      </c>
      <c r="B97" s="12">
        <v>96</v>
      </c>
      <c r="C97">
        <v>27</v>
      </c>
      <c r="D97">
        <v>95827</v>
      </c>
      <c r="E97">
        <v>30371</v>
      </c>
      <c r="F97">
        <v>0.66794247787610617</v>
      </c>
      <c r="G97">
        <v>0.88053097345132747</v>
      </c>
      <c r="H97">
        <v>9.4376204939953953E-2</v>
      </c>
      <c r="I97">
        <v>-2.0582234364661992E-3</v>
      </c>
    </row>
    <row r="98" spans="1:9" x14ac:dyDescent="0.25">
      <c r="A98" t="s">
        <v>241</v>
      </c>
      <c r="B98" s="12">
        <v>97</v>
      </c>
      <c r="C98">
        <v>201</v>
      </c>
      <c r="D98">
        <v>95796</v>
      </c>
      <c r="E98">
        <v>5103</v>
      </c>
      <c r="F98">
        <v>0.1122345132743363</v>
      </c>
      <c r="G98">
        <v>0.11061946902654871</v>
      </c>
      <c r="H98">
        <v>1.431714662706754E-2</v>
      </c>
      <c r="I98">
        <v>9.2263198567968094E-2</v>
      </c>
    </row>
    <row r="99" spans="1:9" x14ac:dyDescent="0.25">
      <c r="A99" t="s">
        <v>168</v>
      </c>
      <c r="B99" s="12">
        <v>98</v>
      </c>
      <c r="C99">
        <v>85</v>
      </c>
      <c r="D99">
        <v>95565</v>
      </c>
      <c r="E99">
        <v>22825</v>
      </c>
      <c r="F99">
        <v>0.50407079646017694</v>
      </c>
      <c r="G99">
        <v>0.62389380530973448</v>
      </c>
      <c r="H99">
        <v>7.5665277678052992E-2</v>
      </c>
      <c r="I99">
        <v>6.9870828010047556E-2</v>
      </c>
    </row>
    <row r="100" spans="1:9" x14ac:dyDescent="0.25">
      <c r="A100" t="s">
        <v>140</v>
      </c>
      <c r="B100" s="12">
        <v>99</v>
      </c>
      <c r="C100">
        <v>193</v>
      </c>
      <c r="D100">
        <v>95561</v>
      </c>
      <c r="E100">
        <v>6822</v>
      </c>
      <c r="F100">
        <v>0.14683628318584069</v>
      </c>
      <c r="G100">
        <v>0.14601769911504431</v>
      </c>
      <c r="H100">
        <v>2.090625388581302E-2</v>
      </c>
      <c r="I100">
        <v>9.6886131495506608E-2</v>
      </c>
    </row>
    <row r="101" spans="1:9" x14ac:dyDescent="0.25">
      <c r="A101" t="s">
        <v>204</v>
      </c>
      <c r="B101" s="12">
        <v>100</v>
      </c>
      <c r="C101">
        <v>131</v>
      </c>
      <c r="D101">
        <v>95552</v>
      </c>
      <c r="E101">
        <v>12705</v>
      </c>
      <c r="F101">
        <v>0.2806858407079646</v>
      </c>
      <c r="G101">
        <v>0.42035398230088489</v>
      </c>
      <c r="H101">
        <v>3.752801760249893E-2</v>
      </c>
      <c r="I101">
        <v>6.217075586813945E-2</v>
      </c>
    </row>
    <row r="102" spans="1:9" x14ac:dyDescent="0.25">
      <c r="A102" t="s">
        <v>209</v>
      </c>
      <c r="B102" s="12">
        <v>101</v>
      </c>
      <c r="C102">
        <v>124</v>
      </c>
      <c r="D102">
        <v>95530</v>
      </c>
      <c r="E102">
        <v>15046</v>
      </c>
      <c r="F102">
        <v>0.33154867256637172</v>
      </c>
      <c r="G102">
        <v>0.45132743362831862</v>
      </c>
      <c r="H102">
        <v>4.279836345136756E-2</v>
      </c>
      <c r="I102">
        <v>4.359867891681421E-2</v>
      </c>
    </row>
    <row r="103" spans="1:9" x14ac:dyDescent="0.25">
      <c r="A103" t="s">
        <v>75</v>
      </c>
      <c r="B103" s="12">
        <v>102</v>
      </c>
      <c r="C103">
        <v>120</v>
      </c>
      <c r="D103">
        <v>95425</v>
      </c>
      <c r="E103">
        <v>17800</v>
      </c>
      <c r="F103">
        <v>0.39223451327433628</v>
      </c>
      <c r="G103">
        <v>0.46902654867256638</v>
      </c>
      <c r="H103">
        <v>5.195774576550323E-2</v>
      </c>
      <c r="I103">
        <v>3.4427548917423778E-2</v>
      </c>
    </row>
    <row r="104" spans="1:9" x14ac:dyDescent="0.25">
      <c r="A104" t="s">
        <v>162</v>
      </c>
      <c r="B104" s="12">
        <v>103</v>
      </c>
      <c r="C104">
        <v>84</v>
      </c>
      <c r="D104">
        <v>95421</v>
      </c>
      <c r="E104">
        <v>23906</v>
      </c>
      <c r="F104">
        <v>0.52590707964601768</v>
      </c>
      <c r="G104">
        <v>0.62831858407079644</v>
      </c>
      <c r="H104">
        <v>7.6192457643063358E-2</v>
      </c>
      <c r="I104">
        <v>3.9442988826156357E-2</v>
      </c>
    </row>
    <row r="105" spans="1:9" x14ac:dyDescent="0.25">
      <c r="A105" t="s">
        <v>129</v>
      </c>
      <c r="B105" s="12">
        <v>104</v>
      </c>
      <c r="C105">
        <v>163</v>
      </c>
      <c r="D105">
        <v>95397</v>
      </c>
      <c r="E105">
        <v>8757</v>
      </c>
      <c r="F105">
        <v>0.1930973451327434</v>
      </c>
      <c r="G105">
        <v>0.27876106194690259</v>
      </c>
      <c r="H105">
        <v>2.6641378634585228E-2</v>
      </c>
      <c r="I105">
        <v>9.0485283917766834E-2</v>
      </c>
    </row>
    <row r="106" spans="1:9" x14ac:dyDescent="0.25">
      <c r="A106" t="s">
        <v>16</v>
      </c>
      <c r="B106" s="12">
        <v>105</v>
      </c>
      <c r="C106">
        <v>125</v>
      </c>
      <c r="D106">
        <v>95388</v>
      </c>
      <c r="E106">
        <v>19346</v>
      </c>
      <c r="F106">
        <v>0.42617256637168138</v>
      </c>
      <c r="G106">
        <v>0.44690265486725661</v>
      </c>
      <c r="H106">
        <v>6.2538889957746702E-2</v>
      </c>
      <c r="I106">
        <v>7.6242042469522639E-2</v>
      </c>
    </row>
    <row r="107" spans="1:9" x14ac:dyDescent="0.25">
      <c r="A107" t="s">
        <v>221</v>
      </c>
      <c r="B107" s="12">
        <v>106</v>
      </c>
      <c r="C107">
        <v>136</v>
      </c>
      <c r="D107">
        <v>95368</v>
      </c>
      <c r="E107">
        <v>10964</v>
      </c>
      <c r="F107">
        <v>0.2416150442477876</v>
      </c>
      <c r="G107">
        <v>0.39823008849557517</v>
      </c>
      <c r="H107">
        <v>2.99210735877385E-2</v>
      </c>
      <c r="I107">
        <v>4.8906802267879267E-2</v>
      </c>
    </row>
    <row r="108" spans="1:9" x14ac:dyDescent="0.25">
      <c r="A108" t="s">
        <v>105</v>
      </c>
      <c r="B108" s="12">
        <v>107</v>
      </c>
      <c r="C108">
        <v>190</v>
      </c>
      <c r="D108">
        <v>95363</v>
      </c>
      <c r="E108">
        <v>14085</v>
      </c>
      <c r="F108">
        <v>0.31106194690265487</v>
      </c>
      <c r="G108">
        <v>0.15929203539823009</v>
      </c>
      <c r="H108">
        <v>4.8633554218978893E-2</v>
      </c>
      <c r="I108">
        <v>0.10456715406267759</v>
      </c>
    </row>
    <row r="109" spans="1:9" x14ac:dyDescent="0.25">
      <c r="A109" t="s">
        <v>148</v>
      </c>
      <c r="B109" s="12">
        <v>108</v>
      </c>
      <c r="C109">
        <v>32</v>
      </c>
      <c r="D109">
        <v>95333</v>
      </c>
      <c r="E109">
        <v>28140</v>
      </c>
      <c r="F109">
        <v>0.61889380530973448</v>
      </c>
      <c r="G109">
        <v>0.8584070796460177</v>
      </c>
      <c r="H109">
        <v>8.8499201655671628E-2</v>
      </c>
      <c r="I109">
        <v>1.236598135139831E-2</v>
      </c>
    </row>
    <row r="110" spans="1:9" x14ac:dyDescent="0.25">
      <c r="A110" t="s">
        <v>68</v>
      </c>
      <c r="B110" s="12">
        <v>109</v>
      </c>
      <c r="C110">
        <v>132</v>
      </c>
      <c r="D110">
        <v>95319</v>
      </c>
      <c r="E110">
        <v>13536</v>
      </c>
      <c r="F110">
        <v>0.29785398230088489</v>
      </c>
      <c r="G110">
        <v>0.41592920353982299</v>
      </c>
      <c r="H110">
        <v>3.3685306183382613E-2</v>
      </c>
      <c r="I110">
        <v>1.1684116327273069E-2</v>
      </c>
    </row>
    <row r="111" spans="1:9" x14ac:dyDescent="0.25">
      <c r="A111" t="s">
        <v>179</v>
      </c>
      <c r="B111" s="12">
        <v>110</v>
      </c>
      <c r="C111">
        <v>133</v>
      </c>
      <c r="D111">
        <v>95249</v>
      </c>
      <c r="E111">
        <v>9406</v>
      </c>
      <c r="F111">
        <v>0.20597345132743361</v>
      </c>
      <c r="G111">
        <v>0.41150442477876098</v>
      </c>
      <c r="H111">
        <v>2.4233273223609981E-2</v>
      </c>
      <c r="I111">
        <v>4.9618876903793782E-2</v>
      </c>
    </row>
    <row r="112" spans="1:9" x14ac:dyDescent="0.25">
      <c r="A112" t="s">
        <v>102</v>
      </c>
      <c r="B112" s="12">
        <v>111</v>
      </c>
      <c r="C112">
        <v>184</v>
      </c>
      <c r="D112">
        <v>95212</v>
      </c>
      <c r="E112">
        <v>9636</v>
      </c>
      <c r="F112">
        <v>0.21245575221238941</v>
      </c>
      <c r="G112">
        <v>0.18584070796460181</v>
      </c>
      <c r="H112">
        <v>2.9276846112154489E-2</v>
      </c>
      <c r="I112">
        <v>8.9049874792915762E-2</v>
      </c>
    </row>
    <row r="113" spans="1:9" x14ac:dyDescent="0.25">
      <c r="A113" t="s">
        <v>187</v>
      </c>
      <c r="B113" s="12">
        <v>112</v>
      </c>
      <c r="C113">
        <v>97</v>
      </c>
      <c r="D113">
        <v>94996</v>
      </c>
      <c r="E113">
        <v>21380</v>
      </c>
      <c r="F113">
        <v>0.47015486725663719</v>
      </c>
      <c r="G113">
        <v>0.57079646017699115</v>
      </c>
      <c r="H113">
        <v>6.8921116705580793E-2</v>
      </c>
      <c r="I113">
        <v>6.9274286416878231E-2</v>
      </c>
    </row>
    <row r="114" spans="1:9" x14ac:dyDescent="0.25">
      <c r="A114" t="s">
        <v>202</v>
      </c>
      <c r="B114" s="12">
        <v>113</v>
      </c>
      <c r="C114">
        <v>122</v>
      </c>
      <c r="D114">
        <v>94905</v>
      </c>
      <c r="E114">
        <v>18533</v>
      </c>
      <c r="F114">
        <v>0.40787610619469028</v>
      </c>
      <c r="G114">
        <v>0.46017699115044253</v>
      </c>
      <c r="H114">
        <v>5.8248106775524E-2</v>
      </c>
      <c r="I114">
        <v>7.122044247559077E-2</v>
      </c>
    </row>
    <row r="115" spans="1:9" x14ac:dyDescent="0.25">
      <c r="A115" t="s">
        <v>206</v>
      </c>
      <c r="B115" s="12">
        <v>114</v>
      </c>
      <c r="C115">
        <v>105</v>
      </c>
      <c r="D115">
        <v>94883</v>
      </c>
      <c r="E115">
        <v>20735</v>
      </c>
      <c r="F115">
        <v>0.45670353982300887</v>
      </c>
      <c r="G115">
        <v>0.53539823008849563</v>
      </c>
      <c r="H115">
        <v>6.5079056955375039E-2</v>
      </c>
      <c r="I115">
        <v>5.8969965747767077E-2</v>
      </c>
    </row>
    <row r="116" spans="1:9" x14ac:dyDescent="0.25">
      <c r="A116" t="s">
        <v>69</v>
      </c>
      <c r="B116" s="12">
        <v>115</v>
      </c>
      <c r="C116">
        <v>130</v>
      </c>
      <c r="D116">
        <v>94832</v>
      </c>
      <c r="E116">
        <v>14251</v>
      </c>
      <c r="F116">
        <v>0.31398230088495582</v>
      </c>
      <c r="G116">
        <v>0.4247787610619469</v>
      </c>
      <c r="H116">
        <v>4.2106991668503783E-2</v>
      </c>
      <c r="I116">
        <v>5.8446015117154818E-2</v>
      </c>
    </row>
    <row r="117" spans="1:9" x14ac:dyDescent="0.25">
      <c r="A117" t="s">
        <v>72</v>
      </c>
      <c r="B117" s="12">
        <v>116</v>
      </c>
      <c r="C117">
        <v>168</v>
      </c>
      <c r="D117">
        <v>94752</v>
      </c>
      <c r="E117">
        <v>13738</v>
      </c>
      <c r="F117">
        <v>0.30265486725663721</v>
      </c>
      <c r="G117">
        <v>0.25663716814159288</v>
      </c>
      <c r="H117">
        <v>4.4381421949464747E-2</v>
      </c>
      <c r="I117">
        <v>8.5792342570660596E-2</v>
      </c>
    </row>
    <row r="118" spans="1:9" x14ac:dyDescent="0.25">
      <c r="A118" t="s">
        <v>261</v>
      </c>
      <c r="B118" s="12">
        <v>117</v>
      </c>
      <c r="C118">
        <v>152</v>
      </c>
      <c r="D118">
        <v>94656</v>
      </c>
      <c r="E118">
        <v>8880</v>
      </c>
      <c r="F118">
        <v>0.19535398230088499</v>
      </c>
      <c r="G118">
        <v>0.32743362831858408</v>
      </c>
      <c r="H118">
        <v>2.496625340950365E-2</v>
      </c>
      <c r="I118">
        <v>7.2878046935601543E-2</v>
      </c>
    </row>
    <row r="119" spans="1:9" x14ac:dyDescent="0.25">
      <c r="A119" t="s">
        <v>158</v>
      </c>
      <c r="B119" s="12">
        <v>118</v>
      </c>
      <c r="C119">
        <v>81</v>
      </c>
      <c r="D119">
        <v>94654</v>
      </c>
      <c r="E119">
        <v>23941</v>
      </c>
      <c r="F119">
        <v>0.52599557522123896</v>
      </c>
      <c r="G119">
        <v>0.6415929203539823</v>
      </c>
      <c r="H119">
        <v>7.5415108555754173E-2</v>
      </c>
      <c r="I119">
        <v>3.7433144997942563E-2</v>
      </c>
    </row>
    <row r="120" spans="1:9" x14ac:dyDescent="0.25">
      <c r="A120" t="s">
        <v>180</v>
      </c>
      <c r="B120" s="12">
        <v>119</v>
      </c>
      <c r="C120">
        <v>95</v>
      </c>
      <c r="D120">
        <v>94614</v>
      </c>
      <c r="E120">
        <v>18420</v>
      </c>
      <c r="F120">
        <v>0.40550884955752209</v>
      </c>
      <c r="G120">
        <v>0.57964601769911506</v>
      </c>
      <c r="H120">
        <v>5.7014418041818143E-2</v>
      </c>
      <c r="I120">
        <v>5.5843034700919447E-2</v>
      </c>
    </row>
    <row r="121" spans="1:9" x14ac:dyDescent="0.25">
      <c r="A121" t="s">
        <v>123</v>
      </c>
      <c r="B121" s="12">
        <v>120</v>
      </c>
      <c r="C121">
        <v>58</v>
      </c>
      <c r="D121">
        <v>94606</v>
      </c>
      <c r="E121">
        <v>28726</v>
      </c>
      <c r="F121">
        <v>0.63245575221238937</v>
      </c>
      <c r="G121">
        <v>0.74336283185840712</v>
      </c>
      <c r="H121">
        <v>8.5837687425090084E-2</v>
      </c>
      <c r="I121">
        <v>-3.795983806269782E-3</v>
      </c>
    </row>
    <row r="122" spans="1:9" x14ac:dyDescent="0.25">
      <c r="A122" t="s">
        <v>171</v>
      </c>
      <c r="B122" s="12">
        <v>121</v>
      </c>
      <c r="C122">
        <v>160</v>
      </c>
      <c r="D122">
        <v>94586</v>
      </c>
      <c r="E122">
        <v>15751</v>
      </c>
      <c r="F122">
        <v>0.34741150442477869</v>
      </c>
      <c r="G122">
        <v>0.29203539823008851</v>
      </c>
      <c r="H122">
        <v>5.1603914463463831E-2</v>
      </c>
      <c r="I122">
        <v>9.7996325420616093E-2</v>
      </c>
    </row>
    <row r="123" spans="1:9" x14ac:dyDescent="0.25">
      <c r="A123" t="s">
        <v>275</v>
      </c>
      <c r="B123" s="12">
        <v>122</v>
      </c>
      <c r="C123">
        <v>200</v>
      </c>
      <c r="D123">
        <v>94583</v>
      </c>
      <c r="E123">
        <v>4449</v>
      </c>
      <c r="F123">
        <v>9.7942477876106201E-2</v>
      </c>
      <c r="G123">
        <v>0.1150442477876106</v>
      </c>
      <c r="H123">
        <v>1.253770592809059E-2</v>
      </c>
      <c r="I123">
        <v>9.6339906869128231E-2</v>
      </c>
    </row>
    <row r="124" spans="1:9" x14ac:dyDescent="0.25">
      <c r="A124" t="s">
        <v>149</v>
      </c>
      <c r="B124" s="12">
        <v>123</v>
      </c>
      <c r="C124">
        <v>195</v>
      </c>
      <c r="D124">
        <v>94572</v>
      </c>
      <c r="E124">
        <v>8637</v>
      </c>
      <c r="F124">
        <v>0.19022123893805309</v>
      </c>
      <c r="G124">
        <v>0.13716814159292029</v>
      </c>
      <c r="H124">
        <v>2.7759609319434581E-2</v>
      </c>
      <c r="I124">
        <v>0.1065703805110846</v>
      </c>
    </row>
    <row r="125" spans="1:9" x14ac:dyDescent="0.25">
      <c r="A125" t="s">
        <v>259</v>
      </c>
      <c r="B125" s="12">
        <v>124</v>
      </c>
      <c r="C125">
        <v>198</v>
      </c>
      <c r="D125">
        <v>94541</v>
      </c>
      <c r="E125">
        <v>4755</v>
      </c>
      <c r="F125">
        <v>0.104712389380531</v>
      </c>
      <c r="G125">
        <v>0.1238938053097345</v>
      </c>
      <c r="H125">
        <v>1.3416514521552601E-2</v>
      </c>
      <c r="I125">
        <v>9.4124920046891519E-2</v>
      </c>
    </row>
    <row r="126" spans="1:9" x14ac:dyDescent="0.25">
      <c r="A126" t="s">
        <v>213</v>
      </c>
      <c r="B126" s="12">
        <v>125</v>
      </c>
      <c r="C126">
        <v>118</v>
      </c>
      <c r="D126">
        <v>94497</v>
      </c>
      <c r="E126">
        <v>20947</v>
      </c>
      <c r="F126">
        <v>0.46314159292035401</v>
      </c>
      <c r="G126">
        <v>0.47787610619469029</v>
      </c>
      <c r="H126">
        <v>7.0568254934599908E-2</v>
      </c>
      <c r="I126">
        <v>8.6688110686807124E-2</v>
      </c>
    </row>
    <row r="127" spans="1:9" x14ac:dyDescent="0.25">
      <c r="A127" t="s">
        <v>265</v>
      </c>
      <c r="B127" s="12">
        <v>126</v>
      </c>
      <c r="C127">
        <v>200</v>
      </c>
      <c r="D127">
        <v>94482</v>
      </c>
      <c r="E127">
        <v>6716</v>
      </c>
      <c r="F127">
        <v>0.1480309734513274</v>
      </c>
      <c r="G127">
        <v>0.1150442477876106</v>
      </c>
      <c r="H127">
        <v>1.9778167211748771E-2</v>
      </c>
      <c r="I127">
        <v>9.4857572024265896E-2</v>
      </c>
    </row>
    <row r="128" spans="1:9" x14ac:dyDescent="0.25">
      <c r="A128" t="s">
        <v>139</v>
      </c>
      <c r="B128" s="12">
        <v>127</v>
      </c>
      <c r="C128">
        <v>183</v>
      </c>
      <c r="D128">
        <v>94462</v>
      </c>
      <c r="E128">
        <v>8377</v>
      </c>
      <c r="F128">
        <v>0.18469026548672571</v>
      </c>
      <c r="G128">
        <v>0.19026548672566371</v>
      </c>
      <c r="H128">
        <v>2.5427716782776489E-2</v>
      </c>
      <c r="I128">
        <v>9.3235830556030186E-2</v>
      </c>
    </row>
    <row r="129" spans="1:9" x14ac:dyDescent="0.25">
      <c r="A129" t="s">
        <v>236</v>
      </c>
      <c r="B129" s="12">
        <v>128</v>
      </c>
      <c r="C129">
        <v>148</v>
      </c>
      <c r="D129">
        <v>94450</v>
      </c>
      <c r="E129">
        <v>16375</v>
      </c>
      <c r="F129">
        <v>0.36075221238938049</v>
      </c>
      <c r="G129">
        <v>0.34513274336283178</v>
      </c>
      <c r="H129">
        <v>5.1995872472918148E-2</v>
      </c>
      <c r="I129">
        <v>8.4551196136081738E-2</v>
      </c>
    </row>
    <row r="130" spans="1:9" x14ac:dyDescent="0.25">
      <c r="A130" t="s">
        <v>235</v>
      </c>
      <c r="B130" s="12">
        <v>129</v>
      </c>
      <c r="C130">
        <v>166</v>
      </c>
      <c r="D130">
        <v>94295</v>
      </c>
      <c r="E130">
        <v>11034</v>
      </c>
      <c r="F130">
        <v>0.24331858407079651</v>
      </c>
      <c r="G130">
        <v>0.26548672566371678</v>
      </c>
      <c r="H130">
        <v>3.3958228389551953E-2</v>
      </c>
      <c r="I130">
        <v>9.3664170753383735E-2</v>
      </c>
    </row>
    <row r="131" spans="1:9" x14ac:dyDescent="0.25">
      <c r="A131" t="s">
        <v>161</v>
      </c>
      <c r="B131" s="12">
        <v>130</v>
      </c>
      <c r="C131">
        <v>94</v>
      </c>
      <c r="D131">
        <v>94270</v>
      </c>
      <c r="E131">
        <v>21643</v>
      </c>
      <c r="F131">
        <v>0.47637168141592923</v>
      </c>
      <c r="G131">
        <v>0.58407079646017701</v>
      </c>
      <c r="H131">
        <v>7.0387901996569524E-2</v>
      </c>
      <c r="I131">
        <v>6.8934923231849216E-2</v>
      </c>
    </row>
    <row r="132" spans="1:9" x14ac:dyDescent="0.25">
      <c r="A132" t="s">
        <v>132</v>
      </c>
      <c r="B132" s="12">
        <v>131</v>
      </c>
      <c r="C132">
        <v>136</v>
      </c>
      <c r="D132">
        <v>94265</v>
      </c>
      <c r="E132">
        <v>17957</v>
      </c>
      <c r="F132">
        <v>0.39626106194690258</v>
      </c>
      <c r="G132">
        <v>0.39823008849557517</v>
      </c>
      <c r="H132">
        <v>5.9952225295086752E-2</v>
      </c>
      <c r="I132">
        <v>8.1830801276486356E-2</v>
      </c>
    </row>
    <row r="133" spans="1:9" x14ac:dyDescent="0.25">
      <c r="A133" t="s">
        <v>225</v>
      </c>
      <c r="B133" s="12">
        <v>132</v>
      </c>
      <c r="C133">
        <v>116</v>
      </c>
      <c r="D133">
        <v>94228</v>
      </c>
      <c r="E133">
        <v>15142</v>
      </c>
      <c r="F133">
        <v>0.3325442477876106</v>
      </c>
      <c r="G133">
        <v>0.48672566371681408</v>
      </c>
      <c r="H133">
        <v>4.0615825064954002E-2</v>
      </c>
      <c r="I133">
        <v>1.9240908786438211E-2</v>
      </c>
    </row>
    <row r="134" spans="1:9" x14ac:dyDescent="0.25">
      <c r="A134" t="s">
        <v>212</v>
      </c>
      <c r="B134" s="12">
        <v>133</v>
      </c>
      <c r="C134">
        <v>105</v>
      </c>
      <c r="D134">
        <v>94203</v>
      </c>
      <c r="E134">
        <v>21840</v>
      </c>
      <c r="F134">
        <v>0.48269911504424778</v>
      </c>
      <c r="G134">
        <v>0.53539823008849563</v>
      </c>
      <c r="H134">
        <v>7.3910745438912989E-2</v>
      </c>
      <c r="I134">
        <v>7.6338036956646857E-2</v>
      </c>
    </row>
    <row r="135" spans="1:9" x14ac:dyDescent="0.25">
      <c r="A135" t="s">
        <v>136</v>
      </c>
      <c r="B135" s="12">
        <v>134</v>
      </c>
      <c r="C135">
        <v>169</v>
      </c>
      <c r="D135">
        <v>94152</v>
      </c>
      <c r="E135">
        <v>7801</v>
      </c>
      <c r="F135">
        <v>0.17201327433628319</v>
      </c>
      <c r="G135">
        <v>0.25221238938053098</v>
      </c>
      <c r="H135">
        <v>2.320759630698584E-2</v>
      </c>
      <c r="I135">
        <v>8.9555282250693355E-2</v>
      </c>
    </row>
    <row r="136" spans="1:9" x14ac:dyDescent="0.25">
      <c r="A136" t="s">
        <v>13</v>
      </c>
      <c r="B136" s="12">
        <v>135</v>
      </c>
      <c r="C136">
        <v>130</v>
      </c>
      <c r="D136">
        <v>94147</v>
      </c>
      <c r="E136">
        <v>23784</v>
      </c>
      <c r="F136">
        <v>0.52526548672566375</v>
      </c>
      <c r="G136">
        <v>0.4247787610619469</v>
      </c>
      <c r="H136">
        <v>6.969622613035116E-2</v>
      </c>
      <c r="I136">
        <v>1.6476625759652849E-2</v>
      </c>
    </row>
    <row r="137" spans="1:9" x14ac:dyDescent="0.25">
      <c r="A137" t="s">
        <v>18</v>
      </c>
      <c r="B137" s="12">
        <v>136</v>
      </c>
      <c r="C137">
        <v>141</v>
      </c>
      <c r="D137">
        <v>94144</v>
      </c>
      <c r="E137">
        <v>18465</v>
      </c>
      <c r="F137">
        <v>0.40719026548672571</v>
      </c>
      <c r="G137">
        <v>0.37610619469026552</v>
      </c>
      <c r="H137">
        <v>6.0477356593610719E-2</v>
      </c>
      <c r="I137">
        <v>8.1733227791701724E-2</v>
      </c>
    </row>
    <row r="138" spans="1:9" x14ac:dyDescent="0.25">
      <c r="A138" t="s">
        <v>255</v>
      </c>
      <c r="B138" s="12">
        <v>137</v>
      </c>
      <c r="C138">
        <v>187</v>
      </c>
      <c r="D138">
        <v>94086</v>
      </c>
      <c r="E138">
        <v>8244</v>
      </c>
      <c r="F138">
        <v>0.18179203539823011</v>
      </c>
      <c r="G138">
        <v>0.17256637168141589</v>
      </c>
      <c r="H138">
        <v>2.5051727427298349E-2</v>
      </c>
      <c r="I138">
        <v>9.4975271959168966E-2</v>
      </c>
    </row>
    <row r="139" spans="1:9" x14ac:dyDescent="0.25">
      <c r="A139" t="s">
        <v>79</v>
      </c>
      <c r="B139" s="12">
        <v>138</v>
      </c>
      <c r="C139">
        <v>122</v>
      </c>
      <c r="D139">
        <v>94052</v>
      </c>
      <c r="E139">
        <v>15263</v>
      </c>
      <c r="F139">
        <v>0.33575221238938052</v>
      </c>
      <c r="G139">
        <v>0.46017699115044253</v>
      </c>
      <c r="H139">
        <v>4.697681038605607E-2</v>
      </c>
      <c r="I139">
        <v>6.9879679217791923E-2</v>
      </c>
    </row>
    <row r="140" spans="1:9" x14ac:dyDescent="0.25">
      <c r="A140" t="s">
        <v>150</v>
      </c>
      <c r="B140" s="12">
        <v>139</v>
      </c>
      <c r="C140">
        <v>199</v>
      </c>
      <c r="D140">
        <v>93969</v>
      </c>
      <c r="E140">
        <v>6840</v>
      </c>
      <c r="F140">
        <v>0.15079646017699111</v>
      </c>
      <c r="G140">
        <v>0.1194690265486726</v>
      </c>
      <c r="H140">
        <v>2.180186523794184E-2</v>
      </c>
      <c r="I140">
        <v>0.1068998015336898</v>
      </c>
    </row>
    <row r="141" spans="1:9" x14ac:dyDescent="0.25">
      <c r="A141" t="s">
        <v>178</v>
      </c>
      <c r="B141" s="12">
        <v>140</v>
      </c>
      <c r="C141">
        <v>56</v>
      </c>
      <c r="D141">
        <v>93969</v>
      </c>
      <c r="E141">
        <v>33936</v>
      </c>
      <c r="F141">
        <v>0.74858407079646017</v>
      </c>
      <c r="G141">
        <v>0.75221238938053092</v>
      </c>
      <c r="H141">
        <v>9.5713068877215257E-2</v>
      </c>
      <c r="I141">
        <v>-7.8482231680073719E-2</v>
      </c>
    </row>
    <row r="142" spans="1:9" x14ac:dyDescent="0.25">
      <c r="A142" t="s">
        <v>153</v>
      </c>
      <c r="B142" s="12">
        <v>141</v>
      </c>
      <c r="C142">
        <v>79</v>
      </c>
      <c r="D142">
        <v>93908</v>
      </c>
      <c r="E142">
        <v>23647</v>
      </c>
      <c r="F142">
        <v>0.52019911504424776</v>
      </c>
      <c r="G142">
        <v>0.65044247787610621</v>
      </c>
      <c r="H142">
        <v>7.4728048176402259E-2</v>
      </c>
      <c r="I142">
        <v>4.0474146823949508E-2</v>
      </c>
    </row>
    <row r="143" spans="1:9" x14ac:dyDescent="0.25">
      <c r="A143" t="s">
        <v>164</v>
      </c>
      <c r="B143" s="12">
        <v>142</v>
      </c>
      <c r="C143">
        <v>198</v>
      </c>
      <c r="D143">
        <v>93908</v>
      </c>
      <c r="E143">
        <v>10401</v>
      </c>
      <c r="F143">
        <v>0.22960176991150441</v>
      </c>
      <c r="G143">
        <v>0.1238938053097345</v>
      </c>
      <c r="H143">
        <v>3.5480972554089933E-2</v>
      </c>
      <c r="I143">
        <v>0.11817396614606721</v>
      </c>
    </row>
    <row r="144" spans="1:9" x14ac:dyDescent="0.25">
      <c r="A144" t="s">
        <v>174</v>
      </c>
      <c r="B144" s="12">
        <v>143</v>
      </c>
      <c r="C144">
        <v>159</v>
      </c>
      <c r="D144">
        <v>93901</v>
      </c>
      <c r="E144">
        <v>14715</v>
      </c>
      <c r="F144">
        <v>0.32480088495575221</v>
      </c>
      <c r="G144">
        <v>0.29646017699115051</v>
      </c>
      <c r="H144">
        <v>4.7728744554159257E-2</v>
      </c>
      <c r="I144">
        <v>9.8106124673595752E-2</v>
      </c>
    </row>
    <row r="145" spans="1:9" x14ac:dyDescent="0.25">
      <c r="A145" t="s">
        <v>217</v>
      </c>
      <c r="B145" s="12">
        <v>144</v>
      </c>
      <c r="C145">
        <v>112</v>
      </c>
      <c r="D145">
        <v>93880</v>
      </c>
      <c r="E145">
        <v>20410</v>
      </c>
      <c r="F145">
        <v>0.45101769911504419</v>
      </c>
      <c r="G145">
        <v>0.50442477876106195</v>
      </c>
      <c r="H145">
        <v>7.0208161806369823E-2</v>
      </c>
      <c r="I145">
        <v>8.7287804085666179E-2</v>
      </c>
    </row>
    <row r="146" spans="1:9" x14ac:dyDescent="0.25">
      <c r="A146" t="s">
        <v>112</v>
      </c>
      <c r="B146" s="12">
        <v>145</v>
      </c>
      <c r="C146">
        <v>88</v>
      </c>
      <c r="D146">
        <v>93723</v>
      </c>
      <c r="E146">
        <v>22760</v>
      </c>
      <c r="F146">
        <v>0.50106194690265482</v>
      </c>
      <c r="G146">
        <v>0.61061946902654862</v>
      </c>
      <c r="H146">
        <v>6.767637843205393E-2</v>
      </c>
      <c r="I146">
        <v>1.8986925355755389E-2</v>
      </c>
    </row>
    <row r="147" spans="1:9" x14ac:dyDescent="0.25">
      <c r="A147" t="s">
        <v>144</v>
      </c>
      <c r="B147" s="12">
        <v>146</v>
      </c>
      <c r="C147">
        <v>198</v>
      </c>
      <c r="D147">
        <v>93676</v>
      </c>
      <c r="E147">
        <v>7187</v>
      </c>
      <c r="F147">
        <v>0.1584734513274336</v>
      </c>
      <c r="G147">
        <v>0.1238938053097345</v>
      </c>
      <c r="H147">
        <v>2.3365711178896239E-2</v>
      </c>
      <c r="I147">
        <v>0.1114957066244161</v>
      </c>
    </row>
    <row r="148" spans="1:9" x14ac:dyDescent="0.25">
      <c r="A148" t="s">
        <v>116</v>
      </c>
      <c r="B148" s="12">
        <v>147</v>
      </c>
      <c r="C148">
        <v>65</v>
      </c>
      <c r="D148">
        <v>93555</v>
      </c>
      <c r="E148">
        <v>27283</v>
      </c>
      <c r="F148">
        <v>0.60055309734513274</v>
      </c>
      <c r="G148">
        <v>0.71238938053097345</v>
      </c>
      <c r="H148">
        <v>8.1776181999897612E-2</v>
      </c>
      <c r="I148">
        <v>2.9564123321285298E-3</v>
      </c>
    </row>
    <row r="149" spans="1:9" x14ac:dyDescent="0.25">
      <c r="A149" t="s">
        <v>252</v>
      </c>
      <c r="B149" s="12">
        <v>148</v>
      </c>
      <c r="C149">
        <v>126</v>
      </c>
      <c r="D149">
        <v>93533</v>
      </c>
      <c r="E149">
        <v>16749</v>
      </c>
      <c r="F149">
        <v>0.36898230088495582</v>
      </c>
      <c r="G149">
        <v>0.44247787610619471</v>
      </c>
      <c r="H149">
        <v>5.1789704854940027E-2</v>
      </c>
      <c r="I149">
        <v>6.9089584209808694E-2</v>
      </c>
    </row>
    <row r="150" spans="1:9" x14ac:dyDescent="0.25">
      <c r="A150" t="s">
        <v>271</v>
      </c>
      <c r="B150" s="12">
        <v>149</v>
      </c>
      <c r="C150">
        <v>171</v>
      </c>
      <c r="D150">
        <v>93496</v>
      </c>
      <c r="E150">
        <v>10572</v>
      </c>
      <c r="F150">
        <v>0.22988938053097349</v>
      </c>
      <c r="G150">
        <v>0.2433628318584071</v>
      </c>
      <c r="H150">
        <v>2.8935964194457889E-2</v>
      </c>
      <c r="I150">
        <v>6.1142462958552128E-2</v>
      </c>
    </row>
    <row r="151" spans="1:9" x14ac:dyDescent="0.25">
      <c r="A151" t="s">
        <v>172</v>
      </c>
      <c r="B151" s="12">
        <v>150</v>
      </c>
      <c r="C151">
        <v>205</v>
      </c>
      <c r="D151">
        <v>93413</v>
      </c>
      <c r="E151">
        <v>10043</v>
      </c>
      <c r="F151">
        <v>0.22168141592920351</v>
      </c>
      <c r="G151">
        <v>9.2920353982300891E-2</v>
      </c>
      <c r="H151">
        <v>3.399578354172688E-2</v>
      </c>
      <c r="I151">
        <v>0.1189926579170992</v>
      </c>
    </row>
    <row r="152" spans="1:9" x14ac:dyDescent="0.25">
      <c r="A152" t="s">
        <v>211</v>
      </c>
      <c r="B152" s="12">
        <v>151</v>
      </c>
      <c r="C152">
        <v>87</v>
      </c>
      <c r="D152">
        <v>93392</v>
      </c>
      <c r="E152">
        <v>21977</v>
      </c>
      <c r="F152">
        <v>0.48420353982300879</v>
      </c>
      <c r="G152">
        <v>0.61504424778761058</v>
      </c>
      <c r="H152">
        <v>6.613791799178495E-2</v>
      </c>
      <c r="I152">
        <v>3.3896565845505947E-2</v>
      </c>
    </row>
    <row r="153" spans="1:9" x14ac:dyDescent="0.25">
      <c r="A153" t="s">
        <v>107</v>
      </c>
      <c r="B153" s="12">
        <v>152</v>
      </c>
      <c r="C153">
        <v>85</v>
      </c>
      <c r="D153">
        <v>93256</v>
      </c>
      <c r="E153">
        <v>22686</v>
      </c>
      <c r="F153">
        <v>0.49969026548672568</v>
      </c>
      <c r="G153">
        <v>0.62389380530973448</v>
      </c>
      <c r="H153">
        <v>6.7509164059672E-2</v>
      </c>
      <c r="I153">
        <v>2.1559516407831259E-2</v>
      </c>
    </row>
    <row r="154" spans="1:9" x14ac:dyDescent="0.25">
      <c r="A154" t="s">
        <v>229</v>
      </c>
      <c r="B154" s="12">
        <v>153</v>
      </c>
      <c r="C154">
        <v>136</v>
      </c>
      <c r="D154">
        <v>93160</v>
      </c>
      <c r="E154">
        <v>18335</v>
      </c>
      <c r="F154">
        <v>0.40524336283185841</v>
      </c>
      <c r="G154">
        <v>0.39823008849557517</v>
      </c>
      <c r="H154">
        <v>6.3438558481237931E-2</v>
      </c>
      <c r="I154">
        <v>0.1022728113063924</v>
      </c>
    </row>
    <row r="155" spans="1:9" x14ac:dyDescent="0.25">
      <c r="A155" t="s">
        <v>74</v>
      </c>
      <c r="B155" s="12">
        <v>154</v>
      </c>
      <c r="C155">
        <v>103</v>
      </c>
      <c r="D155">
        <v>93159</v>
      </c>
      <c r="E155">
        <v>15559</v>
      </c>
      <c r="F155">
        <v>0.34227876106194688</v>
      </c>
      <c r="G155">
        <v>0.54424778761061943</v>
      </c>
      <c r="H155">
        <v>4.2873472928637212E-2</v>
      </c>
      <c r="I155">
        <v>2.146799695029163E-2</v>
      </c>
    </row>
    <row r="156" spans="1:9" x14ac:dyDescent="0.25">
      <c r="A156" t="s">
        <v>156</v>
      </c>
      <c r="B156" s="12">
        <v>155</v>
      </c>
      <c r="C156">
        <v>159</v>
      </c>
      <c r="D156">
        <v>93076</v>
      </c>
      <c r="E156">
        <v>15609</v>
      </c>
      <c r="F156">
        <v>0.34475663716814159</v>
      </c>
      <c r="G156">
        <v>0.29646017699115051</v>
      </c>
      <c r="H156">
        <v>5.1688109253750163E-2</v>
      </c>
      <c r="I156">
        <v>0.1003231445154114</v>
      </c>
    </row>
    <row r="157" spans="1:9" x14ac:dyDescent="0.25">
      <c r="A157" t="s">
        <v>268</v>
      </c>
      <c r="B157" s="12">
        <v>156</v>
      </c>
      <c r="C157">
        <v>140</v>
      </c>
      <c r="D157">
        <v>92961</v>
      </c>
      <c r="E157">
        <v>14916</v>
      </c>
      <c r="F157">
        <v>0.32907079646017701</v>
      </c>
      <c r="G157">
        <v>0.38053097345132741</v>
      </c>
      <c r="H157">
        <v>4.5975074710673802E-2</v>
      </c>
      <c r="I157">
        <v>7.5022259090004276E-2</v>
      </c>
    </row>
    <row r="158" spans="1:9" x14ac:dyDescent="0.25">
      <c r="A158" t="s">
        <v>152</v>
      </c>
      <c r="B158" s="12">
        <v>157</v>
      </c>
      <c r="C158">
        <v>172</v>
      </c>
      <c r="D158">
        <v>92891</v>
      </c>
      <c r="E158">
        <v>8617</v>
      </c>
      <c r="F158">
        <v>0.19015486725663719</v>
      </c>
      <c r="G158">
        <v>0.23893805309734509</v>
      </c>
      <c r="H158">
        <v>2.708103720772579E-2</v>
      </c>
      <c r="I158">
        <v>9.9118094128951409E-2</v>
      </c>
    </row>
    <row r="159" spans="1:9" x14ac:dyDescent="0.25">
      <c r="A159" t="s">
        <v>263</v>
      </c>
      <c r="B159" s="12">
        <v>158</v>
      </c>
      <c r="C159">
        <v>160</v>
      </c>
      <c r="D159">
        <v>92879</v>
      </c>
      <c r="E159">
        <v>10505</v>
      </c>
      <c r="F159">
        <v>0.2316592920353982</v>
      </c>
      <c r="G159">
        <v>0.29203539823008851</v>
      </c>
      <c r="H159">
        <v>3.2524495058276023E-2</v>
      </c>
      <c r="I159">
        <v>9.2595278844456327E-2</v>
      </c>
    </row>
    <row r="160" spans="1:9" x14ac:dyDescent="0.25">
      <c r="A160" t="s">
        <v>247</v>
      </c>
      <c r="B160" s="12">
        <v>159</v>
      </c>
      <c r="C160">
        <v>142</v>
      </c>
      <c r="D160">
        <v>92870</v>
      </c>
      <c r="E160">
        <v>8255</v>
      </c>
      <c r="F160">
        <v>0.18176991150442481</v>
      </c>
      <c r="G160">
        <v>0.37168141592920362</v>
      </c>
      <c r="H160">
        <v>2.3272884071647609E-2</v>
      </c>
      <c r="I160">
        <v>7.7059047246018156E-2</v>
      </c>
    </row>
    <row r="161" spans="1:9" x14ac:dyDescent="0.25">
      <c r="A161" t="s">
        <v>66</v>
      </c>
      <c r="B161" s="12">
        <v>160</v>
      </c>
      <c r="C161">
        <v>91</v>
      </c>
      <c r="D161">
        <v>92860</v>
      </c>
      <c r="E161">
        <v>22096</v>
      </c>
      <c r="F161">
        <v>0.48703539823008851</v>
      </c>
      <c r="G161">
        <v>0.59734513274336287</v>
      </c>
      <c r="H161">
        <v>6.0512869828669401E-2</v>
      </c>
      <c r="I161">
        <v>-2.0244986595005711E-2</v>
      </c>
    </row>
    <row r="162" spans="1:9" x14ac:dyDescent="0.25">
      <c r="A162" t="s">
        <v>254</v>
      </c>
      <c r="B162" s="12">
        <v>161</v>
      </c>
      <c r="C162">
        <v>169</v>
      </c>
      <c r="D162">
        <v>92753</v>
      </c>
      <c r="E162">
        <v>11711</v>
      </c>
      <c r="F162">
        <v>0.25825221238938051</v>
      </c>
      <c r="G162">
        <v>0.25221238938053098</v>
      </c>
      <c r="H162">
        <v>3.7199066052132371E-2</v>
      </c>
      <c r="I162">
        <v>9.7911013274773528E-2</v>
      </c>
    </row>
    <row r="163" spans="1:9" x14ac:dyDescent="0.25">
      <c r="A163" t="s">
        <v>215</v>
      </c>
      <c r="B163" s="12">
        <v>162</v>
      </c>
      <c r="C163">
        <v>91</v>
      </c>
      <c r="D163">
        <v>92627</v>
      </c>
      <c r="E163">
        <v>22634</v>
      </c>
      <c r="F163">
        <v>0.4984513274336283</v>
      </c>
      <c r="G163">
        <v>0.59734513274336287</v>
      </c>
      <c r="H163">
        <v>6.3308576009587669E-2</v>
      </c>
      <c r="I163">
        <v>-3.794985722326337E-4</v>
      </c>
    </row>
    <row r="164" spans="1:9" x14ac:dyDescent="0.25">
      <c r="A164" t="s">
        <v>272</v>
      </c>
      <c r="B164" s="12">
        <v>163</v>
      </c>
      <c r="C164">
        <v>141</v>
      </c>
      <c r="D164">
        <v>92596</v>
      </c>
      <c r="E164">
        <v>12524</v>
      </c>
      <c r="F164">
        <v>0.27579646017699122</v>
      </c>
      <c r="G164">
        <v>0.37610619469026552</v>
      </c>
      <c r="H164">
        <v>3.774279436647044E-2</v>
      </c>
      <c r="I164">
        <v>7.515331703830333E-2</v>
      </c>
    </row>
    <row r="165" spans="1:9" x14ac:dyDescent="0.25">
      <c r="A165" t="s">
        <v>84</v>
      </c>
      <c r="B165" s="12">
        <v>164</v>
      </c>
      <c r="C165">
        <v>108</v>
      </c>
      <c r="D165">
        <v>92555</v>
      </c>
      <c r="E165">
        <v>15403</v>
      </c>
      <c r="F165">
        <v>0.33809734513274342</v>
      </c>
      <c r="G165">
        <v>0.52212389380530977</v>
      </c>
      <c r="H165">
        <v>4.1811146386998538E-2</v>
      </c>
      <c r="I165">
        <v>2.5260211347706941E-2</v>
      </c>
    </row>
    <row r="166" spans="1:9" x14ac:dyDescent="0.25">
      <c r="A166" t="s">
        <v>173</v>
      </c>
      <c r="B166" s="12">
        <v>165</v>
      </c>
      <c r="C166">
        <v>188</v>
      </c>
      <c r="D166">
        <v>92538</v>
      </c>
      <c r="E166">
        <v>12978</v>
      </c>
      <c r="F166">
        <v>0.28648230088495569</v>
      </c>
      <c r="G166">
        <v>0.16814159292035399</v>
      </c>
      <c r="H166">
        <v>4.3791010767426919E-2</v>
      </c>
      <c r="I166">
        <v>0.1157852884633251</v>
      </c>
    </row>
    <row r="167" spans="1:9" x14ac:dyDescent="0.25">
      <c r="A167" t="s">
        <v>230</v>
      </c>
      <c r="B167" s="12">
        <v>166</v>
      </c>
      <c r="C167">
        <v>108</v>
      </c>
      <c r="D167">
        <v>92451</v>
      </c>
      <c r="E167">
        <v>19619</v>
      </c>
      <c r="F167">
        <v>0.43223451327433632</v>
      </c>
      <c r="G167">
        <v>0.52212389380530977</v>
      </c>
      <c r="H167">
        <v>5.8537828056745067E-2</v>
      </c>
      <c r="I167">
        <v>4.3363414542510623E-2</v>
      </c>
    </row>
    <row r="168" spans="1:9" x14ac:dyDescent="0.25">
      <c r="A168" t="s">
        <v>245</v>
      </c>
      <c r="B168" s="12">
        <v>167</v>
      </c>
      <c r="C168">
        <v>133</v>
      </c>
      <c r="D168">
        <v>92333</v>
      </c>
      <c r="E168">
        <v>16131</v>
      </c>
      <c r="F168">
        <v>0.35528761061946901</v>
      </c>
      <c r="G168">
        <v>0.41150442477876098</v>
      </c>
      <c r="H168">
        <v>5.0546546996214282E-2</v>
      </c>
      <c r="I168">
        <v>7.5659483297925725E-2</v>
      </c>
    </row>
    <row r="169" spans="1:9" x14ac:dyDescent="0.25">
      <c r="A169" t="s">
        <v>185</v>
      </c>
      <c r="B169" s="12">
        <v>168</v>
      </c>
      <c r="C169">
        <v>51</v>
      </c>
      <c r="D169">
        <v>92272</v>
      </c>
      <c r="E169">
        <v>31099</v>
      </c>
      <c r="F169">
        <v>0.68442477876106189</v>
      </c>
      <c r="G169">
        <v>0.77433628318584069</v>
      </c>
      <c r="H169">
        <v>9.1417018214679069E-2</v>
      </c>
      <c r="I169">
        <v>-3.2798827760798073E-2</v>
      </c>
    </row>
    <row r="170" spans="1:9" x14ac:dyDescent="0.25">
      <c r="A170" t="s">
        <v>138</v>
      </c>
      <c r="B170" s="12">
        <v>169</v>
      </c>
      <c r="C170">
        <v>167</v>
      </c>
      <c r="D170">
        <v>92098</v>
      </c>
      <c r="E170">
        <v>16200</v>
      </c>
      <c r="F170">
        <v>0.35769911504424778</v>
      </c>
      <c r="G170">
        <v>0.26106194690265488</v>
      </c>
      <c r="H170">
        <v>5.4656058252859047E-2</v>
      </c>
      <c r="I170">
        <v>0.1072998851954612</v>
      </c>
    </row>
    <row r="171" spans="1:9" x14ac:dyDescent="0.25">
      <c r="A171" t="s">
        <v>191</v>
      </c>
      <c r="B171" s="12">
        <v>170</v>
      </c>
      <c r="C171">
        <v>66</v>
      </c>
      <c r="D171">
        <v>91976</v>
      </c>
      <c r="E171">
        <v>28759</v>
      </c>
      <c r="F171">
        <v>0.63369469026548675</v>
      </c>
      <c r="G171">
        <v>0.70796460176991149</v>
      </c>
      <c r="H171">
        <v>8.4382567603606573E-2</v>
      </c>
      <c r="I171">
        <v>-1.7628368438088439E-2</v>
      </c>
    </row>
    <row r="172" spans="1:9" x14ac:dyDescent="0.25">
      <c r="A172" t="s">
        <v>226</v>
      </c>
      <c r="B172" s="12">
        <v>171</v>
      </c>
      <c r="C172">
        <v>127</v>
      </c>
      <c r="D172">
        <v>91949</v>
      </c>
      <c r="E172">
        <v>18583</v>
      </c>
      <c r="F172">
        <v>0.41066371681415931</v>
      </c>
      <c r="G172">
        <v>0.43805309734513281</v>
      </c>
      <c r="H172">
        <v>6.4493788008720285E-2</v>
      </c>
      <c r="I172">
        <v>0.10272962695967799</v>
      </c>
    </row>
    <row r="173" spans="1:9" x14ac:dyDescent="0.25">
      <c r="A173" t="s">
        <v>130</v>
      </c>
      <c r="B173" s="12">
        <v>172</v>
      </c>
      <c r="C173">
        <v>85</v>
      </c>
      <c r="D173">
        <v>91928</v>
      </c>
      <c r="E173">
        <v>23186</v>
      </c>
      <c r="F173">
        <v>0.51055309734513277</v>
      </c>
      <c r="G173">
        <v>0.62389380530973448</v>
      </c>
      <c r="H173">
        <v>6.5052886618441247E-2</v>
      </c>
      <c r="I173">
        <v>-2.2811409574177428E-3</v>
      </c>
    </row>
    <row r="174" spans="1:9" x14ac:dyDescent="0.25">
      <c r="A174" t="s">
        <v>234</v>
      </c>
      <c r="B174" s="12">
        <v>173</v>
      </c>
      <c r="C174">
        <v>180</v>
      </c>
      <c r="D174">
        <v>91847</v>
      </c>
      <c r="E174">
        <v>13041</v>
      </c>
      <c r="F174">
        <v>0.28769911504424778</v>
      </c>
      <c r="G174">
        <v>0.2035398230088496</v>
      </c>
      <c r="H174">
        <v>4.4060495391314139E-2</v>
      </c>
      <c r="I174">
        <v>0.11545784979462589</v>
      </c>
    </row>
    <row r="175" spans="1:9" x14ac:dyDescent="0.25">
      <c r="A175" t="s">
        <v>269</v>
      </c>
      <c r="B175" s="12">
        <v>174</v>
      </c>
      <c r="C175">
        <v>108</v>
      </c>
      <c r="D175">
        <v>91824</v>
      </c>
      <c r="E175">
        <v>17096</v>
      </c>
      <c r="F175">
        <v>0.37661504424778758</v>
      </c>
      <c r="G175">
        <v>0.52212389380530977</v>
      </c>
      <c r="H175">
        <v>4.0327878568785447E-2</v>
      </c>
      <c r="I175">
        <v>-2.62516452195585E-2</v>
      </c>
    </row>
    <row r="176" spans="1:9" x14ac:dyDescent="0.25">
      <c r="A176" t="s">
        <v>184</v>
      </c>
      <c r="B176" s="12">
        <v>175</v>
      </c>
      <c r="C176">
        <v>77</v>
      </c>
      <c r="D176">
        <v>91785</v>
      </c>
      <c r="E176">
        <v>22351</v>
      </c>
      <c r="F176">
        <v>0.49219026548672568</v>
      </c>
      <c r="G176">
        <v>0.65929203539823011</v>
      </c>
      <c r="H176">
        <v>7.08369699348044E-2</v>
      </c>
      <c r="I176">
        <v>5.0156495062299841E-2</v>
      </c>
    </row>
    <row r="177" spans="1:9" x14ac:dyDescent="0.25">
      <c r="A177" t="s">
        <v>208</v>
      </c>
      <c r="B177" s="12">
        <v>176</v>
      </c>
      <c r="C177">
        <v>86</v>
      </c>
      <c r="D177">
        <v>91494</v>
      </c>
      <c r="E177">
        <v>21663</v>
      </c>
      <c r="F177">
        <v>0.47712389380530967</v>
      </c>
      <c r="G177">
        <v>0.61946902654867253</v>
      </c>
      <c r="H177">
        <v>6.3343758590320237E-2</v>
      </c>
      <c r="I177">
        <v>2.2396132051828551E-2</v>
      </c>
    </row>
    <row r="178" spans="1:9" x14ac:dyDescent="0.25">
      <c r="A178" t="s">
        <v>8</v>
      </c>
      <c r="B178" s="12">
        <v>177</v>
      </c>
      <c r="C178">
        <v>47</v>
      </c>
      <c r="D178">
        <v>91434</v>
      </c>
      <c r="E178">
        <v>36286</v>
      </c>
      <c r="F178">
        <v>0.79924778761061943</v>
      </c>
      <c r="G178">
        <v>0.79203539823008851</v>
      </c>
      <c r="H178">
        <v>0.100579844697125</v>
      </c>
      <c r="I178">
        <v>-7.9330730035507488E-2</v>
      </c>
    </row>
    <row r="179" spans="1:9" x14ac:dyDescent="0.25">
      <c r="A179" t="s">
        <v>264</v>
      </c>
      <c r="B179" s="12">
        <v>178</v>
      </c>
      <c r="C179">
        <v>110</v>
      </c>
      <c r="D179">
        <v>91432</v>
      </c>
      <c r="E179">
        <v>16646</v>
      </c>
      <c r="F179">
        <v>0.36659292035398228</v>
      </c>
      <c r="G179">
        <v>0.51327433628318586</v>
      </c>
      <c r="H179">
        <v>4.6818234334421713E-2</v>
      </c>
      <c r="I179">
        <v>3.2399854081807372E-2</v>
      </c>
    </row>
    <row r="180" spans="1:9" x14ac:dyDescent="0.25">
      <c r="A180" t="s">
        <v>240</v>
      </c>
      <c r="B180" s="12">
        <v>179</v>
      </c>
      <c r="C180">
        <v>83</v>
      </c>
      <c r="D180">
        <v>91405</v>
      </c>
      <c r="E180">
        <v>21647</v>
      </c>
      <c r="F180">
        <v>0.4766371681415929</v>
      </c>
      <c r="G180">
        <v>0.63274336283185839</v>
      </c>
      <c r="H180">
        <v>6.4224358637224074E-2</v>
      </c>
      <c r="I180">
        <v>2.9817753433170811E-2</v>
      </c>
    </row>
    <row r="181" spans="1:9" x14ac:dyDescent="0.25">
      <c r="A181" t="s">
        <v>188</v>
      </c>
      <c r="B181" s="12">
        <v>180</v>
      </c>
      <c r="C181">
        <v>58</v>
      </c>
      <c r="D181">
        <v>91296</v>
      </c>
      <c r="E181">
        <v>33647</v>
      </c>
      <c r="F181">
        <v>0.74048672566371676</v>
      </c>
      <c r="G181">
        <v>0.74336283185840712</v>
      </c>
      <c r="H181">
        <v>9.2684091440324703E-2</v>
      </c>
      <c r="I181">
        <v>-6.9046134364969702E-2</v>
      </c>
    </row>
    <row r="182" spans="1:9" x14ac:dyDescent="0.25">
      <c r="A182" t="s">
        <v>170</v>
      </c>
      <c r="B182" s="12">
        <v>181</v>
      </c>
      <c r="C182">
        <v>70</v>
      </c>
      <c r="D182">
        <v>90875</v>
      </c>
      <c r="E182">
        <v>24247</v>
      </c>
      <c r="F182">
        <v>0.53378318584070794</v>
      </c>
      <c r="G182">
        <v>0.69026548672566368</v>
      </c>
      <c r="H182">
        <v>6.8146859394164538E-2</v>
      </c>
      <c r="I182">
        <v>-8.1010195448900958E-3</v>
      </c>
    </row>
    <row r="183" spans="1:9" x14ac:dyDescent="0.25">
      <c r="A183" t="s">
        <v>258</v>
      </c>
      <c r="B183" s="12">
        <v>182</v>
      </c>
      <c r="C183">
        <v>126</v>
      </c>
      <c r="D183">
        <v>90492</v>
      </c>
      <c r="E183">
        <v>14485</v>
      </c>
      <c r="F183">
        <v>0.3190486725663717</v>
      </c>
      <c r="G183">
        <v>0.44247787610619471</v>
      </c>
      <c r="H183">
        <v>4.3414110535765722E-2</v>
      </c>
      <c r="I183">
        <v>6.6931200563740828E-2</v>
      </c>
    </row>
    <row r="184" spans="1:9" x14ac:dyDescent="0.25">
      <c r="A184" t="s">
        <v>218</v>
      </c>
      <c r="B184" s="12">
        <v>183</v>
      </c>
      <c r="C184">
        <v>44</v>
      </c>
      <c r="D184">
        <v>90466</v>
      </c>
      <c r="E184">
        <v>31551</v>
      </c>
      <c r="F184">
        <v>0.69451327433628318</v>
      </c>
      <c r="G184">
        <v>0.80530973451327437</v>
      </c>
      <c r="H184">
        <v>9.317682393335934E-2</v>
      </c>
      <c r="I184">
        <v>-2.3047400038353621E-2</v>
      </c>
    </row>
    <row r="185" spans="1:9" x14ac:dyDescent="0.25">
      <c r="A185" t="s">
        <v>6</v>
      </c>
      <c r="B185" s="12">
        <v>184</v>
      </c>
      <c r="C185">
        <v>56</v>
      </c>
      <c r="D185">
        <v>90445</v>
      </c>
      <c r="E185">
        <v>29417</v>
      </c>
      <c r="F185">
        <v>0.64758849557522125</v>
      </c>
      <c r="G185">
        <v>0.75221238938053092</v>
      </c>
      <c r="H185">
        <v>8.4268015460558329E-2</v>
      </c>
      <c r="I185">
        <v>-2.8804254010457869E-2</v>
      </c>
    </row>
    <row r="186" spans="1:9" x14ac:dyDescent="0.25">
      <c r="A186" t="s">
        <v>194</v>
      </c>
      <c r="B186" s="12">
        <v>185</v>
      </c>
      <c r="C186">
        <v>20</v>
      </c>
      <c r="D186">
        <v>90430</v>
      </c>
      <c r="E186">
        <v>36863</v>
      </c>
      <c r="F186">
        <v>0.81163716814159292</v>
      </c>
      <c r="G186">
        <v>0.91150442477876104</v>
      </c>
      <c r="H186">
        <v>0.10693527985174341</v>
      </c>
      <c r="I186">
        <v>-5.8354350964729879E-2</v>
      </c>
    </row>
    <row r="187" spans="1:9" x14ac:dyDescent="0.25">
      <c r="A187" t="s">
        <v>256</v>
      </c>
      <c r="B187" s="12">
        <v>186</v>
      </c>
      <c r="C187">
        <v>89</v>
      </c>
      <c r="D187">
        <v>90248</v>
      </c>
      <c r="E187">
        <v>23100</v>
      </c>
      <c r="F187">
        <v>0.51026548672566374</v>
      </c>
      <c r="G187">
        <v>0.60619469026548678</v>
      </c>
      <c r="H187">
        <v>6.5016415604463765E-2</v>
      </c>
      <c r="I187">
        <v>1.418785174738067E-3</v>
      </c>
    </row>
    <row r="188" spans="1:9" x14ac:dyDescent="0.25">
      <c r="A188" t="s">
        <v>228</v>
      </c>
      <c r="B188" s="12">
        <v>187</v>
      </c>
      <c r="C188">
        <v>91</v>
      </c>
      <c r="D188">
        <v>90228</v>
      </c>
      <c r="E188">
        <v>22655</v>
      </c>
      <c r="F188">
        <v>0.49909292035398228</v>
      </c>
      <c r="G188">
        <v>0.59734513274336287</v>
      </c>
      <c r="H188">
        <v>6.3668980133077008E-2</v>
      </c>
      <c r="I188">
        <v>2.1270849335982469E-3</v>
      </c>
    </row>
    <row r="189" spans="1:9" x14ac:dyDescent="0.25">
      <c r="A189" t="s">
        <v>242</v>
      </c>
      <c r="B189" s="12">
        <v>188</v>
      </c>
      <c r="C189">
        <v>63</v>
      </c>
      <c r="D189">
        <v>90206</v>
      </c>
      <c r="E189">
        <v>28748</v>
      </c>
      <c r="F189">
        <v>0.63336283185840703</v>
      </c>
      <c r="G189">
        <v>0.72123893805309736</v>
      </c>
      <c r="H189">
        <v>8.0560805217070305E-2</v>
      </c>
      <c r="I189">
        <v>-3.1775330501237077E-2</v>
      </c>
    </row>
    <row r="190" spans="1:9" x14ac:dyDescent="0.25">
      <c r="A190" t="s">
        <v>222</v>
      </c>
      <c r="B190" s="12">
        <v>189</v>
      </c>
      <c r="C190">
        <v>100</v>
      </c>
      <c r="D190">
        <v>90089</v>
      </c>
      <c r="E190">
        <v>22428</v>
      </c>
      <c r="F190">
        <v>0.49575221238938061</v>
      </c>
      <c r="G190">
        <v>0.55752212389380529</v>
      </c>
      <c r="H190">
        <v>6.2643097695044642E-2</v>
      </c>
      <c r="I190">
        <v>9.0010668570528248E-3</v>
      </c>
    </row>
    <row r="191" spans="1:9" x14ac:dyDescent="0.25">
      <c r="A191" t="s">
        <v>216</v>
      </c>
      <c r="B191" s="12">
        <v>190</v>
      </c>
      <c r="C191">
        <v>45</v>
      </c>
      <c r="D191">
        <v>89902</v>
      </c>
      <c r="E191">
        <v>37297</v>
      </c>
      <c r="F191">
        <v>0.82165929203539823</v>
      </c>
      <c r="G191">
        <v>0.80088495575221241</v>
      </c>
      <c r="H191">
        <v>0.10446141463677899</v>
      </c>
      <c r="I191">
        <v>-7.6485886277311482E-2</v>
      </c>
    </row>
    <row r="192" spans="1:9" x14ac:dyDescent="0.25">
      <c r="A192" t="s">
        <v>243</v>
      </c>
      <c r="B192" s="12">
        <v>191</v>
      </c>
      <c r="C192">
        <v>80</v>
      </c>
      <c r="D192">
        <v>89888</v>
      </c>
      <c r="E192">
        <v>22722</v>
      </c>
      <c r="F192">
        <v>0.50053097345132747</v>
      </c>
      <c r="G192">
        <v>0.64601769911504425</v>
      </c>
      <c r="H192">
        <v>6.3630164432815023E-2</v>
      </c>
      <c r="I192">
        <v>-3.6940867337523242E-4</v>
      </c>
    </row>
    <row r="193" spans="1:9" x14ac:dyDescent="0.25">
      <c r="A193" t="s">
        <v>201</v>
      </c>
      <c r="B193" s="12">
        <v>192</v>
      </c>
      <c r="C193">
        <v>33</v>
      </c>
      <c r="D193">
        <v>89753</v>
      </c>
      <c r="E193">
        <v>38642</v>
      </c>
      <c r="F193">
        <v>0.85119469026548678</v>
      </c>
      <c r="G193">
        <v>0.85398230088495575</v>
      </c>
      <c r="H193">
        <v>0.10884988414743101</v>
      </c>
      <c r="I193">
        <v>-8.1958721503783999E-2</v>
      </c>
    </row>
    <row r="194" spans="1:9" x14ac:dyDescent="0.25">
      <c r="A194" t="s">
        <v>248</v>
      </c>
      <c r="B194" s="12">
        <v>193</v>
      </c>
      <c r="C194">
        <v>75</v>
      </c>
      <c r="D194">
        <v>89608</v>
      </c>
      <c r="E194">
        <v>22712</v>
      </c>
      <c r="F194">
        <v>0.50028761061946903</v>
      </c>
      <c r="G194">
        <v>0.66814159292035402</v>
      </c>
      <c r="H194">
        <v>6.3635561452136155E-2</v>
      </c>
      <c r="I194">
        <v>1.4352798144408619E-4</v>
      </c>
    </row>
    <row r="195" spans="1:9" x14ac:dyDescent="0.25">
      <c r="A195" t="s">
        <v>231</v>
      </c>
      <c r="B195" s="12">
        <v>194</v>
      </c>
      <c r="C195">
        <v>56</v>
      </c>
      <c r="D195">
        <v>89482</v>
      </c>
      <c r="E195">
        <v>31810</v>
      </c>
      <c r="F195">
        <v>0.70048672566371684</v>
      </c>
      <c r="G195">
        <v>0.75221238938053092</v>
      </c>
      <c r="H195">
        <v>8.9191286389980473E-2</v>
      </c>
      <c r="I195">
        <v>-4.7292822634207102E-2</v>
      </c>
    </row>
    <row r="196" spans="1:9" x14ac:dyDescent="0.25">
      <c r="A196" t="s">
        <v>198</v>
      </c>
      <c r="B196" s="12">
        <v>195</v>
      </c>
      <c r="C196">
        <v>38</v>
      </c>
      <c r="D196">
        <v>89283</v>
      </c>
      <c r="E196">
        <v>38496</v>
      </c>
      <c r="F196">
        <v>0.84787610619469023</v>
      </c>
      <c r="G196">
        <v>0.83185840707964598</v>
      </c>
      <c r="H196">
        <v>0.10856254668118159</v>
      </c>
      <c r="I196">
        <v>-8.1572068795096764E-2</v>
      </c>
    </row>
    <row r="197" spans="1:9" x14ac:dyDescent="0.25">
      <c r="A197" t="s">
        <v>17</v>
      </c>
      <c r="B197" s="12">
        <v>196</v>
      </c>
      <c r="C197">
        <v>81</v>
      </c>
      <c r="D197">
        <v>88893</v>
      </c>
      <c r="E197">
        <v>22720</v>
      </c>
      <c r="F197">
        <v>0.50064159292035393</v>
      </c>
      <c r="G197">
        <v>0.6415929203539823</v>
      </c>
      <c r="H197">
        <v>6.3699568743943669E-2</v>
      </c>
      <c r="I197">
        <v>2.1077615212615041E-4</v>
      </c>
    </row>
    <row r="198" spans="1:9" x14ac:dyDescent="0.25">
      <c r="A198" t="s">
        <v>260</v>
      </c>
      <c r="B198" s="12">
        <v>197</v>
      </c>
      <c r="C198">
        <v>79</v>
      </c>
      <c r="D198">
        <v>88620</v>
      </c>
      <c r="E198">
        <v>25258</v>
      </c>
      <c r="F198">
        <v>0.55663716814159292</v>
      </c>
      <c r="G198">
        <v>0.65044247787610621</v>
      </c>
      <c r="H198">
        <v>6.2200601713612941E-2</v>
      </c>
      <c r="I198">
        <v>-6.6194276977191727E-2</v>
      </c>
    </row>
    <row r="199" spans="1:9" x14ac:dyDescent="0.25">
      <c r="A199" t="s">
        <v>251</v>
      </c>
      <c r="B199" s="12">
        <v>198</v>
      </c>
      <c r="C199">
        <v>80</v>
      </c>
      <c r="D199">
        <v>88619</v>
      </c>
      <c r="E199">
        <v>22653</v>
      </c>
      <c r="F199">
        <v>0.49913716814159292</v>
      </c>
      <c r="G199">
        <v>0.64601769911504425</v>
      </c>
      <c r="H199">
        <v>6.3380503755354506E-2</v>
      </c>
      <c r="I199">
        <v>-7.573344469406927E-4</v>
      </c>
    </row>
    <row r="200" spans="1:9" x14ac:dyDescent="0.25">
      <c r="A200" t="s">
        <v>262</v>
      </c>
      <c r="B200" s="12">
        <v>199</v>
      </c>
      <c r="C200">
        <v>80</v>
      </c>
      <c r="D200">
        <v>88614</v>
      </c>
      <c r="E200">
        <v>22785</v>
      </c>
      <c r="F200">
        <v>0.50196902654867259</v>
      </c>
      <c r="G200">
        <v>0.64601769911504425</v>
      </c>
      <c r="H200">
        <v>6.3959722529161656E-2</v>
      </c>
      <c r="I200">
        <v>-1.8851091180587491E-4</v>
      </c>
    </row>
    <row r="201" spans="1:9" x14ac:dyDescent="0.25">
      <c r="A201" t="s">
        <v>183</v>
      </c>
      <c r="B201" s="12">
        <v>200</v>
      </c>
      <c r="C201">
        <v>20</v>
      </c>
      <c r="D201">
        <v>88579</v>
      </c>
      <c r="E201">
        <v>40891</v>
      </c>
      <c r="F201">
        <v>0.90079646017699111</v>
      </c>
      <c r="G201">
        <v>0.91150442477876104</v>
      </c>
      <c r="H201">
        <v>0.11442703412099189</v>
      </c>
      <c r="I201">
        <v>-9.6417640565694004E-2</v>
      </c>
    </row>
    <row r="202" spans="1:9" x14ac:dyDescent="0.25">
      <c r="A202" t="s">
        <v>19</v>
      </c>
      <c r="B202" s="12">
        <v>201</v>
      </c>
      <c r="C202">
        <v>73</v>
      </c>
      <c r="D202">
        <v>88563</v>
      </c>
      <c r="E202">
        <v>22681</v>
      </c>
      <c r="F202">
        <v>0.49955752212389382</v>
      </c>
      <c r="G202">
        <v>0.67699115044247793</v>
      </c>
      <c r="H202">
        <v>6.3585433199525893E-2</v>
      </c>
      <c r="I202">
        <v>7.94977260663822E-4</v>
      </c>
    </row>
    <row r="203" spans="1:9" x14ac:dyDescent="0.25">
      <c r="A203" t="s">
        <v>266</v>
      </c>
      <c r="B203" s="12">
        <v>202</v>
      </c>
      <c r="C203">
        <v>97</v>
      </c>
      <c r="D203">
        <v>88541</v>
      </c>
      <c r="E203">
        <v>17604</v>
      </c>
      <c r="F203">
        <v>0.38741150442477879</v>
      </c>
      <c r="G203">
        <v>0.57079646017699115</v>
      </c>
      <c r="H203">
        <v>4.5626929349160891E-2</v>
      </c>
      <c r="I203">
        <v>2.3677226463941309E-4</v>
      </c>
    </row>
    <row r="204" spans="1:9" x14ac:dyDescent="0.25">
      <c r="A204" t="s">
        <v>233</v>
      </c>
      <c r="B204" s="12">
        <v>203</v>
      </c>
      <c r="C204">
        <v>61</v>
      </c>
      <c r="D204">
        <v>88527</v>
      </c>
      <c r="E204">
        <v>28901</v>
      </c>
      <c r="F204">
        <v>0.63650442477876101</v>
      </c>
      <c r="G204">
        <v>0.73008849557522126</v>
      </c>
      <c r="H204">
        <v>8.1025345883174227E-2</v>
      </c>
      <c r="I204">
        <v>-3.2390182168295097E-2</v>
      </c>
    </row>
    <row r="205" spans="1:9" x14ac:dyDescent="0.25">
      <c r="A205" t="s">
        <v>232</v>
      </c>
      <c r="B205" s="12">
        <v>204</v>
      </c>
      <c r="C205">
        <v>75</v>
      </c>
      <c r="D205">
        <v>88483</v>
      </c>
      <c r="E205">
        <v>23462</v>
      </c>
      <c r="F205">
        <v>0.5161946902654867</v>
      </c>
      <c r="G205">
        <v>0.66814159292035402</v>
      </c>
      <c r="H205">
        <v>6.5700758563871364E-2</v>
      </c>
      <c r="I205">
        <v>-4.276470981448499E-3</v>
      </c>
    </row>
    <row r="206" spans="1:9" x14ac:dyDescent="0.25">
      <c r="A206" t="s">
        <v>165</v>
      </c>
      <c r="B206" s="12">
        <v>205</v>
      </c>
      <c r="C206">
        <v>78</v>
      </c>
      <c r="D206">
        <v>88434</v>
      </c>
      <c r="E206">
        <v>23613</v>
      </c>
      <c r="F206">
        <v>0.51882743362831862</v>
      </c>
      <c r="G206">
        <v>0.65486725663716816</v>
      </c>
      <c r="H206">
        <v>6.6475361935541932E-2</v>
      </c>
      <c r="I206">
        <v>-1.9028209160936E-3</v>
      </c>
    </row>
    <row r="207" spans="1:9" x14ac:dyDescent="0.25">
      <c r="A207" t="s">
        <v>205</v>
      </c>
      <c r="B207" s="12">
        <v>206</v>
      </c>
      <c r="C207">
        <v>31</v>
      </c>
      <c r="D207">
        <v>88410</v>
      </c>
      <c r="E207">
        <v>38836</v>
      </c>
      <c r="F207">
        <v>0.85548672566371686</v>
      </c>
      <c r="G207">
        <v>0.86283185840707965</v>
      </c>
      <c r="H207">
        <v>0.10923495755364079</v>
      </c>
      <c r="I207">
        <v>-8.3148501341711367E-2</v>
      </c>
    </row>
    <row r="208" spans="1:9" x14ac:dyDescent="0.25">
      <c r="A208" t="s">
        <v>244</v>
      </c>
      <c r="B208" s="12">
        <v>207</v>
      </c>
      <c r="C208">
        <v>53</v>
      </c>
      <c r="D208">
        <v>88357</v>
      </c>
      <c r="E208">
        <v>36807</v>
      </c>
      <c r="F208">
        <v>0.81097345132743359</v>
      </c>
      <c r="G208">
        <v>0.76548672566371678</v>
      </c>
      <c r="H208">
        <v>9.9368904098574115E-2</v>
      </c>
      <c r="I208">
        <v>-8.8220609171783759E-2</v>
      </c>
    </row>
    <row r="209" spans="1:9" x14ac:dyDescent="0.25">
      <c r="A209" t="s">
        <v>210</v>
      </c>
      <c r="B209" s="12">
        <v>208</v>
      </c>
      <c r="C209">
        <v>16</v>
      </c>
      <c r="D209">
        <v>88113</v>
      </c>
      <c r="E209">
        <v>40476</v>
      </c>
      <c r="F209">
        <v>0.89161504424778759</v>
      </c>
      <c r="G209">
        <v>0.92920353982300885</v>
      </c>
      <c r="H209">
        <v>0.11350414227792049</v>
      </c>
      <c r="I209">
        <v>-9.2474792822457963E-2</v>
      </c>
    </row>
    <row r="210" spans="1:9" x14ac:dyDescent="0.25">
      <c r="A210" t="s">
        <v>203</v>
      </c>
      <c r="B210" s="12">
        <v>209</v>
      </c>
      <c r="C210">
        <v>31</v>
      </c>
      <c r="D210">
        <v>87987</v>
      </c>
      <c r="E210">
        <v>38565</v>
      </c>
      <c r="F210">
        <v>0.84942477876106193</v>
      </c>
      <c r="G210">
        <v>0.86283185840707965</v>
      </c>
      <c r="H210">
        <v>0.1086424681849824</v>
      </c>
      <c r="I210">
        <v>-8.1594575054672727E-2</v>
      </c>
    </row>
    <row r="211" spans="1:9" x14ac:dyDescent="0.25">
      <c r="A211" t="s">
        <v>167</v>
      </c>
      <c r="B211" s="12">
        <v>210</v>
      </c>
      <c r="C211">
        <v>75</v>
      </c>
      <c r="D211">
        <v>87847</v>
      </c>
      <c r="E211">
        <v>23673</v>
      </c>
      <c r="F211">
        <v>0.52053097345132748</v>
      </c>
      <c r="G211">
        <v>0.66814159292035402</v>
      </c>
      <c r="H211">
        <v>6.6713881395771321E-2</v>
      </c>
      <c r="I211">
        <v>-2.882024015047978E-3</v>
      </c>
    </row>
    <row r="212" spans="1:9" x14ac:dyDescent="0.25">
      <c r="A212" t="s">
        <v>181</v>
      </c>
      <c r="B212" s="12">
        <v>211</v>
      </c>
      <c r="C212">
        <v>51</v>
      </c>
      <c r="D212">
        <v>87687</v>
      </c>
      <c r="E212">
        <v>36884</v>
      </c>
      <c r="F212">
        <v>0.81267699115044245</v>
      </c>
      <c r="G212">
        <v>0.77433628318584069</v>
      </c>
      <c r="H212">
        <v>0.1025679068022404</v>
      </c>
      <c r="I212">
        <v>-7.9267962559653904E-2</v>
      </c>
    </row>
    <row r="213" spans="1:9" x14ac:dyDescent="0.25">
      <c r="A213" t="s">
        <v>193</v>
      </c>
      <c r="B213" s="12">
        <v>212</v>
      </c>
      <c r="C213">
        <v>16</v>
      </c>
      <c r="D213">
        <v>87662</v>
      </c>
      <c r="E213">
        <v>40844</v>
      </c>
      <c r="F213">
        <v>0.89955752212389384</v>
      </c>
      <c r="G213">
        <v>0.92920353982300885</v>
      </c>
      <c r="H213">
        <v>0.1144205702626459</v>
      </c>
      <c r="I213">
        <v>-9.4675317690231423E-2</v>
      </c>
    </row>
    <row r="214" spans="1:9" x14ac:dyDescent="0.25">
      <c r="A214" t="s">
        <v>175</v>
      </c>
      <c r="B214" s="12">
        <v>213</v>
      </c>
      <c r="C214">
        <v>22</v>
      </c>
      <c r="D214">
        <v>87506</v>
      </c>
      <c r="E214">
        <v>40389</v>
      </c>
      <c r="F214">
        <v>0.88973451327433628</v>
      </c>
      <c r="G214">
        <v>0.90265486725663713</v>
      </c>
      <c r="H214">
        <v>0.11307465642961349</v>
      </c>
      <c r="I214">
        <v>-9.4012068785967115E-2</v>
      </c>
    </row>
    <row r="215" spans="1:9" x14ac:dyDescent="0.25">
      <c r="A215" t="s">
        <v>182</v>
      </c>
      <c r="B215" s="12">
        <v>214</v>
      </c>
      <c r="C215">
        <v>11</v>
      </c>
      <c r="D215">
        <v>87384</v>
      </c>
      <c r="E215">
        <v>40759</v>
      </c>
      <c r="F215">
        <v>0.8977433628318584</v>
      </c>
      <c r="G215">
        <v>0.95132743362831862</v>
      </c>
      <c r="H215">
        <v>0.1141482064376637</v>
      </c>
      <c r="I215">
        <v>-9.366923186882177E-2</v>
      </c>
    </row>
    <row r="216" spans="1:9" x14ac:dyDescent="0.25">
      <c r="A216" t="s">
        <v>146</v>
      </c>
      <c r="B216" s="12">
        <v>215</v>
      </c>
      <c r="C216">
        <v>83</v>
      </c>
      <c r="D216">
        <v>87298</v>
      </c>
      <c r="E216">
        <v>22098</v>
      </c>
      <c r="F216">
        <v>0.48568584070796461</v>
      </c>
      <c r="G216">
        <v>0.63274336283185839</v>
      </c>
      <c r="H216">
        <v>6.0568441186141637E-2</v>
      </c>
      <c r="I216">
        <v>-5.2485187238700886E-3</v>
      </c>
    </row>
    <row r="217" spans="1:9" x14ac:dyDescent="0.25">
      <c r="A217" t="s">
        <v>270</v>
      </c>
      <c r="B217" s="12">
        <v>216</v>
      </c>
      <c r="C217">
        <v>64</v>
      </c>
      <c r="D217">
        <v>87244</v>
      </c>
      <c r="E217">
        <v>30968</v>
      </c>
      <c r="F217">
        <v>0.68272123893805314</v>
      </c>
      <c r="G217">
        <v>0.7168141592920354</v>
      </c>
      <c r="H217">
        <v>8.2245243495799911E-2</v>
      </c>
      <c r="I217">
        <v>-6.3983888057550634E-2</v>
      </c>
    </row>
    <row r="218" spans="1:9" x14ac:dyDescent="0.25">
      <c r="A218" t="s">
        <v>239</v>
      </c>
      <c r="B218" s="12">
        <v>217</v>
      </c>
      <c r="C218">
        <v>16</v>
      </c>
      <c r="D218">
        <v>86747</v>
      </c>
      <c r="E218">
        <v>40365</v>
      </c>
      <c r="F218">
        <v>0.88907079646017695</v>
      </c>
      <c r="G218">
        <v>0.92920353982300885</v>
      </c>
      <c r="H218">
        <v>0.11324290854715049</v>
      </c>
      <c r="I218">
        <v>-9.186453591320122E-2</v>
      </c>
    </row>
    <row r="219" spans="1:9" x14ac:dyDescent="0.25">
      <c r="A219" t="s">
        <v>257</v>
      </c>
      <c r="B219" s="12">
        <v>218</v>
      </c>
      <c r="C219">
        <v>49</v>
      </c>
      <c r="D219">
        <v>86735</v>
      </c>
      <c r="E219">
        <v>35960</v>
      </c>
      <c r="F219">
        <v>0.79234513274336282</v>
      </c>
      <c r="G219">
        <v>0.7831858407079646</v>
      </c>
      <c r="H219">
        <v>9.6098533021621885E-2</v>
      </c>
      <c r="I219">
        <v>-8.8532371627463288E-2</v>
      </c>
    </row>
    <row r="220" spans="1:9" x14ac:dyDescent="0.25">
      <c r="A220" t="s">
        <v>237</v>
      </c>
      <c r="B220" s="12">
        <v>219</v>
      </c>
      <c r="C220">
        <v>51</v>
      </c>
      <c r="D220">
        <v>86710</v>
      </c>
      <c r="E220">
        <v>34932</v>
      </c>
      <c r="F220">
        <v>0.76935840707964598</v>
      </c>
      <c r="G220">
        <v>0.77433628318584069</v>
      </c>
      <c r="H220">
        <v>9.8012239420543726E-2</v>
      </c>
      <c r="I220">
        <v>-6.2809712608791562E-2</v>
      </c>
    </row>
    <row r="221" spans="1:9" x14ac:dyDescent="0.25">
      <c r="A221" t="s">
        <v>249</v>
      </c>
      <c r="B221" s="12">
        <v>220</v>
      </c>
      <c r="C221">
        <v>39</v>
      </c>
      <c r="D221">
        <v>86452</v>
      </c>
      <c r="E221">
        <v>37413</v>
      </c>
      <c r="F221">
        <v>0.824070796460177</v>
      </c>
      <c r="G221">
        <v>0.82743362831858402</v>
      </c>
      <c r="H221">
        <v>0.1047698840152326</v>
      </c>
      <c r="I221">
        <v>-7.7753348810582074E-2</v>
      </c>
    </row>
    <row r="222" spans="1:9" x14ac:dyDescent="0.25">
      <c r="A222" t="s">
        <v>246</v>
      </c>
      <c r="B222" s="12">
        <v>221</v>
      </c>
      <c r="C222">
        <v>43</v>
      </c>
      <c r="D222">
        <v>86420</v>
      </c>
      <c r="E222">
        <v>38266</v>
      </c>
      <c r="F222">
        <v>0.84320796460176994</v>
      </c>
      <c r="G222">
        <v>0.80973451327433632</v>
      </c>
      <c r="H222">
        <v>0.104575672975166</v>
      </c>
      <c r="I222">
        <v>-9.3939511882746768E-2</v>
      </c>
    </row>
    <row r="223" spans="1:9" x14ac:dyDescent="0.25">
      <c r="A223" t="s">
        <v>274</v>
      </c>
      <c r="B223" s="12">
        <v>222</v>
      </c>
      <c r="C223">
        <v>77</v>
      </c>
      <c r="D223">
        <v>86336</v>
      </c>
      <c r="E223">
        <v>25797</v>
      </c>
      <c r="F223">
        <v>0.56851769911504424</v>
      </c>
      <c r="G223">
        <v>0.65929203539823011</v>
      </c>
      <c r="H223">
        <v>6.4152430539708913E-2</v>
      </c>
      <c r="I223">
        <v>-6.3426241577116932E-2</v>
      </c>
    </row>
    <row r="224" spans="1:9" x14ac:dyDescent="0.25">
      <c r="A224" t="s">
        <v>267</v>
      </c>
      <c r="B224" s="12">
        <v>223</v>
      </c>
      <c r="C224">
        <v>73</v>
      </c>
      <c r="D224">
        <v>86307</v>
      </c>
      <c r="E224">
        <v>25847</v>
      </c>
      <c r="F224">
        <v>0.56964601769911505</v>
      </c>
      <c r="G224">
        <v>0.67699115044247793</v>
      </c>
      <c r="H224">
        <v>6.407721547242469E-2</v>
      </c>
      <c r="I224">
        <v>-6.5069007125953843E-2</v>
      </c>
    </row>
    <row r="225" spans="1:9" x14ac:dyDescent="0.25">
      <c r="A225" t="s">
        <v>253</v>
      </c>
      <c r="B225" s="12">
        <v>224</v>
      </c>
      <c r="C225">
        <v>75</v>
      </c>
      <c r="D225">
        <v>86298</v>
      </c>
      <c r="E225">
        <v>27348</v>
      </c>
      <c r="F225">
        <v>0.60117256637168137</v>
      </c>
      <c r="G225">
        <v>0.66814159292035402</v>
      </c>
      <c r="H225">
        <v>8.3890914147676424E-2</v>
      </c>
      <c r="I225">
        <v>2.977551194044779E-2</v>
      </c>
    </row>
    <row r="226" spans="1:9" x14ac:dyDescent="0.25">
      <c r="A226" t="s">
        <v>227</v>
      </c>
      <c r="B226" s="12">
        <v>225</v>
      </c>
      <c r="C226">
        <v>20</v>
      </c>
      <c r="D226">
        <v>85434</v>
      </c>
      <c r="E226">
        <v>40624</v>
      </c>
      <c r="F226">
        <v>0.89482300884955757</v>
      </c>
      <c r="G226">
        <v>0.91150442477876104</v>
      </c>
      <c r="H226">
        <v>0.1137344214251086</v>
      </c>
      <c r="I226">
        <v>-9.4295209556134338E-2</v>
      </c>
    </row>
    <row r="227" spans="1:9" x14ac:dyDescent="0.25">
      <c r="A227" t="s">
        <v>273</v>
      </c>
      <c r="B227" s="12">
        <v>226</v>
      </c>
      <c r="C227">
        <v>60</v>
      </c>
      <c r="D227">
        <v>85374</v>
      </c>
      <c r="E227">
        <v>31969</v>
      </c>
      <c r="F227">
        <v>0.70455752212389378</v>
      </c>
      <c r="G227">
        <v>0.73451327433628322</v>
      </c>
      <c r="H227">
        <v>8.1573078421831785E-2</v>
      </c>
      <c r="I227">
        <v>-8.8207095200633967E-2</v>
      </c>
    </row>
    <row r="228" spans="1:9" x14ac:dyDescent="0.25">
      <c r="A228" t="s">
        <v>207</v>
      </c>
      <c r="B228" s="12">
        <v>227</v>
      </c>
      <c r="C228">
        <v>17</v>
      </c>
      <c r="D228">
        <v>85096</v>
      </c>
      <c r="E228">
        <v>40292</v>
      </c>
      <c r="F228">
        <v>0.88756637168141594</v>
      </c>
      <c r="G228">
        <v>0.9247787610619469</v>
      </c>
      <c r="H228">
        <v>0.1125922315738163</v>
      </c>
      <c r="I228">
        <v>-9.5561330811894815E-2</v>
      </c>
    </row>
    <row r="230" spans="1:9" x14ac:dyDescent="0.25">
      <c r="A230" s="12" t="s">
        <v>0</v>
      </c>
      <c r="C230" s="12" t="s">
        <v>1</v>
      </c>
      <c r="D230" s="12" t="s">
        <v>2</v>
      </c>
      <c r="E230" s="12" t="s">
        <v>3</v>
      </c>
      <c r="F230" s="12" t="s">
        <v>281</v>
      </c>
      <c r="G230" s="12" t="s">
        <v>282</v>
      </c>
      <c r="H230" s="12" t="s">
        <v>283</v>
      </c>
      <c r="I230" s="12" t="s">
        <v>284</v>
      </c>
    </row>
    <row r="231" spans="1:9" x14ac:dyDescent="0.25">
      <c r="A231" t="s">
        <v>96</v>
      </c>
      <c r="B231" s="12">
        <v>1</v>
      </c>
      <c r="C231">
        <v>124</v>
      </c>
      <c r="D231">
        <v>107813</v>
      </c>
      <c r="E231">
        <v>20561</v>
      </c>
      <c r="F231">
        <v>0.45311946902654859</v>
      </c>
      <c r="G231">
        <v>0.45132743362831862</v>
      </c>
      <c r="H231">
        <v>6.6555813310375911E-2</v>
      </c>
      <c r="I231">
        <v>2.1699576653338892E-2</v>
      </c>
    </row>
    <row r="232" spans="1:9" x14ac:dyDescent="0.25">
      <c r="A232" t="s">
        <v>91</v>
      </c>
      <c r="B232" s="12">
        <v>2</v>
      </c>
      <c r="C232">
        <v>125</v>
      </c>
      <c r="D232">
        <v>105210</v>
      </c>
      <c r="E232">
        <v>15944</v>
      </c>
      <c r="F232">
        <v>0.35157079646017703</v>
      </c>
      <c r="G232">
        <v>0.44690265486725661</v>
      </c>
      <c r="H232">
        <v>4.5515903217789741E-2</v>
      </c>
      <c r="I232">
        <v>-2.6273773016691252E-3</v>
      </c>
    </row>
    <row r="233" spans="1:9" x14ac:dyDescent="0.25">
      <c r="A233" t="s">
        <v>4</v>
      </c>
      <c r="B233" s="12">
        <v>3</v>
      </c>
      <c r="C233">
        <v>94</v>
      </c>
      <c r="D233">
        <v>104388</v>
      </c>
      <c r="E233">
        <v>21162</v>
      </c>
      <c r="F233">
        <v>0.46553097345132738</v>
      </c>
      <c r="G233">
        <v>0.58407079646017701</v>
      </c>
      <c r="H233">
        <v>5.959092769366061E-2</v>
      </c>
      <c r="I233">
        <v>-3.6062512988637482E-2</v>
      </c>
    </row>
    <row r="234" spans="1:9" x14ac:dyDescent="0.25">
      <c r="A234" t="s">
        <v>14</v>
      </c>
      <c r="B234" s="12">
        <v>4</v>
      </c>
      <c r="C234">
        <v>135</v>
      </c>
      <c r="D234">
        <v>103833</v>
      </c>
      <c r="E234">
        <v>13962</v>
      </c>
      <c r="F234">
        <v>0.30853982300884958</v>
      </c>
      <c r="G234">
        <v>0.40265486725663718</v>
      </c>
      <c r="H234">
        <v>4.0578097380661912E-2</v>
      </c>
      <c r="I234">
        <v>1.4416759877587639E-2</v>
      </c>
    </row>
    <row r="235" spans="1:9" x14ac:dyDescent="0.25">
      <c r="A235" t="s">
        <v>109</v>
      </c>
      <c r="B235" s="12">
        <v>5</v>
      </c>
      <c r="C235">
        <v>124</v>
      </c>
      <c r="D235">
        <v>103039</v>
      </c>
      <c r="E235">
        <v>15811</v>
      </c>
      <c r="F235">
        <v>0.3470353982300885</v>
      </c>
      <c r="G235">
        <v>0.45132743362831862</v>
      </c>
      <c r="H235">
        <v>4.758827467690363E-2</v>
      </c>
      <c r="I235">
        <v>3.2969236937702637E-2</v>
      </c>
    </row>
    <row r="236" spans="1:9" x14ac:dyDescent="0.25">
      <c r="A236" t="s">
        <v>70</v>
      </c>
      <c r="B236" s="12">
        <v>6</v>
      </c>
      <c r="C236">
        <v>106</v>
      </c>
      <c r="D236">
        <v>102979</v>
      </c>
      <c r="E236">
        <v>17572</v>
      </c>
      <c r="F236">
        <v>0.38537610619469032</v>
      </c>
      <c r="G236">
        <v>0.53097345132743368</v>
      </c>
      <c r="H236">
        <v>5.2463261183088583E-2</v>
      </c>
      <c r="I236">
        <v>2.2904290791970549E-2</v>
      </c>
    </row>
    <row r="237" spans="1:9" x14ac:dyDescent="0.25">
      <c r="A237" t="s">
        <v>82</v>
      </c>
      <c r="B237" s="12">
        <v>7</v>
      </c>
      <c r="C237">
        <v>113</v>
      </c>
      <c r="D237">
        <v>102244</v>
      </c>
      <c r="E237">
        <v>22724</v>
      </c>
      <c r="F237">
        <v>0.49911504424778758</v>
      </c>
      <c r="G237">
        <v>0.5</v>
      </c>
      <c r="H237">
        <v>7.1898424530784988E-2</v>
      </c>
      <c r="I237">
        <v>3.089968044634778E-2</v>
      </c>
    </row>
    <row r="238" spans="1:9" x14ac:dyDescent="0.25">
      <c r="A238" t="s">
        <v>71</v>
      </c>
      <c r="B238" s="12">
        <v>8</v>
      </c>
      <c r="C238">
        <v>178</v>
      </c>
      <c r="D238">
        <v>102203</v>
      </c>
      <c r="E238">
        <v>12012</v>
      </c>
      <c r="F238">
        <v>0.26351769911504419</v>
      </c>
      <c r="G238">
        <v>0.21238938053097339</v>
      </c>
      <c r="H238">
        <v>3.7994545717869421E-2</v>
      </c>
      <c r="I238">
        <v>6.8860943267480879E-2</v>
      </c>
    </row>
    <row r="239" spans="1:9" x14ac:dyDescent="0.25">
      <c r="A239" t="s">
        <v>76</v>
      </c>
      <c r="B239" s="12">
        <v>9</v>
      </c>
      <c r="C239">
        <v>191</v>
      </c>
      <c r="D239">
        <v>102080</v>
      </c>
      <c r="E239">
        <v>13882</v>
      </c>
      <c r="F239">
        <v>0.30650442477876111</v>
      </c>
      <c r="G239">
        <v>0.1548672566371681</v>
      </c>
      <c r="H239">
        <v>4.7087707474656897E-2</v>
      </c>
      <c r="I239">
        <v>8.4975082892072937E-2</v>
      </c>
    </row>
    <row r="240" spans="1:9" x14ac:dyDescent="0.25">
      <c r="A240" t="s">
        <v>135</v>
      </c>
      <c r="B240" s="12">
        <v>10</v>
      </c>
      <c r="C240">
        <v>31</v>
      </c>
      <c r="D240">
        <v>101812</v>
      </c>
      <c r="E240">
        <v>29268</v>
      </c>
      <c r="F240">
        <v>0.64365044247787606</v>
      </c>
      <c r="G240">
        <v>0.86283185840707965</v>
      </c>
      <c r="H240">
        <v>9.2497399085077203E-2</v>
      </c>
      <c r="I240">
        <v>5.6664336927870424E-3</v>
      </c>
    </row>
    <row r="241" spans="1:9" x14ac:dyDescent="0.25">
      <c r="A241" t="s">
        <v>111</v>
      </c>
      <c r="B241" s="12">
        <v>11</v>
      </c>
      <c r="C241">
        <v>99</v>
      </c>
      <c r="D241">
        <v>101784</v>
      </c>
      <c r="E241">
        <v>23045</v>
      </c>
      <c r="F241">
        <v>0.50586283185840708</v>
      </c>
      <c r="G241">
        <v>0.56194690265486724</v>
      </c>
      <c r="H241">
        <v>7.7797765472008201E-2</v>
      </c>
      <c r="I241">
        <v>4.3205632272231037E-2</v>
      </c>
    </row>
    <row r="242" spans="1:9" x14ac:dyDescent="0.25">
      <c r="A242" t="s">
        <v>90</v>
      </c>
      <c r="B242" s="12">
        <v>12</v>
      </c>
      <c r="C242">
        <v>191</v>
      </c>
      <c r="D242">
        <v>101231</v>
      </c>
      <c r="E242">
        <v>12375</v>
      </c>
      <c r="F242">
        <v>0.27292035398230091</v>
      </c>
      <c r="G242">
        <v>0.1548672566371681</v>
      </c>
      <c r="H242">
        <v>4.2088110635721071E-2</v>
      </c>
      <c r="I242">
        <v>9.3960554134322985E-2</v>
      </c>
    </row>
    <row r="243" spans="1:9" x14ac:dyDescent="0.25">
      <c r="A243" t="s">
        <v>177</v>
      </c>
      <c r="B243" s="12">
        <v>13</v>
      </c>
      <c r="C243">
        <v>70</v>
      </c>
      <c r="D243">
        <v>100717</v>
      </c>
      <c r="E243">
        <v>25409</v>
      </c>
      <c r="F243">
        <v>0.55871681415929209</v>
      </c>
      <c r="G243">
        <v>0.69026548672566368</v>
      </c>
      <c r="H243">
        <v>8.0990284982130442E-2</v>
      </c>
      <c r="I243">
        <v>3.3010640162863897E-2</v>
      </c>
    </row>
    <row r="244" spans="1:9" x14ac:dyDescent="0.25">
      <c r="A244" t="s">
        <v>98</v>
      </c>
      <c r="B244" s="12">
        <v>14</v>
      </c>
      <c r="C244">
        <v>155</v>
      </c>
      <c r="D244">
        <v>100632</v>
      </c>
      <c r="E244">
        <v>20558</v>
      </c>
      <c r="F244">
        <v>0.45172566371681422</v>
      </c>
      <c r="G244">
        <v>0.31415929203539822</v>
      </c>
      <c r="H244">
        <v>6.9106658779950175E-2</v>
      </c>
      <c r="I244">
        <v>6.5592058426732797E-2</v>
      </c>
    </row>
    <row r="245" spans="1:9" x14ac:dyDescent="0.25">
      <c r="A245" t="s">
        <v>99</v>
      </c>
      <c r="B245" s="12">
        <v>15</v>
      </c>
      <c r="C245">
        <v>111</v>
      </c>
      <c r="D245">
        <v>100162</v>
      </c>
      <c r="E245">
        <v>20941</v>
      </c>
      <c r="F245">
        <v>0.46053097345132737</v>
      </c>
      <c r="G245">
        <v>0.50884955752212391</v>
      </c>
      <c r="H245">
        <v>6.7271366206728023E-2</v>
      </c>
      <c r="I245">
        <v>4.8957984883367202E-2</v>
      </c>
    </row>
    <row r="246" spans="1:9" x14ac:dyDescent="0.25">
      <c r="A246" t="s">
        <v>83</v>
      </c>
      <c r="B246" s="12">
        <v>16</v>
      </c>
      <c r="C246">
        <v>114</v>
      </c>
      <c r="D246">
        <v>100121</v>
      </c>
      <c r="E246">
        <v>18928</v>
      </c>
      <c r="F246">
        <v>0.41778761061946901</v>
      </c>
      <c r="G246">
        <v>0.49557522123893799</v>
      </c>
      <c r="H246">
        <v>6.4063716392528863E-2</v>
      </c>
      <c r="I246">
        <v>5.9218178359707448E-2</v>
      </c>
    </row>
    <row r="247" spans="1:9" x14ac:dyDescent="0.25">
      <c r="A247" t="s">
        <v>89</v>
      </c>
      <c r="B247" s="12">
        <v>17</v>
      </c>
      <c r="C247">
        <v>196</v>
      </c>
      <c r="D247">
        <v>100031</v>
      </c>
      <c r="E247">
        <v>8451</v>
      </c>
      <c r="F247">
        <v>0.18626106194690259</v>
      </c>
      <c r="G247">
        <v>0.13274336283185839</v>
      </c>
      <c r="H247">
        <v>2.6664780621883651E-2</v>
      </c>
      <c r="I247">
        <v>8.9421808243862033E-2</v>
      </c>
    </row>
    <row r="248" spans="1:9" x14ac:dyDescent="0.25">
      <c r="A248" t="s">
        <v>113</v>
      </c>
      <c r="B248" s="12">
        <v>18</v>
      </c>
      <c r="C248">
        <v>153</v>
      </c>
      <c r="D248">
        <v>100003</v>
      </c>
      <c r="E248">
        <v>15642</v>
      </c>
      <c r="F248">
        <v>0.34546460176991151</v>
      </c>
      <c r="G248">
        <v>0.32300884955752213</v>
      </c>
      <c r="H248">
        <v>5.2956155554405082E-2</v>
      </c>
      <c r="I248">
        <v>7.280204312520204E-2</v>
      </c>
    </row>
    <row r="249" spans="1:9" x14ac:dyDescent="0.25">
      <c r="A249" t="s">
        <v>85</v>
      </c>
      <c r="B249" s="12">
        <v>19</v>
      </c>
      <c r="C249">
        <v>196</v>
      </c>
      <c r="D249">
        <v>99995</v>
      </c>
      <c r="E249">
        <v>7524</v>
      </c>
      <c r="F249">
        <v>0.16592920353982299</v>
      </c>
      <c r="G249">
        <v>0.13274336283185839</v>
      </c>
      <c r="H249">
        <v>2.2688396806985658E-2</v>
      </c>
      <c r="I249">
        <v>8.7318297741563286E-2</v>
      </c>
    </row>
    <row r="250" spans="1:9" x14ac:dyDescent="0.25">
      <c r="A250" t="s">
        <v>86</v>
      </c>
      <c r="B250" s="12">
        <v>20</v>
      </c>
      <c r="C250">
        <v>194</v>
      </c>
      <c r="D250">
        <v>99900</v>
      </c>
      <c r="E250">
        <v>8071</v>
      </c>
      <c r="F250">
        <v>0.17758849557522119</v>
      </c>
      <c r="G250">
        <v>0.1415929203539823</v>
      </c>
      <c r="H250">
        <v>2.373880739553173E-2</v>
      </c>
      <c r="I250">
        <v>7.7709996157579536E-2</v>
      </c>
    </row>
    <row r="251" spans="1:9" x14ac:dyDescent="0.25">
      <c r="A251" t="s">
        <v>122</v>
      </c>
      <c r="B251" s="12">
        <v>21</v>
      </c>
      <c r="C251">
        <v>137</v>
      </c>
      <c r="D251">
        <v>99860</v>
      </c>
      <c r="E251">
        <v>19120</v>
      </c>
      <c r="F251">
        <v>0.41911504424778762</v>
      </c>
      <c r="G251">
        <v>0.39380530973451328</v>
      </c>
      <c r="H251">
        <v>6.512127706527826E-2</v>
      </c>
      <c r="I251">
        <v>6.7506189343604875E-2</v>
      </c>
    </row>
    <row r="252" spans="1:9" x14ac:dyDescent="0.25">
      <c r="A252" t="s">
        <v>163</v>
      </c>
      <c r="B252" s="12">
        <v>22</v>
      </c>
      <c r="C252">
        <v>46</v>
      </c>
      <c r="D252">
        <v>99724</v>
      </c>
      <c r="E252">
        <v>30469</v>
      </c>
      <c r="F252">
        <v>0.67017699115044249</v>
      </c>
      <c r="G252">
        <v>0.79646017699115046</v>
      </c>
      <c r="H252">
        <v>9.6487940862023364E-2</v>
      </c>
      <c r="I252">
        <v>-1.370241198816574E-2</v>
      </c>
    </row>
    <row r="253" spans="1:9" x14ac:dyDescent="0.25">
      <c r="A253" t="s">
        <v>65</v>
      </c>
      <c r="B253" s="12">
        <v>23</v>
      </c>
      <c r="C253">
        <v>97</v>
      </c>
      <c r="D253">
        <v>99693</v>
      </c>
      <c r="E253">
        <v>18834</v>
      </c>
      <c r="F253">
        <v>0.41442477876106187</v>
      </c>
      <c r="G253">
        <v>0.57079646017699115</v>
      </c>
      <c r="H253">
        <v>5.4534916653227267E-2</v>
      </c>
      <c r="I253">
        <v>1.327446697364097E-2</v>
      </c>
    </row>
    <row r="254" spans="1:9" x14ac:dyDescent="0.25">
      <c r="A254" t="s">
        <v>134</v>
      </c>
      <c r="B254" s="12">
        <v>24</v>
      </c>
      <c r="C254">
        <v>74</v>
      </c>
      <c r="D254">
        <v>99528</v>
      </c>
      <c r="E254">
        <v>25454</v>
      </c>
      <c r="F254">
        <v>0.55907079646017699</v>
      </c>
      <c r="G254">
        <v>0.67256637168141598</v>
      </c>
      <c r="H254">
        <v>8.4323141985161679E-2</v>
      </c>
      <c r="I254">
        <v>3.1444909482541229E-2</v>
      </c>
    </row>
    <row r="255" spans="1:9" x14ac:dyDescent="0.25">
      <c r="A255" t="s">
        <v>5</v>
      </c>
      <c r="B255" s="12">
        <v>25</v>
      </c>
      <c r="C255">
        <v>147</v>
      </c>
      <c r="D255">
        <v>99099</v>
      </c>
      <c r="E255">
        <v>18616</v>
      </c>
      <c r="F255">
        <v>0.41042035398230092</v>
      </c>
      <c r="G255">
        <v>0.34955752212389379</v>
      </c>
      <c r="H255">
        <v>6.1194252268831323E-2</v>
      </c>
      <c r="I255">
        <v>7.3228700793533774E-2</v>
      </c>
    </row>
    <row r="256" spans="1:9" x14ac:dyDescent="0.25">
      <c r="A256" t="s">
        <v>81</v>
      </c>
      <c r="B256" s="12">
        <v>26</v>
      </c>
      <c r="C256">
        <v>161</v>
      </c>
      <c r="D256">
        <v>99065</v>
      </c>
      <c r="E256">
        <v>12993</v>
      </c>
      <c r="F256">
        <v>0.28592920353982298</v>
      </c>
      <c r="G256">
        <v>0.28761061946902661</v>
      </c>
      <c r="H256">
        <v>3.9994876737894293E-2</v>
      </c>
      <c r="I256">
        <v>6.3299418045967865E-2</v>
      </c>
    </row>
    <row r="257" spans="1:9" x14ac:dyDescent="0.25">
      <c r="A257" t="s">
        <v>77</v>
      </c>
      <c r="B257" s="12">
        <v>27</v>
      </c>
      <c r="C257">
        <v>100</v>
      </c>
      <c r="D257">
        <v>98991</v>
      </c>
      <c r="E257">
        <v>19829</v>
      </c>
      <c r="F257">
        <v>0.43721238938053097</v>
      </c>
      <c r="G257">
        <v>0.55752212389380529</v>
      </c>
      <c r="H257">
        <v>6.042682938091401E-2</v>
      </c>
      <c r="I257">
        <v>3.4622343695818063E-2</v>
      </c>
    </row>
    <row r="258" spans="1:9" x14ac:dyDescent="0.25">
      <c r="A258" t="s">
        <v>159</v>
      </c>
      <c r="B258" s="12">
        <v>28</v>
      </c>
      <c r="C258">
        <v>78</v>
      </c>
      <c r="D258">
        <v>98852</v>
      </c>
      <c r="E258">
        <v>27635</v>
      </c>
      <c r="F258">
        <v>0.60811946902654868</v>
      </c>
      <c r="G258">
        <v>0.65486725663716816</v>
      </c>
      <c r="H258">
        <v>8.1067801031376702E-2</v>
      </c>
      <c r="I258">
        <v>-1.8410680179968102E-2</v>
      </c>
    </row>
    <row r="259" spans="1:9" x14ac:dyDescent="0.25">
      <c r="A259" t="s">
        <v>103</v>
      </c>
      <c r="B259" s="12">
        <v>29</v>
      </c>
      <c r="C259">
        <v>134</v>
      </c>
      <c r="D259">
        <v>98793</v>
      </c>
      <c r="E259">
        <v>13512</v>
      </c>
      <c r="F259">
        <v>0.29617256637168138</v>
      </c>
      <c r="G259">
        <v>0.40707964601769908</v>
      </c>
      <c r="H259">
        <v>3.9073865241540703E-2</v>
      </c>
      <c r="I259">
        <v>4.9124079454579667E-2</v>
      </c>
    </row>
    <row r="260" spans="1:9" x14ac:dyDescent="0.25">
      <c r="A260" t="s">
        <v>128</v>
      </c>
      <c r="B260" s="12">
        <v>30</v>
      </c>
      <c r="C260">
        <v>42</v>
      </c>
      <c r="D260">
        <v>98650</v>
      </c>
      <c r="E260">
        <v>27508</v>
      </c>
      <c r="F260">
        <v>0.60462389380530979</v>
      </c>
      <c r="G260">
        <v>0.81415929203539827</v>
      </c>
      <c r="H260">
        <v>8.8730199299944551E-2</v>
      </c>
      <c r="I260">
        <v>2.882797017876379E-2</v>
      </c>
    </row>
    <row r="261" spans="1:9" x14ac:dyDescent="0.25">
      <c r="A261" t="s">
        <v>87</v>
      </c>
      <c r="B261" s="12">
        <v>31</v>
      </c>
      <c r="C261">
        <v>197</v>
      </c>
      <c r="D261">
        <v>98515</v>
      </c>
      <c r="E261">
        <v>6584</v>
      </c>
      <c r="F261">
        <v>0.1449778761061947</v>
      </c>
      <c r="G261">
        <v>0.12831858407079649</v>
      </c>
      <c r="H261">
        <v>1.9170201716000049E-2</v>
      </c>
      <c r="I261">
        <v>8.7968220639981054E-2</v>
      </c>
    </row>
    <row r="262" spans="1:9" x14ac:dyDescent="0.25">
      <c r="A262" t="s">
        <v>93</v>
      </c>
      <c r="B262" s="12">
        <v>32</v>
      </c>
      <c r="C262">
        <v>181</v>
      </c>
      <c r="D262">
        <v>98500</v>
      </c>
      <c r="E262">
        <v>8446</v>
      </c>
      <c r="F262">
        <v>0.18581858407079649</v>
      </c>
      <c r="G262">
        <v>0.19911504424778759</v>
      </c>
      <c r="H262">
        <v>2.4949194030864381E-2</v>
      </c>
      <c r="I262">
        <v>7.6554096719017264E-2</v>
      </c>
    </row>
    <row r="263" spans="1:9" x14ac:dyDescent="0.25">
      <c r="A263" t="s">
        <v>195</v>
      </c>
      <c r="B263" s="12">
        <v>33</v>
      </c>
      <c r="C263">
        <v>108</v>
      </c>
      <c r="D263">
        <v>98466</v>
      </c>
      <c r="E263">
        <v>22419</v>
      </c>
      <c r="F263">
        <v>0.49360619469026551</v>
      </c>
      <c r="G263">
        <v>0.52212389380530977</v>
      </c>
      <c r="H263">
        <v>7.0263977200522229E-2</v>
      </c>
      <c r="I263">
        <v>4.8540890233212938E-2</v>
      </c>
    </row>
    <row r="264" spans="1:9" x14ac:dyDescent="0.25">
      <c r="A264" t="s">
        <v>155</v>
      </c>
      <c r="B264" s="12">
        <v>34</v>
      </c>
      <c r="C264">
        <v>72</v>
      </c>
      <c r="D264">
        <v>98415</v>
      </c>
      <c r="E264">
        <v>26302</v>
      </c>
      <c r="F264">
        <v>0.57796460176991149</v>
      </c>
      <c r="G264">
        <v>0.68141592920353977</v>
      </c>
      <c r="H264">
        <v>8.6481390602244454E-2</v>
      </c>
      <c r="I264">
        <v>4.0383703936345029E-2</v>
      </c>
    </row>
    <row r="265" spans="1:9" x14ac:dyDescent="0.25">
      <c r="A265" t="s">
        <v>192</v>
      </c>
      <c r="B265" s="12">
        <v>35</v>
      </c>
      <c r="C265">
        <v>121</v>
      </c>
      <c r="D265">
        <v>98377</v>
      </c>
      <c r="E265">
        <v>16177</v>
      </c>
      <c r="F265">
        <v>0.35557522123893798</v>
      </c>
      <c r="G265">
        <v>0.46460176991150443</v>
      </c>
      <c r="H265">
        <v>4.860086483537443E-2</v>
      </c>
      <c r="I265">
        <v>5.1531851283379837E-2</v>
      </c>
    </row>
    <row r="266" spans="1:9" x14ac:dyDescent="0.25">
      <c r="A266" t="s">
        <v>126</v>
      </c>
      <c r="B266" s="12">
        <v>36</v>
      </c>
      <c r="C266">
        <v>98</v>
      </c>
      <c r="D266">
        <v>98333</v>
      </c>
      <c r="E266">
        <v>22747</v>
      </c>
      <c r="F266">
        <v>0.50130530973451326</v>
      </c>
      <c r="G266">
        <v>0.5663716814159292</v>
      </c>
      <c r="H266">
        <v>7.2981342021434081E-2</v>
      </c>
      <c r="I266">
        <v>5.909409032236887E-2</v>
      </c>
    </row>
    <row r="267" spans="1:9" x14ac:dyDescent="0.25">
      <c r="A267" t="s">
        <v>133</v>
      </c>
      <c r="B267" s="12">
        <v>37</v>
      </c>
      <c r="C267">
        <v>62</v>
      </c>
      <c r="D267">
        <v>98324</v>
      </c>
      <c r="E267">
        <v>25907</v>
      </c>
      <c r="F267">
        <v>0.56938053097345132</v>
      </c>
      <c r="G267">
        <v>0.72566371681415931</v>
      </c>
      <c r="H267">
        <v>8.2589734219831776E-2</v>
      </c>
      <c r="I267">
        <v>2.4638194611564392E-2</v>
      </c>
    </row>
    <row r="268" spans="1:9" x14ac:dyDescent="0.25">
      <c r="A268" t="s">
        <v>119</v>
      </c>
      <c r="B268" s="12">
        <v>38</v>
      </c>
      <c r="C268">
        <v>109</v>
      </c>
      <c r="D268">
        <v>98246</v>
      </c>
      <c r="E268">
        <v>22682</v>
      </c>
      <c r="F268">
        <v>0.49957964601769911</v>
      </c>
      <c r="G268">
        <v>0.51769911504424782</v>
      </c>
      <c r="H268">
        <v>7.3078133744699056E-2</v>
      </c>
      <c r="I268">
        <v>5.7937478379387043E-2</v>
      </c>
    </row>
    <row r="269" spans="1:9" x14ac:dyDescent="0.25">
      <c r="A269" t="s">
        <v>106</v>
      </c>
      <c r="B269" s="12">
        <v>39</v>
      </c>
      <c r="C269">
        <v>189</v>
      </c>
      <c r="D269">
        <v>98213</v>
      </c>
      <c r="E269">
        <v>6733</v>
      </c>
      <c r="F269">
        <v>0.14831858407079651</v>
      </c>
      <c r="G269">
        <v>0.16371681415929201</v>
      </c>
      <c r="H269">
        <v>1.9429888319554389E-2</v>
      </c>
      <c r="I269">
        <v>8.7106738785764845E-2</v>
      </c>
    </row>
    <row r="270" spans="1:9" x14ac:dyDescent="0.25">
      <c r="A270" t="s">
        <v>118</v>
      </c>
      <c r="B270" s="12">
        <v>40</v>
      </c>
      <c r="C270">
        <v>115</v>
      </c>
      <c r="D270">
        <v>98093</v>
      </c>
      <c r="E270">
        <v>17380</v>
      </c>
      <c r="F270">
        <v>0.38230088495575221</v>
      </c>
      <c r="G270">
        <v>0.49115044247787609</v>
      </c>
      <c r="H270">
        <v>4.6979527887284808E-2</v>
      </c>
      <c r="I270">
        <v>-4.4694865436675276E-3</v>
      </c>
    </row>
    <row r="271" spans="1:9" x14ac:dyDescent="0.25">
      <c r="A271" t="s">
        <v>80</v>
      </c>
      <c r="B271" s="12">
        <v>41</v>
      </c>
      <c r="C271">
        <v>169</v>
      </c>
      <c r="D271">
        <v>98080</v>
      </c>
      <c r="E271">
        <v>12205</v>
      </c>
      <c r="F271">
        <v>0.26904867256637172</v>
      </c>
      <c r="G271">
        <v>0.25221238938053098</v>
      </c>
      <c r="H271">
        <v>3.885130270002226E-2</v>
      </c>
      <c r="I271">
        <v>8.3177991922064168E-2</v>
      </c>
    </row>
    <row r="272" spans="1:9" x14ac:dyDescent="0.25">
      <c r="A272" t="s">
        <v>151</v>
      </c>
      <c r="B272" s="12">
        <v>42</v>
      </c>
      <c r="C272">
        <v>71</v>
      </c>
      <c r="D272">
        <v>97853</v>
      </c>
      <c r="E272">
        <v>26096</v>
      </c>
      <c r="F272">
        <v>0.57338495575221238</v>
      </c>
      <c r="G272">
        <v>0.68584070796460173</v>
      </c>
      <c r="H272">
        <v>8.5926307491838869E-2</v>
      </c>
      <c r="I272">
        <v>3.6198335066256478E-2</v>
      </c>
    </row>
    <row r="273" spans="1:9" x14ac:dyDescent="0.25">
      <c r="A273" t="s">
        <v>108</v>
      </c>
      <c r="B273" s="12">
        <v>43</v>
      </c>
      <c r="C273">
        <v>77</v>
      </c>
      <c r="D273">
        <v>97811</v>
      </c>
      <c r="E273">
        <v>25319</v>
      </c>
      <c r="F273">
        <v>0.55730088495575225</v>
      </c>
      <c r="G273">
        <v>0.65929203539823011</v>
      </c>
      <c r="H273">
        <v>7.9423919071359428E-2</v>
      </c>
      <c r="I273">
        <v>3.0553364097958391E-2</v>
      </c>
    </row>
    <row r="274" spans="1:9" x14ac:dyDescent="0.25">
      <c r="A274" t="s">
        <v>110</v>
      </c>
      <c r="B274" s="12">
        <v>44</v>
      </c>
      <c r="C274">
        <v>196</v>
      </c>
      <c r="D274">
        <v>97783</v>
      </c>
      <c r="E274">
        <v>6092</v>
      </c>
      <c r="F274">
        <v>0.13404867256637171</v>
      </c>
      <c r="G274">
        <v>0.13274336283185839</v>
      </c>
      <c r="H274">
        <v>1.732622939402342E-2</v>
      </c>
      <c r="I274">
        <v>8.8275573686500824E-2</v>
      </c>
    </row>
    <row r="275" spans="1:9" x14ac:dyDescent="0.25">
      <c r="A275" t="s">
        <v>67</v>
      </c>
      <c r="B275" s="12">
        <v>45</v>
      </c>
      <c r="C275">
        <v>107</v>
      </c>
      <c r="D275">
        <v>97718</v>
      </c>
      <c r="E275">
        <v>15566</v>
      </c>
      <c r="F275">
        <v>0.3427654867256637</v>
      </c>
      <c r="G275">
        <v>0.52654867256637172</v>
      </c>
      <c r="H275">
        <v>4.1992850263000168E-2</v>
      </c>
      <c r="I275">
        <v>9.7544208488600341E-3</v>
      </c>
    </row>
    <row r="276" spans="1:9" x14ac:dyDescent="0.25">
      <c r="A276" t="s">
        <v>125</v>
      </c>
      <c r="B276" s="12">
        <v>46</v>
      </c>
      <c r="C276">
        <v>135</v>
      </c>
      <c r="D276">
        <v>97659</v>
      </c>
      <c r="E276">
        <v>20730</v>
      </c>
      <c r="F276">
        <v>0.45721238938053099</v>
      </c>
      <c r="G276">
        <v>0.40265486725663718</v>
      </c>
      <c r="H276">
        <v>6.8042630215922342E-2</v>
      </c>
      <c r="I276">
        <v>7.5575459075041276E-2</v>
      </c>
    </row>
    <row r="277" spans="1:9" x14ac:dyDescent="0.25">
      <c r="A277" t="s">
        <v>95</v>
      </c>
      <c r="B277" s="12">
        <v>47</v>
      </c>
      <c r="C277">
        <v>64</v>
      </c>
      <c r="D277">
        <v>97615</v>
      </c>
      <c r="E277">
        <v>27406</v>
      </c>
      <c r="F277">
        <v>0.60280973451327435</v>
      </c>
      <c r="G277">
        <v>0.7168141592920354</v>
      </c>
      <c r="H277">
        <v>8.4593395378360525E-2</v>
      </c>
      <c r="I277">
        <v>1.435667809643318E-2</v>
      </c>
    </row>
    <row r="278" spans="1:9" x14ac:dyDescent="0.25">
      <c r="A278" t="s">
        <v>97</v>
      </c>
      <c r="B278" s="12">
        <v>48</v>
      </c>
      <c r="C278">
        <v>199</v>
      </c>
      <c r="D278">
        <v>97593</v>
      </c>
      <c r="E278">
        <v>5499</v>
      </c>
      <c r="F278">
        <v>0.1206194690265487</v>
      </c>
      <c r="G278">
        <v>0.1194690265486726</v>
      </c>
      <c r="H278">
        <v>1.534019081446304E-2</v>
      </c>
      <c r="I278">
        <v>8.8327462147100702E-2</v>
      </c>
    </row>
    <row r="279" spans="1:9" x14ac:dyDescent="0.25">
      <c r="A279" t="s">
        <v>127</v>
      </c>
      <c r="B279" s="12">
        <v>49</v>
      </c>
      <c r="C279">
        <v>80</v>
      </c>
      <c r="D279">
        <v>97587</v>
      </c>
      <c r="E279">
        <v>23239</v>
      </c>
      <c r="F279">
        <v>0.51099557522123895</v>
      </c>
      <c r="G279">
        <v>0.64601769911504425</v>
      </c>
      <c r="H279">
        <v>7.4777496827345039E-2</v>
      </c>
      <c r="I279">
        <v>5.5772957616253303E-2</v>
      </c>
    </row>
    <row r="280" spans="1:9" x14ac:dyDescent="0.25">
      <c r="A280" t="s">
        <v>169</v>
      </c>
      <c r="B280" s="12">
        <v>50</v>
      </c>
      <c r="C280">
        <v>21</v>
      </c>
      <c r="D280">
        <v>97529</v>
      </c>
      <c r="E280">
        <v>31334</v>
      </c>
      <c r="F280">
        <v>0.68933628318584073</v>
      </c>
      <c r="G280">
        <v>0.90707964601769908</v>
      </c>
      <c r="H280">
        <v>9.7420493653648493E-2</v>
      </c>
      <c r="I280">
        <v>-3.1161215760493791E-3</v>
      </c>
    </row>
    <row r="281" spans="1:9" x14ac:dyDescent="0.25">
      <c r="A281" t="s">
        <v>115</v>
      </c>
      <c r="B281" s="12">
        <v>51</v>
      </c>
      <c r="C281">
        <v>201</v>
      </c>
      <c r="D281">
        <v>97483</v>
      </c>
      <c r="E281">
        <v>5590</v>
      </c>
      <c r="F281">
        <v>0.1230530973451327</v>
      </c>
      <c r="G281">
        <v>0.11061946902654871</v>
      </c>
      <c r="H281">
        <v>1.5811235994669111E-2</v>
      </c>
      <c r="I281">
        <v>9.1286150234787033E-2</v>
      </c>
    </row>
    <row r="282" spans="1:9" x14ac:dyDescent="0.25">
      <c r="A282" t="s">
        <v>12</v>
      </c>
      <c r="B282" s="12">
        <v>52</v>
      </c>
      <c r="C282">
        <v>195</v>
      </c>
      <c r="D282">
        <v>97440</v>
      </c>
      <c r="E282">
        <v>6551</v>
      </c>
      <c r="F282">
        <v>0.14440265486725659</v>
      </c>
      <c r="G282">
        <v>0.13716814159292029</v>
      </c>
      <c r="H282">
        <v>1.855588805425518E-2</v>
      </c>
      <c r="I282">
        <v>8.5841383058198356E-2</v>
      </c>
    </row>
    <row r="283" spans="1:9" x14ac:dyDescent="0.25">
      <c r="A283" t="s">
        <v>241</v>
      </c>
      <c r="B283" s="12">
        <v>53</v>
      </c>
      <c r="C283">
        <v>189</v>
      </c>
      <c r="D283">
        <v>97392</v>
      </c>
      <c r="E283">
        <v>5138</v>
      </c>
      <c r="F283">
        <v>0.1132964601769911</v>
      </c>
      <c r="G283">
        <v>0.16371681415929201</v>
      </c>
      <c r="H283">
        <v>1.433089238789898E-2</v>
      </c>
      <c r="I283">
        <v>9.2259128467847978E-2</v>
      </c>
    </row>
    <row r="284" spans="1:9" x14ac:dyDescent="0.25">
      <c r="A284" t="s">
        <v>92</v>
      </c>
      <c r="B284" s="12">
        <v>54</v>
      </c>
      <c r="C284">
        <v>192</v>
      </c>
      <c r="D284">
        <v>97331</v>
      </c>
      <c r="E284">
        <v>5789</v>
      </c>
      <c r="F284">
        <v>0.12738938053097351</v>
      </c>
      <c r="G284">
        <v>0.15044247787610621</v>
      </c>
      <c r="H284">
        <v>1.6436895288299041E-2</v>
      </c>
      <c r="I284">
        <v>9.0753573901451251E-2</v>
      </c>
    </row>
    <row r="285" spans="1:9" x14ac:dyDescent="0.25">
      <c r="A285" t="s">
        <v>145</v>
      </c>
      <c r="B285" s="12">
        <v>55</v>
      </c>
      <c r="C285">
        <v>64</v>
      </c>
      <c r="D285">
        <v>97325</v>
      </c>
      <c r="E285">
        <v>24302</v>
      </c>
      <c r="F285">
        <v>0.53367256637168137</v>
      </c>
      <c r="G285">
        <v>0.7168141592920354</v>
      </c>
      <c r="H285">
        <v>8.0865041323131437E-2</v>
      </c>
      <c r="I285">
        <v>5.7508076677107833E-2</v>
      </c>
    </row>
    <row r="286" spans="1:9" x14ac:dyDescent="0.25">
      <c r="A286" t="s">
        <v>140</v>
      </c>
      <c r="B286" s="12">
        <v>56</v>
      </c>
      <c r="C286">
        <v>197</v>
      </c>
      <c r="D286">
        <v>97222</v>
      </c>
      <c r="E286">
        <v>6711</v>
      </c>
      <c r="F286">
        <v>0.1479646017699115</v>
      </c>
      <c r="G286">
        <v>0.12831858407079649</v>
      </c>
      <c r="H286">
        <v>2.0921928865156082E-2</v>
      </c>
      <c r="I286">
        <v>9.7801296362878015E-2</v>
      </c>
    </row>
    <row r="287" spans="1:9" x14ac:dyDescent="0.25">
      <c r="A287" t="s">
        <v>114</v>
      </c>
      <c r="B287" s="12">
        <v>57</v>
      </c>
      <c r="C287">
        <v>184</v>
      </c>
      <c r="D287">
        <v>97106</v>
      </c>
      <c r="E287">
        <v>9444</v>
      </c>
      <c r="F287">
        <v>0.20827433628318581</v>
      </c>
      <c r="G287">
        <v>0.18584070796460181</v>
      </c>
      <c r="H287">
        <v>2.902531625603404E-2</v>
      </c>
      <c r="I287">
        <v>9.0014179098813984E-2</v>
      </c>
    </row>
    <row r="288" spans="1:9" x14ac:dyDescent="0.25">
      <c r="A288" t="s">
        <v>202</v>
      </c>
      <c r="B288" s="12">
        <v>58</v>
      </c>
      <c r="C288">
        <v>112</v>
      </c>
      <c r="D288">
        <v>97077</v>
      </c>
      <c r="E288">
        <v>17962</v>
      </c>
      <c r="F288">
        <v>0.3967920353982301</v>
      </c>
      <c r="G288">
        <v>0.50442477876106195</v>
      </c>
      <c r="H288">
        <v>5.5667508354763168E-2</v>
      </c>
      <c r="I288">
        <v>6.1913719489142677E-2</v>
      </c>
    </row>
    <row r="289" spans="1:9" x14ac:dyDescent="0.25">
      <c r="A289" t="s">
        <v>143</v>
      </c>
      <c r="B289" s="12">
        <v>59</v>
      </c>
      <c r="C289">
        <v>69</v>
      </c>
      <c r="D289">
        <v>97064</v>
      </c>
      <c r="E289">
        <v>25529</v>
      </c>
      <c r="F289">
        <v>0.56073008849557526</v>
      </c>
      <c r="G289">
        <v>0.69469026548672563</v>
      </c>
      <c r="H289">
        <v>8.4387348870166065E-2</v>
      </c>
      <c r="I289">
        <v>4.4560281210390393E-2</v>
      </c>
    </row>
    <row r="290" spans="1:9" x14ac:dyDescent="0.25">
      <c r="A290" t="s">
        <v>15</v>
      </c>
      <c r="B290" s="12">
        <v>60</v>
      </c>
      <c r="C290">
        <v>150</v>
      </c>
      <c r="D290">
        <v>97044</v>
      </c>
      <c r="E290">
        <v>16802</v>
      </c>
      <c r="F290">
        <v>0.37046460176991147</v>
      </c>
      <c r="G290">
        <v>0.33628318584070799</v>
      </c>
      <c r="H290">
        <v>5.3719016157800822E-2</v>
      </c>
      <c r="I290">
        <v>8.2683489007025365E-2</v>
      </c>
    </row>
    <row r="291" spans="1:9" x14ac:dyDescent="0.25">
      <c r="A291" t="s">
        <v>121</v>
      </c>
      <c r="B291" s="12">
        <v>61</v>
      </c>
      <c r="C291">
        <v>97</v>
      </c>
      <c r="D291">
        <v>97016</v>
      </c>
      <c r="E291">
        <v>22898</v>
      </c>
      <c r="F291">
        <v>0.50431415929203538</v>
      </c>
      <c r="G291">
        <v>0.57079646017699115</v>
      </c>
      <c r="H291">
        <v>7.3509709909055698E-2</v>
      </c>
      <c r="I291">
        <v>5.8604232911043462E-2</v>
      </c>
    </row>
    <row r="292" spans="1:9" x14ac:dyDescent="0.25">
      <c r="A292" t="s">
        <v>224</v>
      </c>
      <c r="B292" s="12">
        <v>62</v>
      </c>
      <c r="C292">
        <v>137</v>
      </c>
      <c r="D292">
        <v>97002</v>
      </c>
      <c r="E292">
        <v>19647</v>
      </c>
      <c r="F292">
        <v>0.43307522123893799</v>
      </c>
      <c r="G292">
        <v>0.39380530973451328</v>
      </c>
      <c r="H292">
        <v>6.3199005159674082E-2</v>
      </c>
      <c r="I292">
        <v>7.6656591863024412E-2</v>
      </c>
    </row>
    <row r="293" spans="1:9" x14ac:dyDescent="0.25">
      <c r="A293" t="s">
        <v>137</v>
      </c>
      <c r="B293" s="12">
        <v>63</v>
      </c>
      <c r="C293">
        <v>70</v>
      </c>
      <c r="D293">
        <v>96980</v>
      </c>
      <c r="E293">
        <v>26831</v>
      </c>
      <c r="F293">
        <v>0.58953539823008849</v>
      </c>
      <c r="G293">
        <v>0.69026548672566368</v>
      </c>
      <c r="H293">
        <v>8.8380997838236247E-2</v>
      </c>
      <c r="I293">
        <v>3.1868958813908978E-2</v>
      </c>
    </row>
    <row r="294" spans="1:9" x14ac:dyDescent="0.25">
      <c r="A294" t="s">
        <v>141</v>
      </c>
      <c r="B294" s="12">
        <v>64</v>
      </c>
      <c r="C294">
        <v>20</v>
      </c>
      <c r="D294">
        <v>96904</v>
      </c>
      <c r="E294">
        <v>31055</v>
      </c>
      <c r="F294">
        <v>0.68316371681415933</v>
      </c>
      <c r="G294">
        <v>0.91150442477876104</v>
      </c>
      <c r="H294">
        <v>9.6354663635387111E-2</v>
      </c>
      <c r="I294">
        <v>-7.1460991809700327E-3</v>
      </c>
    </row>
    <row r="295" spans="1:9" x14ac:dyDescent="0.25">
      <c r="A295" t="s">
        <v>180</v>
      </c>
      <c r="B295" s="12">
        <v>65</v>
      </c>
      <c r="C295">
        <v>104</v>
      </c>
      <c r="D295">
        <v>96879</v>
      </c>
      <c r="E295">
        <v>19004</v>
      </c>
      <c r="F295">
        <v>0.41814159292035402</v>
      </c>
      <c r="G295">
        <v>0.53982300884955747</v>
      </c>
      <c r="H295">
        <v>5.9085310404023213E-2</v>
      </c>
      <c r="I295">
        <v>5.0227054519139738E-2</v>
      </c>
    </row>
    <row r="296" spans="1:9" x14ac:dyDescent="0.25">
      <c r="A296" t="s">
        <v>100</v>
      </c>
      <c r="B296" s="12">
        <v>66</v>
      </c>
      <c r="C296">
        <v>199</v>
      </c>
      <c r="D296">
        <v>96849</v>
      </c>
      <c r="E296">
        <v>15028</v>
      </c>
      <c r="F296">
        <v>0.33168141592920353</v>
      </c>
      <c r="G296">
        <v>0.1194690265486726</v>
      </c>
      <c r="H296">
        <v>5.2127471212293483E-2</v>
      </c>
      <c r="I296">
        <v>0.1040226409435253</v>
      </c>
    </row>
    <row r="297" spans="1:9" x14ac:dyDescent="0.25">
      <c r="A297" t="s">
        <v>117</v>
      </c>
      <c r="B297" s="12">
        <v>67</v>
      </c>
      <c r="C297">
        <v>52</v>
      </c>
      <c r="D297">
        <v>96824</v>
      </c>
      <c r="E297">
        <v>30154</v>
      </c>
      <c r="F297">
        <v>0.66365044247787608</v>
      </c>
      <c r="G297">
        <v>0.76991150442477874</v>
      </c>
      <c r="H297">
        <v>9.1025188668714618E-2</v>
      </c>
      <c r="I297">
        <v>-7.977553885258953E-3</v>
      </c>
    </row>
    <row r="298" spans="1:9" x14ac:dyDescent="0.25">
      <c r="A298" t="s">
        <v>104</v>
      </c>
      <c r="B298" s="12">
        <v>68</v>
      </c>
      <c r="C298">
        <v>131</v>
      </c>
      <c r="D298">
        <v>96814</v>
      </c>
      <c r="E298">
        <v>19218</v>
      </c>
      <c r="F298">
        <v>0.42356194690265492</v>
      </c>
      <c r="G298">
        <v>0.42035398230088489</v>
      </c>
      <c r="H298">
        <v>6.0220694843602762E-2</v>
      </c>
      <c r="I298">
        <v>5.1447724403981293E-2</v>
      </c>
    </row>
    <row r="299" spans="1:9" x14ac:dyDescent="0.25">
      <c r="A299" t="s">
        <v>7</v>
      </c>
      <c r="B299" s="12">
        <v>69</v>
      </c>
      <c r="C299">
        <v>99</v>
      </c>
      <c r="D299">
        <v>96807</v>
      </c>
      <c r="E299">
        <v>22354</v>
      </c>
      <c r="F299">
        <v>0.49174778761061949</v>
      </c>
      <c r="G299">
        <v>0.56194690265486724</v>
      </c>
      <c r="H299">
        <v>7.2345921499482393E-2</v>
      </c>
      <c r="I299">
        <v>6.331475264186226E-2</v>
      </c>
    </row>
    <row r="300" spans="1:9" x14ac:dyDescent="0.25">
      <c r="A300" t="s">
        <v>94</v>
      </c>
      <c r="B300" s="12">
        <v>70</v>
      </c>
      <c r="C300">
        <v>140</v>
      </c>
      <c r="D300">
        <v>96629</v>
      </c>
      <c r="E300">
        <v>11768</v>
      </c>
      <c r="F300">
        <v>0.25902654867256641</v>
      </c>
      <c r="G300">
        <v>0.38053097345132741</v>
      </c>
      <c r="H300">
        <v>3.2732122748672633E-2</v>
      </c>
      <c r="I300">
        <v>4.750340648573529E-2</v>
      </c>
    </row>
    <row r="301" spans="1:9" x14ac:dyDescent="0.25">
      <c r="A301" t="s">
        <v>204</v>
      </c>
      <c r="B301" s="12">
        <v>71</v>
      </c>
      <c r="C301">
        <v>137</v>
      </c>
      <c r="D301">
        <v>96604</v>
      </c>
      <c r="E301">
        <v>12075</v>
      </c>
      <c r="F301">
        <v>0.26663716814159288</v>
      </c>
      <c r="G301">
        <v>0.39380530973451328</v>
      </c>
      <c r="H301">
        <v>3.5665894180194127E-2</v>
      </c>
      <c r="I301">
        <v>6.2422428151987147E-2</v>
      </c>
    </row>
    <row r="302" spans="1:9" x14ac:dyDescent="0.25">
      <c r="A302" t="s">
        <v>78</v>
      </c>
      <c r="B302" s="12">
        <v>72</v>
      </c>
      <c r="C302">
        <v>126</v>
      </c>
      <c r="D302">
        <v>96597</v>
      </c>
      <c r="E302">
        <v>17440</v>
      </c>
      <c r="F302">
        <v>0.38360619469026552</v>
      </c>
      <c r="G302">
        <v>0.44247787610619471</v>
      </c>
      <c r="H302">
        <v>5.310886201426198E-2</v>
      </c>
      <c r="I302">
        <v>4.9350368669172119E-2</v>
      </c>
    </row>
    <row r="303" spans="1:9" x14ac:dyDescent="0.25">
      <c r="A303" t="s">
        <v>101</v>
      </c>
      <c r="B303" s="12">
        <v>73</v>
      </c>
      <c r="C303">
        <v>78</v>
      </c>
      <c r="D303">
        <v>96582</v>
      </c>
      <c r="E303">
        <v>22727</v>
      </c>
      <c r="F303">
        <v>0.49988938053097343</v>
      </c>
      <c r="G303">
        <v>0.65486725663716816</v>
      </c>
      <c r="H303">
        <v>7.1532393904097505E-2</v>
      </c>
      <c r="I303">
        <v>4.7858505858649363E-2</v>
      </c>
    </row>
    <row r="304" spans="1:9" x14ac:dyDescent="0.25">
      <c r="A304" t="s">
        <v>124</v>
      </c>
      <c r="B304" s="12">
        <v>74</v>
      </c>
      <c r="C304">
        <v>23</v>
      </c>
      <c r="D304">
        <v>96439</v>
      </c>
      <c r="E304">
        <v>32217</v>
      </c>
      <c r="F304">
        <v>0.70880530973451328</v>
      </c>
      <c r="G304">
        <v>0.89823008849557517</v>
      </c>
      <c r="H304">
        <v>9.8689021568459073E-2</v>
      </c>
      <c r="I304">
        <v>-1.71777225693618E-2</v>
      </c>
    </row>
    <row r="305" spans="1:9" x14ac:dyDescent="0.25">
      <c r="A305" t="s">
        <v>147</v>
      </c>
      <c r="B305" s="12">
        <v>75</v>
      </c>
      <c r="C305">
        <v>90</v>
      </c>
      <c r="D305">
        <v>96373</v>
      </c>
      <c r="E305">
        <v>22833</v>
      </c>
      <c r="F305">
        <v>0.50119469026548669</v>
      </c>
      <c r="G305">
        <v>0.60176991150442483</v>
      </c>
      <c r="H305">
        <v>7.6433747566451743E-2</v>
      </c>
      <c r="I305">
        <v>7.3456420855213422E-2</v>
      </c>
    </row>
    <row r="306" spans="1:9" x14ac:dyDescent="0.25">
      <c r="A306" t="s">
        <v>166</v>
      </c>
      <c r="B306" s="12">
        <v>76</v>
      </c>
      <c r="C306">
        <v>73</v>
      </c>
      <c r="D306">
        <v>96315</v>
      </c>
      <c r="E306">
        <v>25546</v>
      </c>
      <c r="F306">
        <v>0.56121681415929203</v>
      </c>
      <c r="G306">
        <v>0.67699115044247793</v>
      </c>
      <c r="H306">
        <v>8.3992826917175467E-2</v>
      </c>
      <c r="I306">
        <v>4.0134352249856682E-2</v>
      </c>
    </row>
    <row r="307" spans="1:9" x14ac:dyDescent="0.25">
      <c r="A307" t="s">
        <v>9</v>
      </c>
      <c r="B307" s="12">
        <v>77</v>
      </c>
      <c r="C307">
        <v>170</v>
      </c>
      <c r="D307">
        <v>96119</v>
      </c>
      <c r="E307">
        <v>14731</v>
      </c>
      <c r="F307">
        <v>0.32515486725663723</v>
      </c>
      <c r="G307">
        <v>0.247787610619469</v>
      </c>
      <c r="H307">
        <v>4.8663644399212627E-2</v>
      </c>
      <c r="I307">
        <v>9.64132161046206E-2</v>
      </c>
    </row>
    <row r="308" spans="1:9" x14ac:dyDescent="0.25">
      <c r="A308" t="s">
        <v>72</v>
      </c>
      <c r="B308" s="12">
        <v>78</v>
      </c>
      <c r="C308">
        <v>173</v>
      </c>
      <c r="D308">
        <v>96109</v>
      </c>
      <c r="E308">
        <v>13870</v>
      </c>
      <c r="F308">
        <v>0.30639380530973448</v>
      </c>
      <c r="G308">
        <v>0.23451327433628319</v>
      </c>
      <c r="H308">
        <v>4.4251039188667712E-2</v>
      </c>
      <c r="I308">
        <v>7.8938099887214425E-2</v>
      </c>
    </row>
    <row r="309" spans="1:9" x14ac:dyDescent="0.25">
      <c r="A309" t="s">
        <v>221</v>
      </c>
      <c r="B309" s="12">
        <v>79</v>
      </c>
      <c r="C309">
        <v>133</v>
      </c>
      <c r="D309">
        <v>96073</v>
      </c>
      <c r="E309">
        <v>11249</v>
      </c>
      <c r="F309">
        <v>0.24780973451327429</v>
      </c>
      <c r="G309">
        <v>0.41150442477876098</v>
      </c>
      <c r="H309">
        <v>3.0438843446522069E-2</v>
      </c>
      <c r="I309">
        <v>4.3952252382245878E-2</v>
      </c>
    </row>
    <row r="310" spans="1:9" x14ac:dyDescent="0.25">
      <c r="A310" t="s">
        <v>209</v>
      </c>
      <c r="B310" s="12">
        <v>80</v>
      </c>
      <c r="C310">
        <v>123</v>
      </c>
      <c r="D310">
        <v>96062</v>
      </c>
      <c r="E310">
        <v>15123</v>
      </c>
      <c r="F310">
        <v>0.33309734513274342</v>
      </c>
      <c r="G310">
        <v>0.45575221238938052</v>
      </c>
      <c r="H310">
        <v>4.2837955417072311E-2</v>
      </c>
      <c r="I310">
        <v>4.207010352157553E-2</v>
      </c>
    </row>
    <row r="311" spans="1:9" x14ac:dyDescent="0.25">
      <c r="A311" t="s">
        <v>259</v>
      </c>
      <c r="B311" s="12">
        <v>81</v>
      </c>
      <c r="C311">
        <v>195</v>
      </c>
      <c r="D311">
        <v>96054</v>
      </c>
      <c r="E311">
        <v>4780</v>
      </c>
      <c r="F311">
        <v>0.1053761061946903</v>
      </c>
      <c r="G311">
        <v>0.13716814159292029</v>
      </c>
      <c r="H311">
        <v>1.350176867938345E-2</v>
      </c>
      <c r="I311">
        <v>9.4826087505950923E-2</v>
      </c>
    </row>
    <row r="312" spans="1:9" x14ac:dyDescent="0.25">
      <c r="A312" t="s">
        <v>161</v>
      </c>
      <c r="B312" s="12">
        <v>82</v>
      </c>
      <c r="C312">
        <v>105</v>
      </c>
      <c r="D312">
        <v>96049</v>
      </c>
      <c r="E312">
        <v>22204</v>
      </c>
      <c r="F312">
        <v>0.48847345132743358</v>
      </c>
      <c r="G312">
        <v>0.53539823008849563</v>
      </c>
      <c r="H312">
        <v>7.1877816642834186E-2</v>
      </c>
      <c r="I312">
        <v>5.5685722581211107E-2</v>
      </c>
    </row>
    <row r="313" spans="1:9" x14ac:dyDescent="0.25">
      <c r="A313" t="s">
        <v>11</v>
      </c>
      <c r="B313" s="12">
        <v>83</v>
      </c>
      <c r="C313">
        <v>198</v>
      </c>
      <c r="D313">
        <v>96033</v>
      </c>
      <c r="E313">
        <v>5406</v>
      </c>
      <c r="F313">
        <v>0.1191150442477876</v>
      </c>
      <c r="G313">
        <v>0.1238938053097345</v>
      </c>
      <c r="H313">
        <v>1.532350019049407E-2</v>
      </c>
      <c r="I313">
        <v>9.1815438851050077E-2</v>
      </c>
    </row>
    <row r="314" spans="1:9" x14ac:dyDescent="0.25">
      <c r="A314" t="s">
        <v>154</v>
      </c>
      <c r="B314" s="12">
        <v>84</v>
      </c>
      <c r="C314">
        <v>25</v>
      </c>
      <c r="D314">
        <v>95999</v>
      </c>
      <c r="E314">
        <v>26906</v>
      </c>
      <c r="F314">
        <v>0.59110619469026549</v>
      </c>
      <c r="G314">
        <v>0.88938053097345138</v>
      </c>
      <c r="H314">
        <v>8.6475061326821673E-2</v>
      </c>
      <c r="I314">
        <v>3.3459247380902953E-2</v>
      </c>
    </row>
    <row r="315" spans="1:9" x14ac:dyDescent="0.25">
      <c r="A315" t="s">
        <v>148</v>
      </c>
      <c r="B315" s="12">
        <v>85</v>
      </c>
      <c r="C315">
        <v>32</v>
      </c>
      <c r="D315">
        <v>95928</v>
      </c>
      <c r="E315">
        <v>28481</v>
      </c>
      <c r="F315">
        <v>0.62643805309734513</v>
      </c>
      <c r="G315">
        <v>0.8584070796460177</v>
      </c>
      <c r="H315">
        <v>8.955013644098414E-2</v>
      </c>
      <c r="I315">
        <v>1.297939312770378E-2</v>
      </c>
    </row>
    <row r="316" spans="1:9" x14ac:dyDescent="0.25">
      <c r="A316" t="s">
        <v>196</v>
      </c>
      <c r="B316" s="12">
        <v>86</v>
      </c>
      <c r="C316">
        <v>139</v>
      </c>
      <c r="D316">
        <v>95914</v>
      </c>
      <c r="E316">
        <v>15805</v>
      </c>
      <c r="F316">
        <v>0.34738938053097351</v>
      </c>
      <c r="G316">
        <v>0.38495575221238942</v>
      </c>
      <c r="H316">
        <v>4.1909284080840492E-2</v>
      </c>
      <c r="I316">
        <v>1.08024063502196E-2</v>
      </c>
    </row>
    <row r="317" spans="1:9" x14ac:dyDescent="0.25">
      <c r="A317" t="s">
        <v>160</v>
      </c>
      <c r="B317" s="12">
        <v>87</v>
      </c>
      <c r="C317">
        <v>128</v>
      </c>
      <c r="D317">
        <v>95909</v>
      </c>
      <c r="E317">
        <v>20239</v>
      </c>
      <c r="F317">
        <v>0.44606194690265488</v>
      </c>
      <c r="G317">
        <v>0.4336283185840708</v>
      </c>
      <c r="H317">
        <v>6.5498016757498514E-2</v>
      </c>
      <c r="I317">
        <v>7.324522792792286E-2</v>
      </c>
    </row>
    <row r="318" spans="1:9" x14ac:dyDescent="0.25">
      <c r="A318" t="s">
        <v>214</v>
      </c>
      <c r="B318" s="12">
        <v>88</v>
      </c>
      <c r="C318">
        <v>152</v>
      </c>
      <c r="D318">
        <v>95908</v>
      </c>
      <c r="E318">
        <v>10611</v>
      </c>
      <c r="F318">
        <v>0.23232300884955751</v>
      </c>
      <c r="G318">
        <v>0.32743362831858408</v>
      </c>
      <c r="H318">
        <v>3.0971662103463062E-2</v>
      </c>
      <c r="I318">
        <v>7.0307787311979592E-2</v>
      </c>
    </row>
    <row r="319" spans="1:9" x14ac:dyDescent="0.25">
      <c r="A319" t="s">
        <v>168</v>
      </c>
      <c r="B319" s="12">
        <v>89</v>
      </c>
      <c r="C319">
        <v>92</v>
      </c>
      <c r="D319">
        <v>95878</v>
      </c>
      <c r="E319">
        <v>23026</v>
      </c>
      <c r="F319">
        <v>0.50648230088495572</v>
      </c>
      <c r="G319">
        <v>0.59292035398230092</v>
      </c>
      <c r="H319">
        <v>7.6404791464181554E-2</v>
      </c>
      <c r="I319">
        <v>6.8009862277900887E-2</v>
      </c>
    </row>
    <row r="320" spans="1:9" x14ac:dyDescent="0.25">
      <c r="A320" t="s">
        <v>105</v>
      </c>
      <c r="B320" s="12">
        <v>90</v>
      </c>
      <c r="C320">
        <v>192</v>
      </c>
      <c r="D320">
        <v>95858</v>
      </c>
      <c r="E320">
        <v>14329</v>
      </c>
      <c r="F320">
        <v>0.3163495575221239</v>
      </c>
      <c r="G320">
        <v>0.15044247787610621</v>
      </c>
      <c r="H320">
        <v>4.9524024752593702E-2</v>
      </c>
      <c r="I320">
        <v>0.10555176912636589</v>
      </c>
    </row>
    <row r="321" spans="1:9" x14ac:dyDescent="0.25">
      <c r="A321" t="s">
        <v>132</v>
      </c>
      <c r="B321" s="12">
        <v>91</v>
      </c>
      <c r="C321">
        <v>151</v>
      </c>
      <c r="D321">
        <v>95846</v>
      </c>
      <c r="E321">
        <v>17839</v>
      </c>
      <c r="F321">
        <v>0.39400442477876108</v>
      </c>
      <c r="G321">
        <v>0.33185840707964598</v>
      </c>
      <c r="H321">
        <v>5.9516561060046269E-2</v>
      </c>
      <c r="I321">
        <v>8.0002937802730406E-2</v>
      </c>
    </row>
    <row r="322" spans="1:9" x14ac:dyDescent="0.25">
      <c r="A322" t="s">
        <v>68</v>
      </c>
      <c r="B322" s="12">
        <v>92</v>
      </c>
      <c r="C322">
        <v>136</v>
      </c>
      <c r="D322">
        <v>95780</v>
      </c>
      <c r="E322">
        <v>13505</v>
      </c>
      <c r="F322">
        <v>0.29825221238938049</v>
      </c>
      <c r="G322">
        <v>0.39823008849557517</v>
      </c>
      <c r="H322">
        <v>3.4468696297587899E-2</v>
      </c>
      <c r="I322">
        <v>1.736355057394184E-2</v>
      </c>
    </row>
    <row r="323" spans="1:9" x14ac:dyDescent="0.25">
      <c r="A323" t="s">
        <v>190</v>
      </c>
      <c r="B323" s="12">
        <v>93</v>
      </c>
      <c r="C323">
        <v>77</v>
      </c>
      <c r="D323">
        <v>95775</v>
      </c>
      <c r="E323">
        <v>26722</v>
      </c>
      <c r="F323">
        <v>0.58734513274336286</v>
      </c>
      <c r="G323">
        <v>0.65929203539823011</v>
      </c>
      <c r="H323">
        <v>8.2306087190777782E-2</v>
      </c>
      <c r="I323">
        <v>1.649558676614081E-2</v>
      </c>
    </row>
    <row r="324" spans="1:9" x14ac:dyDescent="0.25">
      <c r="A324" t="s">
        <v>176</v>
      </c>
      <c r="B324" s="12">
        <v>94</v>
      </c>
      <c r="C324">
        <v>189</v>
      </c>
      <c r="D324">
        <v>95763</v>
      </c>
      <c r="E324">
        <v>9800</v>
      </c>
      <c r="F324">
        <v>0.21592920353982301</v>
      </c>
      <c r="G324">
        <v>0.16371681415929201</v>
      </c>
      <c r="H324">
        <v>3.0243648378851629E-2</v>
      </c>
      <c r="I324">
        <v>8.9786567563043013E-2</v>
      </c>
    </row>
    <row r="325" spans="1:9" x14ac:dyDescent="0.25">
      <c r="A325" t="s">
        <v>250</v>
      </c>
      <c r="B325" s="12">
        <v>95</v>
      </c>
      <c r="C325">
        <v>201</v>
      </c>
      <c r="D325">
        <v>95681</v>
      </c>
      <c r="E325">
        <v>4820</v>
      </c>
      <c r="F325">
        <v>0.1060619469026549</v>
      </c>
      <c r="G325">
        <v>0.11061946902654871</v>
      </c>
      <c r="H325">
        <v>1.3654851529222139E-2</v>
      </c>
      <c r="I325">
        <v>9.5265272105514859E-2</v>
      </c>
    </row>
    <row r="326" spans="1:9" x14ac:dyDescent="0.25">
      <c r="A326" t="s">
        <v>197</v>
      </c>
      <c r="B326" s="12">
        <v>96</v>
      </c>
      <c r="C326">
        <v>112</v>
      </c>
      <c r="D326">
        <v>95636</v>
      </c>
      <c r="E326">
        <v>20274</v>
      </c>
      <c r="F326">
        <v>0.44630530973451332</v>
      </c>
      <c r="G326">
        <v>0.50442477876106195</v>
      </c>
      <c r="H326">
        <v>6.4949086645605281E-2</v>
      </c>
      <c r="I326">
        <v>6.8716263137375444E-2</v>
      </c>
    </row>
    <row r="327" spans="1:9" x14ac:dyDescent="0.25">
      <c r="A327" t="s">
        <v>123</v>
      </c>
      <c r="B327" s="12">
        <v>97</v>
      </c>
      <c r="C327">
        <v>63</v>
      </c>
      <c r="D327">
        <v>95632</v>
      </c>
      <c r="E327">
        <v>28790</v>
      </c>
      <c r="F327">
        <v>0.6338716814159292</v>
      </c>
      <c r="G327">
        <v>0.72123893805309736</v>
      </c>
      <c r="H327">
        <v>8.6264757071328385E-2</v>
      </c>
      <c r="I327">
        <v>-4.0079051366125823E-3</v>
      </c>
    </row>
    <row r="328" spans="1:9" x14ac:dyDescent="0.25">
      <c r="A328" t="s">
        <v>275</v>
      </c>
      <c r="B328" s="12">
        <v>98</v>
      </c>
      <c r="C328">
        <v>205</v>
      </c>
      <c r="D328">
        <v>95620</v>
      </c>
      <c r="E328">
        <v>4549</v>
      </c>
      <c r="F328">
        <v>0.1002212389380531</v>
      </c>
      <c r="G328">
        <v>9.2920353982300891E-2</v>
      </c>
      <c r="H328">
        <v>1.2778945755565129E-2</v>
      </c>
      <c r="I328">
        <v>9.5846069252901595E-2</v>
      </c>
    </row>
    <row r="329" spans="1:9" x14ac:dyDescent="0.25">
      <c r="A329" t="s">
        <v>223</v>
      </c>
      <c r="B329" s="12">
        <v>99</v>
      </c>
      <c r="C329">
        <v>126</v>
      </c>
      <c r="D329">
        <v>95583</v>
      </c>
      <c r="E329">
        <v>19175</v>
      </c>
      <c r="F329">
        <v>0.42287610619469018</v>
      </c>
      <c r="G329">
        <v>0.44247787610619471</v>
      </c>
      <c r="H329">
        <v>6.1285858746322211E-2</v>
      </c>
      <c r="I329">
        <v>7.6680581246682755E-2</v>
      </c>
    </row>
    <row r="330" spans="1:9" x14ac:dyDescent="0.25">
      <c r="A330" t="s">
        <v>187</v>
      </c>
      <c r="B330" s="12">
        <v>100</v>
      </c>
      <c r="C330">
        <v>101</v>
      </c>
      <c r="D330">
        <v>95550</v>
      </c>
      <c r="E330">
        <v>21704</v>
      </c>
      <c r="F330">
        <v>0.47754424778761062</v>
      </c>
      <c r="G330">
        <v>0.55309734513274333</v>
      </c>
      <c r="H330">
        <v>7.0743287769470878E-2</v>
      </c>
      <c r="I330">
        <v>6.865343509499236E-2</v>
      </c>
    </row>
    <row r="331" spans="1:9" x14ac:dyDescent="0.25">
      <c r="A331" t="s">
        <v>16</v>
      </c>
      <c r="B331" s="12">
        <v>101</v>
      </c>
      <c r="C331">
        <v>122</v>
      </c>
      <c r="D331">
        <v>95508</v>
      </c>
      <c r="E331">
        <v>19360</v>
      </c>
      <c r="F331">
        <v>0.42654867256637169</v>
      </c>
      <c r="G331">
        <v>0.46017699115044253</v>
      </c>
      <c r="H331">
        <v>6.2257179684045018E-2</v>
      </c>
      <c r="I331">
        <v>7.6965205620470836E-2</v>
      </c>
    </row>
    <row r="332" spans="1:9" x14ac:dyDescent="0.25">
      <c r="A332" t="s">
        <v>136</v>
      </c>
      <c r="B332" s="12">
        <v>102</v>
      </c>
      <c r="C332">
        <v>169</v>
      </c>
      <c r="D332">
        <v>95474</v>
      </c>
      <c r="E332">
        <v>7744</v>
      </c>
      <c r="F332">
        <v>0.1705088495575221</v>
      </c>
      <c r="G332">
        <v>0.25221238938053098</v>
      </c>
      <c r="H332">
        <v>2.3230243162675489E-2</v>
      </c>
      <c r="I332">
        <v>9.2169945107111656E-2</v>
      </c>
    </row>
    <row r="333" spans="1:9" x14ac:dyDescent="0.25">
      <c r="A333" t="s">
        <v>129</v>
      </c>
      <c r="B333" s="12">
        <v>103</v>
      </c>
      <c r="C333">
        <v>170</v>
      </c>
      <c r="D333">
        <v>95380</v>
      </c>
      <c r="E333">
        <v>8711</v>
      </c>
      <c r="F333">
        <v>0.19205752212389379</v>
      </c>
      <c r="G333">
        <v>0.247787610619469</v>
      </c>
      <c r="H333">
        <v>2.6274715949877282E-2</v>
      </c>
      <c r="I333">
        <v>9.0480752562876063E-2</v>
      </c>
    </row>
    <row r="334" spans="1:9" x14ac:dyDescent="0.25">
      <c r="A334" t="s">
        <v>185</v>
      </c>
      <c r="B334" s="12">
        <v>104</v>
      </c>
      <c r="C334">
        <v>52</v>
      </c>
      <c r="D334">
        <v>95376</v>
      </c>
      <c r="E334">
        <v>31678</v>
      </c>
      <c r="F334">
        <v>0.69732300884955756</v>
      </c>
      <c r="G334">
        <v>0.76991150442477874</v>
      </c>
      <c r="H334">
        <v>9.3383110310803513E-2</v>
      </c>
      <c r="I334">
        <v>-3.59600172593149E-2</v>
      </c>
    </row>
    <row r="335" spans="1:9" x14ac:dyDescent="0.25">
      <c r="A335" t="s">
        <v>162</v>
      </c>
      <c r="B335" s="12">
        <v>105</v>
      </c>
      <c r="C335">
        <v>77</v>
      </c>
      <c r="D335">
        <v>95373</v>
      </c>
      <c r="E335">
        <v>23900</v>
      </c>
      <c r="F335">
        <v>0.52584070796460181</v>
      </c>
      <c r="G335">
        <v>0.65929203539823011</v>
      </c>
      <c r="H335">
        <v>7.5713211000628319E-2</v>
      </c>
      <c r="I335">
        <v>3.8302239098182367E-2</v>
      </c>
    </row>
    <row r="336" spans="1:9" x14ac:dyDescent="0.25">
      <c r="A336" t="s">
        <v>142</v>
      </c>
      <c r="B336" s="12">
        <v>106</v>
      </c>
      <c r="C336">
        <v>195</v>
      </c>
      <c r="D336">
        <v>95372</v>
      </c>
      <c r="E336">
        <v>6417</v>
      </c>
      <c r="F336">
        <v>0.1415929203539823</v>
      </c>
      <c r="G336">
        <v>0.13716814159292029</v>
      </c>
      <c r="H336">
        <v>1.932841353470963E-2</v>
      </c>
      <c r="I336">
        <v>9.8065247870705655E-2</v>
      </c>
    </row>
    <row r="337" spans="1:9" x14ac:dyDescent="0.25">
      <c r="A337" t="s">
        <v>153</v>
      </c>
      <c r="B337" s="12">
        <v>107</v>
      </c>
      <c r="C337">
        <v>85</v>
      </c>
      <c r="D337">
        <v>95367</v>
      </c>
      <c r="E337">
        <v>23873</v>
      </c>
      <c r="F337">
        <v>0.52665929203539819</v>
      </c>
      <c r="G337">
        <v>0.62389380530973448</v>
      </c>
      <c r="H337">
        <v>7.5061484180195301E-2</v>
      </c>
      <c r="I337">
        <v>3.8856280258446931E-2</v>
      </c>
    </row>
    <row r="338" spans="1:9" x14ac:dyDescent="0.25">
      <c r="A338" t="s">
        <v>219</v>
      </c>
      <c r="B338" s="12">
        <v>108</v>
      </c>
      <c r="C338">
        <v>103</v>
      </c>
      <c r="D338">
        <v>95339</v>
      </c>
      <c r="E338">
        <v>20948</v>
      </c>
      <c r="F338">
        <v>0.46199115044247779</v>
      </c>
      <c r="G338">
        <v>0.54424778761061943</v>
      </c>
      <c r="H338">
        <v>6.7060015141170978E-2</v>
      </c>
      <c r="I338">
        <v>7.2315942202461236E-2</v>
      </c>
    </row>
    <row r="339" spans="1:9" x14ac:dyDescent="0.25">
      <c r="A339" t="s">
        <v>102</v>
      </c>
      <c r="B339" s="12">
        <v>109</v>
      </c>
      <c r="C339">
        <v>178</v>
      </c>
      <c r="D339">
        <v>95226</v>
      </c>
      <c r="E339">
        <v>9889</v>
      </c>
      <c r="F339">
        <v>0.21823008849557521</v>
      </c>
      <c r="G339">
        <v>0.21238938053097339</v>
      </c>
      <c r="H339">
        <v>3.0447776002145519E-2</v>
      </c>
      <c r="I339">
        <v>9.128357725281519E-2</v>
      </c>
    </row>
    <row r="340" spans="1:9" x14ac:dyDescent="0.25">
      <c r="A340" t="s">
        <v>265</v>
      </c>
      <c r="B340" s="12">
        <v>110</v>
      </c>
      <c r="C340">
        <v>199</v>
      </c>
      <c r="D340">
        <v>95140</v>
      </c>
      <c r="E340">
        <v>6548</v>
      </c>
      <c r="F340">
        <v>0.14435840707964601</v>
      </c>
      <c r="G340">
        <v>0.1194690265486726</v>
      </c>
      <c r="H340">
        <v>1.9297265350927271E-2</v>
      </c>
      <c r="I340">
        <v>9.6095253200298714E-2</v>
      </c>
    </row>
    <row r="341" spans="1:9" x14ac:dyDescent="0.25">
      <c r="A341" t="s">
        <v>157</v>
      </c>
      <c r="B341" s="12">
        <v>111</v>
      </c>
      <c r="C341">
        <v>88</v>
      </c>
      <c r="D341">
        <v>95107</v>
      </c>
      <c r="E341">
        <v>22365</v>
      </c>
      <c r="F341">
        <v>0.49223451327433632</v>
      </c>
      <c r="G341">
        <v>0.61061946902654862</v>
      </c>
      <c r="H341">
        <v>7.3615729349770495E-2</v>
      </c>
      <c r="I341">
        <v>6.9734352449161846E-2</v>
      </c>
    </row>
    <row r="342" spans="1:9" x14ac:dyDescent="0.25">
      <c r="A342" t="s">
        <v>10</v>
      </c>
      <c r="B342" s="12">
        <v>112</v>
      </c>
      <c r="C342">
        <v>151</v>
      </c>
      <c r="D342">
        <v>95039</v>
      </c>
      <c r="E342">
        <v>13259</v>
      </c>
      <c r="F342">
        <v>0.29243362831858399</v>
      </c>
      <c r="G342">
        <v>0.33185840707964598</v>
      </c>
      <c r="H342">
        <v>4.1405832323037163E-2</v>
      </c>
      <c r="I342">
        <v>8.2714757425325913E-2</v>
      </c>
    </row>
    <row r="343" spans="1:9" x14ac:dyDescent="0.25">
      <c r="A343" t="s">
        <v>179</v>
      </c>
      <c r="B343" s="12">
        <v>113</v>
      </c>
      <c r="C343">
        <v>142</v>
      </c>
      <c r="D343">
        <v>95026</v>
      </c>
      <c r="E343">
        <v>9253</v>
      </c>
      <c r="F343">
        <v>0.20276548672566369</v>
      </c>
      <c r="G343">
        <v>0.37168141592920362</v>
      </c>
      <c r="H343">
        <v>2.4085565439579681E-2</v>
      </c>
      <c r="I343">
        <v>5.3014446493261043E-2</v>
      </c>
    </row>
    <row r="344" spans="1:9" x14ac:dyDescent="0.25">
      <c r="A344" t="s">
        <v>79</v>
      </c>
      <c r="B344" s="12">
        <v>114</v>
      </c>
      <c r="C344">
        <v>130</v>
      </c>
      <c r="D344">
        <v>95013</v>
      </c>
      <c r="E344">
        <v>15077</v>
      </c>
      <c r="F344">
        <v>0.33146017699115038</v>
      </c>
      <c r="G344">
        <v>0.4247787610619469</v>
      </c>
      <c r="H344">
        <v>4.6888776504177443E-2</v>
      </c>
      <c r="I344">
        <v>7.3931287163445616E-2</v>
      </c>
    </row>
    <row r="345" spans="1:9" x14ac:dyDescent="0.25">
      <c r="A345" t="s">
        <v>73</v>
      </c>
      <c r="B345" s="12">
        <v>115</v>
      </c>
      <c r="C345">
        <v>80</v>
      </c>
      <c r="D345">
        <v>95013</v>
      </c>
      <c r="E345">
        <v>22811</v>
      </c>
      <c r="F345">
        <v>0.50241150442477878</v>
      </c>
      <c r="G345">
        <v>0.64601769911504425</v>
      </c>
      <c r="H345">
        <v>5.9946124283142631E-2</v>
      </c>
      <c r="I345">
        <v>-4.6715861268850023E-2</v>
      </c>
    </row>
    <row r="346" spans="1:9" x14ac:dyDescent="0.25">
      <c r="A346" t="s">
        <v>261</v>
      </c>
      <c r="B346" s="12">
        <v>116</v>
      </c>
      <c r="C346">
        <v>146</v>
      </c>
      <c r="D346">
        <v>94833</v>
      </c>
      <c r="E346">
        <v>8887</v>
      </c>
      <c r="F346">
        <v>0.19533185840707959</v>
      </c>
      <c r="G346">
        <v>0.35398230088495569</v>
      </c>
      <c r="H346">
        <v>2.5011560016387841E-2</v>
      </c>
      <c r="I346">
        <v>7.3725751859233635E-2</v>
      </c>
    </row>
    <row r="347" spans="1:9" x14ac:dyDescent="0.25">
      <c r="A347" t="s">
        <v>178</v>
      </c>
      <c r="B347" s="12">
        <v>117</v>
      </c>
      <c r="C347">
        <v>49</v>
      </c>
      <c r="D347">
        <v>94742</v>
      </c>
      <c r="E347">
        <v>33976</v>
      </c>
      <c r="F347">
        <v>0.74776548672566368</v>
      </c>
      <c r="G347">
        <v>0.7831858407079646</v>
      </c>
      <c r="H347">
        <v>9.5903702752163686E-2</v>
      </c>
      <c r="I347">
        <v>-7.5230758715872287E-2</v>
      </c>
    </row>
    <row r="348" spans="1:9" x14ac:dyDescent="0.25">
      <c r="A348" t="s">
        <v>199</v>
      </c>
      <c r="B348" s="12">
        <v>118</v>
      </c>
      <c r="C348">
        <v>126</v>
      </c>
      <c r="D348">
        <v>94740</v>
      </c>
      <c r="E348">
        <v>15384</v>
      </c>
      <c r="F348">
        <v>0.33997787610619468</v>
      </c>
      <c r="G348">
        <v>0.44247787610619471</v>
      </c>
      <c r="H348">
        <v>4.7622520108521048E-2</v>
      </c>
      <c r="I348">
        <v>6.8428567634361184E-2</v>
      </c>
    </row>
    <row r="349" spans="1:9" x14ac:dyDescent="0.25">
      <c r="A349" t="s">
        <v>18</v>
      </c>
      <c r="B349" s="12">
        <v>119</v>
      </c>
      <c r="C349">
        <v>145</v>
      </c>
      <c r="D349">
        <v>94729</v>
      </c>
      <c r="E349">
        <v>17990</v>
      </c>
      <c r="F349">
        <v>0.39703539823008849</v>
      </c>
      <c r="G349">
        <v>0.3584070796460177</v>
      </c>
      <c r="H349">
        <v>5.9129366143948779E-2</v>
      </c>
      <c r="I349">
        <v>8.2862927720428067E-2</v>
      </c>
    </row>
    <row r="350" spans="1:9" x14ac:dyDescent="0.25">
      <c r="A350" t="s">
        <v>206</v>
      </c>
      <c r="B350" s="12">
        <v>120</v>
      </c>
      <c r="C350">
        <v>107</v>
      </c>
      <c r="D350">
        <v>94726</v>
      </c>
      <c r="E350">
        <v>20679</v>
      </c>
      <c r="F350">
        <v>0.455641592920354</v>
      </c>
      <c r="G350">
        <v>0.52654867256637172</v>
      </c>
      <c r="H350">
        <v>6.4730063483439557E-2</v>
      </c>
      <c r="I350">
        <v>5.9318203141656339E-2</v>
      </c>
    </row>
    <row r="351" spans="1:9" x14ac:dyDescent="0.25">
      <c r="A351" t="s">
        <v>88</v>
      </c>
      <c r="B351" s="12">
        <v>121</v>
      </c>
      <c r="C351">
        <v>140</v>
      </c>
      <c r="D351">
        <v>94578</v>
      </c>
      <c r="E351">
        <v>13991</v>
      </c>
      <c r="F351">
        <v>0.30829646017699108</v>
      </c>
      <c r="G351">
        <v>0.38053097345132741</v>
      </c>
      <c r="H351">
        <v>4.3234678401481118E-2</v>
      </c>
      <c r="I351">
        <v>7.050352146355239E-2</v>
      </c>
    </row>
    <row r="352" spans="1:9" x14ac:dyDescent="0.25">
      <c r="A352" t="s">
        <v>74</v>
      </c>
      <c r="B352" s="12">
        <v>122</v>
      </c>
      <c r="C352">
        <v>102</v>
      </c>
      <c r="D352">
        <v>94551</v>
      </c>
      <c r="E352">
        <v>15550</v>
      </c>
      <c r="F352">
        <v>0.34207964601769908</v>
      </c>
      <c r="G352">
        <v>0.54867256637168138</v>
      </c>
      <c r="H352">
        <v>4.2771059191025487E-2</v>
      </c>
      <c r="I352">
        <v>1.928833454908388E-2</v>
      </c>
    </row>
    <row r="353" spans="1:9" x14ac:dyDescent="0.25">
      <c r="A353" t="s">
        <v>212</v>
      </c>
      <c r="B353" s="12">
        <v>123</v>
      </c>
      <c r="C353">
        <v>111</v>
      </c>
      <c r="D353">
        <v>94542</v>
      </c>
      <c r="E353">
        <v>21156</v>
      </c>
      <c r="F353">
        <v>0.46763274336283178</v>
      </c>
      <c r="G353">
        <v>0.50884955752212391</v>
      </c>
      <c r="H353">
        <v>7.0649961222871691E-2</v>
      </c>
      <c r="I353">
        <v>7.5543621685377954E-2</v>
      </c>
    </row>
    <row r="354" spans="1:9" x14ac:dyDescent="0.25">
      <c r="A354" t="s">
        <v>236</v>
      </c>
      <c r="B354" s="12">
        <v>124</v>
      </c>
      <c r="C354">
        <v>139</v>
      </c>
      <c r="D354">
        <v>94506</v>
      </c>
      <c r="E354">
        <v>16383</v>
      </c>
      <c r="F354">
        <v>0.36117256637168138</v>
      </c>
      <c r="G354">
        <v>0.38495575221238942</v>
      </c>
      <c r="H354">
        <v>5.2492984481971497E-2</v>
      </c>
      <c r="I354">
        <v>8.537864871881333E-2</v>
      </c>
    </row>
    <row r="355" spans="1:9" x14ac:dyDescent="0.25">
      <c r="A355" t="s">
        <v>84</v>
      </c>
      <c r="B355" s="12">
        <v>125</v>
      </c>
      <c r="C355">
        <v>114</v>
      </c>
      <c r="D355">
        <v>94453</v>
      </c>
      <c r="E355">
        <v>15387</v>
      </c>
      <c r="F355">
        <v>0.33758849557522119</v>
      </c>
      <c r="G355">
        <v>0.49557522123893799</v>
      </c>
      <c r="H355">
        <v>4.1577154135385617E-2</v>
      </c>
      <c r="I355">
        <v>2.430994706832916E-2</v>
      </c>
    </row>
    <row r="356" spans="1:9" x14ac:dyDescent="0.25">
      <c r="A356" t="s">
        <v>174</v>
      </c>
      <c r="B356" s="12">
        <v>126</v>
      </c>
      <c r="C356">
        <v>167</v>
      </c>
      <c r="D356">
        <v>94400</v>
      </c>
      <c r="E356">
        <v>14645</v>
      </c>
      <c r="F356">
        <v>0.32289823008849561</v>
      </c>
      <c r="G356">
        <v>0.26106194690265488</v>
      </c>
      <c r="H356">
        <v>4.7245875487398822E-2</v>
      </c>
      <c r="I356">
        <v>9.8497031108305211E-2</v>
      </c>
    </row>
    <row r="357" spans="1:9" x14ac:dyDescent="0.25">
      <c r="A357" t="s">
        <v>150</v>
      </c>
      <c r="B357" s="12">
        <v>127</v>
      </c>
      <c r="C357">
        <v>199</v>
      </c>
      <c r="D357">
        <v>94395</v>
      </c>
      <c r="E357">
        <v>6874</v>
      </c>
      <c r="F357">
        <v>0.1513274336283186</v>
      </c>
      <c r="G357">
        <v>0.1194690265486726</v>
      </c>
      <c r="H357">
        <v>2.1810963806859589E-2</v>
      </c>
      <c r="I357">
        <v>0.10591229711292641</v>
      </c>
    </row>
    <row r="358" spans="1:9" x14ac:dyDescent="0.25">
      <c r="A358" t="s">
        <v>213</v>
      </c>
      <c r="B358" s="12">
        <v>128</v>
      </c>
      <c r="C358">
        <v>118</v>
      </c>
      <c r="D358">
        <v>94392</v>
      </c>
      <c r="E358">
        <v>20875</v>
      </c>
      <c r="F358">
        <v>0.46132743362831857</v>
      </c>
      <c r="G358">
        <v>0.47787610619469029</v>
      </c>
      <c r="H358">
        <v>7.054634773352654E-2</v>
      </c>
      <c r="I358">
        <v>8.9748056967559012E-2</v>
      </c>
    </row>
    <row r="359" spans="1:9" x14ac:dyDescent="0.25">
      <c r="A359" t="s">
        <v>66</v>
      </c>
      <c r="B359" s="12">
        <v>129</v>
      </c>
      <c r="C359">
        <v>90</v>
      </c>
      <c r="D359">
        <v>94391</v>
      </c>
      <c r="E359">
        <v>22871</v>
      </c>
      <c r="F359">
        <v>0.50356194690265488</v>
      </c>
      <c r="G359">
        <v>0.60176991150442483</v>
      </c>
      <c r="H359">
        <v>6.266110117500058E-2</v>
      </c>
      <c r="I359">
        <v>-2.8521358413518761E-2</v>
      </c>
    </row>
    <row r="360" spans="1:9" x14ac:dyDescent="0.25">
      <c r="A360" t="s">
        <v>13</v>
      </c>
      <c r="B360" s="12">
        <v>130</v>
      </c>
      <c r="C360">
        <v>135</v>
      </c>
      <c r="D360">
        <v>94360</v>
      </c>
      <c r="E360">
        <v>22502</v>
      </c>
      <c r="F360">
        <v>0.49703539823008852</v>
      </c>
      <c r="G360">
        <v>0.40265486725663718</v>
      </c>
      <c r="H360">
        <v>6.7127009206128574E-2</v>
      </c>
      <c r="I360">
        <v>2.8950883010215089E-2</v>
      </c>
    </row>
    <row r="361" spans="1:9" x14ac:dyDescent="0.25">
      <c r="A361" t="s">
        <v>186</v>
      </c>
      <c r="B361" s="12">
        <v>131</v>
      </c>
      <c r="C361">
        <v>99</v>
      </c>
      <c r="D361">
        <v>94297</v>
      </c>
      <c r="E361">
        <v>21219</v>
      </c>
      <c r="F361">
        <v>0.46727876106194688</v>
      </c>
      <c r="G361">
        <v>0.56194690265486724</v>
      </c>
      <c r="H361">
        <v>6.836723718840193E-2</v>
      </c>
      <c r="I361">
        <v>7.0096058148819945E-2</v>
      </c>
    </row>
    <row r="362" spans="1:9" x14ac:dyDescent="0.25">
      <c r="A362" t="s">
        <v>189</v>
      </c>
      <c r="B362" s="12">
        <v>132</v>
      </c>
      <c r="C362">
        <v>93</v>
      </c>
      <c r="D362">
        <v>94255</v>
      </c>
      <c r="E362">
        <v>20977</v>
      </c>
      <c r="F362">
        <v>0.46159292035398231</v>
      </c>
      <c r="G362">
        <v>0.58849557522123896</v>
      </c>
      <c r="H362">
        <v>6.7594557657168014E-2</v>
      </c>
      <c r="I362">
        <v>7.2529601594227971E-2</v>
      </c>
    </row>
    <row r="363" spans="1:9" x14ac:dyDescent="0.25">
      <c r="A363" t="s">
        <v>255</v>
      </c>
      <c r="B363" s="12">
        <v>133</v>
      </c>
      <c r="C363">
        <v>182</v>
      </c>
      <c r="D363">
        <v>94250</v>
      </c>
      <c r="E363">
        <v>8160</v>
      </c>
      <c r="F363">
        <v>0.1799778761061947</v>
      </c>
      <c r="G363">
        <v>0.19469026548672569</v>
      </c>
      <c r="H363">
        <v>2.4581533576109191E-2</v>
      </c>
      <c r="I363">
        <v>9.3342065293818596E-2</v>
      </c>
    </row>
    <row r="364" spans="1:9" x14ac:dyDescent="0.25">
      <c r="A364" t="s">
        <v>152</v>
      </c>
      <c r="B364" s="12">
        <v>134</v>
      </c>
      <c r="C364">
        <v>166</v>
      </c>
      <c r="D364">
        <v>94225</v>
      </c>
      <c r="E364">
        <v>8557</v>
      </c>
      <c r="F364">
        <v>0.18862831858407081</v>
      </c>
      <c r="G364">
        <v>0.26548672566371678</v>
      </c>
      <c r="H364">
        <v>2.657153442733064E-2</v>
      </c>
      <c r="I364">
        <v>9.894152030039384E-2</v>
      </c>
    </row>
    <row r="365" spans="1:9" x14ac:dyDescent="0.25">
      <c r="A365" t="s">
        <v>226</v>
      </c>
      <c r="B365" s="12">
        <v>135</v>
      </c>
      <c r="C365">
        <v>118</v>
      </c>
      <c r="D365">
        <v>94205</v>
      </c>
      <c r="E365">
        <v>20147</v>
      </c>
      <c r="F365">
        <v>0.44535398230088502</v>
      </c>
      <c r="G365">
        <v>0.47787610619469029</v>
      </c>
      <c r="H365">
        <v>6.919507824145181E-2</v>
      </c>
      <c r="I365">
        <v>8.80491918284379E-2</v>
      </c>
    </row>
    <row r="366" spans="1:9" x14ac:dyDescent="0.25">
      <c r="A366" t="s">
        <v>139</v>
      </c>
      <c r="B366" s="12">
        <v>136</v>
      </c>
      <c r="C366">
        <v>172</v>
      </c>
      <c r="D366">
        <v>94198</v>
      </c>
      <c r="E366">
        <v>8564</v>
      </c>
      <c r="F366">
        <v>0.18896017699115039</v>
      </c>
      <c r="G366">
        <v>0.23893805309734509</v>
      </c>
      <c r="H366">
        <v>2.631641817039828E-2</v>
      </c>
      <c r="I366">
        <v>9.5434409746799814E-2</v>
      </c>
    </row>
    <row r="367" spans="1:9" x14ac:dyDescent="0.25">
      <c r="A367" t="s">
        <v>247</v>
      </c>
      <c r="B367" s="12">
        <v>137</v>
      </c>
      <c r="C367">
        <v>151</v>
      </c>
      <c r="D367">
        <v>94188</v>
      </c>
      <c r="E367">
        <v>8234</v>
      </c>
      <c r="F367">
        <v>0.1814159292035398</v>
      </c>
      <c r="G367">
        <v>0.33185840707964598</v>
      </c>
      <c r="H367">
        <v>2.3212058834795931E-2</v>
      </c>
      <c r="I367">
        <v>7.763873832151004E-2</v>
      </c>
    </row>
    <row r="368" spans="1:9" x14ac:dyDescent="0.25">
      <c r="A368" t="s">
        <v>144</v>
      </c>
      <c r="B368" s="12">
        <v>138</v>
      </c>
      <c r="C368">
        <v>198</v>
      </c>
      <c r="D368">
        <v>94041</v>
      </c>
      <c r="E368">
        <v>7414</v>
      </c>
      <c r="F368">
        <v>0.16365044247787611</v>
      </c>
      <c r="G368">
        <v>0.1238938053097345</v>
      </c>
      <c r="H368">
        <v>2.377179447888754E-2</v>
      </c>
      <c r="I368">
        <v>0.1081763195889002</v>
      </c>
    </row>
    <row r="369" spans="1:9" x14ac:dyDescent="0.25">
      <c r="A369" t="s">
        <v>116</v>
      </c>
      <c r="B369" s="12">
        <v>139</v>
      </c>
      <c r="C369">
        <v>64</v>
      </c>
      <c r="D369">
        <v>93948</v>
      </c>
      <c r="E369">
        <v>27394</v>
      </c>
      <c r="F369">
        <v>0.60309734513274338</v>
      </c>
      <c r="G369">
        <v>0.7168141592920354</v>
      </c>
      <c r="H369">
        <v>8.2235329731765366E-2</v>
      </c>
      <c r="I369">
        <v>3.0996746017231029E-3</v>
      </c>
    </row>
    <row r="370" spans="1:9" x14ac:dyDescent="0.25">
      <c r="A370" t="s">
        <v>138</v>
      </c>
      <c r="B370" s="12">
        <v>140</v>
      </c>
      <c r="C370">
        <v>183</v>
      </c>
      <c r="D370">
        <v>93947</v>
      </c>
      <c r="E370">
        <v>16900</v>
      </c>
      <c r="F370">
        <v>0.3721017699115044</v>
      </c>
      <c r="G370">
        <v>0.19026548672566371</v>
      </c>
      <c r="H370">
        <v>5.7326404389612173E-2</v>
      </c>
      <c r="I370">
        <v>0.1030636521324631</v>
      </c>
    </row>
    <row r="371" spans="1:9" x14ac:dyDescent="0.25">
      <c r="A371" t="s">
        <v>229</v>
      </c>
      <c r="B371" s="12">
        <v>141</v>
      </c>
      <c r="C371">
        <v>143</v>
      </c>
      <c r="D371">
        <v>93931</v>
      </c>
      <c r="E371">
        <v>18153</v>
      </c>
      <c r="F371">
        <v>0.40123893805309729</v>
      </c>
      <c r="G371">
        <v>0.36725663716814161</v>
      </c>
      <c r="H371">
        <v>6.3469509289481321E-2</v>
      </c>
      <c r="I371">
        <v>0.1052678326501276</v>
      </c>
    </row>
    <row r="372" spans="1:9" x14ac:dyDescent="0.25">
      <c r="A372" t="s">
        <v>200</v>
      </c>
      <c r="B372" s="12">
        <v>142</v>
      </c>
      <c r="C372">
        <v>100</v>
      </c>
      <c r="D372">
        <v>93922</v>
      </c>
      <c r="E372">
        <v>20979</v>
      </c>
      <c r="F372">
        <v>0.46199115044247779</v>
      </c>
      <c r="G372">
        <v>0.55752212389380529</v>
      </c>
      <c r="H372">
        <v>6.7533685079396999E-2</v>
      </c>
      <c r="I372">
        <v>7.2251440432810898E-2</v>
      </c>
    </row>
    <row r="373" spans="1:9" x14ac:dyDescent="0.25">
      <c r="A373" t="s">
        <v>217</v>
      </c>
      <c r="B373" s="12">
        <v>143</v>
      </c>
      <c r="C373">
        <v>126</v>
      </c>
      <c r="D373">
        <v>93885</v>
      </c>
      <c r="E373">
        <v>19317</v>
      </c>
      <c r="F373">
        <v>0.42699115044247787</v>
      </c>
      <c r="G373">
        <v>0.44247787610619471</v>
      </c>
      <c r="H373">
        <v>6.6097700200823922E-2</v>
      </c>
      <c r="I373">
        <v>9.011016837539032E-2</v>
      </c>
    </row>
    <row r="374" spans="1:9" x14ac:dyDescent="0.25">
      <c r="A374" t="s">
        <v>215</v>
      </c>
      <c r="B374" s="12">
        <v>144</v>
      </c>
      <c r="C374">
        <v>89</v>
      </c>
      <c r="D374">
        <v>93821</v>
      </c>
      <c r="E374">
        <v>22637</v>
      </c>
      <c r="F374">
        <v>0.49847345132743359</v>
      </c>
      <c r="G374">
        <v>0.60619469026548678</v>
      </c>
      <c r="H374">
        <v>6.3608291142557574E-2</v>
      </c>
      <c r="I374">
        <v>2.7728713010358061E-4</v>
      </c>
    </row>
    <row r="375" spans="1:9" x14ac:dyDescent="0.25">
      <c r="A375" t="s">
        <v>120</v>
      </c>
      <c r="B375" s="12">
        <v>145</v>
      </c>
      <c r="C375">
        <v>66</v>
      </c>
      <c r="D375">
        <v>93818</v>
      </c>
      <c r="E375">
        <v>26042</v>
      </c>
      <c r="F375">
        <v>0.57320796460176993</v>
      </c>
      <c r="G375">
        <v>0.70796460176991149</v>
      </c>
      <c r="H375">
        <v>7.8978229787910123E-2</v>
      </c>
      <c r="I375">
        <v>1.3055208219580051E-2</v>
      </c>
    </row>
    <row r="376" spans="1:9" x14ac:dyDescent="0.25">
      <c r="A376" t="s">
        <v>69</v>
      </c>
      <c r="B376" s="12">
        <v>146</v>
      </c>
      <c r="C376">
        <v>124</v>
      </c>
      <c r="D376">
        <v>93758</v>
      </c>
      <c r="E376">
        <v>14268</v>
      </c>
      <c r="F376">
        <v>0.31453539823008853</v>
      </c>
      <c r="G376">
        <v>0.45132743362831862</v>
      </c>
      <c r="H376">
        <v>4.2093535460659873E-2</v>
      </c>
      <c r="I376">
        <v>5.6267381215940701E-2</v>
      </c>
    </row>
    <row r="377" spans="1:9" x14ac:dyDescent="0.25">
      <c r="A377" t="s">
        <v>254</v>
      </c>
      <c r="B377" s="12">
        <v>147</v>
      </c>
      <c r="C377">
        <v>164</v>
      </c>
      <c r="D377">
        <v>93740</v>
      </c>
      <c r="E377">
        <v>11924</v>
      </c>
      <c r="F377">
        <v>0.2629203539823009</v>
      </c>
      <c r="G377">
        <v>0.27433628318584069</v>
      </c>
      <c r="H377">
        <v>3.7673231901016381E-2</v>
      </c>
      <c r="I377">
        <v>9.7746110939347777E-2</v>
      </c>
    </row>
    <row r="378" spans="1:9" x14ac:dyDescent="0.25">
      <c r="A378" t="s">
        <v>238</v>
      </c>
      <c r="B378" s="12">
        <v>148</v>
      </c>
      <c r="C378">
        <v>142</v>
      </c>
      <c r="D378">
        <v>93696</v>
      </c>
      <c r="E378">
        <v>8982</v>
      </c>
      <c r="F378">
        <v>0.1980088495575221</v>
      </c>
      <c r="G378">
        <v>0.37168141592920362</v>
      </c>
      <c r="H378">
        <v>2.5522399911879368E-2</v>
      </c>
      <c r="I378">
        <v>7.2368583074445741E-2</v>
      </c>
    </row>
    <row r="379" spans="1:9" x14ac:dyDescent="0.25">
      <c r="A379" t="s">
        <v>220</v>
      </c>
      <c r="B379" s="12">
        <v>149</v>
      </c>
      <c r="C379">
        <v>118</v>
      </c>
      <c r="D379">
        <v>93646</v>
      </c>
      <c r="E379">
        <v>11672</v>
      </c>
      <c r="F379">
        <v>0.25592920353982301</v>
      </c>
      <c r="G379">
        <v>0.47787610619469029</v>
      </c>
      <c r="H379">
        <v>3.10325812493016E-2</v>
      </c>
      <c r="I379">
        <v>3.6738782092449469E-2</v>
      </c>
    </row>
    <row r="380" spans="1:9" x14ac:dyDescent="0.25">
      <c r="A380" t="s">
        <v>107</v>
      </c>
      <c r="B380" s="12">
        <v>150</v>
      </c>
      <c r="C380">
        <v>88</v>
      </c>
      <c r="D380">
        <v>93564</v>
      </c>
      <c r="E380">
        <v>22861</v>
      </c>
      <c r="F380">
        <v>0.50340707964601772</v>
      </c>
      <c r="G380">
        <v>0.61061946902654862</v>
      </c>
      <c r="H380">
        <v>6.8054338336549433E-2</v>
      </c>
      <c r="I380">
        <v>1.865247926772956E-2</v>
      </c>
    </row>
    <row r="381" spans="1:9" x14ac:dyDescent="0.25">
      <c r="A381" t="s">
        <v>131</v>
      </c>
      <c r="B381" s="12">
        <v>151</v>
      </c>
      <c r="C381">
        <v>14</v>
      </c>
      <c r="D381">
        <v>93554</v>
      </c>
      <c r="E381">
        <v>31949</v>
      </c>
      <c r="F381">
        <v>0.70298672566371678</v>
      </c>
      <c r="G381">
        <v>0.93805309734513276</v>
      </c>
      <c r="H381">
        <v>9.8858876453698896E-2</v>
      </c>
      <c r="I381">
        <v>-1.150788376571741E-2</v>
      </c>
    </row>
    <row r="382" spans="1:9" x14ac:dyDescent="0.25">
      <c r="A382" t="s">
        <v>245</v>
      </c>
      <c r="B382" s="12">
        <v>152</v>
      </c>
      <c r="C382">
        <v>134</v>
      </c>
      <c r="D382">
        <v>93547</v>
      </c>
      <c r="E382">
        <v>16591</v>
      </c>
      <c r="F382">
        <v>0.365929203539823</v>
      </c>
      <c r="G382">
        <v>0.40707964601769908</v>
      </c>
      <c r="H382">
        <v>5.1708832327674148E-2</v>
      </c>
      <c r="I382">
        <v>7.399319770696039E-2</v>
      </c>
    </row>
    <row r="383" spans="1:9" x14ac:dyDescent="0.25">
      <c r="A383" t="s">
        <v>230</v>
      </c>
      <c r="B383" s="12">
        <v>153</v>
      </c>
      <c r="C383">
        <v>113</v>
      </c>
      <c r="D383">
        <v>93476</v>
      </c>
      <c r="E383">
        <v>19498</v>
      </c>
      <c r="F383">
        <v>0.42953539823008852</v>
      </c>
      <c r="G383">
        <v>0.5</v>
      </c>
      <c r="H383">
        <v>5.8188865021062117E-2</v>
      </c>
      <c r="I383">
        <v>4.2123154813964572E-2</v>
      </c>
    </row>
    <row r="384" spans="1:9" x14ac:dyDescent="0.25">
      <c r="A384" t="s">
        <v>164</v>
      </c>
      <c r="B384" s="12">
        <v>154</v>
      </c>
      <c r="C384">
        <v>193</v>
      </c>
      <c r="D384">
        <v>93413</v>
      </c>
      <c r="E384">
        <v>10173</v>
      </c>
      <c r="F384">
        <v>0.22440265486725661</v>
      </c>
      <c r="G384">
        <v>0.14601769911504431</v>
      </c>
      <c r="H384">
        <v>3.3977064303715263E-2</v>
      </c>
      <c r="I384">
        <v>0.11747357803601351</v>
      </c>
    </row>
    <row r="385" spans="1:9" x14ac:dyDescent="0.25">
      <c r="A385" t="s">
        <v>149</v>
      </c>
      <c r="B385" s="12">
        <v>155</v>
      </c>
      <c r="C385">
        <v>194</v>
      </c>
      <c r="D385">
        <v>93333</v>
      </c>
      <c r="E385">
        <v>8391</v>
      </c>
      <c r="F385">
        <v>0.18508849557522131</v>
      </c>
      <c r="G385">
        <v>0.1415929203539823</v>
      </c>
      <c r="H385">
        <v>2.671930172995949E-2</v>
      </c>
      <c r="I385">
        <v>0.1045896114816796</v>
      </c>
    </row>
    <row r="386" spans="1:9" x14ac:dyDescent="0.25">
      <c r="A386" t="s">
        <v>263</v>
      </c>
      <c r="B386" s="12">
        <v>156</v>
      </c>
      <c r="C386">
        <v>169</v>
      </c>
      <c r="D386">
        <v>93292</v>
      </c>
      <c r="E386">
        <v>10333</v>
      </c>
      <c r="F386">
        <v>0.22787610619469029</v>
      </c>
      <c r="G386">
        <v>0.25221238938053098</v>
      </c>
      <c r="H386">
        <v>3.1779858161555527E-2</v>
      </c>
      <c r="I386">
        <v>9.2751615509714974E-2</v>
      </c>
    </row>
    <row r="387" spans="1:9" x14ac:dyDescent="0.25">
      <c r="A387" t="s">
        <v>235</v>
      </c>
      <c r="B387" s="12">
        <v>157</v>
      </c>
      <c r="C387">
        <v>158</v>
      </c>
      <c r="D387">
        <v>93234</v>
      </c>
      <c r="E387">
        <v>11025</v>
      </c>
      <c r="F387">
        <v>0.24318584070796459</v>
      </c>
      <c r="G387">
        <v>0.30088495575221241</v>
      </c>
      <c r="H387">
        <v>3.4197214890484592E-2</v>
      </c>
      <c r="I387">
        <v>9.5484608946365596E-2</v>
      </c>
    </row>
    <row r="388" spans="1:9" x14ac:dyDescent="0.25">
      <c r="A388" t="s">
        <v>173</v>
      </c>
      <c r="B388" s="12">
        <v>158</v>
      </c>
      <c r="C388">
        <v>192</v>
      </c>
      <c r="D388">
        <v>93213</v>
      </c>
      <c r="E388">
        <v>13086</v>
      </c>
      <c r="F388">
        <v>0.28915929203539831</v>
      </c>
      <c r="G388">
        <v>0.15044247787610621</v>
      </c>
      <c r="H388">
        <v>4.4219431493196931E-2</v>
      </c>
      <c r="I388">
        <v>0.1171990040110584</v>
      </c>
    </row>
    <row r="389" spans="1:9" x14ac:dyDescent="0.25">
      <c r="A389" t="s">
        <v>211</v>
      </c>
      <c r="B389" s="12">
        <v>159</v>
      </c>
      <c r="C389">
        <v>84</v>
      </c>
      <c r="D389">
        <v>93130</v>
      </c>
      <c r="E389">
        <v>21614</v>
      </c>
      <c r="F389">
        <v>0.47597345132743363</v>
      </c>
      <c r="G389">
        <v>0.62831858407079644</v>
      </c>
      <c r="H389">
        <v>6.523794905477194E-2</v>
      </c>
      <c r="I389">
        <v>3.6334879954303588E-2</v>
      </c>
    </row>
    <row r="390" spans="1:9" x14ac:dyDescent="0.25">
      <c r="A390" t="s">
        <v>75</v>
      </c>
      <c r="B390" s="12">
        <v>160</v>
      </c>
      <c r="C390">
        <v>107</v>
      </c>
      <c r="D390">
        <v>93075</v>
      </c>
      <c r="E390">
        <v>17291</v>
      </c>
      <c r="F390">
        <v>0.38030973451327432</v>
      </c>
      <c r="G390">
        <v>0.52654867256637172</v>
      </c>
      <c r="H390">
        <v>5.0397255505261113E-2</v>
      </c>
      <c r="I390">
        <v>3.7202080708374601E-2</v>
      </c>
    </row>
    <row r="391" spans="1:9" x14ac:dyDescent="0.25">
      <c r="A391" t="s">
        <v>171</v>
      </c>
      <c r="B391" s="12">
        <v>161</v>
      </c>
      <c r="C391">
        <v>165</v>
      </c>
      <c r="D391">
        <v>93035</v>
      </c>
      <c r="E391">
        <v>15324</v>
      </c>
      <c r="F391">
        <v>0.33827433628318582</v>
      </c>
      <c r="G391">
        <v>0.26991150442477868</v>
      </c>
      <c r="H391">
        <v>4.9915048915566043E-2</v>
      </c>
      <c r="I391">
        <v>0.10359329723755099</v>
      </c>
    </row>
    <row r="392" spans="1:9" x14ac:dyDescent="0.25">
      <c r="A392" t="s">
        <v>156</v>
      </c>
      <c r="B392" s="12">
        <v>162</v>
      </c>
      <c r="C392">
        <v>166</v>
      </c>
      <c r="D392">
        <v>92876</v>
      </c>
      <c r="E392">
        <v>15668</v>
      </c>
      <c r="F392">
        <v>0.34612831858407078</v>
      </c>
      <c r="G392">
        <v>0.26548672566371678</v>
      </c>
      <c r="H392">
        <v>5.1890303054593259E-2</v>
      </c>
      <c r="I392">
        <v>0.10306265578350569</v>
      </c>
    </row>
    <row r="393" spans="1:9" x14ac:dyDescent="0.25">
      <c r="A393" t="s">
        <v>112</v>
      </c>
      <c r="B393" s="12">
        <v>163</v>
      </c>
      <c r="C393">
        <v>84</v>
      </c>
      <c r="D393">
        <v>92805</v>
      </c>
      <c r="E393">
        <v>22668</v>
      </c>
      <c r="F393">
        <v>0.49880530973451331</v>
      </c>
      <c r="G393">
        <v>0.62831858407079644</v>
      </c>
      <c r="H393">
        <v>6.760871007643407E-2</v>
      </c>
      <c r="I393">
        <v>2.0881501503229111E-2</v>
      </c>
    </row>
    <row r="394" spans="1:9" x14ac:dyDescent="0.25">
      <c r="A394" t="s">
        <v>184</v>
      </c>
      <c r="B394" s="12">
        <v>164</v>
      </c>
      <c r="C394">
        <v>76</v>
      </c>
      <c r="D394">
        <v>92731</v>
      </c>
      <c r="E394">
        <v>22700</v>
      </c>
      <c r="F394">
        <v>0.50015486725663716</v>
      </c>
      <c r="G394">
        <v>0.66371681415929207</v>
      </c>
      <c r="H394">
        <v>7.1990151269480412E-2</v>
      </c>
      <c r="I394">
        <v>4.4189876554470049E-2</v>
      </c>
    </row>
    <row r="395" spans="1:9" x14ac:dyDescent="0.25">
      <c r="A395" t="s">
        <v>158</v>
      </c>
      <c r="B395" s="12">
        <v>165</v>
      </c>
      <c r="C395">
        <v>85</v>
      </c>
      <c r="D395">
        <v>92701</v>
      </c>
      <c r="E395">
        <v>22980</v>
      </c>
      <c r="F395">
        <v>0.50659292035398229</v>
      </c>
      <c r="G395">
        <v>0.62389380530973448</v>
      </c>
      <c r="H395">
        <v>7.2347102596963211E-2</v>
      </c>
      <c r="I395">
        <v>4.5626606535043808E-2</v>
      </c>
    </row>
    <row r="396" spans="1:9" x14ac:dyDescent="0.25">
      <c r="A396" t="s">
        <v>8</v>
      </c>
      <c r="B396" s="12">
        <v>166</v>
      </c>
      <c r="C396">
        <v>46</v>
      </c>
      <c r="D396">
        <v>92690</v>
      </c>
      <c r="E396">
        <v>36691</v>
      </c>
      <c r="F396">
        <v>0.80838495575221236</v>
      </c>
      <c r="G396">
        <v>0.79646017699115046</v>
      </c>
      <c r="H396">
        <v>0.10199897484720249</v>
      </c>
      <c r="I396">
        <v>-8.2483067948176864E-2</v>
      </c>
    </row>
    <row r="397" spans="1:9" x14ac:dyDescent="0.25">
      <c r="A397" t="s">
        <v>225</v>
      </c>
      <c r="B397" s="12">
        <v>167</v>
      </c>
      <c r="C397">
        <v>101</v>
      </c>
      <c r="D397">
        <v>92670</v>
      </c>
      <c r="E397">
        <v>15131</v>
      </c>
      <c r="F397">
        <v>0.33219026548672559</v>
      </c>
      <c r="G397">
        <v>0.55309734513274333</v>
      </c>
      <c r="H397">
        <v>4.0670346673485361E-2</v>
      </c>
      <c r="I397">
        <v>2.0534469763383668E-2</v>
      </c>
    </row>
    <row r="398" spans="1:9" x14ac:dyDescent="0.25">
      <c r="A398" t="s">
        <v>172</v>
      </c>
      <c r="B398" s="12">
        <v>168</v>
      </c>
      <c r="C398">
        <v>206</v>
      </c>
      <c r="D398">
        <v>92398</v>
      </c>
      <c r="E398">
        <v>9961</v>
      </c>
      <c r="F398">
        <v>0.21982300884955749</v>
      </c>
      <c r="G398">
        <v>8.8495575221238937E-2</v>
      </c>
      <c r="H398">
        <v>3.4069566289850459E-2</v>
      </c>
      <c r="I398">
        <v>0.11859387400114151</v>
      </c>
    </row>
    <row r="399" spans="1:9" x14ac:dyDescent="0.25">
      <c r="A399" t="s">
        <v>252</v>
      </c>
      <c r="B399" s="12">
        <v>169</v>
      </c>
      <c r="C399">
        <v>122</v>
      </c>
      <c r="D399">
        <v>92371</v>
      </c>
      <c r="E399">
        <v>16493</v>
      </c>
      <c r="F399">
        <v>0.36309734513274339</v>
      </c>
      <c r="G399">
        <v>0.46017699115044253</v>
      </c>
      <c r="H399">
        <v>5.1353558336561508E-2</v>
      </c>
      <c r="I399">
        <v>7.0203923358197334E-2</v>
      </c>
    </row>
    <row r="400" spans="1:9" x14ac:dyDescent="0.25">
      <c r="A400" t="s">
        <v>234</v>
      </c>
      <c r="B400" s="12">
        <v>170</v>
      </c>
      <c r="C400">
        <v>176</v>
      </c>
      <c r="D400">
        <v>92070</v>
      </c>
      <c r="E400">
        <v>13479</v>
      </c>
      <c r="F400">
        <v>0.29747787610619469</v>
      </c>
      <c r="G400">
        <v>0.22123893805309741</v>
      </c>
      <c r="H400">
        <v>4.4984572689583793E-2</v>
      </c>
      <c r="I400">
        <v>0.1145525821242023</v>
      </c>
    </row>
    <row r="401" spans="1:9" x14ac:dyDescent="0.25">
      <c r="A401" t="s">
        <v>130</v>
      </c>
      <c r="B401" s="12">
        <v>171</v>
      </c>
      <c r="C401">
        <v>85</v>
      </c>
      <c r="D401">
        <v>92021</v>
      </c>
      <c r="E401">
        <v>23147</v>
      </c>
      <c r="F401">
        <v>0.50991150442477873</v>
      </c>
      <c r="G401">
        <v>0.62389380530973448</v>
      </c>
      <c r="H401">
        <v>6.4978772853712369E-2</v>
      </c>
      <c r="I401">
        <v>-2.4274930919643599E-3</v>
      </c>
    </row>
    <row r="402" spans="1:9" x14ac:dyDescent="0.25">
      <c r="A402" t="s">
        <v>191</v>
      </c>
      <c r="B402" s="12">
        <v>172</v>
      </c>
      <c r="C402">
        <v>64</v>
      </c>
      <c r="D402">
        <v>91714</v>
      </c>
      <c r="E402">
        <v>28780</v>
      </c>
      <c r="F402">
        <v>0.63362831858407076</v>
      </c>
      <c r="G402">
        <v>0.7168141592920354</v>
      </c>
      <c r="H402">
        <v>8.4559431953007566E-2</v>
      </c>
      <c r="I402">
        <v>-1.7680505584971321E-2</v>
      </c>
    </row>
    <row r="403" spans="1:9" x14ac:dyDescent="0.25">
      <c r="A403" t="s">
        <v>222</v>
      </c>
      <c r="B403" s="12">
        <v>173</v>
      </c>
      <c r="C403">
        <v>87</v>
      </c>
      <c r="D403">
        <v>91333</v>
      </c>
      <c r="E403">
        <v>22656</v>
      </c>
      <c r="F403">
        <v>0.49778761061946902</v>
      </c>
      <c r="G403">
        <v>0.61504424778761058</v>
      </c>
      <c r="H403">
        <v>6.3927415997256778E-2</v>
      </c>
      <c r="I403">
        <v>-6.6453721209530896E-4</v>
      </c>
    </row>
    <row r="404" spans="1:9" x14ac:dyDescent="0.25">
      <c r="A404" t="s">
        <v>258</v>
      </c>
      <c r="B404" s="12">
        <v>174</v>
      </c>
      <c r="C404">
        <v>127</v>
      </c>
      <c r="D404">
        <v>91235</v>
      </c>
      <c r="E404">
        <v>14482</v>
      </c>
      <c r="F404">
        <v>0.31911504424778758</v>
      </c>
      <c r="G404">
        <v>0.43805309734513281</v>
      </c>
      <c r="H404">
        <v>4.3674255197758798E-2</v>
      </c>
      <c r="I404">
        <v>6.8915154146766716E-2</v>
      </c>
    </row>
    <row r="405" spans="1:9" x14ac:dyDescent="0.25">
      <c r="A405" t="s">
        <v>272</v>
      </c>
      <c r="B405" s="12">
        <v>175</v>
      </c>
      <c r="C405">
        <v>142</v>
      </c>
      <c r="D405">
        <v>91190</v>
      </c>
      <c r="E405">
        <v>12227</v>
      </c>
      <c r="F405">
        <v>0.26953539823008849</v>
      </c>
      <c r="G405">
        <v>0.37168141592920362</v>
      </c>
      <c r="H405">
        <v>3.6347912061272913E-2</v>
      </c>
      <c r="I405">
        <v>7.3509143033988422E-2</v>
      </c>
    </row>
    <row r="406" spans="1:9" x14ac:dyDescent="0.25">
      <c r="A406" t="s">
        <v>268</v>
      </c>
      <c r="B406" s="12">
        <v>176</v>
      </c>
      <c r="C406">
        <v>134</v>
      </c>
      <c r="D406">
        <v>91138</v>
      </c>
      <c r="E406">
        <v>15133</v>
      </c>
      <c r="F406">
        <v>0.33300884955752208</v>
      </c>
      <c r="G406">
        <v>0.40707964601769908</v>
      </c>
      <c r="H406">
        <v>4.6835600034804629E-2</v>
      </c>
      <c r="I406">
        <v>7.6946517582679785E-2</v>
      </c>
    </row>
    <row r="407" spans="1:9" x14ac:dyDescent="0.25">
      <c r="A407" t="s">
        <v>269</v>
      </c>
      <c r="B407" s="12">
        <v>177</v>
      </c>
      <c r="C407">
        <v>108</v>
      </c>
      <c r="D407">
        <v>91097</v>
      </c>
      <c r="E407">
        <v>17271</v>
      </c>
      <c r="F407">
        <v>0.38050884955752212</v>
      </c>
      <c r="G407">
        <v>0.52212389380530977</v>
      </c>
      <c r="H407">
        <v>4.09122447076785E-2</v>
      </c>
      <c r="I407">
        <v>-2.8121387354279909E-2</v>
      </c>
    </row>
    <row r="408" spans="1:9" x14ac:dyDescent="0.25">
      <c r="A408" t="s">
        <v>208</v>
      </c>
      <c r="B408" s="12">
        <v>178</v>
      </c>
      <c r="C408">
        <v>93</v>
      </c>
      <c r="D408">
        <v>91001</v>
      </c>
      <c r="E408">
        <v>21613</v>
      </c>
      <c r="F408">
        <v>0.47579646017699118</v>
      </c>
      <c r="G408">
        <v>0.58849557522123896</v>
      </c>
      <c r="H408">
        <v>6.3291711692804412E-2</v>
      </c>
      <c r="I408">
        <v>2.1557612958774879E-2</v>
      </c>
    </row>
    <row r="409" spans="1:9" x14ac:dyDescent="0.25">
      <c r="A409" t="s">
        <v>228</v>
      </c>
      <c r="B409" s="12">
        <v>179</v>
      </c>
      <c r="C409">
        <v>88</v>
      </c>
      <c r="D409">
        <v>90906</v>
      </c>
      <c r="E409">
        <v>22846</v>
      </c>
      <c r="F409">
        <v>0.50323008849557527</v>
      </c>
      <c r="G409">
        <v>0.61061946902654862</v>
      </c>
      <c r="H409">
        <v>6.3450764849559388E-2</v>
      </c>
      <c r="I409">
        <v>-3.6325051490848849E-3</v>
      </c>
    </row>
    <row r="410" spans="1:9" x14ac:dyDescent="0.25">
      <c r="A410" t="s">
        <v>218</v>
      </c>
      <c r="B410" s="12">
        <v>180</v>
      </c>
      <c r="C410">
        <v>42</v>
      </c>
      <c r="D410">
        <v>90222</v>
      </c>
      <c r="E410">
        <v>31586</v>
      </c>
      <c r="F410">
        <v>0.6948672566371682</v>
      </c>
      <c r="G410">
        <v>0.81415929203539827</v>
      </c>
      <c r="H410">
        <v>9.3570277808052729E-2</v>
      </c>
      <c r="I410">
        <v>-2.2430858204023581E-2</v>
      </c>
    </row>
    <row r="411" spans="1:9" x14ac:dyDescent="0.25">
      <c r="A411" t="s">
        <v>240</v>
      </c>
      <c r="B411" s="12">
        <v>181</v>
      </c>
      <c r="C411">
        <v>80</v>
      </c>
      <c r="D411">
        <v>90211</v>
      </c>
      <c r="E411">
        <v>21673</v>
      </c>
      <c r="F411">
        <v>0.47727876106194689</v>
      </c>
      <c r="G411">
        <v>0.64601769911504425</v>
      </c>
      <c r="H411">
        <v>6.4300340790038324E-2</v>
      </c>
      <c r="I411">
        <v>2.9267221091716721E-2</v>
      </c>
    </row>
    <row r="412" spans="1:9" x14ac:dyDescent="0.25">
      <c r="A412" t="s">
        <v>146</v>
      </c>
      <c r="B412" s="12">
        <v>182</v>
      </c>
      <c r="C412">
        <v>81</v>
      </c>
      <c r="D412">
        <v>90204</v>
      </c>
      <c r="E412">
        <v>22195</v>
      </c>
      <c r="F412">
        <v>0.48758849557522121</v>
      </c>
      <c r="G412">
        <v>0.6415929203539823</v>
      </c>
      <c r="H412">
        <v>6.1254984474607442E-2</v>
      </c>
      <c r="I412">
        <v>-4.3777579077717427E-3</v>
      </c>
    </row>
    <row r="413" spans="1:9" x14ac:dyDescent="0.25">
      <c r="A413" t="s">
        <v>194</v>
      </c>
      <c r="B413" s="12">
        <v>183</v>
      </c>
      <c r="C413">
        <v>22</v>
      </c>
      <c r="D413">
        <v>90187</v>
      </c>
      <c r="E413">
        <v>36623</v>
      </c>
      <c r="F413">
        <v>0.80641592920353977</v>
      </c>
      <c r="G413">
        <v>0.90265486725663713</v>
      </c>
      <c r="H413">
        <v>0.10625532142805071</v>
      </c>
      <c r="I413">
        <v>-5.5896047177666677E-2</v>
      </c>
    </row>
    <row r="414" spans="1:9" x14ac:dyDescent="0.25">
      <c r="A414" t="s">
        <v>205</v>
      </c>
      <c r="B414" s="12">
        <v>184</v>
      </c>
      <c r="C414">
        <v>36</v>
      </c>
      <c r="D414">
        <v>90055</v>
      </c>
      <c r="E414">
        <v>38648</v>
      </c>
      <c r="F414">
        <v>0.85112831858407079</v>
      </c>
      <c r="G414">
        <v>0.84070796460176989</v>
      </c>
      <c r="H414">
        <v>0.10915183186331209</v>
      </c>
      <c r="I414">
        <v>-8.2312864055797519E-2</v>
      </c>
    </row>
    <row r="415" spans="1:9" x14ac:dyDescent="0.25">
      <c r="A415" t="s">
        <v>242</v>
      </c>
      <c r="B415" s="12">
        <v>185</v>
      </c>
      <c r="C415">
        <v>59</v>
      </c>
      <c r="D415">
        <v>89901</v>
      </c>
      <c r="E415">
        <v>28937</v>
      </c>
      <c r="F415">
        <v>0.6373451327433628</v>
      </c>
      <c r="G415">
        <v>0.73893805309734517</v>
      </c>
      <c r="H415">
        <v>8.1106562890075146E-2</v>
      </c>
      <c r="I415">
        <v>-3.3780118955052868E-2</v>
      </c>
    </row>
    <row r="416" spans="1:9" x14ac:dyDescent="0.25">
      <c r="A416" t="s">
        <v>256</v>
      </c>
      <c r="B416" s="12">
        <v>186</v>
      </c>
      <c r="C416">
        <v>82</v>
      </c>
      <c r="D416">
        <v>89871</v>
      </c>
      <c r="E416">
        <v>23206</v>
      </c>
      <c r="F416">
        <v>0.51236725663716809</v>
      </c>
      <c r="G416">
        <v>0.63716814159292035</v>
      </c>
      <c r="H416">
        <v>6.5157764935863699E-2</v>
      </c>
      <c r="I416">
        <v>-2.1894761366021641E-4</v>
      </c>
    </row>
    <row r="417" spans="1:9" x14ac:dyDescent="0.25">
      <c r="A417" t="s">
        <v>264</v>
      </c>
      <c r="B417" s="12">
        <v>187</v>
      </c>
      <c r="C417">
        <v>108</v>
      </c>
      <c r="D417">
        <v>89698</v>
      </c>
      <c r="E417">
        <v>16564</v>
      </c>
      <c r="F417">
        <v>0.36482300884955748</v>
      </c>
      <c r="G417">
        <v>0.52212389380530977</v>
      </c>
      <c r="H417">
        <v>4.6470749233092037E-2</v>
      </c>
      <c r="I417">
        <v>3.2960665459039903E-2</v>
      </c>
    </row>
    <row r="418" spans="1:9" x14ac:dyDescent="0.25">
      <c r="A418" t="s">
        <v>203</v>
      </c>
      <c r="B418" s="12">
        <v>188</v>
      </c>
      <c r="C418">
        <v>38</v>
      </c>
      <c r="D418">
        <v>89516</v>
      </c>
      <c r="E418">
        <v>38411</v>
      </c>
      <c r="F418">
        <v>0.84603982300884961</v>
      </c>
      <c r="G418">
        <v>0.83185840707964598</v>
      </c>
      <c r="H418">
        <v>0.1085005505891351</v>
      </c>
      <c r="I418">
        <v>-8.1527881902523913E-2</v>
      </c>
    </row>
    <row r="419" spans="1:9" x14ac:dyDescent="0.25">
      <c r="A419" t="s">
        <v>243</v>
      </c>
      <c r="B419" s="12">
        <v>189</v>
      </c>
      <c r="C419">
        <v>80</v>
      </c>
      <c r="D419">
        <v>89332</v>
      </c>
      <c r="E419">
        <v>22754</v>
      </c>
      <c r="F419">
        <v>0.5011504424778761</v>
      </c>
      <c r="G419">
        <v>0.64601769911504425</v>
      </c>
      <c r="H419">
        <v>6.3837482258975425E-2</v>
      </c>
      <c r="I419">
        <v>-2.9969959703966402E-4</v>
      </c>
    </row>
    <row r="420" spans="1:9" x14ac:dyDescent="0.25">
      <c r="A420" t="s">
        <v>216</v>
      </c>
      <c r="B420" s="12">
        <v>190</v>
      </c>
      <c r="C420">
        <v>49</v>
      </c>
      <c r="D420">
        <v>89328</v>
      </c>
      <c r="E420">
        <v>37120</v>
      </c>
      <c r="F420">
        <v>0.81765486725663716</v>
      </c>
      <c r="G420">
        <v>0.7831858407079646</v>
      </c>
      <c r="H420">
        <v>0.10409995815385879</v>
      </c>
      <c r="I420">
        <v>-7.5756406227550407E-2</v>
      </c>
    </row>
    <row r="421" spans="1:9" x14ac:dyDescent="0.25">
      <c r="A421" t="s">
        <v>6</v>
      </c>
      <c r="B421" s="12">
        <v>191</v>
      </c>
      <c r="C421">
        <v>53</v>
      </c>
      <c r="D421">
        <v>89327</v>
      </c>
      <c r="E421">
        <v>29021</v>
      </c>
      <c r="F421">
        <v>0.63882743362831862</v>
      </c>
      <c r="G421">
        <v>0.76548672566371678</v>
      </c>
      <c r="H421">
        <v>8.3136845323080744E-2</v>
      </c>
      <c r="I421">
        <v>-2.6562568668402779E-2</v>
      </c>
    </row>
    <row r="422" spans="1:9" x14ac:dyDescent="0.25">
      <c r="A422" t="s">
        <v>232</v>
      </c>
      <c r="B422" s="12">
        <v>192</v>
      </c>
      <c r="C422">
        <v>80</v>
      </c>
      <c r="D422">
        <v>89265</v>
      </c>
      <c r="E422">
        <v>23350</v>
      </c>
      <c r="F422">
        <v>0.51340707964601773</v>
      </c>
      <c r="G422">
        <v>0.64601769911504425</v>
      </c>
      <c r="H422">
        <v>6.5480947156071861E-2</v>
      </c>
      <c r="I422">
        <v>-2.5966467655371209E-3</v>
      </c>
    </row>
    <row r="423" spans="1:9" x14ac:dyDescent="0.25">
      <c r="A423" t="s">
        <v>266</v>
      </c>
      <c r="B423" s="12">
        <v>193</v>
      </c>
      <c r="C423">
        <v>105</v>
      </c>
      <c r="D423">
        <v>89177</v>
      </c>
      <c r="E423">
        <v>17522</v>
      </c>
      <c r="F423">
        <v>0.3856194690265487</v>
      </c>
      <c r="G423">
        <v>0.53539823008849563</v>
      </c>
      <c r="H423">
        <v>4.563617710826879E-2</v>
      </c>
      <c r="I423">
        <v>2.1257039992844499E-3</v>
      </c>
    </row>
    <row r="424" spans="1:9" x14ac:dyDescent="0.25">
      <c r="A424" t="s">
        <v>165</v>
      </c>
      <c r="B424" s="12">
        <v>194</v>
      </c>
      <c r="C424">
        <v>77</v>
      </c>
      <c r="D424">
        <v>89057</v>
      </c>
      <c r="E424">
        <v>23555</v>
      </c>
      <c r="F424">
        <v>0.51798672566371684</v>
      </c>
      <c r="G424">
        <v>0.65929203539823011</v>
      </c>
      <c r="H424">
        <v>6.6069481235827926E-2</v>
      </c>
      <c r="I424">
        <v>-4.4610179181952684E-3</v>
      </c>
    </row>
    <row r="425" spans="1:9" x14ac:dyDescent="0.25">
      <c r="A425" t="s">
        <v>231</v>
      </c>
      <c r="B425" s="12">
        <v>195</v>
      </c>
      <c r="C425">
        <v>52</v>
      </c>
      <c r="D425">
        <v>89050</v>
      </c>
      <c r="E425">
        <v>31881</v>
      </c>
      <c r="F425">
        <v>0.70225663716814157</v>
      </c>
      <c r="G425">
        <v>0.76991150442477874</v>
      </c>
      <c r="H425">
        <v>8.9382863948660796E-2</v>
      </c>
      <c r="I425">
        <v>-4.9442640562239293E-2</v>
      </c>
    </row>
    <row r="426" spans="1:9" x14ac:dyDescent="0.25">
      <c r="A426" t="s">
        <v>233</v>
      </c>
      <c r="B426" s="12">
        <v>196</v>
      </c>
      <c r="C426">
        <v>63</v>
      </c>
      <c r="D426">
        <v>88974</v>
      </c>
      <c r="E426">
        <v>28865</v>
      </c>
      <c r="F426">
        <v>0.63575221238938051</v>
      </c>
      <c r="G426">
        <v>0.72123893805309736</v>
      </c>
      <c r="H426">
        <v>8.097169723775019E-2</v>
      </c>
      <c r="I426">
        <v>-3.2551016334604083E-2</v>
      </c>
    </row>
    <row r="427" spans="1:9" x14ac:dyDescent="0.25">
      <c r="A427" t="s">
        <v>262</v>
      </c>
      <c r="B427" s="12">
        <v>197</v>
      </c>
      <c r="C427">
        <v>83</v>
      </c>
      <c r="D427">
        <v>88930</v>
      </c>
      <c r="E427">
        <v>22615</v>
      </c>
      <c r="F427">
        <v>0.49825221238938061</v>
      </c>
      <c r="G427">
        <v>0.63274336283185839</v>
      </c>
      <c r="H427">
        <v>6.3547803704365538E-2</v>
      </c>
      <c r="I427">
        <v>1.3356033826986741E-3</v>
      </c>
    </row>
    <row r="428" spans="1:9" x14ac:dyDescent="0.25">
      <c r="A428" t="s">
        <v>170</v>
      </c>
      <c r="B428" s="12">
        <v>198</v>
      </c>
      <c r="C428">
        <v>71</v>
      </c>
      <c r="D428">
        <v>88914</v>
      </c>
      <c r="E428">
        <v>23853</v>
      </c>
      <c r="F428">
        <v>0.52533185840707963</v>
      </c>
      <c r="G428">
        <v>0.68584070796460173</v>
      </c>
      <c r="H428">
        <v>6.7174208809732017E-2</v>
      </c>
      <c r="I428">
        <v>-4.4541451057816357E-3</v>
      </c>
    </row>
    <row r="429" spans="1:9" x14ac:dyDescent="0.25">
      <c r="A429" t="s">
        <v>271</v>
      </c>
      <c r="B429" s="12">
        <v>199</v>
      </c>
      <c r="C429">
        <v>159</v>
      </c>
      <c r="D429">
        <v>88870</v>
      </c>
      <c r="E429">
        <v>11485</v>
      </c>
      <c r="F429">
        <v>0.25022123893805309</v>
      </c>
      <c r="G429">
        <v>0.29646017699115051</v>
      </c>
      <c r="H429">
        <v>3.1941967990792547E-2</v>
      </c>
      <c r="I429">
        <v>7.5128904488615242E-2</v>
      </c>
    </row>
    <row r="430" spans="1:9" x14ac:dyDescent="0.25">
      <c r="A430" t="s">
        <v>19</v>
      </c>
      <c r="B430" s="12">
        <v>200</v>
      </c>
      <c r="C430">
        <v>85</v>
      </c>
      <c r="D430">
        <v>88636</v>
      </c>
      <c r="E430">
        <v>22710</v>
      </c>
      <c r="F430">
        <v>0.50028761061946903</v>
      </c>
      <c r="G430">
        <v>0.62389380530973448</v>
      </c>
      <c r="H430">
        <v>6.3572155826339696E-2</v>
      </c>
      <c r="I430">
        <v>-9.4735603953035273E-4</v>
      </c>
    </row>
    <row r="431" spans="1:9" x14ac:dyDescent="0.25">
      <c r="A431" t="s">
        <v>167</v>
      </c>
      <c r="B431" s="12">
        <v>201</v>
      </c>
      <c r="C431">
        <v>77</v>
      </c>
      <c r="D431">
        <v>88552</v>
      </c>
      <c r="E431">
        <v>23365</v>
      </c>
      <c r="F431">
        <v>0.51338495575221244</v>
      </c>
      <c r="G431">
        <v>0.65929203539823011</v>
      </c>
      <c r="H431">
        <v>6.555086703589165E-2</v>
      </c>
      <c r="I431">
        <v>-2.9932763122120011E-3</v>
      </c>
    </row>
    <row r="432" spans="1:9" x14ac:dyDescent="0.25">
      <c r="A432" t="s">
        <v>237</v>
      </c>
      <c r="B432" s="12">
        <v>202</v>
      </c>
      <c r="C432">
        <v>48</v>
      </c>
      <c r="D432">
        <v>88520</v>
      </c>
      <c r="E432">
        <v>34813</v>
      </c>
      <c r="F432">
        <v>0.76674778761061946</v>
      </c>
      <c r="G432">
        <v>0.78761061946902655</v>
      </c>
      <c r="H432">
        <v>9.769885783500025E-2</v>
      </c>
      <c r="I432">
        <v>-6.4027746065658322E-2</v>
      </c>
    </row>
    <row r="433" spans="1:9" x14ac:dyDescent="0.25">
      <c r="A433" t="s">
        <v>248</v>
      </c>
      <c r="B433" s="12">
        <v>203</v>
      </c>
      <c r="C433">
        <v>83</v>
      </c>
      <c r="D433">
        <v>88440</v>
      </c>
      <c r="E433">
        <v>22682</v>
      </c>
      <c r="F433">
        <v>0.49969026548672568</v>
      </c>
      <c r="G433">
        <v>0.63274336283185839</v>
      </c>
      <c r="H433">
        <v>6.365565666896951E-2</v>
      </c>
      <c r="I433">
        <v>3.005391118819391E-4</v>
      </c>
    </row>
    <row r="434" spans="1:9" x14ac:dyDescent="0.25">
      <c r="A434" t="s">
        <v>182</v>
      </c>
      <c r="B434" s="12">
        <v>204</v>
      </c>
      <c r="C434">
        <v>18</v>
      </c>
      <c r="D434">
        <v>88386</v>
      </c>
      <c r="E434">
        <v>39943</v>
      </c>
      <c r="F434">
        <v>0.87960176991150441</v>
      </c>
      <c r="G434">
        <v>0.92035398230088494</v>
      </c>
      <c r="H434">
        <v>0.112014568719821</v>
      </c>
      <c r="I434">
        <v>-9.2202111742286236E-2</v>
      </c>
    </row>
    <row r="435" spans="1:9" x14ac:dyDescent="0.25">
      <c r="A435" t="s">
        <v>198</v>
      </c>
      <c r="B435" s="12">
        <v>205</v>
      </c>
      <c r="C435">
        <v>35</v>
      </c>
      <c r="D435">
        <v>88330</v>
      </c>
      <c r="E435">
        <v>38628</v>
      </c>
      <c r="F435">
        <v>0.85073008849557519</v>
      </c>
      <c r="G435">
        <v>0.84513274336283184</v>
      </c>
      <c r="H435">
        <v>0.1090298028972428</v>
      </c>
      <c r="I435">
        <v>-8.2340546732693587E-2</v>
      </c>
    </row>
    <row r="436" spans="1:9" x14ac:dyDescent="0.25">
      <c r="A436" t="s">
        <v>188</v>
      </c>
      <c r="B436" s="12">
        <v>206</v>
      </c>
      <c r="C436">
        <v>44</v>
      </c>
      <c r="D436">
        <v>88135</v>
      </c>
      <c r="E436">
        <v>35207</v>
      </c>
      <c r="F436">
        <v>0.77650442477876103</v>
      </c>
      <c r="G436">
        <v>0.80530973451327437</v>
      </c>
      <c r="H436">
        <v>9.8853502261780565E-2</v>
      </c>
      <c r="I436">
        <v>-6.4191502370106707E-2</v>
      </c>
    </row>
    <row r="437" spans="1:9" x14ac:dyDescent="0.25">
      <c r="A437" t="s">
        <v>183</v>
      </c>
      <c r="B437" s="12">
        <v>207</v>
      </c>
      <c r="C437">
        <v>11</v>
      </c>
      <c r="D437">
        <v>88051</v>
      </c>
      <c r="E437">
        <v>40841</v>
      </c>
      <c r="F437">
        <v>0.89960176991150442</v>
      </c>
      <c r="G437">
        <v>0.95132743362831862</v>
      </c>
      <c r="H437">
        <v>0.1145805645594748</v>
      </c>
      <c r="I437">
        <v>-9.5648528825151111E-2</v>
      </c>
    </row>
    <row r="438" spans="1:9" x14ac:dyDescent="0.25">
      <c r="A438" t="s">
        <v>244</v>
      </c>
      <c r="B438" s="12">
        <v>208</v>
      </c>
      <c r="C438">
        <v>54</v>
      </c>
      <c r="D438">
        <v>88020</v>
      </c>
      <c r="E438">
        <v>36767</v>
      </c>
      <c r="F438">
        <v>0.81008849557522122</v>
      </c>
      <c r="G438">
        <v>0.76106194690265483</v>
      </c>
      <c r="H438">
        <v>9.9361283778051895E-2</v>
      </c>
      <c r="I438">
        <v>-8.8618321397725616E-2</v>
      </c>
    </row>
    <row r="439" spans="1:9" x14ac:dyDescent="0.25">
      <c r="A439" t="s">
        <v>253</v>
      </c>
      <c r="B439" s="12">
        <v>209</v>
      </c>
      <c r="C439">
        <v>80</v>
      </c>
      <c r="D439">
        <v>87940</v>
      </c>
      <c r="E439">
        <v>27110</v>
      </c>
      <c r="F439">
        <v>0.59590707964601775</v>
      </c>
      <c r="G439">
        <v>0.64601769911504425</v>
      </c>
      <c r="H439">
        <v>8.43802760787907E-2</v>
      </c>
      <c r="I439">
        <v>3.4212183234466502E-2</v>
      </c>
    </row>
    <row r="440" spans="1:9" x14ac:dyDescent="0.25">
      <c r="A440" t="s">
        <v>17</v>
      </c>
      <c r="B440" s="12">
        <v>210</v>
      </c>
      <c r="C440">
        <v>79</v>
      </c>
      <c r="D440">
        <v>87904</v>
      </c>
      <c r="E440">
        <v>22762</v>
      </c>
      <c r="F440">
        <v>0.50165929203539827</v>
      </c>
      <c r="G440">
        <v>0.65044247787610621</v>
      </c>
      <c r="H440">
        <v>6.3769201184269236E-2</v>
      </c>
      <c r="I440">
        <v>-4.4854308195889299E-4</v>
      </c>
    </row>
    <row r="441" spans="1:9" x14ac:dyDescent="0.25">
      <c r="A441" t="s">
        <v>201</v>
      </c>
      <c r="B441" s="12">
        <v>211</v>
      </c>
      <c r="C441">
        <v>41</v>
      </c>
      <c r="D441">
        <v>87558</v>
      </c>
      <c r="E441">
        <v>38548</v>
      </c>
      <c r="F441">
        <v>0.84909292035398232</v>
      </c>
      <c r="G441">
        <v>0.81858407079646023</v>
      </c>
      <c r="H441">
        <v>0.10887230849485451</v>
      </c>
      <c r="I441">
        <v>-8.0693692394956232E-2</v>
      </c>
    </row>
    <row r="442" spans="1:9" x14ac:dyDescent="0.25">
      <c r="A442" t="s">
        <v>210</v>
      </c>
      <c r="B442" s="12">
        <v>212</v>
      </c>
      <c r="C442">
        <v>18</v>
      </c>
      <c r="D442">
        <v>87545</v>
      </c>
      <c r="E442">
        <v>40492</v>
      </c>
      <c r="F442">
        <v>0.89227876106194692</v>
      </c>
      <c r="G442">
        <v>0.92035398230088494</v>
      </c>
      <c r="H442">
        <v>0.113648747013828</v>
      </c>
      <c r="I442">
        <v>-9.3216230267977623E-2</v>
      </c>
    </row>
    <row r="443" spans="1:9" x14ac:dyDescent="0.25">
      <c r="A443" t="s">
        <v>257</v>
      </c>
      <c r="B443" s="12">
        <v>213</v>
      </c>
      <c r="C443">
        <v>56</v>
      </c>
      <c r="D443">
        <v>87496</v>
      </c>
      <c r="E443">
        <v>36073</v>
      </c>
      <c r="F443">
        <v>0.79484513274336288</v>
      </c>
      <c r="G443">
        <v>0.75221238938053092</v>
      </c>
      <c r="H443">
        <v>9.6410808814628796E-2</v>
      </c>
      <c r="I443">
        <v>-8.8954862422861228E-2</v>
      </c>
    </row>
    <row r="444" spans="1:9" x14ac:dyDescent="0.25">
      <c r="A444" t="s">
        <v>175</v>
      </c>
      <c r="B444" s="12">
        <v>214</v>
      </c>
      <c r="C444">
        <v>20</v>
      </c>
      <c r="D444">
        <v>87386</v>
      </c>
      <c r="E444">
        <v>40392</v>
      </c>
      <c r="F444">
        <v>0.88977876106194687</v>
      </c>
      <c r="G444">
        <v>0.91150442477876104</v>
      </c>
      <c r="H444">
        <v>0.1134477488763348</v>
      </c>
      <c r="I444">
        <v>-9.2438794129151486E-2</v>
      </c>
    </row>
    <row r="445" spans="1:9" x14ac:dyDescent="0.25">
      <c r="A445" t="s">
        <v>251</v>
      </c>
      <c r="B445" s="12">
        <v>215</v>
      </c>
      <c r="C445">
        <v>76</v>
      </c>
      <c r="D445">
        <v>87356</v>
      </c>
      <c r="E445">
        <v>22621</v>
      </c>
      <c r="F445">
        <v>0.49831858407079638</v>
      </c>
      <c r="G445">
        <v>0.66371681415929207</v>
      </c>
      <c r="H445">
        <v>6.3447645693906485E-2</v>
      </c>
      <c r="I445">
        <v>6.6479215128162583E-5</v>
      </c>
    </row>
    <row r="446" spans="1:9" x14ac:dyDescent="0.25">
      <c r="A446" t="s">
        <v>239</v>
      </c>
      <c r="B446" s="12">
        <v>216</v>
      </c>
      <c r="C446">
        <v>20</v>
      </c>
      <c r="D446">
        <v>87195</v>
      </c>
      <c r="E446">
        <v>40275</v>
      </c>
      <c r="F446">
        <v>0.8869690265486726</v>
      </c>
      <c r="G446">
        <v>0.91150442477876104</v>
      </c>
      <c r="H446">
        <v>0.1130955059679201</v>
      </c>
      <c r="I446">
        <v>-9.2298284337702735E-2</v>
      </c>
    </row>
    <row r="447" spans="1:9" x14ac:dyDescent="0.25">
      <c r="A447" t="s">
        <v>270</v>
      </c>
      <c r="B447" s="12">
        <v>217</v>
      </c>
      <c r="C447">
        <v>58</v>
      </c>
      <c r="D447">
        <v>87142</v>
      </c>
      <c r="E447">
        <v>30949</v>
      </c>
      <c r="F447">
        <v>0.68230088495575225</v>
      </c>
      <c r="G447">
        <v>0.74336283185840712</v>
      </c>
      <c r="H447">
        <v>8.2484848802164903E-2</v>
      </c>
      <c r="I447">
        <v>-6.2872166719871586E-2</v>
      </c>
    </row>
    <row r="448" spans="1:9" x14ac:dyDescent="0.25">
      <c r="A448" t="s">
        <v>193</v>
      </c>
      <c r="B448" s="12">
        <v>218</v>
      </c>
      <c r="C448">
        <v>19</v>
      </c>
      <c r="D448">
        <v>87028</v>
      </c>
      <c r="E448">
        <v>40832</v>
      </c>
      <c r="F448">
        <v>0.89946902654867256</v>
      </c>
      <c r="G448">
        <v>0.91592920353982299</v>
      </c>
      <c r="H448">
        <v>0.1145916802709602</v>
      </c>
      <c r="I448">
        <v>-9.6060459648321661E-2</v>
      </c>
    </row>
    <row r="449" spans="1:9" x14ac:dyDescent="0.25">
      <c r="A449" t="s">
        <v>274</v>
      </c>
      <c r="B449" s="12">
        <v>219</v>
      </c>
      <c r="C449">
        <v>74</v>
      </c>
      <c r="D449">
        <v>86945</v>
      </c>
      <c r="E449">
        <v>25631</v>
      </c>
      <c r="F449">
        <v>0.5648008849557522</v>
      </c>
      <c r="G449">
        <v>0.67256637168141598</v>
      </c>
      <c r="H449">
        <v>6.3335205356353425E-2</v>
      </c>
      <c r="I449">
        <v>-6.6173854837659724E-2</v>
      </c>
    </row>
    <row r="450" spans="1:9" x14ac:dyDescent="0.25">
      <c r="A450" t="s">
        <v>181</v>
      </c>
      <c r="B450" s="12">
        <v>220</v>
      </c>
      <c r="C450">
        <v>51</v>
      </c>
      <c r="D450">
        <v>86901</v>
      </c>
      <c r="E450">
        <v>36947</v>
      </c>
      <c r="F450">
        <v>0.81409292035398229</v>
      </c>
      <c r="G450">
        <v>0.77433628318584069</v>
      </c>
      <c r="H450">
        <v>0.1030290072151866</v>
      </c>
      <c r="I450">
        <v>-7.9287803595236753E-2</v>
      </c>
    </row>
    <row r="451" spans="1:9" x14ac:dyDescent="0.25">
      <c r="A451" t="s">
        <v>267</v>
      </c>
      <c r="B451" s="12">
        <v>221</v>
      </c>
      <c r="C451">
        <v>76</v>
      </c>
      <c r="D451">
        <v>86628</v>
      </c>
      <c r="E451">
        <v>25743</v>
      </c>
      <c r="F451">
        <v>0.56732300884955755</v>
      </c>
      <c r="G451">
        <v>0.66371681415929207</v>
      </c>
      <c r="H451">
        <v>6.3901570472187086E-2</v>
      </c>
      <c r="I451">
        <v>-6.57289670818932E-2</v>
      </c>
    </row>
    <row r="452" spans="1:9" x14ac:dyDescent="0.25">
      <c r="A452" t="s">
        <v>249</v>
      </c>
      <c r="B452" s="12">
        <v>222</v>
      </c>
      <c r="C452">
        <v>42</v>
      </c>
      <c r="D452">
        <v>86616</v>
      </c>
      <c r="E452">
        <v>37261</v>
      </c>
      <c r="F452">
        <v>0.82084070796460173</v>
      </c>
      <c r="G452">
        <v>0.81415929203539827</v>
      </c>
      <c r="H452">
        <v>0.1044986769193897</v>
      </c>
      <c r="I452">
        <v>-7.6752474089498104E-2</v>
      </c>
    </row>
    <row r="453" spans="1:9" x14ac:dyDescent="0.25">
      <c r="A453" t="s">
        <v>260</v>
      </c>
      <c r="B453" s="12">
        <v>223</v>
      </c>
      <c r="C453">
        <v>78</v>
      </c>
      <c r="D453">
        <v>86519</v>
      </c>
      <c r="E453">
        <v>25649</v>
      </c>
      <c r="F453">
        <v>0.56522123893805309</v>
      </c>
      <c r="G453">
        <v>0.65486725663716816</v>
      </c>
      <c r="H453">
        <v>6.3417721330209259E-2</v>
      </c>
      <c r="I453">
        <v>-6.5428590010045959E-2</v>
      </c>
    </row>
    <row r="454" spans="1:9" x14ac:dyDescent="0.25">
      <c r="A454" t="s">
        <v>273</v>
      </c>
      <c r="B454" s="12">
        <v>224</v>
      </c>
      <c r="C454">
        <v>56</v>
      </c>
      <c r="D454">
        <v>86323</v>
      </c>
      <c r="E454">
        <v>31815</v>
      </c>
      <c r="F454">
        <v>0.70115044247787606</v>
      </c>
      <c r="G454">
        <v>0.75221238938053092</v>
      </c>
      <c r="H454">
        <v>8.1747259270300257E-2</v>
      </c>
      <c r="I454">
        <v>-8.3586252108794931E-2</v>
      </c>
    </row>
    <row r="455" spans="1:9" x14ac:dyDescent="0.25">
      <c r="A455" t="s">
        <v>246</v>
      </c>
      <c r="B455" s="12">
        <v>225</v>
      </c>
      <c r="C455">
        <v>44</v>
      </c>
      <c r="D455">
        <v>86121</v>
      </c>
      <c r="E455">
        <v>38063</v>
      </c>
      <c r="F455">
        <v>0.83889380530973456</v>
      </c>
      <c r="G455">
        <v>0.80530973451327437</v>
      </c>
      <c r="H455">
        <v>0.1038518507640749</v>
      </c>
      <c r="I455">
        <v>-9.6712450278184758E-2</v>
      </c>
    </row>
    <row r="456" spans="1:9" x14ac:dyDescent="0.25">
      <c r="A456" t="s">
        <v>207</v>
      </c>
      <c r="B456" s="12">
        <v>226</v>
      </c>
      <c r="C456">
        <v>20</v>
      </c>
      <c r="D456">
        <v>85978</v>
      </c>
      <c r="E456">
        <v>40379</v>
      </c>
      <c r="F456">
        <v>0.88942477876106196</v>
      </c>
      <c r="G456">
        <v>0.91150442477876104</v>
      </c>
      <c r="H456">
        <v>0.11324136890917801</v>
      </c>
      <c r="I456">
        <v>-9.4187421185728121E-2</v>
      </c>
    </row>
    <row r="457" spans="1:9" x14ac:dyDescent="0.25">
      <c r="A457" t="s">
        <v>227</v>
      </c>
      <c r="B457" s="12">
        <v>227</v>
      </c>
      <c r="C457">
        <v>20</v>
      </c>
      <c r="D457">
        <v>85869</v>
      </c>
      <c r="E457">
        <v>40663</v>
      </c>
      <c r="F457">
        <v>0.89577433628318581</v>
      </c>
      <c r="G457">
        <v>0.91150442477876104</v>
      </c>
      <c r="H457">
        <v>0.11393011711135249</v>
      </c>
      <c r="I457">
        <v>-9.5149243923210669E-2</v>
      </c>
    </row>
    <row r="459" spans="1:9" x14ac:dyDescent="0.25">
      <c r="A459" s="12" t="s">
        <v>0</v>
      </c>
      <c r="C459" s="12" t="s">
        <v>1</v>
      </c>
      <c r="D459" s="12" t="s">
        <v>2</v>
      </c>
      <c r="E459" s="12" t="s">
        <v>3</v>
      </c>
      <c r="F459" s="12" t="s">
        <v>281</v>
      </c>
      <c r="G459" s="12" t="s">
        <v>282</v>
      </c>
      <c r="H459" s="12" t="s">
        <v>283</v>
      </c>
      <c r="I459" s="12" t="s">
        <v>284</v>
      </c>
    </row>
    <row r="460" spans="1:9" x14ac:dyDescent="0.25">
      <c r="A460" t="s">
        <v>96</v>
      </c>
      <c r="B460" s="12">
        <v>1</v>
      </c>
      <c r="C460">
        <v>130</v>
      </c>
      <c r="D460">
        <v>107000</v>
      </c>
      <c r="E460">
        <v>20085</v>
      </c>
      <c r="F460">
        <v>0.44050884955752212</v>
      </c>
      <c r="G460">
        <v>0.4247787610619469</v>
      </c>
      <c r="H460">
        <v>6.5714055094324625E-2</v>
      </c>
      <c r="I460">
        <v>3.2058673614914678E-2</v>
      </c>
    </row>
    <row r="461" spans="1:9" x14ac:dyDescent="0.25">
      <c r="A461" t="s">
        <v>91</v>
      </c>
      <c r="B461" s="12">
        <v>2</v>
      </c>
      <c r="C461">
        <v>125</v>
      </c>
      <c r="D461">
        <v>105403</v>
      </c>
      <c r="E461">
        <v>15116</v>
      </c>
      <c r="F461">
        <v>0.33316371681415929</v>
      </c>
      <c r="G461">
        <v>0.44690265486725661</v>
      </c>
      <c r="H461">
        <v>4.2303168968227611E-2</v>
      </c>
      <c r="I461">
        <v>-7.2508128666226937E-4</v>
      </c>
    </row>
    <row r="462" spans="1:9" x14ac:dyDescent="0.25">
      <c r="A462" t="s">
        <v>109</v>
      </c>
      <c r="B462" s="12">
        <v>3</v>
      </c>
      <c r="C462">
        <v>121</v>
      </c>
      <c r="D462">
        <v>105232</v>
      </c>
      <c r="E462">
        <v>15304</v>
      </c>
      <c r="F462">
        <v>0.33528761061946899</v>
      </c>
      <c r="G462">
        <v>0.46460176991150443</v>
      </c>
      <c r="H462">
        <v>4.575857337414669E-2</v>
      </c>
      <c r="I462">
        <v>3.1831807313733237E-2</v>
      </c>
    </row>
    <row r="463" spans="1:9" x14ac:dyDescent="0.25">
      <c r="A463" t="s">
        <v>14</v>
      </c>
      <c r="B463" s="12">
        <v>4</v>
      </c>
      <c r="C463">
        <v>148</v>
      </c>
      <c r="D463">
        <v>104322</v>
      </c>
      <c r="E463">
        <v>13182</v>
      </c>
      <c r="F463">
        <v>0.29115044247787608</v>
      </c>
      <c r="G463">
        <v>0.34513274336283178</v>
      </c>
      <c r="H463">
        <v>3.7842857030445577E-2</v>
      </c>
      <c r="I463">
        <v>1.9432051412562809E-2</v>
      </c>
    </row>
    <row r="464" spans="1:9" x14ac:dyDescent="0.25">
      <c r="A464" t="s">
        <v>4</v>
      </c>
      <c r="B464" s="12">
        <v>5</v>
      </c>
      <c r="C464">
        <v>80</v>
      </c>
      <c r="D464">
        <v>104317</v>
      </c>
      <c r="E464">
        <v>21987</v>
      </c>
      <c r="F464">
        <v>0.4834070796460177</v>
      </c>
      <c r="G464">
        <v>0.64601769911504425</v>
      </c>
      <c r="H464">
        <v>6.1123638599596533E-2</v>
      </c>
      <c r="I464">
        <v>-4.5176396605927323E-2</v>
      </c>
    </row>
    <row r="465" spans="1:9" x14ac:dyDescent="0.25">
      <c r="A465" t="s">
        <v>70</v>
      </c>
      <c r="B465" s="12">
        <v>6</v>
      </c>
      <c r="C465">
        <v>111</v>
      </c>
      <c r="D465">
        <v>102943</v>
      </c>
      <c r="E465">
        <v>17730</v>
      </c>
      <c r="F465">
        <v>0.38951327433628319</v>
      </c>
      <c r="G465">
        <v>0.50884955752212391</v>
      </c>
      <c r="H465">
        <v>5.2397249221836813E-2</v>
      </c>
      <c r="I465">
        <v>2.0692666325213709E-2</v>
      </c>
    </row>
    <row r="466" spans="1:9" x14ac:dyDescent="0.25">
      <c r="A466" t="s">
        <v>81</v>
      </c>
      <c r="B466" s="12">
        <v>7</v>
      </c>
      <c r="C466">
        <v>159</v>
      </c>
      <c r="D466">
        <v>102637</v>
      </c>
      <c r="E466">
        <v>13022</v>
      </c>
      <c r="F466">
        <v>0.28734513274336282</v>
      </c>
      <c r="G466">
        <v>0.29646017699115051</v>
      </c>
      <c r="H466">
        <v>3.968064949170208E-2</v>
      </c>
      <c r="I466">
        <v>5.285842539689678E-2</v>
      </c>
    </row>
    <row r="467" spans="1:9" x14ac:dyDescent="0.25">
      <c r="A467" t="s">
        <v>111</v>
      </c>
      <c r="B467" s="12">
        <v>8</v>
      </c>
      <c r="C467">
        <v>108</v>
      </c>
      <c r="D467">
        <v>102376</v>
      </c>
      <c r="E467">
        <v>22891</v>
      </c>
      <c r="F467">
        <v>0.50249999999999995</v>
      </c>
      <c r="G467">
        <v>0.52212389380530977</v>
      </c>
      <c r="H467">
        <v>7.6714799921142232E-2</v>
      </c>
      <c r="I467">
        <v>4.2234938541170081E-2</v>
      </c>
    </row>
    <row r="468" spans="1:9" x14ac:dyDescent="0.25">
      <c r="A468" t="s">
        <v>83</v>
      </c>
      <c r="B468" s="12">
        <v>9</v>
      </c>
      <c r="C468">
        <v>115</v>
      </c>
      <c r="D468">
        <v>102073</v>
      </c>
      <c r="E468">
        <v>19925</v>
      </c>
      <c r="F468">
        <v>0.43681415929203538</v>
      </c>
      <c r="G468">
        <v>0.49115044247787609</v>
      </c>
      <c r="H468">
        <v>6.724735150264273E-2</v>
      </c>
      <c r="I468">
        <v>5.365615532515694E-2</v>
      </c>
    </row>
    <row r="469" spans="1:9" x14ac:dyDescent="0.25">
      <c r="A469" t="s">
        <v>71</v>
      </c>
      <c r="B469" s="12">
        <v>10</v>
      </c>
      <c r="C469">
        <v>175</v>
      </c>
      <c r="D469">
        <v>101729</v>
      </c>
      <c r="E469">
        <v>13337</v>
      </c>
      <c r="F469">
        <v>0.29219026548672572</v>
      </c>
      <c r="G469">
        <v>0.22566371681415931</v>
      </c>
      <c r="H469">
        <v>4.2781664864068029E-2</v>
      </c>
      <c r="I469">
        <v>5.9422968466222761E-2</v>
      </c>
    </row>
    <row r="470" spans="1:9" x14ac:dyDescent="0.25">
      <c r="A470" t="s">
        <v>76</v>
      </c>
      <c r="B470" s="12">
        <v>11</v>
      </c>
      <c r="C470">
        <v>186</v>
      </c>
      <c r="D470">
        <v>101631</v>
      </c>
      <c r="E470">
        <v>12947</v>
      </c>
      <c r="F470">
        <v>0.28575221238938048</v>
      </c>
      <c r="G470">
        <v>0.1769911504424779</v>
      </c>
      <c r="H470">
        <v>4.3730592192828009E-2</v>
      </c>
      <c r="I470">
        <v>9.2634681074424505E-2</v>
      </c>
    </row>
    <row r="471" spans="1:9" x14ac:dyDescent="0.25">
      <c r="A471" t="s">
        <v>134</v>
      </c>
      <c r="B471" s="12">
        <v>12</v>
      </c>
      <c r="C471">
        <v>85</v>
      </c>
      <c r="D471">
        <v>101506</v>
      </c>
      <c r="E471">
        <v>25604</v>
      </c>
      <c r="F471">
        <v>0.56258849557522128</v>
      </c>
      <c r="G471">
        <v>0.62389380530973448</v>
      </c>
      <c r="H471">
        <v>8.526950614892545E-2</v>
      </c>
      <c r="I471">
        <v>3.2709564451359557E-2</v>
      </c>
    </row>
    <row r="472" spans="1:9" x14ac:dyDescent="0.25">
      <c r="A472" t="s">
        <v>82</v>
      </c>
      <c r="B472" s="12">
        <v>13</v>
      </c>
      <c r="C472">
        <v>111</v>
      </c>
      <c r="D472">
        <v>101435</v>
      </c>
      <c r="E472">
        <v>22265</v>
      </c>
      <c r="F472">
        <v>0.4893805309734513</v>
      </c>
      <c r="G472">
        <v>0.50884955752212391</v>
      </c>
      <c r="H472">
        <v>7.0737390442039458E-2</v>
      </c>
      <c r="I472">
        <v>3.6490385729516017E-2</v>
      </c>
    </row>
    <row r="473" spans="1:9" x14ac:dyDescent="0.25">
      <c r="A473" t="s">
        <v>89</v>
      </c>
      <c r="B473" s="12">
        <v>14</v>
      </c>
      <c r="C473">
        <v>200</v>
      </c>
      <c r="D473">
        <v>101259</v>
      </c>
      <c r="E473">
        <v>8224</v>
      </c>
      <c r="F473">
        <v>0.18088495575221239</v>
      </c>
      <c r="G473">
        <v>0.1150442477876106</v>
      </c>
      <c r="H473">
        <v>2.5564613905486689E-2</v>
      </c>
      <c r="I473">
        <v>8.5291360406578212E-2</v>
      </c>
    </row>
    <row r="474" spans="1:9" x14ac:dyDescent="0.25">
      <c r="A474" t="s">
        <v>98</v>
      </c>
      <c r="B474" s="12">
        <v>15</v>
      </c>
      <c r="C474">
        <v>152</v>
      </c>
      <c r="D474">
        <v>101020</v>
      </c>
      <c r="E474">
        <v>20878</v>
      </c>
      <c r="F474">
        <v>0.45836283185840709</v>
      </c>
      <c r="G474">
        <v>0.32743362831858408</v>
      </c>
      <c r="H474">
        <v>6.976232673558827E-2</v>
      </c>
      <c r="I474">
        <v>6.2650712940362396E-2</v>
      </c>
    </row>
    <row r="475" spans="1:9" x14ac:dyDescent="0.25">
      <c r="A475" t="s">
        <v>135</v>
      </c>
      <c r="B475" s="12">
        <v>16</v>
      </c>
      <c r="C475">
        <v>24</v>
      </c>
      <c r="D475">
        <v>100989</v>
      </c>
      <c r="E475">
        <v>28815</v>
      </c>
      <c r="F475">
        <v>0.6334734513274336</v>
      </c>
      <c r="G475">
        <v>0.89380530973451322</v>
      </c>
      <c r="H475">
        <v>9.0832632103557617E-2</v>
      </c>
      <c r="I475">
        <v>8.0819468628450832E-3</v>
      </c>
    </row>
    <row r="476" spans="1:9" x14ac:dyDescent="0.25">
      <c r="A476" t="s">
        <v>122</v>
      </c>
      <c r="B476" s="12">
        <v>17</v>
      </c>
      <c r="C476">
        <v>124</v>
      </c>
      <c r="D476">
        <v>100881</v>
      </c>
      <c r="E476">
        <v>19365</v>
      </c>
      <c r="F476">
        <v>0.42785398230088489</v>
      </c>
      <c r="G476">
        <v>0.45132743362831862</v>
      </c>
      <c r="H476">
        <v>6.587570721435472E-2</v>
      </c>
      <c r="I476">
        <v>7.3193177636539583E-2</v>
      </c>
    </row>
    <row r="477" spans="1:9" x14ac:dyDescent="0.25">
      <c r="A477" t="s">
        <v>65</v>
      </c>
      <c r="B477" s="12">
        <v>18</v>
      </c>
      <c r="C477">
        <v>94</v>
      </c>
      <c r="D477">
        <v>100303</v>
      </c>
      <c r="E477">
        <v>18467</v>
      </c>
      <c r="F477">
        <v>0.40688053097345128</v>
      </c>
      <c r="G477">
        <v>0.58407079646017701</v>
      </c>
      <c r="H477">
        <v>5.3309972188127837E-2</v>
      </c>
      <c r="I477">
        <v>1.374751311195465E-2</v>
      </c>
    </row>
    <row r="478" spans="1:9" x14ac:dyDescent="0.25">
      <c r="A478" t="s">
        <v>177</v>
      </c>
      <c r="B478" s="12">
        <v>19</v>
      </c>
      <c r="C478">
        <v>61</v>
      </c>
      <c r="D478">
        <v>99532</v>
      </c>
      <c r="E478">
        <v>25254</v>
      </c>
      <c r="F478">
        <v>0.5551769911504425</v>
      </c>
      <c r="G478">
        <v>0.73008849557522126</v>
      </c>
      <c r="H478">
        <v>8.0805134300410073E-2</v>
      </c>
      <c r="I478">
        <v>3.2819464428713738E-2</v>
      </c>
    </row>
    <row r="479" spans="1:9" x14ac:dyDescent="0.25">
      <c r="A479" t="s">
        <v>85</v>
      </c>
      <c r="B479" s="12">
        <v>20</v>
      </c>
      <c r="C479">
        <v>199</v>
      </c>
      <c r="D479">
        <v>99420</v>
      </c>
      <c r="E479">
        <v>7402</v>
      </c>
      <c r="F479">
        <v>0.1629867256637168</v>
      </c>
      <c r="G479">
        <v>0.1194690265486726</v>
      </c>
      <c r="H479">
        <v>2.217367313638156E-2</v>
      </c>
      <c r="I479">
        <v>8.7009967288628101E-2</v>
      </c>
    </row>
    <row r="480" spans="1:9" x14ac:dyDescent="0.25">
      <c r="A480" t="s">
        <v>99</v>
      </c>
      <c r="B480" s="12">
        <v>21</v>
      </c>
      <c r="C480">
        <v>104</v>
      </c>
      <c r="D480">
        <v>99394</v>
      </c>
      <c r="E480">
        <v>20774</v>
      </c>
      <c r="F480">
        <v>0.45650442477876108</v>
      </c>
      <c r="G480">
        <v>0.53982300884955747</v>
      </c>
      <c r="H480">
        <v>6.6902518498431068E-2</v>
      </c>
      <c r="I480">
        <v>5.2897858730014749E-2</v>
      </c>
    </row>
    <row r="481" spans="1:9" x14ac:dyDescent="0.25">
      <c r="A481" t="s">
        <v>90</v>
      </c>
      <c r="B481" s="12">
        <v>22</v>
      </c>
      <c r="C481">
        <v>198</v>
      </c>
      <c r="D481">
        <v>99328</v>
      </c>
      <c r="E481">
        <v>11813</v>
      </c>
      <c r="F481">
        <v>0.26057522123893812</v>
      </c>
      <c r="G481">
        <v>0.1238938053097345</v>
      </c>
      <c r="H481">
        <v>4.0494015273674709E-2</v>
      </c>
      <c r="I481">
        <v>0.1032172262219628</v>
      </c>
    </row>
    <row r="482" spans="1:9" x14ac:dyDescent="0.25">
      <c r="A482" t="s">
        <v>140</v>
      </c>
      <c r="B482" s="12">
        <v>23</v>
      </c>
      <c r="C482">
        <v>199</v>
      </c>
      <c r="D482">
        <v>99325</v>
      </c>
      <c r="E482">
        <v>7607</v>
      </c>
      <c r="F482">
        <v>0.1678097345132743</v>
      </c>
      <c r="G482">
        <v>0.1194690265486726</v>
      </c>
      <c r="H482">
        <v>2.4173697736946189E-2</v>
      </c>
      <c r="I482">
        <v>9.4003174639966436E-2</v>
      </c>
    </row>
    <row r="483" spans="1:9" x14ac:dyDescent="0.25">
      <c r="A483" t="s">
        <v>166</v>
      </c>
      <c r="B483" s="12">
        <v>24</v>
      </c>
      <c r="C483">
        <v>78</v>
      </c>
      <c r="D483">
        <v>99239</v>
      </c>
      <c r="E483">
        <v>27181</v>
      </c>
      <c r="F483">
        <v>0.59745575221238933</v>
      </c>
      <c r="G483">
        <v>0.65486725663716816</v>
      </c>
      <c r="H483">
        <v>8.8641502234735547E-2</v>
      </c>
      <c r="I483">
        <v>2.0141987442688102E-2</v>
      </c>
    </row>
    <row r="484" spans="1:9" x14ac:dyDescent="0.25">
      <c r="A484" t="s">
        <v>93</v>
      </c>
      <c r="B484" s="12">
        <v>25</v>
      </c>
      <c r="C484">
        <v>197</v>
      </c>
      <c r="D484">
        <v>99228</v>
      </c>
      <c r="E484">
        <v>8783</v>
      </c>
      <c r="F484">
        <v>0.1930973451327434</v>
      </c>
      <c r="G484">
        <v>0.12831858407079649</v>
      </c>
      <c r="H484">
        <v>2.666982390141219E-2</v>
      </c>
      <c r="I484">
        <v>7.8486674611420351E-2</v>
      </c>
    </row>
    <row r="485" spans="1:9" x14ac:dyDescent="0.25">
      <c r="A485" t="s">
        <v>163</v>
      </c>
      <c r="B485" s="12">
        <v>26</v>
      </c>
      <c r="C485">
        <v>38</v>
      </c>
      <c r="D485">
        <v>99147</v>
      </c>
      <c r="E485">
        <v>31587</v>
      </c>
      <c r="F485">
        <v>0.69502212389380535</v>
      </c>
      <c r="G485">
        <v>0.83185840707964598</v>
      </c>
      <c r="H485">
        <v>9.8689879494502072E-2</v>
      </c>
      <c r="I485">
        <v>-2.555894745243514E-2</v>
      </c>
    </row>
    <row r="486" spans="1:9" x14ac:dyDescent="0.25">
      <c r="A486" t="s">
        <v>151</v>
      </c>
      <c r="B486" s="12">
        <v>27</v>
      </c>
      <c r="C486">
        <v>79</v>
      </c>
      <c r="D486">
        <v>99093</v>
      </c>
      <c r="E486">
        <v>26370</v>
      </c>
      <c r="F486">
        <v>0.57942477876106191</v>
      </c>
      <c r="G486">
        <v>0.65044247787610621</v>
      </c>
      <c r="H486">
        <v>8.6865773105632857E-2</v>
      </c>
      <c r="I486">
        <v>3.6220954789044059E-2</v>
      </c>
    </row>
    <row r="487" spans="1:9" x14ac:dyDescent="0.25">
      <c r="A487" t="s">
        <v>5</v>
      </c>
      <c r="B487" s="12">
        <v>28</v>
      </c>
      <c r="C487">
        <v>144</v>
      </c>
      <c r="D487">
        <v>98847</v>
      </c>
      <c r="E487">
        <v>18781</v>
      </c>
      <c r="F487">
        <v>0.41285398230088488</v>
      </c>
      <c r="G487">
        <v>0.36283185840707971</v>
      </c>
      <c r="H487">
        <v>6.1716186464355498E-2</v>
      </c>
      <c r="I487">
        <v>7.0543146905675411E-2</v>
      </c>
    </row>
    <row r="488" spans="1:9" x14ac:dyDescent="0.25">
      <c r="A488" t="s">
        <v>127</v>
      </c>
      <c r="B488" s="12">
        <v>29</v>
      </c>
      <c r="C488">
        <v>87</v>
      </c>
      <c r="D488">
        <v>98711</v>
      </c>
      <c r="E488">
        <v>23874</v>
      </c>
      <c r="F488">
        <v>0.52460176991150442</v>
      </c>
      <c r="G488">
        <v>0.61504424778761058</v>
      </c>
      <c r="H488">
        <v>7.680243764499857E-2</v>
      </c>
      <c r="I488">
        <v>5.0669663197657623E-2</v>
      </c>
    </row>
    <row r="489" spans="1:9" x14ac:dyDescent="0.25">
      <c r="A489" t="s">
        <v>113</v>
      </c>
      <c r="B489" s="12">
        <v>30</v>
      </c>
      <c r="C489">
        <v>157</v>
      </c>
      <c r="D489">
        <v>98542</v>
      </c>
      <c r="E489">
        <v>15352</v>
      </c>
      <c r="F489">
        <v>0.33557522123893813</v>
      </c>
      <c r="G489">
        <v>0.30530973451327431</v>
      </c>
      <c r="H489">
        <v>5.287163440563436E-2</v>
      </c>
      <c r="I489">
        <v>8.0699585373328817E-2</v>
      </c>
    </row>
    <row r="490" spans="1:9" x14ac:dyDescent="0.25">
      <c r="A490" t="s">
        <v>143</v>
      </c>
      <c r="B490" s="12">
        <v>31</v>
      </c>
      <c r="C490">
        <v>66</v>
      </c>
      <c r="D490">
        <v>98436</v>
      </c>
      <c r="E490">
        <v>26399</v>
      </c>
      <c r="F490">
        <v>0.58015486725663712</v>
      </c>
      <c r="G490">
        <v>0.70796460176991149</v>
      </c>
      <c r="H490">
        <v>8.7359220390103312E-2</v>
      </c>
      <c r="I490">
        <v>3.6745229229655972E-2</v>
      </c>
    </row>
    <row r="491" spans="1:9" x14ac:dyDescent="0.25">
      <c r="A491" t="s">
        <v>155</v>
      </c>
      <c r="B491" s="12">
        <v>32</v>
      </c>
      <c r="C491">
        <v>72</v>
      </c>
      <c r="D491">
        <v>98361</v>
      </c>
      <c r="E491">
        <v>26236</v>
      </c>
      <c r="F491">
        <v>0.57632743362831862</v>
      </c>
      <c r="G491">
        <v>0.68141592920353977</v>
      </c>
      <c r="H491">
        <v>8.6463264468732801E-2</v>
      </c>
      <c r="I491">
        <v>4.2686637456998452E-2</v>
      </c>
    </row>
    <row r="492" spans="1:9" x14ac:dyDescent="0.25">
      <c r="A492" t="s">
        <v>192</v>
      </c>
      <c r="B492" s="12">
        <v>33</v>
      </c>
      <c r="C492">
        <v>116</v>
      </c>
      <c r="D492">
        <v>98289</v>
      </c>
      <c r="E492">
        <v>16596</v>
      </c>
      <c r="F492">
        <v>0.36646017699115052</v>
      </c>
      <c r="G492">
        <v>0.48672566371681408</v>
      </c>
      <c r="H492">
        <v>4.9672202975441802E-2</v>
      </c>
      <c r="I492">
        <v>5.1078869772273341E-2</v>
      </c>
    </row>
    <row r="493" spans="1:9" x14ac:dyDescent="0.25">
      <c r="A493" t="s">
        <v>86</v>
      </c>
      <c r="B493" s="12">
        <v>34</v>
      </c>
      <c r="C493">
        <v>186</v>
      </c>
      <c r="D493">
        <v>98270</v>
      </c>
      <c r="E493">
        <v>7706</v>
      </c>
      <c r="F493">
        <v>0.16957964601769909</v>
      </c>
      <c r="G493">
        <v>0.1769911504424779</v>
      </c>
      <c r="H493">
        <v>2.2675790030781032E-2</v>
      </c>
      <c r="I493">
        <v>7.9416444288688853E-2</v>
      </c>
    </row>
    <row r="494" spans="1:9" x14ac:dyDescent="0.25">
      <c r="A494" t="s">
        <v>137</v>
      </c>
      <c r="B494" s="12">
        <v>35</v>
      </c>
      <c r="C494">
        <v>65</v>
      </c>
      <c r="D494">
        <v>98211</v>
      </c>
      <c r="E494">
        <v>27292</v>
      </c>
      <c r="F494">
        <v>0.59982300884955753</v>
      </c>
      <c r="G494">
        <v>0.71238938053097345</v>
      </c>
      <c r="H494">
        <v>8.976217672930667E-2</v>
      </c>
      <c r="I494">
        <v>3.4884808202007192E-2</v>
      </c>
    </row>
    <row r="495" spans="1:9" x14ac:dyDescent="0.25">
      <c r="A495" t="s">
        <v>80</v>
      </c>
      <c r="B495" s="12">
        <v>36</v>
      </c>
      <c r="C495">
        <v>164</v>
      </c>
      <c r="D495">
        <v>98190</v>
      </c>
      <c r="E495">
        <v>12079</v>
      </c>
      <c r="F495">
        <v>0.26612831858407082</v>
      </c>
      <c r="G495">
        <v>0.27433628318584069</v>
      </c>
      <c r="H495">
        <v>3.8165820298979913E-2</v>
      </c>
      <c r="I495">
        <v>8.125727107526079E-2</v>
      </c>
    </row>
    <row r="496" spans="1:9" x14ac:dyDescent="0.25">
      <c r="A496" t="s">
        <v>119</v>
      </c>
      <c r="B496" s="12">
        <v>37</v>
      </c>
      <c r="C496">
        <v>100</v>
      </c>
      <c r="D496">
        <v>98134</v>
      </c>
      <c r="E496">
        <v>22833</v>
      </c>
      <c r="F496">
        <v>0.50243362831858407</v>
      </c>
      <c r="G496">
        <v>0.55752212389380529</v>
      </c>
      <c r="H496">
        <v>7.3639367132251762E-2</v>
      </c>
      <c r="I496">
        <v>5.7608173056153178E-2</v>
      </c>
    </row>
    <row r="497" spans="1:9" x14ac:dyDescent="0.25">
      <c r="A497" t="s">
        <v>77</v>
      </c>
      <c r="B497" s="12">
        <v>38</v>
      </c>
      <c r="C497">
        <v>102</v>
      </c>
      <c r="D497">
        <v>98112</v>
      </c>
      <c r="E497">
        <v>20653</v>
      </c>
      <c r="F497">
        <v>0.45592920353982302</v>
      </c>
      <c r="G497">
        <v>0.54867256637168138</v>
      </c>
      <c r="H497">
        <v>6.2912528061838932E-2</v>
      </c>
      <c r="I497">
        <v>2.7825182099704329E-2</v>
      </c>
    </row>
    <row r="498" spans="1:9" x14ac:dyDescent="0.25">
      <c r="A498" t="s">
        <v>15</v>
      </c>
      <c r="B498" s="12">
        <v>39</v>
      </c>
      <c r="C498">
        <v>150</v>
      </c>
      <c r="D498">
        <v>97958</v>
      </c>
      <c r="E498">
        <v>16901</v>
      </c>
      <c r="F498">
        <v>0.37256637168141588</v>
      </c>
      <c r="G498">
        <v>0.33628318584070799</v>
      </c>
      <c r="H498">
        <v>5.3602227822297573E-2</v>
      </c>
      <c r="I498">
        <v>7.887496541510626E-2</v>
      </c>
    </row>
    <row r="499" spans="1:9" x14ac:dyDescent="0.25">
      <c r="A499" t="s">
        <v>159</v>
      </c>
      <c r="B499" s="12">
        <v>40</v>
      </c>
      <c r="C499">
        <v>75</v>
      </c>
      <c r="D499">
        <v>97901</v>
      </c>
      <c r="E499">
        <v>27276</v>
      </c>
      <c r="F499">
        <v>0.600287610619469</v>
      </c>
      <c r="G499">
        <v>0.66814159292035402</v>
      </c>
      <c r="H499">
        <v>8.0006721343486853E-2</v>
      </c>
      <c r="I499">
        <v>-1.387482725778864E-2</v>
      </c>
    </row>
    <row r="500" spans="1:9" x14ac:dyDescent="0.25">
      <c r="A500" t="s">
        <v>128</v>
      </c>
      <c r="B500" s="12">
        <v>41</v>
      </c>
      <c r="C500">
        <v>33</v>
      </c>
      <c r="D500">
        <v>97879</v>
      </c>
      <c r="E500">
        <v>27072</v>
      </c>
      <c r="F500">
        <v>0.59484513274336281</v>
      </c>
      <c r="G500">
        <v>0.85398230088495575</v>
      </c>
      <c r="H500">
        <v>8.71398607514801E-2</v>
      </c>
      <c r="I500">
        <v>3.5856632562619457E-2</v>
      </c>
    </row>
    <row r="501" spans="1:9" x14ac:dyDescent="0.25">
      <c r="A501" t="s">
        <v>97</v>
      </c>
      <c r="B501" s="12">
        <v>42</v>
      </c>
      <c r="C501">
        <v>198</v>
      </c>
      <c r="D501">
        <v>97804</v>
      </c>
      <c r="E501">
        <v>5566</v>
      </c>
      <c r="F501">
        <v>0.1225663716814159</v>
      </c>
      <c r="G501">
        <v>0.1238938053097345</v>
      </c>
      <c r="H501">
        <v>1.572578751978488E-2</v>
      </c>
      <c r="I501">
        <v>9.0271978700704761E-2</v>
      </c>
    </row>
    <row r="502" spans="1:9" x14ac:dyDescent="0.25">
      <c r="A502" t="s">
        <v>94</v>
      </c>
      <c r="B502" s="12">
        <v>43</v>
      </c>
      <c r="C502">
        <v>139</v>
      </c>
      <c r="D502">
        <v>97803</v>
      </c>
      <c r="E502">
        <v>12077</v>
      </c>
      <c r="F502">
        <v>0.26557522123893812</v>
      </c>
      <c r="G502">
        <v>0.38495575221238942</v>
      </c>
      <c r="H502">
        <v>3.3325343942385288E-2</v>
      </c>
      <c r="I502">
        <v>4.1217740622868017E-2</v>
      </c>
    </row>
    <row r="503" spans="1:9" x14ac:dyDescent="0.25">
      <c r="A503" t="s">
        <v>108</v>
      </c>
      <c r="B503" s="12">
        <v>44</v>
      </c>
      <c r="C503">
        <v>75</v>
      </c>
      <c r="D503">
        <v>97695</v>
      </c>
      <c r="E503">
        <v>25153</v>
      </c>
      <c r="F503">
        <v>0.55393805309734512</v>
      </c>
      <c r="G503">
        <v>0.66814159292035402</v>
      </c>
      <c r="H503">
        <v>7.8919980463375061E-2</v>
      </c>
      <c r="I503">
        <v>3.5514847463027813E-2</v>
      </c>
    </row>
    <row r="504" spans="1:9" x14ac:dyDescent="0.25">
      <c r="A504" t="s">
        <v>95</v>
      </c>
      <c r="B504" s="12">
        <v>45</v>
      </c>
      <c r="C504">
        <v>67</v>
      </c>
      <c r="D504">
        <v>97551</v>
      </c>
      <c r="E504">
        <v>27269</v>
      </c>
      <c r="F504">
        <v>0.60022123893805313</v>
      </c>
      <c r="G504">
        <v>0.70353982300884954</v>
      </c>
      <c r="H504">
        <v>8.3878670872594027E-2</v>
      </c>
      <c r="I504">
        <v>1.7481134502190781E-2</v>
      </c>
    </row>
    <row r="505" spans="1:9" x14ac:dyDescent="0.25">
      <c r="A505" t="s">
        <v>12</v>
      </c>
      <c r="B505" s="12">
        <v>46</v>
      </c>
      <c r="C505">
        <v>193</v>
      </c>
      <c r="D505">
        <v>97477</v>
      </c>
      <c r="E505">
        <v>6530</v>
      </c>
      <c r="F505">
        <v>0.14384955752212389</v>
      </c>
      <c r="G505">
        <v>0.14601769911504431</v>
      </c>
      <c r="H505">
        <v>1.8404958670009151E-2</v>
      </c>
      <c r="I505">
        <v>8.4455923977951861E-2</v>
      </c>
    </row>
    <row r="506" spans="1:9" x14ac:dyDescent="0.25">
      <c r="A506" t="s">
        <v>87</v>
      </c>
      <c r="B506" s="12">
        <v>47</v>
      </c>
      <c r="C506">
        <v>197</v>
      </c>
      <c r="D506">
        <v>97419</v>
      </c>
      <c r="E506">
        <v>6446</v>
      </c>
      <c r="F506">
        <v>0.14168141592920361</v>
      </c>
      <c r="G506">
        <v>0.12831858407079649</v>
      </c>
      <c r="H506">
        <v>1.8714408695912552E-2</v>
      </c>
      <c r="I506">
        <v>8.6595328289280959E-2</v>
      </c>
    </row>
    <row r="507" spans="1:9" x14ac:dyDescent="0.25">
      <c r="A507" t="s">
        <v>145</v>
      </c>
      <c r="B507" s="12">
        <v>48</v>
      </c>
      <c r="C507">
        <v>63</v>
      </c>
      <c r="D507">
        <v>97400</v>
      </c>
      <c r="E507">
        <v>24355</v>
      </c>
      <c r="F507">
        <v>0.53475663716814159</v>
      </c>
      <c r="G507">
        <v>0.72123893805309736</v>
      </c>
      <c r="H507">
        <v>8.0943673160110474E-2</v>
      </c>
      <c r="I507">
        <v>5.7921495077852873E-2</v>
      </c>
    </row>
    <row r="508" spans="1:9" x14ac:dyDescent="0.25">
      <c r="A508" t="s">
        <v>101</v>
      </c>
      <c r="B508" s="12">
        <v>49</v>
      </c>
      <c r="C508">
        <v>83</v>
      </c>
      <c r="D508">
        <v>97342</v>
      </c>
      <c r="E508">
        <v>23212</v>
      </c>
      <c r="F508">
        <v>0.51070796460176993</v>
      </c>
      <c r="G508">
        <v>0.63274336283185839</v>
      </c>
      <c r="H508">
        <v>7.3322628968393644E-2</v>
      </c>
      <c r="I508">
        <v>5.1442545259352122E-2</v>
      </c>
    </row>
    <row r="509" spans="1:9" x14ac:dyDescent="0.25">
      <c r="A509" t="s">
        <v>160</v>
      </c>
      <c r="B509" s="12">
        <v>50</v>
      </c>
      <c r="C509">
        <v>131</v>
      </c>
      <c r="D509">
        <v>97208</v>
      </c>
      <c r="E509">
        <v>20536</v>
      </c>
      <c r="F509">
        <v>0.45303097345132742</v>
      </c>
      <c r="G509">
        <v>0.42035398230088489</v>
      </c>
      <c r="H509">
        <v>6.663430025489292E-2</v>
      </c>
      <c r="I509">
        <v>7.637640870464231E-2</v>
      </c>
    </row>
    <row r="510" spans="1:9" x14ac:dyDescent="0.25">
      <c r="A510" t="s">
        <v>121</v>
      </c>
      <c r="B510" s="12">
        <v>51</v>
      </c>
      <c r="C510">
        <v>94</v>
      </c>
      <c r="D510">
        <v>97176</v>
      </c>
      <c r="E510">
        <v>22893</v>
      </c>
      <c r="F510">
        <v>0.50415929203539822</v>
      </c>
      <c r="G510">
        <v>0.58407079646017701</v>
      </c>
      <c r="H510">
        <v>7.398298436890613E-2</v>
      </c>
      <c r="I510">
        <v>6.5026738272890988E-2</v>
      </c>
    </row>
    <row r="511" spans="1:9" x14ac:dyDescent="0.25">
      <c r="A511" t="s">
        <v>118</v>
      </c>
      <c r="B511" s="12">
        <v>52</v>
      </c>
      <c r="C511">
        <v>112</v>
      </c>
      <c r="D511">
        <v>97164</v>
      </c>
      <c r="E511">
        <v>16846</v>
      </c>
      <c r="F511">
        <v>0.37079646017699108</v>
      </c>
      <c r="G511">
        <v>0.50442477876106195</v>
      </c>
      <c r="H511">
        <v>4.4940487593267749E-2</v>
      </c>
      <c r="I511">
        <v>-1.0408237820479741E-3</v>
      </c>
    </row>
    <row r="512" spans="1:9" x14ac:dyDescent="0.25">
      <c r="A512" t="s">
        <v>103</v>
      </c>
      <c r="B512" s="12">
        <v>53</v>
      </c>
      <c r="C512">
        <v>123</v>
      </c>
      <c r="D512">
        <v>97113</v>
      </c>
      <c r="E512">
        <v>13799</v>
      </c>
      <c r="F512">
        <v>0.30294247787610618</v>
      </c>
      <c r="G512">
        <v>0.45575221238938052</v>
      </c>
      <c r="H512">
        <v>4.0558177572800211E-2</v>
      </c>
      <c r="I512">
        <v>5.0970325187742832E-2</v>
      </c>
    </row>
    <row r="513" spans="1:9" x14ac:dyDescent="0.25">
      <c r="A513" t="s">
        <v>196</v>
      </c>
      <c r="B513" s="12">
        <v>54</v>
      </c>
      <c r="C513">
        <v>146</v>
      </c>
      <c r="D513">
        <v>97006</v>
      </c>
      <c r="E513">
        <v>16298</v>
      </c>
      <c r="F513">
        <v>0.35663716814159291</v>
      </c>
      <c r="G513">
        <v>0.35398230088495569</v>
      </c>
      <c r="H513">
        <v>4.4177798621397778E-2</v>
      </c>
      <c r="I513">
        <v>1.1283795540019339E-2</v>
      </c>
    </row>
    <row r="514" spans="1:9" x14ac:dyDescent="0.25">
      <c r="A514" t="s">
        <v>200</v>
      </c>
      <c r="B514" s="12">
        <v>55</v>
      </c>
      <c r="C514">
        <v>107</v>
      </c>
      <c r="D514">
        <v>96982</v>
      </c>
      <c r="E514">
        <v>21919</v>
      </c>
      <c r="F514">
        <v>0.48292035398230088</v>
      </c>
      <c r="G514">
        <v>0.52654867256637172</v>
      </c>
      <c r="H514">
        <v>7.0614976091057158E-2</v>
      </c>
      <c r="I514">
        <v>6.7017066879792697E-2</v>
      </c>
    </row>
    <row r="515" spans="1:9" x14ac:dyDescent="0.25">
      <c r="A515" t="s">
        <v>220</v>
      </c>
      <c r="B515" s="12">
        <v>56</v>
      </c>
      <c r="C515">
        <v>130</v>
      </c>
      <c r="D515">
        <v>96975</v>
      </c>
      <c r="E515">
        <v>11356</v>
      </c>
      <c r="F515">
        <v>0.2495132743362832</v>
      </c>
      <c r="G515">
        <v>0.4247787610619469</v>
      </c>
      <c r="H515">
        <v>3.0275162091720931E-2</v>
      </c>
      <c r="I515">
        <v>3.7216983156935092E-2</v>
      </c>
    </row>
    <row r="516" spans="1:9" x14ac:dyDescent="0.25">
      <c r="A516" t="s">
        <v>176</v>
      </c>
      <c r="B516" s="12">
        <v>57</v>
      </c>
      <c r="C516">
        <v>194</v>
      </c>
      <c r="D516">
        <v>96953</v>
      </c>
      <c r="E516">
        <v>10356</v>
      </c>
      <c r="F516">
        <v>0.22763274336283179</v>
      </c>
      <c r="G516">
        <v>0.1415929203539823</v>
      </c>
      <c r="H516">
        <v>3.152437228706538E-2</v>
      </c>
      <c r="I516">
        <v>8.2835461336080662E-2</v>
      </c>
    </row>
    <row r="517" spans="1:9" x14ac:dyDescent="0.25">
      <c r="A517" t="s">
        <v>221</v>
      </c>
      <c r="B517" s="12">
        <v>58</v>
      </c>
      <c r="C517">
        <v>138</v>
      </c>
      <c r="D517">
        <v>96933</v>
      </c>
      <c r="E517">
        <v>11019</v>
      </c>
      <c r="F517">
        <v>0.24261061946902651</v>
      </c>
      <c r="G517">
        <v>0.38938053097345132</v>
      </c>
      <c r="H517">
        <v>3.052641285674957E-2</v>
      </c>
      <c r="I517">
        <v>5.0684901508040558E-2</v>
      </c>
    </row>
    <row r="518" spans="1:9" x14ac:dyDescent="0.25">
      <c r="A518" t="s">
        <v>69</v>
      </c>
      <c r="B518" s="12">
        <v>59</v>
      </c>
      <c r="C518">
        <v>140</v>
      </c>
      <c r="D518">
        <v>96915</v>
      </c>
      <c r="E518">
        <v>14256</v>
      </c>
      <c r="F518">
        <v>0.31451327433628318</v>
      </c>
      <c r="G518">
        <v>0.38053097345132741</v>
      </c>
      <c r="H518">
        <v>4.2441001317368943E-2</v>
      </c>
      <c r="I518">
        <v>5.8094806409002199E-2</v>
      </c>
    </row>
    <row r="519" spans="1:9" x14ac:dyDescent="0.25">
      <c r="A519" t="s">
        <v>202</v>
      </c>
      <c r="B519" s="12">
        <v>60</v>
      </c>
      <c r="C519">
        <v>112</v>
      </c>
      <c r="D519">
        <v>96912</v>
      </c>
      <c r="E519">
        <v>16904</v>
      </c>
      <c r="F519">
        <v>0.37183628318584072</v>
      </c>
      <c r="G519">
        <v>0.50442477876106195</v>
      </c>
      <c r="H519">
        <v>5.1485517772734253E-2</v>
      </c>
      <c r="I519">
        <v>5.9826081423422432E-2</v>
      </c>
    </row>
    <row r="520" spans="1:9" x14ac:dyDescent="0.25">
      <c r="A520" t="s">
        <v>92</v>
      </c>
      <c r="B520" s="12">
        <v>61</v>
      </c>
      <c r="C520">
        <v>199</v>
      </c>
      <c r="D520">
        <v>96906</v>
      </c>
      <c r="E520">
        <v>5945</v>
      </c>
      <c r="F520">
        <v>0.13099557522123889</v>
      </c>
      <c r="G520">
        <v>0.1194690265486726</v>
      </c>
      <c r="H520">
        <v>1.676208825383364E-2</v>
      </c>
      <c r="I520">
        <v>8.8697450096428598E-2</v>
      </c>
    </row>
    <row r="521" spans="1:9" x14ac:dyDescent="0.25">
      <c r="A521" t="s">
        <v>131</v>
      </c>
      <c r="B521" s="12">
        <v>62</v>
      </c>
      <c r="C521">
        <v>23</v>
      </c>
      <c r="D521">
        <v>96904</v>
      </c>
      <c r="E521">
        <v>32854</v>
      </c>
      <c r="F521">
        <v>0.72307522123893808</v>
      </c>
      <c r="G521">
        <v>0.89823008849557517</v>
      </c>
      <c r="H521">
        <v>0.1006880066563253</v>
      </c>
      <c r="I521">
        <v>-1.9226398596349659E-2</v>
      </c>
    </row>
    <row r="522" spans="1:9" x14ac:dyDescent="0.25">
      <c r="A522" t="s">
        <v>11</v>
      </c>
      <c r="B522" s="12">
        <v>63</v>
      </c>
      <c r="C522">
        <v>199</v>
      </c>
      <c r="D522">
        <v>96887</v>
      </c>
      <c r="E522">
        <v>5390</v>
      </c>
      <c r="F522">
        <v>0.11869469026548669</v>
      </c>
      <c r="G522">
        <v>0.1194690265486726</v>
      </c>
      <c r="H522">
        <v>1.510972244807781E-2</v>
      </c>
      <c r="I522">
        <v>9.0040830947771613E-2</v>
      </c>
    </row>
    <row r="523" spans="1:9" x14ac:dyDescent="0.25">
      <c r="A523" t="s">
        <v>133</v>
      </c>
      <c r="B523" s="12">
        <v>64</v>
      </c>
      <c r="C523">
        <v>63</v>
      </c>
      <c r="D523">
        <v>96856</v>
      </c>
      <c r="E523">
        <v>25169</v>
      </c>
      <c r="F523">
        <v>0.55296460176991147</v>
      </c>
      <c r="G523">
        <v>0.72123893805309736</v>
      </c>
      <c r="H523">
        <v>8.0392582633315876E-2</v>
      </c>
      <c r="I523">
        <v>2.2183814171032899E-2</v>
      </c>
    </row>
    <row r="524" spans="1:9" x14ac:dyDescent="0.25">
      <c r="A524" t="s">
        <v>114</v>
      </c>
      <c r="B524" s="12">
        <v>65</v>
      </c>
      <c r="C524">
        <v>179</v>
      </c>
      <c r="D524">
        <v>96839</v>
      </c>
      <c r="E524">
        <v>9291</v>
      </c>
      <c r="F524">
        <v>0.20482300884955751</v>
      </c>
      <c r="G524">
        <v>0.20796460176991149</v>
      </c>
      <c r="H524">
        <v>2.8637380669450929E-2</v>
      </c>
      <c r="I524">
        <v>9.1238653874899475E-2</v>
      </c>
    </row>
    <row r="525" spans="1:9" x14ac:dyDescent="0.25">
      <c r="A525" t="s">
        <v>190</v>
      </c>
      <c r="B525" s="12">
        <v>66</v>
      </c>
      <c r="C525">
        <v>74</v>
      </c>
      <c r="D525">
        <v>96816</v>
      </c>
      <c r="E525">
        <v>28032</v>
      </c>
      <c r="F525">
        <v>0.61628318584070796</v>
      </c>
      <c r="G525">
        <v>0.67256637168141598</v>
      </c>
      <c r="H525">
        <v>8.6232788991661008E-2</v>
      </c>
      <c r="I525">
        <v>8.2488544836235578E-3</v>
      </c>
    </row>
    <row r="526" spans="1:9" x14ac:dyDescent="0.25">
      <c r="A526" t="s">
        <v>110</v>
      </c>
      <c r="B526" s="12">
        <v>67</v>
      </c>
      <c r="C526">
        <v>190</v>
      </c>
      <c r="D526">
        <v>96807</v>
      </c>
      <c r="E526">
        <v>6001</v>
      </c>
      <c r="F526">
        <v>0.13179203539823009</v>
      </c>
      <c r="G526">
        <v>0.15929203539823009</v>
      </c>
      <c r="H526">
        <v>1.695900232029952E-2</v>
      </c>
      <c r="I526">
        <v>8.7752778345750307E-2</v>
      </c>
    </row>
    <row r="527" spans="1:9" x14ac:dyDescent="0.25">
      <c r="A527" t="s">
        <v>224</v>
      </c>
      <c r="B527" s="12">
        <v>68</v>
      </c>
      <c r="C527">
        <v>133</v>
      </c>
      <c r="D527">
        <v>96786</v>
      </c>
      <c r="E527">
        <v>19610</v>
      </c>
      <c r="F527">
        <v>0.43234513274336278</v>
      </c>
      <c r="G527">
        <v>0.41150442477876098</v>
      </c>
      <c r="H527">
        <v>6.2967106282521973E-2</v>
      </c>
      <c r="I527">
        <v>7.4160625628737056E-2</v>
      </c>
    </row>
    <row r="528" spans="1:9" x14ac:dyDescent="0.25">
      <c r="A528" t="s">
        <v>115</v>
      </c>
      <c r="B528" s="12">
        <v>69</v>
      </c>
      <c r="C528">
        <v>203</v>
      </c>
      <c r="D528">
        <v>96763</v>
      </c>
      <c r="E528">
        <v>5537</v>
      </c>
      <c r="F528">
        <v>0.12192477876106191</v>
      </c>
      <c r="G528">
        <v>0.1017699115044248</v>
      </c>
      <c r="H528">
        <v>1.5692585125803911E-2</v>
      </c>
      <c r="I528">
        <v>8.9252641230850652E-2</v>
      </c>
    </row>
    <row r="529" spans="1:9" x14ac:dyDescent="0.25">
      <c r="A529" t="s">
        <v>106</v>
      </c>
      <c r="B529" s="12">
        <v>70</v>
      </c>
      <c r="C529">
        <v>190</v>
      </c>
      <c r="D529">
        <v>96735</v>
      </c>
      <c r="E529">
        <v>6725</v>
      </c>
      <c r="F529">
        <v>0.14805309734513281</v>
      </c>
      <c r="G529">
        <v>0.15929203539823009</v>
      </c>
      <c r="H529">
        <v>1.9246205738157052E-2</v>
      </c>
      <c r="I529">
        <v>8.4709223824889032E-2</v>
      </c>
    </row>
    <row r="530" spans="1:9" x14ac:dyDescent="0.25">
      <c r="A530" t="s">
        <v>7</v>
      </c>
      <c r="B530" s="12">
        <v>71</v>
      </c>
      <c r="C530">
        <v>102</v>
      </c>
      <c r="D530">
        <v>96651</v>
      </c>
      <c r="E530">
        <v>22051</v>
      </c>
      <c r="F530">
        <v>0.48599557522123887</v>
      </c>
      <c r="G530">
        <v>0.54867256637168138</v>
      </c>
      <c r="H530">
        <v>7.0820975526356716E-2</v>
      </c>
      <c r="I530">
        <v>6.4464255372747178E-2</v>
      </c>
    </row>
    <row r="531" spans="1:9" x14ac:dyDescent="0.25">
      <c r="A531" t="s">
        <v>169</v>
      </c>
      <c r="B531" s="12">
        <v>72</v>
      </c>
      <c r="C531">
        <v>18</v>
      </c>
      <c r="D531">
        <v>96642</v>
      </c>
      <c r="E531">
        <v>31076</v>
      </c>
      <c r="F531">
        <v>0.68373893805309738</v>
      </c>
      <c r="G531">
        <v>0.92035398230088494</v>
      </c>
      <c r="H531">
        <v>9.6950049296980478E-2</v>
      </c>
      <c r="I531">
        <v>4.0538752995109462E-4</v>
      </c>
    </row>
    <row r="532" spans="1:9" x14ac:dyDescent="0.25">
      <c r="A532" t="s">
        <v>154</v>
      </c>
      <c r="B532" s="12">
        <v>73</v>
      </c>
      <c r="C532">
        <v>24</v>
      </c>
      <c r="D532">
        <v>96595</v>
      </c>
      <c r="E532">
        <v>27269</v>
      </c>
      <c r="F532">
        <v>0.59957964601769909</v>
      </c>
      <c r="G532">
        <v>0.89380530973451322</v>
      </c>
      <c r="H532">
        <v>8.7904272194244557E-2</v>
      </c>
      <c r="I532">
        <v>3.1306159037075683E-2</v>
      </c>
    </row>
    <row r="533" spans="1:9" x14ac:dyDescent="0.25">
      <c r="A533" t="s">
        <v>204</v>
      </c>
      <c r="B533" s="12">
        <v>74</v>
      </c>
      <c r="C533">
        <v>137</v>
      </c>
      <c r="D533">
        <v>96594</v>
      </c>
      <c r="E533">
        <v>12309</v>
      </c>
      <c r="F533">
        <v>0.27188053097345127</v>
      </c>
      <c r="G533">
        <v>0.39380530973451328</v>
      </c>
      <c r="H533">
        <v>3.68047073132017E-2</v>
      </c>
      <c r="I533">
        <v>6.856458691424136E-2</v>
      </c>
    </row>
    <row r="534" spans="1:9" x14ac:dyDescent="0.25">
      <c r="A534" t="s">
        <v>9</v>
      </c>
      <c r="B534" s="12">
        <v>75</v>
      </c>
      <c r="C534">
        <v>170</v>
      </c>
      <c r="D534">
        <v>96575</v>
      </c>
      <c r="E534">
        <v>14813</v>
      </c>
      <c r="F534">
        <v>0.32703539823008848</v>
      </c>
      <c r="G534">
        <v>0.247787610619469</v>
      </c>
      <c r="H534">
        <v>4.9943071343313689E-2</v>
      </c>
      <c r="I534">
        <v>0.1001293415929848</v>
      </c>
    </row>
    <row r="535" spans="1:9" x14ac:dyDescent="0.25">
      <c r="A535" t="s">
        <v>124</v>
      </c>
      <c r="B535" s="12">
        <v>76</v>
      </c>
      <c r="C535">
        <v>24</v>
      </c>
      <c r="D535">
        <v>96569</v>
      </c>
      <c r="E535">
        <v>32048</v>
      </c>
      <c r="F535">
        <v>0.70506637168141595</v>
      </c>
      <c r="G535">
        <v>0.89380530973451322</v>
      </c>
      <c r="H535">
        <v>9.7852107499639587E-2</v>
      </c>
      <c r="I535">
        <v>-1.7001631401654699E-2</v>
      </c>
    </row>
    <row r="536" spans="1:9" x14ac:dyDescent="0.25">
      <c r="A536" t="s">
        <v>147</v>
      </c>
      <c r="B536" s="12">
        <v>77</v>
      </c>
      <c r="C536">
        <v>101</v>
      </c>
      <c r="D536">
        <v>96532</v>
      </c>
      <c r="E536">
        <v>22852</v>
      </c>
      <c r="F536">
        <v>0.50172566371681415</v>
      </c>
      <c r="G536">
        <v>0.55309734513274333</v>
      </c>
      <c r="H536">
        <v>7.6712081880668942E-2</v>
      </c>
      <c r="I536">
        <v>7.1906007188375018E-2</v>
      </c>
    </row>
    <row r="537" spans="1:9" x14ac:dyDescent="0.25">
      <c r="A537" t="s">
        <v>162</v>
      </c>
      <c r="B537" s="12">
        <v>78</v>
      </c>
      <c r="C537">
        <v>81</v>
      </c>
      <c r="D537">
        <v>96423</v>
      </c>
      <c r="E537">
        <v>24335</v>
      </c>
      <c r="F537">
        <v>0.53502212389380532</v>
      </c>
      <c r="G537">
        <v>0.6415929203539823</v>
      </c>
      <c r="H537">
        <v>7.6577001516571652E-2</v>
      </c>
      <c r="I537">
        <v>3.3939998489747499E-2</v>
      </c>
    </row>
    <row r="538" spans="1:9" x14ac:dyDescent="0.25">
      <c r="A538" t="s">
        <v>104</v>
      </c>
      <c r="B538" s="12">
        <v>79</v>
      </c>
      <c r="C538">
        <v>131</v>
      </c>
      <c r="D538">
        <v>96396</v>
      </c>
      <c r="E538">
        <v>19221</v>
      </c>
      <c r="F538">
        <v>0.42378318584070801</v>
      </c>
      <c r="G538">
        <v>0.42035398230088489</v>
      </c>
      <c r="H538">
        <v>6.0705626238012483E-2</v>
      </c>
      <c r="I538">
        <v>5.5619471693584763E-2</v>
      </c>
    </row>
    <row r="539" spans="1:9" x14ac:dyDescent="0.25">
      <c r="A539" t="s">
        <v>219</v>
      </c>
      <c r="B539" s="12">
        <v>80</v>
      </c>
      <c r="C539">
        <v>107</v>
      </c>
      <c r="D539">
        <v>96392</v>
      </c>
      <c r="E539">
        <v>20796</v>
      </c>
      <c r="F539">
        <v>0.45847345132743361</v>
      </c>
      <c r="G539">
        <v>0.52654867256637172</v>
      </c>
      <c r="H539">
        <v>6.6241746257427098E-2</v>
      </c>
      <c r="I539">
        <v>6.4088163543327317E-2</v>
      </c>
    </row>
    <row r="540" spans="1:9" x14ac:dyDescent="0.25">
      <c r="A540" t="s">
        <v>195</v>
      </c>
      <c r="B540" s="12">
        <v>81</v>
      </c>
      <c r="C540">
        <v>106</v>
      </c>
      <c r="D540">
        <v>96385</v>
      </c>
      <c r="E540">
        <v>21985</v>
      </c>
      <c r="F540">
        <v>0.4841592920353982</v>
      </c>
      <c r="G540">
        <v>0.53097345132743368</v>
      </c>
      <c r="H540">
        <v>6.8798440453478119E-2</v>
      </c>
      <c r="I540">
        <v>4.9109544554420827E-2</v>
      </c>
    </row>
    <row r="541" spans="1:9" x14ac:dyDescent="0.25">
      <c r="A541" t="s">
        <v>78</v>
      </c>
      <c r="B541" s="12">
        <v>82</v>
      </c>
      <c r="C541">
        <v>123</v>
      </c>
      <c r="D541">
        <v>96361</v>
      </c>
      <c r="E541">
        <v>17408</v>
      </c>
      <c r="F541">
        <v>0.38300884955752212</v>
      </c>
      <c r="G541">
        <v>0.45575221238938052</v>
      </c>
      <c r="H541">
        <v>5.2942743006903888E-2</v>
      </c>
      <c r="I541">
        <v>5.0411080866664758E-2</v>
      </c>
    </row>
    <row r="542" spans="1:9" x14ac:dyDescent="0.25">
      <c r="A542" t="s">
        <v>197</v>
      </c>
      <c r="B542" s="12">
        <v>83</v>
      </c>
      <c r="C542">
        <v>121</v>
      </c>
      <c r="D542">
        <v>96268</v>
      </c>
      <c r="E542">
        <v>20236</v>
      </c>
      <c r="F542">
        <v>0.44544247787610619</v>
      </c>
      <c r="G542">
        <v>0.46460176991150443</v>
      </c>
      <c r="H542">
        <v>6.4767183963112665E-2</v>
      </c>
      <c r="I542">
        <v>7.0566847214867195E-2</v>
      </c>
    </row>
    <row r="543" spans="1:9" x14ac:dyDescent="0.25">
      <c r="A543" t="s">
        <v>126</v>
      </c>
      <c r="B543" s="12">
        <v>84</v>
      </c>
      <c r="C543">
        <v>95</v>
      </c>
      <c r="D543">
        <v>96251</v>
      </c>
      <c r="E543">
        <v>22135</v>
      </c>
      <c r="F543">
        <v>0.48807522123893798</v>
      </c>
      <c r="G543">
        <v>0.57964601769911506</v>
      </c>
      <c r="H543">
        <v>7.0904800246492192E-2</v>
      </c>
      <c r="I543">
        <v>6.2914671913472095E-2</v>
      </c>
    </row>
    <row r="544" spans="1:9" x14ac:dyDescent="0.25">
      <c r="A544" t="s">
        <v>168</v>
      </c>
      <c r="B544" s="12">
        <v>85</v>
      </c>
      <c r="C544">
        <v>91</v>
      </c>
      <c r="D544">
        <v>96248</v>
      </c>
      <c r="E544">
        <v>23066</v>
      </c>
      <c r="F544">
        <v>0.50745575221238937</v>
      </c>
      <c r="G544">
        <v>0.59734513274336287</v>
      </c>
      <c r="H544">
        <v>7.6196988900342683E-2</v>
      </c>
      <c r="I544">
        <v>6.8960787494871348E-2</v>
      </c>
    </row>
    <row r="545" spans="1:9" x14ac:dyDescent="0.25">
      <c r="A545" t="s">
        <v>67</v>
      </c>
      <c r="B545" s="12">
        <v>86</v>
      </c>
      <c r="C545">
        <v>105</v>
      </c>
      <c r="D545">
        <v>96228</v>
      </c>
      <c r="E545">
        <v>15667</v>
      </c>
      <c r="F545">
        <v>0.34471238938053089</v>
      </c>
      <c r="G545">
        <v>0.53539823008849563</v>
      </c>
      <c r="H545">
        <v>4.2606708885569312E-2</v>
      </c>
      <c r="I545">
        <v>1.35415465881717E-2</v>
      </c>
    </row>
    <row r="546" spans="1:9" x14ac:dyDescent="0.25">
      <c r="A546" t="s">
        <v>141</v>
      </c>
      <c r="B546" s="12">
        <v>87</v>
      </c>
      <c r="C546">
        <v>20</v>
      </c>
      <c r="D546">
        <v>96183</v>
      </c>
      <c r="E546">
        <v>30749</v>
      </c>
      <c r="F546">
        <v>0.6763274336283186</v>
      </c>
      <c r="G546">
        <v>0.91150442477876104</v>
      </c>
      <c r="H546">
        <v>9.5640814646230726E-2</v>
      </c>
      <c r="I546">
        <v>-3.374021667547529E-3</v>
      </c>
    </row>
    <row r="547" spans="1:9" x14ac:dyDescent="0.25">
      <c r="A547" t="s">
        <v>102</v>
      </c>
      <c r="B547" s="12">
        <v>88</v>
      </c>
      <c r="C547">
        <v>181</v>
      </c>
      <c r="D547">
        <v>96138</v>
      </c>
      <c r="E547">
        <v>10234</v>
      </c>
      <c r="F547">
        <v>0.22511061946902661</v>
      </c>
      <c r="G547">
        <v>0.19911504424778759</v>
      </c>
      <c r="H547">
        <v>3.1135170528998179E-2</v>
      </c>
      <c r="I547">
        <v>8.9105179228213219E-2</v>
      </c>
    </row>
    <row r="548" spans="1:9" x14ac:dyDescent="0.25">
      <c r="A548" t="s">
        <v>161</v>
      </c>
      <c r="B548" s="12">
        <v>89</v>
      </c>
      <c r="C548">
        <v>96</v>
      </c>
      <c r="D548">
        <v>96135</v>
      </c>
      <c r="E548">
        <v>22186</v>
      </c>
      <c r="F548">
        <v>0.48858407079646021</v>
      </c>
      <c r="G548">
        <v>0.5752212389380531</v>
      </c>
      <c r="H548">
        <v>7.1386954959660839E-2</v>
      </c>
      <c r="I548">
        <v>5.9525200046441781E-2</v>
      </c>
    </row>
    <row r="549" spans="1:9" x14ac:dyDescent="0.25">
      <c r="A549" t="s">
        <v>209</v>
      </c>
      <c r="B549" s="12">
        <v>90</v>
      </c>
      <c r="C549">
        <v>134</v>
      </c>
      <c r="D549">
        <v>96131</v>
      </c>
      <c r="E549">
        <v>15034</v>
      </c>
      <c r="F549">
        <v>0.3311946902654867</v>
      </c>
      <c r="G549">
        <v>0.40707964601769908</v>
      </c>
      <c r="H549">
        <v>4.2764757522547228E-2</v>
      </c>
      <c r="I549">
        <v>4.3790579344700743E-2</v>
      </c>
    </row>
    <row r="550" spans="1:9" x14ac:dyDescent="0.25">
      <c r="A550" t="s">
        <v>259</v>
      </c>
      <c r="B550" s="12">
        <v>91</v>
      </c>
      <c r="C550">
        <v>195</v>
      </c>
      <c r="D550">
        <v>96080</v>
      </c>
      <c r="E550">
        <v>4846</v>
      </c>
      <c r="F550">
        <v>0.10668141592920349</v>
      </c>
      <c r="G550">
        <v>0.13716814159292029</v>
      </c>
      <c r="H550">
        <v>1.386276129616021E-2</v>
      </c>
      <c r="I550">
        <v>9.6605183418642757E-2</v>
      </c>
    </row>
    <row r="551" spans="1:9" x14ac:dyDescent="0.25">
      <c r="A551" t="s">
        <v>241</v>
      </c>
      <c r="B551" s="12">
        <v>92</v>
      </c>
      <c r="C551">
        <v>195</v>
      </c>
      <c r="D551">
        <v>95993</v>
      </c>
      <c r="E551">
        <v>5188</v>
      </c>
      <c r="F551">
        <v>0.1142699115044248</v>
      </c>
      <c r="G551">
        <v>0.13716814159292029</v>
      </c>
      <c r="H551">
        <v>1.459840323326984E-2</v>
      </c>
      <c r="I551">
        <v>9.2072494821828915E-2</v>
      </c>
    </row>
    <row r="552" spans="1:9" x14ac:dyDescent="0.25">
      <c r="A552" t="s">
        <v>187</v>
      </c>
      <c r="B552" s="12">
        <v>93</v>
      </c>
      <c r="C552">
        <v>103</v>
      </c>
      <c r="D552">
        <v>95982</v>
      </c>
      <c r="E552">
        <v>21708</v>
      </c>
      <c r="F552">
        <v>0.47794247787610622</v>
      </c>
      <c r="G552">
        <v>0.54424778761061943</v>
      </c>
      <c r="H552">
        <v>6.9959970413852435E-2</v>
      </c>
      <c r="I552">
        <v>6.5630598316695085E-2</v>
      </c>
    </row>
    <row r="553" spans="1:9" x14ac:dyDescent="0.25">
      <c r="A553" t="s">
        <v>100</v>
      </c>
      <c r="B553" s="12">
        <v>94</v>
      </c>
      <c r="C553">
        <v>193</v>
      </c>
      <c r="D553">
        <v>95951</v>
      </c>
      <c r="E553">
        <v>14323</v>
      </c>
      <c r="F553">
        <v>0.31621681415929198</v>
      </c>
      <c r="G553">
        <v>0.14601769911504431</v>
      </c>
      <c r="H553">
        <v>4.9339222737270191E-2</v>
      </c>
      <c r="I553">
        <v>0.1093132186343915</v>
      </c>
    </row>
    <row r="554" spans="1:9" x14ac:dyDescent="0.25">
      <c r="A554" t="s">
        <v>142</v>
      </c>
      <c r="B554" s="12">
        <v>95</v>
      </c>
      <c r="C554">
        <v>202</v>
      </c>
      <c r="D554">
        <v>95936</v>
      </c>
      <c r="E554">
        <v>6352</v>
      </c>
      <c r="F554">
        <v>0.13991150442477879</v>
      </c>
      <c r="G554">
        <v>0.1061946902654867</v>
      </c>
      <c r="H554">
        <v>1.9334107727161341E-2</v>
      </c>
      <c r="I554">
        <v>9.9411995175978415E-2</v>
      </c>
    </row>
    <row r="555" spans="1:9" x14ac:dyDescent="0.25">
      <c r="A555" t="s">
        <v>157</v>
      </c>
      <c r="B555" s="12">
        <v>96</v>
      </c>
      <c r="C555">
        <v>102</v>
      </c>
      <c r="D555">
        <v>95935</v>
      </c>
      <c r="E555">
        <v>22393</v>
      </c>
      <c r="F555">
        <v>0.4932300884955752</v>
      </c>
      <c r="G555">
        <v>0.54867256637168138</v>
      </c>
      <c r="H555">
        <v>7.3767679298299665E-2</v>
      </c>
      <c r="I555">
        <v>6.8638941703054082E-2</v>
      </c>
    </row>
    <row r="556" spans="1:9" x14ac:dyDescent="0.25">
      <c r="A556" t="s">
        <v>125</v>
      </c>
      <c r="B556" s="12">
        <v>97</v>
      </c>
      <c r="C556">
        <v>139</v>
      </c>
      <c r="D556">
        <v>95929</v>
      </c>
      <c r="E556">
        <v>20059</v>
      </c>
      <c r="F556">
        <v>0.44183628318584067</v>
      </c>
      <c r="G556">
        <v>0.38495575221238942</v>
      </c>
      <c r="H556">
        <v>6.6194076189792672E-2</v>
      </c>
      <c r="I556">
        <v>8.2318337160569188E-2</v>
      </c>
    </row>
    <row r="557" spans="1:9" x14ac:dyDescent="0.25">
      <c r="A557" t="s">
        <v>214</v>
      </c>
      <c r="B557" s="12">
        <v>98</v>
      </c>
      <c r="C557">
        <v>156</v>
      </c>
      <c r="D557">
        <v>95812</v>
      </c>
      <c r="E557">
        <v>9947</v>
      </c>
      <c r="F557">
        <v>0.21780973451327429</v>
      </c>
      <c r="G557">
        <v>0.30973451327433632</v>
      </c>
      <c r="H557">
        <v>2.8521694936128821E-2</v>
      </c>
      <c r="I557">
        <v>6.9024534935437823E-2</v>
      </c>
    </row>
    <row r="558" spans="1:9" x14ac:dyDescent="0.25">
      <c r="A558" t="s">
        <v>16</v>
      </c>
      <c r="B558" s="12">
        <v>99</v>
      </c>
      <c r="C558">
        <v>138</v>
      </c>
      <c r="D558">
        <v>95796</v>
      </c>
      <c r="E558">
        <v>19322</v>
      </c>
      <c r="F558">
        <v>0.42608407079646021</v>
      </c>
      <c r="G558">
        <v>0.38938053097345132</v>
      </c>
      <c r="H558">
        <v>6.1905506949927573E-2</v>
      </c>
      <c r="I558">
        <v>7.4646190410425833E-2</v>
      </c>
    </row>
    <row r="559" spans="1:9" x14ac:dyDescent="0.25">
      <c r="A559" t="s">
        <v>150</v>
      </c>
      <c r="B559" s="12">
        <v>100</v>
      </c>
      <c r="C559">
        <v>203</v>
      </c>
      <c r="D559">
        <v>95719</v>
      </c>
      <c r="E559">
        <v>7036</v>
      </c>
      <c r="F559">
        <v>0.15517699115044251</v>
      </c>
      <c r="G559">
        <v>0.1017699115044248</v>
      </c>
      <c r="H559">
        <v>2.255157379444548E-2</v>
      </c>
      <c r="I559">
        <v>0.1061559720386018</v>
      </c>
    </row>
    <row r="560" spans="1:9" x14ac:dyDescent="0.25">
      <c r="A560" t="s">
        <v>84</v>
      </c>
      <c r="B560" s="12">
        <v>101</v>
      </c>
      <c r="C560">
        <v>111</v>
      </c>
      <c r="D560">
        <v>95718</v>
      </c>
      <c r="E560">
        <v>15233</v>
      </c>
      <c r="F560">
        <v>0.33378318584070799</v>
      </c>
      <c r="G560">
        <v>0.50884955752212391</v>
      </c>
      <c r="H560">
        <v>4.1034426663555883E-2</v>
      </c>
      <c r="I560">
        <v>2.18945650295083E-2</v>
      </c>
    </row>
    <row r="561" spans="1:9" x14ac:dyDescent="0.25">
      <c r="A561" t="s">
        <v>180</v>
      </c>
      <c r="B561" s="12">
        <v>102</v>
      </c>
      <c r="C561">
        <v>93</v>
      </c>
      <c r="D561">
        <v>95707</v>
      </c>
      <c r="E561">
        <v>18472</v>
      </c>
      <c r="F561">
        <v>0.4070353982300885</v>
      </c>
      <c r="G561">
        <v>0.58849557522123896</v>
      </c>
      <c r="H561">
        <v>5.7143159506318209E-2</v>
      </c>
      <c r="I561">
        <v>5.2627216895200633E-2</v>
      </c>
    </row>
    <row r="562" spans="1:9" x14ac:dyDescent="0.25">
      <c r="A562" t="s">
        <v>189</v>
      </c>
      <c r="B562" s="12">
        <v>103</v>
      </c>
      <c r="C562">
        <v>102</v>
      </c>
      <c r="D562">
        <v>95681</v>
      </c>
      <c r="E562">
        <v>21416</v>
      </c>
      <c r="F562">
        <v>0.4718362831858407</v>
      </c>
      <c r="G562">
        <v>0.54867256637168138</v>
      </c>
      <c r="H562">
        <v>6.9431061396253116E-2</v>
      </c>
      <c r="I562">
        <v>6.7291127282994273E-2</v>
      </c>
    </row>
    <row r="563" spans="1:9" x14ac:dyDescent="0.25">
      <c r="A563" t="s">
        <v>136</v>
      </c>
      <c r="B563" s="12">
        <v>104</v>
      </c>
      <c r="C563">
        <v>165</v>
      </c>
      <c r="D563">
        <v>95650</v>
      </c>
      <c r="E563">
        <v>7698</v>
      </c>
      <c r="F563">
        <v>0.16960176991150441</v>
      </c>
      <c r="G563">
        <v>0.26991150442477868</v>
      </c>
      <c r="H563">
        <v>2.304892511217408E-2</v>
      </c>
      <c r="I563">
        <v>9.0970878627186974E-2</v>
      </c>
    </row>
    <row r="564" spans="1:9" x14ac:dyDescent="0.25">
      <c r="A564" t="s">
        <v>265</v>
      </c>
      <c r="B564" s="12">
        <v>105</v>
      </c>
      <c r="C564">
        <v>192</v>
      </c>
      <c r="D564">
        <v>95649</v>
      </c>
      <c r="E564">
        <v>6817</v>
      </c>
      <c r="F564">
        <v>0.15024336283185841</v>
      </c>
      <c r="G564">
        <v>0.15044247787610621</v>
      </c>
      <c r="H564">
        <v>2.0223015012703752E-2</v>
      </c>
      <c r="I564">
        <v>9.4706415858068618E-2</v>
      </c>
    </row>
    <row r="565" spans="1:9" x14ac:dyDescent="0.25">
      <c r="A565" t="s">
        <v>132</v>
      </c>
      <c r="B565" s="12">
        <v>106</v>
      </c>
      <c r="C565">
        <v>155</v>
      </c>
      <c r="D565">
        <v>95588</v>
      </c>
      <c r="E565">
        <v>17979</v>
      </c>
      <c r="F565">
        <v>0.39690265486725662</v>
      </c>
      <c r="G565">
        <v>0.31415929203539822</v>
      </c>
      <c r="H565">
        <v>5.9634278812881442E-2</v>
      </c>
      <c r="I565">
        <v>8.2753894662662142E-2</v>
      </c>
    </row>
    <row r="566" spans="1:9" x14ac:dyDescent="0.25">
      <c r="A566" t="s">
        <v>10</v>
      </c>
      <c r="B566" s="12">
        <v>107</v>
      </c>
      <c r="C566">
        <v>149</v>
      </c>
      <c r="D566">
        <v>95565</v>
      </c>
      <c r="E566">
        <v>13347</v>
      </c>
      <c r="F566">
        <v>0.29407079646017698</v>
      </c>
      <c r="G566">
        <v>0.34070796460176989</v>
      </c>
      <c r="H566">
        <v>4.2059500753149237E-2</v>
      </c>
      <c r="I566">
        <v>8.3906124759738562E-2</v>
      </c>
    </row>
    <row r="567" spans="1:9" x14ac:dyDescent="0.25">
      <c r="A567" t="s">
        <v>158</v>
      </c>
      <c r="B567" s="12">
        <v>108</v>
      </c>
      <c r="C567">
        <v>83</v>
      </c>
      <c r="D567">
        <v>95556</v>
      </c>
      <c r="E567">
        <v>24068</v>
      </c>
      <c r="F567">
        <v>0.52975663716814159</v>
      </c>
      <c r="G567">
        <v>0.63274336283185839</v>
      </c>
      <c r="H567">
        <v>7.5568180712017749E-2</v>
      </c>
      <c r="I567">
        <v>3.5731467589910401E-2</v>
      </c>
    </row>
    <row r="568" spans="1:9" x14ac:dyDescent="0.25">
      <c r="A568" t="s">
        <v>18</v>
      </c>
      <c r="B568" s="12">
        <v>109</v>
      </c>
      <c r="C568">
        <v>143</v>
      </c>
      <c r="D568">
        <v>95529</v>
      </c>
      <c r="E568">
        <v>18331</v>
      </c>
      <c r="F568">
        <v>0.40455752212389379</v>
      </c>
      <c r="G568">
        <v>0.36725663716814161</v>
      </c>
      <c r="H568">
        <v>6.0203028478622737E-2</v>
      </c>
      <c r="I568">
        <v>7.99309777501961E-2</v>
      </c>
    </row>
    <row r="569" spans="1:9" x14ac:dyDescent="0.25">
      <c r="A569" t="s">
        <v>117</v>
      </c>
      <c r="B569" s="12">
        <v>110</v>
      </c>
      <c r="C569">
        <v>51</v>
      </c>
      <c r="D569">
        <v>95512</v>
      </c>
      <c r="E569">
        <v>29903</v>
      </c>
      <c r="F569">
        <v>0.65800884955752215</v>
      </c>
      <c r="G569">
        <v>0.77433628318584069</v>
      </c>
      <c r="H569">
        <v>9.0375438552466575E-2</v>
      </c>
      <c r="I569">
        <v>-6.2971247157484313E-3</v>
      </c>
    </row>
    <row r="570" spans="1:9" x14ac:dyDescent="0.25">
      <c r="A570" t="s">
        <v>153</v>
      </c>
      <c r="B570" s="12">
        <v>111</v>
      </c>
      <c r="C570">
        <v>86</v>
      </c>
      <c r="D570">
        <v>95497</v>
      </c>
      <c r="E570">
        <v>23763</v>
      </c>
      <c r="F570">
        <v>0.5223893805309735</v>
      </c>
      <c r="G570">
        <v>0.61946902654867253</v>
      </c>
      <c r="H570">
        <v>7.5098055379070078E-2</v>
      </c>
      <c r="I570">
        <v>3.5497600693527483E-2</v>
      </c>
    </row>
    <row r="571" spans="1:9" x14ac:dyDescent="0.25">
      <c r="A571" t="s">
        <v>88</v>
      </c>
      <c r="B571" s="12">
        <v>112</v>
      </c>
      <c r="C571">
        <v>134</v>
      </c>
      <c r="D571">
        <v>95468</v>
      </c>
      <c r="E571">
        <v>14575</v>
      </c>
      <c r="F571">
        <v>0.32055309734513282</v>
      </c>
      <c r="G571">
        <v>0.40707964601769908</v>
      </c>
      <c r="H571">
        <v>4.5421109646507453E-2</v>
      </c>
      <c r="I571">
        <v>6.8777781437967311E-2</v>
      </c>
    </row>
    <row r="572" spans="1:9" x14ac:dyDescent="0.25">
      <c r="A572" t="s">
        <v>275</v>
      </c>
      <c r="B572" s="12">
        <v>113</v>
      </c>
      <c r="C572">
        <v>203</v>
      </c>
      <c r="D572">
        <v>95408</v>
      </c>
      <c r="E572">
        <v>4449</v>
      </c>
      <c r="F572">
        <v>9.8075221238938054E-2</v>
      </c>
      <c r="G572">
        <v>0.1017699115044248</v>
      </c>
      <c r="H572">
        <v>1.2479593227453329E-2</v>
      </c>
      <c r="I572">
        <v>9.603638091126139E-2</v>
      </c>
    </row>
    <row r="573" spans="1:9" x14ac:dyDescent="0.25">
      <c r="A573" t="s">
        <v>179</v>
      </c>
      <c r="B573" s="12">
        <v>114</v>
      </c>
      <c r="C573">
        <v>141</v>
      </c>
      <c r="D573">
        <v>95379</v>
      </c>
      <c r="E573">
        <v>9303</v>
      </c>
      <c r="F573">
        <v>0.2030309734513274</v>
      </c>
      <c r="G573">
        <v>0.37610619469026552</v>
      </c>
      <c r="H573">
        <v>2.3903731428676508E-2</v>
      </c>
      <c r="I573">
        <v>5.0836811350015179E-2</v>
      </c>
    </row>
    <row r="574" spans="1:9" x14ac:dyDescent="0.25">
      <c r="A574" t="s">
        <v>129</v>
      </c>
      <c r="B574" s="12">
        <v>115</v>
      </c>
      <c r="C574">
        <v>164</v>
      </c>
      <c r="D574">
        <v>95330</v>
      </c>
      <c r="E574">
        <v>8828</v>
      </c>
      <c r="F574">
        <v>0.19449115044247789</v>
      </c>
      <c r="G574">
        <v>0.27433628318584069</v>
      </c>
      <c r="H574">
        <v>2.6890767685346591E-2</v>
      </c>
      <c r="I574">
        <v>9.1859757711748896E-2</v>
      </c>
    </row>
    <row r="575" spans="1:9" x14ac:dyDescent="0.25">
      <c r="A575" t="s">
        <v>206</v>
      </c>
      <c r="B575" s="12">
        <v>116</v>
      </c>
      <c r="C575">
        <v>108</v>
      </c>
      <c r="D575">
        <v>95309</v>
      </c>
      <c r="E575">
        <v>20600</v>
      </c>
      <c r="F575">
        <v>0.45342920353982302</v>
      </c>
      <c r="G575">
        <v>0.52212389380530977</v>
      </c>
      <c r="H575">
        <v>6.4597944663387433E-2</v>
      </c>
      <c r="I575">
        <v>5.6018405817450177E-2</v>
      </c>
    </row>
    <row r="576" spans="1:9" x14ac:dyDescent="0.25">
      <c r="A576" t="s">
        <v>186</v>
      </c>
      <c r="B576" s="12">
        <v>117</v>
      </c>
      <c r="C576">
        <v>96</v>
      </c>
      <c r="D576">
        <v>94959</v>
      </c>
      <c r="E576">
        <v>21321</v>
      </c>
      <c r="F576">
        <v>0.4691150442477876</v>
      </c>
      <c r="G576">
        <v>0.5752212389380531</v>
      </c>
      <c r="H576">
        <v>6.8831103341356059E-2</v>
      </c>
      <c r="I576">
        <v>6.7678778485790528E-2</v>
      </c>
    </row>
    <row r="577" spans="1:9" x14ac:dyDescent="0.25">
      <c r="A577" t="s">
        <v>73</v>
      </c>
      <c r="B577" s="12">
        <v>118</v>
      </c>
      <c r="C577">
        <v>78</v>
      </c>
      <c r="D577">
        <v>94887</v>
      </c>
      <c r="E577">
        <v>22980</v>
      </c>
      <c r="F577">
        <v>0.50615044247787611</v>
      </c>
      <c r="G577">
        <v>0.65486725663716816</v>
      </c>
      <c r="H577">
        <v>6.0116514873425703E-2</v>
      </c>
      <c r="I577">
        <v>-4.793345317816014E-2</v>
      </c>
    </row>
    <row r="578" spans="1:9" x14ac:dyDescent="0.25">
      <c r="A578" t="s">
        <v>238</v>
      </c>
      <c r="B578" s="12">
        <v>119</v>
      </c>
      <c r="C578">
        <v>143</v>
      </c>
      <c r="D578">
        <v>94871</v>
      </c>
      <c r="E578">
        <v>9467</v>
      </c>
      <c r="F578">
        <v>0.20876106194690269</v>
      </c>
      <c r="G578">
        <v>0.36725663716814161</v>
      </c>
      <c r="H578">
        <v>2.7316401057725981E-2</v>
      </c>
      <c r="I578">
        <v>6.7972970722445972E-2</v>
      </c>
    </row>
    <row r="579" spans="1:9" x14ac:dyDescent="0.25">
      <c r="A579" t="s">
        <v>199</v>
      </c>
      <c r="B579" s="12">
        <v>120</v>
      </c>
      <c r="C579">
        <v>118</v>
      </c>
      <c r="D579">
        <v>94870</v>
      </c>
      <c r="E579">
        <v>14968</v>
      </c>
      <c r="F579">
        <v>0.3304424778761062</v>
      </c>
      <c r="G579">
        <v>0.47787610619469029</v>
      </c>
      <c r="H579">
        <v>4.4951533412090482E-2</v>
      </c>
      <c r="I579">
        <v>6.3654392325227765E-2</v>
      </c>
    </row>
    <row r="580" spans="1:9" x14ac:dyDescent="0.25">
      <c r="A580" t="s">
        <v>123</v>
      </c>
      <c r="B580" s="12">
        <v>121</v>
      </c>
      <c r="C580">
        <v>62</v>
      </c>
      <c r="D580">
        <v>94854</v>
      </c>
      <c r="E580">
        <v>28732</v>
      </c>
      <c r="F580">
        <v>0.63245575221238937</v>
      </c>
      <c r="G580">
        <v>0.72566371681415931</v>
      </c>
      <c r="H580">
        <v>8.596739510797323E-2</v>
      </c>
      <c r="I580">
        <v>-2.591951471323599E-3</v>
      </c>
    </row>
    <row r="581" spans="1:9" x14ac:dyDescent="0.25">
      <c r="A581" t="s">
        <v>215</v>
      </c>
      <c r="B581" s="12">
        <v>122</v>
      </c>
      <c r="C581">
        <v>90</v>
      </c>
      <c r="D581">
        <v>94807</v>
      </c>
      <c r="E581">
        <v>22555</v>
      </c>
      <c r="F581">
        <v>0.49672566371681409</v>
      </c>
      <c r="G581">
        <v>0.60176991150442483</v>
      </c>
      <c r="H581">
        <v>6.3493778380976654E-2</v>
      </c>
      <c r="I581">
        <v>2.8538774314215169E-3</v>
      </c>
    </row>
    <row r="582" spans="1:9" x14ac:dyDescent="0.25">
      <c r="A582" t="s">
        <v>79</v>
      </c>
      <c r="B582" s="12">
        <v>123</v>
      </c>
      <c r="C582">
        <v>124</v>
      </c>
      <c r="D582">
        <v>94790</v>
      </c>
      <c r="E582">
        <v>15312</v>
      </c>
      <c r="F582">
        <v>0.33672566371681423</v>
      </c>
      <c r="G582">
        <v>0.45132743362831862</v>
      </c>
      <c r="H582">
        <v>4.7522102137322803E-2</v>
      </c>
      <c r="I582">
        <v>7.3311479420335432E-2</v>
      </c>
    </row>
    <row r="583" spans="1:9" x14ac:dyDescent="0.25">
      <c r="A583" t="s">
        <v>247</v>
      </c>
      <c r="B583" s="12">
        <v>124</v>
      </c>
      <c r="C583">
        <v>152</v>
      </c>
      <c r="D583">
        <v>94789</v>
      </c>
      <c r="E583">
        <v>8309</v>
      </c>
      <c r="F583">
        <v>0.18320796460176991</v>
      </c>
      <c r="G583">
        <v>0.32743362831858408</v>
      </c>
      <c r="H583">
        <v>2.3388808970931891E-2</v>
      </c>
      <c r="I583">
        <v>7.5680418528121282E-2</v>
      </c>
    </row>
    <row r="584" spans="1:9" x14ac:dyDescent="0.25">
      <c r="A584" t="s">
        <v>105</v>
      </c>
      <c r="B584" s="12">
        <v>125</v>
      </c>
      <c r="C584">
        <v>197</v>
      </c>
      <c r="D584">
        <v>94786</v>
      </c>
      <c r="E584">
        <v>13888</v>
      </c>
      <c r="F584">
        <v>0.30606194690265492</v>
      </c>
      <c r="G584">
        <v>0.12831858407079649</v>
      </c>
      <c r="H584">
        <v>4.7902554696393339E-2</v>
      </c>
      <c r="I584">
        <v>0.106728276545121</v>
      </c>
    </row>
    <row r="585" spans="1:9" x14ac:dyDescent="0.25">
      <c r="A585" t="s">
        <v>72</v>
      </c>
      <c r="B585" s="12">
        <v>126</v>
      </c>
      <c r="C585">
        <v>176</v>
      </c>
      <c r="D585">
        <v>94702</v>
      </c>
      <c r="E585">
        <v>14222</v>
      </c>
      <c r="F585">
        <v>0.31362831858407081</v>
      </c>
      <c r="G585">
        <v>0.22123893805309741</v>
      </c>
      <c r="H585">
        <v>4.620503054182195E-2</v>
      </c>
      <c r="I585">
        <v>8.8065960697610107E-2</v>
      </c>
    </row>
    <row r="586" spans="1:9" x14ac:dyDescent="0.25">
      <c r="A586" t="s">
        <v>138</v>
      </c>
      <c r="B586" s="12">
        <v>127</v>
      </c>
      <c r="C586">
        <v>182</v>
      </c>
      <c r="D586">
        <v>94660</v>
      </c>
      <c r="E586">
        <v>17258</v>
      </c>
      <c r="F586">
        <v>0.38015486725663722</v>
      </c>
      <c r="G586">
        <v>0.19469026548672569</v>
      </c>
      <c r="H586">
        <v>5.803287464332705E-2</v>
      </c>
      <c r="I586">
        <v>0.1014900283739885</v>
      </c>
    </row>
    <row r="587" spans="1:9" x14ac:dyDescent="0.25">
      <c r="A587" t="s">
        <v>250</v>
      </c>
      <c r="B587" s="12">
        <v>128</v>
      </c>
      <c r="C587">
        <v>199</v>
      </c>
      <c r="D587">
        <v>94554</v>
      </c>
      <c r="E587">
        <v>4764</v>
      </c>
      <c r="F587">
        <v>0.105</v>
      </c>
      <c r="G587">
        <v>0.1194690265486726</v>
      </c>
      <c r="H587">
        <v>1.343198456777598E-2</v>
      </c>
      <c r="I587">
        <v>9.506854101502224E-2</v>
      </c>
    </row>
    <row r="588" spans="1:9" x14ac:dyDescent="0.25">
      <c r="A588" t="s">
        <v>148</v>
      </c>
      <c r="B588" s="12">
        <v>129</v>
      </c>
      <c r="C588">
        <v>26</v>
      </c>
      <c r="D588">
        <v>94498</v>
      </c>
      <c r="E588">
        <v>28001</v>
      </c>
      <c r="F588">
        <v>0.61548672566371676</v>
      </c>
      <c r="G588">
        <v>0.88495575221238942</v>
      </c>
      <c r="H588">
        <v>8.8034637486338746E-2</v>
      </c>
      <c r="I588">
        <v>1.4484402833681371E-2</v>
      </c>
    </row>
    <row r="589" spans="1:9" x14ac:dyDescent="0.25">
      <c r="A589" t="s">
        <v>74</v>
      </c>
      <c r="B589" s="12">
        <v>130</v>
      </c>
      <c r="C589">
        <v>108</v>
      </c>
      <c r="D589">
        <v>94488</v>
      </c>
      <c r="E589">
        <v>15609</v>
      </c>
      <c r="F589">
        <v>0.34314159292035401</v>
      </c>
      <c r="G589">
        <v>0.52212389380530977</v>
      </c>
      <c r="H589">
        <v>4.2683638790599727E-2</v>
      </c>
      <c r="I589">
        <v>1.8442686919440121E-2</v>
      </c>
    </row>
    <row r="590" spans="1:9" x14ac:dyDescent="0.25">
      <c r="A590" t="s">
        <v>144</v>
      </c>
      <c r="B590" s="12">
        <v>131</v>
      </c>
      <c r="C590">
        <v>194</v>
      </c>
      <c r="D590">
        <v>94438</v>
      </c>
      <c r="E590">
        <v>7345</v>
      </c>
      <c r="F590">
        <v>0.1620353982300885</v>
      </c>
      <c r="G590">
        <v>0.1415929203539823</v>
      </c>
      <c r="H590">
        <v>2.3834288821261519E-2</v>
      </c>
      <c r="I590">
        <v>0.1087347781503758</v>
      </c>
    </row>
    <row r="591" spans="1:9" x14ac:dyDescent="0.25">
      <c r="A591" t="s">
        <v>174</v>
      </c>
      <c r="B591" s="12">
        <v>132</v>
      </c>
      <c r="C591">
        <v>161</v>
      </c>
      <c r="D591">
        <v>94347</v>
      </c>
      <c r="E591">
        <v>14723</v>
      </c>
      <c r="F591">
        <v>0.3248230088495575</v>
      </c>
      <c r="G591">
        <v>0.28761061946902661</v>
      </c>
      <c r="H591">
        <v>4.7694201137054047E-2</v>
      </c>
      <c r="I591">
        <v>9.8491307219137264E-2</v>
      </c>
    </row>
    <row r="592" spans="1:9" x14ac:dyDescent="0.25">
      <c r="A592" t="s">
        <v>236</v>
      </c>
      <c r="B592" s="12">
        <v>133</v>
      </c>
      <c r="C592">
        <v>135</v>
      </c>
      <c r="D592">
        <v>94270</v>
      </c>
      <c r="E592">
        <v>16577</v>
      </c>
      <c r="F592">
        <v>0.36557522123893799</v>
      </c>
      <c r="G592">
        <v>0.40265486725663718</v>
      </c>
      <c r="H592">
        <v>5.3159201732469387E-2</v>
      </c>
      <c r="I592">
        <v>8.66975726215473E-2</v>
      </c>
    </row>
    <row r="593" spans="1:9" x14ac:dyDescent="0.25">
      <c r="A593" t="s">
        <v>185</v>
      </c>
      <c r="B593" s="12">
        <v>134</v>
      </c>
      <c r="C593">
        <v>52</v>
      </c>
      <c r="D593">
        <v>94237</v>
      </c>
      <c r="E593">
        <v>31585</v>
      </c>
      <c r="F593">
        <v>0.69504424778761065</v>
      </c>
      <c r="G593">
        <v>0.76991150442477874</v>
      </c>
      <c r="H593">
        <v>9.3086487177088742E-2</v>
      </c>
      <c r="I593">
        <v>-3.4116366901977078E-2</v>
      </c>
    </row>
    <row r="594" spans="1:9" x14ac:dyDescent="0.25">
      <c r="A594" t="s">
        <v>68</v>
      </c>
      <c r="B594" s="12">
        <v>135</v>
      </c>
      <c r="C594">
        <v>132</v>
      </c>
      <c r="D594">
        <v>94131</v>
      </c>
      <c r="E594">
        <v>14080</v>
      </c>
      <c r="F594">
        <v>0.30991150442477883</v>
      </c>
      <c r="G594">
        <v>0.41592920353982299</v>
      </c>
      <c r="H594">
        <v>3.5320495211351957E-2</v>
      </c>
      <c r="I594">
        <v>1.070673340822325E-2</v>
      </c>
    </row>
    <row r="595" spans="1:9" x14ac:dyDescent="0.25">
      <c r="A595" t="s">
        <v>139</v>
      </c>
      <c r="B595" s="12">
        <v>136</v>
      </c>
      <c r="C595">
        <v>179</v>
      </c>
      <c r="D595">
        <v>94130</v>
      </c>
      <c r="E595">
        <v>8588</v>
      </c>
      <c r="F595">
        <v>0.18944690265486719</v>
      </c>
      <c r="G595">
        <v>0.20796460176991149</v>
      </c>
      <c r="H595">
        <v>2.6169137812300729E-2</v>
      </c>
      <c r="I595">
        <v>9.3066559697165971E-2</v>
      </c>
    </row>
    <row r="596" spans="1:9" x14ac:dyDescent="0.25">
      <c r="A596" t="s">
        <v>252</v>
      </c>
      <c r="B596" s="12">
        <v>137</v>
      </c>
      <c r="C596">
        <v>136</v>
      </c>
      <c r="D596">
        <v>94094</v>
      </c>
      <c r="E596">
        <v>16846</v>
      </c>
      <c r="F596">
        <v>0.3711283185840708</v>
      </c>
      <c r="G596">
        <v>0.39823008849557517</v>
      </c>
      <c r="H596">
        <v>5.1840798192150143E-2</v>
      </c>
      <c r="I596">
        <v>6.6748880894929002E-2</v>
      </c>
    </row>
    <row r="597" spans="1:9" x14ac:dyDescent="0.25">
      <c r="A597" t="s">
        <v>156</v>
      </c>
      <c r="B597" s="12">
        <v>138</v>
      </c>
      <c r="C597">
        <v>157</v>
      </c>
      <c r="D597">
        <v>94076</v>
      </c>
      <c r="E597">
        <v>16765</v>
      </c>
      <c r="F597">
        <v>0.36995575221238941</v>
      </c>
      <c r="G597">
        <v>0.30530973451327431</v>
      </c>
      <c r="H597">
        <v>5.5369578024529131E-2</v>
      </c>
      <c r="I597">
        <v>9.3448369448114812E-2</v>
      </c>
    </row>
    <row r="598" spans="1:9" x14ac:dyDescent="0.25">
      <c r="A598" t="s">
        <v>261</v>
      </c>
      <c r="B598" s="12">
        <v>139</v>
      </c>
      <c r="C598">
        <v>143</v>
      </c>
      <c r="D598">
        <v>94045</v>
      </c>
      <c r="E598">
        <v>8894</v>
      </c>
      <c r="F598">
        <v>0.19595132743362831</v>
      </c>
      <c r="G598">
        <v>0.36725663716814161</v>
      </c>
      <c r="H598">
        <v>2.4797101123461979E-2</v>
      </c>
      <c r="I598">
        <v>7.2455785133664269E-2</v>
      </c>
    </row>
    <row r="599" spans="1:9" x14ac:dyDescent="0.25">
      <c r="A599" t="s">
        <v>178</v>
      </c>
      <c r="B599" s="12">
        <v>140</v>
      </c>
      <c r="C599">
        <v>51</v>
      </c>
      <c r="D599">
        <v>94041</v>
      </c>
      <c r="E599">
        <v>34764</v>
      </c>
      <c r="F599">
        <v>0.76506637168141589</v>
      </c>
      <c r="G599">
        <v>0.77433628318584069</v>
      </c>
      <c r="H599">
        <v>9.7819681531523039E-2</v>
      </c>
      <c r="I599">
        <v>-8.0555315056030211E-2</v>
      </c>
    </row>
    <row r="600" spans="1:9" x14ac:dyDescent="0.25">
      <c r="A600" t="s">
        <v>75</v>
      </c>
      <c r="B600" s="12">
        <v>141</v>
      </c>
      <c r="C600">
        <v>107</v>
      </c>
      <c r="D600">
        <v>94034</v>
      </c>
      <c r="E600">
        <v>16979</v>
      </c>
      <c r="F600">
        <v>0.37444690265486719</v>
      </c>
      <c r="G600">
        <v>0.52654867256637172</v>
      </c>
      <c r="H600">
        <v>4.9480937319584951E-2</v>
      </c>
      <c r="I600">
        <v>3.7057001303400491E-2</v>
      </c>
    </row>
    <row r="601" spans="1:9" x14ac:dyDescent="0.25">
      <c r="A601" t="s">
        <v>223</v>
      </c>
      <c r="B601" s="12">
        <v>142</v>
      </c>
      <c r="C601">
        <v>127</v>
      </c>
      <c r="D601">
        <v>94005</v>
      </c>
      <c r="E601">
        <v>18825</v>
      </c>
      <c r="F601">
        <v>0.41526548672566371</v>
      </c>
      <c r="G601">
        <v>0.43805309734513281</v>
      </c>
      <c r="H601">
        <v>6.0328361593185269E-2</v>
      </c>
      <c r="I601">
        <v>7.8119450247726957E-2</v>
      </c>
    </row>
    <row r="602" spans="1:9" x14ac:dyDescent="0.25">
      <c r="A602" t="s">
        <v>173</v>
      </c>
      <c r="B602" s="12">
        <v>143</v>
      </c>
      <c r="C602">
        <v>191</v>
      </c>
      <c r="D602">
        <v>93993</v>
      </c>
      <c r="E602">
        <v>13349</v>
      </c>
      <c r="F602">
        <v>0.29480088495575218</v>
      </c>
      <c r="G602">
        <v>0.1548672566371681</v>
      </c>
      <c r="H602">
        <v>4.5068469035269967E-2</v>
      </c>
      <c r="I602">
        <v>0.11322052163802759</v>
      </c>
    </row>
    <row r="603" spans="1:9" x14ac:dyDescent="0.25">
      <c r="A603" t="s">
        <v>229</v>
      </c>
      <c r="B603" s="12">
        <v>144</v>
      </c>
      <c r="C603">
        <v>130</v>
      </c>
      <c r="D603">
        <v>93943</v>
      </c>
      <c r="E603">
        <v>18675</v>
      </c>
      <c r="F603">
        <v>0.41265486725663719</v>
      </c>
      <c r="G603">
        <v>0.4247787610619469</v>
      </c>
      <c r="H603">
        <v>6.5358785847716927E-2</v>
      </c>
      <c r="I603">
        <v>0.1049546314547371</v>
      </c>
    </row>
    <row r="604" spans="1:9" x14ac:dyDescent="0.25">
      <c r="A604" t="s">
        <v>120</v>
      </c>
      <c r="B604" s="12">
        <v>145</v>
      </c>
      <c r="C604">
        <v>68</v>
      </c>
      <c r="D604">
        <v>93873</v>
      </c>
      <c r="E604">
        <v>25624</v>
      </c>
      <c r="F604">
        <v>0.56407079646017699</v>
      </c>
      <c r="G604">
        <v>0.69911504424778759</v>
      </c>
      <c r="H604">
        <v>7.7181706135090872E-2</v>
      </c>
      <c r="I604">
        <v>1.3426106297348099E-2</v>
      </c>
    </row>
    <row r="605" spans="1:9" x14ac:dyDescent="0.25">
      <c r="A605" t="s">
        <v>149</v>
      </c>
      <c r="B605" s="12">
        <v>146</v>
      </c>
      <c r="C605">
        <v>195</v>
      </c>
      <c r="D605">
        <v>93835</v>
      </c>
      <c r="E605">
        <v>8528</v>
      </c>
      <c r="F605">
        <v>0.18823008849557521</v>
      </c>
      <c r="G605">
        <v>0.13716814159292029</v>
      </c>
      <c r="H605">
        <v>2.733354510352155E-2</v>
      </c>
      <c r="I605">
        <v>0.10546251513866139</v>
      </c>
    </row>
    <row r="606" spans="1:9" x14ac:dyDescent="0.25">
      <c r="A606" t="s">
        <v>255</v>
      </c>
      <c r="B606" s="12">
        <v>147</v>
      </c>
      <c r="C606">
        <v>187</v>
      </c>
      <c r="D606">
        <v>93705</v>
      </c>
      <c r="E606">
        <v>8337</v>
      </c>
      <c r="F606">
        <v>0.18387168141592919</v>
      </c>
      <c r="G606">
        <v>0.17256637168141589</v>
      </c>
      <c r="H606">
        <v>2.5398775468032639E-2</v>
      </c>
      <c r="I606">
        <v>9.531905816516352E-2</v>
      </c>
    </row>
    <row r="607" spans="1:9" x14ac:dyDescent="0.25">
      <c r="A607" t="s">
        <v>13</v>
      </c>
      <c r="B607" s="12">
        <v>148</v>
      </c>
      <c r="C607">
        <v>127</v>
      </c>
      <c r="D607">
        <v>93562</v>
      </c>
      <c r="E607">
        <v>23718</v>
      </c>
      <c r="F607">
        <v>0.52128318584070799</v>
      </c>
      <c r="G607">
        <v>0.43805309734513281</v>
      </c>
      <c r="H607">
        <v>6.9919662293010026E-2</v>
      </c>
      <c r="I607">
        <v>1.464903815854523E-2</v>
      </c>
    </row>
    <row r="608" spans="1:9" x14ac:dyDescent="0.25">
      <c r="A608" t="s">
        <v>107</v>
      </c>
      <c r="B608" s="12">
        <v>149</v>
      </c>
      <c r="C608">
        <v>91</v>
      </c>
      <c r="D608">
        <v>93540</v>
      </c>
      <c r="E608">
        <v>22565</v>
      </c>
      <c r="F608">
        <v>0.49692477876106189</v>
      </c>
      <c r="G608">
        <v>0.59734513274336287</v>
      </c>
      <c r="H608">
        <v>6.7317627706555472E-2</v>
      </c>
      <c r="I608">
        <v>2.0941469601221271E-2</v>
      </c>
    </row>
    <row r="609" spans="1:9" x14ac:dyDescent="0.25">
      <c r="A609" t="s">
        <v>164</v>
      </c>
      <c r="B609" s="12">
        <v>150</v>
      </c>
      <c r="C609">
        <v>194</v>
      </c>
      <c r="D609">
        <v>93510</v>
      </c>
      <c r="E609">
        <v>10094</v>
      </c>
      <c r="F609">
        <v>0.22294247787610619</v>
      </c>
      <c r="G609">
        <v>0.1415929203539823</v>
      </c>
      <c r="H609">
        <v>3.4381756863037162E-2</v>
      </c>
      <c r="I609">
        <v>0.1195918014958776</v>
      </c>
    </row>
    <row r="610" spans="1:9" x14ac:dyDescent="0.25">
      <c r="A610" t="s">
        <v>254</v>
      </c>
      <c r="B610" s="12">
        <v>151</v>
      </c>
      <c r="C610">
        <v>163</v>
      </c>
      <c r="D610">
        <v>93398</v>
      </c>
      <c r="E610">
        <v>11617</v>
      </c>
      <c r="F610">
        <v>0.25626106194690268</v>
      </c>
      <c r="G610">
        <v>0.27876106194690259</v>
      </c>
      <c r="H610">
        <v>3.6554721963492277E-2</v>
      </c>
      <c r="I610">
        <v>9.7169218012533948E-2</v>
      </c>
    </row>
    <row r="611" spans="1:9" x14ac:dyDescent="0.25">
      <c r="A611" t="s">
        <v>184</v>
      </c>
      <c r="B611" s="12">
        <v>152</v>
      </c>
      <c r="C611">
        <v>81</v>
      </c>
      <c r="D611">
        <v>93395</v>
      </c>
      <c r="E611">
        <v>22680</v>
      </c>
      <c r="F611">
        <v>0.5003539823008849</v>
      </c>
      <c r="G611">
        <v>0.6415929203539823</v>
      </c>
      <c r="H611">
        <v>7.1494378769845629E-2</v>
      </c>
      <c r="I611">
        <v>4.6363691406357058E-2</v>
      </c>
    </row>
    <row r="612" spans="1:9" x14ac:dyDescent="0.25">
      <c r="A612" t="s">
        <v>171</v>
      </c>
      <c r="B612" s="12">
        <v>153</v>
      </c>
      <c r="C612">
        <v>149</v>
      </c>
      <c r="D612">
        <v>93353</v>
      </c>
      <c r="E612">
        <v>15468</v>
      </c>
      <c r="F612">
        <v>0.34152654867256638</v>
      </c>
      <c r="G612">
        <v>0.34070796460176989</v>
      </c>
      <c r="H612">
        <v>5.0152265455791462E-2</v>
      </c>
      <c r="I612">
        <v>0.1001492030638898</v>
      </c>
    </row>
    <row r="613" spans="1:9" x14ac:dyDescent="0.25">
      <c r="A613" t="s">
        <v>268</v>
      </c>
      <c r="B613" s="12">
        <v>154</v>
      </c>
      <c r="C613">
        <v>138</v>
      </c>
      <c r="D613">
        <v>93331</v>
      </c>
      <c r="E613">
        <v>14958</v>
      </c>
      <c r="F613">
        <v>0.32922566371681422</v>
      </c>
      <c r="G613">
        <v>0.38938053097345132</v>
      </c>
      <c r="H613">
        <v>4.6205558791415767E-2</v>
      </c>
      <c r="I613">
        <v>7.6317221776205049E-2</v>
      </c>
    </row>
    <row r="614" spans="1:9" x14ac:dyDescent="0.25">
      <c r="A614" t="s">
        <v>152</v>
      </c>
      <c r="B614" s="12">
        <v>155</v>
      </c>
      <c r="C614">
        <v>173</v>
      </c>
      <c r="D614">
        <v>93330</v>
      </c>
      <c r="E614">
        <v>8791</v>
      </c>
      <c r="F614">
        <v>0.19371681415929201</v>
      </c>
      <c r="G614">
        <v>0.23451327433628319</v>
      </c>
      <c r="H614">
        <v>2.7336132994355281E-2</v>
      </c>
      <c r="I614">
        <v>9.6504283730223059E-2</v>
      </c>
    </row>
    <row r="615" spans="1:9" x14ac:dyDescent="0.25">
      <c r="A615" t="s">
        <v>211</v>
      </c>
      <c r="B615" s="12">
        <v>156</v>
      </c>
      <c r="C615">
        <v>87</v>
      </c>
      <c r="D615">
        <v>93174</v>
      </c>
      <c r="E615">
        <v>21890</v>
      </c>
      <c r="F615">
        <v>0.48172566371681408</v>
      </c>
      <c r="G615">
        <v>0.61504424778761058</v>
      </c>
      <c r="H615">
        <v>6.5842046066546062E-2</v>
      </c>
      <c r="I615">
        <v>3.4035721568890523E-2</v>
      </c>
    </row>
    <row r="616" spans="1:9" x14ac:dyDescent="0.25">
      <c r="A616" t="s">
        <v>112</v>
      </c>
      <c r="B616" s="12">
        <v>157</v>
      </c>
      <c r="C616">
        <v>86</v>
      </c>
      <c r="D616">
        <v>93108</v>
      </c>
      <c r="E616">
        <v>22450</v>
      </c>
      <c r="F616">
        <v>0.49484513274336278</v>
      </c>
      <c r="G616">
        <v>0.61946902654867253</v>
      </c>
      <c r="H616">
        <v>6.6880111359843522E-2</v>
      </c>
      <c r="I616">
        <v>1.9783162913103822E-2</v>
      </c>
    </row>
    <row r="617" spans="1:9" x14ac:dyDescent="0.25">
      <c r="A617" t="s">
        <v>226</v>
      </c>
      <c r="B617" s="12">
        <v>158</v>
      </c>
      <c r="C617">
        <v>134</v>
      </c>
      <c r="D617">
        <v>93098</v>
      </c>
      <c r="E617">
        <v>19061</v>
      </c>
      <c r="F617">
        <v>0.42119469026548673</v>
      </c>
      <c r="G617">
        <v>0.40707964601769908</v>
      </c>
      <c r="H617">
        <v>6.5862315873107022E-2</v>
      </c>
      <c r="I617">
        <v>9.6749313366285519E-2</v>
      </c>
    </row>
    <row r="618" spans="1:9" x14ac:dyDescent="0.25">
      <c r="A618" t="s">
        <v>245</v>
      </c>
      <c r="B618" s="12">
        <v>159</v>
      </c>
      <c r="C618">
        <v>133</v>
      </c>
      <c r="D618">
        <v>93009</v>
      </c>
      <c r="E618">
        <v>16282</v>
      </c>
      <c r="F618">
        <v>0.35873893805309742</v>
      </c>
      <c r="G618">
        <v>0.41150442477876098</v>
      </c>
      <c r="H618">
        <v>5.1274437818846233E-2</v>
      </c>
      <c r="I618">
        <v>7.9058690284414534E-2</v>
      </c>
    </row>
    <row r="619" spans="1:9" x14ac:dyDescent="0.25">
      <c r="A619" t="s">
        <v>213</v>
      </c>
      <c r="B619" s="12">
        <v>160</v>
      </c>
      <c r="C619">
        <v>108</v>
      </c>
      <c r="D619">
        <v>92976</v>
      </c>
      <c r="E619">
        <v>20409</v>
      </c>
      <c r="F619">
        <v>0.45108407079646018</v>
      </c>
      <c r="G619">
        <v>0.52212389380530977</v>
      </c>
      <c r="H619">
        <v>6.8705638515963369E-2</v>
      </c>
      <c r="I619">
        <v>9.3446564137313143E-2</v>
      </c>
    </row>
    <row r="620" spans="1:9" x14ac:dyDescent="0.25">
      <c r="A620" t="s">
        <v>116</v>
      </c>
      <c r="B620" s="12">
        <v>161</v>
      </c>
      <c r="C620">
        <v>61</v>
      </c>
      <c r="D620">
        <v>92761</v>
      </c>
      <c r="E620">
        <v>27101</v>
      </c>
      <c r="F620">
        <v>0.59688053097345128</v>
      </c>
      <c r="G620">
        <v>0.73008849557522126</v>
      </c>
      <c r="H620">
        <v>8.1302479133879696E-2</v>
      </c>
      <c r="I620">
        <v>2.337114231154768E-3</v>
      </c>
    </row>
    <row r="621" spans="1:9" x14ac:dyDescent="0.25">
      <c r="A621" t="s">
        <v>263</v>
      </c>
      <c r="B621" s="12">
        <v>162</v>
      </c>
      <c r="C621">
        <v>160</v>
      </c>
      <c r="D621">
        <v>92648</v>
      </c>
      <c r="E621">
        <v>10453</v>
      </c>
      <c r="F621">
        <v>0.23013274336283179</v>
      </c>
      <c r="G621">
        <v>0.29203539823008851</v>
      </c>
      <c r="H621">
        <v>3.2334579297834377E-2</v>
      </c>
      <c r="I621">
        <v>9.3031912450644405E-2</v>
      </c>
    </row>
    <row r="622" spans="1:9" x14ac:dyDescent="0.25">
      <c r="A622" t="s">
        <v>225</v>
      </c>
      <c r="B622" s="12">
        <v>163</v>
      </c>
      <c r="C622">
        <v>108</v>
      </c>
      <c r="D622">
        <v>92537</v>
      </c>
      <c r="E622">
        <v>15327</v>
      </c>
      <c r="F622">
        <v>0.33665929203539818</v>
      </c>
      <c r="G622">
        <v>0.52212389380530977</v>
      </c>
      <c r="H622">
        <v>4.1467071430480597E-2</v>
      </c>
      <c r="I622">
        <v>2.1203405422375671E-2</v>
      </c>
    </row>
    <row r="623" spans="1:9" x14ac:dyDescent="0.25">
      <c r="A623" t="s">
        <v>212</v>
      </c>
      <c r="B623" s="12">
        <v>164</v>
      </c>
      <c r="C623">
        <v>120</v>
      </c>
      <c r="D623">
        <v>92468</v>
      </c>
      <c r="E623">
        <v>20315</v>
      </c>
      <c r="F623">
        <v>0.44893805309734508</v>
      </c>
      <c r="G623">
        <v>0.46902654867256638</v>
      </c>
      <c r="H623">
        <v>6.7792470848019232E-2</v>
      </c>
      <c r="I623">
        <v>8.5421633871167857E-2</v>
      </c>
    </row>
    <row r="624" spans="1:9" x14ac:dyDescent="0.25">
      <c r="A624" t="s">
        <v>66</v>
      </c>
      <c r="B624" s="12">
        <v>165</v>
      </c>
      <c r="C624">
        <v>89</v>
      </c>
      <c r="D624">
        <v>92020</v>
      </c>
      <c r="E624">
        <v>21970</v>
      </c>
      <c r="F624">
        <v>0.48378318584070801</v>
      </c>
      <c r="G624">
        <v>0.60619469026548678</v>
      </c>
      <c r="H624">
        <v>6.0619736407082431E-2</v>
      </c>
      <c r="I624">
        <v>-2.0853766272670798E-2</v>
      </c>
    </row>
    <row r="625" spans="1:9" x14ac:dyDescent="0.25">
      <c r="A625" t="s">
        <v>243</v>
      </c>
      <c r="B625" s="12">
        <v>166</v>
      </c>
      <c r="C625">
        <v>93</v>
      </c>
      <c r="D625">
        <v>91978</v>
      </c>
      <c r="E625">
        <v>22705</v>
      </c>
      <c r="F625">
        <v>0.50008849557522128</v>
      </c>
      <c r="G625">
        <v>0.58849557522123896</v>
      </c>
      <c r="H625">
        <v>6.3657125929181588E-2</v>
      </c>
      <c r="I625">
        <v>-4.7658136660482013E-5</v>
      </c>
    </row>
    <row r="626" spans="1:9" x14ac:dyDescent="0.25">
      <c r="A626" t="s">
        <v>222</v>
      </c>
      <c r="B626" s="12">
        <v>167</v>
      </c>
      <c r="C626">
        <v>97</v>
      </c>
      <c r="D626">
        <v>91812</v>
      </c>
      <c r="E626">
        <v>22698</v>
      </c>
      <c r="F626">
        <v>0.49889380530973448</v>
      </c>
      <c r="G626">
        <v>0.57079646017699115</v>
      </c>
      <c r="H626">
        <v>6.4751332215202073E-2</v>
      </c>
      <c r="I626">
        <v>4.1845187605206889E-3</v>
      </c>
    </row>
    <row r="627" spans="1:9" x14ac:dyDescent="0.25">
      <c r="A627" t="s">
        <v>218</v>
      </c>
      <c r="B627" s="12">
        <v>168</v>
      </c>
      <c r="C627">
        <v>40</v>
      </c>
      <c r="D627">
        <v>91764</v>
      </c>
      <c r="E627">
        <v>31997</v>
      </c>
      <c r="F627">
        <v>0.70422566371681417</v>
      </c>
      <c r="G627">
        <v>0.82300884955752207</v>
      </c>
      <c r="H627">
        <v>9.4673205559922535E-2</v>
      </c>
      <c r="I627">
        <v>-2.5468468162085141E-2</v>
      </c>
    </row>
    <row r="628" spans="1:9" x14ac:dyDescent="0.25">
      <c r="A628" t="s">
        <v>208</v>
      </c>
      <c r="B628" s="12">
        <v>169</v>
      </c>
      <c r="C628">
        <v>84</v>
      </c>
      <c r="D628">
        <v>91749</v>
      </c>
      <c r="E628">
        <v>21812</v>
      </c>
      <c r="F628">
        <v>0.48042035398230087</v>
      </c>
      <c r="G628">
        <v>0.62831858407079644</v>
      </c>
      <c r="H628">
        <v>6.3827306838677531E-2</v>
      </c>
      <c r="I628">
        <v>2.0914996855983171E-2</v>
      </c>
    </row>
    <row r="629" spans="1:9" x14ac:dyDescent="0.25">
      <c r="A629" t="s">
        <v>235</v>
      </c>
      <c r="B629" s="12">
        <v>170</v>
      </c>
      <c r="C629">
        <v>151</v>
      </c>
      <c r="D629">
        <v>91651</v>
      </c>
      <c r="E629">
        <v>10833</v>
      </c>
      <c r="F629">
        <v>0.23873893805309729</v>
      </c>
      <c r="G629">
        <v>0.33185840707964598</v>
      </c>
      <c r="H629">
        <v>3.3674273735925409E-2</v>
      </c>
      <c r="I629">
        <v>9.3638336910711426E-2</v>
      </c>
    </row>
    <row r="630" spans="1:9" x14ac:dyDescent="0.25">
      <c r="A630" t="s">
        <v>217</v>
      </c>
      <c r="B630" s="12">
        <v>171</v>
      </c>
      <c r="C630">
        <v>105</v>
      </c>
      <c r="D630">
        <v>91639</v>
      </c>
      <c r="E630">
        <v>19240</v>
      </c>
      <c r="F630">
        <v>0.42522123893805308</v>
      </c>
      <c r="G630">
        <v>0.53539823008849563</v>
      </c>
      <c r="H630">
        <v>6.5796483634069883E-2</v>
      </c>
      <c r="I630">
        <v>9.9179741019384857E-2</v>
      </c>
    </row>
    <row r="631" spans="1:9" x14ac:dyDescent="0.25">
      <c r="A631" t="s">
        <v>272</v>
      </c>
      <c r="B631" s="12">
        <v>172</v>
      </c>
      <c r="C631">
        <v>138</v>
      </c>
      <c r="D631">
        <v>91634</v>
      </c>
      <c r="E631">
        <v>12528</v>
      </c>
      <c r="F631">
        <v>0.27610619469026548</v>
      </c>
      <c r="G631">
        <v>0.38938053097345132</v>
      </c>
      <c r="H631">
        <v>3.7280470571947749E-2</v>
      </c>
      <c r="I631">
        <v>6.9116200648504517E-2</v>
      </c>
    </row>
    <row r="632" spans="1:9" x14ac:dyDescent="0.25">
      <c r="A632" t="s">
        <v>172</v>
      </c>
      <c r="B632" s="12">
        <v>173</v>
      </c>
      <c r="C632">
        <v>200</v>
      </c>
      <c r="D632">
        <v>91582</v>
      </c>
      <c r="E632">
        <v>9681</v>
      </c>
      <c r="F632">
        <v>0.21378318584070799</v>
      </c>
      <c r="G632">
        <v>0.1150442477876106</v>
      </c>
      <c r="H632">
        <v>3.2730443379103087E-2</v>
      </c>
      <c r="I632">
        <v>0.1212254702398491</v>
      </c>
    </row>
    <row r="633" spans="1:9" x14ac:dyDescent="0.25">
      <c r="A633" t="s">
        <v>130</v>
      </c>
      <c r="B633" s="12">
        <v>174</v>
      </c>
      <c r="C633">
        <v>89</v>
      </c>
      <c r="D633">
        <v>91493</v>
      </c>
      <c r="E633">
        <v>23090</v>
      </c>
      <c r="F633">
        <v>0.50858407079646017</v>
      </c>
      <c r="G633">
        <v>0.60619469026548678</v>
      </c>
      <c r="H633">
        <v>6.4796284347269584E-2</v>
      </c>
      <c r="I633">
        <v>-1.514921500248541E-3</v>
      </c>
    </row>
    <row r="634" spans="1:9" x14ac:dyDescent="0.25">
      <c r="A634" t="s">
        <v>191</v>
      </c>
      <c r="B634" s="12">
        <v>175</v>
      </c>
      <c r="C634">
        <v>59</v>
      </c>
      <c r="D634">
        <v>91393</v>
      </c>
      <c r="E634">
        <v>28674</v>
      </c>
      <c r="F634">
        <v>0.63150442477876101</v>
      </c>
      <c r="G634">
        <v>0.73893805309734517</v>
      </c>
      <c r="H634">
        <v>8.3897443175539183E-2</v>
      </c>
      <c r="I634">
        <v>-1.9127921720696051E-2</v>
      </c>
    </row>
    <row r="635" spans="1:9" x14ac:dyDescent="0.25">
      <c r="A635" t="s">
        <v>271</v>
      </c>
      <c r="B635" s="12">
        <v>176</v>
      </c>
      <c r="C635">
        <v>161</v>
      </c>
      <c r="D635">
        <v>91322</v>
      </c>
      <c r="E635">
        <v>12181</v>
      </c>
      <c r="F635">
        <v>0.26732300884955751</v>
      </c>
      <c r="G635">
        <v>0.28761061946902661</v>
      </c>
      <c r="H635">
        <v>3.3175436290281933E-2</v>
      </c>
      <c r="I635">
        <v>5.5912490743425899E-2</v>
      </c>
    </row>
    <row r="636" spans="1:9" x14ac:dyDescent="0.25">
      <c r="A636" t="s">
        <v>8</v>
      </c>
      <c r="B636" s="12">
        <v>177</v>
      </c>
      <c r="C636">
        <v>46</v>
      </c>
      <c r="D636">
        <v>91213</v>
      </c>
      <c r="E636">
        <v>36583</v>
      </c>
      <c r="F636">
        <v>0.80610619469026545</v>
      </c>
      <c r="G636">
        <v>0.79646017699115046</v>
      </c>
      <c r="H636">
        <v>0.1015188241524006</v>
      </c>
      <c r="I636">
        <v>-8.2627670109664708E-2</v>
      </c>
    </row>
    <row r="637" spans="1:9" x14ac:dyDescent="0.25">
      <c r="A637" t="s">
        <v>240</v>
      </c>
      <c r="B637" s="12">
        <v>178</v>
      </c>
      <c r="C637">
        <v>84</v>
      </c>
      <c r="D637">
        <v>91124</v>
      </c>
      <c r="E637">
        <v>21804</v>
      </c>
      <c r="F637">
        <v>0.48033185840707959</v>
      </c>
      <c r="G637">
        <v>0.62831858407079644</v>
      </c>
      <c r="H637">
        <v>6.4544963056170385E-2</v>
      </c>
      <c r="I637">
        <v>2.5978431512547012E-2</v>
      </c>
    </row>
    <row r="638" spans="1:9" x14ac:dyDescent="0.25">
      <c r="A638" t="s">
        <v>230</v>
      </c>
      <c r="B638" s="12">
        <v>179</v>
      </c>
      <c r="C638">
        <v>105</v>
      </c>
      <c r="D638">
        <v>91056</v>
      </c>
      <c r="E638">
        <v>19506</v>
      </c>
      <c r="F638">
        <v>0.42982300884955749</v>
      </c>
      <c r="G638">
        <v>0.53539823008849563</v>
      </c>
      <c r="H638">
        <v>5.7880739020192987E-2</v>
      </c>
      <c r="I638">
        <v>4.087148468631345E-2</v>
      </c>
    </row>
    <row r="639" spans="1:9" x14ac:dyDescent="0.25">
      <c r="A639" t="s">
        <v>269</v>
      </c>
      <c r="B639" s="12">
        <v>180</v>
      </c>
      <c r="C639">
        <v>110</v>
      </c>
      <c r="D639">
        <v>90963</v>
      </c>
      <c r="E639">
        <v>17103</v>
      </c>
      <c r="F639">
        <v>0.37703539823008853</v>
      </c>
      <c r="G639">
        <v>0.51327433628318586</v>
      </c>
      <c r="H639">
        <v>4.0429404823902539E-2</v>
      </c>
      <c r="I639">
        <v>-2.7274112713595221E-2</v>
      </c>
    </row>
    <row r="640" spans="1:9" x14ac:dyDescent="0.25">
      <c r="A640" t="s">
        <v>234</v>
      </c>
      <c r="B640" s="12">
        <v>181</v>
      </c>
      <c r="C640">
        <v>184</v>
      </c>
      <c r="D640">
        <v>90787</v>
      </c>
      <c r="E640">
        <v>12823</v>
      </c>
      <c r="F640">
        <v>0.28314159292035401</v>
      </c>
      <c r="G640">
        <v>0.18584070796460181</v>
      </c>
      <c r="H640">
        <v>4.3275914443192787E-2</v>
      </c>
      <c r="I640">
        <v>0.12057948741909021</v>
      </c>
    </row>
    <row r="641" spans="1:9" x14ac:dyDescent="0.25">
      <c r="A641" t="s">
        <v>194</v>
      </c>
      <c r="B641" s="12">
        <v>182</v>
      </c>
      <c r="C641">
        <v>24</v>
      </c>
      <c r="D641">
        <v>90718</v>
      </c>
      <c r="E641">
        <v>36790</v>
      </c>
      <c r="F641">
        <v>0.81030973451327437</v>
      </c>
      <c r="G641">
        <v>0.89380530973451322</v>
      </c>
      <c r="H641">
        <v>0.1063375430800322</v>
      </c>
      <c r="I641">
        <v>-6.0110612295331947E-2</v>
      </c>
    </row>
    <row r="642" spans="1:9" x14ac:dyDescent="0.25">
      <c r="A642" t="s">
        <v>264</v>
      </c>
      <c r="B642" s="12">
        <v>183</v>
      </c>
      <c r="C642">
        <v>106</v>
      </c>
      <c r="D642">
        <v>90686</v>
      </c>
      <c r="E642">
        <v>16577</v>
      </c>
      <c r="F642">
        <v>0.36504424778761058</v>
      </c>
      <c r="G642">
        <v>0.53097345132743368</v>
      </c>
      <c r="H642">
        <v>4.6462513930102617E-2</v>
      </c>
      <c r="I642">
        <v>3.1959478825817608E-2</v>
      </c>
    </row>
    <row r="643" spans="1:9" x14ac:dyDescent="0.25">
      <c r="A643" t="s">
        <v>256</v>
      </c>
      <c r="B643" s="12">
        <v>184</v>
      </c>
      <c r="C643">
        <v>85</v>
      </c>
      <c r="D643">
        <v>90539</v>
      </c>
      <c r="E643">
        <v>22901</v>
      </c>
      <c r="F643">
        <v>0.50555309734513276</v>
      </c>
      <c r="G643">
        <v>0.62389380530973448</v>
      </c>
      <c r="H643">
        <v>6.4446843083280234E-2</v>
      </c>
      <c r="I643">
        <v>2.9122829997421588E-3</v>
      </c>
    </row>
    <row r="644" spans="1:9" x14ac:dyDescent="0.25">
      <c r="A644" t="s">
        <v>6</v>
      </c>
      <c r="B644" s="12">
        <v>185</v>
      </c>
      <c r="C644">
        <v>64</v>
      </c>
      <c r="D644">
        <v>89975</v>
      </c>
      <c r="E644">
        <v>28948</v>
      </c>
      <c r="F644">
        <v>0.6369690265486726</v>
      </c>
      <c r="G644">
        <v>0.7168141592920354</v>
      </c>
      <c r="H644">
        <v>8.2744503573317058E-2</v>
      </c>
      <c r="I644">
        <v>-2.5933103073821649E-2</v>
      </c>
    </row>
    <row r="645" spans="1:9" x14ac:dyDescent="0.25">
      <c r="A645" t="s">
        <v>258</v>
      </c>
      <c r="B645" s="12">
        <v>186</v>
      </c>
      <c r="C645">
        <v>120</v>
      </c>
      <c r="D645">
        <v>89882</v>
      </c>
      <c r="E645">
        <v>14397</v>
      </c>
      <c r="F645">
        <v>0.31688053097345131</v>
      </c>
      <c r="G645">
        <v>0.46902654867256638</v>
      </c>
      <c r="H645">
        <v>4.3346069264739662E-2</v>
      </c>
      <c r="I645">
        <v>6.7654835644679806E-2</v>
      </c>
    </row>
    <row r="646" spans="1:9" x14ac:dyDescent="0.25">
      <c r="A646" t="s">
        <v>232</v>
      </c>
      <c r="B646" s="12">
        <v>187</v>
      </c>
      <c r="C646">
        <v>81</v>
      </c>
      <c r="D646">
        <v>89768</v>
      </c>
      <c r="E646">
        <v>23493</v>
      </c>
      <c r="F646">
        <v>0.5165929203539823</v>
      </c>
      <c r="G646">
        <v>0.6415929203539823</v>
      </c>
      <c r="H646">
        <v>6.5899865355538725E-2</v>
      </c>
      <c r="I646">
        <v>-4.1100949675603711E-3</v>
      </c>
    </row>
    <row r="647" spans="1:9" x14ac:dyDescent="0.25">
      <c r="A647" t="s">
        <v>248</v>
      </c>
      <c r="B647" s="12">
        <v>188</v>
      </c>
      <c r="C647">
        <v>83</v>
      </c>
      <c r="D647">
        <v>89638</v>
      </c>
      <c r="E647">
        <v>22639</v>
      </c>
      <c r="F647">
        <v>0.49856194690265487</v>
      </c>
      <c r="G647">
        <v>0.63274336283185839</v>
      </c>
      <c r="H647">
        <v>6.3465803663338177E-2</v>
      </c>
      <c r="I647">
        <v>3.1798014187168328E-4</v>
      </c>
    </row>
    <row r="648" spans="1:9" x14ac:dyDescent="0.25">
      <c r="A648" t="s">
        <v>188</v>
      </c>
      <c r="B648" s="12">
        <v>189</v>
      </c>
      <c r="C648">
        <v>44</v>
      </c>
      <c r="D648">
        <v>89617</v>
      </c>
      <c r="E648">
        <v>34929</v>
      </c>
      <c r="F648">
        <v>0.77035398230088492</v>
      </c>
      <c r="G648">
        <v>0.80530973451327437</v>
      </c>
      <c r="H648">
        <v>9.5743177827490922E-2</v>
      </c>
      <c r="I648">
        <v>-8.1459745901726152E-2</v>
      </c>
    </row>
    <row r="649" spans="1:9" x14ac:dyDescent="0.25">
      <c r="A649" t="s">
        <v>170</v>
      </c>
      <c r="B649" s="12">
        <v>190</v>
      </c>
      <c r="C649">
        <v>71</v>
      </c>
      <c r="D649">
        <v>89520</v>
      </c>
      <c r="E649">
        <v>23772</v>
      </c>
      <c r="F649">
        <v>0.52369469026548676</v>
      </c>
      <c r="G649">
        <v>0.68584070796460173</v>
      </c>
      <c r="H649">
        <v>6.6991910476804417E-2</v>
      </c>
      <c r="I649">
        <v>-3.6277508702304848E-3</v>
      </c>
    </row>
    <row r="650" spans="1:9" x14ac:dyDescent="0.25">
      <c r="A650" t="s">
        <v>216</v>
      </c>
      <c r="B650" s="12">
        <v>191</v>
      </c>
      <c r="C650">
        <v>43</v>
      </c>
      <c r="D650">
        <v>89386</v>
      </c>
      <c r="E650">
        <v>37182</v>
      </c>
      <c r="F650">
        <v>0.81887168141592925</v>
      </c>
      <c r="G650">
        <v>0.80973451327433632</v>
      </c>
      <c r="H650">
        <v>0.10425860382268019</v>
      </c>
      <c r="I650">
        <v>-7.5996292086016062E-2</v>
      </c>
    </row>
    <row r="651" spans="1:9" x14ac:dyDescent="0.25">
      <c r="A651" t="s">
        <v>228</v>
      </c>
      <c r="B651" s="12">
        <v>192</v>
      </c>
      <c r="C651">
        <v>85</v>
      </c>
      <c r="D651">
        <v>89299</v>
      </c>
      <c r="E651">
        <v>22400</v>
      </c>
      <c r="F651">
        <v>0.49303097345132751</v>
      </c>
      <c r="G651">
        <v>0.62389380530973448</v>
      </c>
      <c r="H651">
        <v>6.2994058219934854E-2</v>
      </c>
      <c r="I651">
        <v>2.9235390813701452E-3</v>
      </c>
    </row>
    <row r="652" spans="1:9" x14ac:dyDescent="0.25">
      <c r="A652" t="s">
        <v>198</v>
      </c>
      <c r="B652" s="12">
        <v>193</v>
      </c>
      <c r="C652">
        <v>34</v>
      </c>
      <c r="D652">
        <v>89223</v>
      </c>
      <c r="E652">
        <v>38635</v>
      </c>
      <c r="F652">
        <v>0.85103982300884951</v>
      </c>
      <c r="G652">
        <v>0.84955752212389379</v>
      </c>
      <c r="H652">
        <v>0.1087953069342438</v>
      </c>
      <c r="I652">
        <v>-8.242206280928531E-2</v>
      </c>
    </row>
    <row r="653" spans="1:9" x14ac:dyDescent="0.25">
      <c r="A653" t="s">
        <v>231</v>
      </c>
      <c r="B653" s="12">
        <v>194</v>
      </c>
      <c r="C653">
        <v>56</v>
      </c>
      <c r="D653">
        <v>89114</v>
      </c>
      <c r="E653">
        <v>31884</v>
      </c>
      <c r="F653">
        <v>0.70234513274336285</v>
      </c>
      <c r="G653">
        <v>0.75221238938053092</v>
      </c>
      <c r="H653">
        <v>8.9377824640183734E-2</v>
      </c>
      <c r="I653">
        <v>-4.7845116105292969E-2</v>
      </c>
    </row>
    <row r="654" spans="1:9" x14ac:dyDescent="0.25">
      <c r="A654" t="s">
        <v>262</v>
      </c>
      <c r="B654" s="12">
        <v>195</v>
      </c>
      <c r="C654">
        <v>83</v>
      </c>
      <c r="D654">
        <v>89111</v>
      </c>
      <c r="E654">
        <v>22732</v>
      </c>
      <c r="F654">
        <v>0.5007522123893805</v>
      </c>
      <c r="G654">
        <v>0.63274336283185839</v>
      </c>
      <c r="H654">
        <v>6.3722158788456162E-2</v>
      </c>
      <c r="I654">
        <v>-2.9172488879470942E-4</v>
      </c>
    </row>
    <row r="655" spans="1:9" x14ac:dyDescent="0.25">
      <c r="A655" t="s">
        <v>233</v>
      </c>
      <c r="B655" s="12">
        <v>196</v>
      </c>
      <c r="C655">
        <v>58</v>
      </c>
      <c r="D655">
        <v>88872</v>
      </c>
      <c r="E655">
        <v>29096</v>
      </c>
      <c r="F655">
        <v>0.6408185840707965</v>
      </c>
      <c r="G655">
        <v>0.74336283185840712</v>
      </c>
      <c r="H655">
        <v>8.1614368430973222E-2</v>
      </c>
      <c r="I655">
        <v>-3.3211342509225653E-2</v>
      </c>
    </row>
    <row r="656" spans="1:9" x14ac:dyDescent="0.25">
      <c r="A656" t="s">
        <v>167</v>
      </c>
      <c r="B656" s="12">
        <v>197</v>
      </c>
      <c r="C656">
        <v>74</v>
      </c>
      <c r="D656">
        <v>88851</v>
      </c>
      <c r="E656">
        <v>23445</v>
      </c>
      <c r="F656">
        <v>0.51537610619469032</v>
      </c>
      <c r="G656">
        <v>0.67256637168141598</v>
      </c>
      <c r="H656">
        <v>6.587668343060285E-2</v>
      </c>
      <c r="I656">
        <v>-3.3193530145742721E-3</v>
      </c>
    </row>
    <row r="657" spans="1:9" x14ac:dyDescent="0.25">
      <c r="A657" t="s">
        <v>165</v>
      </c>
      <c r="B657" s="12">
        <v>198</v>
      </c>
      <c r="C657">
        <v>74</v>
      </c>
      <c r="D657">
        <v>88653</v>
      </c>
      <c r="E657">
        <v>23502</v>
      </c>
      <c r="F657">
        <v>0.51650442477876102</v>
      </c>
      <c r="G657">
        <v>0.67256637168141598</v>
      </c>
      <c r="H657">
        <v>6.6076270901856138E-2</v>
      </c>
      <c r="I657">
        <v>-5.7138457046348643E-4</v>
      </c>
    </row>
    <row r="658" spans="1:9" x14ac:dyDescent="0.25">
      <c r="A658" t="s">
        <v>210</v>
      </c>
      <c r="B658" s="12">
        <v>199</v>
      </c>
      <c r="C658">
        <v>18</v>
      </c>
      <c r="D658">
        <v>88571</v>
      </c>
      <c r="E658">
        <v>40544</v>
      </c>
      <c r="F658">
        <v>0.89325221238938057</v>
      </c>
      <c r="G658">
        <v>0.92035398230088494</v>
      </c>
      <c r="H658">
        <v>0.1138158341954655</v>
      </c>
      <c r="I658">
        <v>-9.3275789690252658E-2</v>
      </c>
    </row>
    <row r="659" spans="1:9" x14ac:dyDescent="0.25">
      <c r="A659" t="s">
        <v>244</v>
      </c>
      <c r="B659" s="12">
        <v>200</v>
      </c>
      <c r="C659">
        <v>53</v>
      </c>
      <c r="D659">
        <v>88408</v>
      </c>
      <c r="E659">
        <v>36748</v>
      </c>
      <c r="F659">
        <v>0.80966814159292033</v>
      </c>
      <c r="G659">
        <v>0.76548672566371678</v>
      </c>
      <c r="H659">
        <v>9.934652580995644E-2</v>
      </c>
      <c r="I659">
        <v>-8.7541104587061963E-2</v>
      </c>
    </row>
    <row r="660" spans="1:9" x14ac:dyDescent="0.25">
      <c r="A660" t="s">
        <v>237</v>
      </c>
      <c r="B660" s="12">
        <v>201</v>
      </c>
      <c r="C660">
        <v>55</v>
      </c>
      <c r="D660">
        <v>88306</v>
      </c>
      <c r="E660">
        <v>34846</v>
      </c>
      <c r="F660">
        <v>0.76761061946902653</v>
      </c>
      <c r="G660">
        <v>0.75663716814159288</v>
      </c>
      <c r="H660">
        <v>9.75462489461877E-2</v>
      </c>
      <c r="I660">
        <v>-6.4185724611878991E-2</v>
      </c>
    </row>
    <row r="661" spans="1:9" x14ac:dyDescent="0.25">
      <c r="A661" t="s">
        <v>227</v>
      </c>
      <c r="B661" s="12">
        <v>202</v>
      </c>
      <c r="C661">
        <v>24</v>
      </c>
      <c r="D661">
        <v>88147</v>
      </c>
      <c r="E661">
        <v>40704</v>
      </c>
      <c r="F661">
        <v>0.89668141592920358</v>
      </c>
      <c r="G661">
        <v>0.89380530973451322</v>
      </c>
      <c r="H661">
        <v>0.1137997974456839</v>
      </c>
      <c r="I661">
        <v>-9.644873234801149E-2</v>
      </c>
    </row>
    <row r="662" spans="1:9" x14ac:dyDescent="0.25">
      <c r="A662" t="s">
        <v>201</v>
      </c>
      <c r="B662" s="12">
        <v>203</v>
      </c>
      <c r="C662">
        <v>37</v>
      </c>
      <c r="D662">
        <v>88122</v>
      </c>
      <c r="E662">
        <v>38464</v>
      </c>
      <c r="F662">
        <v>0.84719026548672571</v>
      </c>
      <c r="G662">
        <v>0.83628318584070793</v>
      </c>
      <c r="H662">
        <v>0.1086599538012179</v>
      </c>
      <c r="I662">
        <v>-8.0120595208231199E-2</v>
      </c>
    </row>
    <row r="663" spans="1:9" x14ac:dyDescent="0.25">
      <c r="A663" t="s">
        <v>19</v>
      </c>
      <c r="B663" s="12">
        <v>204</v>
      </c>
      <c r="C663">
        <v>73</v>
      </c>
      <c r="D663">
        <v>88090</v>
      </c>
      <c r="E663">
        <v>22666</v>
      </c>
      <c r="F663">
        <v>0.49944690265486719</v>
      </c>
      <c r="G663">
        <v>0.67699115044247793</v>
      </c>
      <c r="H663">
        <v>6.3568361800309364E-2</v>
      </c>
      <c r="I663">
        <v>6.4245616891602908E-4</v>
      </c>
    </row>
    <row r="664" spans="1:9" x14ac:dyDescent="0.25">
      <c r="A664" t="s">
        <v>183</v>
      </c>
      <c r="B664" s="12">
        <v>205</v>
      </c>
      <c r="C664">
        <v>12</v>
      </c>
      <c r="D664">
        <v>88018</v>
      </c>
      <c r="E664">
        <v>40746</v>
      </c>
      <c r="F664">
        <v>0.89749999999999996</v>
      </c>
      <c r="G664">
        <v>0.94690265486725667</v>
      </c>
      <c r="H664">
        <v>0.1143817268910586</v>
      </c>
      <c r="I664">
        <v>-9.3283733487519283E-2</v>
      </c>
    </row>
    <row r="665" spans="1:9" x14ac:dyDescent="0.25">
      <c r="A665" t="s">
        <v>146</v>
      </c>
      <c r="B665" s="12">
        <v>206</v>
      </c>
      <c r="C665">
        <v>79</v>
      </c>
      <c r="D665">
        <v>87965</v>
      </c>
      <c r="E665">
        <v>22182</v>
      </c>
      <c r="F665">
        <v>0.48723451327433631</v>
      </c>
      <c r="G665">
        <v>0.65044247787610621</v>
      </c>
      <c r="H665">
        <v>6.1072671133269023E-2</v>
      </c>
      <c r="I665">
        <v>-3.6127242818564461E-3</v>
      </c>
    </row>
    <row r="666" spans="1:9" x14ac:dyDescent="0.25">
      <c r="A666" t="s">
        <v>266</v>
      </c>
      <c r="B666" s="12">
        <v>207</v>
      </c>
      <c r="C666">
        <v>100</v>
      </c>
      <c r="D666">
        <v>87877</v>
      </c>
      <c r="E666">
        <v>17521</v>
      </c>
      <c r="F666">
        <v>0.38559734513274341</v>
      </c>
      <c r="G666">
        <v>0.55752212389380529</v>
      </c>
      <c r="H666">
        <v>4.5469833059552323E-2</v>
      </c>
      <c r="I666">
        <v>1.2093208860131871E-4</v>
      </c>
    </row>
    <row r="667" spans="1:9" x14ac:dyDescent="0.25">
      <c r="A667" t="s">
        <v>257</v>
      </c>
      <c r="B667" s="12">
        <v>208</v>
      </c>
      <c r="C667">
        <v>53</v>
      </c>
      <c r="D667">
        <v>87847</v>
      </c>
      <c r="E667">
        <v>35892</v>
      </c>
      <c r="F667">
        <v>0.79084070796460182</v>
      </c>
      <c r="G667">
        <v>0.76548672566371678</v>
      </c>
      <c r="H667">
        <v>9.5972822879445391E-2</v>
      </c>
      <c r="I667">
        <v>-8.823063765667713E-2</v>
      </c>
    </row>
    <row r="668" spans="1:9" x14ac:dyDescent="0.25">
      <c r="A668" t="s">
        <v>274</v>
      </c>
      <c r="B668" s="12">
        <v>209</v>
      </c>
      <c r="C668">
        <v>77</v>
      </c>
      <c r="D668">
        <v>87839</v>
      </c>
      <c r="E668">
        <v>25549</v>
      </c>
      <c r="F668">
        <v>0.56305309734513276</v>
      </c>
      <c r="G668">
        <v>0.65929203539823011</v>
      </c>
      <c r="H668">
        <v>6.3425258048193364E-2</v>
      </c>
      <c r="I668">
        <v>-6.3778689277500758E-2</v>
      </c>
    </row>
    <row r="669" spans="1:9" x14ac:dyDescent="0.25">
      <c r="A669" t="s">
        <v>267</v>
      </c>
      <c r="B669" s="12">
        <v>210</v>
      </c>
      <c r="C669">
        <v>81</v>
      </c>
      <c r="D669">
        <v>87574</v>
      </c>
      <c r="E669">
        <v>25532</v>
      </c>
      <c r="F669">
        <v>0.56261061946902657</v>
      </c>
      <c r="G669">
        <v>0.6415929203539823</v>
      </c>
      <c r="H669">
        <v>6.3178683522621529E-2</v>
      </c>
      <c r="I669">
        <v>-6.4702534889694768E-2</v>
      </c>
    </row>
    <row r="670" spans="1:9" x14ac:dyDescent="0.25">
      <c r="A670" t="s">
        <v>175</v>
      </c>
      <c r="B670" s="12">
        <v>211</v>
      </c>
      <c r="C670">
        <v>15</v>
      </c>
      <c r="D670">
        <v>87502</v>
      </c>
      <c r="E670">
        <v>40338</v>
      </c>
      <c r="F670">
        <v>0.88847345132743361</v>
      </c>
      <c r="G670">
        <v>0.9336283185840708</v>
      </c>
      <c r="H670">
        <v>0.11301837599540571</v>
      </c>
      <c r="I670">
        <v>-9.3102372593916155E-2</v>
      </c>
    </row>
    <row r="671" spans="1:9" x14ac:dyDescent="0.25">
      <c r="A671" t="s">
        <v>203</v>
      </c>
      <c r="B671" s="12">
        <v>212</v>
      </c>
      <c r="C671">
        <v>35</v>
      </c>
      <c r="D671">
        <v>87414</v>
      </c>
      <c r="E671">
        <v>38605</v>
      </c>
      <c r="F671">
        <v>0.85026548672566371</v>
      </c>
      <c r="G671">
        <v>0.84513274336283184</v>
      </c>
      <c r="H671">
        <v>0.10890908461368889</v>
      </c>
      <c r="I671">
        <v>-8.0163743059452092E-2</v>
      </c>
    </row>
    <row r="672" spans="1:9" x14ac:dyDescent="0.25">
      <c r="A672" t="s">
        <v>205</v>
      </c>
      <c r="B672" s="12">
        <v>213</v>
      </c>
      <c r="C672">
        <v>33</v>
      </c>
      <c r="D672">
        <v>87413</v>
      </c>
      <c r="E672">
        <v>38566</v>
      </c>
      <c r="F672">
        <v>0.84949115044247792</v>
      </c>
      <c r="G672">
        <v>0.85398230088495575</v>
      </c>
      <c r="H672">
        <v>0.10871848618102201</v>
      </c>
      <c r="I672">
        <v>-8.0614097889244854E-2</v>
      </c>
    </row>
    <row r="673" spans="1:9" x14ac:dyDescent="0.25">
      <c r="A673" t="s">
        <v>193</v>
      </c>
      <c r="B673" s="12">
        <v>214</v>
      </c>
      <c r="C673">
        <v>16</v>
      </c>
      <c r="D673">
        <v>87300</v>
      </c>
      <c r="E673">
        <v>40866</v>
      </c>
      <c r="F673">
        <v>0.90022123893805306</v>
      </c>
      <c r="G673">
        <v>0.92920353982300885</v>
      </c>
      <c r="H673">
        <v>0.1146250580168883</v>
      </c>
      <c r="I673">
        <v>-9.500727675618624E-2</v>
      </c>
    </row>
    <row r="674" spans="1:9" x14ac:dyDescent="0.25">
      <c r="A674" t="s">
        <v>239</v>
      </c>
      <c r="B674" s="12">
        <v>215</v>
      </c>
      <c r="C674">
        <v>16</v>
      </c>
      <c r="D674">
        <v>87230</v>
      </c>
      <c r="E674">
        <v>40401</v>
      </c>
      <c r="F674">
        <v>0.89006637168141589</v>
      </c>
      <c r="G674">
        <v>0.92920353982300885</v>
      </c>
      <c r="H674">
        <v>0.1133407645046396</v>
      </c>
      <c r="I674">
        <v>-9.2335389380978045E-2</v>
      </c>
    </row>
    <row r="675" spans="1:9" x14ac:dyDescent="0.25">
      <c r="A675" t="s">
        <v>181</v>
      </c>
      <c r="B675" s="12">
        <v>216</v>
      </c>
      <c r="C675">
        <v>50</v>
      </c>
      <c r="D675">
        <v>87205</v>
      </c>
      <c r="E675">
        <v>36951</v>
      </c>
      <c r="F675">
        <v>0.81418141592920357</v>
      </c>
      <c r="G675">
        <v>0.77876106194690264</v>
      </c>
      <c r="H675">
        <v>0.1028120307142954</v>
      </c>
      <c r="I675">
        <v>-7.8751898890249791E-2</v>
      </c>
    </row>
    <row r="676" spans="1:9" x14ac:dyDescent="0.25">
      <c r="A676" t="s">
        <v>17</v>
      </c>
      <c r="B676" s="12">
        <v>217</v>
      </c>
      <c r="C676">
        <v>78</v>
      </c>
      <c r="D676">
        <v>87190</v>
      </c>
      <c r="E676">
        <v>22670</v>
      </c>
      <c r="F676">
        <v>0.49938053097345131</v>
      </c>
      <c r="G676">
        <v>0.65486725663716816</v>
      </c>
      <c r="H676">
        <v>6.3472458457683095E-2</v>
      </c>
      <c r="I676">
        <v>5.9821170953967742E-4</v>
      </c>
    </row>
    <row r="677" spans="1:9" x14ac:dyDescent="0.25">
      <c r="A677" t="s">
        <v>270</v>
      </c>
      <c r="B677" s="12">
        <v>218</v>
      </c>
      <c r="C677">
        <v>62</v>
      </c>
      <c r="D677">
        <v>87020</v>
      </c>
      <c r="E677">
        <v>30923</v>
      </c>
      <c r="F677">
        <v>0.68176991150442479</v>
      </c>
      <c r="G677">
        <v>0.72566371681415931</v>
      </c>
      <c r="H677">
        <v>8.2111548963003891E-2</v>
      </c>
      <c r="I677">
        <v>-6.4059689483955448E-2</v>
      </c>
    </row>
    <row r="678" spans="1:9" x14ac:dyDescent="0.25">
      <c r="A678" t="s">
        <v>251</v>
      </c>
      <c r="B678" s="12">
        <v>219</v>
      </c>
      <c r="C678">
        <v>78</v>
      </c>
      <c r="D678">
        <v>87009</v>
      </c>
      <c r="E678">
        <v>22752</v>
      </c>
      <c r="F678">
        <v>0.5011504424778761</v>
      </c>
      <c r="G678">
        <v>0.65486725663716816</v>
      </c>
      <c r="H678">
        <v>6.3629636235608369E-2</v>
      </c>
      <c r="I678">
        <v>-1.333613706186378E-3</v>
      </c>
    </row>
    <row r="679" spans="1:9" x14ac:dyDescent="0.25">
      <c r="A679" t="s">
        <v>253</v>
      </c>
      <c r="B679" s="12">
        <v>220</v>
      </c>
      <c r="C679">
        <v>86</v>
      </c>
      <c r="D679">
        <v>87007</v>
      </c>
      <c r="E679">
        <v>26185</v>
      </c>
      <c r="F679">
        <v>0.57535398230088497</v>
      </c>
      <c r="G679">
        <v>0.61946902654867253</v>
      </c>
      <c r="H679">
        <v>8.0273596903593994E-2</v>
      </c>
      <c r="I679">
        <v>3.1372209309166663E-2</v>
      </c>
    </row>
    <row r="680" spans="1:9" x14ac:dyDescent="0.25">
      <c r="A680" t="s">
        <v>182</v>
      </c>
      <c r="B680" s="12">
        <v>221</v>
      </c>
      <c r="C680">
        <v>16</v>
      </c>
      <c r="D680">
        <v>86908</v>
      </c>
      <c r="E680">
        <v>40621</v>
      </c>
      <c r="F680">
        <v>0.89477876106194687</v>
      </c>
      <c r="G680">
        <v>0.92920353982300885</v>
      </c>
      <c r="H680">
        <v>0.1137739869371607</v>
      </c>
      <c r="I680">
        <v>-9.4168771849919328E-2</v>
      </c>
    </row>
    <row r="681" spans="1:9" x14ac:dyDescent="0.25">
      <c r="A681" t="s">
        <v>242</v>
      </c>
      <c r="B681" s="12">
        <v>222</v>
      </c>
      <c r="C681">
        <v>57</v>
      </c>
      <c r="D681">
        <v>86871</v>
      </c>
      <c r="E681">
        <v>28899</v>
      </c>
      <c r="F681">
        <v>0.63652654867256642</v>
      </c>
      <c r="G681">
        <v>0.74778761061946908</v>
      </c>
      <c r="H681">
        <v>8.102196612626418E-2</v>
      </c>
      <c r="I681">
        <v>-3.2487397888427957E-2</v>
      </c>
    </row>
    <row r="682" spans="1:9" x14ac:dyDescent="0.25">
      <c r="A682" t="s">
        <v>246</v>
      </c>
      <c r="B682" s="12">
        <v>223</v>
      </c>
      <c r="C682">
        <v>46</v>
      </c>
      <c r="D682">
        <v>86815</v>
      </c>
      <c r="E682">
        <v>38153</v>
      </c>
      <c r="F682">
        <v>0.84075221238938058</v>
      </c>
      <c r="G682">
        <v>0.79646017699115046</v>
      </c>
      <c r="H682">
        <v>0.10421308474807089</v>
      </c>
      <c r="I682">
        <v>-9.4273603819623644E-2</v>
      </c>
    </row>
    <row r="683" spans="1:9" x14ac:dyDescent="0.25">
      <c r="A683" t="s">
        <v>260</v>
      </c>
      <c r="B683" s="12">
        <v>224</v>
      </c>
      <c r="C683">
        <v>80</v>
      </c>
      <c r="D683">
        <v>86496</v>
      </c>
      <c r="E683">
        <v>25715</v>
      </c>
      <c r="F683">
        <v>0.56676991150442479</v>
      </c>
      <c r="G683">
        <v>0.64601769911504425</v>
      </c>
      <c r="H683">
        <v>6.3651035676261278E-2</v>
      </c>
      <c r="I683">
        <v>-6.6143139857532923E-2</v>
      </c>
    </row>
    <row r="684" spans="1:9" x14ac:dyDescent="0.25">
      <c r="A684" t="s">
        <v>249</v>
      </c>
      <c r="B684" s="12">
        <v>225</v>
      </c>
      <c r="C684">
        <v>41</v>
      </c>
      <c r="D684">
        <v>86461</v>
      </c>
      <c r="E684">
        <v>37228</v>
      </c>
      <c r="F684">
        <v>0.81995575221238937</v>
      </c>
      <c r="G684">
        <v>0.81858407079646023</v>
      </c>
      <c r="H684">
        <v>0.1043773782346358</v>
      </c>
      <c r="I684">
        <v>-7.6053397653669211E-2</v>
      </c>
    </row>
    <row r="685" spans="1:9" x14ac:dyDescent="0.25">
      <c r="A685" t="s">
        <v>273</v>
      </c>
      <c r="B685" s="12">
        <v>226</v>
      </c>
      <c r="C685">
        <v>60</v>
      </c>
      <c r="D685">
        <v>86374</v>
      </c>
      <c r="E685">
        <v>31722</v>
      </c>
      <c r="F685">
        <v>0.69909292035398229</v>
      </c>
      <c r="G685">
        <v>0.73451327433628322</v>
      </c>
      <c r="H685">
        <v>8.1347418251279266E-2</v>
      </c>
      <c r="I685">
        <v>-8.4600202401396443E-2</v>
      </c>
    </row>
    <row r="686" spans="1:9" x14ac:dyDescent="0.25">
      <c r="A686" t="s">
        <v>207</v>
      </c>
      <c r="B686" s="12">
        <v>227</v>
      </c>
      <c r="C686">
        <v>23</v>
      </c>
      <c r="D686">
        <v>86035</v>
      </c>
      <c r="E686">
        <v>40255</v>
      </c>
      <c r="F686">
        <v>0.88672566371681416</v>
      </c>
      <c r="G686">
        <v>0.89823008849557517</v>
      </c>
      <c r="H686">
        <v>0.1129095957331154</v>
      </c>
      <c r="I686">
        <v>-9.2399103283414163E-2</v>
      </c>
    </row>
    <row r="688" spans="1:9" x14ac:dyDescent="0.25">
      <c r="A688" s="12" t="s">
        <v>0</v>
      </c>
      <c r="C688" s="12" t="s">
        <v>1</v>
      </c>
      <c r="D688" s="12" t="s">
        <v>2</v>
      </c>
      <c r="E688" s="12" t="s">
        <v>3</v>
      </c>
      <c r="F688" s="12" t="s">
        <v>281</v>
      </c>
      <c r="G688" s="12" t="s">
        <v>282</v>
      </c>
      <c r="H688" s="12" t="s">
        <v>283</v>
      </c>
      <c r="I688" s="12" t="s">
        <v>284</v>
      </c>
    </row>
    <row r="689" spans="1:9" x14ac:dyDescent="0.25">
      <c r="A689" t="s">
        <v>96</v>
      </c>
      <c r="B689" s="12">
        <v>1</v>
      </c>
      <c r="C689">
        <v>130</v>
      </c>
      <c r="D689">
        <v>107732</v>
      </c>
      <c r="E689">
        <v>20745</v>
      </c>
      <c r="F689">
        <v>0.45526548672566369</v>
      </c>
      <c r="G689">
        <v>0.4247787610619469</v>
      </c>
      <c r="H689">
        <v>6.6131571484168553E-2</v>
      </c>
      <c r="I689">
        <v>1.044233549773131E-2</v>
      </c>
    </row>
    <row r="690" spans="1:9" x14ac:dyDescent="0.25">
      <c r="A690" t="s">
        <v>4</v>
      </c>
      <c r="B690" s="12">
        <v>2</v>
      </c>
      <c r="C690">
        <v>94</v>
      </c>
      <c r="D690">
        <v>106256</v>
      </c>
      <c r="E690">
        <v>20920</v>
      </c>
      <c r="F690">
        <v>0.45946902654867261</v>
      </c>
      <c r="G690">
        <v>0.58407079646017701</v>
      </c>
      <c r="H690">
        <v>5.8418570321305402E-2</v>
      </c>
      <c r="I690">
        <v>-4.4976746270254948E-2</v>
      </c>
    </row>
    <row r="691" spans="1:9" x14ac:dyDescent="0.25">
      <c r="A691" t="s">
        <v>91</v>
      </c>
      <c r="B691" s="12">
        <v>3</v>
      </c>
      <c r="C691">
        <v>130</v>
      </c>
      <c r="D691">
        <v>106106</v>
      </c>
      <c r="E691">
        <v>15424</v>
      </c>
      <c r="F691">
        <v>0.34075221238938053</v>
      </c>
      <c r="G691">
        <v>0.4247787610619469</v>
      </c>
      <c r="H691">
        <v>4.3697598927860577E-2</v>
      </c>
      <c r="I691">
        <v>-4.2624028737013814E-3</v>
      </c>
    </row>
    <row r="692" spans="1:9" x14ac:dyDescent="0.25">
      <c r="A692" t="s">
        <v>109</v>
      </c>
      <c r="B692" s="12">
        <v>4</v>
      </c>
      <c r="C692">
        <v>129</v>
      </c>
      <c r="D692">
        <v>103410</v>
      </c>
      <c r="E692">
        <v>15935</v>
      </c>
      <c r="F692">
        <v>0.35019911504424778</v>
      </c>
      <c r="G692">
        <v>0.42920353982300891</v>
      </c>
      <c r="H692">
        <v>4.8386745843809947E-2</v>
      </c>
      <c r="I692">
        <v>4.1063684609657827E-2</v>
      </c>
    </row>
    <row r="693" spans="1:9" x14ac:dyDescent="0.25">
      <c r="A693" t="s">
        <v>14</v>
      </c>
      <c r="B693" s="12">
        <v>5</v>
      </c>
      <c r="C693">
        <v>135</v>
      </c>
      <c r="D693">
        <v>103048</v>
      </c>
      <c r="E693">
        <v>13448</v>
      </c>
      <c r="F693">
        <v>0.29701327433628322</v>
      </c>
      <c r="G693">
        <v>0.40265486725663718</v>
      </c>
      <c r="H693">
        <v>3.8658894047247178E-2</v>
      </c>
      <c r="I693">
        <v>1.601728281260411E-2</v>
      </c>
    </row>
    <row r="694" spans="1:9" x14ac:dyDescent="0.25">
      <c r="A694" t="s">
        <v>111</v>
      </c>
      <c r="B694" s="12">
        <v>6</v>
      </c>
      <c r="C694">
        <v>105</v>
      </c>
      <c r="D694">
        <v>102047</v>
      </c>
      <c r="E694">
        <v>22810</v>
      </c>
      <c r="F694">
        <v>0.50055309734513276</v>
      </c>
      <c r="G694">
        <v>0.53539823008849563</v>
      </c>
      <c r="H694">
        <v>7.7162865614377185E-2</v>
      </c>
      <c r="I694">
        <v>4.6355702489860588E-2</v>
      </c>
    </row>
    <row r="695" spans="1:9" x14ac:dyDescent="0.25">
      <c r="A695" t="s">
        <v>89</v>
      </c>
      <c r="B695" s="12">
        <v>7</v>
      </c>
      <c r="C695">
        <v>193</v>
      </c>
      <c r="D695">
        <v>101940</v>
      </c>
      <c r="E695">
        <v>8234</v>
      </c>
      <c r="F695">
        <v>0.18146017699115041</v>
      </c>
      <c r="G695">
        <v>0.14601769911504431</v>
      </c>
      <c r="H695">
        <v>2.601502602863889E-2</v>
      </c>
      <c r="I695">
        <v>8.7946046041410222E-2</v>
      </c>
    </row>
    <row r="696" spans="1:9" x14ac:dyDescent="0.25">
      <c r="A696" t="s">
        <v>71</v>
      </c>
      <c r="B696" s="12">
        <v>8</v>
      </c>
      <c r="C696">
        <v>177</v>
      </c>
      <c r="D696">
        <v>101771</v>
      </c>
      <c r="E696">
        <v>12169</v>
      </c>
      <c r="F696">
        <v>0.26783185840707963</v>
      </c>
      <c r="G696">
        <v>0.2168141592920354</v>
      </c>
      <c r="H696">
        <v>3.9103433541748868E-2</v>
      </c>
      <c r="I696">
        <v>6.7460859464882589E-2</v>
      </c>
    </row>
    <row r="697" spans="1:9" x14ac:dyDescent="0.25">
      <c r="A697" t="s">
        <v>70</v>
      </c>
      <c r="B697" s="12">
        <v>9</v>
      </c>
      <c r="C697">
        <v>103</v>
      </c>
      <c r="D697">
        <v>101701</v>
      </c>
      <c r="E697">
        <v>17454</v>
      </c>
      <c r="F697">
        <v>0.38351769911504419</v>
      </c>
      <c r="G697">
        <v>0.54424778761061943</v>
      </c>
      <c r="H697">
        <v>5.170342483207345E-2</v>
      </c>
      <c r="I697">
        <v>2.2229352258963959E-2</v>
      </c>
    </row>
    <row r="698" spans="1:9" x14ac:dyDescent="0.25">
      <c r="A698" t="s">
        <v>134</v>
      </c>
      <c r="B698" s="12">
        <v>10</v>
      </c>
      <c r="C698">
        <v>86</v>
      </c>
      <c r="D698">
        <v>101596</v>
      </c>
      <c r="E698">
        <v>25320</v>
      </c>
      <c r="F698">
        <v>0.55621681415929203</v>
      </c>
      <c r="G698">
        <v>0.61946902654867253</v>
      </c>
      <c r="H698">
        <v>8.335196336859324E-2</v>
      </c>
      <c r="I698">
        <v>2.8886021097282721E-2</v>
      </c>
    </row>
    <row r="699" spans="1:9" x14ac:dyDescent="0.25">
      <c r="A699" t="s">
        <v>82</v>
      </c>
      <c r="B699" s="12">
        <v>11</v>
      </c>
      <c r="C699">
        <v>108</v>
      </c>
      <c r="D699">
        <v>101294</v>
      </c>
      <c r="E699">
        <v>22182</v>
      </c>
      <c r="F699">
        <v>0.48690265486725659</v>
      </c>
      <c r="G699">
        <v>0.52212389380530977</v>
      </c>
      <c r="H699">
        <v>7.0628019053480789E-2</v>
      </c>
      <c r="I699">
        <v>4.1051896398794453E-2</v>
      </c>
    </row>
    <row r="700" spans="1:9" x14ac:dyDescent="0.25">
      <c r="A700" t="s">
        <v>76</v>
      </c>
      <c r="B700" s="12">
        <v>12</v>
      </c>
      <c r="C700">
        <v>189</v>
      </c>
      <c r="D700">
        <v>101163</v>
      </c>
      <c r="E700">
        <v>13672</v>
      </c>
      <c r="F700">
        <v>0.30181415929203542</v>
      </c>
      <c r="G700">
        <v>0.16371681415929201</v>
      </c>
      <c r="H700">
        <v>4.614644569822049E-2</v>
      </c>
      <c r="I700">
        <v>9.1440950514266345E-2</v>
      </c>
    </row>
    <row r="701" spans="1:9" x14ac:dyDescent="0.25">
      <c r="A701" t="s">
        <v>83</v>
      </c>
      <c r="B701" s="12">
        <v>13</v>
      </c>
      <c r="C701">
        <v>116</v>
      </c>
      <c r="D701">
        <v>100742</v>
      </c>
      <c r="E701">
        <v>19402</v>
      </c>
      <c r="F701">
        <v>0.42528761061946901</v>
      </c>
      <c r="G701">
        <v>0.48672566371681408</v>
      </c>
      <c r="H701">
        <v>6.4629929974963682E-2</v>
      </c>
      <c r="I701">
        <v>5.4193354803059937E-2</v>
      </c>
    </row>
    <row r="702" spans="1:9" x14ac:dyDescent="0.25">
      <c r="A702" t="s">
        <v>135</v>
      </c>
      <c r="B702" s="12">
        <v>14</v>
      </c>
      <c r="C702">
        <v>28</v>
      </c>
      <c r="D702">
        <v>100611</v>
      </c>
      <c r="E702">
        <v>28497</v>
      </c>
      <c r="F702">
        <v>0.62646017699115042</v>
      </c>
      <c r="G702">
        <v>0.87610619469026552</v>
      </c>
      <c r="H702">
        <v>9.065436953353935E-2</v>
      </c>
      <c r="I702">
        <v>1.233116650260691E-2</v>
      </c>
    </row>
    <row r="703" spans="1:9" x14ac:dyDescent="0.25">
      <c r="A703" t="s">
        <v>81</v>
      </c>
      <c r="B703" s="12">
        <v>15</v>
      </c>
      <c r="C703">
        <v>162</v>
      </c>
      <c r="D703">
        <v>100584</v>
      </c>
      <c r="E703">
        <v>13414</v>
      </c>
      <c r="F703">
        <v>0.29555309734513269</v>
      </c>
      <c r="G703">
        <v>0.2831858407079646</v>
      </c>
      <c r="H703">
        <v>4.1516422834365491E-2</v>
      </c>
      <c r="I703">
        <v>6.204079928022805E-2</v>
      </c>
    </row>
    <row r="704" spans="1:9" x14ac:dyDescent="0.25">
      <c r="A704" t="s">
        <v>65</v>
      </c>
      <c r="B704" s="12">
        <v>16</v>
      </c>
      <c r="C704">
        <v>103</v>
      </c>
      <c r="D704">
        <v>100568</v>
      </c>
      <c r="E704">
        <v>19073</v>
      </c>
      <c r="F704">
        <v>0.41973451327433631</v>
      </c>
      <c r="G704">
        <v>0.54424778761061943</v>
      </c>
      <c r="H704">
        <v>5.524405922622188E-2</v>
      </c>
      <c r="I704">
        <v>1.188759738532189E-2</v>
      </c>
    </row>
    <row r="705" spans="1:9" x14ac:dyDescent="0.25">
      <c r="A705" t="s">
        <v>177</v>
      </c>
      <c r="B705" s="12">
        <v>17</v>
      </c>
      <c r="C705">
        <v>59</v>
      </c>
      <c r="D705">
        <v>100516</v>
      </c>
      <c r="E705">
        <v>25777</v>
      </c>
      <c r="F705">
        <v>0.56681415929203538</v>
      </c>
      <c r="G705">
        <v>0.73893805309734517</v>
      </c>
      <c r="H705">
        <v>8.2672290681591099E-2</v>
      </c>
      <c r="I705">
        <v>2.708054361163343E-2</v>
      </c>
    </row>
    <row r="706" spans="1:9" x14ac:dyDescent="0.25">
      <c r="A706" t="s">
        <v>99</v>
      </c>
      <c r="B706" s="12">
        <v>18</v>
      </c>
      <c r="C706">
        <v>112</v>
      </c>
      <c r="D706">
        <v>100145</v>
      </c>
      <c r="E706">
        <v>20915</v>
      </c>
      <c r="F706">
        <v>0.45995575221238938</v>
      </c>
      <c r="G706">
        <v>0.50442477876106195</v>
      </c>
      <c r="H706">
        <v>6.7405786045888622E-2</v>
      </c>
      <c r="I706">
        <v>5.0908827476317843E-2</v>
      </c>
    </row>
    <row r="707" spans="1:9" x14ac:dyDescent="0.25">
      <c r="A707" t="s">
        <v>163</v>
      </c>
      <c r="B707" s="12">
        <v>19</v>
      </c>
      <c r="C707">
        <v>36</v>
      </c>
      <c r="D707">
        <v>99911</v>
      </c>
      <c r="E707">
        <v>31838</v>
      </c>
      <c r="F707">
        <v>0.70042035398230085</v>
      </c>
      <c r="G707">
        <v>0.84070796460176989</v>
      </c>
      <c r="H707">
        <v>9.8839926347490226E-2</v>
      </c>
      <c r="I707">
        <v>-2.6722823135485008E-2</v>
      </c>
    </row>
    <row r="708" spans="1:9" x14ac:dyDescent="0.25">
      <c r="A708" t="s">
        <v>80</v>
      </c>
      <c r="B708" s="12">
        <v>20</v>
      </c>
      <c r="C708">
        <v>168</v>
      </c>
      <c r="D708">
        <v>99790</v>
      </c>
      <c r="E708">
        <v>12828</v>
      </c>
      <c r="F708">
        <v>0.28263274336283178</v>
      </c>
      <c r="G708">
        <v>0.25663716814159288</v>
      </c>
      <c r="H708">
        <v>4.1181055332978708E-2</v>
      </c>
      <c r="I708">
        <v>8.2347101266984052E-2</v>
      </c>
    </row>
    <row r="709" spans="1:9" x14ac:dyDescent="0.25">
      <c r="A709" t="s">
        <v>86</v>
      </c>
      <c r="B709" s="12">
        <v>21</v>
      </c>
      <c r="C709">
        <v>200</v>
      </c>
      <c r="D709">
        <v>99762</v>
      </c>
      <c r="E709">
        <v>8050</v>
      </c>
      <c r="F709">
        <v>0.17741150442477879</v>
      </c>
      <c r="G709">
        <v>0.1150442477876106</v>
      </c>
      <c r="H709">
        <v>2.3703522817638999E-2</v>
      </c>
      <c r="I709">
        <v>7.8394473422842795E-2</v>
      </c>
    </row>
    <row r="710" spans="1:9" x14ac:dyDescent="0.25">
      <c r="A710" t="s">
        <v>94</v>
      </c>
      <c r="B710" s="12">
        <v>22</v>
      </c>
      <c r="C710">
        <v>144</v>
      </c>
      <c r="D710">
        <v>99605</v>
      </c>
      <c r="E710">
        <v>11781</v>
      </c>
      <c r="F710">
        <v>0.25944690265486731</v>
      </c>
      <c r="G710">
        <v>0.36283185840707971</v>
      </c>
      <c r="H710">
        <v>3.2825023501518162E-2</v>
      </c>
      <c r="I710">
        <v>4.4414773385233239E-2</v>
      </c>
    </row>
    <row r="711" spans="1:9" x14ac:dyDescent="0.25">
      <c r="A711" t="s">
        <v>90</v>
      </c>
      <c r="B711" s="12">
        <v>23</v>
      </c>
      <c r="C711">
        <v>194</v>
      </c>
      <c r="D711">
        <v>99583</v>
      </c>
      <c r="E711">
        <v>11374</v>
      </c>
      <c r="F711">
        <v>0.25059734513274329</v>
      </c>
      <c r="G711">
        <v>0.1415929203539823</v>
      </c>
      <c r="H711">
        <v>3.8769260024116112E-2</v>
      </c>
      <c r="I711">
        <v>9.5418736832621379E-2</v>
      </c>
    </row>
    <row r="712" spans="1:9" x14ac:dyDescent="0.25">
      <c r="A712" t="s">
        <v>113</v>
      </c>
      <c r="B712" s="12">
        <v>24</v>
      </c>
      <c r="C712">
        <v>156</v>
      </c>
      <c r="D712">
        <v>99575</v>
      </c>
      <c r="E712">
        <v>15779</v>
      </c>
      <c r="F712">
        <v>0.34495575221238939</v>
      </c>
      <c r="G712">
        <v>0.30973451327433632</v>
      </c>
      <c r="H712">
        <v>5.4366814972658037E-2</v>
      </c>
      <c r="I712">
        <v>8.3572585111945721E-2</v>
      </c>
    </row>
    <row r="713" spans="1:9" x14ac:dyDescent="0.25">
      <c r="A713" t="s">
        <v>98</v>
      </c>
      <c r="B713" s="12">
        <v>25</v>
      </c>
      <c r="C713">
        <v>142</v>
      </c>
      <c r="D713">
        <v>99480</v>
      </c>
      <c r="E713">
        <v>20236</v>
      </c>
      <c r="F713">
        <v>0.44460176991150441</v>
      </c>
      <c r="G713">
        <v>0.37168141592920362</v>
      </c>
      <c r="H713">
        <v>6.7825621789697949E-2</v>
      </c>
      <c r="I713">
        <v>6.9939027925014857E-2</v>
      </c>
    </row>
    <row r="714" spans="1:9" x14ac:dyDescent="0.25">
      <c r="A714" t="s">
        <v>151</v>
      </c>
      <c r="B714" s="12">
        <v>26</v>
      </c>
      <c r="C714">
        <v>60</v>
      </c>
      <c r="D714">
        <v>99310</v>
      </c>
      <c r="E714">
        <v>27239</v>
      </c>
      <c r="F714">
        <v>0.59869469026548672</v>
      </c>
      <c r="G714">
        <v>0.73451327433628322</v>
      </c>
      <c r="H714">
        <v>8.8783745844533302E-2</v>
      </c>
      <c r="I714">
        <v>2.288429991604319E-2</v>
      </c>
    </row>
    <row r="715" spans="1:9" x14ac:dyDescent="0.25">
      <c r="A715" t="s">
        <v>5</v>
      </c>
      <c r="B715" s="12">
        <v>27</v>
      </c>
      <c r="C715">
        <v>142</v>
      </c>
      <c r="D715">
        <v>99245</v>
      </c>
      <c r="E715">
        <v>19067</v>
      </c>
      <c r="F715">
        <v>0.42022123893805308</v>
      </c>
      <c r="G715">
        <v>0.37168141592920362</v>
      </c>
      <c r="H715">
        <v>6.2370053821306212E-2</v>
      </c>
      <c r="I715">
        <v>6.7798795712741236E-2</v>
      </c>
    </row>
    <row r="716" spans="1:9" x14ac:dyDescent="0.25">
      <c r="A716" t="s">
        <v>155</v>
      </c>
      <c r="B716" s="12">
        <v>28</v>
      </c>
      <c r="C716">
        <v>76</v>
      </c>
      <c r="D716">
        <v>98970</v>
      </c>
      <c r="E716">
        <v>26217</v>
      </c>
      <c r="F716">
        <v>0.57626106194690263</v>
      </c>
      <c r="G716">
        <v>0.66371681415929207</v>
      </c>
      <c r="H716">
        <v>8.6185828353195687E-2</v>
      </c>
      <c r="I716">
        <v>3.5934684080729112E-2</v>
      </c>
    </row>
    <row r="717" spans="1:9" x14ac:dyDescent="0.25">
      <c r="A717" t="s">
        <v>85</v>
      </c>
      <c r="B717" s="12">
        <v>29</v>
      </c>
      <c r="C717">
        <v>198</v>
      </c>
      <c r="D717">
        <v>98905</v>
      </c>
      <c r="E717">
        <v>7714</v>
      </c>
      <c r="F717">
        <v>0.17011061946902661</v>
      </c>
      <c r="G717">
        <v>0.1238938053097345</v>
      </c>
      <c r="H717">
        <v>2.3466546548944579E-2</v>
      </c>
      <c r="I717">
        <v>8.98946177401823E-2</v>
      </c>
    </row>
    <row r="718" spans="1:9" x14ac:dyDescent="0.25">
      <c r="A718" t="s">
        <v>125</v>
      </c>
      <c r="B718" s="12">
        <v>30</v>
      </c>
      <c r="C718">
        <v>133</v>
      </c>
      <c r="D718">
        <v>98807</v>
      </c>
      <c r="E718">
        <v>21407</v>
      </c>
      <c r="F718">
        <v>0.47130530973451329</v>
      </c>
      <c r="G718">
        <v>0.41150442477876098</v>
      </c>
      <c r="H718">
        <v>7.0310188862988302E-2</v>
      </c>
      <c r="I718">
        <v>7.1238744162637493E-2</v>
      </c>
    </row>
    <row r="719" spans="1:9" x14ac:dyDescent="0.25">
      <c r="A719" t="s">
        <v>137</v>
      </c>
      <c r="B719" s="12">
        <v>31</v>
      </c>
      <c r="C719">
        <v>59</v>
      </c>
      <c r="D719">
        <v>98703</v>
      </c>
      <c r="E719">
        <v>27722</v>
      </c>
      <c r="F719">
        <v>0.60935840707964606</v>
      </c>
      <c r="G719">
        <v>0.73893805309734517</v>
      </c>
      <c r="H719">
        <v>9.0219637111474515E-2</v>
      </c>
      <c r="I719">
        <v>1.6566491957819039E-2</v>
      </c>
    </row>
    <row r="720" spans="1:9" x14ac:dyDescent="0.25">
      <c r="A720" t="s">
        <v>192</v>
      </c>
      <c r="B720" s="12">
        <v>32</v>
      </c>
      <c r="C720">
        <v>112</v>
      </c>
      <c r="D720">
        <v>98702</v>
      </c>
      <c r="E720">
        <v>16370</v>
      </c>
      <c r="F720">
        <v>0.35997787610619469</v>
      </c>
      <c r="G720">
        <v>0.50442477876106195</v>
      </c>
      <c r="H720">
        <v>4.8999383042895132E-2</v>
      </c>
      <c r="I720">
        <v>4.2995591007958057E-2</v>
      </c>
    </row>
    <row r="721" spans="1:9" x14ac:dyDescent="0.25">
      <c r="A721" t="s">
        <v>128</v>
      </c>
      <c r="B721" s="12">
        <v>33</v>
      </c>
      <c r="C721">
        <v>35</v>
      </c>
      <c r="D721">
        <v>98634</v>
      </c>
      <c r="E721">
        <v>27270</v>
      </c>
      <c r="F721">
        <v>0.59931415929203535</v>
      </c>
      <c r="G721">
        <v>0.84513274336283184</v>
      </c>
      <c r="H721">
        <v>8.7223503347715184E-2</v>
      </c>
      <c r="I721">
        <v>2.9816206733043409E-2</v>
      </c>
    </row>
    <row r="722" spans="1:9" x14ac:dyDescent="0.25">
      <c r="A722" t="s">
        <v>140</v>
      </c>
      <c r="B722" s="12">
        <v>34</v>
      </c>
      <c r="C722">
        <v>195</v>
      </c>
      <c r="D722">
        <v>98583</v>
      </c>
      <c r="E722">
        <v>7029</v>
      </c>
      <c r="F722">
        <v>0.15502212389380529</v>
      </c>
      <c r="G722">
        <v>0.13716814159292029</v>
      </c>
      <c r="H722">
        <v>2.181524213108544E-2</v>
      </c>
      <c r="I722">
        <v>9.3371402567446943E-2</v>
      </c>
    </row>
    <row r="723" spans="1:9" x14ac:dyDescent="0.25">
      <c r="A723" t="s">
        <v>7</v>
      </c>
      <c r="B723" s="12">
        <v>35</v>
      </c>
      <c r="C723">
        <v>113</v>
      </c>
      <c r="D723">
        <v>98528</v>
      </c>
      <c r="E723">
        <v>22565</v>
      </c>
      <c r="F723">
        <v>0.49716814159292028</v>
      </c>
      <c r="G723">
        <v>0.5</v>
      </c>
      <c r="H723">
        <v>7.3042010699998577E-2</v>
      </c>
      <c r="I723">
        <v>5.9575854202617642E-2</v>
      </c>
    </row>
    <row r="724" spans="1:9" x14ac:dyDescent="0.25">
      <c r="A724" t="s">
        <v>133</v>
      </c>
      <c r="B724" s="12">
        <v>36</v>
      </c>
      <c r="C724">
        <v>58</v>
      </c>
      <c r="D724">
        <v>98503</v>
      </c>
      <c r="E724">
        <v>25973</v>
      </c>
      <c r="F724">
        <v>0.57121681415929204</v>
      </c>
      <c r="G724">
        <v>0.74336283185840712</v>
      </c>
      <c r="H724">
        <v>8.1368076983842685E-2</v>
      </c>
      <c r="I724">
        <v>9.729894564405735E-3</v>
      </c>
    </row>
    <row r="725" spans="1:9" x14ac:dyDescent="0.25">
      <c r="A725" t="s">
        <v>92</v>
      </c>
      <c r="B725" s="12">
        <v>37</v>
      </c>
      <c r="C725">
        <v>200</v>
      </c>
      <c r="D725">
        <v>98443</v>
      </c>
      <c r="E725">
        <v>5891</v>
      </c>
      <c r="F725">
        <v>0.1297345132743363</v>
      </c>
      <c r="G725">
        <v>0.1150442477876106</v>
      </c>
      <c r="H725">
        <v>1.6872129411945779E-2</v>
      </c>
      <c r="I725">
        <v>8.8931459122611634E-2</v>
      </c>
    </row>
    <row r="726" spans="1:9" x14ac:dyDescent="0.25">
      <c r="A726" t="s">
        <v>145</v>
      </c>
      <c r="B726" s="12">
        <v>38</v>
      </c>
      <c r="C726">
        <v>54</v>
      </c>
      <c r="D726">
        <v>98302</v>
      </c>
      <c r="E726">
        <v>24881</v>
      </c>
      <c r="F726">
        <v>0.54646017699115046</v>
      </c>
      <c r="G726">
        <v>0.76106194690265483</v>
      </c>
      <c r="H726">
        <v>8.2109779290515272E-2</v>
      </c>
      <c r="I726">
        <v>5.071420664935878E-2</v>
      </c>
    </row>
    <row r="727" spans="1:9" x14ac:dyDescent="0.25">
      <c r="A727" t="s">
        <v>159</v>
      </c>
      <c r="B727" s="12">
        <v>39</v>
      </c>
      <c r="C727">
        <v>76</v>
      </c>
      <c r="D727">
        <v>98299</v>
      </c>
      <c r="E727">
        <v>28016</v>
      </c>
      <c r="F727">
        <v>0.61685840707964601</v>
      </c>
      <c r="G727">
        <v>0.66371681415929207</v>
      </c>
      <c r="H727">
        <v>8.2004732614034903E-2</v>
      </c>
      <c r="I727">
        <v>-2.1540076897013288E-2</v>
      </c>
    </row>
    <row r="728" spans="1:9" x14ac:dyDescent="0.25">
      <c r="A728" t="s">
        <v>143</v>
      </c>
      <c r="B728" s="12">
        <v>40</v>
      </c>
      <c r="C728">
        <v>67</v>
      </c>
      <c r="D728">
        <v>98159</v>
      </c>
      <c r="E728">
        <v>26345</v>
      </c>
      <c r="F728">
        <v>0.57887168141592915</v>
      </c>
      <c r="G728">
        <v>0.70353982300884954</v>
      </c>
      <c r="H728">
        <v>8.6406470219334411E-2</v>
      </c>
      <c r="I728">
        <v>3.9624743316918419E-2</v>
      </c>
    </row>
    <row r="729" spans="1:9" x14ac:dyDescent="0.25">
      <c r="A729" t="s">
        <v>11</v>
      </c>
      <c r="B729" s="12">
        <v>41</v>
      </c>
      <c r="C729">
        <v>196</v>
      </c>
      <c r="D729">
        <v>98120</v>
      </c>
      <c r="E729">
        <v>5517</v>
      </c>
      <c r="F729">
        <v>0.121570796460177</v>
      </c>
      <c r="G729">
        <v>0.13274336283185839</v>
      </c>
      <c r="H729">
        <v>1.548951230616475E-2</v>
      </c>
      <c r="I729">
        <v>9.0423298126344753E-2</v>
      </c>
    </row>
    <row r="730" spans="1:9" x14ac:dyDescent="0.25">
      <c r="A730" t="s">
        <v>119</v>
      </c>
      <c r="B730" s="12">
        <v>42</v>
      </c>
      <c r="C730">
        <v>108</v>
      </c>
      <c r="D730">
        <v>97874</v>
      </c>
      <c r="E730">
        <v>22585</v>
      </c>
      <c r="F730">
        <v>0.49716814159292028</v>
      </c>
      <c r="G730">
        <v>0.52212389380530977</v>
      </c>
      <c r="H730">
        <v>7.2151344277862933E-2</v>
      </c>
      <c r="I730">
        <v>5.8144668416131681E-2</v>
      </c>
    </row>
    <row r="731" spans="1:9" x14ac:dyDescent="0.25">
      <c r="A731" t="s">
        <v>101</v>
      </c>
      <c r="B731" s="12">
        <v>43</v>
      </c>
      <c r="C731">
        <v>83</v>
      </c>
      <c r="D731">
        <v>97814</v>
      </c>
      <c r="E731">
        <v>22982</v>
      </c>
      <c r="F731">
        <v>0.50632743362831856</v>
      </c>
      <c r="G731">
        <v>0.63274336283185839</v>
      </c>
      <c r="H731">
        <v>7.2225311855315236E-2</v>
      </c>
      <c r="I731">
        <v>4.6931075947447637E-2</v>
      </c>
    </row>
    <row r="732" spans="1:9" x14ac:dyDescent="0.25">
      <c r="A732" t="s">
        <v>93</v>
      </c>
      <c r="B732" s="12">
        <v>44</v>
      </c>
      <c r="C732">
        <v>192</v>
      </c>
      <c r="D732">
        <v>97801</v>
      </c>
      <c r="E732">
        <v>8291</v>
      </c>
      <c r="F732">
        <v>0.1823672566371681</v>
      </c>
      <c r="G732">
        <v>0.15044247787610621</v>
      </c>
      <c r="H732">
        <v>2.4745397213556539E-2</v>
      </c>
      <c r="I732">
        <v>8.0059405609570963E-2</v>
      </c>
    </row>
    <row r="733" spans="1:9" x14ac:dyDescent="0.25">
      <c r="A733" t="s">
        <v>169</v>
      </c>
      <c r="B733" s="12">
        <v>45</v>
      </c>
      <c r="C733">
        <v>21</v>
      </c>
      <c r="D733">
        <v>97783</v>
      </c>
      <c r="E733">
        <v>31324</v>
      </c>
      <c r="F733">
        <v>0.68918141592920357</v>
      </c>
      <c r="G733">
        <v>0.90707964601769908</v>
      </c>
      <c r="H733">
        <v>9.7364645520684218E-2</v>
      </c>
      <c r="I733">
        <v>-9.0443252902379628E-4</v>
      </c>
    </row>
    <row r="734" spans="1:9" x14ac:dyDescent="0.25">
      <c r="A734" t="s">
        <v>204</v>
      </c>
      <c r="B734" s="12">
        <v>46</v>
      </c>
      <c r="C734">
        <v>136</v>
      </c>
      <c r="D734">
        <v>97631</v>
      </c>
      <c r="E734">
        <v>12885</v>
      </c>
      <c r="F734">
        <v>0.28460176991150438</v>
      </c>
      <c r="G734">
        <v>0.39823008849557517</v>
      </c>
      <c r="H734">
        <v>3.7607784579792358E-2</v>
      </c>
      <c r="I734">
        <v>5.4607737339836197E-2</v>
      </c>
    </row>
    <row r="735" spans="1:9" x14ac:dyDescent="0.25">
      <c r="A735" t="s">
        <v>166</v>
      </c>
      <c r="B735" s="12">
        <v>47</v>
      </c>
      <c r="C735">
        <v>71</v>
      </c>
      <c r="D735">
        <v>97571</v>
      </c>
      <c r="E735">
        <v>27294</v>
      </c>
      <c r="F735">
        <v>0.5999336283185841</v>
      </c>
      <c r="G735">
        <v>0.68584070796460173</v>
      </c>
      <c r="H735">
        <v>8.8507645194736889E-2</v>
      </c>
      <c r="I735">
        <v>2.474808884342776E-2</v>
      </c>
    </row>
    <row r="736" spans="1:9" x14ac:dyDescent="0.25">
      <c r="A736" t="s">
        <v>122</v>
      </c>
      <c r="B736" s="12">
        <v>48</v>
      </c>
      <c r="C736">
        <v>142</v>
      </c>
      <c r="D736">
        <v>97542</v>
      </c>
      <c r="E736">
        <v>17379</v>
      </c>
      <c r="F736">
        <v>0.38389380530973449</v>
      </c>
      <c r="G736">
        <v>0.37168141592920362</v>
      </c>
      <c r="H736">
        <v>6.0180553135481152E-2</v>
      </c>
      <c r="I736">
        <v>9.1744311551297156E-2</v>
      </c>
    </row>
    <row r="737" spans="1:9" x14ac:dyDescent="0.25">
      <c r="A737" t="s">
        <v>104</v>
      </c>
      <c r="B737" s="12">
        <v>49</v>
      </c>
      <c r="C737">
        <v>131</v>
      </c>
      <c r="D737">
        <v>97521</v>
      </c>
      <c r="E737">
        <v>19459</v>
      </c>
      <c r="F737">
        <v>0.4288274336283186</v>
      </c>
      <c r="G737">
        <v>0.42035398230088489</v>
      </c>
      <c r="H737">
        <v>6.1511657149303199E-2</v>
      </c>
      <c r="I737">
        <v>5.4084323325269933E-2</v>
      </c>
    </row>
    <row r="738" spans="1:9" x14ac:dyDescent="0.25">
      <c r="A738" t="s">
        <v>127</v>
      </c>
      <c r="B738" s="12">
        <v>50</v>
      </c>
      <c r="C738">
        <v>88</v>
      </c>
      <c r="D738">
        <v>97383</v>
      </c>
      <c r="E738">
        <v>23310</v>
      </c>
      <c r="F738">
        <v>0.5119247787610619</v>
      </c>
      <c r="G738">
        <v>0.61061946902654862</v>
      </c>
      <c r="H738">
        <v>7.5207895429819677E-2</v>
      </c>
      <c r="I738">
        <v>6.0295828501916629E-2</v>
      </c>
    </row>
    <row r="739" spans="1:9" x14ac:dyDescent="0.25">
      <c r="A739" t="s">
        <v>78</v>
      </c>
      <c r="B739" s="12">
        <v>51</v>
      </c>
      <c r="C739">
        <v>121</v>
      </c>
      <c r="D739">
        <v>97381</v>
      </c>
      <c r="E739">
        <v>17490</v>
      </c>
      <c r="F739">
        <v>0.3848230088495575</v>
      </c>
      <c r="G739">
        <v>0.46460176991150443</v>
      </c>
      <c r="H739">
        <v>5.3538539488200497E-2</v>
      </c>
      <c r="I739">
        <v>4.957172202405654E-2</v>
      </c>
    </row>
    <row r="740" spans="1:9" x14ac:dyDescent="0.25">
      <c r="A740" t="s">
        <v>108</v>
      </c>
      <c r="B740" s="12">
        <v>52</v>
      </c>
      <c r="C740">
        <v>76</v>
      </c>
      <c r="D740">
        <v>97378</v>
      </c>
      <c r="E740">
        <v>25162</v>
      </c>
      <c r="F740">
        <v>0.55382743362831854</v>
      </c>
      <c r="G740">
        <v>0.66371681415929207</v>
      </c>
      <c r="H740">
        <v>7.8937251370986769E-2</v>
      </c>
      <c r="I740">
        <v>3.7976336034027842E-2</v>
      </c>
    </row>
    <row r="741" spans="1:9" x14ac:dyDescent="0.25">
      <c r="A741" t="s">
        <v>114</v>
      </c>
      <c r="B741" s="12">
        <v>53</v>
      </c>
      <c r="C741">
        <v>183</v>
      </c>
      <c r="D741">
        <v>97376</v>
      </c>
      <c r="E741">
        <v>9293</v>
      </c>
      <c r="F741">
        <v>0.20486725663716809</v>
      </c>
      <c r="G741">
        <v>0.19026548672566371</v>
      </c>
      <c r="H741">
        <v>2.8725281031531991E-2</v>
      </c>
      <c r="I741">
        <v>9.1240878729252392E-2</v>
      </c>
    </row>
    <row r="742" spans="1:9" x14ac:dyDescent="0.25">
      <c r="A742" t="s">
        <v>110</v>
      </c>
      <c r="B742" s="12">
        <v>54</v>
      </c>
      <c r="C742">
        <v>199</v>
      </c>
      <c r="D742">
        <v>97372</v>
      </c>
      <c r="E742">
        <v>5979</v>
      </c>
      <c r="F742">
        <v>0.1316592920353982</v>
      </c>
      <c r="G742">
        <v>0.1194690265486726</v>
      </c>
      <c r="H742">
        <v>1.6956339438184621E-2</v>
      </c>
      <c r="I742">
        <v>8.7599950676358465E-2</v>
      </c>
    </row>
    <row r="743" spans="1:9" x14ac:dyDescent="0.25">
      <c r="A743" t="s">
        <v>103</v>
      </c>
      <c r="B743" s="12">
        <v>55</v>
      </c>
      <c r="C743">
        <v>122</v>
      </c>
      <c r="D743">
        <v>97238</v>
      </c>
      <c r="E743">
        <v>13369</v>
      </c>
      <c r="F743">
        <v>0.29287610619469029</v>
      </c>
      <c r="G743">
        <v>0.46017699115044253</v>
      </c>
      <c r="H743">
        <v>3.8946319363410323E-2</v>
      </c>
      <c r="I743">
        <v>5.1558558997608153E-2</v>
      </c>
    </row>
    <row r="744" spans="1:9" x14ac:dyDescent="0.25">
      <c r="A744" t="s">
        <v>12</v>
      </c>
      <c r="B744" s="12">
        <v>56</v>
      </c>
      <c r="C744">
        <v>194</v>
      </c>
      <c r="D744">
        <v>97217</v>
      </c>
      <c r="E744">
        <v>6517</v>
      </c>
      <c r="F744">
        <v>0.14358407079646021</v>
      </c>
      <c r="G744">
        <v>0.1415929203539823</v>
      </c>
      <c r="H744">
        <v>1.8281818276934449E-2</v>
      </c>
      <c r="I744">
        <v>8.4184702775036743E-2</v>
      </c>
    </row>
    <row r="745" spans="1:9" x14ac:dyDescent="0.25">
      <c r="A745" t="s">
        <v>117</v>
      </c>
      <c r="B745" s="12">
        <v>57</v>
      </c>
      <c r="C745">
        <v>52</v>
      </c>
      <c r="D745">
        <v>97149</v>
      </c>
      <c r="E745">
        <v>30191</v>
      </c>
      <c r="F745">
        <v>0.66457964601769914</v>
      </c>
      <c r="G745">
        <v>0.76991150442477874</v>
      </c>
      <c r="H745">
        <v>9.1085392700073389E-2</v>
      </c>
      <c r="I745">
        <v>-1.0409731838076541E-2</v>
      </c>
    </row>
    <row r="746" spans="1:9" x14ac:dyDescent="0.25">
      <c r="A746" t="s">
        <v>221</v>
      </c>
      <c r="B746" s="12">
        <v>58</v>
      </c>
      <c r="C746">
        <v>138</v>
      </c>
      <c r="D746">
        <v>97146</v>
      </c>
      <c r="E746">
        <v>10753</v>
      </c>
      <c r="F746">
        <v>0.23674778761061949</v>
      </c>
      <c r="G746">
        <v>0.38938053097345132</v>
      </c>
      <c r="H746">
        <v>2.8403868157497569E-2</v>
      </c>
      <c r="I746">
        <v>4.4345799062664233E-2</v>
      </c>
    </row>
    <row r="747" spans="1:9" x14ac:dyDescent="0.25">
      <c r="A747" t="s">
        <v>196</v>
      </c>
      <c r="B747" s="12">
        <v>59</v>
      </c>
      <c r="C747">
        <v>147</v>
      </c>
      <c r="D747">
        <v>97064</v>
      </c>
      <c r="E747">
        <v>15073</v>
      </c>
      <c r="F747">
        <v>0.33134955752212392</v>
      </c>
      <c r="G747">
        <v>0.34955752212389379</v>
      </c>
      <c r="H747">
        <v>4.1655709495471857E-2</v>
      </c>
      <c r="I747">
        <v>2.185038218488522E-2</v>
      </c>
    </row>
    <row r="748" spans="1:9" x14ac:dyDescent="0.25">
      <c r="A748" t="s">
        <v>121</v>
      </c>
      <c r="B748" s="12">
        <v>60</v>
      </c>
      <c r="C748">
        <v>98</v>
      </c>
      <c r="D748">
        <v>97006</v>
      </c>
      <c r="E748">
        <v>22563</v>
      </c>
      <c r="F748">
        <v>0.49701327433628317</v>
      </c>
      <c r="G748">
        <v>0.5663716814159292</v>
      </c>
      <c r="H748">
        <v>7.268285291941208E-2</v>
      </c>
      <c r="I748">
        <v>6.2695408422255391E-2</v>
      </c>
    </row>
    <row r="749" spans="1:9" x14ac:dyDescent="0.25">
      <c r="A749" t="s">
        <v>141</v>
      </c>
      <c r="B749" s="12">
        <v>61</v>
      </c>
      <c r="C749">
        <v>31</v>
      </c>
      <c r="D749">
        <v>96984</v>
      </c>
      <c r="E749">
        <v>30787</v>
      </c>
      <c r="F749">
        <v>0.67712389380530968</v>
      </c>
      <c r="G749">
        <v>0.86283185840707965</v>
      </c>
      <c r="H749">
        <v>9.5629157603330905E-2</v>
      </c>
      <c r="I749">
        <v>-6.1457759740277578E-3</v>
      </c>
    </row>
    <row r="750" spans="1:9" x14ac:dyDescent="0.25">
      <c r="A750" t="s">
        <v>88</v>
      </c>
      <c r="B750" s="12">
        <v>62</v>
      </c>
      <c r="C750">
        <v>146</v>
      </c>
      <c r="D750">
        <v>96967</v>
      </c>
      <c r="E750">
        <v>14902</v>
      </c>
      <c r="F750">
        <v>0.32842920353982302</v>
      </c>
      <c r="G750">
        <v>0.35398230088495569</v>
      </c>
      <c r="H750">
        <v>4.6025189999769123E-2</v>
      </c>
      <c r="I750">
        <v>6.389465327682757E-2</v>
      </c>
    </row>
    <row r="751" spans="1:9" x14ac:dyDescent="0.25">
      <c r="A751" t="s">
        <v>126</v>
      </c>
      <c r="B751" s="12">
        <v>63</v>
      </c>
      <c r="C751">
        <v>101</v>
      </c>
      <c r="D751">
        <v>96946</v>
      </c>
      <c r="E751">
        <v>22195</v>
      </c>
      <c r="F751">
        <v>0.48851769911504422</v>
      </c>
      <c r="G751">
        <v>0.55309734513274333</v>
      </c>
      <c r="H751">
        <v>7.1140570587675075E-2</v>
      </c>
      <c r="I751">
        <v>6.2055771900869347E-2</v>
      </c>
    </row>
    <row r="752" spans="1:9" x14ac:dyDescent="0.25">
      <c r="A752" t="s">
        <v>97</v>
      </c>
      <c r="B752" s="12">
        <v>64</v>
      </c>
      <c r="C752">
        <v>196</v>
      </c>
      <c r="D752">
        <v>96922</v>
      </c>
      <c r="E752">
        <v>5662</v>
      </c>
      <c r="F752">
        <v>0.12477876106194689</v>
      </c>
      <c r="G752">
        <v>0.13274336283185839</v>
      </c>
      <c r="H752">
        <v>1.5847582749810699E-2</v>
      </c>
      <c r="I752">
        <v>8.7724107318823977E-2</v>
      </c>
    </row>
    <row r="753" spans="1:9" x14ac:dyDescent="0.25">
      <c r="A753" t="s">
        <v>176</v>
      </c>
      <c r="B753" s="12">
        <v>65</v>
      </c>
      <c r="C753">
        <v>193</v>
      </c>
      <c r="D753">
        <v>96883</v>
      </c>
      <c r="E753">
        <v>10046</v>
      </c>
      <c r="F753">
        <v>0.21988938053097351</v>
      </c>
      <c r="G753">
        <v>0.14601769911504431</v>
      </c>
      <c r="H753">
        <v>3.106783203420739E-2</v>
      </c>
      <c r="I753">
        <v>8.7735747246985227E-2</v>
      </c>
    </row>
    <row r="754" spans="1:9" x14ac:dyDescent="0.25">
      <c r="A754" t="s">
        <v>77</v>
      </c>
      <c r="B754" s="12">
        <v>66</v>
      </c>
      <c r="C754">
        <v>91</v>
      </c>
      <c r="D754">
        <v>96859</v>
      </c>
      <c r="E754">
        <v>20278</v>
      </c>
      <c r="F754">
        <v>0.44630530973451332</v>
      </c>
      <c r="G754">
        <v>0.59734513274336287</v>
      </c>
      <c r="H754">
        <v>6.1996823959726777E-2</v>
      </c>
      <c r="I754">
        <v>3.6898768516047037E-2</v>
      </c>
    </row>
    <row r="755" spans="1:9" x14ac:dyDescent="0.25">
      <c r="A755" t="s">
        <v>87</v>
      </c>
      <c r="B755" s="12">
        <v>67</v>
      </c>
      <c r="C755">
        <v>198</v>
      </c>
      <c r="D755">
        <v>96847</v>
      </c>
      <c r="E755">
        <v>6293</v>
      </c>
      <c r="F755">
        <v>0.13876106194690269</v>
      </c>
      <c r="G755">
        <v>0.1238938053097345</v>
      </c>
      <c r="H755">
        <v>1.8017308422034771E-2</v>
      </c>
      <c r="I755">
        <v>8.6456746907958404E-2</v>
      </c>
    </row>
    <row r="756" spans="1:9" x14ac:dyDescent="0.25">
      <c r="A756" t="s">
        <v>214</v>
      </c>
      <c r="B756" s="12">
        <v>68</v>
      </c>
      <c r="C756">
        <v>134</v>
      </c>
      <c r="D756">
        <v>96845</v>
      </c>
      <c r="E756">
        <v>10981</v>
      </c>
      <c r="F756">
        <v>0.2408407079646018</v>
      </c>
      <c r="G756">
        <v>0.40707964601769908</v>
      </c>
      <c r="H756">
        <v>3.1048701886473851E-2</v>
      </c>
      <c r="I756">
        <v>5.5239229972083588E-2</v>
      </c>
    </row>
    <row r="757" spans="1:9" x14ac:dyDescent="0.25">
      <c r="A757" t="s">
        <v>219</v>
      </c>
      <c r="B757" s="12">
        <v>69</v>
      </c>
      <c r="C757">
        <v>105</v>
      </c>
      <c r="D757">
        <v>96807</v>
      </c>
      <c r="E757">
        <v>21375</v>
      </c>
      <c r="F757">
        <v>0.47064159292035401</v>
      </c>
      <c r="G757">
        <v>0.53539823008849563</v>
      </c>
      <c r="H757">
        <v>6.8208539108717339E-2</v>
      </c>
      <c r="I757">
        <v>6.2700965265594669E-2</v>
      </c>
    </row>
    <row r="758" spans="1:9" x14ac:dyDescent="0.25">
      <c r="A758" t="s">
        <v>115</v>
      </c>
      <c r="B758" s="12">
        <v>70</v>
      </c>
      <c r="C758">
        <v>196</v>
      </c>
      <c r="D758">
        <v>96721</v>
      </c>
      <c r="E758">
        <v>5585</v>
      </c>
      <c r="F758">
        <v>0.12303097345132739</v>
      </c>
      <c r="G758">
        <v>0.13274336283185839</v>
      </c>
      <c r="H758">
        <v>1.573703934540915E-2</v>
      </c>
      <c r="I758">
        <v>8.9388372420416209E-2</v>
      </c>
    </row>
    <row r="759" spans="1:9" x14ac:dyDescent="0.25">
      <c r="A759" t="s">
        <v>124</v>
      </c>
      <c r="B759" s="12">
        <v>71</v>
      </c>
      <c r="C759">
        <v>21</v>
      </c>
      <c r="D759">
        <v>96699</v>
      </c>
      <c r="E759">
        <v>32277</v>
      </c>
      <c r="F759">
        <v>0.71013274336283183</v>
      </c>
      <c r="G759">
        <v>0.90707964601769908</v>
      </c>
      <c r="H759">
        <v>9.8372444955481489E-2</v>
      </c>
      <c r="I759">
        <v>-1.7683446645712642E-2</v>
      </c>
    </row>
    <row r="760" spans="1:9" x14ac:dyDescent="0.25">
      <c r="A760" t="s">
        <v>118</v>
      </c>
      <c r="B760" s="12">
        <v>72</v>
      </c>
      <c r="C760">
        <v>110</v>
      </c>
      <c r="D760">
        <v>96695</v>
      </c>
      <c r="E760">
        <v>17798</v>
      </c>
      <c r="F760">
        <v>0.39130530973451327</v>
      </c>
      <c r="G760">
        <v>0.51327433628318586</v>
      </c>
      <c r="H760">
        <v>4.8196859127215178E-2</v>
      </c>
      <c r="I760">
        <v>-5.1305499724770094E-3</v>
      </c>
    </row>
    <row r="761" spans="1:9" x14ac:dyDescent="0.25">
      <c r="A761" t="s">
        <v>15</v>
      </c>
      <c r="B761" s="12">
        <v>73</v>
      </c>
      <c r="C761">
        <v>152</v>
      </c>
      <c r="D761">
        <v>96684</v>
      </c>
      <c r="E761">
        <v>16688</v>
      </c>
      <c r="F761">
        <v>0.36814159292035398</v>
      </c>
      <c r="G761">
        <v>0.32743362831858408</v>
      </c>
      <c r="H761">
        <v>5.3038574718015437E-2</v>
      </c>
      <c r="I761">
        <v>8.0989953888348676E-2</v>
      </c>
    </row>
    <row r="762" spans="1:9" x14ac:dyDescent="0.25">
      <c r="A762" t="s">
        <v>241</v>
      </c>
      <c r="B762" s="12">
        <v>74</v>
      </c>
      <c r="C762">
        <v>199</v>
      </c>
      <c r="D762">
        <v>96679</v>
      </c>
      <c r="E762">
        <v>5138</v>
      </c>
      <c r="F762">
        <v>0.11311946902654869</v>
      </c>
      <c r="G762">
        <v>0.1194690265486726</v>
      </c>
      <c r="H762">
        <v>1.4453754386902719E-2</v>
      </c>
      <c r="I762">
        <v>9.2380749364238596E-2</v>
      </c>
    </row>
    <row r="763" spans="1:9" x14ac:dyDescent="0.25">
      <c r="A763" t="s">
        <v>199</v>
      </c>
      <c r="B763" s="12">
        <v>75</v>
      </c>
      <c r="C763">
        <v>120</v>
      </c>
      <c r="D763">
        <v>96677</v>
      </c>
      <c r="E763">
        <v>15764</v>
      </c>
      <c r="F763">
        <v>0.34823008849557519</v>
      </c>
      <c r="G763">
        <v>0.46902654867256638</v>
      </c>
      <c r="H763">
        <v>4.7821023703194562E-2</v>
      </c>
      <c r="I763">
        <v>5.839026234707375E-2</v>
      </c>
    </row>
    <row r="764" spans="1:9" x14ac:dyDescent="0.25">
      <c r="A764" t="s">
        <v>18</v>
      </c>
      <c r="B764" s="12">
        <v>76</v>
      </c>
      <c r="C764">
        <v>146</v>
      </c>
      <c r="D764">
        <v>96674</v>
      </c>
      <c r="E764">
        <v>18828</v>
      </c>
      <c r="F764">
        <v>0.4154867256637168</v>
      </c>
      <c r="G764">
        <v>0.35398230088495569</v>
      </c>
      <c r="H764">
        <v>6.1444653369395821E-2</v>
      </c>
      <c r="I764">
        <v>7.6824247983433513E-2</v>
      </c>
    </row>
    <row r="765" spans="1:9" x14ac:dyDescent="0.25">
      <c r="A765" t="s">
        <v>131</v>
      </c>
      <c r="B765" s="12">
        <v>77</v>
      </c>
      <c r="C765">
        <v>26</v>
      </c>
      <c r="D765">
        <v>96538</v>
      </c>
      <c r="E765">
        <v>32996</v>
      </c>
      <c r="F765">
        <v>0.72603982300884951</v>
      </c>
      <c r="G765">
        <v>0.88495575221238942</v>
      </c>
      <c r="H765">
        <v>0.100687780813824</v>
      </c>
      <c r="I765">
        <v>-2.514907239726279E-2</v>
      </c>
    </row>
    <row r="766" spans="1:9" x14ac:dyDescent="0.25">
      <c r="A766" t="s">
        <v>157</v>
      </c>
      <c r="B766" s="12">
        <v>78</v>
      </c>
      <c r="C766">
        <v>94</v>
      </c>
      <c r="D766">
        <v>96528</v>
      </c>
      <c r="E766">
        <v>22717</v>
      </c>
      <c r="F766">
        <v>0.50008849557522128</v>
      </c>
      <c r="G766">
        <v>0.58407079646017701</v>
      </c>
      <c r="H766">
        <v>7.4455093300096531E-2</v>
      </c>
      <c r="I766">
        <v>6.269420552473319E-2</v>
      </c>
    </row>
    <row r="767" spans="1:9" x14ac:dyDescent="0.25">
      <c r="A767" t="s">
        <v>153</v>
      </c>
      <c r="B767" s="12">
        <v>79</v>
      </c>
      <c r="C767">
        <v>81</v>
      </c>
      <c r="D767">
        <v>96489</v>
      </c>
      <c r="E767">
        <v>24279</v>
      </c>
      <c r="F767">
        <v>0.53424778761061942</v>
      </c>
      <c r="G767">
        <v>0.6415929203539823</v>
      </c>
      <c r="H767">
        <v>7.6441125548482577E-2</v>
      </c>
      <c r="I767">
        <v>3.5367439602201123E-2</v>
      </c>
    </row>
    <row r="768" spans="1:9" x14ac:dyDescent="0.25">
      <c r="A768" t="s">
        <v>238</v>
      </c>
      <c r="B768" s="12">
        <v>80</v>
      </c>
      <c r="C768">
        <v>148</v>
      </c>
      <c r="D768">
        <v>96437</v>
      </c>
      <c r="E768">
        <v>9238</v>
      </c>
      <c r="F768">
        <v>0.2031194690265487</v>
      </c>
      <c r="G768">
        <v>0.34513274336283178</v>
      </c>
      <c r="H768">
        <v>2.57404762670954E-2</v>
      </c>
      <c r="I768">
        <v>6.5558737590051874E-2</v>
      </c>
    </row>
    <row r="769" spans="1:9" x14ac:dyDescent="0.25">
      <c r="A769" t="s">
        <v>180</v>
      </c>
      <c r="B769" s="12">
        <v>81</v>
      </c>
      <c r="C769">
        <v>98</v>
      </c>
      <c r="D769">
        <v>96371</v>
      </c>
      <c r="E769">
        <v>18579</v>
      </c>
      <c r="F769">
        <v>0.40880530973451329</v>
      </c>
      <c r="G769">
        <v>0.5663716814159292</v>
      </c>
      <c r="H769">
        <v>5.7710220560699223E-2</v>
      </c>
      <c r="I769">
        <v>5.7481308732494761E-2</v>
      </c>
    </row>
    <row r="770" spans="1:9" x14ac:dyDescent="0.25">
      <c r="A770" t="s">
        <v>147</v>
      </c>
      <c r="B770" s="12">
        <v>82</v>
      </c>
      <c r="C770">
        <v>91</v>
      </c>
      <c r="D770">
        <v>96220</v>
      </c>
      <c r="E770">
        <v>22804</v>
      </c>
      <c r="F770">
        <v>0.50055309734513276</v>
      </c>
      <c r="G770">
        <v>0.59734513274336287</v>
      </c>
      <c r="H770">
        <v>7.6302269114577201E-2</v>
      </c>
      <c r="I770">
        <v>7.2794473482281255E-2</v>
      </c>
    </row>
    <row r="771" spans="1:9" x14ac:dyDescent="0.25">
      <c r="A771" t="s">
        <v>168</v>
      </c>
      <c r="B771" s="12">
        <v>83</v>
      </c>
      <c r="C771">
        <v>97</v>
      </c>
      <c r="D771">
        <v>96210</v>
      </c>
      <c r="E771">
        <v>23047</v>
      </c>
      <c r="F771">
        <v>0.50873893805309733</v>
      </c>
      <c r="G771">
        <v>0.57079646017699115</v>
      </c>
      <c r="H771">
        <v>7.6607912350355314E-2</v>
      </c>
      <c r="I771">
        <v>6.8024865640198426E-2</v>
      </c>
    </row>
    <row r="772" spans="1:9" x14ac:dyDescent="0.25">
      <c r="A772" t="s">
        <v>202</v>
      </c>
      <c r="B772" s="12">
        <v>84</v>
      </c>
      <c r="C772">
        <v>122</v>
      </c>
      <c r="D772">
        <v>96198</v>
      </c>
      <c r="E772">
        <v>17475</v>
      </c>
      <c r="F772">
        <v>0.38455752212389382</v>
      </c>
      <c r="G772">
        <v>0.46017699115044253</v>
      </c>
      <c r="H772">
        <v>5.3422756267042529E-2</v>
      </c>
      <c r="I772">
        <v>6.0137841559163803E-2</v>
      </c>
    </row>
    <row r="773" spans="1:9" x14ac:dyDescent="0.25">
      <c r="A773" t="s">
        <v>106</v>
      </c>
      <c r="B773" s="12">
        <v>85</v>
      </c>
      <c r="C773">
        <v>194</v>
      </c>
      <c r="D773">
        <v>96187</v>
      </c>
      <c r="E773">
        <v>6705</v>
      </c>
      <c r="F773">
        <v>0.14761061946902651</v>
      </c>
      <c r="G773">
        <v>0.1415929203539823</v>
      </c>
      <c r="H773">
        <v>1.915752291950824E-2</v>
      </c>
      <c r="I773">
        <v>8.7230479876294953E-2</v>
      </c>
    </row>
    <row r="774" spans="1:9" x14ac:dyDescent="0.25">
      <c r="A774" t="s">
        <v>195</v>
      </c>
      <c r="B774" s="12">
        <v>86</v>
      </c>
      <c r="C774">
        <v>96</v>
      </c>
      <c r="D774">
        <v>96178</v>
      </c>
      <c r="E774">
        <v>22002</v>
      </c>
      <c r="F774">
        <v>0.48449115044247792</v>
      </c>
      <c r="G774">
        <v>0.5752212389380531</v>
      </c>
      <c r="H774">
        <v>6.9169326554003374E-2</v>
      </c>
      <c r="I774">
        <v>5.4348330420039892E-2</v>
      </c>
    </row>
    <row r="775" spans="1:9" x14ac:dyDescent="0.25">
      <c r="A775" t="s">
        <v>223</v>
      </c>
      <c r="B775" s="12">
        <v>87</v>
      </c>
      <c r="C775">
        <v>132</v>
      </c>
      <c r="D775">
        <v>96138</v>
      </c>
      <c r="E775">
        <v>19520</v>
      </c>
      <c r="F775">
        <v>0.42971238938053102</v>
      </c>
      <c r="G775">
        <v>0.41592920353982299</v>
      </c>
      <c r="H775">
        <v>6.3071419208253307E-2</v>
      </c>
      <c r="I775">
        <v>7.8171798341290566E-2</v>
      </c>
    </row>
    <row r="776" spans="1:9" x14ac:dyDescent="0.25">
      <c r="A776" t="s">
        <v>95</v>
      </c>
      <c r="B776" s="12">
        <v>88</v>
      </c>
      <c r="C776">
        <v>56</v>
      </c>
      <c r="D776">
        <v>96119</v>
      </c>
      <c r="E776">
        <v>26826</v>
      </c>
      <c r="F776">
        <v>0.59046460176991156</v>
      </c>
      <c r="G776">
        <v>0.75221238938053092</v>
      </c>
      <c r="H776">
        <v>8.2354972037562466E-2</v>
      </c>
      <c r="I776">
        <v>1.7343957456099929E-2</v>
      </c>
    </row>
    <row r="777" spans="1:9" x14ac:dyDescent="0.25">
      <c r="A777" t="s">
        <v>16</v>
      </c>
      <c r="B777" s="12">
        <v>89</v>
      </c>
      <c r="C777">
        <v>136</v>
      </c>
      <c r="D777">
        <v>96119</v>
      </c>
      <c r="E777">
        <v>19302</v>
      </c>
      <c r="F777">
        <v>0.42535398230088489</v>
      </c>
      <c r="G777">
        <v>0.39823008849557517</v>
      </c>
      <c r="H777">
        <v>6.2129916599454549E-2</v>
      </c>
      <c r="I777">
        <v>7.7082966301018838E-2</v>
      </c>
    </row>
    <row r="778" spans="1:9" x14ac:dyDescent="0.25">
      <c r="A778" t="s">
        <v>75</v>
      </c>
      <c r="B778" s="12">
        <v>90</v>
      </c>
      <c r="C778">
        <v>109</v>
      </c>
      <c r="D778">
        <v>96046</v>
      </c>
      <c r="E778">
        <v>17880</v>
      </c>
      <c r="F778">
        <v>0.39356194690265489</v>
      </c>
      <c r="G778">
        <v>0.51769911504424782</v>
      </c>
      <c r="H778">
        <v>5.196322061402299E-2</v>
      </c>
      <c r="I778">
        <v>3.0049070709181679E-2</v>
      </c>
    </row>
    <row r="779" spans="1:9" x14ac:dyDescent="0.25">
      <c r="A779" t="s">
        <v>161</v>
      </c>
      <c r="B779" s="12">
        <v>91</v>
      </c>
      <c r="C779">
        <v>94</v>
      </c>
      <c r="D779">
        <v>96009</v>
      </c>
      <c r="E779">
        <v>22295</v>
      </c>
      <c r="F779">
        <v>0.49088495575221242</v>
      </c>
      <c r="G779">
        <v>0.58407079646017701</v>
      </c>
      <c r="H779">
        <v>7.1862370359169273E-2</v>
      </c>
      <c r="I779">
        <v>5.9282815829582163E-2</v>
      </c>
    </row>
    <row r="780" spans="1:9" x14ac:dyDescent="0.25">
      <c r="A780" t="s">
        <v>67</v>
      </c>
      <c r="B780" s="12">
        <v>92</v>
      </c>
      <c r="C780">
        <v>101</v>
      </c>
      <c r="D780">
        <v>95994</v>
      </c>
      <c r="E780">
        <v>15471</v>
      </c>
      <c r="F780">
        <v>0.3402654867256637</v>
      </c>
      <c r="G780">
        <v>0.55309734513274333</v>
      </c>
      <c r="H780">
        <v>4.1904926212734193E-2</v>
      </c>
      <c r="I780">
        <v>1.2743339997182711E-2</v>
      </c>
    </row>
    <row r="781" spans="1:9" x14ac:dyDescent="0.25">
      <c r="A781" t="s">
        <v>162</v>
      </c>
      <c r="B781" s="12">
        <v>93</v>
      </c>
      <c r="C781">
        <v>74</v>
      </c>
      <c r="D781">
        <v>95969</v>
      </c>
      <c r="E781">
        <v>24367</v>
      </c>
      <c r="F781">
        <v>0.5358849557522124</v>
      </c>
      <c r="G781">
        <v>0.67256637168141598</v>
      </c>
      <c r="H781">
        <v>7.6841116913218557E-2</v>
      </c>
      <c r="I781">
        <v>3.3188743293783317E-2</v>
      </c>
    </row>
    <row r="782" spans="1:9" x14ac:dyDescent="0.25">
      <c r="A782" t="s">
        <v>197</v>
      </c>
      <c r="B782" s="12">
        <v>94</v>
      </c>
      <c r="C782">
        <v>119</v>
      </c>
      <c r="D782">
        <v>95962</v>
      </c>
      <c r="E782">
        <v>20208</v>
      </c>
      <c r="F782">
        <v>0.44504424778761059</v>
      </c>
      <c r="G782">
        <v>0.47345132743362828</v>
      </c>
      <c r="H782">
        <v>6.4919318913962992E-2</v>
      </c>
      <c r="I782">
        <v>7.0062958312943624E-2</v>
      </c>
    </row>
    <row r="783" spans="1:9" x14ac:dyDescent="0.25">
      <c r="A783" t="s">
        <v>10</v>
      </c>
      <c r="B783" s="12">
        <v>95</v>
      </c>
      <c r="C783">
        <v>154</v>
      </c>
      <c r="D783">
        <v>95947</v>
      </c>
      <c r="E783">
        <v>13503</v>
      </c>
      <c r="F783">
        <v>0.29794247787610623</v>
      </c>
      <c r="G783">
        <v>0.31858407079646017</v>
      </c>
      <c r="H783">
        <v>4.2276234622308152E-2</v>
      </c>
      <c r="I783">
        <v>8.3434157950788082E-2</v>
      </c>
    </row>
    <row r="784" spans="1:9" x14ac:dyDescent="0.25">
      <c r="A784" t="s">
        <v>224</v>
      </c>
      <c r="B784" s="12">
        <v>96</v>
      </c>
      <c r="C784">
        <v>131</v>
      </c>
      <c r="D784">
        <v>95799</v>
      </c>
      <c r="E784">
        <v>19328</v>
      </c>
      <c r="F784">
        <v>0.42537610619469018</v>
      </c>
      <c r="G784">
        <v>0.42035398230088489</v>
      </c>
      <c r="H784">
        <v>6.1954523842933339E-2</v>
      </c>
      <c r="I784">
        <v>7.4715421892330214E-2</v>
      </c>
    </row>
    <row r="785" spans="1:9" x14ac:dyDescent="0.25">
      <c r="A785" t="s">
        <v>72</v>
      </c>
      <c r="B785" s="12">
        <v>97</v>
      </c>
      <c r="C785">
        <v>181</v>
      </c>
      <c r="D785">
        <v>95735</v>
      </c>
      <c r="E785">
        <v>14429</v>
      </c>
      <c r="F785">
        <v>0.31871681415929198</v>
      </c>
      <c r="G785">
        <v>0.19911504424778759</v>
      </c>
      <c r="H785">
        <v>4.7152722296727123E-2</v>
      </c>
      <c r="I785">
        <v>8.8130968634155052E-2</v>
      </c>
    </row>
    <row r="786" spans="1:9" x14ac:dyDescent="0.25">
      <c r="A786" t="s">
        <v>132</v>
      </c>
      <c r="B786" s="12">
        <v>98</v>
      </c>
      <c r="C786">
        <v>153</v>
      </c>
      <c r="D786">
        <v>95727</v>
      </c>
      <c r="E786">
        <v>18579</v>
      </c>
      <c r="F786">
        <v>0.41006637168141591</v>
      </c>
      <c r="G786">
        <v>0.32300884955752213</v>
      </c>
      <c r="H786">
        <v>6.1862937001855078E-2</v>
      </c>
      <c r="I786">
        <v>8.0224774997102954E-2</v>
      </c>
    </row>
    <row r="787" spans="1:9" x14ac:dyDescent="0.25">
      <c r="A787" t="s">
        <v>275</v>
      </c>
      <c r="B787" s="12">
        <v>99</v>
      </c>
      <c r="C787">
        <v>203</v>
      </c>
      <c r="D787">
        <v>95523</v>
      </c>
      <c r="E787">
        <v>4457</v>
      </c>
      <c r="F787">
        <v>9.8119469026548667E-2</v>
      </c>
      <c r="G787">
        <v>0.1017699115044248</v>
      </c>
      <c r="H787">
        <v>1.239393006565215E-2</v>
      </c>
      <c r="I787">
        <v>9.5414371212875715E-2</v>
      </c>
    </row>
    <row r="788" spans="1:9" x14ac:dyDescent="0.25">
      <c r="A788" t="s">
        <v>9</v>
      </c>
      <c r="B788" s="12">
        <v>100</v>
      </c>
      <c r="C788">
        <v>172</v>
      </c>
      <c r="D788">
        <v>95514</v>
      </c>
      <c r="E788">
        <v>14407</v>
      </c>
      <c r="F788">
        <v>0.31809734513274329</v>
      </c>
      <c r="G788">
        <v>0.23893805309734509</v>
      </c>
      <c r="H788">
        <v>4.741001811651032E-2</v>
      </c>
      <c r="I788">
        <v>9.7780293853452313E-2</v>
      </c>
    </row>
    <row r="789" spans="1:9" x14ac:dyDescent="0.25">
      <c r="A789" t="s">
        <v>100</v>
      </c>
      <c r="B789" s="12">
        <v>101</v>
      </c>
      <c r="C789">
        <v>198</v>
      </c>
      <c r="D789">
        <v>95510</v>
      </c>
      <c r="E789">
        <v>14138</v>
      </c>
      <c r="F789">
        <v>0.3121017699115044</v>
      </c>
      <c r="G789">
        <v>0.1238938053097345</v>
      </c>
      <c r="H789">
        <v>4.9295639429861857E-2</v>
      </c>
      <c r="I789">
        <v>0.11142901826051529</v>
      </c>
    </row>
    <row r="790" spans="1:9" x14ac:dyDescent="0.25">
      <c r="A790" t="s">
        <v>220</v>
      </c>
      <c r="B790" s="12">
        <v>102</v>
      </c>
      <c r="C790">
        <v>130</v>
      </c>
      <c r="D790">
        <v>95494</v>
      </c>
      <c r="E790">
        <v>11641</v>
      </c>
      <c r="F790">
        <v>0.25579646017699109</v>
      </c>
      <c r="G790">
        <v>0.4247787610619469</v>
      </c>
      <c r="H790">
        <v>3.090205980236636E-2</v>
      </c>
      <c r="I790">
        <v>3.6290282414278063E-2</v>
      </c>
    </row>
    <row r="791" spans="1:9" x14ac:dyDescent="0.25">
      <c r="A791" t="s">
        <v>142</v>
      </c>
      <c r="B791" s="12">
        <v>103</v>
      </c>
      <c r="C791">
        <v>193</v>
      </c>
      <c r="D791">
        <v>95470</v>
      </c>
      <c r="E791">
        <v>6418</v>
      </c>
      <c r="F791">
        <v>0.14115044247787609</v>
      </c>
      <c r="G791">
        <v>0.14601769911504431</v>
      </c>
      <c r="H791">
        <v>1.979105009087927E-2</v>
      </c>
      <c r="I791">
        <v>0.1003475252523125</v>
      </c>
    </row>
    <row r="792" spans="1:9" x14ac:dyDescent="0.25">
      <c r="A792" t="s">
        <v>259</v>
      </c>
      <c r="B792" s="12">
        <v>104</v>
      </c>
      <c r="C792">
        <v>199</v>
      </c>
      <c r="D792">
        <v>95441</v>
      </c>
      <c r="E792">
        <v>4791</v>
      </c>
      <c r="F792">
        <v>0.1055530973451327</v>
      </c>
      <c r="G792">
        <v>0.1194690265486726</v>
      </c>
      <c r="H792">
        <v>1.350704731848045E-2</v>
      </c>
      <c r="I792">
        <v>9.4799700815223764E-2</v>
      </c>
    </row>
    <row r="793" spans="1:9" x14ac:dyDescent="0.25">
      <c r="A793" t="s">
        <v>209</v>
      </c>
      <c r="B793" s="12">
        <v>105</v>
      </c>
      <c r="C793">
        <v>128</v>
      </c>
      <c r="D793">
        <v>95376</v>
      </c>
      <c r="E793">
        <v>15089</v>
      </c>
      <c r="F793">
        <v>0.33256637168141601</v>
      </c>
      <c r="G793">
        <v>0.4336283185840708</v>
      </c>
      <c r="H793">
        <v>4.2935676923624627E-2</v>
      </c>
      <c r="I793">
        <v>4.3544548560040072E-2</v>
      </c>
    </row>
    <row r="794" spans="1:9" x14ac:dyDescent="0.25">
      <c r="A794" t="s">
        <v>160</v>
      </c>
      <c r="B794" s="12">
        <v>106</v>
      </c>
      <c r="C794">
        <v>125</v>
      </c>
      <c r="D794">
        <v>95374</v>
      </c>
      <c r="E794">
        <v>20196</v>
      </c>
      <c r="F794">
        <v>0.44526548672566368</v>
      </c>
      <c r="G794">
        <v>0.44690265486725661</v>
      </c>
      <c r="H794">
        <v>6.5644702999124768E-2</v>
      </c>
      <c r="I794">
        <v>7.8466373657518504E-2</v>
      </c>
    </row>
    <row r="795" spans="1:9" x14ac:dyDescent="0.25">
      <c r="A795" t="s">
        <v>150</v>
      </c>
      <c r="B795" s="12">
        <v>107</v>
      </c>
      <c r="C795">
        <v>199</v>
      </c>
      <c r="D795">
        <v>95348</v>
      </c>
      <c r="E795">
        <v>6947</v>
      </c>
      <c r="F795">
        <v>0.15318584070796459</v>
      </c>
      <c r="G795">
        <v>0.1194690265486726</v>
      </c>
      <c r="H795">
        <v>2.23136304181695E-2</v>
      </c>
      <c r="I795">
        <v>0.10820176460219021</v>
      </c>
    </row>
    <row r="796" spans="1:9" x14ac:dyDescent="0.25">
      <c r="A796" t="s">
        <v>154</v>
      </c>
      <c r="B796" s="12">
        <v>108</v>
      </c>
      <c r="C796">
        <v>26</v>
      </c>
      <c r="D796">
        <v>95331</v>
      </c>
      <c r="E796">
        <v>26466</v>
      </c>
      <c r="F796">
        <v>0.58232300884955757</v>
      </c>
      <c r="G796">
        <v>0.88495575221238942</v>
      </c>
      <c r="H796">
        <v>8.5662126769195254E-2</v>
      </c>
      <c r="I796">
        <v>3.6695085212466089E-2</v>
      </c>
    </row>
    <row r="797" spans="1:9" x14ac:dyDescent="0.25">
      <c r="A797" t="s">
        <v>179</v>
      </c>
      <c r="B797" s="12">
        <v>109</v>
      </c>
      <c r="C797">
        <v>139</v>
      </c>
      <c r="D797">
        <v>95221</v>
      </c>
      <c r="E797">
        <v>9323</v>
      </c>
      <c r="F797">
        <v>0.20426991150442481</v>
      </c>
      <c r="G797">
        <v>0.38495575221238942</v>
      </c>
      <c r="H797">
        <v>2.4056195270121018E-2</v>
      </c>
      <c r="I797">
        <v>5.1707170491739139E-2</v>
      </c>
    </row>
    <row r="798" spans="1:9" x14ac:dyDescent="0.25">
      <c r="A798" t="s">
        <v>148</v>
      </c>
      <c r="B798" s="12">
        <v>110</v>
      </c>
      <c r="C798">
        <v>22</v>
      </c>
      <c r="D798">
        <v>95216</v>
      </c>
      <c r="E798">
        <v>28357</v>
      </c>
      <c r="F798">
        <v>0.6238495575221239</v>
      </c>
      <c r="G798">
        <v>0.90265486725663713</v>
      </c>
      <c r="H798">
        <v>8.8872179507639468E-2</v>
      </c>
      <c r="I798">
        <v>1.092635154461288E-2</v>
      </c>
    </row>
    <row r="799" spans="1:9" x14ac:dyDescent="0.25">
      <c r="A799" t="s">
        <v>250</v>
      </c>
      <c r="B799" s="12">
        <v>111</v>
      </c>
      <c r="C799">
        <v>194</v>
      </c>
      <c r="D799">
        <v>95198</v>
      </c>
      <c r="E799">
        <v>4794</v>
      </c>
      <c r="F799">
        <v>0.10544247787610619</v>
      </c>
      <c r="G799">
        <v>0.1415929203539823</v>
      </c>
      <c r="H799">
        <v>1.349115785119555E-2</v>
      </c>
      <c r="I799">
        <v>9.3951541094826299E-2</v>
      </c>
    </row>
    <row r="800" spans="1:9" x14ac:dyDescent="0.25">
      <c r="A800" t="s">
        <v>68</v>
      </c>
      <c r="B800" s="12">
        <v>112</v>
      </c>
      <c r="C800">
        <v>131</v>
      </c>
      <c r="D800">
        <v>95111</v>
      </c>
      <c r="E800">
        <v>13351</v>
      </c>
      <c r="F800">
        <v>0.29382743362831859</v>
      </c>
      <c r="G800">
        <v>0.42035398230088489</v>
      </c>
      <c r="H800">
        <v>3.3074265323871213E-2</v>
      </c>
      <c r="I800">
        <v>1.6134366777251191E-2</v>
      </c>
    </row>
    <row r="801" spans="1:9" x14ac:dyDescent="0.25">
      <c r="A801" t="s">
        <v>189</v>
      </c>
      <c r="B801" s="12">
        <v>113</v>
      </c>
      <c r="C801">
        <v>96</v>
      </c>
      <c r="D801">
        <v>95085</v>
      </c>
      <c r="E801">
        <v>21309</v>
      </c>
      <c r="F801">
        <v>0.46940265486725657</v>
      </c>
      <c r="G801">
        <v>0.5752212389380531</v>
      </c>
      <c r="H801">
        <v>6.8693995025607094E-2</v>
      </c>
      <c r="I801">
        <v>6.5474318038325707E-2</v>
      </c>
    </row>
    <row r="802" spans="1:9" x14ac:dyDescent="0.25">
      <c r="A802" t="s">
        <v>102</v>
      </c>
      <c r="B802" s="12">
        <v>114</v>
      </c>
      <c r="C802">
        <v>185</v>
      </c>
      <c r="D802">
        <v>95069</v>
      </c>
      <c r="E802">
        <v>9905</v>
      </c>
      <c r="F802">
        <v>0.21862831858407081</v>
      </c>
      <c r="G802">
        <v>0.1814159292035398</v>
      </c>
      <c r="H802">
        <v>3.0433696138980341E-2</v>
      </c>
      <c r="I802">
        <v>9.0932232291844245E-2</v>
      </c>
    </row>
    <row r="803" spans="1:9" x14ac:dyDescent="0.25">
      <c r="A803" t="s">
        <v>129</v>
      </c>
      <c r="B803" s="12">
        <v>115</v>
      </c>
      <c r="C803">
        <v>162</v>
      </c>
      <c r="D803">
        <v>95067</v>
      </c>
      <c r="E803">
        <v>8915</v>
      </c>
      <c r="F803">
        <v>0.19652654867256639</v>
      </c>
      <c r="G803">
        <v>0.2831858407079646</v>
      </c>
      <c r="H803">
        <v>2.726344340526447E-2</v>
      </c>
      <c r="I803">
        <v>9.1229723857685102E-2</v>
      </c>
    </row>
    <row r="804" spans="1:9" x14ac:dyDescent="0.25">
      <c r="A804" t="s">
        <v>139</v>
      </c>
      <c r="B804" s="12">
        <v>116</v>
      </c>
      <c r="C804">
        <v>172</v>
      </c>
      <c r="D804">
        <v>94888</v>
      </c>
      <c r="E804">
        <v>8497</v>
      </c>
      <c r="F804">
        <v>0.18712389380530969</v>
      </c>
      <c r="G804">
        <v>0.23893805309734509</v>
      </c>
      <c r="H804">
        <v>2.5680863677631258E-2</v>
      </c>
      <c r="I804">
        <v>9.1886077455097442E-2</v>
      </c>
    </row>
    <row r="805" spans="1:9" x14ac:dyDescent="0.25">
      <c r="A805" t="s">
        <v>206</v>
      </c>
      <c r="B805" s="12">
        <v>117</v>
      </c>
      <c r="C805">
        <v>103</v>
      </c>
      <c r="D805">
        <v>94881</v>
      </c>
      <c r="E805">
        <v>20528</v>
      </c>
      <c r="F805">
        <v>0.45219026548672558</v>
      </c>
      <c r="G805">
        <v>0.54424778761061943</v>
      </c>
      <c r="H805">
        <v>6.4110877740620936E-2</v>
      </c>
      <c r="I805">
        <v>5.6912765297286887E-2</v>
      </c>
    </row>
    <row r="806" spans="1:9" x14ac:dyDescent="0.25">
      <c r="A806" t="s">
        <v>158</v>
      </c>
      <c r="B806" s="12">
        <v>118</v>
      </c>
      <c r="C806">
        <v>73</v>
      </c>
      <c r="D806">
        <v>94869</v>
      </c>
      <c r="E806">
        <v>23865</v>
      </c>
      <c r="F806">
        <v>0.52542035398230091</v>
      </c>
      <c r="G806">
        <v>0.67699115044247793</v>
      </c>
      <c r="H806">
        <v>7.538641423831216E-2</v>
      </c>
      <c r="I806">
        <v>3.9234379748359978E-2</v>
      </c>
    </row>
    <row r="807" spans="1:9" x14ac:dyDescent="0.25">
      <c r="A807" t="s">
        <v>187</v>
      </c>
      <c r="B807" s="12">
        <v>119</v>
      </c>
      <c r="C807">
        <v>101</v>
      </c>
      <c r="D807">
        <v>94760</v>
      </c>
      <c r="E807">
        <v>21136</v>
      </c>
      <c r="F807">
        <v>0.46577433628318582</v>
      </c>
      <c r="G807">
        <v>0.55309734513274333</v>
      </c>
      <c r="H807">
        <v>6.8416970181932948E-2</v>
      </c>
      <c r="I807">
        <v>7.1891758145727666E-2</v>
      </c>
    </row>
    <row r="808" spans="1:9" x14ac:dyDescent="0.25">
      <c r="A808" t="s">
        <v>254</v>
      </c>
      <c r="B808" s="12">
        <v>120</v>
      </c>
      <c r="C808">
        <v>164</v>
      </c>
      <c r="D808">
        <v>94730</v>
      </c>
      <c r="E808">
        <v>12043</v>
      </c>
      <c r="F808">
        <v>0.26542035398230091</v>
      </c>
      <c r="G808">
        <v>0.27433628318584069</v>
      </c>
      <c r="H808">
        <v>3.8097410541737868E-2</v>
      </c>
      <c r="I808">
        <v>9.6917407084679927E-2</v>
      </c>
    </row>
    <row r="809" spans="1:9" x14ac:dyDescent="0.25">
      <c r="A809" t="s">
        <v>217</v>
      </c>
      <c r="B809" s="12">
        <v>121</v>
      </c>
      <c r="C809">
        <v>117</v>
      </c>
      <c r="D809">
        <v>94724</v>
      </c>
      <c r="E809">
        <v>20703</v>
      </c>
      <c r="F809">
        <v>0.45758849557522119</v>
      </c>
      <c r="G809">
        <v>0.48230088495575218</v>
      </c>
      <c r="H809">
        <v>6.9473228817880026E-2</v>
      </c>
      <c r="I809">
        <v>8.5004220297670227E-2</v>
      </c>
    </row>
    <row r="810" spans="1:9" x14ac:dyDescent="0.25">
      <c r="A810" t="s">
        <v>136</v>
      </c>
      <c r="B810" s="12">
        <v>122</v>
      </c>
      <c r="C810">
        <v>166</v>
      </c>
      <c r="D810">
        <v>94705</v>
      </c>
      <c r="E810">
        <v>7698</v>
      </c>
      <c r="F810">
        <v>0.16949115044247789</v>
      </c>
      <c r="G810">
        <v>0.26548672566371678</v>
      </c>
      <c r="H810">
        <v>2.2834011484419631E-2</v>
      </c>
      <c r="I810">
        <v>8.966197152112311E-2</v>
      </c>
    </row>
    <row r="811" spans="1:9" x14ac:dyDescent="0.25">
      <c r="A811" t="s">
        <v>73</v>
      </c>
      <c r="B811" s="12">
        <v>123</v>
      </c>
      <c r="C811">
        <v>75</v>
      </c>
      <c r="D811">
        <v>94642</v>
      </c>
      <c r="E811">
        <v>23112</v>
      </c>
      <c r="F811">
        <v>0.50898230088495577</v>
      </c>
      <c r="G811">
        <v>0.66814159292035402</v>
      </c>
      <c r="H811">
        <v>6.0635462135390041E-2</v>
      </c>
      <c r="I811">
        <v>-4.7176990798114743E-2</v>
      </c>
    </row>
    <row r="812" spans="1:9" x14ac:dyDescent="0.25">
      <c r="A812" t="s">
        <v>265</v>
      </c>
      <c r="B812" s="12">
        <v>124</v>
      </c>
      <c r="C812">
        <v>194</v>
      </c>
      <c r="D812">
        <v>94639</v>
      </c>
      <c r="E812">
        <v>6659</v>
      </c>
      <c r="F812">
        <v>0.14696902654867261</v>
      </c>
      <c r="G812">
        <v>0.1415929203539823</v>
      </c>
      <c r="H812">
        <v>1.9474980806012121E-2</v>
      </c>
      <c r="I812">
        <v>9.4383343034198305E-2</v>
      </c>
    </row>
    <row r="813" spans="1:9" x14ac:dyDescent="0.25">
      <c r="A813" t="s">
        <v>107</v>
      </c>
      <c r="B813" s="12">
        <v>125</v>
      </c>
      <c r="C813">
        <v>88</v>
      </c>
      <c r="D813">
        <v>94506</v>
      </c>
      <c r="E813">
        <v>22783</v>
      </c>
      <c r="F813">
        <v>0.50132743362831855</v>
      </c>
      <c r="G813">
        <v>0.61061946902654862</v>
      </c>
      <c r="H813">
        <v>6.7567230802788647E-2</v>
      </c>
      <c r="I813">
        <v>1.8115121638217321E-2</v>
      </c>
    </row>
    <row r="814" spans="1:9" x14ac:dyDescent="0.25">
      <c r="A814" t="s">
        <v>184</v>
      </c>
      <c r="B814" s="12">
        <v>126</v>
      </c>
      <c r="C814">
        <v>84</v>
      </c>
      <c r="D814">
        <v>94489</v>
      </c>
      <c r="E814">
        <v>22742</v>
      </c>
      <c r="F814">
        <v>0.50037610619469031</v>
      </c>
      <c r="G814">
        <v>0.62831858407079644</v>
      </c>
      <c r="H814">
        <v>7.2635717442843098E-2</v>
      </c>
      <c r="I814">
        <v>5.2644649574515402E-2</v>
      </c>
    </row>
    <row r="815" spans="1:9" x14ac:dyDescent="0.25">
      <c r="A815" t="s">
        <v>138</v>
      </c>
      <c r="B815" s="12">
        <v>127</v>
      </c>
      <c r="C815">
        <v>165</v>
      </c>
      <c r="D815">
        <v>94444</v>
      </c>
      <c r="E815">
        <v>17430</v>
      </c>
      <c r="F815">
        <v>0.38438053097345132</v>
      </c>
      <c r="G815">
        <v>0.26991150442477868</v>
      </c>
      <c r="H815">
        <v>5.7876877066690237E-2</v>
      </c>
      <c r="I815">
        <v>9.6088508630740629E-2</v>
      </c>
    </row>
    <row r="816" spans="1:9" x14ac:dyDescent="0.25">
      <c r="A816" t="s">
        <v>66</v>
      </c>
      <c r="B816" s="12">
        <v>128</v>
      </c>
      <c r="C816">
        <v>93</v>
      </c>
      <c r="D816">
        <v>94433</v>
      </c>
      <c r="E816">
        <v>22027</v>
      </c>
      <c r="F816">
        <v>0.48504424778761063</v>
      </c>
      <c r="G816">
        <v>0.58849557522123896</v>
      </c>
      <c r="H816">
        <v>6.0188604280249483E-2</v>
      </c>
      <c r="I816">
        <v>-2.3219527959631722E-2</v>
      </c>
    </row>
    <row r="817" spans="1:9" x14ac:dyDescent="0.25">
      <c r="A817" t="s">
        <v>200</v>
      </c>
      <c r="B817" s="12">
        <v>129</v>
      </c>
      <c r="C817">
        <v>97</v>
      </c>
      <c r="D817">
        <v>94427</v>
      </c>
      <c r="E817">
        <v>21068</v>
      </c>
      <c r="F817">
        <v>0.46413716814159289</v>
      </c>
      <c r="G817">
        <v>0.57079646017699115</v>
      </c>
      <c r="H817">
        <v>6.8252869325961668E-2</v>
      </c>
      <c r="I817">
        <v>7.4190372624559756E-2</v>
      </c>
    </row>
    <row r="818" spans="1:9" x14ac:dyDescent="0.25">
      <c r="A818" t="s">
        <v>190</v>
      </c>
      <c r="B818" s="12">
        <v>130</v>
      </c>
      <c r="C818">
        <v>72</v>
      </c>
      <c r="D818">
        <v>94405</v>
      </c>
      <c r="E818">
        <v>27245</v>
      </c>
      <c r="F818">
        <v>0.60046460176991145</v>
      </c>
      <c r="G818">
        <v>0.68141592920353977</v>
      </c>
      <c r="H818">
        <v>8.3517407018673259E-2</v>
      </c>
      <c r="I818">
        <v>1.7391732138647718E-2</v>
      </c>
    </row>
    <row r="819" spans="1:9" x14ac:dyDescent="0.25">
      <c r="A819" t="s">
        <v>211</v>
      </c>
      <c r="B819" s="12">
        <v>131</v>
      </c>
      <c r="C819">
        <v>95</v>
      </c>
      <c r="D819">
        <v>94399</v>
      </c>
      <c r="E819">
        <v>21943</v>
      </c>
      <c r="F819">
        <v>0.48318584070796461</v>
      </c>
      <c r="G819">
        <v>0.57964601769911506</v>
      </c>
      <c r="H819">
        <v>6.6048427514676378E-2</v>
      </c>
      <c r="I819">
        <v>3.4865809138561583E-2</v>
      </c>
    </row>
    <row r="820" spans="1:9" x14ac:dyDescent="0.25">
      <c r="A820" t="s">
        <v>213</v>
      </c>
      <c r="B820" s="12">
        <v>132</v>
      </c>
      <c r="C820">
        <v>117</v>
      </c>
      <c r="D820">
        <v>94372</v>
      </c>
      <c r="E820">
        <v>21102</v>
      </c>
      <c r="F820">
        <v>0.4664159292035398</v>
      </c>
      <c r="G820">
        <v>0.48230088495575218</v>
      </c>
      <c r="H820">
        <v>7.1005871187266312E-2</v>
      </c>
      <c r="I820">
        <v>8.8618086594575943E-2</v>
      </c>
    </row>
    <row r="821" spans="1:9" x14ac:dyDescent="0.25">
      <c r="A821" t="s">
        <v>174</v>
      </c>
      <c r="B821" s="12">
        <v>133</v>
      </c>
      <c r="C821">
        <v>164</v>
      </c>
      <c r="D821">
        <v>94359</v>
      </c>
      <c r="E821">
        <v>14843</v>
      </c>
      <c r="F821">
        <v>0.32752212389380531</v>
      </c>
      <c r="G821">
        <v>0.27433628318584069</v>
      </c>
      <c r="H821">
        <v>4.8430378204928577E-2</v>
      </c>
      <c r="I821">
        <v>0.10056348775412539</v>
      </c>
    </row>
    <row r="822" spans="1:9" x14ac:dyDescent="0.25">
      <c r="A822" t="s">
        <v>120</v>
      </c>
      <c r="B822" s="12">
        <v>134</v>
      </c>
      <c r="C822">
        <v>65</v>
      </c>
      <c r="D822">
        <v>94279</v>
      </c>
      <c r="E822">
        <v>25774</v>
      </c>
      <c r="F822">
        <v>0.56743362831858402</v>
      </c>
      <c r="G822">
        <v>0.71238938053097345</v>
      </c>
      <c r="H822">
        <v>7.793285807076554E-2</v>
      </c>
      <c r="I822">
        <v>1.44499982672672E-2</v>
      </c>
    </row>
    <row r="823" spans="1:9" x14ac:dyDescent="0.25">
      <c r="A823" t="s">
        <v>69</v>
      </c>
      <c r="B823" s="12">
        <v>135</v>
      </c>
      <c r="C823">
        <v>126</v>
      </c>
      <c r="D823">
        <v>94274</v>
      </c>
      <c r="E823">
        <v>14513</v>
      </c>
      <c r="F823">
        <v>0.31929203539823009</v>
      </c>
      <c r="G823">
        <v>0.44247787610619471</v>
      </c>
      <c r="H823">
        <v>4.2916203521543121E-2</v>
      </c>
      <c r="I823">
        <v>5.7305355198082518E-2</v>
      </c>
    </row>
    <row r="824" spans="1:9" x14ac:dyDescent="0.25">
      <c r="A824" t="s">
        <v>261</v>
      </c>
      <c r="B824" s="12">
        <v>136</v>
      </c>
      <c r="C824">
        <v>144</v>
      </c>
      <c r="D824">
        <v>94267</v>
      </c>
      <c r="E824">
        <v>8855</v>
      </c>
      <c r="F824">
        <v>0.1948230088495575</v>
      </c>
      <c r="G824">
        <v>0.36283185840707971</v>
      </c>
      <c r="H824">
        <v>2.4632417165053589E-2</v>
      </c>
      <c r="I824">
        <v>7.0561704564999536E-2</v>
      </c>
    </row>
    <row r="825" spans="1:9" x14ac:dyDescent="0.25">
      <c r="A825" t="s">
        <v>112</v>
      </c>
      <c r="B825" s="12">
        <v>137</v>
      </c>
      <c r="C825">
        <v>86</v>
      </c>
      <c r="D825">
        <v>94244</v>
      </c>
      <c r="E825">
        <v>22887</v>
      </c>
      <c r="F825">
        <v>0.50367256637168145</v>
      </c>
      <c r="G825">
        <v>0.61946902654867253</v>
      </c>
      <c r="H825">
        <v>6.8296620398771837E-2</v>
      </c>
      <c r="I825">
        <v>2.126617867220431E-2</v>
      </c>
    </row>
    <row r="826" spans="1:9" x14ac:dyDescent="0.25">
      <c r="A826" t="s">
        <v>178</v>
      </c>
      <c r="B826" s="12">
        <v>138</v>
      </c>
      <c r="C826">
        <v>50</v>
      </c>
      <c r="D826">
        <v>94205</v>
      </c>
      <c r="E826">
        <v>34782</v>
      </c>
      <c r="F826">
        <v>0.76696902654867261</v>
      </c>
      <c r="G826">
        <v>0.77876106194690264</v>
      </c>
      <c r="H826">
        <v>9.7358277602494658E-2</v>
      </c>
      <c r="I826">
        <v>-8.5115498663215605E-2</v>
      </c>
    </row>
    <row r="827" spans="1:9" x14ac:dyDescent="0.25">
      <c r="A827" t="s">
        <v>144</v>
      </c>
      <c r="B827" s="12">
        <v>139</v>
      </c>
      <c r="C827">
        <v>198</v>
      </c>
      <c r="D827">
        <v>94172</v>
      </c>
      <c r="E827">
        <v>7449</v>
      </c>
      <c r="F827">
        <v>0.16429203539823009</v>
      </c>
      <c r="G827">
        <v>0.1238938053097345</v>
      </c>
      <c r="H827">
        <v>2.4216464719476829E-2</v>
      </c>
      <c r="I827">
        <v>0.10842072247242571</v>
      </c>
    </row>
    <row r="828" spans="1:9" x14ac:dyDescent="0.25">
      <c r="A828" t="s">
        <v>164</v>
      </c>
      <c r="B828" s="12">
        <v>140</v>
      </c>
      <c r="C828">
        <v>195</v>
      </c>
      <c r="D828">
        <v>94113</v>
      </c>
      <c r="E828">
        <v>10186</v>
      </c>
      <c r="F828">
        <v>0.22460176991150441</v>
      </c>
      <c r="G828">
        <v>0.13716814159292029</v>
      </c>
      <c r="H828">
        <v>3.4449048777354857E-2</v>
      </c>
      <c r="I828">
        <v>0.1143431451369831</v>
      </c>
    </row>
    <row r="829" spans="1:9" x14ac:dyDescent="0.25">
      <c r="A829" t="s">
        <v>173</v>
      </c>
      <c r="B829" s="12">
        <v>141</v>
      </c>
      <c r="C829">
        <v>190</v>
      </c>
      <c r="D829">
        <v>94102</v>
      </c>
      <c r="E829">
        <v>13178</v>
      </c>
      <c r="F829">
        <v>0.2911061946902655</v>
      </c>
      <c r="G829">
        <v>0.15929203539823009</v>
      </c>
      <c r="H829">
        <v>4.3837000912626788E-2</v>
      </c>
      <c r="I829">
        <v>0.11451687935465819</v>
      </c>
    </row>
    <row r="830" spans="1:9" x14ac:dyDescent="0.25">
      <c r="A830" t="s">
        <v>186</v>
      </c>
      <c r="B830" s="12">
        <v>142</v>
      </c>
      <c r="C830">
        <v>96</v>
      </c>
      <c r="D830">
        <v>94042</v>
      </c>
      <c r="E830">
        <v>21156</v>
      </c>
      <c r="F830">
        <v>0.46564159292035401</v>
      </c>
      <c r="G830">
        <v>0.5752212389380531</v>
      </c>
      <c r="H830">
        <v>6.8339235453331079E-2</v>
      </c>
      <c r="I830">
        <v>7.0898216601980313E-2</v>
      </c>
    </row>
    <row r="831" spans="1:9" x14ac:dyDescent="0.25">
      <c r="A831" t="s">
        <v>74</v>
      </c>
      <c r="B831" s="12">
        <v>143</v>
      </c>
      <c r="C831">
        <v>108</v>
      </c>
      <c r="D831">
        <v>94042</v>
      </c>
      <c r="E831">
        <v>15653</v>
      </c>
      <c r="F831">
        <v>0.34426991150442482</v>
      </c>
      <c r="G831">
        <v>0.52212389380530977</v>
      </c>
      <c r="H831">
        <v>4.3178240497854257E-2</v>
      </c>
      <c r="I831">
        <v>2.0560068150581642E-2</v>
      </c>
    </row>
    <row r="832" spans="1:9" x14ac:dyDescent="0.25">
      <c r="A832" t="s">
        <v>172</v>
      </c>
      <c r="B832" s="12">
        <v>144</v>
      </c>
      <c r="C832">
        <v>200</v>
      </c>
      <c r="D832">
        <v>94015</v>
      </c>
      <c r="E832">
        <v>10429</v>
      </c>
      <c r="F832">
        <v>0.23017699115044249</v>
      </c>
      <c r="G832">
        <v>0.1150442477876106</v>
      </c>
      <c r="H832">
        <v>3.548114654520286E-2</v>
      </c>
      <c r="I832">
        <v>0.12034569550259119</v>
      </c>
    </row>
    <row r="833" spans="1:9" x14ac:dyDescent="0.25">
      <c r="A833" t="s">
        <v>226</v>
      </c>
      <c r="B833" s="12">
        <v>145</v>
      </c>
      <c r="C833">
        <v>125</v>
      </c>
      <c r="D833">
        <v>93962</v>
      </c>
      <c r="E833">
        <v>19560</v>
      </c>
      <c r="F833">
        <v>0.43236725663716807</v>
      </c>
      <c r="G833">
        <v>0.44690265486725661</v>
      </c>
      <c r="H833">
        <v>6.7620842524313107E-2</v>
      </c>
      <c r="I833">
        <v>9.3104384069311277E-2</v>
      </c>
    </row>
    <row r="834" spans="1:9" x14ac:dyDescent="0.25">
      <c r="A834" t="s">
        <v>171</v>
      </c>
      <c r="B834" s="12">
        <v>146</v>
      </c>
      <c r="C834">
        <v>159</v>
      </c>
      <c r="D834">
        <v>93929</v>
      </c>
      <c r="E834">
        <v>15572</v>
      </c>
      <c r="F834">
        <v>0.34360619469026549</v>
      </c>
      <c r="G834">
        <v>0.29646017699115051</v>
      </c>
      <c r="H834">
        <v>5.0882604488506913E-2</v>
      </c>
      <c r="I834">
        <v>0.1025753606461676</v>
      </c>
    </row>
    <row r="835" spans="1:9" x14ac:dyDescent="0.25">
      <c r="A835" t="s">
        <v>79</v>
      </c>
      <c r="B835" s="12">
        <v>147</v>
      </c>
      <c r="C835">
        <v>116</v>
      </c>
      <c r="D835">
        <v>93908</v>
      </c>
      <c r="E835">
        <v>15080</v>
      </c>
      <c r="F835">
        <v>0.33154867256637172</v>
      </c>
      <c r="G835">
        <v>0.48672566371681408</v>
      </c>
      <c r="H835">
        <v>4.6140484599506669E-2</v>
      </c>
      <c r="I835">
        <v>6.8811768339920046E-2</v>
      </c>
    </row>
    <row r="836" spans="1:9" x14ac:dyDescent="0.25">
      <c r="A836" t="s">
        <v>105</v>
      </c>
      <c r="B836" s="12">
        <v>148</v>
      </c>
      <c r="C836">
        <v>196</v>
      </c>
      <c r="D836">
        <v>93818</v>
      </c>
      <c r="E836">
        <v>13373</v>
      </c>
      <c r="F836">
        <v>0.29537610619469029</v>
      </c>
      <c r="G836">
        <v>0.13274336283185839</v>
      </c>
      <c r="H836">
        <v>4.6264957788234237E-2</v>
      </c>
      <c r="I836">
        <v>0.1119433678137083</v>
      </c>
    </row>
    <row r="837" spans="1:9" x14ac:dyDescent="0.25">
      <c r="A837" t="s">
        <v>272</v>
      </c>
      <c r="B837" s="12">
        <v>149</v>
      </c>
      <c r="C837">
        <v>146</v>
      </c>
      <c r="D837">
        <v>93628</v>
      </c>
      <c r="E837">
        <v>12452</v>
      </c>
      <c r="F837">
        <v>0.27415929203539818</v>
      </c>
      <c r="G837">
        <v>0.35398230088495569</v>
      </c>
      <c r="H837">
        <v>3.6768142924535792E-2</v>
      </c>
      <c r="I837">
        <v>7.000118279980265E-2</v>
      </c>
    </row>
    <row r="838" spans="1:9" x14ac:dyDescent="0.25">
      <c r="A838" t="s">
        <v>123</v>
      </c>
      <c r="B838" s="12">
        <v>150</v>
      </c>
      <c r="C838">
        <v>62</v>
      </c>
      <c r="D838">
        <v>93606</v>
      </c>
      <c r="E838">
        <v>28604</v>
      </c>
      <c r="F838">
        <v>0.62982300884955755</v>
      </c>
      <c r="G838">
        <v>0.72566371681415931</v>
      </c>
      <c r="H838">
        <v>8.6045624971024554E-2</v>
      </c>
      <c r="I838">
        <v>3.2343694901609197E-4</v>
      </c>
    </row>
    <row r="839" spans="1:9" x14ac:dyDescent="0.25">
      <c r="A839" t="s">
        <v>247</v>
      </c>
      <c r="B839" s="12">
        <v>151</v>
      </c>
      <c r="C839">
        <v>147</v>
      </c>
      <c r="D839">
        <v>93529</v>
      </c>
      <c r="E839">
        <v>8025</v>
      </c>
      <c r="F839">
        <v>0.17665929203539821</v>
      </c>
      <c r="G839">
        <v>0.34955752212389379</v>
      </c>
      <c r="H839">
        <v>2.2338325760027779E-2</v>
      </c>
      <c r="I839">
        <v>7.579129909636996E-2</v>
      </c>
    </row>
    <row r="840" spans="1:9" x14ac:dyDescent="0.25">
      <c r="A840" t="s">
        <v>8</v>
      </c>
      <c r="B840" s="12">
        <v>152</v>
      </c>
      <c r="C840">
        <v>47</v>
      </c>
      <c r="D840">
        <v>93482</v>
      </c>
      <c r="E840">
        <v>36486</v>
      </c>
      <c r="F840">
        <v>0.80358407079646021</v>
      </c>
      <c r="G840">
        <v>0.79203539823008851</v>
      </c>
      <c r="H840">
        <v>0.1014752906888621</v>
      </c>
      <c r="I840">
        <v>-8.1226852550895304E-2</v>
      </c>
    </row>
    <row r="841" spans="1:9" x14ac:dyDescent="0.25">
      <c r="A841" t="s">
        <v>152</v>
      </c>
      <c r="B841" s="12">
        <v>153</v>
      </c>
      <c r="C841">
        <v>160</v>
      </c>
      <c r="D841">
        <v>93477</v>
      </c>
      <c r="E841">
        <v>8703</v>
      </c>
      <c r="F841">
        <v>0.19205752212389379</v>
      </c>
      <c r="G841">
        <v>0.29203539823008851</v>
      </c>
      <c r="H841">
        <v>2.7418030657699811E-2</v>
      </c>
      <c r="I841">
        <v>9.9424231596909537E-2</v>
      </c>
    </row>
    <row r="842" spans="1:9" x14ac:dyDescent="0.25">
      <c r="A842" t="s">
        <v>255</v>
      </c>
      <c r="B842" s="12">
        <v>154</v>
      </c>
      <c r="C842">
        <v>186</v>
      </c>
      <c r="D842">
        <v>93462</v>
      </c>
      <c r="E842">
        <v>8370</v>
      </c>
      <c r="F842">
        <v>0.18453539823008849</v>
      </c>
      <c r="G842">
        <v>0.1769911504424779</v>
      </c>
      <c r="H842">
        <v>2.5418617976224391E-2</v>
      </c>
      <c r="I842">
        <v>9.5368028822918394E-2</v>
      </c>
    </row>
    <row r="843" spans="1:9" x14ac:dyDescent="0.25">
      <c r="A843" t="s">
        <v>236</v>
      </c>
      <c r="B843" s="12">
        <v>155</v>
      </c>
      <c r="C843">
        <v>140</v>
      </c>
      <c r="D843">
        <v>93409</v>
      </c>
      <c r="E843">
        <v>16369</v>
      </c>
      <c r="F843">
        <v>0.36101769911504422</v>
      </c>
      <c r="G843">
        <v>0.38053097345132741</v>
      </c>
      <c r="H843">
        <v>5.2741199197915561E-2</v>
      </c>
      <c r="I843">
        <v>8.7708356400742579E-2</v>
      </c>
    </row>
    <row r="844" spans="1:9" x14ac:dyDescent="0.25">
      <c r="A844" t="s">
        <v>225</v>
      </c>
      <c r="B844" s="12">
        <v>156</v>
      </c>
      <c r="C844">
        <v>112</v>
      </c>
      <c r="D844">
        <v>93327</v>
      </c>
      <c r="E844">
        <v>15027</v>
      </c>
      <c r="F844">
        <v>0.3300442477876106</v>
      </c>
      <c r="G844">
        <v>0.50442477876106195</v>
      </c>
      <c r="H844">
        <v>4.0538727882592197E-2</v>
      </c>
      <c r="I844">
        <v>2.0520371364879969E-2</v>
      </c>
    </row>
    <row r="845" spans="1:9" x14ac:dyDescent="0.25">
      <c r="A845" t="s">
        <v>245</v>
      </c>
      <c r="B845" s="12">
        <v>157</v>
      </c>
      <c r="C845">
        <v>138</v>
      </c>
      <c r="D845">
        <v>93067</v>
      </c>
      <c r="E845">
        <v>16438</v>
      </c>
      <c r="F845">
        <v>0.36256637168141592</v>
      </c>
      <c r="G845">
        <v>0.38938053097345132</v>
      </c>
      <c r="H845">
        <v>5.1273745237533468E-2</v>
      </c>
      <c r="I845">
        <v>7.6210864947933332E-2</v>
      </c>
    </row>
    <row r="846" spans="1:9" x14ac:dyDescent="0.25">
      <c r="A846" t="s">
        <v>13</v>
      </c>
      <c r="B846" s="12">
        <v>158</v>
      </c>
      <c r="C846">
        <v>128</v>
      </c>
      <c r="D846">
        <v>92932</v>
      </c>
      <c r="E846">
        <v>23604</v>
      </c>
      <c r="F846">
        <v>0.51884955752212392</v>
      </c>
      <c r="G846">
        <v>0.4336283185840708</v>
      </c>
      <c r="H846">
        <v>6.9847078588457234E-2</v>
      </c>
      <c r="I846">
        <v>2.2922481421430559E-2</v>
      </c>
    </row>
    <row r="847" spans="1:9" x14ac:dyDescent="0.25">
      <c r="A847" t="s">
        <v>185</v>
      </c>
      <c r="B847" s="12">
        <v>159</v>
      </c>
      <c r="C847">
        <v>53</v>
      </c>
      <c r="D847">
        <v>92905</v>
      </c>
      <c r="E847">
        <v>31283</v>
      </c>
      <c r="F847">
        <v>0.68836283185840708</v>
      </c>
      <c r="G847">
        <v>0.76548672566371678</v>
      </c>
      <c r="H847">
        <v>9.220268864297039E-2</v>
      </c>
      <c r="I847">
        <v>-3.2586860297148558E-2</v>
      </c>
    </row>
    <row r="848" spans="1:9" x14ac:dyDescent="0.25">
      <c r="A848" t="s">
        <v>263</v>
      </c>
      <c r="B848" s="12">
        <v>160</v>
      </c>
      <c r="C848">
        <v>160</v>
      </c>
      <c r="D848">
        <v>92894</v>
      </c>
      <c r="E848">
        <v>10508</v>
      </c>
      <c r="F848">
        <v>0.23181415929203539</v>
      </c>
      <c r="G848">
        <v>0.29203539823008851</v>
      </c>
      <c r="H848">
        <v>3.2781570418745791E-2</v>
      </c>
      <c r="I848">
        <v>9.3659681027560462E-2</v>
      </c>
    </row>
    <row r="849" spans="1:9" x14ac:dyDescent="0.25">
      <c r="A849" t="s">
        <v>116</v>
      </c>
      <c r="B849" s="12">
        <v>161</v>
      </c>
      <c r="C849">
        <v>60</v>
      </c>
      <c r="D849">
        <v>92630</v>
      </c>
      <c r="E849">
        <v>27255</v>
      </c>
      <c r="F849">
        <v>0.60006637168141597</v>
      </c>
      <c r="G849">
        <v>0.73451327433628322</v>
      </c>
      <c r="H849">
        <v>8.1835559229821095E-2</v>
      </c>
      <c r="I849">
        <v>1.5214633045096909E-3</v>
      </c>
    </row>
    <row r="850" spans="1:9" x14ac:dyDescent="0.25">
      <c r="A850" t="s">
        <v>252</v>
      </c>
      <c r="B850" s="12">
        <v>162</v>
      </c>
      <c r="C850">
        <v>131</v>
      </c>
      <c r="D850">
        <v>92583</v>
      </c>
      <c r="E850">
        <v>16709</v>
      </c>
      <c r="F850">
        <v>0.36816371681415933</v>
      </c>
      <c r="G850">
        <v>0.42035398230088489</v>
      </c>
      <c r="H850">
        <v>5.2172643281528312E-2</v>
      </c>
      <c r="I850">
        <v>7.3574892925167598E-2</v>
      </c>
    </row>
    <row r="851" spans="1:9" x14ac:dyDescent="0.25">
      <c r="A851" t="s">
        <v>149</v>
      </c>
      <c r="B851" s="12">
        <v>163</v>
      </c>
      <c r="C851">
        <v>193</v>
      </c>
      <c r="D851">
        <v>92569</v>
      </c>
      <c r="E851">
        <v>8362</v>
      </c>
      <c r="F851">
        <v>0.18407079646017699</v>
      </c>
      <c r="G851">
        <v>0.14601769911504431</v>
      </c>
      <c r="H851">
        <v>2.6658088796281589E-2</v>
      </c>
      <c r="I851">
        <v>0.1054593477040953</v>
      </c>
    </row>
    <row r="852" spans="1:9" x14ac:dyDescent="0.25">
      <c r="A852" t="s">
        <v>156</v>
      </c>
      <c r="B852" s="12">
        <v>164</v>
      </c>
      <c r="C852">
        <v>178</v>
      </c>
      <c r="D852">
        <v>92546</v>
      </c>
      <c r="E852">
        <v>15342</v>
      </c>
      <c r="F852">
        <v>0.33772123893805311</v>
      </c>
      <c r="G852">
        <v>0.21238938053097339</v>
      </c>
      <c r="H852">
        <v>5.2029688626108142E-2</v>
      </c>
      <c r="I852">
        <v>0.11023175171311279</v>
      </c>
    </row>
    <row r="853" spans="1:9" x14ac:dyDescent="0.25">
      <c r="A853" t="s">
        <v>215</v>
      </c>
      <c r="B853" s="12">
        <v>165</v>
      </c>
      <c r="C853">
        <v>90</v>
      </c>
      <c r="D853">
        <v>92507</v>
      </c>
      <c r="E853">
        <v>22603</v>
      </c>
      <c r="F853">
        <v>0.49796460176991147</v>
      </c>
      <c r="G853">
        <v>0.60176991150442483</v>
      </c>
      <c r="H853">
        <v>6.3337193250396537E-2</v>
      </c>
      <c r="I853">
        <v>9.6570525765648162E-4</v>
      </c>
    </row>
    <row r="854" spans="1:9" x14ac:dyDescent="0.25">
      <c r="A854" t="s">
        <v>208</v>
      </c>
      <c r="B854" s="12">
        <v>166</v>
      </c>
      <c r="C854">
        <v>99</v>
      </c>
      <c r="D854">
        <v>92364</v>
      </c>
      <c r="E854">
        <v>22009</v>
      </c>
      <c r="F854">
        <v>0.48446902654867258</v>
      </c>
      <c r="G854">
        <v>0.56194690265486724</v>
      </c>
      <c r="H854">
        <v>6.4724406283190164E-2</v>
      </c>
      <c r="I854">
        <v>2.3062630560394631E-2</v>
      </c>
    </row>
    <row r="855" spans="1:9" x14ac:dyDescent="0.25">
      <c r="A855" t="s">
        <v>130</v>
      </c>
      <c r="B855" s="12">
        <v>167</v>
      </c>
      <c r="C855">
        <v>85</v>
      </c>
      <c r="D855">
        <v>92187</v>
      </c>
      <c r="E855">
        <v>23131</v>
      </c>
      <c r="F855">
        <v>0.50940265486725667</v>
      </c>
      <c r="G855">
        <v>0.62389380530973448</v>
      </c>
      <c r="H855">
        <v>6.4961643127105353E-2</v>
      </c>
      <c r="I855">
        <v>-1.995807624927634E-3</v>
      </c>
    </row>
    <row r="856" spans="1:9" x14ac:dyDescent="0.25">
      <c r="A856" t="s">
        <v>84</v>
      </c>
      <c r="B856" s="12">
        <v>168</v>
      </c>
      <c r="C856">
        <v>109</v>
      </c>
      <c r="D856">
        <v>92169</v>
      </c>
      <c r="E856">
        <v>15483</v>
      </c>
      <c r="F856">
        <v>0.3395132743362832</v>
      </c>
      <c r="G856">
        <v>0.51769911504424782</v>
      </c>
      <c r="H856">
        <v>4.2119306729961073E-2</v>
      </c>
      <c r="I856">
        <v>2.5419925965327741E-2</v>
      </c>
    </row>
    <row r="857" spans="1:9" x14ac:dyDescent="0.25">
      <c r="A857" t="s">
        <v>229</v>
      </c>
      <c r="B857" s="12">
        <v>169</v>
      </c>
      <c r="C857">
        <v>143</v>
      </c>
      <c r="D857">
        <v>92148</v>
      </c>
      <c r="E857">
        <v>17936</v>
      </c>
      <c r="F857">
        <v>0.3964159292035398</v>
      </c>
      <c r="G857">
        <v>0.36725663716814161</v>
      </c>
      <c r="H857">
        <v>6.2384356235643638E-2</v>
      </c>
      <c r="I857">
        <v>0.1062039621900541</v>
      </c>
    </row>
    <row r="858" spans="1:9" x14ac:dyDescent="0.25">
      <c r="A858" t="s">
        <v>222</v>
      </c>
      <c r="B858" s="12">
        <v>170</v>
      </c>
      <c r="C858">
        <v>91</v>
      </c>
      <c r="D858">
        <v>92030</v>
      </c>
      <c r="E858">
        <v>22678</v>
      </c>
      <c r="F858">
        <v>0.49840707964601771</v>
      </c>
      <c r="G858">
        <v>0.59734513274336287</v>
      </c>
      <c r="H858">
        <v>6.4189546818937654E-2</v>
      </c>
      <c r="I858">
        <v>8.8034598961129313E-4</v>
      </c>
    </row>
    <row r="859" spans="1:9" x14ac:dyDescent="0.25">
      <c r="A859" t="s">
        <v>234</v>
      </c>
      <c r="B859" s="12">
        <v>171</v>
      </c>
      <c r="C859">
        <v>183</v>
      </c>
      <c r="D859">
        <v>91861</v>
      </c>
      <c r="E859">
        <v>13255</v>
      </c>
      <c r="F859">
        <v>0.29274336283185842</v>
      </c>
      <c r="G859">
        <v>0.19026548672566371</v>
      </c>
      <c r="H859">
        <v>4.3738614209185282E-2</v>
      </c>
      <c r="I859">
        <v>0.11546981640806139</v>
      </c>
    </row>
    <row r="860" spans="1:9" x14ac:dyDescent="0.25">
      <c r="A860" t="s">
        <v>268</v>
      </c>
      <c r="B860" s="12">
        <v>172</v>
      </c>
      <c r="C860">
        <v>125</v>
      </c>
      <c r="D860">
        <v>91671</v>
      </c>
      <c r="E860">
        <v>14790</v>
      </c>
      <c r="F860">
        <v>0.3263716814159292</v>
      </c>
      <c r="G860">
        <v>0.44690265486725661</v>
      </c>
      <c r="H860">
        <v>4.5445696468497172E-2</v>
      </c>
      <c r="I860">
        <v>7.6051760418875208E-2</v>
      </c>
    </row>
    <row r="861" spans="1:9" x14ac:dyDescent="0.25">
      <c r="A861" t="s">
        <v>235</v>
      </c>
      <c r="B861" s="12">
        <v>173</v>
      </c>
      <c r="C861">
        <v>157</v>
      </c>
      <c r="D861">
        <v>91643</v>
      </c>
      <c r="E861">
        <v>10870</v>
      </c>
      <c r="F861">
        <v>0.2394911504424779</v>
      </c>
      <c r="G861">
        <v>0.30530973451327431</v>
      </c>
      <c r="H861">
        <v>3.3354048942603833E-2</v>
      </c>
      <c r="I861">
        <v>9.2168656337127342E-2</v>
      </c>
    </row>
    <row r="862" spans="1:9" x14ac:dyDescent="0.25">
      <c r="A862" t="s">
        <v>191</v>
      </c>
      <c r="B862" s="12">
        <v>174</v>
      </c>
      <c r="C862">
        <v>62</v>
      </c>
      <c r="D862">
        <v>91511</v>
      </c>
      <c r="E862">
        <v>28804</v>
      </c>
      <c r="F862">
        <v>0.63435840707964597</v>
      </c>
      <c r="G862">
        <v>0.72566371681415931</v>
      </c>
      <c r="H862">
        <v>8.4354346414745748E-2</v>
      </c>
      <c r="I862">
        <v>-1.8822706902729729E-2</v>
      </c>
    </row>
    <row r="863" spans="1:9" x14ac:dyDescent="0.25">
      <c r="A863" t="s">
        <v>269</v>
      </c>
      <c r="B863" s="12">
        <v>175</v>
      </c>
      <c r="C863">
        <v>114</v>
      </c>
      <c r="D863">
        <v>91389</v>
      </c>
      <c r="E863">
        <v>17271</v>
      </c>
      <c r="F863">
        <v>0.38048672566371677</v>
      </c>
      <c r="G863">
        <v>0.49557522123893799</v>
      </c>
      <c r="H863">
        <v>4.0524762428625967E-2</v>
      </c>
      <c r="I863">
        <v>-2.6640370439730179E-2</v>
      </c>
    </row>
    <row r="864" spans="1:9" x14ac:dyDescent="0.25">
      <c r="A864" t="s">
        <v>212</v>
      </c>
      <c r="B864" s="12">
        <v>176</v>
      </c>
      <c r="C864">
        <v>122</v>
      </c>
      <c r="D864">
        <v>91225</v>
      </c>
      <c r="E864">
        <v>18553</v>
      </c>
      <c r="F864">
        <v>0.41011061946902649</v>
      </c>
      <c r="G864">
        <v>0.46017699115044253</v>
      </c>
      <c r="H864">
        <v>6.4222725469378086E-2</v>
      </c>
      <c r="I864">
        <v>0.1022906010536524</v>
      </c>
    </row>
    <row r="865" spans="1:9" x14ac:dyDescent="0.25">
      <c r="A865" t="s">
        <v>194</v>
      </c>
      <c r="B865" s="12">
        <v>177</v>
      </c>
      <c r="C865">
        <v>24</v>
      </c>
      <c r="D865">
        <v>91123</v>
      </c>
      <c r="E865">
        <v>36641</v>
      </c>
      <c r="F865">
        <v>0.80681415929203537</v>
      </c>
      <c r="G865">
        <v>0.89380530973451322</v>
      </c>
      <c r="H865">
        <v>0.1062779989673317</v>
      </c>
      <c r="I865">
        <v>-5.7866086964697097E-2</v>
      </c>
    </row>
    <row r="866" spans="1:9" x14ac:dyDescent="0.25">
      <c r="A866" t="s">
        <v>228</v>
      </c>
      <c r="B866" s="12">
        <v>178</v>
      </c>
      <c r="C866">
        <v>94</v>
      </c>
      <c r="D866">
        <v>91121</v>
      </c>
      <c r="E866">
        <v>23057</v>
      </c>
      <c r="F866">
        <v>0.50761061946902652</v>
      </c>
      <c r="G866">
        <v>0.58407079646017701</v>
      </c>
      <c r="H866">
        <v>6.4313775199325393E-2</v>
      </c>
      <c r="I866">
        <v>-3.8907545682147372E-3</v>
      </c>
    </row>
    <row r="867" spans="1:9" x14ac:dyDescent="0.25">
      <c r="A867" t="s">
        <v>240</v>
      </c>
      <c r="B867" s="12">
        <v>179</v>
      </c>
      <c r="C867">
        <v>86</v>
      </c>
      <c r="D867">
        <v>91005</v>
      </c>
      <c r="E867">
        <v>21587</v>
      </c>
      <c r="F867">
        <v>0.475287610619469</v>
      </c>
      <c r="G867">
        <v>0.61946902654867253</v>
      </c>
      <c r="H867">
        <v>6.4066219541074609E-2</v>
      </c>
      <c r="I867">
        <v>2.8892673561370139E-2</v>
      </c>
    </row>
    <row r="868" spans="1:9" x14ac:dyDescent="0.25">
      <c r="A868" t="s">
        <v>256</v>
      </c>
      <c r="B868" s="12">
        <v>180</v>
      </c>
      <c r="C868">
        <v>81</v>
      </c>
      <c r="D868">
        <v>90899</v>
      </c>
      <c r="E868">
        <v>23027</v>
      </c>
      <c r="F868">
        <v>0.50842920353982302</v>
      </c>
      <c r="G868">
        <v>0.6415929203539823</v>
      </c>
      <c r="H868">
        <v>6.4647729746056648E-2</v>
      </c>
      <c r="I868">
        <v>2.2569709250655481E-3</v>
      </c>
    </row>
    <row r="869" spans="1:9" x14ac:dyDescent="0.25">
      <c r="A869" t="s">
        <v>230</v>
      </c>
      <c r="B869" s="12">
        <v>181</v>
      </c>
      <c r="C869">
        <v>97</v>
      </c>
      <c r="D869">
        <v>90738</v>
      </c>
      <c r="E869">
        <v>19445</v>
      </c>
      <c r="F869">
        <v>0.42845132743362829</v>
      </c>
      <c r="G869">
        <v>0.57079646017699115</v>
      </c>
      <c r="H869">
        <v>5.7850854044785981E-2</v>
      </c>
      <c r="I869">
        <v>4.1451954377722949E-2</v>
      </c>
    </row>
    <row r="870" spans="1:9" x14ac:dyDescent="0.25">
      <c r="A870" t="s">
        <v>258</v>
      </c>
      <c r="B870" s="12">
        <v>182</v>
      </c>
      <c r="C870">
        <v>119</v>
      </c>
      <c r="D870">
        <v>90457</v>
      </c>
      <c r="E870">
        <v>14484</v>
      </c>
      <c r="F870">
        <v>0.31878318584070803</v>
      </c>
      <c r="G870">
        <v>0.47345132743362828</v>
      </c>
      <c r="H870">
        <v>4.3467599955426588E-2</v>
      </c>
      <c r="I870">
        <v>6.7033994273589317E-2</v>
      </c>
    </row>
    <row r="871" spans="1:9" x14ac:dyDescent="0.25">
      <c r="A871" t="s">
        <v>218</v>
      </c>
      <c r="B871" s="12">
        <v>183</v>
      </c>
      <c r="C871">
        <v>37</v>
      </c>
      <c r="D871">
        <v>90449</v>
      </c>
      <c r="E871">
        <v>31817</v>
      </c>
      <c r="F871">
        <v>0.70019911504424781</v>
      </c>
      <c r="G871">
        <v>0.83628318584070793</v>
      </c>
      <c r="H871">
        <v>9.4178490585551042E-2</v>
      </c>
      <c r="I871">
        <v>-2.3337157657891329E-2</v>
      </c>
    </row>
    <row r="872" spans="1:9" x14ac:dyDescent="0.25">
      <c r="A872" t="s">
        <v>17</v>
      </c>
      <c r="B872" s="12">
        <v>184</v>
      </c>
      <c r="C872">
        <v>83</v>
      </c>
      <c r="D872">
        <v>90380</v>
      </c>
      <c r="E872">
        <v>22780</v>
      </c>
      <c r="F872">
        <v>0.50210176991150446</v>
      </c>
      <c r="G872">
        <v>0.63274336283185839</v>
      </c>
      <c r="H872">
        <v>6.3706824495675995E-2</v>
      </c>
      <c r="I872">
        <v>-1.4561620361497091E-3</v>
      </c>
    </row>
    <row r="873" spans="1:9" x14ac:dyDescent="0.25">
      <c r="A873" t="s">
        <v>264</v>
      </c>
      <c r="B873" s="12">
        <v>185</v>
      </c>
      <c r="C873">
        <v>106</v>
      </c>
      <c r="D873">
        <v>90380</v>
      </c>
      <c r="E873">
        <v>16553</v>
      </c>
      <c r="F873">
        <v>0.36462389380530968</v>
      </c>
      <c r="G873">
        <v>0.53097345132743368</v>
      </c>
      <c r="H873">
        <v>4.6393149669620798E-2</v>
      </c>
      <c r="I873">
        <v>3.2436897486429223E-2</v>
      </c>
    </row>
    <row r="874" spans="1:9" x14ac:dyDescent="0.25">
      <c r="A874" t="s">
        <v>6</v>
      </c>
      <c r="B874" s="12">
        <v>186</v>
      </c>
      <c r="C874">
        <v>63</v>
      </c>
      <c r="D874">
        <v>90286</v>
      </c>
      <c r="E874">
        <v>29150</v>
      </c>
      <c r="F874">
        <v>0.64168141592920358</v>
      </c>
      <c r="G874">
        <v>0.72123893805309736</v>
      </c>
      <c r="H874">
        <v>8.385961487834509E-2</v>
      </c>
      <c r="I874">
        <v>-2.2861035350532671E-2</v>
      </c>
    </row>
    <row r="875" spans="1:9" x14ac:dyDescent="0.25">
      <c r="A875" t="s">
        <v>271</v>
      </c>
      <c r="B875" s="12">
        <v>187</v>
      </c>
      <c r="C875">
        <v>169</v>
      </c>
      <c r="D875">
        <v>90271</v>
      </c>
      <c r="E875">
        <v>11172</v>
      </c>
      <c r="F875">
        <v>0.2431637168141593</v>
      </c>
      <c r="G875">
        <v>0.25221238938053098</v>
      </c>
      <c r="H875">
        <v>3.0231195820619401E-2</v>
      </c>
      <c r="I875">
        <v>6.3868485579006554E-2</v>
      </c>
    </row>
    <row r="876" spans="1:9" x14ac:dyDescent="0.25">
      <c r="A876" t="s">
        <v>233</v>
      </c>
      <c r="B876" s="12">
        <v>188</v>
      </c>
      <c r="C876">
        <v>61</v>
      </c>
      <c r="D876">
        <v>90078</v>
      </c>
      <c r="E876">
        <v>28941</v>
      </c>
      <c r="F876">
        <v>0.63761061946902653</v>
      </c>
      <c r="G876">
        <v>0.73008849557522126</v>
      </c>
      <c r="H876">
        <v>8.1049736266617642E-2</v>
      </c>
      <c r="I876">
        <v>-3.3768014146689777E-2</v>
      </c>
    </row>
    <row r="877" spans="1:9" x14ac:dyDescent="0.25">
      <c r="A877" t="s">
        <v>216</v>
      </c>
      <c r="B877" s="12">
        <v>189</v>
      </c>
      <c r="C877">
        <v>49</v>
      </c>
      <c r="D877">
        <v>90044</v>
      </c>
      <c r="E877">
        <v>37375</v>
      </c>
      <c r="F877">
        <v>0.82325221238938051</v>
      </c>
      <c r="G877">
        <v>0.7831858407079646</v>
      </c>
      <c r="H877">
        <v>0.1048637939152462</v>
      </c>
      <c r="I877">
        <v>-7.7289675701100721E-2</v>
      </c>
    </row>
    <row r="878" spans="1:9" x14ac:dyDescent="0.25">
      <c r="A878" t="s">
        <v>188</v>
      </c>
      <c r="B878" s="12">
        <v>190</v>
      </c>
      <c r="C878">
        <v>57</v>
      </c>
      <c r="D878">
        <v>89817</v>
      </c>
      <c r="E878">
        <v>32632</v>
      </c>
      <c r="F878">
        <v>0.71789823008849563</v>
      </c>
      <c r="G878">
        <v>0.74778761061946908</v>
      </c>
      <c r="H878">
        <v>9.2454935126665749E-2</v>
      </c>
      <c r="I878">
        <v>-4.5634846768212292E-2</v>
      </c>
    </row>
    <row r="879" spans="1:9" x14ac:dyDescent="0.25">
      <c r="A879" t="s">
        <v>266</v>
      </c>
      <c r="B879" s="12">
        <v>191</v>
      </c>
      <c r="C879">
        <v>104</v>
      </c>
      <c r="D879">
        <v>89720</v>
      </c>
      <c r="E879">
        <v>17431</v>
      </c>
      <c r="F879">
        <v>0.38362831858407082</v>
      </c>
      <c r="G879">
        <v>0.53982300884955747</v>
      </c>
      <c r="H879">
        <v>4.5416867108265258E-2</v>
      </c>
      <c r="I879">
        <v>1.457744882030226E-3</v>
      </c>
    </row>
    <row r="880" spans="1:9" x14ac:dyDescent="0.25">
      <c r="A880" t="s">
        <v>243</v>
      </c>
      <c r="B880" s="12">
        <v>192</v>
      </c>
      <c r="C880">
        <v>85</v>
      </c>
      <c r="D880">
        <v>89524</v>
      </c>
      <c r="E880">
        <v>22739</v>
      </c>
      <c r="F880">
        <v>0.50086283185840708</v>
      </c>
      <c r="G880">
        <v>0.62389380530973448</v>
      </c>
      <c r="H880">
        <v>6.3766944512991516E-2</v>
      </c>
      <c r="I880">
        <v>-3.4619268986225971E-4</v>
      </c>
    </row>
    <row r="881" spans="1:9" x14ac:dyDescent="0.25">
      <c r="A881" t="s">
        <v>232</v>
      </c>
      <c r="B881" s="12">
        <v>193</v>
      </c>
      <c r="C881">
        <v>82</v>
      </c>
      <c r="D881">
        <v>89467</v>
      </c>
      <c r="E881">
        <v>23437</v>
      </c>
      <c r="F881">
        <v>0.51553097345132748</v>
      </c>
      <c r="G881">
        <v>0.63716814159292035</v>
      </c>
      <c r="H881">
        <v>6.5605592609709704E-2</v>
      </c>
      <c r="I881">
        <v>-4.9091645266235544E-3</v>
      </c>
    </row>
    <row r="882" spans="1:9" x14ac:dyDescent="0.25">
      <c r="A882" t="s">
        <v>170</v>
      </c>
      <c r="B882" s="12">
        <v>194</v>
      </c>
      <c r="C882">
        <v>75</v>
      </c>
      <c r="D882">
        <v>89334</v>
      </c>
      <c r="E882">
        <v>23795</v>
      </c>
      <c r="F882">
        <v>0.52409292035398225</v>
      </c>
      <c r="G882">
        <v>0.66814159292035402</v>
      </c>
      <c r="H882">
        <v>6.6829070474359112E-2</v>
      </c>
      <c r="I882">
        <v>-6.4581189519526848E-3</v>
      </c>
    </row>
    <row r="883" spans="1:9" x14ac:dyDescent="0.25">
      <c r="A883" t="s">
        <v>248</v>
      </c>
      <c r="B883" s="12">
        <v>195</v>
      </c>
      <c r="C883">
        <v>78</v>
      </c>
      <c r="D883">
        <v>89234</v>
      </c>
      <c r="E883">
        <v>22728</v>
      </c>
      <c r="F883">
        <v>0.50059734513274334</v>
      </c>
      <c r="G883">
        <v>0.65486725663716816</v>
      </c>
      <c r="H883">
        <v>6.381120299246984E-2</v>
      </c>
      <c r="I883">
        <v>1.081926178530339E-4</v>
      </c>
    </row>
    <row r="884" spans="1:9" x14ac:dyDescent="0.25">
      <c r="A884" t="s">
        <v>262</v>
      </c>
      <c r="B884" s="12">
        <v>196</v>
      </c>
      <c r="C884">
        <v>83</v>
      </c>
      <c r="D884">
        <v>89160</v>
      </c>
      <c r="E884">
        <v>22631</v>
      </c>
      <c r="F884">
        <v>0.49853982300884958</v>
      </c>
      <c r="G884">
        <v>0.63274336283185839</v>
      </c>
      <c r="H884">
        <v>6.3467835092426081E-2</v>
      </c>
      <c r="I884">
        <v>6.2750549355569782E-4</v>
      </c>
    </row>
    <row r="885" spans="1:9" x14ac:dyDescent="0.25">
      <c r="A885" t="s">
        <v>231</v>
      </c>
      <c r="B885" s="12">
        <v>197</v>
      </c>
      <c r="C885">
        <v>53</v>
      </c>
      <c r="D885">
        <v>88980</v>
      </c>
      <c r="E885">
        <v>31738</v>
      </c>
      <c r="F885">
        <v>0.69900442477876101</v>
      </c>
      <c r="G885">
        <v>0.76548672566371678</v>
      </c>
      <c r="H885">
        <v>8.9117841509357199E-2</v>
      </c>
      <c r="I885">
        <v>-4.6921483884606908E-2</v>
      </c>
    </row>
    <row r="886" spans="1:9" x14ac:dyDescent="0.25">
      <c r="A886" t="s">
        <v>198</v>
      </c>
      <c r="B886" s="12">
        <v>198</v>
      </c>
      <c r="C886">
        <v>38</v>
      </c>
      <c r="D886">
        <v>88819</v>
      </c>
      <c r="E886">
        <v>38458</v>
      </c>
      <c r="F886">
        <v>0.84705752212389385</v>
      </c>
      <c r="G886">
        <v>0.83185840707964598</v>
      </c>
      <c r="H886">
        <v>0.10850963402416269</v>
      </c>
      <c r="I886">
        <v>-8.0820932327408709E-2</v>
      </c>
    </row>
    <row r="887" spans="1:9" x14ac:dyDescent="0.25">
      <c r="A887" t="s">
        <v>175</v>
      </c>
      <c r="B887" s="12">
        <v>199</v>
      </c>
      <c r="C887">
        <v>20</v>
      </c>
      <c r="D887">
        <v>88639</v>
      </c>
      <c r="E887">
        <v>40499</v>
      </c>
      <c r="F887">
        <v>0.89221238938053093</v>
      </c>
      <c r="G887">
        <v>0.91150442477876104</v>
      </c>
      <c r="H887">
        <v>0.1132981491964121</v>
      </c>
      <c r="I887">
        <v>-9.6173633080116214E-2</v>
      </c>
    </row>
    <row r="888" spans="1:9" x14ac:dyDescent="0.25">
      <c r="A888" t="s">
        <v>167</v>
      </c>
      <c r="B888" s="12">
        <v>200</v>
      </c>
      <c r="C888">
        <v>75</v>
      </c>
      <c r="D888">
        <v>88572</v>
      </c>
      <c r="E888">
        <v>23561</v>
      </c>
      <c r="F888">
        <v>0.51783185840707968</v>
      </c>
      <c r="G888">
        <v>0.66814159292035402</v>
      </c>
      <c r="H888">
        <v>6.6209233222452035E-2</v>
      </c>
      <c r="I888">
        <v>-2.8363331940877662E-3</v>
      </c>
    </row>
    <row r="889" spans="1:9" x14ac:dyDescent="0.25">
      <c r="A889" t="s">
        <v>165</v>
      </c>
      <c r="B889" s="12">
        <v>201</v>
      </c>
      <c r="C889">
        <v>71</v>
      </c>
      <c r="D889">
        <v>88491</v>
      </c>
      <c r="E889">
        <v>23678</v>
      </c>
      <c r="F889">
        <v>0.52055309734513278</v>
      </c>
      <c r="G889">
        <v>0.68584070796460173</v>
      </c>
      <c r="H889">
        <v>6.6497172814029615E-2</v>
      </c>
      <c r="I889">
        <v>-1.869765042701311E-3</v>
      </c>
    </row>
    <row r="890" spans="1:9" x14ac:dyDescent="0.25">
      <c r="A890" t="s">
        <v>267</v>
      </c>
      <c r="B890" s="12">
        <v>202</v>
      </c>
      <c r="C890">
        <v>80</v>
      </c>
      <c r="D890">
        <v>88045</v>
      </c>
      <c r="E890">
        <v>25553</v>
      </c>
      <c r="F890">
        <v>0.56318584070796462</v>
      </c>
      <c r="G890">
        <v>0.64601769911504425</v>
      </c>
      <c r="H890">
        <v>6.3226204019616747E-2</v>
      </c>
      <c r="I890">
        <v>-6.4477288360355448E-2</v>
      </c>
    </row>
    <row r="891" spans="1:9" x14ac:dyDescent="0.25">
      <c r="A891" t="s">
        <v>210</v>
      </c>
      <c r="B891" s="12">
        <v>203</v>
      </c>
      <c r="C891">
        <v>14</v>
      </c>
      <c r="D891">
        <v>88026</v>
      </c>
      <c r="E891">
        <v>40566</v>
      </c>
      <c r="F891">
        <v>0.89362831858407077</v>
      </c>
      <c r="G891">
        <v>0.93805309734513276</v>
      </c>
      <c r="H891">
        <v>0.1138043370785929</v>
      </c>
      <c r="I891">
        <v>-9.2706144783038874E-2</v>
      </c>
    </row>
    <row r="892" spans="1:9" x14ac:dyDescent="0.25">
      <c r="A892" t="s">
        <v>201</v>
      </c>
      <c r="B892" s="12">
        <v>204</v>
      </c>
      <c r="C892">
        <v>35</v>
      </c>
      <c r="D892">
        <v>88001</v>
      </c>
      <c r="E892">
        <v>38552</v>
      </c>
      <c r="F892">
        <v>0.84911504424778761</v>
      </c>
      <c r="G892">
        <v>0.84513274336283184</v>
      </c>
      <c r="H892">
        <v>0.1086648400374445</v>
      </c>
      <c r="I892">
        <v>-8.1779431485459284E-2</v>
      </c>
    </row>
    <row r="893" spans="1:9" x14ac:dyDescent="0.25">
      <c r="A893" t="s">
        <v>205</v>
      </c>
      <c r="B893" s="12">
        <v>205</v>
      </c>
      <c r="C893">
        <v>35</v>
      </c>
      <c r="D893">
        <v>87650</v>
      </c>
      <c r="E893">
        <v>38512</v>
      </c>
      <c r="F893">
        <v>0.84825221238938053</v>
      </c>
      <c r="G893">
        <v>0.84513274336283184</v>
      </c>
      <c r="H893">
        <v>0.1086432066176994</v>
      </c>
      <c r="I893">
        <v>-8.1213544368336846E-2</v>
      </c>
    </row>
    <row r="894" spans="1:9" x14ac:dyDescent="0.25">
      <c r="A894" t="s">
        <v>19</v>
      </c>
      <c r="B894" s="12">
        <v>206</v>
      </c>
      <c r="C894">
        <v>82</v>
      </c>
      <c r="D894">
        <v>87598</v>
      </c>
      <c r="E894">
        <v>22754</v>
      </c>
      <c r="F894">
        <v>0.50119469026548669</v>
      </c>
      <c r="G894">
        <v>0.63716814159292035</v>
      </c>
      <c r="H894">
        <v>6.3768099792282276E-2</v>
      </c>
      <c r="I894">
        <v>-2.421145776070442E-4</v>
      </c>
    </row>
    <row r="895" spans="1:9" x14ac:dyDescent="0.25">
      <c r="A895" t="s">
        <v>242</v>
      </c>
      <c r="B895" s="12">
        <v>207</v>
      </c>
      <c r="C895">
        <v>57</v>
      </c>
      <c r="D895">
        <v>87513</v>
      </c>
      <c r="E895">
        <v>28827</v>
      </c>
      <c r="F895">
        <v>0.63495575221238942</v>
      </c>
      <c r="G895">
        <v>0.74778761061946908</v>
      </c>
      <c r="H895">
        <v>8.0801950655955287E-2</v>
      </c>
      <c r="I895">
        <v>-3.2294405894518978E-2</v>
      </c>
    </row>
    <row r="896" spans="1:9" x14ac:dyDescent="0.25">
      <c r="A896" t="s">
        <v>257</v>
      </c>
      <c r="B896" s="12">
        <v>208</v>
      </c>
      <c r="C896">
        <v>59</v>
      </c>
      <c r="D896">
        <v>87513</v>
      </c>
      <c r="E896">
        <v>35917</v>
      </c>
      <c r="F896">
        <v>0.79139380530973447</v>
      </c>
      <c r="G896">
        <v>0.73893805309734517</v>
      </c>
      <c r="H896">
        <v>9.6253828931554583E-2</v>
      </c>
      <c r="I896">
        <v>-8.6109496638221913E-2</v>
      </c>
    </row>
    <row r="897" spans="1:9" x14ac:dyDescent="0.25">
      <c r="A897" t="s">
        <v>237</v>
      </c>
      <c r="B897" s="12">
        <v>209</v>
      </c>
      <c r="C897">
        <v>53</v>
      </c>
      <c r="D897">
        <v>87465</v>
      </c>
      <c r="E897">
        <v>34905</v>
      </c>
      <c r="F897">
        <v>0.76891592920353979</v>
      </c>
      <c r="G897">
        <v>0.76548672566371678</v>
      </c>
      <c r="H897">
        <v>9.7850441901246241E-2</v>
      </c>
      <c r="I897">
        <v>-6.3674090572037614E-2</v>
      </c>
    </row>
    <row r="898" spans="1:9" x14ac:dyDescent="0.25">
      <c r="A898" t="s">
        <v>249</v>
      </c>
      <c r="B898" s="12">
        <v>210</v>
      </c>
      <c r="C898">
        <v>45</v>
      </c>
      <c r="D898">
        <v>87440</v>
      </c>
      <c r="E898">
        <v>37327</v>
      </c>
      <c r="F898">
        <v>0.82221238938053098</v>
      </c>
      <c r="G898">
        <v>0.80088495575221241</v>
      </c>
      <c r="H898">
        <v>0.1046391167887492</v>
      </c>
      <c r="I898">
        <v>-7.7096509488894668E-2</v>
      </c>
    </row>
    <row r="899" spans="1:9" x14ac:dyDescent="0.25">
      <c r="A899" t="s">
        <v>203</v>
      </c>
      <c r="B899" s="12">
        <v>211</v>
      </c>
      <c r="C899">
        <v>32</v>
      </c>
      <c r="D899">
        <v>87435</v>
      </c>
      <c r="E899">
        <v>38515</v>
      </c>
      <c r="F899">
        <v>0.84827433628318583</v>
      </c>
      <c r="G899">
        <v>0.8584070796460177</v>
      </c>
      <c r="H899">
        <v>0.1088562671893066</v>
      </c>
      <c r="I899">
        <v>-7.9652913925039509E-2</v>
      </c>
    </row>
    <row r="900" spans="1:9" x14ac:dyDescent="0.25">
      <c r="A900" t="s">
        <v>244</v>
      </c>
      <c r="B900" s="12">
        <v>212</v>
      </c>
      <c r="C900">
        <v>56</v>
      </c>
      <c r="D900">
        <v>87386</v>
      </c>
      <c r="E900">
        <v>36950</v>
      </c>
      <c r="F900">
        <v>0.81413716814159287</v>
      </c>
      <c r="G900">
        <v>0.75221238938053092</v>
      </c>
      <c r="H900">
        <v>9.9991422098173591E-2</v>
      </c>
      <c r="I900">
        <v>-8.7013235699580693E-2</v>
      </c>
    </row>
    <row r="901" spans="1:9" x14ac:dyDescent="0.25">
      <c r="A901" t="s">
        <v>183</v>
      </c>
      <c r="B901" s="12">
        <v>213</v>
      </c>
      <c r="C901">
        <v>13</v>
      </c>
      <c r="D901">
        <v>87357</v>
      </c>
      <c r="E901">
        <v>40743</v>
      </c>
      <c r="F901">
        <v>0.89745575221238938</v>
      </c>
      <c r="G901">
        <v>0.94247787610619471</v>
      </c>
      <c r="H901">
        <v>0.1142765846120703</v>
      </c>
      <c r="I901">
        <v>-9.4923360858547259E-2</v>
      </c>
    </row>
    <row r="902" spans="1:9" x14ac:dyDescent="0.25">
      <c r="A902" t="s">
        <v>246</v>
      </c>
      <c r="B902" s="12">
        <v>214</v>
      </c>
      <c r="C902">
        <v>46</v>
      </c>
      <c r="D902">
        <v>87351</v>
      </c>
      <c r="E902">
        <v>37881</v>
      </c>
      <c r="F902">
        <v>0.83497787610619467</v>
      </c>
      <c r="G902">
        <v>0.79646017699115046</v>
      </c>
      <c r="H902">
        <v>0.1032583240978544</v>
      </c>
      <c r="I902">
        <v>-9.418721268039662E-2</v>
      </c>
    </row>
    <row r="903" spans="1:9" x14ac:dyDescent="0.25">
      <c r="A903" t="s">
        <v>251</v>
      </c>
      <c r="B903" s="12">
        <v>215</v>
      </c>
      <c r="C903">
        <v>76</v>
      </c>
      <c r="D903">
        <v>87212</v>
      </c>
      <c r="E903">
        <v>22717</v>
      </c>
      <c r="F903">
        <v>0.5003539823008849</v>
      </c>
      <c r="G903">
        <v>0.66371681415929207</v>
      </c>
      <c r="H903">
        <v>6.3688191335512345E-2</v>
      </c>
      <c r="I903">
        <v>4.0449790223687861E-4</v>
      </c>
    </row>
    <row r="904" spans="1:9" x14ac:dyDescent="0.25">
      <c r="A904" t="s">
        <v>146</v>
      </c>
      <c r="B904" s="12">
        <v>216</v>
      </c>
      <c r="C904">
        <v>82</v>
      </c>
      <c r="D904">
        <v>87178</v>
      </c>
      <c r="E904">
        <v>22097</v>
      </c>
      <c r="F904">
        <v>0.4857300884955752</v>
      </c>
      <c r="G904">
        <v>0.63716814159292035</v>
      </c>
      <c r="H904">
        <v>6.06460657494041E-2</v>
      </c>
      <c r="I904">
        <v>-3.9283939358123179E-3</v>
      </c>
    </row>
    <row r="905" spans="1:9" x14ac:dyDescent="0.25">
      <c r="A905" t="s">
        <v>274</v>
      </c>
      <c r="B905" s="12">
        <v>217</v>
      </c>
      <c r="C905">
        <v>78</v>
      </c>
      <c r="D905">
        <v>87012</v>
      </c>
      <c r="E905">
        <v>25560</v>
      </c>
      <c r="F905">
        <v>0.56334070796460178</v>
      </c>
      <c r="G905">
        <v>0.65486725663716816</v>
      </c>
      <c r="H905">
        <v>6.3305743482967664E-2</v>
      </c>
      <c r="I905">
        <v>-6.4312134635903462E-2</v>
      </c>
    </row>
    <row r="906" spans="1:9" x14ac:dyDescent="0.25">
      <c r="A906" t="s">
        <v>273</v>
      </c>
      <c r="B906" s="12">
        <v>218</v>
      </c>
      <c r="C906">
        <v>60</v>
      </c>
      <c r="D906">
        <v>86851</v>
      </c>
      <c r="E906">
        <v>31781</v>
      </c>
      <c r="F906">
        <v>0.70039823008849555</v>
      </c>
      <c r="G906">
        <v>0.73451327433628322</v>
      </c>
      <c r="H906">
        <v>8.1443559766202447E-2</v>
      </c>
      <c r="I906">
        <v>-8.4518244557447317E-2</v>
      </c>
    </row>
    <row r="907" spans="1:9" x14ac:dyDescent="0.25">
      <c r="A907" t="s">
        <v>270</v>
      </c>
      <c r="B907" s="12">
        <v>219</v>
      </c>
      <c r="C907">
        <v>62</v>
      </c>
      <c r="D907">
        <v>86706</v>
      </c>
      <c r="E907">
        <v>30876</v>
      </c>
      <c r="F907">
        <v>0.68068584070796456</v>
      </c>
      <c r="G907">
        <v>0.72566371681415931</v>
      </c>
      <c r="H907">
        <v>8.204338870493677E-2</v>
      </c>
      <c r="I907">
        <v>-6.2562754414073857E-2</v>
      </c>
    </row>
    <row r="908" spans="1:9" x14ac:dyDescent="0.25">
      <c r="A908" t="s">
        <v>181</v>
      </c>
      <c r="B908" s="12">
        <v>220</v>
      </c>
      <c r="C908">
        <v>49</v>
      </c>
      <c r="D908">
        <v>86601</v>
      </c>
      <c r="E908">
        <v>36916</v>
      </c>
      <c r="F908">
        <v>0.81347345132743365</v>
      </c>
      <c r="G908">
        <v>0.7831858407079646</v>
      </c>
      <c r="H908">
        <v>0.1026852004849698</v>
      </c>
      <c r="I908">
        <v>-7.8010581445602745E-2</v>
      </c>
    </row>
    <row r="909" spans="1:9" x14ac:dyDescent="0.25">
      <c r="A909" t="s">
        <v>193</v>
      </c>
      <c r="B909" s="12">
        <v>221</v>
      </c>
      <c r="C909">
        <v>15</v>
      </c>
      <c r="D909">
        <v>86538</v>
      </c>
      <c r="E909">
        <v>40870</v>
      </c>
      <c r="F909">
        <v>0.90019911504424777</v>
      </c>
      <c r="G909">
        <v>0.9336283185840708</v>
      </c>
      <c r="H909">
        <v>0.1145392956277356</v>
      </c>
      <c r="I909">
        <v>-9.576407850006588E-2</v>
      </c>
    </row>
    <row r="910" spans="1:9" x14ac:dyDescent="0.25">
      <c r="A910" t="s">
        <v>260</v>
      </c>
      <c r="B910" s="12">
        <v>222</v>
      </c>
      <c r="C910">
        <v>78</v>
      </c>
      <c r="D910">
        <v>86393</v>
      </c>
      <c r="E910">
        <v>25689</v>
      </c>
      <c r="F910">
        <v>0.56610619469026546</v>
      </c>
      <c r="G910">
        <v>0.65486725663716816</v>
      </c>
      <c r="H910">
        <v>6.3678780919700237E-2</v>
      </c>
      <c r="I910">
        <v>-6.4563764375457425E-2</v>
      </c>
    </row>
    <row r="911" spans="1:9" x14ac:dyDescent="0.25">
      <c r="A911" t="s">
        <v>182</v>
      </c>
      <c r="B911" s="12">
        <v>223</v>
      </c>
      <c r="C911">
        <v>16</v>
      </c>
      <c r="D911">
        <v>86348</v>
      </c>
      <c r="E911">
        <v>40029</v>
      </c>
      <c r="F911">
        <v>0.88161504424778758</v>
      </c>
      <c r="G911">
        <v>0.92920353982300885</v>
      </c>
      <c r="H911">
        <v>0.1119407537436941</v>
      </c>
      <c r="I911">
        <v>-9.2951447624821562E-2</v>
      </c>
    </row>
    <row r="912" spans="1:9" x14ac:dyDescent="0.25">
      <c r="A912" t="s">
        <v>227</v>
      </c>
      <c r="B912" s="12">
        <v>224</v>
      </c>
      <c r="C912">
        <v>15</v>
      </c>
      <c r="D912">
        <v>86209</v>
      </c>
      <c r="E912">
        <v>40547</v>
      </c>
      <c r="F912">
        <v>0.89311946902654871</v>
      </c>
      <c r="G912">
        <v>0.9336283185840708</v>
      </c>
      <c r="H912">
        <v>0.1135338645075798</v>
      </c>
      <c r="I912">
        <v>-9.537952720355998E-2</v>
      </c>
    </row>
    <row r="913" spans="1:9" x14ac:dyDescent="0.25">
      <c r="A913" t="s">
        <v>239</v>
      </c>
      <c r="B913" s="12">
        <v>225</v>
      </c>
      <c r="C913">
        <v>17</v>
      </c>
      <c r="D913">
        <v>85940</v>
      </c>
      <c r="E913">
        <v>40380</v>
      </c>
      <c r="F913">
        <v>0.88953539823008854</v>
      </c>
      <c r="G913">
        <v>0.9247787610619469</v>
      </c>
      <c r="H913">
        <v>0.113145515157687</v>
      </c>
      <c r="I913">
        <v>-9.3263272488669419E-2</v>
      </c>
    </row>
    <row r="914" spans="1:9" x14ac:dyDescent="0.25">
      <c r="A914" t="s">
        <v>207</v>
      </c>
      <c r="B914" s="12">
        <v>226</v>
      </c>
      <c r="C914">
        <v>20</v>
      </c>
      <c r="D914">
        <v>85820</v>
      </c>
      <c r="E914">
        <v>40321</v>
      </c>
      <c r="F914">
        <v>0.88803097345132742</v>
      </c>
      <c r="G914">
        <v>0.91150442477876104</v>
      </c>
      <c r="H914">
        <v>0.11292805888266701</v>
      </c>
      <c r="I914">
        <v>-9.3693515505129263E-2</v>
      </c>
    </row>
    <row r="915" spans="1:9" x14ac:dyDescent="0.25">
      <c r="A915" t="s">
        <v>253</v>
      </c>
      <c r="B915" s="12">
        <v>227</v>
      </c>
      <c r="C915">
        <v>75</v>
      </c>
      <c r="D915">
        <v>85297</v>
      </c>
      <c r="E915">
        <v>26050</v>
      </c>
      <c r="F915">
        <v>0.57243362831858402</v>
      </c>
      <c r="G915">
        <v>0.66814159292035402</v>
      </c>
      <c r="H915">
        <v>8.1926219517649682E-2</v>
      </c>
      <c r="I915">
        <v>5.4523533999922422E-2</v>
      </c>
    </row>
    <row r="917" spans="1:9" x14ac:dyDescent="0.25">
      <c r="A917" s="12" t="s">
        <v>0</v>
      </c>
      <c r="C917" s="12" t="s">
        <v>1</v>
      </c>
      <c r="D917" s="12" t="s">
        <v>2</v>
      </c>
      <c r="E917" s="12" t="s">
        <v>3</v>
      </c>
      <c r="F917" s="12" t="s">
        <v>281</v>
      </c>
      <c r="G917" s="12" t="s">
        <v>282</v>
      </c>
      <c r="H917" s="12" t="s">
        <v>283</v>
      </c>
      <c r="I917" s="12" t="s">
        <v>284</v>
      </c>
    </row>
    <row r="918" spans="1:9" x14ac:dyDescent="0.25">
      <c r="A918" t="s">
        <v>96</v>
      </c>
      <c r="B918" s="12">
        <v>1</v>
      </c>
      <c r="C918">
        <v>131</v>
      </c>
      <c r="D918">
        <v>106502</v>
      </c>
      <c r="E918">
        <v>19865</v>
      </c>
      <c r="F918">
        <v>0.43584070796460178</v>
      </c>
      <c r="G918">
        <v>0.42035398230088489</v>
      </c>
      <c r="H918">
        <v>6.5030741485515478E-2</v>
      </c>
      <c r="I918">
        <v>3.0361871949768901E-2</v>
      </c>
    </row>
    <row r="919" spans="1:9" x14ac:dyDescent="0.25">
      <c r="A919" t="s">
        <v>4</v>
      </c>
      <c r="B919" s="12">
        <v>2</v>
      </c>
      <c r="C919">
        <v>91</v>
      </c>
      <c r="D919">
        <v>105622</v>
      </c>
      <c r="E919">
        <v>22063</v>
      </c>
      <c r="F919">
        <v>0.48464601769911497</v>
      </c>
      <c r="G919">
        <v>0.59734513274336287</v>
      </c>
      <c r="H919">
        <v>5.9850545251353672E-2</v>
      </c>
      <c r="I919">
        <v>-5.1672977748924667E-2</v>
      </c>
    </row>
    <row r="920" spans="1:9" x14ac:dyDescent="0.25">
      <c r="A920" t="s">
        <v>109</v>
      </c>
      <c r="B920" s="12">
        <v>3</v>
      </c>
      <c r="C920">
        <v>122</v>
      </c>
      <c r="D920">
        <v>104965</v>
      </c>
      <c r="E920">
        <v>14835</v>
      </c>
      <c r="F920">
        <v>0.32486725663716809</v>
      </c>
      <c r="G920">
        <v>0.46017699115044253</v>
      </c>
      <c r="H920">
        <v>4.4046923596368283E-2</v>
      </c>
      <c r="I920">
        <v>3.431006441383036E-2</v>
      </c>
    </row>
    <row r="921" spans="1:9" x14ac:dyDescent="0.25">
      <c r="A921" t="s">
        <v>91</v>
      </c>
      <c r="B921" s="12">
        <v>4</v>
      </c>
      <c r="C921">
        <v>126</v>
      </c>
      <c r="D921">
        <v>103725</v>
      </c>
      <c r="E921">
        <v>15683</v>
      </c>
      <c r="F921">
        <v>0.34641592920353981</v>
      </c>
      <c r="G921">
        <v>0.44247787610619471</v>
      </c>
      <c r="H921">
        <v>4.4149369184215297E-2</v>
      </c>
      <c r="I921">
        <v>-3.3324062424317739E-3</v>
      </c>
    </row>
    <row r="922" spans="1:9" x14ac:dyDescent="0.25">
      <c r="A922" t="s">
        <v>14</v>
      </c>
      <c r="B922" s="12">
        <v>5</v>
      </c>
      <c r="C922">
        <v>142</v>
      </c>
      <c r="D922">
        <v>102969</v>
      </c>
      <c r="E922">
        <v>13202</v>
      </c>
      <c r="F922">
        <v>0.29172566371681408</v>
      </c>
      <c r="G922">
        <v>0.37168141592920362</v>
      </c>
      <c r="H922">
        <v>3.7775334154434292E-2</v>
      </c>
      <c r="I922">
        <v>1.8877774649542638E-2</v>
      </c>
    </row>
    <row r="923" spans="1:9" x14ac:dyDescent="0.25">
      <c r="A923" t="s">
        <v>83</v>
      </c>
      <c r="B923" s="12">
        <v>6</v>
      </c>
      <c r="C923">
        <v>112</v>
      </c>
      <c r="D923">
        <v>102356</v>
      </c>
      <c r="E923">
        <v>19683</v>
      </c>
      <c r="F923">
        <v>0.43146017699115052</v>
      </c>
      <c r="G923">
        <v>0.50442477876106195</v>
      </c>
      <c r="H923">
        <v>6.6152032800032567E-2</v>
      </c>
      <c r="I923">
        <v>5.1891736372142151E-2</v>
      </c>
    </row>
    <row r="924" spans="1:9" x14ac:dyDescent="0.25">
      <c r="A924" t="s">
        <v>82</v>
      </c>
      <c r="B924" s="12">
        <v>7</v>
      </c>
      <c r="C924">
        <v>107</v>
      </c>
      <c r="D924">
        <v>102137</v>
      </c>
      <c r="E924">
        <v>22637</v>
      </c>
      <c r="F924">
        <v>0.49736725663716808</v>
      </c>
      <c r="G924">
        <v>0.52654867256637172</v>
      </c>
      <c r="H924">
        <v>7.1591306927857187E-2</v>
      </c>
      <c r="I924">
        <v>3.5728916079383957E-2</v>
      </c>
    </row>
    <row r="925" spans="1:9" x14ac:dyDescent="0.25">
      <c r="A925" t="s">
        <v>90</v>
      </c>
      <c r="B925" s="12">
        <v>8</v>
      </c>
      <c r="C925">
        <v>200</v>
      </c>
      <c r="D925">
        <v>101742</v>
      </c>
      <c r="E925">
        <v>11580</v>
      </c>
      <c r="F925">
        <v>0.2556194690265487</v>
      </c>
      <c r="G925">
        <v>0.1150442477876106</v>
      </c>
      <c r="H925">
        <v>3.8931925475944359E-2</v>
      </c>
      <c r="I925">
        <v>9.4797353194529518E-2</v>
      </c>
    </row>
    <row r="926" spans="1:9" x14ac:dyDescent="0.25">
      <c r="A926" t="s">
        <v>98</v>
      </c>
      <c r="B926" s="12">
        <v>9</v>
      </c>
      <c r="C926">
        <v>155</v>
      </c>
      <c r="D926">
        <v>101695</v>
      </c>
      <c r="E926">
        <v>20967</v>
      </c>
      <c r="F926">
        <v>0.46037610619469033</v>
      </c>
      <c r="G926">
        <v>0.31415929203539822</v>
      </c>
      <c r="H926">
        <v>6.9950376251763036E-2</v>
      </c>
      <c r="I926">
        <v>5.9934109468091343E-2</v>
      </c>
    </row>
    <row r="927" spans="1:9" x14ac:dyDescent="0.25">
      <c r="A927" t="s">
        <v>71</v>
      </c>
      <c r="B927" s="12">
        <v>10</v>
      </c>
      <c r="C927">
        <v>181</v>
      </c>
      <c r="D927">
        <v>101651</v>
      </c>
      <c r="E927">
        <v>12045</v>
      </c>
      <c r="F927">
        <v>0.26382743362831862</v>
      </c>
      <c r="G927">
        <v>0.19911504424778759</v>
      </c>
      <c r="H927">
        <v>3.8177126162441913E-2</v>
      </c>
      <c r="I927">
        <v>6.9102333759687384E-2</v>
      </c>
    </row>
    <row r="928" spans="1:9" x14ac:dyDescent="0.25">
      <c r="A928" t="s">
        <v>81</v>
      </c>
      <c r="B928" s="12">
        <v>11</v>
      </c>
      <c r="C928">
        <v>163</v>
      </c>
      <c r="D928">
        <v>101466</v>
      </c>
      <c r="E928">
        <v>13065</v>
      </c>
      <c r="F928">
        <v>0.28847345132743363</v>
      </c>
      <c r="G928">
        <v>0.27876106194690259</v>
      </c>
      <c r="H928">
        <v>4.0872004475101448E-2</v>
      </c>
      <c r="I928">
        <v>6.4340036039604961E-2</v>
      </c>
    </row>
    <row r="929" spans="1:9" x14ac:dyDescent="0.25">
      <c r="A929" t="s">
        <v>111</v>
      </c>
      <c r="B929" s="12">
        <v>12</v>
      </c>
      <c r="C929">
        <v>116</v>
      </c>
      <c r="D929">
        <v>101396</v>
      </c>
      <c r="E929">
        <v>22373</v>
      </c>
      <c r="F929">
        <v>0.4911283185840708</v>
      </c>
      <c r="G929">
        <v>0.48672566371681408</v>
      </c>
      <c r="H929">
        <v>7.5563104906753539E-2</v>
      </c>
      <c r="I929">
        <v>4.9482210354740742E-2</v>
      </c>
    </row>
    <row r="930" spans="1:9" x14ac:dyDescent="0.25">
      <c r="A930" t="s">
        <v>70</v>
      </c>
      <c r="B930" s="12">
        <v>13</v>
      </c>
      <c r="C930">
        <v>100</v>
      </c>
      <c r="D930">
        <v>101036</v>
      </c>
      <c r="E930">
        <v>16725</v>
      </c>
      <c r="F930">
        <v>0.36805309734513281</v>
      </c>
      <c r="G930">
        <v>0.55752212389380529</v>
      </c>
      <c r="H930">
        <v>4.9681957083740513E-2</v>
      </c>
      <c r="I930">
        <v>3.122578268135669E-2</v>
      </c>
    </row>
    <row r="931" spans="1:9" x14ac:dyDescent="0.25">
      <c r="A931" t="s">
        <v>133</v>
      </c>
      <c r="B931" s="12">
        <v>14</v>
      </c>
      <c r="C931">
        <v>63</v>
      </c>
      <c r="D931">
        <v>100454</v>
      </c>
      <c r="E931">
        <v>25469</v>
      </c>
      <c r="F931">
        <v>0.55955752212389376</v>
      </c>
      <c r="G931">
        <v>0.72123893805309736</v>
      </c>
      <c r="H931">
        <v>8.0320662838526874E-2</v>
      </c>
      <c r="I931">
        <v>1.611071838307691E-2</v>
      </c>
    </row>
    <row r="932" spans="1:9" x14ac:dyDescent="0.25">
      <c r="A932" t="s">
        <v>163</v>
      </c>
      <c r="B932" s="12">
        <v>15</v>
      </c>
      <c r="C932">
        <v>45</v>
      </c>
      <c r="D932">
        <v>100432</v>
      </c>
      <c r="E932">
        <v>31235</v>
      </c>
      <c r="F932">
        <v>0.68716814159292039</v>
      </c>
      <c r="G932">
        <v>0.80088495575221241</v>
      </c>
      <c r="H932">
        <v>9.8074588322106304E-2</v>
      </c>
      <c r="I932">
        <v>-2.0611918187053449E-2</v>
      </c>
    </row>
    <row r="933" spans="1:9" x14ac:dyDescent="0.25">
      <c r="A933" t="s">
        <v>93</v>
      </c>
      <c r="B933" s="12">
        <v>16</v>
      </c>
      <c r="C933">
        <v>195</v>
      </c>
      <c r="D933">
        <v>100339</v>
      </c>
      <c r="E933">
        <v>8617</v>
      </c>
      <c r="F933">
        <v>0.18946902654867259</v>
      </c>
      <c r="G933">
        <v>0.13716814159292029</v>
      </c>
      <c r="H933">
        <v>2.5671826465555419E-2</v>
      </c>
      <c r="I933">
        <v>7.7336511540522609E-2</v>
      </c>
    </row>
    <row r="934" spans="1:9" x14ac:dyDescent="0.25">
      <c r="A934" t="s">
        <v>76</v>
      </c>
      <c r="B934" s="12">
        <v>17</v>
      </c>
      <c r="C934">
        <v>191</v>
      </c>
      <c r="D934">
        <v>100337</v>
      </c>
      <c r="E934">
        <v>13224</v>
      </c>
      <c r="F934">
        <v>0.29157079646017697</v>
      </c>
      <c r="G934">
        <v>0.1548672566371681</v>
      </c>
      <c r="H934">
        <v>4.4743976647737042E-2</v>
      </c>
      <c r="I934">
        <v>9.2450448053579118E-2</v>
      </c>
    </row>
    <row r="935" spans="1:9" x14ac:dyDescent="0.25">
      <c r="A935" t="s">
        <v>135</v>
      </c>
      <c r="B935" s="12">
        <v>18</v>
      </c>
      <c r="C935">
        <v>27</v>
      </c>
      <c r="D935">
        <v>100326</v>
      </c>
      <c r="E935">
        <v>28164</v>
      </c>
      <c r="F935">
        <v>0.61911504424778763</v>
      </c>
      <c r="G935">
        <v>0.88053097345132747</v>
      </c>
      <c r="H935">
        <v>8.9429675961848504E-2</v>
      </c>
      <c r="I935">
        <v>1.223294121221183E-2</v>
      </c>
    </row>
    <row r="936" spans="1:9" x14ac:dyDescent="0.25">
      <c r="A936" t="s">
        <v>89</v>
      </c>
      <c r="B936" s="12">
        <v>19</v>
      </c>
      <c r="C936">
        <v>199</v>
      </c>
      <c r="D936">
        <v>100183</v>
      </c>
      <c r="E936">
        <v>8694</v>
      </c>
      <c r="F936">
        <v>0.19119469026548669</v>
      </c>
      <c r="G936">
        <v>0.1194690265486726</v>
      </c>
      <c r="H936">
        <v>2.8207522446916489E-2</v>
      </c>
      <c r="I936">
        <v>8.8620385799080825E-2</v>
      </c>
    </row>
    <row r="937" spans="1:9" x14ac:dyDescent="0.25">
      <c r="A937" t="s">
        <v>113</v>
      </c>
      <c r="B937" s="12">
        <v>20</v>
      </c>
      <c r="C937">
        <v>157</v>
      </c>
      <c r="D937">
        <v>100072</v>
      </c>
      <c r="E937">
        <v>15731</v>
      </c>
      <c r="F937">
        <v>0.3441150442477876</v>
      </c>
      <c r="G937">
        <v>0.30530973451327431</v>
      </c>
      <c r="H937">
        <v>5.3495240470340627E-2</v>
      </c>
      <c r="I937">
        <v>7.6079204736571177E-2</v>
      </c>
    </row>
    <row r="938" spans="1:9" x14ac:dyDescent="0.25">
      <c r="A938" t="s">
        <v>177</v>
      </c>
      <c r="B938" s="12">
        <v>21</v>
      </c>
      <c r="C938">
        <v>54</v>
      </c>
      <c r="D938">
        <v>99998</v>
      </c>
      <c r="E938">
        <v>25747</v>
      </c>
      <c r="F938">
        <v>0.56617256637168145</v>
      </c>
      <c r="G938">
        <v>0.76106194690265483</v>
      </c>
      <c r="H938">
        <v>8.235984771509676E-2</v>
      </c>
      <c r="I938">
        <v>3.3158888599575838E-2</v>
      </c>
    </row>
    <row r="939" spans="1:9" x14ac:dyDescent="0.25">
      <c r="A939" t="s">
        <v>134</v>
      </c>
      <c r="B939" s="12">
        <v>22</v>
      </c>
      <c r="C939">
        <v>83</v>
      </c>
      <c r="D939">
        <v>99918</v>
      </c>
      <c r="E939">
        <v>24836</v>
      </c>
      <c r="F939">
        <v>0.5455088495575221</v>
      </c>
      <c r="G939">
        <v>0.63274336283185839</v>
      </c>
      <c r="H939">
        <v>8.2735504039090996E-2</v>
      </c>
      <c r="I939">
        <v>3.5123353513180688E-2</v>
      </c>
    </row>
    <row r="940" spans="1:9" x14ac:dyDescent="0.25">
      <c r="A940" t="s">
        <v>5</v>
      </c>
      <c r="B940" s="12">
        <v>23</v>
      </c>
      <c r="C940">
        <v>149</v>
      </c>
      <c r="D940">
        <v>99830</v>
      </c>
      <c r="E940">
        <v>18914</v>
      </c>
      <c r="F940">
        <v>0.41701327433628321</v>
      </c>
      <c r="G940">
        <v>0.34070796460176989</v>
      </c>
      <c r="H940">
        <v>6.2062694692250238E-2</v>
      </c>
      <c r="I940">
        <v>7.1549703471476725E-2</v>
      </c>
    </row>
    <row r="941" spans="1:9" x14ac:dyDescent="0.25">
      <c r="A941" t="s">
        <v>85</v>
      </c>
      <c r="B941" s="12">
        <v>24</v>
      </c>
      <c r="C941">
        <v>196</v>
      </c>
      <c r="D941">
        <v>99754</v>
      </c>
      <c r="E941">
        <v>7942</v>
      </c>
      <c r="F941">
        <v>0.17508849557522119</v>
      </c>
      <c r="G941">
        <v>0.13274336283185839</v>
      </c>
      <c r="H941">
        <v>2.3941333739688569E-2</v>
      </c>
      <c r="I941">
        <v>8.8717361108837808E-2</v>
      </c>
    </row>
    <row r="942" spans="1:9" x14ac:dyDescent="0.25">
      <c r="A942" t="s">
        <v>86</v>
      </c>
      <c r="B942" s="12">
        <v>25</v>
      </c>
      <c r="C942">
        <v>189</v>
      </c>
      <c r="D942">
        <v>99555</v>
      </c>
      <c r="E942">
        <v>8035</v>
      </c>
      <c r="F942">
        <v>0.17703539823008849</v>
      </c>
      <c r="G942">
        <v>0.16371681415929201</v>
      </c>
      <c r="H942">
        <v>2.3723539425662361E-2</v>
      </c>
      <c r="I942">
        <v>7.8786888089072582E-2</v>
      </c>
    </row>
    <row r="943" spans="1:9" x14ac:dyDescent="0.25">
      <c r="A943" t="s">
        <v>99</v>
      </c>
      <c r="B943" s="12">
        <v>26</v>
      </c>
      <c r="C943">
        <v>108</v>
      </c>
      <c r="D943">
        <v>99538</v>
      </c>
      <c r="E943">
        <v>20828</v>
      </c>
      <c r="F943">
        <v>0.45827433628318592</v>
      </c>
      <c r="G943">
        <v>0.52212389380530977</v>
      </c>
      <c r="H943">
        <v>6.6796669772869646E-2</v>
      </c>
      <c r="I943">
        <v>5.1690064584713993E-2</v>
      </c>
    </row>
    <row r="944" spans="1:9" x14ac:dyDescent="0.25">
      <c r="A944" t="s">
        <v>137</v>
      </c>
      <c r="B944" s="12">
        <v>27</v>
      </c>
      <c r="C944">
        <v>73</v>
      </c>
      <c r="D944">
        <v>99498</v>
      </c>
      <c r="E944">
        <v>27687</v>
      </c>
      <c r="F944">
        <v>0.60847345132743358</v>
      </c>
      <c r="G944">
        <v>0.67699115044247793</v>
      </c>
      <c r="H944">
        <v>9.00559741403332E-2</v>
      </c>
      <c r="I944">
        <v>1.458553785124282E-2</v>
      </c>
    </row>
    <row r="945" spans="1:9" x14ac:dyDescent="0.25">
      <c r="A945" t="s">
        <v>80</v>
      </c>
      <c r="B945" s="12">
        <v>28</v>
      </c>
      <c r="C945">
        <v>167</v>
      </c>
      <c r="D945">
        <v>99413</v>
      </c>
      <c r="E945">
        <v>12244</v>
      </c>
      <c r="F945">
        <v>0.26973451327433628</v>
      </c>
      <c r="G945">
        <v>0.26106194690265488</v>
      </c>
      <c r="H945">
        <v>3.8758515232047458E-2</v>
      </c>
      <c r="I945">
        <v>8.1808036342615936E-2</v>
      </c>
    </row>
    <row r="946" spans="1:9" x14ac:dyDescent="0.25">
      <c r="A946" t="s">
        <v>95</v>
      </c>
      <c r="B946" s="12">
        <v>29</v>
      </c>
      <c r="C946">
        <v>72</v>
      </c>
      <c r="D946">
        <v>99073</v>
      </c>
      <c r="E946">
        <v>27747</v>
      </c>
      <c r="F946">
        <v>0.61050884955752216</v>
      </c>
      <c r="G946">
        <v>0.68141592920353977</v>
      </c>
      <c r="H946">
        <v>8.4872918003610118E-2</v>
      </c>
      <c r="I946">
        <v>1.0248761036944561E-2</v>
      </c>
    </row>
    <row r="947" spans="1:9" x14ac:dyDescent="0.25">
      <c r="A947" t="s">
        <v>166</v>
      </c>
      <c r="B947" s="12">
        <v>30</v>
      </c>
      <c r="C947">
        <v>62</v>
      </c>
      <c r="D947">
        <v>98954</v>
      </c>
      <c r="E947">
        <v>28275</v>
      </c>
      <c r="F947">
        <v>0.62168141592920356</v>
      </c>
      <c r="G947">
        <v>0.72566371681415931</v>
      </c>
      <c r="H947">
        <v>9.1082646045470658E-2</v>
      </c>
      <c r="I947">
        <v>1.438758321600982E-2</v>
      </c>
    </row>
    <row r="948" spans="1:9" x14ac:dyDescent="0.25">
      <c r="A948" t="s">
        <v>65</v>
      </c>
      <c r="B948" s="12">
        <v>31</v>
      </c>
      <c r="C948">
        <v>101</v>
      </c>
      <c r="D948">
        <v>98948</v>
      </c>
      <c r="E948">
        <v>19076</v>
      </c>
      <c r="F948">
        <v>0.4197566371681416</v>
      </c>
      <c r="G948">
        <v>0.55309734513274333</v>
      </c>
      <c r="H948">
        <v>5.4947224158332378E-2</v>
      </c>
      <c r="I948">
        <v>1.197720256213901E-2</v>
      </c>
    </row>
    <row r="949" spans="1:9" x14ac:dyDescent="0.25">
      <c r="A949" t="s">
        <v>11</v>
      </c>
      <c r="B949" s="12">
        <v>32</v>
      </c>
      <c r="C949">
        <v>196</v>
      </c>
      <c r="D949">
        <v>98939</v>
      </c>
      <c r="E949">
        <v>5537</v>
      </c>
      <c r="F949">
        <v>0.121858407079646</v>
      </c>
      <c r="G949">
        <v>0.13274336283185839</v>
      </c>
      <c r="H949">
        <v>1.551864995313001E-2</v>
      </c>
      <c r="I949">
        <v>9.0245585631559017E-2</v>
      </c>
    </row>
    <row r="950" spans="1:9" x14ac:dyDescent="0.25">
      <c r="A950" t="s">
        <v>151</v>
      </c>
      <c r="B950" s="12">
        <v>33</v>
      </c>
      <c r="C950">
        <v>63</v>
      </c>
      <c r="D950">
        <v>98802</v>
      </c>
      <c r="E950">
        <v>26597</v>
      </c>
      <c r="F950">
        <v>0.5845132743362832</v>
      </c>
      <c r="G950">
        <v>0.72123893805309736</v>
      </c>
      <c r="H950">
        <v>8.6919963891476368E-2</v>
      </c>
      <c r="I950">
        <v>3.2342268294724932E-2</v>
      </c>
    </row>
    <row r="951" spans="1:9" x14ac:dyDescent="0.25">
      <c r="A951" t="s">
        <v>192</v>
      </c>
      <c r="B951" s="12">
        <v>34</v>
      </c>
      <c r="C951">
        <v>115</v>
      </c>
      <c r="D951">
        <v>98719</v>
      </c>
      <c r="E951">
        <v>15924</v>
      </c>
      <c r="F951">
        <v>0.34995575221238939</v>
      </c>
      <c r="G951">
        <v>0.49115044247787609</v>
      </c>
      <c r="H951">
        <v>4.7034995020421771E-2</v>
      </c>
      <c r="I951">
        <v>4.7407346587770953E-2</v>
      </c>
    </row>
    <row r="952" spans="1:9" x14ac:dyDescent="0.25">
      <c r="A952" t="s">
        <v>78</v>
      </c>
      <c r="B952" s="12">
        <v>35</v>
      </c>
      <c r="C952">
        <v>127</v>
      </c>
      <c r="D952">
        <v>98669</v>
      </c>
      <c r="E952">
        <v>17709</v>
      </c>
      <c r="F952">
        <v>0.38966814159292029</v>
      </c>
      <c r="G952">
        <v>0.43805309734513281</v>
      </c>
      <c r="H952">
        <v>5.3978881205917692E-2</v>
      </c>
      <c r="I952">
        <v>4.8351640156510181E-2</v>
      </c>
    </row>
    <row r="953" spans="1:9" x14ac:dyDescent="0.25">
      <c r="A953" t="s">
        <v>128</v>
      </c>
      <c r="B953" s="12">
        <v>36</v>
      </c>
      <c r="C953">
        <v>43</v>
      </c>
      <c r="D953">
        <v>98473</v>
      </c>
      <c r="E953">
        <v>27059</v>
      </c>
      <c r="F953">
        <v>0.59477876106194694</v>
      </c>
      <c r="G953">
        <v>0.80973451327433632</v>
      </c>
      <c r="H953">
        <v>8.6442020948717543E-2</v>
      </c>
      <c r="I953">
        <v>2.4180493494917629E-2</v>
      </c>
    </row>
    <row r="954" spans="1:9" x14ac:dyDescent="0.25">
      <c r="A954" t="s">
        <v>122</v>
      </c>
      <c r="B954" s="12">
        <v>37</v>
      </c>
      <c r="C954">
        <v>132</v>
      </c>
      <c r="D954">
        <v>98424</v>
      </c>
      <c r="E954">
        <v>18770</v>
      </c>
      <c r="F954">
        <v>0.41141592920353981</v>
      </c>
      <c r="G954">
        <v>0.41592920353982299</v>
      </c>
      <c r="H954">
        <v>6.4724502161653472E-2</v>
      </c>
      <c r="I954">
        <v>8.3082614201121202E-2</v>
      </c>
    </row>
    <row r="955" spans="1:9" x14ac:dyDescent="0.25">
      <c r="A955" t="s">
        <v>103</v>
      </c>
      <c r="B955" s="12">
        <v>38</v>
      </c>
      <c r="C955">
        <v>127</v>
      </c>
      <c r="D955">
        <v>98353</v>
      </c>
      <c r="E955">
        <v>13631</v>
      </c>
      <c r="F955">
        <v>0.29891592920353982</v>
      </c>
      <c r="G955">
        <v>0.43805309734513281</v>
      </c>
      <c r="H955">
        <v>3.9415343601984579E-2</v>
      </c>
      <c r="I955">
        <v>4.7313270087924852E-2</v>
      </c>
    </row>
    <row r="956" spans="1:9" x14ac:dyDescent="0.25">
      <c r="A956" t="s">
        <v>204</v>
      </c>
      <c r="B956" s="12">
        <v>39</v>
      </c>
      <c r="C956">
        <v>148</v>
      </c>
      <c r="D956">
        <v>98248</v>
      </c>
      <c r="E956">
        <v>11281</v>
      </c>
      <c r="F956">
        <v>0.24915929203539819</v>
      </c>
      <c r="G956">
        <v>0.34513274336283178</v>
      </c>
      <c r="H956">
        <v>3.3508998388064988E-2</v>
      </c>
      <c r="I956">
        <v>6.8195317017208906E-2</v>
      </c>
    </row>
    <row r="957" spans="1:9" x14ac:dyDescent="0.25">
      <c r="A957" t="s">
        <v>12</v>
      </c>
      <c r="B957" s="12">
        <v>40</v>
      </c>
      <c r="C957">
        <v>193</v>
      </c>
      <c r="D957">
        <v>97967</v>
      </c>
      <c r="E957">
        <v>6450</v>
      </c>
      <c r="F957">
        <v>0.14201327433628319</v>
      </c>
      <c r="G957">
        <v>0.14601769911504431</v>
      </c>
      <c r="H957">
        <v>1.8165906591799889E-2</v>
      </c>
      <c r="I957">
        <v>8.5873665236224E-2</v>
      </c>
    </row>
    <row r="958" spans="1:9" x14ac:dyDescent="0.25">
      <c r="A958" t="s">
        <v>160</v>
      </c>
      <c r="B958" s="12">
        <v>41</v>
      </c>
      <c r="C958">
        <v>136</v>
      </c>
      <c r="D958">
        <v>97881</v>
      </c>
      <c r="E958">
        <v>20834</v>
      </c>
      <c r="F958">
        <v>0.45971238938053099</v>
      </c>
      <c r="G958">
        <v>0.39823008849557517</v>
      </c>
      <c r="H958">
        <v>6.7729861125560897E-2</v>
      </c>
      <c r="I958">
        <v>6.9108515097586254E-2</v>
      </c>
    </row>
    <row r="959" spans="1:9" x14ac:dyDescent="0.25">
      <c r="A959" t="s">
        <v>118</v>
      </c>
      <c r="B959" s="12">
        <v>42</v>
      </c>
      <c r="C959">
        <v>116</v>
      </c>
      <c r="D959">
        <v>97851</v>
      </c>
      <c r="E959">
        <v>16912</v>
      </c>
      <c r="F959">
        <v>0.37185840707964601</v>
      </c>
      <c r="G959">
        <v>0.48672566371681408</v>
      </c>
      <c r="H959">
        <v>4.6495937545143758E-2</v>
      </c>
      <c r="I959">
        <v>2.5226869687888539E-3</v>
      </c>
    </row>
    <row r="960" spans="1:9" x14ac:dyDescent="0.25">
      <c r="A960" t="s">
        <v>15</v>
      </c>
      <c r="B960" s="12">
        <v>43</v>
      </c>
      <c r="C960">
        <v>146</v>
      </c>
      <c r="D960">
        <v>97765</v>
      </c>
      <c r="E960">
        <v>17055</v>
      </c>
      <c r="F960">
        <v>0.37612831858407081</v>
      </c>
      <c r="G960">
        <v>0.35398230088495569</v>
      </c>
      <c r="H960">
        <v>5.4138808389056478E-2</v>
      </c>
      <c r="I960">
        <v>7.6411492269974332E-2</v>
      </c>
    </row>
    <row r="961" spans="1:9" x14ac:dyDescent="0.25">
      <c r="A961" t="s">
        <v>214</v>
      </c>
      <c r="B961" s="12">
        <v>44</v>
      </c>
      <c r="C961">
        <v>147</v>
      </c>
      <c r="D961">
        <v>97703</v>
      </c>
      <c r="E961">
        <v>10627</v>
      </c>
      <c r="F961">
        <v>0.23261061946902661</v>
      </c>
      <c r="G961">
        <v>0.34955752212389379</v>
      </c>
      <c r="H961">
        <v>3.0784467076404091E-2</v>
      </c>
      <c r="I961">
        <v>6.3632064843290023E-2</v>
      </c>
    </row>
    <row r="962" spans="1:9" x14ac:dyDescent="0.25">
      <c r="A962" t="s">
        <v>169</v>
      </c>
      <c r="B962" s="12">
        <v>45</v>
      </c>
      <c r="C962">
        <v>20</v>
      </c>
      <c r="D962">
        <v>97666</v>
      </c>
      <c r="E962">
        <v>31157</v>
      </c>
      <c r="F962">
        <v>0.68553097345132741</v>
      </c>
      <c r="G962">
        <v>0.91150442477876104</v>
      </c>
      <c r="H962">
        <v>9.7167076670732586E-2</v>
      </c>
      <c r="I962">
        <v>-2.2671041580103858E-3</v>
      </c>
    </row>
    <row r="963" spans="1:9" x14ac:dyDescent="0.25">
      <c r="A963" t="s">
        <v>127</v>
      </c>
      <c r="B963" s="12">
        <v>46</v>
      </c>
      <c r="C963">
        <v>81</v>
      </c>
      <c r="D963">
        <v>97665</v>
      </c>
      <c r="E963">
        <v>23358</v>
      </c>
      <c r="F963">
        <v>0.51336283185840703</v>
      </c>
      <c r="G963">
        <v>0.6415929203539823</v>
      </c>
      <c r="H963">
        <v>7.4855300673504141E-2</v>
      </c>
      <c r="I963">
        <v>5.5705099351777497E-2</v>
      </c>
    </row>
    <row r="964" spans="1:9" x14ac:dyDescent="0.25">
      <c r="A964" t="s">
        <v>154</v>
      </c>
      <c r="B964" s="12">
        <v>47</v>
      </c>
      <c r="C964">
        <v>33</v>
      </c>
      <c r="D964">
        <v>97646</v>
      </c>
      <c r="E964">
        <v>27567</v>
      </c>
      <c r="F964">
        <v>0.6065044247787611</v>
      </c>
      <c r="G964">
        <v>0.85398230088495575</v>
      </c>
      <c r="H964">
        <v>8.8470139546965199E-2</v>
      </c>
      <c r="I964">
        <v>2.5685994179868291E-2</v>
      </c>
    </row>
    <row r="965" spans="1:9" x14ac:dyDescent="0.25">
      <c r="A965" t="s">
        <v>110</v>
      </c>
      <c r="B965" s="12">
        <v>48</v>
      </c>
      <c r="C965">
        <v>195</v>
      </c>
      <c r="D965">
        <v>97630</v>
      </c>
      <c r="E965">
        <v>6083</v>
      </c>
      <c r="F965">
        <v>0.13382743362831859</v>
      </c>
      <c r="G965">
        <v>0.13716814159292029</v>
      </c>
      <c r="H965">
        <v>1.7336516597376419E-2</v>
      </c>
      <c r="I965">
        <v>8.8720578583087142E-2</v>
      </c>
    </row>
    <row r="966" spans="1:9" x14ac:dyDescent="0.25">
      <c r="A966" t="s">
        <v>199</v>
      </c>
      <c r="B966" s="12">
        <v>49</v>
      </c>
      <c r="C966">
        <v>127</v>
      </c>
      <c r="D966">
        <v>97627</v>
      </c>
      <c r="E966">
        <v>15176</v>
      </c>
      <c r="F966">
        <v>0.33528761061946899</v>
      </c>
      <c r="G966">
        <v>0.43805309734513281</v>
      </c>
      <c r="H966">
        <v>4.553067239756925E-2</v>
      </c>
      <c r="I966">
        <v>5.5525393429135962E-2</v>
      </c>
    </row>
    <row r="967" spans="1:9" x14ac:dyDescent="0.25">
      <c r="A967" t="s">
        <v>121</v>
      </c>
      <c r="B967" s="12">
        <v>50</v>
      </c>
      <c r="C967">
        <v>103</v>
      </c>
      <c r="D967">
        <v>97595</v>
      </c>
      <c r="E967">
        <v>23038</v>
      </c>
      <c r="F967">
        <v>0.50741150442477878</v>
      </c>
      <c r="G967">
        <v>0.54424778761061943</v>
      </c>
      <c r="H967">
        <v>7.3586518668028428E-2</v>
      </c>
      <c r="I967">
        <v>5.7401828025489217E-2</v>
      </c>
    </row>
    <row r="968" spans="1:9" x14ac:dyDescent="0.25">
      <c r="A968" t="s">
        <v>124</v>
      </c>
      <c r="B968" s="12">
        <v>51</v>
      </c>
      <c r="C968">
        <v>25</v>
      </c>
      <c r="D968">
        <v>97579</v>
      </c>
      <c r="E968">
        <v>32720</v>
      </c>
      <c r="F968">
        <v>0.72004424778761067</v>
      </c>
      <c r="G968">
        <v>0.88938053097345138</v>
      </c>
      <c r="H968">
        <v>9.975543877386539E-2</v>
      </c>
      <c r="I968">
        <v>-2.135177105351202E-2</v>
      </c>
    </row>
    <row r="969" spans="1:9" x14ac:dyDescent="0.25">
      <c r="A969" t="s">
        <v>155</v>
      </c>
      <c r="B969" s="12">
        <v>52</v>
      </c>
      <c r="C969">
        <v>77</v>
      </c>
      <c r="D969">
        <v>97562</v>
      </c>
      <c r="E969">
        <v>25266</v>
      </c>
      <c r="F969">
        <v>0.55495575221238935</v>
      </c>
      <c r="G969">
        <v>0.65929203539823011</v>
      </c>
      <c r="H969">
        <v>8.3793826113578954E-2</v>
      </c>
      <c r="I969">
        <v>4.8480089193109407E-2</v>
      </c>
    </row>
    <row r="970" spans="1:9" x14ac:dyDescent="0.25">
      <c r="A970" t="s">
        <v>159</v>
      </c>
      <c r="B970" s="12">
        <v>53</v>
      </c>
      <c r="C970">
        <v>72</v>
      </c>
      <c r="D970">
        <v>97526</v>
      </c>
      <c r="E970">
        <v>27104</v>
      </c>
      <c r="F970">
        <v>0.59659292035398226</v>
      </c>
      <c r="G970">
        <v>0.68141592920353977</v>
      </c>
      <c r="H970">
        <v>7.9656324705256881E-2</v>
      </c>
      <c r="I970">
        <v>-1.922581136950929E-2</v>
      </c>
    </row>
    <row r="971" spans="1:9" x14ac:dyDescent="0.25">
      <c r="A971" t="s">
        <v>241</v>
      </c>
      <c r="B971" s="12">
        <v>54</v>
      </c>
      <c r="C971">
        <v>202</v>
      </c>
      <c r="D971">
        <v>97458</v>
      </c>
      <c r="E971">
        <v>5159</v>
      </c>
      <c r="F971">
        <v>0.11360619469026551</v>
      </c>
      <c r="G971">
        <v>0.1061946902654867</v>
      </c>
      <c r="H971">
        <v>1.4547598099322221E-2</v>
      </c>
      <c r="I971">
        <v>9.2446684346156813E-2</v>
      </c>
    </row>
    <row r="972" spans="1:9" x14ac:dyDescent="0.25">
      <c r="A972" t="s">
        <v>126</v>
      </c>
      <c r="B972" s="12">
        <v>55</v>
      </c>
      <c r="C972">
        <v>106</v>
      </c>
      <c r="D972">
        <v>97455</v>
      </c>
      <c r="E972">
        <v>22486</v>
      </c>
      <c r="F972">
        <v>0.49482300884955749</v>
      </c>
      <c r="G972">
        <v>0.53097345132743368</v>
      </c>
      <c r="H972">
        <v>7.2458102075163941E-2</v>
      </c>
      <c r="I972">
        <v>6.4568409782754174E-2</v>
      </c>
    </row>
    <row r="973" spans="1:9" x14ac:dyDescent="0.25">
      <c r="A973" t="s">
        <v>87</v>
      </c>
      <c r="B973" s="12">
        <v>56</v>
      </c>
      <c r="C973">
        <v>191</v>
      </c>
      <c r="D973">
        <v>97445</v>
      </c>
      <c r="E973">
        <v>6443</v>
      </c>
      <c r="F973">
        <v>0.14196902654867261</v>
      </c>
      <c r="G973">
        <v>0.1548672566371681</v>
      </c>
      <c r="H973">
        <v>1.8504047049863751E-2</v>
      </c>
      <c r="I973">
        <v>8.4842737449119202E-2</v>
      </c>
    </row>
    <row r="974" spans="1:9" x14ac:dyDescent="0.25">
      <c r="A974" t="s">
        <v>176</v>
      </c>
      <c r="B974" s="12">
        <v>57</v>
      </c>
      <c r="C974">
        <v>194</v>
      </c>
      <c r="D974">
        <v>97336</v>
      </c>
      <c r="E974">
        <v>10334</v>
      </c>
      <c r="F974">
        <v>0.2274336283185841</v>
      </c>
      <c r="G974">
        <v>0.1415929203539823</v>
      </c>
      <c r="H974">
        <v>3.2144840955303157E-2</v>
      </c>
      <c r="I974">
        <v>8.920828881813167E-2</v>
      </c>
    </row>
    <row r="975" spans="1:9" x14ac:dyDescent="0.25">
      <c r="A975" t="s">
        <v>92</v>
      </c>
      <c r="B975" s="12">
        <v>58</v>
      </c>
      <c r="C975">
        <v>196</v>
      </c>
      <c r="D975">
        <v>97254</v>
      </c>
      <c r="E975">
        <v>5872</v>
      </c>
      <c r="F975">
        <v>0.12926991150442479</v>
      </c>
      <c r="G975">
        <v>0.13274336283185839</v>
      </c>
      <c r="H975">
        <v>1.6849527343036869E-2</v>
      </c>
      <c r="I975">
        <v>9.0887679246909894E-2</v>
      </c>
    </row>
    <row r="976" spans="1:9" x14ac:dyDescent="0.25">
      <c r="A976" t="s">
        <v>145</v>
      </c>
      <c r="B976" s="12">
        <v>59</v>
      </c>
      <c r="C976">
        <v>77</v>
      </c>
      <c r="D976">
        <v>97229</v>
      </c>
      <c r="E976">
        <v>24180</v>
      </c>
      <c r="F976">
        <v>0.53095132743362827</v>
      </c>
      <c r="G976">
        <v>0.65929203539823011</v>
      </c>
      <c r="H976">
        <v>8.1024515367081565E-2</v>
      </c>
      <c r="I976">
        <v>5.702287684715953E-2</v>
      </c>
    </row>
    <row r="977" spans="1:9" x14ac:dyDescent="0.25">
      <c r="A977" t="s">
        <v>97</v>
      </c>
      <c r="B977" s="12">
        <v>60</v>
      </c>
      <c r="C977">
        <v>200</v>
      </c>
      <c r="D977">
        <v>97226</v>
      </c>
      <c r="E977">
        <v>5568</v>
      </c>
      <c r="F977">
        <v>0.1226769911504425</v>
      </c>
      <c r="G977">
        <v>0.1150442477876106</v>
      </c>
      <c r="H977">
        <v>1.577070503866029E-2</v>
      </c>
      <c r="I977">
        <v>8.935954473430921E-2</v>
      </c>
    </row>
    <row r="978" spans="1:9" x14ac:dyDescent="0.25">
      <c r="A978" t="s">
        <v>7</v>
      </c>
      <c r="B978" s="12">
        <v>61</v>
      </c>
      <c r="C978">
        <v>100</v>
      </c>
      <c r="D978">
        <v>97160</v>
      </c>
      <c r="E978">
        <v>22396</v>
      </c>
      <c r="F978">
        <v>0.49334070796460178</v>
      </c>
      <c r="G978">
        <v>0.55752212389380529</v>
      </c>
      <c r="H978">
        <v>7.1772704646469246E-2</v>
      </c>
      <c r="I978">
        <v>6.2558921556135239E-2</v>
      </c>
    </row>
    <row r="979" spans="1:9" x14ac:dyDescent="0.25">
      <c r="A979" t="s">
        <v>196</v>
      </c>
      <c r="B979" s="12">
        <v>62</v>
      </c>
      <c r="C979">
        <v>135</v>
      </c>
      <c r="D979">
        <v>97139</v>
      </c>
      <c r="E979">
        <v>17243</v>
      </c>
      <c r="F979">
        <v>0.37765486725663722</v>
      </c>
      <c r="G979">
        <v>0.40265486725663718</v>
      </c>
      <c r="H979">
        <v>4.7717765871919858E-2</v>
      </c>
      <c r="I979">
        <v>1.0543701787098601E-2</v>
      </c>
    </row>
    <row r="980" spans="1:9" x14ac:dyDescent="0.25">
      <c r="A980" t="s">
        <v>125</v>
      </c>
      <c r="B980" s="12">
        <v>63</v>
      </c>
      <c r="C980">
        <v>136</v>
      </c>
      <c r="D980">
        <v>97106</v>
      </c>
      <c r="E980">
        <v>20567</v>
      </c>
      <c r="F980">
        <v>0.45305309734513272</v>
      </c>
      <c r="G980">
        <v>0.39823008849557517</v>
      </c>
      <c r="H980">
        <v>6.7621268158655212E-2</v>
      </c>
      <c r="I980">
        <v>7.4662123495601279E-2</v>
      </c>
    </row>
    <row r="981" spans="1:9" x14ac:dyDescent="0.25">
      <c r="A981" t="s">
        <v>77</v>
      </c>
      <c r="B981" s="12">
        <v>64</v>
      </c>
      <c r="C981">
        <v>88</v>
      </c>
      <c r="D981">
        <v>97030</v>
      </c>
      <c r="E981">
        <v>19898</v>
      </c>
      <c r="F981">
        <v>0.43867256637168139</v>
      </c>
      <c r="G981">
        <v>0.61061946902654862</v>
      </c>
      <c r="H981">
        <v>6.0690454672585332E-2</v>
      </c>
      <c r="I981">
        <v>3.3535375896139759E-2</v>
      </c>
    </row>
    <row r="982" spans="1:9" x14ac:dyDescent="0.25">
      <c r="A982" t="s">
        <v>114</v>
      </c>
      <c r="B982" s="12">
        <v>65</v>
      </c>
      <c r="C982">
        <v>177</v>
      </c>
      <c r="D982">
        <v>96956</v>
      </c>
      <c r="E982">
        <v>9342</v>
      </c>
      <c r="F982">
        <v>0.2059955752212389</v>
      </c>
      <c r="G982">
        <v>0.2168141592920354</v>
      </c>
      <c r="H982">
        <v>2.8541100255566009E-2</v>
      </c>
      <c r="I982">
        <v>8.8954181921897732E-2</v>
      </c>
    </row>
    <row r="983" spans="1:9" x14ac:dyDescent="0.25">
      <c r="A983" t="s">
        <v>238</v>
      </c>
      <c r="B983" s="12">
        <v>66</v>
      </c>
      <c r="C983">
        <v>139</v>
      </c>
      <c r="D983">
        <v>96955</v>
      </c>
      <c r="E983">
        <v>9831</v>
      </c>
      <c r="F983">
        <v>0.21679203539823011</v>
      </c>
      <c r="G983">
        <v>0.38495575221238942</v>
      </c>
      <c r="H983">
        <v>2.7838820173712642E-2</v>
      </c>
      <c r="I983">
        <v>6.591900718741843E-2</v>
      </c>
    </row>
    <row r="984" spans="1:9" x14ac:dyDescent="0.25">
      <c r="A984" t="s">
        <v>106</v>
      </c>
      <c r="B984" s="12">
        <v>67</v>
      </c>
      <c r="C984">
        <v>186</v>
      </c>
      <c r="D984">
        <v>96840</v>
      </c>
      <c r="E984">
        <v>6690</v>
      </c>
      <c r="F984">
        <v>0.14743362831858409</v>
      </c>
      <c r="G984">
        <v>0.1769911504424779</v>
      </c>
      <c r="H984">
        <v>1.919692690867383E-2</v>
      </c>
      <c r="I984">
        <v>8.6408313235987175E-2</v>
      </c>
    </row>
    <row r="985" spans="1:9" x14ac:dyDescent="0.25">
      <c r="A985" t="s">
        <v>143</v>
      </c>
      <c r="B985" s="12">
        <v>68</v>
      </c>
      <c r="C985">
        <v>65</v>
      </c>
      <c r="D985">
        <v>96798</v>
      </c>
      <c r="E985">
        <v>25503</v>
      </c>
      <c r="F985">
        <v>0.56030973451327437</v>
      </c>
      <c r="G985">
        <v>0.71238938053097345</v>
      </c>
      <c r="H985">
        <v>8.5095271475426559E-2</v>
      </c>
      <c r="I985">
        <v>5.1940804319844457E-2</v>
      </c>
    </row>
    <row r="986" spans="1:9" x14ac:dyDescent="0.25">
      <c r="A986" t="s">
        <v>132</v>
      </c>
      <c r="B986" s="12">
        <v>69</v>
      </c>
      <c r="C986">
        <v>141</v>
      </c>
      <c r="D986">
        <v>96794</v>
      </c>
      <c r="E986">
        <v>18964</v>
      </c>
      <c r="F986">
        <v>0.41887168141592918</v>
      </c>
      <c r="G986">
        <v>0.37610619469026552</v>
      </c>
      <c r="H986">
        <v>6.2947030659203651E-2</v>
      </c>
      <c r="I986">
        <v>7.9067181439543818E-2</v>
      </c>
    </row>
    <row r="987" spans="1:9" x14ac:dyDescent="0.25">
      <c r="A987" t="s">
        <v>147</v>
      </c>
      <c r="B987" s="12">
        <v>70</v>
      </c>
      <c r="C987">
        <v>107</v>
      </c>
      <c r="D987">
        <v>96789</v>
      </c>
      <c r="E987">
        <v>22687</v>
      </c>
      <c r="F987">
        <v>0.50019911504424774</v>
      </c>
      <c r="G987">
        <v>0.52654867256637172</v>
      </c>
      <c r="H987">
        <v>7.5608437113003801E-2</v>
      </c>
      <c r="I987">
        <v>6.8582306446708902E-2</v>
      </c>
    </row>
    <row r="988" spans="1:9" x14ac:dyDescent="0.25">
      <c r="A988" t="s">
        <v>94</v>
      </c>
      <c r="B988" s="12">
        <v>71</v>
      </c>
      <c r="C988">
        <v>136</v>
      </c>
      <c r="D988">
        <v>96748</v>
      </c>
      <c r="E988">
        <v>11681</v>
      </c>
      <c r="F988">
        <v>0.25681415929203538</v>
      </c>
      <c r="G988">
        <v>0.39823008849557517</v>
      </c>
      <c r="H988">
        <v>3.2220531247749588E-2</v>
      </c>
      <c r="I988">
        <v>4.6027083403595008E-2</v>
      </c>
    </row>
    <row r="989" spans="1:9" x14ac:dyDescent="0.25">
      <c r="A989" t="s">
        <v>140</v>
      </c>
      <c r="B989" s="12">
        <v>72</v>
      </c>
      <c r="C989">
        <v>199</v>
      </c>
      <c r="D989">
        <v>96743</v>
      </c>
      <c r="E989">
        <v>7898</v>
      </c>
      <c r="F989">
        <v>0.17396017699115041</v>
      </c>
      <c r="G989">
        <v>0.1194690265486726</v>
      </c>
      <c r="H989">
        <v>2.565827872267424E-2</v>
      </c>
      <c r="I989">
        <v>0.10197251773459</v>
      </c>
    </row>
    <row r="990" spans="1:9" x14ac:dyDescent="0.25">
      <c r="A990" t="s">
        <v>115</v>
      </c>
      <c r="B990" s="12">
        <v>73</v>
      </c>
      <c r="C990">
        <v>198</v>
      </c>
      <c r="D990">
        <v>96742</v>
      </c>
      <c r="E990">
        <v>5355</v>
      </c>
      <c r="F990">
        <v>0.1180088495575221</v>
      </c>
      <c r="G990">
        <v>0.1238938053097345</v>
      </c>
      <c r="H990">
        <v>1.513521623543914E-2</v>
      </c>
      <c r="I990">
        <v>9.1243280509684638E-2</v>
      </c>
    </row>
    <row r="991" spans="1:9" x14ac:dyDescent="0.25">
      <c r="A991" t="s">
        <v>141</v>
      </c>
      <c r="B991" s="12">
        <v>74</v>
      </c>
      <c r="C991">
        <v>24</v>
      </c>
      <c r="D991">
        <v>96673</v>
      </c>
      <c r="E991">
        <v>30779</v>
      </c>
      <c r="F991">
        <v>0.67723451327433626</v>
      </c>
      <c r="G991">
        <v>0.89380530973451322</v>
      </c>
      <c r="H991">
        <v>9.5289698193708236E-2</v>
      </c>
      <c r="I991">
        <v>-7.3897009083816944E-3</v>
      </c>
    </row>
    <row r="992" spans="1:9" x14ac:dyDescent="0.25">
      <c r="A992" t="s">
        <v>197</v>
      </c>
      <c r="B992" s="12">
        <v>75</v>
      </c>
      <c r="C992">
        <v>114</v>
      </c>
      <c r="D992">
        <v>96654</v>
      </c>
      <c r="E992">
        <v>20465</v>
      </c>
      <c r="F992">
        <v>0.45101769911504419</v>
      </c>
      <c r="G992">
        <v>0.49557522123893799</v>
      </c>
      <c r="H992">
        <v>6.5424058839899046E-2</v>
      </c>
      <c r="I992">
        <v>6.857491552553116E-2</v>
      </c>
    </row>
    <row r="993" spans="1:9" x14ac:dyDescent="0.25">
      <c r="A993" t="s">
        <v>259</v>
      </c>
      <c r="B993" s="12">
        <v>76</v>
      </c>
      <c r="C993">
        <v>198</v>
      </c>
      <c r="D993">
        <v>96610</v>
      </c>
      <c r="E993">
        <v>4706</v>
      </c>
      <c r="F993">
        <v>0.103716814159292</v>
      </c>
      <c r="G993">
        <v>0.1238938053097345</v>
      </c>
      <c r="H993">
        <v>1.3439376363029099E-2</v>
      </c>
      <c r="I993">
        <v>9.6029958217822592E-2</v>
      </c>
    </row>
    <row r="994" spans="1:9" x14ac:dyDescent="0.25">
      <c r="A994" t="s">
        <v>104</v>
      </c>
      <c r="B994" s="12">
        <v>77</v>
      </c>
      <c r="C994">
        <v>131</v>
      </c>
      <c r="D994">
        <v>96609</v>
      </c>
      <c r="E994">
        <v>19783</v>
      </c>
      <c r="F994">
        <v>0.43606194690265487</v>
      </c>
      <c r="G994">
        <v>0.42035398230088489</v>
      </c>
      <c r="H994">
        <v>6.2555041346544146E-2</v>
      </c>
      <c r="I994">
        <v>4.8093042278717621E-2</v>
      </c>
    </row>
    <row r="995" spans="1:9" x14ac:dyDescent="0.25">
      <c r="A995" t="s">
        <v>123</v>
      </c>
      <c r="B995" s="12">
        <v>78</v>
      </c>
      <c r="C995">
        <v>66</v>
      </c>
      <c r="D995">
        <v>96595</v>
      </c>
      <c r="E995">
        <v>29025</v>
      </c>
      <c r="F995">
        <v>0.63909292035398235</v>
      </c>
      <c r="G995">
        <v>0.70796460176991149</v>
      </c>
      <c r="H995">
        <v>8.6933286538731183E-2</v>
      </c>
      <c r="I995">
        <v>-4.154953863929044E-3</v>
      </c>
    </row>
    <row r="996" spans="1:9" x14ac:dyDescent="0.25">
      <c r="A996" t="s">
        <v>142</v>
      </c>
      <c r="B996" s="12">
        <v>79</v>
      </c>
      <c r="C996">
        <v>199</v>
      </c>
      <c r="D996">
        <v>96440</v>
      </c>
      <c r="E996">
        <v>6240</v>
      </c>
      <c r="F996">
        <v>0.13767699115044249</v>
      </c>
      <c r="G996">
        <v>0.1194690265486726</v>
      </c>
      <c r="H996">
        <v>1.9041393261435641E-2</v>
      </c>
      <c r="I996">
        <v>9.9276542801296164E-2</v>
      </c>
    </row>
    <row r="997" spans="1:9" x14ac:dyDescent="0.25">
      <c r="A997" t="s">
        <v>161</v>
      </c>
      <c r="B997" s="12">
        <v>80</v>
      </c>
      <c r="C997">
        <v>89</v>
      </c>
      <c r="D997">
        <v>96426</v>
      </c>
      <c r="E997">
        <v>22572</v>
      </c>
      <c r="F997">
        <v>0.49683628318584072</v>
      </c>
      <c r="G997">
        <v>0.60619469026548678</v>
      </c>
      <c r="H997">
        <v>7.2744491559108393E-2</v>
      </c>
      <c r="I997">
        <v>5.9721693585026603E-2</v>
      </c>
    </row>
    <row r="998" spans="1:9" x14ac:dyDescent="0.25">
      <c r="A998" t="s">
        <v>101</v>
      </c>
      <c r="B998" s="12">
        <v>81</v>
      </c>
      <c r="C998">
        <v>86</v>
      </c>
      <c r="D998">
        <v>96290</v>
      </c>
      <c r="E998">
        <v>22456</v>
      </c>
      <c r="F998">
        <v>0.49422566371681409</v>
      </c>
      <c r="G998">
        <v>0.61946902654867253</v>
      </c>
      <c r="H998">
        <v>7.0889279901890798E-2</v>
      </c>
      <c r="I998">
        <v>5.2015625279784539E-2</v>
      </c>
    </row>
    <row r="999" spans="1:9" x14ac:dyDescent="0.25">
      <c r="A999" t="s">
        <v>223</v>
      </c>
      <c r="B999" s="12">
        <v>82</v>
      </c>
      <c r="C999">
        <v>130</v>
      </c>
      <c r="D999">
        <v>96255</v>
      </c>
      <c r="E999">
        <v>19557</v>
      </c>
      <c r="F999">
        <v>0.4309513274336283</v>
      </c>
      <c r="G999">
        <v>0.4247787610619469</v>
      </c>
      <c r="H999">
        <v>6.2919998200894611E-2</v>
      </c>
      <c r="I999">
        <v>7.5376406707246366E-2</v>
      </c>
    </row>
    <row r="1000" spans="1:9" x14ac:dyDescent="0.25">
      <c r="A1000" t="s">
        <v>119</v>
      </c>
      <c r="B1000" s="12">
        <v>83</v>
      </c>
      <c r="C1000">
        <v>100</v>
      </c>
      <c r="D1000">
        <v>96220</v>
      </c>
      <c r="E1000">
        <v>22096</v>
      </c>
      <c r="F1000">
        <v>0.48683628318584071</v>
      </c>
      <c r="G1000">
        <v>0.55752212389380529</v>
      </c>
      <c r="H1000">
        <v>7.1288780376630598E-2</v>
      </c>
      <c r="I1000">
        <v>6.2181415843685063E-2</v>
      </c>
    </row>
    <row r="1001" spans="1:9" x14ac:dyDescent="0.25">
      <c r="A1001" t="s">
        <v>117</v>
      </c>
      <c r="B1001" s="12">
        <v>84</v>
      </c>
      <c r="C1001">
        <v>50</v>
      </c>
      <c r="D1001">
        <v>96164</v>
      </c>
      <c r="E1001">
        <v>30001</v>
      </c>
      <c r="F1001">
        <v>0.66035398230088493</v>
      </c>
      <c r="G1001">
        <v>0.77876106194690264</v>
      </c>
      <c r="H1001">
        <v>9.0404147457286574E-2</v>
      </c>
      <c r="I1001">
        <v>-7.0518432105592839E-3</v>
      </c>
    </row>
    <row r="1002" spans="1:9" x14ac:dyDescent="0.25">
      <c r="A1002" t="s">
        <v>179</v>
      </c>
      <c r="B1002" s="12">
        <v>85</v>
      </c>
      <c r="C1002">
        <v>144</v>
      </c>
      <c r="D1002">
        <v>96099</v>
      </c>
      <c r="E1002">
        <v>9331</v>
      </c>
      <c r="F1002">
        <v>0.2042920353982301</v>
      </c>
      <c r="G1002">
        <v>0.36283185840707971</v>
      </c>
      <c r="H1002">
        <v>2.390393740493707E-2</v>
      </c>
      <c r="I1002">
        <v>4.9695875710267373E-2</v>
      </c>
    </row>
    <row r="1003" spans="1:9" x14ac:dyDescent="0.25">
      <c r="A1003" t="s">
        <v>219</v>
      </c>
      <c r="B1003" s="12">
        <v>86</v>
      </c>
      <c r="C1003">
        <v>101</v>
      </c>
      <c r="D1003">
        <v>96083</v>
      </c>
      <c r="E1003">
        <v>21105</v>
      </c>
      <c r="F1003">
        <v>0.46484513274336281</v>
      </c>
      <c r="G1003">
        <v>0.55309734513274333</v>
      </c>
      <c r="H1003">
        <v>6.7671373478166791E-2</v>
      </c>
      <c r="I1003">
        <v>6.9745169274369523E-2</v>
      </c>
    </row>
    <row r="1004" spans="1:9" x14ac:dyDescent="0.25">
      <c r="A1004" t="s">
        <v>9</v>
      </c>
      <c r="B1004" s="12">
        <v>87</v>
      </c>
      <c r="C1004">
        <v>166</v>
      </c>
      <c r="D1004">
        <v>95989</v>
      </c>
      <c r="E1004">
        <v>14494</v>
      </c>
      <c r="F1004">
        <v>0.31984513274336279</v>
      </c>
      <c r="G1004">
        <v>0.26548672566371678</v>
      </c>
      <c r="H1004">
        <v>4.8076412478861359E-2</v>
      </c>
      <c r="I1004">
        <v>9.5925183320652266E-2</v>
      </c>
    </row>
    <row r="1005" spans="1:9" x14ac:dyDescent="0.25">
      <c r="A1005" t="s">
        <v>153</v>
      </c>
      <c r="B1005" s="12">
        <v>88</v>
      </c>
      <c r="C1005">
        <v>85</v>
      </c>
      <c r="D1005">
        <v>95981</v>
      </c>
      <c r="E1005">
        <v>24174</v>
      </c>
      <c r="F1005">
        <v>0.53181415929203535</v>
      </c>
      <c r="G1005">
        <v>0.62389380530973448</v>
      </c>
      <c r="H1005">
        <v>7.5958293747040731E-2</v>
      </c>
      <c r="I1005">
        <v>3.4192686421289538E-2</v>
      </c>
    </row>
    <row r="1006" spans="1:9" x14ac:dyDescent="0.25">
      <c r="A1006" t="s">
        <v>10</v>
      </c>
      <c r="B1006" s="12">
        <v>89</v>
      </c>
      <c r="C1006">
        <v>149</v>
      </c>
      <c r="D1006">
        <v>95941</v>
      </c>
      <c r="E1006">
        <v>13531</v>
      </c>
      <c r="F1006">
        <v>0.29827433628318578</v>
      </c>
      <c r="G1006">
        <v>0.34070796460176989</v>
      </c>
      <c r="H1006">
        <v>4.233595944314681E-2</v>
      </c>
      <c r="I1006">
        <v>8.1366584656004728E-2</v>
      </c>
    </row>
    <row r="1007" spans="1:9" x14ac:dyDescent="0.25">
      <c r="A1007" t="s">
        <v>67</v>
      </c>
      <c r="B1007" s="12">
        <v>90</v>
      </c>
      <c r="C1007">
        <v>100</v>
      </c>
      <c r="D1007">
        <v>95938</v>
      </c>
      <c r="E1007">
        <v>15558</v>
      </c>
      <c r="F1007">
        <v>0.34241150442477869</v>
      </c>
      <c r="G1007">
        <v>0.55752212389380529</v>
      </c>
      <c r="H1007">
        <v>4.2167119634135421E-2</v>
      </c>
      <c r="I1007">
        <v>1.0816961232437449E-2</v>
      </c>
    </row>
    <row r="1008" spans="1:9" x14ac:dyDescent="0.25">
      <c r="A1008" t="s">
        <v>221</v>
      </c>
      <c r="B1008" s="12">
        <v>91</v>
      </c>
      <c r="C1008">
        <v>139</v>
      </c>
      <c r="D1008">
        <v>95791</v>
      </c>
      <c r="E1008">
        <v>10924</v>
      </c>
      <c r="F1008">
        <v>0.24068584070796459</v>
      </c>
      <c r="G1008">
        <v>0.38495575221238942</v>
      </c>
      <c r="H1008">
        <v>2.9646710367917939E-2</v>
      </c>
      <c r="I1008">
        <v>4.8096078892238207E-2</v>
      </c>
    </row>
    <row r="1009" spans="1:9" x14ac:dyDescent="0.25">
      <c r="A1009" t="s">
        <v>202</v>
      </c>
      <c r="B1009" s="12">
        <v>92</v>
      </c>
      <c r="C1009">
        <v>115</v>
      </c>
      <c r="D1009">
        <v>95784</v>
      </c>
      <c r="E1009">
        <v>17022</v>
      </c>
      <c r="F1009">
        <v>0.3738495575221239</v>
      </c>
      <c r="G1009">
        <v>0.49115044247787609</v>
      </c>
      <c r="H1009">
        <v>5.165073115949876E-2</v>
      </c>
      <c r="I1009">
        <v>6.0665374395222037E-2</v>
      </c>
    </row>
    <row r="1010" spans="1:9" x14ac:dyDescent="0.25">
      <c r="A1010" t="s">
        <v>189</v>
      </c>
      <c r="B1010" s="12">
        <v>93</v>
      </c>
      <c r="C1010">
        <v>106</v>
      </c>
      <c r="D1010">
        <v>95752</v>
      </c>
      <c r="E1010">
        <v>21491</v>
      </c>
      <c r="F1010">
        <v>0.47334070796460181</v>
      </c>
      <c r="G1010">
        <v>0.53097345132743368</v>
      </c>
      <c r="H1010">
        <v>6.91707582558133E-2</v>
      </c>
      <c r="I1010">
        <v>6.9260657328434574E-2</v>
      </c>
    </row>
    <row r="1011" spans="1:9" x14ac:dyDescent="0.25">
      <c r="A1011" t="s">
        <v>250</v>
      </c>
      <c r="B1011" s="12">
        <v>94</v>
      </c>
      <c r="C1011">
        <v>196</v>
      </c>
      <c r="D1011">
        <v>95726</v>
      </c>
      <c r="E1011">
        <v>4884</v>
      </c>
      <c r="F1011">
        <v>0.10763274336283191</v>
      </c>
      <c r="G1011">
        <v>0.13274336283185839</v>
      </c>
      <c r="H1011">
        <v>1.37421933780087E-2</v>
      </c>
      <c r="I1011">
        <v>9.3735054190344197E-2</v>
      </c>
    </row>
    <row r="1012" spans="1:9" x14ac:dyDescent="0.25">
      <c r="A1012" t="s">
        <v>120</v>
      </c>
      <c r="B1012" s="12">
        <v>95</v>
      </c>
      <c r="C1012">
        <v>65</v>
      </c>
      <c r="D1012">
        <v>95697</v>
      </c>
      <c r="E1012">
        <v>26251</v>
      </c>
      <c r="F1012">
        <v>0.57741150442477873</v>
      </c>
      <c r="G1012">
        <v>0.71238938053097345</v>
      </c>
      <c r="H1012">
        <v>7.9569998924486685E-2</v>
      </c>
      <c r="I1012">
        <v>1.301873004736981E-2</v>
      </c>
    </row>
    <row r="1013" spans="1:9" x14ac:dyDescent="0.25">
      <c r="A1013" t="s">
        <v>88</v>
      </c>
      <c r="B1013" s="12">
        <v>96</v>
      </c>
      <c r="C1013">
        <v>135</v>
      </c>
      <c r="D1013">
        <v>95535</v>
      </c>
      <c r="E1013">
        <v>14486</v>
      </c>
      <c r="F1013">
        <v>0.31942477876106201</v>
      </c>
      <c r="G1013">
        <v>0.40265486725663718</v>
      </c>
      <c r="H1013">
        <v>4.4735610359541801E-2</v>
      </c>
      <c r="I1013">
        <v>6.6707368709462714E-2</v>
      </c>
    </row>
    <row r="1014" spans="1:9" x14ac:dyDescent="0.25">
      <c r="A1014" t="s">
        <v>275</v>
      </c>
      <c r="B1014" s="12">
        <v>97</v>
      </c>
      <c r="C1014">
        <v>210</v>
      </c>
      <c r="D1014">
        <v>95479</v>
      </c>
      <c r="E1014">
        <v>4515</v>
      </c>
      <c r="F1014">
        <v>9.9491150442477874E-2</v>
      </c>
      <c r="G1014">
        <v>7.0796460176991149E-2</v>
      </c>
      <c r="H1014">
        <v>1.2707360302141001E-2</v>
      </c>
      <c r="I1014">
        <v>9.5519652570545163E-2</v>
      </c>
    </row>
    <row r="1015" spans="1:9" x14ac:dyDescent="0.25">
      <c r="A1015" t="s">
        <v>100</v>
      </c>
      <c r="B1015" s="12">
        <v>98</v>
      </c>
      <c r="C1015">
        <v>198</v>
      </c>
      <c r="D1015">
        <v>95474</v>
      </c>
      <c r="E1015">
        <v>14165</v>
      </c>
      <c r="F1015">
        <v>0.31214601769911499</v>
      </c>
      <c r="G1015">
        <v>0.1238938053097345</v>
      </c>
      <c r="H1015">
        <v>4.8977099737965123E-2</v>
      </c>
      <c r="I1015">
        <v>0.10930441558519841</v>
      </c>
    </row>
    <row r="1016" spans="1:9" x14ac:dyDescent="0.25">
      <c r="A1016" t="s">
        <v>162</v>
      </c>
      <c r="B1016" s="12">
        <v>99</v>
      </c>
      <c r="C1016">
        <v>77</v>
      </c>
      <c r="D1016">
        <v>95452</v>
      </c>
      <c r="E1016">
        <v>24091</v>
      </c>
      <c r="F1016">
        <v>0.52946902654867256</v>
      </c>
      <c r="G1016">
        <v>0.65929203539823011</v>
      </c>
      <c r="H1016">
        <v>7.6554515467426282E-2</v>
      </c>
      <c r="I1016">
        <v>3.4977090337495673E-2</v>
      </c>
    </row>
    <row r="1017" spans="1:9" x14ac:dyDescent="0.25">
      <c r="A1017" t="s">
        <v>74</v>
      </c>
      <c r="B1017" s="12">
        <v>100</v>
      </c>
      <c r="C1017">
        <v>108</v>
      </c>
      <c r="D1017">
        <v>95404</v>
      </c>
      <c r="E1017">
        <v>15732</v>
      </c>
      <c r="F1017">
        <v>0.34657079646017702</v>
      </c>
      <c r="G1017">
        <v>0.52212389380530977</v>
      </c>
      <c r="H1017">
        <v>4.2974491417642841E-2</v>
      </c>
      <c r="I1017">
        <v>1.764569434673624E-2</v>
      </c>
    </row>
    <row r="1018" spans="1:9" x14ac:dyDescent="0.25">
      <c r="A1018" t="s">
        <v>75</v>
      </c>
      <c r="B1018" s="12">
        <v>101</v>
      </c>
      <c r="C1018">
        <v>106</v>
      </c>
      <c r="D1018">
        <v>95382</v>
      </c>
      <c r="E1018">
        <v>17379</v>
      </c>
      <c r="F1018">
        <v>0.38234513274336279</v>
      </c>
      <c r="G1018">
        <v>0.53097345132743368</v>
      </c>
      <c r="H1018">
        <v>5.0931345451520019E-2</v>
      </c>
      <c r="I1018">
        <v>3.3588775056718527E-2</v>
      </c>
    </row>
    <row r="1019" spans="1:9" x14ac:dyDescent="0.25">
      <c r="A1019" t="s">
        <v>108</v>
      </c>
      <c r="B1019" s="12">
        <v>102</v>
      </c>
      <c r="C1019">
        <v>64</v>
      </c>
      <c r="D1019">
        <v>95339</v>
      </c>
      <c r="E1019">
        <v>24436</v>
      </c>
      <c r="F1019">
        <v>0.53745575221238939</v>
      </c>
      <c r="G1019">
        <v>0.7168141592920354</v>
      </c>
      <c r="H1019">
        <v>7.6844666563473954E-2</v>
      </c>
      <c r="I1019">
        <v>4.0993433410946072E-2</v>
      </c>
    </row>
    <row r="1020" spans="1:9" x14ac:dyDescent="0.25">
      <c r="A1020" t="s">
        <v>16</v>
      </c>
      <c r="B1020" s="12">
        <v>103</v>
      </c>
      <c r="C1020">
        <v>130</v>
      </c>
      <c r="D1020">
        <v>95329</v>
      </c>
      <c r="E1020">
        <v>19275</v>
      </c>
      <c r="F1020">
        <v>0.4245796460176991</v>
      </c>
      <c r="G1020">
        <v>0.4247787610619469</v>
      </c>
      <c r="H1020">
        <v>6.2586700631692971E-2</v>
      </c>
      <c r="I1020">
        <v>7.9078558094635959E-2</v>
      </c>
    </row>
    <row r="1021" spans="1:9" x14ac:dyDescent="0.25">
      <c r="A1021" t="s">
        <v>144</v>
      </c>
      <c r="B1021" s="12">
        <v>104</v>
      </c>
      <c r="C1021">
        <v>191</v>
      </c>
      <c r="D1021">
        <v>95301</v>
      </c>
      <c r="E1021">
        <v>7680</v>
      </c>
      <c r="F1021">
        <v>0.169358407079646</v>
      </c>
      <c r="G1021">
        <v>0.1548672566371681</v>
      </c>
      <c r="H1021">
        <v>2.4813563387005421E-2</v>
      </c>
      <c r="I1021">
        <v>0.1071791130880764</v>
      </c>
    </row>
    <row r="1022" spans="1:9" x14ac:dyDescent="0.25">
      <c r="A1022" t="s">
        <v>200</v>
      </c>
      <c r="B1022" s="12">
        <v>105</v>
      </c>
      <c r="C1022">
        <v>105</v>
      </c>
      <c r="D1022">
        <v>95299</v>
      </c>
      <c r="E1022">
        <v>21210</v>
      </c>
      <c r="F1022">
        <v>0.46705752212389379</v>
      </c>
      <c r="G1022">
        <v>0.53539823008849563</v>
      </c>
      <c r="H1022">
        <v>6.8368158486145594E-2</v>
      </c>
      <c r="I1022">
        <v>7.1776245434759578E-2</v>
      </c>
    </row>
    <row r="1023" spans="1:9" x14ac:dyDescent="0.25">
      <c r="A1023" t="s">
        <v>148</v>
      </c>
      <c r="B1023" s="12">
        <v>106</v>
      </c>
      <c r="C1023">
        <v>25</v>
      </c>
      <c r="D1023">
        <v>95298</v>
      </c>
      <c r="E1023">
        <v>27827</v>
      </c>
      <c r="F1023">
        <v>0.61179203539823013</v>
      </c>
      <c r="G1023">
        <v>0.88938053097345138</v>
      </c>
      <c r="H1023">
        <v>8.7886498328333965E-2</v>
      </c>
      <c r="I1023">
        <v>2.1967084422852921E-2</v>
      </c>
    </row>
    <row r="1024" spans="1:9" x14ac:dyDescent="0.25">
      <c r="A1024" t="s">
        <v>187</v>
      </c>
      <c r="B1024" s="12">
        <v>107</v>
      </c>
      <c r="C1024">
        <v>91</v>
      </c>
      <c r="D1024">
        <v>95252</v>
      </c>
      <c r="E1024">
        <v>21446</v>
      </c>
      <c r="F1024">
        <v>0.47227876106194688</v>
      </c>
      <c r="G1024">
        <v>0.59734513274336287</v>
      </c>
      <c r="H1024">
        <v>6.9426704955369151E-2</v>
      </c>
      <c r="I1024">
        <v>6.5343137117898048E-2</v>
      </c>
    </row>
    <row r="1025" spans="1:9" x14ac:dyDescent="0.25">
      <c r="A1025" t="s">
        <v>79</v>
      </c>
      <c r="B1025" s="12">
        <v>108</v>
      </c>
      <c r="C1025">
        <v>126</v>
      </c>
      <c r="D1025">
        <v>95251</v>
      </c>
      <c r="E1025">
        <v>15533</v>
      </c>
      <c r="F1025">
        <v>0.34196902654867262</v>
      </c>
      <c r="G1025">
        <v>0.44247787610619471</v>
      </c>
      <c r="H1025">
        <v>4.8047963016503409E-2</v>
      </c>
      <c r="I1025">
        <v>7.0367701944992145E-2</v>
      </c>
    </row>
    <row r="1026" spans="1:9" x14ac:dyDescent="0.25">
      <c r="A1026" t="s">
        <v>149</v>
      </c>
      <c r="B1026" s="12">
        <v>109</v>
      </c>
      <c r="C1026">
        <v>193</v>
      </c>
      <c r="D1026">
        <v>95219</v>
      </c>
      <c r="E1026">
        <v>9144</v>
      </c>
      <c r="F1026">
        <v>0.20148230088495581</v>
      </c>
      <c r="G1026">
        <v>0.14601769911504431</v>
      </c>
      <c r="H1026">
        <v>2.9412529015673889E-2</v>
      </c>
      <c r="I1026">
        <v>0.105974514493735</v>
      </c>
    </row>
    <row r="1027" spans="1:9" x14ac:dyDescent="0.25">
      <c r="A1027" t="s">
        <v>195</v>
      </c>
      <c r="B1027" s="12">
        <v>110</v>
      </c>
      <c r="C1027">
        <v>98</v>
      </c>
      <c r="D1027">
        <v>95206</v>
      </c>
      <c r="E1027">
        <v>21635</v>
      </c>
      <c r="F1027">
        <v>0.47650442477876098</v>
      </c>
      <c r="G1027">
        <v>0.5663716814159292</v>
      </c>
      <c r="H1027">
        <v>6.7920310323183949E-2</v>
      </c>
      <c r="I1027">
        <v>5.3275989366606061E-2</v>
      </c>
    </row>
    <row r="1028" spans="1:9" x14ac:dyDescent="0.25">
      <c r="A1028" t="s">
        <v>18</v>
      </c>
      <c r="B1028" s="12">
        <v>111</v>
      </c>
      <c r="C1028">
        <v>141</v>
      </c>
      <c r="D1028">
        <v>95181</v>
      </c>
      <c r="E1028">
        <v>18370</v>
      </c>
      <c r="F1028">
        <v>0.40522123893805312</v>
      </c>
      <c r="G1028">
        <v>0.37610619469026552</v>
      </c>
      <c r="H1028">
        <v>6.013387748718093E-2</v>
      </c>
      <c r="I1028">
        <v>7.8958806096502368E-2</v>
      </c>
    </row>
    <row r="1029" spans="1:9" x14ac:dyDescent="0.25">
      <c r="A1029" t="s">
        <v>150</v>
      </c>
      <c r="B1029" s="12">
        <v>112</v>
      </c>
      <c r="C1029">
        <v>205</v>
      </c>
      <c r="D1029">
        <v>95157</v>
      </c>
      <c r="E1029">
        <v>6995</v>
      </c>
      <c r="F1029">
        <v>0.15438053097345131</v>
      </c>
      <c r="G1029">
        <v>9.2920353982300891E-2</v>
      </c>
      <c r="H1029">
        <v>2.261390276711361E-2</v>
      </c>
      <c r="I1029">
        <v>0.1076498268466354</v>
      </c>
    </row>
    <row r="1030" spans="1:9" x14ac:dyDescent="0.25">
      <c r="A1030" t="s">
        <v>224</v>
      </c>
      <c r="B1030" s="12">
        <v>113</v>
      </c>
      <c r="C1030">
        <v>129</v>
      </c>
      <c r="D1030">
        <v>95024</v>
      </c>
      <c r="E1030">
        <v>19221</v>
      </c>
      <c r="F1030">
        <v>0.4234070796460177</v>
      </c>
      <c r="G1030">
        <v>0.42920353982300891</v>
      </c>
      <c r="H1030">
        <v>6.1906742081488032E-2</v>
      </c>
      <c r="I1030">
        <v>7.787852794598249E-2</v>
      </c>
    </row>
    <row r="1031" spans="1:9" x14ac:dyDescent="0.25">
      <c r="A1031" t="s">
        <v>180</v>
      </c>
      <c r="B1031" s="12">
        <v>114</v>
      </c>
      <c r="C1031">
        <v>90</v>
      </c>
      <c r="D1031">
        <v>95014</v>
      </c>
      <c r="E1031">
        <v>18663</v>
      </c>
      <c r="F1031">
        <v>0.4110840707964602</v>
      </c>
      <c r="G1031">
        <v>0.60176991150442483</v>
      </c>
      <c r="H1031">
        <v>5.8135985799898413E-2</v>
      </c>
      <c r="I1031">
        <v>5.4949193254431962E-2</v>
      </c>
    </row>
    <row r="1032" spans="1:9" x14ac:dyDescent="0.25">
      <c r="A1032" t="s">
        <v>209</v>
      </c>
      <c r="B1032" s="12">
        <v>115</v>
      </c>
      <c r="C1032">
        <v>124</v>
      </c>
      <c r="D1032">
        <v>95012</v>
      </c>
      <c r="E1032">
        <v>14957</v>
      </c>
      <c r="F1032">
        <v>0.32933628318584068</v>
      </c>
      <c r="G1032">
        <v>0.45132743362831862</v>
      </c>
      <c r="H1032">
        <v>4.246054541793623E-2</v>
      </c>
      <c r="I1032">
        <v>4.351165575763926E-2</v>
      </c>
    </row>
    <row r="1033" spans="1:9" x14ac:dyDescent="0.25">
      <c r="A1033" t="s">
        <v>136</v>
      </c>
      <c r="B1033" s="12">
        <v>116</v>
      </c>
      <c r="C1033">
        <v>167</v>
      </c>
      <c r="D1033">
        <v>94997</v>
      </c>
      <c r="E1033">
        <v>7624</v>
      </c>
      <c r="F1033">
        <v>0.16796460176991149</v>
      </c>
      <c r="G1033">
        <v>0.26106194690265488</v>
      </c>
      <c r="H1033">
        <v>2.2685544836978731E-2</v>
      </c>
      <c r="I1033">
        <v>8.9951032324443431E-2</v>
      </c>
    </row>
    <row r="1034" spans="1:9" x14ac:dyDescent="0.25">
      <c r="A1034" t="s">
        <v>131</v>
      </c>
      <c r="B1034" s="12">
        <v>117</v>
      </c>
      <c r="C1034">
        <v>11</v>
      </c>
      <c r="D1034">
        <v>94971</v>
      </c>
      <c r="E1034">
        <v>32573</v>
      </c>
      <c r="F1034">
        <v>0.71672566371681412</v>
      </c>
      <c r="G1034">
        <v>0.95132743362831862</v>
      </c>
      <c r="H1034">
        <v>0.1002030037615802</v>
      </c>
      <c r="I1034">
        <v>-1.581071552262614E-2</v>
      </c>
    </row>
    <row r="1035" spans="1:9" x14ac:dyDescent="0.25">
      <c r="A1035" t="s">
        <v>116</v>
      </c>
      <c r="B1035" s="12">
        <v>118</v>
      </c>
      <c r="C1035">
        <v>69</v>
      </c>
      <c r="D1035">
        <v>94956</v>
      </c>
      <c r="E1035">
        <v>27390</v>
      </c>
      <c r="F1035">
        <v>0.60309734513274338</v>
      </c>
      <c r="G1035">
        <v>0.69469026548672563</v>
      </c>
      <c r="H1035">
        <v>8.2143019287577126E-2</v>
      </c>
      <c r="I1035">
        <v>7.8740073461800949E-4</v>
      </c>
    </row>
    <row r="1036" spans="1:9" x14ac:dyDescent="0.25">
      <c r="A1036" t="s">
        <v>73</v>
      </c>
      <c r="B1036" s="12">
        <v>119</v>
      </c>
      <c r="C1036">
        <v>80</v>
      </c>
      <c r="D1036">
        <v>94879</v>
      </c>
      <c r="E1036">
        <v>23132</v>
      </c>
      <c r="F1036">
        <v>0.50920353982300881</v>
      </c>
      <c r="G1036">
        <v>0.64601769911504425</v>
      </c>
      <c r="H1036">
        <v>6.1029651145997711E-2</v>
      </c>
      <c r="I1036">
        <v>-4.5447798898332968E-2</v>
      </c>
    </row>
    <row r="1037" spans="1:9" x14ac:dyDescent="0.25">
      <c r="A1037" t="s">
        <v>102</v>
      </c>
      <c r="B1037" s="12">
        <v>120</v>
      </c>
      <c r="C1037">
        <v>183</v>
      </c>
      <c r="D1037">
        <v>94855</v>
      </c>
      <c r="E1037">
        <v>10313</v>
      </c>
      <c r="F1037">
        <v>0.2275221238938053</v>
      </c>
      <c r="G1037">
        <v>0.19026548672566371</v>
      </c>
      <c r="H1037">
        <v>3.1713110398157683E-2</v>
      </c>
      <c r="I1037">
        <v>8.9073424430495873E-2</v>
      </c>
    </row>
    <row r="1038" spans="1:9" x14ac:dyDescent="0.25">
      <c r="A1038" t="s">
        <v>186</v>
      </c>
      <c r="B1038" s="12">
        <v>121</v>
      </c>
      <c r="C1038">
        <v>102</v>
      </c>
      <c r="D1038">
        <v>94777</v>
      </c>
      <c r="E1038">
        <v>21345</v>
      </c>
      <c r="F1038">
        <v>0.4695132743362832</v>
      </c>
      <c r="G1038">
        <v>0.54867256637168138</v>
      </c>
      <c r="H1038">
        <v>6.8680082676936025E-2</v>
      </c>
      <c r="I1038">
        <v>6.6404867409080637E-2</v>
      </c>
    </row>
    <row r="1039" spans="1:9" x14ac:dyDescent="0.25">
      <c r="A1039" t="s">
        <v>139</v>
      </c>
      <c r="B1039" s="12">
        <v>122</v>
      </c>
      <c r="C1039">
        <v>176</v>
      </c>
      <c r="D1039">
        <v>94759</v>
      </c>
      <c r="E1039">
        <v>8642</v>
      </c>
      <c r="F1039">
        <v>0.19050884955752209</v>
      </c>
      <c r="G1039">
        <v>0.22123893805309741</v>
      </c>
      <c r="H1039">
        <v>2.6364543169674119E-2</v>
      </c>
      <c r="I1039">
        <v>9.1746047731357E-2</v>
      </c>
    </row>
    <row r="1040" spans="1:9" x14ac:dyDescent="0.25">
      <c r="A1040" t="s">
        <v>157</v>
      </c>
      <c r="B1040" s="12">
        <v>123</v>
      </c>
      <c r="C1040">
        <v>102</v>
      </c>
      <c r="D1040">
        <v>94724</v>
      </c>
      <c r="E1040">
        <v>21626</v>
      </c>
      <c r="F1040">
        <v>0.47692477876106187</v>
      </c>
      <c r="G1040">
        <v>0.54867256637168138</v>
      </c>
      <c r="H1040">
        <v>7.0979300737249049E-2</v>
      </c>
      <c r="I1040">
        <v>7.3132905689203068E-2</v>
      </c>
    </row>
    <row r="1041" spans="1:9" x14ac:dyDescent="0.25">
      <c r="A1041" t="s">
        <v>168</v>
      </c>
      <c r="B1041" s="12">
        <v>124</v>
      </c>
      <c r="C1041">
        <v>91</v>
      </c>
      <c r="D1041">
        <v>94636</v>
      </c>
      <c r="E1041">
        <v>22453</v>
      </c>
      <c r="F1041">
        <v>0.49455752212389381</v>
      </c>
      <c r="G1041">
        <v>0.59734513274336287</v>
      </c>
      <c r="H1041">
        <v>7.4646462421246854E-2</v>
      </c>
      <c r="I1041">
        <v>7.0432989297902079E-2</v>
      </c>
    </row>
    <row r="1042" spans="1:9" x14ac:dyDescent="0.25">
      <c r="A1042" t="s">
        <v>138</v>
      </c>
      <c r="B1042" s="12">
        <v>125</v>
      </c>
      <c r="C1042">
        <v>165</v>
      </c>
      <c r="D1042">
        <v>94604</v>
      </c>
      <c r="E1042">
        <v>17565</v>
      </c>
      <c r="F1042">
        <v>0.38701327433628319</v>
      </c>
      <c r="G1042">
        <v>0.26991150442477868</v>
      </c>
      <c r="H1042">
        <v>5.9216883884729253E-2</v>
      </c>
      <c r="I1042">
        <v>9.8683745528881539E-2</v>
      </c>
    </row>
    <row r="1043" spans="1:9" x14ac:dyDescent="0.25">
      <c r="A1043" t="s">
        <v>184</v>
      </c>
      <c r="B1043" s="12">
        <v>126</v>
      </c>
      <c r="C1043">
        <v>81</v>
      </c>
      <c r="D1043">
        <v>94572</v>
      </c>
      <c r="E1043">
        <v>23026</v>
      </c>
      <c r="F1043">
        <v>0.50599557522123895</v>
      </c>
      <c r="G1043">
        <v>0.6415929203539823</v>
      </c>
      <c r="H1043">
        <v>7.2669132189206592E-2</v>
      </c>
      <c r="I1043">
        <v>4.1641747603460733E-2</v>
      </c>
    </row>
    <row r="1044" spans="1:9" x14ac:dyDescent="0.25">
      <c r="A1044" t="s">
        <v>158</v>
      </c>
      <c r="B1044" s="12">
        <v>127</v>
      </c>
      <c r="C1044">
        <v>85</v>
      </c>
      <c r="D1044">
        <v>94553</v>
      </c>
      <c r="E1044">
        <v>23490</v>
      </c>
      <c r="F1044">
        <v>0.51772123893805311</v>
      </c>
      <c r="G1044">
        <v>0.62389380530973448</v>
      </c>
      <c r="H1044">
        <v>7.3997089994515833E-2</v>
      </c>
      <c r="I1044">
        <v>3.7666506150316449E-2</v>
      </c>
    </row>
    <row r="1045" spans="1:9" x14ac:dyDescent="0.25">
      <c r="A1045" t="s">
        <v>129</v>
      </c>
      <c r="B1045" s="12">
        <v>128</v>
      </c>
      <c r="C1045">
        <v>162</v>
      </c>
      <c r="D1045">
        <v>94534</v>
      </c>
      <c r="E1045">
        <v>8747</v>
      </c>
      <c r="F1045">
        <v>0.1927212389380531</v>
      </c>
      <c r="G1045">
        <v>0.2831858407079646</v>
      </c>
      <c r="H1045">
        <v>2.668247363515355E-2</v>
      </c>
      <c r="I1045">
        <v>9.2348161424068709E-2</v>
      </c>
    </row>
    <row r="1046" spans="1:9" x14ac:dyDescent="0.25">
      <c r="A1046" t="s">
        <v>225</v>
      </c>
      <c r="B1046" s="12">
        <v>129</v>
      </c>
      <c r="C1046">
        <v>113</v>
      </c>
      <c r="D1046">
        <v>94427</v>
      </c>
      <c r="E1046">
        <v>14925</v>
      </c>
      <c r="F1046">
        <v>0.32752212389380531</v>
      </c>
      <c r="G1046">
        <v>0.5</v>
      </c>
      <c r="H1046">
        <v>4.0181884457248643E-2</v>
      </c>
      <c r="I1046">
        <v>2.2069705783410509E-2</v>
      </c>
    </row>
    <row r="1047" spans="1:9" x14ac:dyDescent="0.25">
      <c r="A1047" t="s">
        <v>69</v>
      </c>
      <c r="B1047" s="12">
        <v>130</v>
      </c>
      <c r="C1047">
        <v>128</v>
      </c>
      <c r="D1047">
        <v>94417</v>
      </c>
      <c r="E1047">
        <v>14710</v>
      </c>
      <c r="F1047">
        <v>0.32429203539823009</v>
      </c>
      <c r="G1047">
        <v>0.4336283185840708</v>
      </c>
      <c r="H1047">
        <v>4.3383957016042127E-2</v>
      </c>
      <c r="I1047">
        <v>5.5455091197439507E-2</v>
      </c>
    </row>
    <row r="1048" spans="1:9" x14ac:dyDescent="0.25">
      <c r="A1048" t="s">
        <v>220</v>
      </c>
      <c r="B1048" s="12">
        <v>131</v>
      </c>
      <c r="C1048">
        <v>121</v>
      </c>
      <c r="D1048">
        <v>94395</v>
      </c>
      <c r="E1048">
        <v>11592</v>
      </c>
      <c r="F1048">
        <v>0.25422566371681421</v>
      </c>
      <c r="G1048">
        <v>0.46460176991150443</v>
      </c>
      <c r="H1048">
        <v>3.0898451466989281E-2</v>
      </c>
      <c r="I1048">
        <v>3.7054628783662613E-2</v>
      </c>
    </row>
    <row r="1049" spans="1:9" x14ac:dyDescent="0.25">
      <c r="A1049" t="s">
        <v>206</v>
      </c>
      <c r="B1049" s="12">
        <v>132</v>
      </c>
      <c r="C1049">
        <v>99</v>
      </c>
      <c r="D1049">
        <v>94377</v>
      </c>
      <c r="E1049">
        <v>20780</v>
      </c>
      <c r="F1049">
        <v>0.4577654867256637</v>
      </c>
      <c r="G1049">
        <v>0.56194690265486724</v>
      </c>
      <c r="H1049">
        <v>6.4869971276905108E-2</v>
      </c>
      <c r="I1049">
        <v>5.7545157462801637E-2</v>
      </c>
    </row>
    <row r="1050" spans="1:9" x14ac:dyDescent="0.25">
      <c r="A1050" t="s">
        <v>105</v>
      </c>
      <c r="B1050" s="12">
        <v>133</v>
      </c>
      <c r="C1050">
        <v>189</v>
      </c>
      <c r="D1050">
        <v>94272</v>
      </c>
      <c r="E1050">
        <v>13725</v>
      </c>
      <c r="F1050">
        <v>0.30249999999999999</v>
      </c>
      <c r="G1050">
        <v>0.16371681415929201</v>
      </c>
      <c r="H1050">
        <v>4.7459293618064453E-2</v>
      </c>
      <c r="I1050">
        <v>0.1067464187717555</v>
      </c>
    </row>
    <row r="1051" spans="1:9" x14ac:dyDescent="0.25">
      <c r="A1051" t="s">
        <v>265</v>
      </c>
      <c r="B1051" s="12">
        <v>134</v>
      </c>
      <c r="C1051">
        <v>190</v>
      </c>
      <c r="D1051">
        <v>94268</v>
      </c>
      <c r="E1051">
        <v>6690</v>
      </c>
      <c r="F1051">
        <v>0.14749999999999999</v>
      </c>
      <c r="G1051">
        <v>0.15929203539823009</v>
      </c>
      <c r="H1051">
        <v>1.975093677711267E-2</v>
      </c>
      <c r="I1051">
        <v>9.5355127040254492E-2</v>
      </c>
    </row>
    <row r="1052" spans="1:9" x14ac:dyDescent="0.25">
      <c r="A1052" t="s">
        <v>261</v>
      </c>
      <c r="B1052" s="12">
        <v>135</v>
      </c>
      <c r="C1052">
        <v>149</v>
      </c>
      <c r="D1052">
        <v>94251</v>
      </c>
      <c r="E1052">
        <v>8869</v>
      </c>
      <c r="F1052">
        <v>0.1952212389380531</v>
      </c>
      <c r="G1052">
        <v>0.34070796460176989</v>
      </c>
      <c r="H1052">
        <v>2.5002196422680589E-2</v>
      </c>
      <c r="I1052">
        <v>7.3416707204203804E-2</v>
      </c>
    </row>
    <row r="1053" spans="1:9" x14ac:dyDescent="0.25">
      <c r="A1053" t="s">
        <v>68</v>
      </c>
      <c r="B1053" s="12">
        <v>136</v>
      </c>
      <c r="C1053">
        <v>134</v>
      </c>
      <c r="D1053">
        <v>94186</v>
      </c>
      <c r="E1053">
        <v>13384</v>
      </c>
      <c r="F1053">
        <v>0.29453539823008851</v>
      </c>
      <c r="G1053">
        <v>0.40707964601769908</v>
      </c>
      <c r="H1053">
        <v>3.3274850888693953E-2</v>
      </c>
      <c r="I1053">
        <v>1.4780027880336791E-2</v>
      </c>
    </row>
    <row r="1054" spans="1:9" x14ac:dyDescent="0.25">
      <c r="A1054" t="s">
        <v>254</v>
      </c>
      <c r="B1054" s="12">
        <v>137</v>
      </c>
      <c r="C1054">
        <v>167</v>
      </c>
      <c r="D1054">
        <v>94173</v>
      </c>
      <c r="E1054">
        <v>11809</v>
      </c>
      <c r="F1054">
        <v>0.26053097345132742</v>
      </c>
      <c r="G1054">
        <v>0.26106194690265488</v>
      </c>
      <c r="H1054">
        <v>3.7291576808115068E-2</v>
      </c>
      <c r="I1054">
        <v>9.882865108147762E-2</v>
      </c>
    </row>
    <row r="1055" spans="1:9" x14ac:dyDescent="0.25">
      <c r="A1055" t="s">
        <v>13</v>
      </c>
      <c r="B1055" s="12">
        <v>138</v>
      </c>
      <c r="C1055">
        <v>134</v>
      </c>
      <c r="D1055">
        <v>94169</v>
      </c>
      <c r="E1055">
        <v>23735</v>
      </c>
      <c r="F1055">
        <v>0.52311946902654871</v>
      </c>
      <c r="G1055">
        <v>0.40707964601769908</v>
      </c>
      <c r="H1055">
        <v>7.0045314258253749E-2</v>
      </c>
      <c r="I1055">
        <v>1.9458364046187671E-2</v>
      </c>
    </row>
    <row r="1056" spans="1:9" x14ac:dyDescent="0.25">
      <c r="A1056" t="s">
        <v>215</v>
      </c>
      <c r="B1056" s="12">
        <v>139</v>
      </c>
      <c r="C1056">
        <v>90</v>
      </c>
      <c r="D1056">
        <v>94108</v>
      </c>
      <c r="E1056">
        <v>22764</v>
      </c>
      <c r="F1056">
        <v>0.50143805309734513</v>
      </c>
      <c r="G1056">
        <v>0.60176991150442483</v>
      </c>
      <c r="H1056">
        <v>6.383887763007913E-2</v>
      </c>
      <c r="I1056">
        <v>-5.8763755637745811E-4</v>
      </c>
    </row>
    <row r="1057" spans="1:9" x14ac:dyDescent="0.25">
      <c r="A1057" t="s">
        <v>107</v>
      </c>
      <c r="B1057" s="12">
        <v>140</v>
      </c>
      <c r="C1057">
        <v>86</v>
      </c>
      <c r="D1057">
        <v>94055</v>
      </c>
      <c r="E1057">
        <v>22762</v>
      </c>
      <c r="F1057">
        <v>0.50159292035398229</v>
      </c>
      <c r="G1057">
        <v>0.61946902654867253</v>
      </c>
      <c r="H1057">
        <v>6.7703830339602949E-2</v>
      </c>
      <c r="I1057">
        <v>2.1601572060359429E-2</v>
      </c>
    </row>
    <row r="1058" spans="1:9" x14ac:dyDescent="0.25">
      <c r="A1058" t="s">
        <v>271</v>
      </c>
      <c r="B1058" s="12">
        <v>141</v>
      </c>
      <c r="C1058">
        <v>164</v>
      </c>
      <c r="D1058">
        <v>94039</v>
      </c>
      <c r="E1058">
        <v>11624</v>
      </c>
      <c r="F1058">
        <v>0.25506637168141588</v>
      </c>
      <c r="G1058">
        <v>0.27433628318584069</v>
      </c>
      <c r="H1058">
        <v>3.1474925200416823E-2</v>
      </c>
      <c r="I1058">
        <v>5.2231531985516833E-2</v>
      </c>
    </row>
    <row r="1059" spans="1:9" x14ac:dyDescent="0.25">
      <c r="A1059" t="s">
        <v>72</v>
      </c>
      <c r="B1059" s="12">
        <v>142</v>
      </c>
      <c r="C1059">
        <v>180</v>
      </c>
      <c r="D1059">
        <v>93934</v>
      </c>
      <c r="E1059">
        <v>13177</v>
      </c>
      <c r="F1059">
        <v>0.29028761061946901</v>
      </c>
      <c r="G1059">
        <v>0.2035398230088496</v>
      </c>
      <c r="H1059">
        <v>4.1867740251958087E-2</v>
      </c>
      <c r="I1059">
        <v>8.8686740234392478E-2</v>
      </c>
    </row>
    <row r="1060" spans="1:9" x14ac:dyDescent="0.25">
      <c r="A1060" t="s">
        <v>226</v>
      </c>
      <c r="B1060" s="12">
        <v>143</v>
      </c>
      <c r="C1060">
        <v>127</v>
      </c>
      <c r="D1060">
        <v>93897</v>
      </c>
      <c r="E1060">
        <v>19982</v>
      </c>
      <c r="F1060">
        <v>0.44168141592920351</v>
      </c>
      <c r="G1060">
        <v>0.43805309734513281</v>
      </c>
      <c r="H1060">
        <v>6.8658203964183928E-2</v>
      </c>
      <c r="I1060">
        <v>9.181349401250842E-2</v>
      </c>
    </row>
    <row r="1061" spans="1:9" x14ac:dyDescent="0.25">
      <c r="A1061" t="s">
        <v>255</v>
      </c>
      <c r="B1061" s="12">
        <v>144</v>
      </c>
      <c r="C1061">
        <v>179</v>
      </c>
      <c r="D1061">
        <v>93862</v>
      </c>
      <c r="E1061">
        <v>8280</v>
      </c>
      <c r="F1061">
        <v>0.18254424778761061</v>
      </c>
      <c r="G1061">
        <v>0.20796460176991149</v>
      </c>
      <c r="H1061">
        <v>2.5323295550289591E-2</v>
      </c>
      <c r="I1061">
        <v>9.4582668636101291E-2</v>
      </c>
    </row>
    <row r="1062" spans="1:9" x14ac:dyDescent="0.25">
      <c r="A1062" t="s">
        <v>211</v>
      </c>
      <c r="B1062" s="12">
        <v>145</v>
      </c>
      <c r="C1062">
        <v>84</v>
      </c>
      <c r="D1062">
        <v>93787</v>
      </c>
      <c r="E1062">
        <v>22103</v>
      </c>
      <c r="F1062">
        <v>0.48681415929203542</v>
      </c>
      <c r="G1062">
        <v>0.62831858407079644</v>
      </c>
      <c r="H1062">
        <v>6.6296028636202056E-2</v>
      </c>
      <c r="I1062">
        <v>3.104352714962234E-2</v>
      </c>
    </row>
    <row r="1063" spans="1:9" x14ac:dyDescent="0.25">
      <c r="A1063" t="s">
        <v>152</v>
      </c>
      <c r="B1063" s="12">
        <v>146</v>
      </c>
      <c r="C1063">
        <v>168</v>
      </c>
      <c r="D1063">
        <v>93714</v>
      </c>
      <c r="E1063">
        <v>8682</v>
      </c>
      <c r="F1063">
        <v>0.19148230088495569</v>
      </c>
      <c r="G1063">
        <v>0.25663716814159288</v>
      </c>
      <c r="H1063">
        <v>2.733488676137048E-2</v>
      </c>
      <c r="I1063">
        <v>9.9483746316470001E-2</v>
      </c>
    </row>
    <row r="1064" spans="1:9" x14ac:dyDescent="0.25">
      <c r="A1064" t="s">
        <v>171</v>
      </c>
      <c r="B1064" s="12">
        <v>147</v>
      </c>
      <c r="C1064">
        <v>157</v>
      </c>
      <c r="D1064">
        <v>93673</v>
      </c>
      <c r="E1064">
        <v>15597</v>
      </c>
      <c r="F1064">
        <v>0.34415929203539819</v>
      </c>
      <c r="G1064">
        <v>0.30530973451327431</v>
      </c>
      <c r="H1064">
        <v>5.1254953241653363E-2</v>
      </c>
      <c r="I1064">
        <v>0.1015925469000702</v>
      </c>
    </row>
    <row r="1065" spans="1:9" x14ac:dyDescent="0.25">
      <c r="A1065" t="s">
        <v>252</v>
      </c>
      <c r="B1065" s="12">
        <v>148</v>
      </c>
      <c r="C1065">
        <v>130</v>
      </c>
      <c r="D1065">
        <v>93560</v>
      </c>
      <c r="E1065">
        <v>16868</v>
      </c>
      <c r="F1065">
        <v>0.37176991150442479</v>
      </c>
      <c r="G1065">
        <v>0.4247787610619469</v>
      </c>
      <c r="H1065">
        <v>5.2451213983245502E-2</v>
      </c>
      <c r="I1065">
        <v>6.9209938633688295E-2</v>
      </c>
    </row>
    <row r="1066" spans="1:9" x14ac:dyDescent="0.25">
      <c r="A1066" t="s">
        <v>164</v>
      </c>
      <c r="B1066" s="12">
        <v>149</v>
      </c>
      <c r="C1066">
        <v>192</v>
      </c>
      <c r="D1066">
        <v>93512</v>
      </c>
      <c r="E1066">
        <v>9995</v>
      </c>
      <c r="F1066">
        <v>0.2203982300884956</v>
      </c>
      <c r="G1066">
        <v>0.15044247787610621</v>
      </c>
      <c r="H1066">
        <v>3.347740766842551E-2</v>
      </c>
      <c r="I1066">
        <v>0.1151702993444027</v>
      </c>
    </row>
    <row r="1067" spans="1:9" x14ac:dyDescent="0.25">
      <c r="A1067" t="s">
        <v>236</v>
      </c>
      <c r="B1067" s="12">
        <v>150</v>
      </c>
      <c r="C1067">
        <v>142</v>
      </c>
      <c r="D1067">
        <v>93489</v>
      </c>
      <c r="E1067">
        <v>16422</v>
      </c>
      <c r="F1067">
        <v>0.36176991150442478</v>
      </c>
      <c r="G1067">
        <v>0.37168141592920362</v>
      </c>
      <c r="H1067">
        <v>5.3128257408125927E-2</v>
      </c>
      <c r="I1067">
        <v>8.8004466700770764E-2</v>
      </c>
    </row>
    <row r="1068" spans="1:9" x14ac:dyDescent="0.25">
      <c r="A1068" t="s">
        <v>84</v>
      </c>
      <c r="B1068" s="12">
        <v>151</v>
      </c>
      <c r="C1068">
        <v>110</v>
      </c>
      <c r="D1068">
        <v>93466</v>
      </c>
      <c r="E1068">
        <v>15720</v>
      </c>
      <c r="F1068">
        <v>0.34495575221238939</v>
      </c>
      <c r="G1068">
        <v>0.51327433628318586</v>
      </c>
      <c r="H1068">
        <v>4.2886864584870177E-2</v>
      </c>
      <c r="I1068">
        <v>2.5065282563826931E-2</v>
      </c>
    </row>
    <row r="1069" spans="1:9" x14ac:dyDescent="0.25">
      <c r="A1069" t="s">
        <v>190</v>
      </c>
      <c r="B1069" s="12">
        <v>152</v>
      </c>
      <c r="C1069">
        <v>72</v>
      </c>
      <c r="D1069">
        <v>93432</v>
      </c>
      <c r="E1069">
        <v>27796</v>
      </c>
      <c r="F1069">
        <v>0.61320796460176996</v>
      </c>
      <c r="G1069">
        <v>0.68141592920353977</v>
      </c>
      <c r="H1069">
        <v>8.491781795945387E-2</v>
      </c>
      <c r="I1069">
        <v>1.919026626870797E-2</v>
      </c>
    </row>
    <row r="1070" spans="1:9" x14ac:dyDescent="0.25">
      <c r="A1070" t="s">
        <v>213</v>
      </c>
      <c r="B1070" s="12">
        <v>153</v>
      </c>
      <c r="C1070">
        <v>124</v>
      </c>
      <c r="D1070">
        <v>93419</v>
      </c>
      <c r="E1070">
        <v>20503</v>
      </c>
      <c r="F1070">
        <v>0.45329646017699121</v>
      </c>
      <c r="G1070">
        <v>0.45132743362831862</v>
      </c>
      <c r="H1070">
        <v>6.8935494004129419E-2</v>
      </c>
      <c r="I1070">
        <v>9.0988382833879958E-2</v>
      </c>
    </row>
    <row r="1071" spans="1:9" x14ac:dyDescent="0.25">
      <c r="A1071" t="s">
        <v>112</v>
      </c>
      <c r="B1071" s="12">
        <v>154</v>
      </c>
      <c r="C1071">
        <v>92</v>
      </c>
      <c r="D1071">
        <v>93369</v>
      </c>
      <c r="E1071">
        <v>22656</v>
      </c>
      <c r="F1071">
        <v>0.49831858407079638</v>
      </c>
      <c r="G1071">
        <v>0.59292035398230092</v>
      </c>
      <c r="H1071">
        <v>6.7241459575421478E-2</v>
      </c>
      <c r="I1071">
        <v>2.0841156492608721E-2</v>
      </c>
    </row>
    <row r="1072" spans="1:9" x14ac:dyDescent="0.25">
      <c r="A1072" t="s">
        <v>178</v>
      </c>
      <c r="B1072" s="12">
        <v>155</v>
      </c>
      <c r="C1072">
        <v>51</v>
      </c>
      <c r="D1072">
        <v>93358</v>
      </c>
      <c r="E1072">
        <v>34423</v>
      </c>
      <c r="F1072">
        <v>0.75758849557522123</v>
      </c>
      <c r="G1072">
        <v>0.77433628318584069</v>
      </c>
      <c r="H1072">
        <v>9.7552507722912379E-2</v>
      </c>
      <c r="I1072">
        <v>-7.53720889079178E-2</v>
      </c>
    </row>
    <row r="1073" spans="1:9" x14ac:dyDescent="0.25">
      <c r="A1073" t="s">
        <v>66</v>
      </c>
      <c r="B1073" s="12">
        <v>156</v>
      </c>
      <c r="C1073">
        <v>92</v>
      </c>
      <c r="D1073">
        <v>93278</v>
      </c>
      <c r="E1073">
        <v>21926</v>
      </c>
      <c r="F1073">
        <v>0.48269911504424778</v>
      </c>
      <c r="G1073">
        <v>0.59292035398230092</v>
      </c>
      <c r="H1073">
        <v>5.9851345479496762E-2</v>
      </c>
      <c r="I1073">
        <v>-1.762010656171166E-2</v>
      </c>
    </row>
    <row r="1074" spans="1:9" x14ac:dyDescent="0.25">
      <c r="A1074" t="s">
        <v>247</v>
      </c>
      <c r="B1074" s="12">
        <v>157</v>
      </c>
      <c r="C1074">
        <v>147</v>
      </c>
      <c r="D1074">
        <v>93212</v>
      </c>
      <c r="E1074">
        <v>8215</v>
      </c>
      <c r="F1074">
        <v>0.180929203539823</v>
      </c>
      <c r="G1074">
        <v>0.34955752212389379</v>
      </c>
      <c r="H1074">
        <v>2.3222423354306739E-2</v>
      </c>
      <c r="I1074">
        <v>7.6008881805251352E-2</v>
      </c>
    </row>
    <row r="1075" spans="1:9" x14ac:dyDescent="0.25">
      <c r="A1075" t="s">
        <v>185</v>
      </c>
      <c r="B1075" s="12">
        <v>158</v>
      </c>
      <c r="C1075">
        <v>52</v>
      </c>
      <c r="D1075">
        <v>93208</v>
      </c>
      <c r="E1075">
        <v>31476</v>
      </c>
      <c r="F1075">
        <v>0.69274336283185844</v>
      </c>
      <c r="G1075">
        <v>0.76991150442477874</v>
      </c>
      <c r="H1075">
        <v>9.3015522326859904E-2</v>
      </c>
      <c r="I1075">
        <v>-3.2205457327362623E-2</v>
      </c>
    </row>
    <row r="1076" spans="1:9" x14ac:dyDescent="0.25">
      <c r="A1076" t="s">
        <v>268</v>
      </c>
      <c r="B1076" s="12">
        <v>159</v>
      </c>
      <c r="C1076">
        <v>142</v>
      </c>
      <c r="D1076">
        <v>93208</v>
      </c>
      <c r="E1076">
        <v>14964</v>
      </c>
      <c r="F1076">
        <v>0.32964601769911511</v>
      </c>
      <c r="G1076">
        <v>0.37168141592920362</v>
      </c>
      <c r="H1076">
        <v>4.6312768340423471E-2</v>
      </c>
      <c r="I1076">
        <v>7.7018910008901334E-2</v>
      </c>
    </row>
    <row r="1077" spans="1:9" x14ac:dyDescent="0.25">
      <c r="A1077" t="s">
        <v>172</v>
      </c>
      <c r="B1077" s="12">
        <v>160</v>
      </c>
      <c r="C1077">
        <v>193</v>
      </c>
      <c r="D1077">
        <v>92970</v>
      </c>
      <c r="E1077">
        <v>10205</v>
      </c>
      <c r="F1077">
        <v>0.22517699115044251</v>
      </c>
      <c r="G1077">
        <v>0.14601769911504431</v>
      </c>
      <c r="H1077">
        <v>3.4547034658968211E-2</v>
      </c>
      <c r="I1077">
        <v>0.1196901534141043</v>
      </c>
    </row>
    <row r="1078" spans="1:9" x14ac:dyDescent="0.25">
      <c r="A1078" t="s">
        <v>174</v>
      </c>
      <c r="B1078" s="12">
        <v>161</v>
      </c>
      <c r="C1078">
        <v>152</v>
      </c>
      <c r="D1078">
        <v>92939</v>
      </c>
      <c r="E1078">
        <v>14481</v>
      </c>
      <c r="F1078">
        <v>0.31957964601769911</v>
      </c>
      <c r="G1078">
        <v>0.32743362831858408</v>
      </c>
      <c r="H1078">
        <v>4.7259518794202628E-2</v>
      </c>
      <c r="I1078">
        <v>0.1005974932993746</v>
      </c>
    </row>
    <row r="1079" spans="1:9" x14ac:dyDescent="0.25">
      <c r="A1079" t="s">
        <v>156</v>
      </c>
      <c r="B1079" s="12">
        <v>162</v>
      </c>
      <c r="C1079">
        <v>155</v>
      </c>
      <c r="D1079">
        <v>92906</v>
      </c>
      <c r="E1079">
        <v>16439</v>
      </c>
      <c r="F1079">
        <v>0.3620575221238938</v>
      </c>
      <c r="G1079">
        <v>0.31415929203539822</v>
      </c>
      <c r="H1079">
        <v>5.5083026464739247E-2</v>
      </c>
      <c r="I1079">
        <v>0.1012866422452363</v>
      </c>
    </row>
    <row r="1080" spans="1:9" x14ac:dyDescent="0.25">
      <c r="A1080" t="s">
        <v>191</v>
      </c>
      <c r="B1080" s="12">
        <v>163</v>
      </c>
      <c r="C1080">
        <v>62</v>
      </c>
      <c r="D1080">
        <v>92872</v>
      </c>
      <c r="E1080">
        <v>29040</v>
      </c>
      <c r="F1080">
        <v>0.6392920353982301</v>
      </c>
      <c r="G1080">
        <v>0.72566371681415931</v>
      </c>
      <c r="H1080">
        <v>8.5376657407202738E-2</v>
      </c>
      <c r="I1080">
        <v>-1.8521568239861352E-2</v>
      </c>
    </row>
    <row r="1081" spans="1:9" x14ac:dyDescent="0.25">
      <c r="A1081" t="s">
        <v>8</v>
      </c>
      <c r="B1081" s="12">
        <v>164</v>
      </c>
      <c r="C1081">
        <v>49</v>
      </c>
      <c r="D1081">
        <v>92795</v>
      </c>
      <c r="E1081">
        <v>36418</v>
      </c>
      <c r="F1081">
        <v>0.80236725663716812</v>
      </c>
      <c r="G1081">
        <v>0.7831858407079646</v>
      </c>
      <c r="H1081">
        <v>0.1009604790395327</v>
      </c>
      <c r="I1081">
        <v>-8.3415464389664379E-2</v>
      </c>
    </row>
    <row r="1082" spans="1:9" x14ac:dyDescent="0.25">
      <c r="A1082" t="s">
        <v>217</v>
      </c>
      <c r="B1082" s="12">
        <v>165</v>
      </c>
      <c r="C1082">
        <v>128</v>
      </c>
      <c r="D1082">
        <v>92676</v>
      </c>
      <c r="E1082">
        <v>19409</v>
      </c>
      <c r="F1082">
        <v>0.42889380530973448</v>
      </c>
      <c r="G1082">
        <v>0.4336283185840708</v>
      </c>
      <c r="H1082">
        <v>6.7295872246094249E-2</v>
      </c>
      <c r="I1082">
        <v>9.9326972881744122E-2</v>
      </c>
    </row>
    <row r="1083" spans="1:9" x14ac:dyDescent="0.25">
      <c r="A1083" t="s">
        <v>245</v>
      </c>
      <c r="B1083" s="12">
        <v>166</v>
      </c>
      <c r="C1083">
        <v>130</v>
      </c>
      <c r="D1083">
        <v>92626</v>
      </c>
      <c r="E1083">
        <v>16422</v>
      </c>
      <c r="F1083">
        <v>0.36203539823008851</v>
      </c>
      <c r="G1083">
        <v>0.4247787610619469</v>
      </c>
      <c r="H1083">
        <v>5.0987534139721902E-2</v>
      </c>
      <c r="I1083">
        <v>7.4218334479270842E-2</v>
      </c>
    </row>
    <row r="1084" spans="1:9" x14ac:dyDescent="0.25">
      <c r="A1084" t="s">
        <v>173</v>
      </c>
      <c r="B1084" s="12">
        <v>167</v>
      </c>
      <c r="C1084">
        <v>191</v>
      </c>
      <c r="D1084">
        <v>92552</v>
      </c>
      <c r="E1084">
        <v>12685</v>
      </c>
      <c r="F1084">
        <v>0.28015486725663719</v>
      </c>
      <c r="G1084">
        <v>0.1548672566371681</v>
      </c>
      <c r="H1084">
        <v>4.2803067632064783E-2</v>
      </c>
      <c r="I1084">
        <v>0.1167312274693654</v>
      </c>
    </row>
    <row r="1085" spans="1:9" x14ac:dyDescent="0.25">
      <c r="A1085" t="s">
        <v>235</v>
      </c>
      <c r="B1085" s="12">
        <v>168</v>
      </c>
      <c r="C1085">
        <v>154</v>
      </c>
      <c r="D1085">
        <v>92476</v>
      </c>
      <c r="E1085">
        <v>11238</v>
      </c>
      <c r="F1085">
        <v>0.2477654867256637</v>
      </c>
      <c r="G1085">
        <v>0.31858407079646017</v>
      </c>
      <c r="H1085">
        <v>3.465710781842269E-2</v>
      </c>
      <c r="I1085">
        <v>9.290561852393607E-2</v>
      </c>
    </row>
    <row r="1086" spans="1:9" x14ac:dyDescent="0.25">
      <c r="A1086" t="s">
        <v>212</v>
      </c>
      <c r="B1086" s="12">
        <v>169</v>
      </c>
      <c r="C1086">
        <v>115</v>
      </c>
      <c r="D1086">
        <v>92461</v>
      </c>
      <c r="E1086">
        <v>20424</v>
      </c>
      <c r="F1086">
        <v>0.4513716814159292</v>
      </c>
      <c r="G1086">
        <v>0.49115044247787609</v>
      </c>
      <c r="H1086">
        <v>6.9026925417862497E-2</v>
      </c>
      <c r="I1086">
        <v>8.6334071048074668E-2</v>
      </c>
    </row>
    <row r="1087" spans="1:9" x14ac:dyDescent="0.25">
      <c r="A1087" t="s">
        <v>263</v>
      </c>
      <c r="B1087" s="12">
        <v>170</v>
      </c>
      <c r="C1087">
        <v>159</v>
      </c>
      <c r="D1087">
        <v>92322</v>
      </c>
      <c r="E1087">
        <v>10772</v>
      </c>
      <c r="F1087">
        <v>0.23736725663716821</v>
      </c>
      <c r="G1087">
        <v>0.29646017699115051</v>
      </c>
      <c r="H1087">
        <v>3.3178552845607993E-2</v>
      </c>
      <c r="I1087">
        <v>9.0729217231096074E-2</v>
      </c>
    </row>
    <row r="1088" spans="1:9" x14ac:dyDescent="0.25">
      <c r="A1088" t="s">
        <v>229</v>
      </c>
      <c r="B1088" s="12">
        <v>171</v>
      </c>
      <c r="C1088">
        <v>145</v>
      </c>
      <c r="D1088">
        <v>92281</v>
      </c>
      <c r="E1088">
        <v>17859</v>
      </c>
      <c r="F1088">
        <v>0.39460176991150442</v>
      </c>
      <c r="G1088">
        <v>0.3584070796460177</v>
      </c>
      <c r="H1088">
        <v>6.2122728039790971E-2</v>
      </c>
      <c r="I1088">
        <v>0.1106628139507954</v>
      </c>
    </row>
    <row r="1089" spans="1:9" x14ac:dyDescent="0.25">
      <c r="A1089" t="s">
        <v>218</v>
      </c>
      <c r="B1089" s="12">
        <v>172</v>
      </c>
      <c r="C1089">
        <v>43</v>
      </c>
      <c r="D1089">
        <v>92009</v>
      </c>
      <c r="E1089">
        <v>31865</v>
      </c>
      <c r="F1089">
        <v>0.70123893805309734</v>
      </c>
      <c r="G1089">
        <v>0.80973451327433632</v>
      </c>
      <c r="H1089">
        <v>9.4307064280202121E-2</v>
      </c>
      <c r="I1089">
        <v>-2.4176685493082811E-2</v>
      </c>
    </row>
    <row r="1090" spans="1:9" x14ac:dyDescent="0.25">
      <c r="A1090" t="s">
        <v>130</v>
      </c>
      <c r="B1090" s="12">
        <v>173</v>
      </c>
      <c r="C1090">
        <v>86</v>
      </c>
      <c r="D1090">
        <v>91929</v>
      </c>
      <c r="E1090">
        <v>23162</v>
      </c>
      <c r="F1090">
        <v>0.51022123893805305</v>
      </c>
      <c r="G1090">
        <v>0.61946902654867253</v>
      </c>
      <c r="H1090">
        <v>6.5252730874392956E-2</v>
      </c>
      <c r="I1090">
        <v>-1.8447336641413421E-3</v>
      </c>
    </row>
    <row r="1091" spans="1:9" x14ac:dyDescent="0.25">
      <c r="A1091" t="s">
        <v>258</v>
      </c>
      <c r="B1091" s="12">
        <v>174</v>
      </c>
      <c r="C1091">
        <v>134</v>
      </c>
      <c r="D1091">
        <v>91881</v>
      </c>
      <c r="E1091">
        <v>14416</v>
      </c>
      <c r="F1091">
        <v>0.31734513274336279</v>
      </c>
      <c r="G1091">
        <v>0.40707964601769908</v>
      </c>
      <c r="H1091">
        <v>4.3395978555875542E-2</v>
      </c>
      <c r="I1091">
        <v>6.8322818420835679E-2</v>
      </c>
    </row>
    <row r="1092" spans="1:9" x14ac:dyDescent="0.25">
      <c r="A1092" t="s">
        <v>272</v>
      </c>
      <c r="B1092" s="12">
        <v>175</v>
      </c>
      <c r="C1092">
        <v>144</v>
      </c>
      <c r="D1092">
        <v>91864</v>
      </c>
      <c r="E1092">
        <v>12416</v>
      </c>
      <c r="F1092">
        <v>0.27373893805309729</v>
      </c>
      <c r="G1092">
        <v>0.36283185840707971</v>
      </c>
      <c r="H1092">
        <v>3.6722628136740577E-2</v>
      </c>
      <c r="I1092">
        <v>6.6963945273743872E-2</v>
      </c>
    </row>
    <row r="1093" spans="1:9" x14ac:dyDescent="0.25">
      <c r="A1093" t="s">
        <v>230</v>
      </c>
      <c r="B1093" s="12">
        <v>176</v>
      </c>
      <c r="C1093">
        <v>99</v>
      </c>
      <c r="D1093">
        <v>91810</v>
      </c>
      <c r="E1093">
        <v>19387</v>
      </c>
      <c r="F1093">
        <v>0.4270796460176991</v>
      </c>
      <c r="G1093">
        <v>0.56194690265486724</v>
      </c>
      <c r="H1093">
        <v>5.7920569880031213E-2</v>
      </c>
      <c r="I1093">
        <v>4.3091977539852229E-2</v>
      </c>
    </row>
    <row r="1094" spans="1:9" x14ac:dyDescent="0.25">
      <c r="A1094" t="s">
        <v>188</v>
      </c>
      <c r="B1094" s="12">
        <v>177</v>
      </c>
      <c r="C1094">
        <v>53</v>
      </c>
      <c r="D1094">
        <v>91471</v>
      </c>
      <c r="E1094">
        <v>33273</v>
      </c>
      <c r="F1094">
        <v>0.73373893805309731</v>
      </c>
      <c r="G1094">
        <v>0.76548672566371678</v>
      </c>
      <c r="H1094">
        <v>9.0573931349593115E-2</v>
      </c>
      <c r="I1094">
        <v>-7.9223806670348632E-2</v>
      </c>
    </row>
    <row r="1095" spans="1:9" x14ac:dyDescent="0.25">
      <c r="A1095" t="s">
        <v>234</v>
      </c>
      <c r="B1095" s="12">
        <v>178</v>
      </c>
      <c r="C1095">
        <v>177</v>
      </c>
      <c r="D1095">
        <v>91230</v>
      </c>
      <c r="E1095">
        <v>12968</v>
      </c>
      <c r="F1095">
        <v>0.28550884955752209</v>
      </c>
      <c r="G1095">
        <v>0.2168141592920354</v>
      </c>
      <c r="H1095">
        <v>4.3816087815380073E-2</v>
      </c>
      <c r="I1095">
        <v>0.1156818406281388</v>
      </c>
    </row>
    <row r="1096" spans="1:9" x14ac:dyDescent="0.25">
      <c r="A1096" t="s">
        <v>264</v>
      </c>
      <c r="B1096" s="12">
        <v>179</v>
      </c>
      <c r="C1096">
        <v>110</v>
      </c>
      <c r="D1096">
        <v>91103</v>
      </c>
      <c r="E1096">
        <v>16519</v>
      </c>
      <c r="F1096">
        <v>0.36371681415929202</v>
      </c>
      <c r="G1096">
        <v>0.51327433628318586</v>
      </c>
      <c r="H1096">
        <v>4.643120037473026E-2</v>
      </c>
      <c r="I1096">
        <v>3.2795774609527567E-2</v>
      </c>
    </row>
    <row r="1097" spans="1:9" x14ac:dyDescent="0.25">
      <c r="A1097" t="s">
        <v>6</v>
      </c>
      <c r="B1097" s="12">
        <v>180</v>
      </c>
      <c r="C1097">
        <v>61</v>
      </c>
      <c r="D1097">
        <v>90975</v>
      </c>
      <c r="E1097">
        <v>29138</v>
      </c>
      <c r="F1097">
        <v>0.64110619469026553</v>
      </c>
      <c r="G1097">
        <v>0.73008849557522126</v>
      </c>
      <c r="H1097">
        <v>8.3702674850298114E-2</v>
      </c>
      <c r="I1097">
        <v>-2.4521564238272359E-2</v>
      </c>
    </row>
    <row r="1098" spans="1:9" x14ac:dyDescent="0.25">
      <c r="A1098" t="s">
        <v>228</v>
      </c>
      <c r="B1098" s="12">
        <v>181</v>
      </c>
      <c r="C1098">
        <v>85</v>
      </c>
      <c r="D1098">
        <v>90551</v>
      </c>
      <c r="E1098">
        <v>23029</v>
      </c>
      <c r="F1098">
        <v>0.50756637168141594</v>
      </c>
      <c r="G1098">
        <v>0.62389380530973448</v>
      </c>
      <c r="H1098">
        <v>6.497036868430095E-2</v>
      </c>
      <c r="I1098">
        <v>-2.300821803402184E-3</v>
      </c>
    </row>
    <row r="1099" spans="1:9" x14ac:dyDescent="0.25">
      <c r="A1099" t="s">
        <v>165</v>
      </c>
      <c r="B1099" s="12">
        <v>182</v>
      </c>
      <c r="C1099">
        <v>77</v>
      </c>
      <c r="D1099">
        <v>90295</v>
      </c>
      <c r="E1099">
        <v>23531</v>
      </c>
      <c r="F1099">
        <v>0.51719026548672564</v>
      </c>
      <c r="G1099">
        <v>0.65929203539823011</v>
      </c>
      <c r="H1099">
        <v>6.5894051715080768E-2</v>
      </c>
      <c r="I1099">
        <v>-6.0817119664084551E-3</v>
      </c>
    </row>
    <row r="1100" spans="1:9" x14ac:dyDescent="0.25">
      <c r="A1100" t="s">
        <v>208</v>
      </c>
      <c r="B1100" s="12">
        <v>183</v>
      </c>
      <c r="C1100">
        <v>84</v>
      </c>
      <c r="D1100">
        <v>90292</v>
      </c>
      <c r="E1100">
        <v>21794</v>
      </c>
      <c r="F1100">
        <v>0.48017699115044249</v>
      </c>
      <c r="G1100">
        <v>0.62831858407079644</v>
      </c>
      <c r="H1100">
        <v>6.4067029235532147E-2</v>
      </c>
      <c r="I1100">
        <v>2.4702576310278109E-2</v>
      </c>
    </row>
    <row r="1101" spans="1:9" x14ac:dyDescent="0.25">
      <c r="A1101" t="s">
        <v>269</v>
      </c>
      <c r="B1101" s="12">
        <v>184</v>
      </c>
      <c r="C1101">
        <v>109</v>
      </c>
      <c r="D1101">
        <v>90143</v>
      </c>
      <c r="E1101">
        <v>17299</v>
      </c>
      <c r="F1101">
        <v>0.38090707964601772</v>
      </c>
      <c r="G1101">
        <v>0.51769911504424782</v>
      </c>
      <c r="H1101">
        <v>4.1140216162651247E-2</v>
      </c>
      <c r="I1101">
        <v>-2.710622890422687E-2</v>
      </c>
    </row>
    <row r="1102" spans="1:9" x14ac:dyDescent="0.25">
      <c r="A1102" t="s">
        <v>222</v>
      </c>
      <c r="B1102" s="12">
        <v>185</v>
      </c>
      <c r="C1102">
        <v>85</v>
      </c>
      <c r="D1102">
        <v>90105</v>
      </c>
      <c r="E1102">
        <v>22653</v>
      </c>
      <c r="F1102">
        <v>0.4975</v>
      </c>
      <c r="G1102">
        <v>0.62389380530973448</v>
      </c>
      <c r="H1102">
        <v>6.3678961978776996E-2</v>
      </c>
      <c r="I1102">
        <v>-4.7297726502439656E-3</v>
      </c>
    </row>
    <row r="1103" spans="1:9" x14ac:dyDescent="0.25">
      <c r="A1103" t="s">
        <v>194</v>
      </c>
      <c r="B1103" s="12">
        <v>186</v>
      </c>
      <c r="C1103">
        <v>23</v>
      </c>
      <c r="D1103">
        <v>89919</v>
      </c>
      <c r="E1103">
        <v>36799</v>
      </c>
      <c r="F1103">
        <v>0.81042035398230083</v>
      </c>
      <c r="G1103">
        <v>0.89823008849557517</v>
      </c>
      <c r="H1103">
        <v>0.10654940380146539</v>
      </c>
      <c r="I1103">
        <v>-5.8856133812001492E-2</v>
      </c>
    </row>
    <row r="1104" spans="1:9" x14ac:dyDescent="0.25">
      <c r="A1104" t="s">
        <v>170</v>
      </c>
      <c r="B1104" s="12">
        <v>187</v>
      </c>
      <c r="C1104">
        <v>76</v>
      </c>
      <c r="D1104">
        <v>89801</v>
      </c>
      <c r="E1104">
        <v>23872</v>
      </c>
      <c r="F1104">
        <v>0.52588495575221239</v>
      </c>
      <c r="G1104">
        <v>0.66371681415929207</v>
      </c>
      <c r="H1104">
        <v>6.7604019362826853E-2</v>
      </c>
      <c r="I1104">
        <v>-3.5529106869419038E-3</v>
      </c>
    </row>
    <row r="1105" spans="1:9" x14ac:dyDescent="0.25">
      <c r="A1105" t="s">
        <v>243</v>
      </c>
      <c r="B1105" s="12">
        <v>188</v>
      </c>
      <c r="C1105">
        <v>85</v>
      </c>
      <c r="D1105">
        <v>89634</v>
      </c>
      <c r="E1105">
        <v>22791</v>
      </c>
      <c r="F1105">
        <v>0.50203539823008847</v>
      </c>
      <c r="G1105">
        <v>0.62389380530973448</v>
      </c>
      <c r="H1105">
        <v>6.402455189518054E-2</v>
      </c>
      <c r="I1105">
        <v>-1.1510995968025499E-4</v>
      </c>
    </row>
    <row r="1106" spans="1:9" x14ac:dyDescent="0.25">
      <c r="A1106" t="s">
        <v>167</v>
      </c>
      <c r="B1106" s="12">
        <v>189</v>
      </c>
      <c r="C1106">
        <v>81</v>
      </c>
      <c r="D1106">
        <v>89605</v>
      </c>
      <c r="E1106">
        <v>23881</v>
      </c>
      <c r="F1106">
        <v>0.52502212389380531</v>
      </c>
      <c r="G1106">
        <v>0.6415929203539823</v>
      </c>
      <c r="H1106">
        <v>6.7514863730733621E-2</v>
      </c>
      <c r="I1106">
        <v>-2.9553849272232389E-3</v>
      </c>
    </row>
    <row r="1107" spans="1:9" x14ac:dyDescent="0.25">
      <c r="A1107" t="s">
        <v>266</v>
      </c>
      <c r="B1107" s="12">
        <v>190</v>
      </c>
      <c r="C1107">
        <v>105</v>
      </c>
      <c r="D1107">
        <v>89601</v>
      </c>
      <c r="E1107">
        <v>17397</v>
      </c>
      <c r="F1107">
        <v>0.38289823008849561</v>
      </c>
      <c r="G1107">
        <v>0.53539823008849563</v>
      </c>
      <c r="H1107">
        <v>4.5393600607893207E-2</v>
      </c>
      <c r="I1107">
        <v>2.4227158289132559E-3</v>
      </c>
    </row>
    <row r="1108" spans="1:9" x14ac:dyDescent="0.25">
      <c r="A1108" t="s">
        <v>240</v>
      </c>
      <c r="B1108" s="12">
        <v>191</v>
      </c>
      <c r="C1108">
        <v>82</v>
      </c>
      <c r="D1108">
        <v>89508</v>
      </c>
      <c r="E1108">
        <v>21674</v>
      </c>
      <c r="F1108">
        <v>0.47710176991150438</v>
      </c>
      <c r="G1108">
        <v>0.63716814159292035</v>
      </c>
      <c r="H1108">
        <v>6.4257081559567178E-2</v>
      </c>
      <c r="I1108">
        <v>2.9585872917936601E-2</v>
      </c>
    </row>
    <row r="1109" spans="1:9" x14ac:dyDescent="0.25">
      <c r="A1109" t="s">
        <v>201</v>
      </c>
      <c r="B1109" s="12">
        <v>192</v>
      </c>
      <c r="C1109">
        <v>34</v>
      </c>
      <c r="D1109">
        <v>89176</v>
      </c>
      <c r="E1109">
        <v>38554</v>
      </c>
      <c r="F1109">
        <v>0.84920353982300889</v>
      </c>
      <c r="G1109">
        <v>0.84955752212389379</v>
      </c>
      <c r="H1109">
        <v>0.108712796468397</v>
      </c>
      <c r="I1109">
        <v>-8.1008872649954031E-2</v>
      </c>
    </row>
    <row r="1110" spans="1:9" x14ac:dyDescent="0.25">
      <c r="A1110" t="s">
        <v>233</v>
      </c>
      <c r="B1110" s="12">
        <v>193</v>
      </c>
      <c r="C1110">
        <v>63</v>
      </c>
      <c r="D1110">
        <v>89119</v>
      </c>
      <c r="E1110">
        <v>28892</v>
      </c>
      <c r="F1110">
        <v>0.63634955752212385</v>
      </c>
      <c r="G1110">
        <v>0.72123893805309736</v>
      </c>
      <c r="H1110">
        <v>8.1160835191374875E-2</v>
      </c>
      <c r="I1110">
        <v>-3.2802997265761108E-2</v>
      </c>
    </row>
    <row r="1111" spans="1:9" x14ac:dyDescent="0.25">
      <c r="A1111" t="s">
        <v>242</v>
      </c>
      <c r="B1111" s="12">
        <v>194</v>
      </c>
      <c r="C1111">
        <v>63</v>
      </c>
      <c r="D1111">
        <v>89009</v>
      </c>
      <c r="E1111">
        <v>28694</v>
      </c>
      <c r="F1111">
        <v>0.63203539823008847</v>
      </c>
      <c r="G1111">
        <v>0.72123893805309736</v>
      </c>
      <c r="H1111">
        <v>8.0493400438851781E-2</v>
      </c>
      <c r="I1111">
        <v>-3.1301358982599843E-2</v>
      </c>
    </row>
    <row r="1112" spans="1:9" x14ac:dyDescent="0.25">
      <c r="A1112" t="s">
        <v>19</v>
      </c>
      <c r="B1112" s="12">
        <v>195</v>
      </c>
      <c r="C1112">
        <v>78</v>
      </c>
      <c r="D1112">
        <v>88972</v>
      </c>
      <c r="E1112">
        <v>22665</v>
      </c>
      <c r="F1112">
        <v>0.49924778761061939</v>
      </c>
      <c r="G1112">
        <v>0.65486725663716816</v>
      </c>
      <c r="H1112">
        <v>6.3515412171059105E-2</v>
      </c>
      <c r="I1112">
        <v>-1.0393496361962239E-4</v>
      </c>
    </row>
    <row r="1113" spans="1:9" x14ac:dyDescent="0.25">
      <c r="A1113" t="s">
        <v>205</v>
      </c>
      <c r="B1113" s="12">
        <v>196</v>
      </c>
      <c r="C1113">
        <v>34</v>
      </c>
      <c r="D1113">
        <v>88858</v>
      </c>
      <c r="E1113">
        <v>38588</v>
      </c>
      <c r="F1113">
        <v>0.84995575221238939</v>
      </c>
      <c r="G1113">
        <v>0.84955752212389379</v>
      </c>
      <c r="H1113">
        <v>0.10908513196697189</v>
      </c>
      <c r="I1113">
        <v>-8.1514114009774541E-2</v>
      </c>
    </row>
    <row r="1114" spans="1:9" x14ac:dyDescent="0.25">
      <c r="A1114" t="s">
        <v>203</v>
      </c>
      <c r="B1114" s="12">
        <v>197</v>
      </c>
      <c r="C1114">
        <v>40</v>
      </c>
      <c r="D1114">
        <v>88856</v>
      </c>
      <c r="E1114">
        <v>38485</v>
      </c>
      <c r="F1114">
        <v>0.84761061946902649</v>
      </c>
      <c r="G1114">
        <v>0.82300884955752207</v>
      </c>
      <c r="H1114">
        <v>0.1088527389200885</v>
      </c>
      <c r="I1114">
        <v>-7.9994552385072845E-2</v>
      </c>
    </row>
    <row r="1115" spans="1:9" x14ac:dyDescent="0.25">
      <c r="A1115" t="s">
        <v>256</v>
      </c>
      <c r="B1115" s="12">
        <v>198</v>
      </c>
      <c r="C1115">
        <v>85</v>
      </c>
      <c r="D1115">
        <v>88809</v>
      </c>
      <c r="E1115">
        <v>23287</v>
      </c>
      <c r="F1115">
        <v>0.51398230088495578</v>
      </c>
      <c r="G1115">
        <v>0.62389380530973448</v>
      </c>
      <c r="H1115">
        <v>6.5242281519848525E-2</v>
      </c>
      <c r="I1115">
        <v>-1.0574794178167691E-3</v>
      </c>
    </row>
    <row r="1116" spans="1:9" x14ac:dyDescent="0.25">
      <c r="A1116" t="s">
        <v>17</v>
      </c>
      <c r="B1116" s="12">
        <v>199</v>
      </c>
      <c r="C1116">
        <v>83</v>
      </c>
      <c r="D1116">
        <v>88710</v>
      </c>
      <c r="E1116">
        <v>22642</v>
      </c>
      <c r="F1116">
        <v>0.4988495575221239</v>
      </c>
      <c r="G1116">
        <v>0.63274336283185839</v>
      </c>
      <c r="H1116">
        <v>6.3717339779555085E-2</v>
      </c>
      <c r="I1116">
        <v>1.8608530388325251E-3</v>
      </c>
    </row>
    <row r="1117" spans="1:9" x14ac:dyDescent="0.25">
      <c r="A1117" t="s">
        <v>251</v>
      </c>
      <c r="B1117" s="12">
        <v>200</v>
      </c>
      <c r="C1117">
        <v>75</v>
      </c>
      <c r="D1117">
        <v>88509</v>
      </c>
      <c r="E1117">
        <v>22672</v>
      </c>
      <c r="F1117">
        <v>0.49929203539823008</v>
      </c>
      <c r="G1117">
        <v>0.66814159292035402</v>
      </c>
      <c r="H1117">
        <v>6.3695638091319798E-2</v>
      </c>
      <c r="I1117">
        <v>2.4342332493366669E-4</v>
      </c>
    </row>
    <row r="1118" spans="1:9" x14ac:dyDescent="0.25">
      <c r="A1118" t="s">
        <v>232</v>
      </c>
      <c r="B1118" s="12">
        <v>201</v>
      </c>
      <c r="C1118">
        <v>75</v>
      </c>
      <c r="D1118">
        <v>88504</v>
      </c>
      <c r="E1118">
        <v>23455</v>
      </c>
      <c r="F1118">
        <v>0.51612831858407082</v>
      </c>
      <c r="G1118">
        <v>0.66814159292035402</v>
      </c>
      <c r="H1118">
        <v>6.5797623899951529E-2</v>
      </c>
      <c r="I1118">
        <v>-5.0109068607007232E-3</v>
      </c>
    </row>
    <row r="1119" spans="1:9" x14ac:dyDescent="0.25">
      <c r="A1119" t="s">
        <v>237</v>
      </c>
      <c r="B1119" s="12">
        <v>202</v>
      </c>
      <c r="C1119">
        <v>49</v>
      </c>
      <c r="D1119">
        <v>88449</v>
      </c>
      <c r="E1119">
        <v>34837</v>
      </c>
      <c r="F1119">
        <v>0.76745575221238937</v>
      </c>
      <c r="G1119">
        <v>0.7831858407079646</v>
      </c>
      <c r="H1119">
        <v>9.7882411901006258E-2</v>
      </c>
      <c r="I1119">
        <v>-6.4041707893494657E-2</v>
      </c>
    </row>
    <row r="1120" spans="1:9" x14ac:dyDescent="0.25">
      <c r="A1120" t="s">
        <v>216</v>
      </c>
      <c r="B1120" s="12">
        <v>203</v>
      </c>
      <c r="C1120">
        <v>47</v>
      </c>
      <c r="D1120">
        <v>88323</v>
      </c>
      <c r="E1120">
        <v>37052</v>
      </c>
      <c r="F1120">
        <v>0.81599557522123889</v>
      </c>
      <c r="G1120">
        <v>0.79203539823008851</v>
      </c>
      <c r="H1120">
        <v>0.1041410603160485</v>
      </c>
      <c r="I1120">
        <v>-7.5223972228419964E-2</v>
      </c>
    </row>
    <row r="1121" spans="1:9" x14ac:dyDescent="0.25">
      <c r="A1121" t="s">
        <v>183</v>
      </c>
      <c r="B1121" s="12">
        <v>204</v>
      </c>
      <c r="C1121">
        <v>9</v>
      </c>
      <c r="D1121">
        <v>88181</v>
      </c>
      <c r="E1121">
        <v>40938</v>
      </c>
      <c r="F1121">
        <v>0.9016150442477876</v>
      </c>
      <c r="G1121">
        <v>0.96017699115044253</v>
      </c>
      <c r="H1121">
        <v>0.1149053784171271</v>
      </c>
      <c r="I1121">
        <v>-9.6005376117679064E-2</v>
      </c>
    </row>
    <row r="1122" spans="1:9" x14ac:dyDescent="0.25">
      <c r="A1122" t="s">
        <v>248</v>
      </c>
      <c r="B1122" s="12">
        <v>205</v>
      </c>
      <c r="C1122">
        <v>82</v>
      </c>
      <c r="D1122">
        <v>88140</v>
      </c>
      <c r="E1122">
        <v>22718</v>
      </c>
      <c r="F1122">
        <v>0.50046460176991148</v>
      </c>
      <c r="G1122">
        <v>0.63716814159292035</v>
      </c>
      <c r="H1122">
        <v>6.3732321127784389E-2</v>
      </c>
      <c r="I1122">
        <v>-4.021704456182942E-4</v>
      </c>
    </row>
    <row r="1123" spans="1:9" x14ac:dyDescent="0.25">
      <c r="A1123" t="s">
        <v>146</v>
      </c>
      <c r="B1123" s="12">
        <v>206</v>
      </c>
      <c r="C1123">
        <v>82</v>
      </c>
      <c r="D1123">
        <v>88022</v>
      </c>
      <c r="E1123">
        <v>21988</v>
      </c>
      <c r="F1123">
        <v>0.48318584070796461</v>
      </c>
      <c r="G1123">
        <v>0.63716814159292035</v>
      </c>
      <c r="H1123">
        <v>6.0471474115700613E-2</v>
      </c>
      <c r="I1123">
        <v>-4.5095943834705856E-3</v>
      </c>
    </row>
    <row r="1124" spans="1:9" x14ac:dyDescent="0.25">
      <c r="A1124" t="s">
        <v>262</v>
      </c>
      <c r="B1124" s="12">
        <v>207</v>
      </c>
      <c r="C1124">
        <v>73</v>
      </c>
      <c r="D1124">
        <v>87866</v>
      </c>
      <c r="E1124">
        <v>22782</v>
      </c>
      <c r="F1124">
        <v>0.50185840707964602</v>
      </c>
      <c r="G1124">
        <v>0.67699115044247793</v>
      </c>
      <c r="H1124">
        <v>6.3996797843912698E-2</v>
      </c>
      <c r="I1124">
        <v>5.3505428094911627E-4</v>
      </c>
    </row>
    <row r="1125" spans="1:9" x14ac:dyDescent="0.25">
      <c r="A1125" t="s">
        <v>231</v>
      </c>
      <c r="B1125" s="12">
        <v>208</v>
      </c>
      <c r="C1125">
        <v>56</v>
      </c>
      <c r="D1125">
        <v>87760</v>
      </c>
      <c r="E1125">
        <v>31744</v>
      </c>
      <c r="F1125">
        <v>0.69911504424778759</v>
      </c>
      <c r="G1125">
        <v>0.75221238938053092</v>
      </c>
      <c r="H1125">
        <v>8.9103557979694492E-2</v>
      </c>
      <c r="I1125">
        <v>-4.7429433549634928E-2</v>
      </c>
    </row>
    <row r="1126" spans="1:9" x14ac:dyDescent="0.25">
      <c r="A1126" t="s">
        <v>182</v>
      </c>
      <c r="B1126" s="12">
        <v>209</v>
      </c>
      <c r="C1126">
        <v>24</v>
      </c>
      <c r="D1126">
        <v>87606</v>
      </c>
      <c r="E1126">
        <v>39778</v>
      </c>
      <c r="F1126">
        <v>0.87619469026548669</v>
      </c>
      <c r="G1126">
        <v>0.89380530973451322</v>
      </c>
      <c r="H1126">
        <v>0.1117580654588736</v>
      </c>
      <c r="I1126">
        <v>-8.7739133440390832E-2</v>
      </c>
    </row>
    <row r="1127" spans="1:9" x14ac:dyDescent="0.25">
      <c r="A1127" t="s">
        <v>260</v>
      </c>
      <c r="B1127" s="12">
        <v>210</v>
      </c>
      <c r="C1127">
        <v>77</v>
      </c>
      <c r="D1127">
        <v>87539</v>
      </c>
      <c r="E1127">
        <v>25536</v>
      </c>
      <c r="F1127">
        <v>0.56274336283185844</v>
      </c>
      <c r="G1127">
        <v>0.65929203539823011</v>
      </c>
      <c r="H1127">
        <v>6.3179161717835983E-2</v>
      </c>
      <c r="I1127">
        <v>-6.6293900204115699E-2</v>
      </c>
    </row>
    <row r="1128" spans="1:9" x14ac:dyDescent="0.25">
      <c r="A1128" t="s">
        <v>181</v>
      </c>
      <c r="B1128" s="12">
        <v>211</v>
      </c>
      <c r="C1128">
        <v>48</v>
      </c>
      <c r="D1128">
        <v>87528</v>
      </c>
      <c r="E1128">
        <v>36983</v>
      </c>
      <c r="F1128">
        <v>0.81495575221238936</v>
      </c>
      <c r="G1128">
        <v>0.78761061946902655</v>
      </c>
      <c r="H1128">
        <v>0.102917875736719</v>
      </c>
      <c r="I1128">
        <v>-7.8799817598051963E-2</v>
      </c>
    </row>
    <row r="1129" spans="1:9" x14ac:dyDescent="0.25">
      <c r="A1129" t="s">
        <v>175</v>
      </c>
      <c r="B1129" s="12">
        <v>212</v>
      </c>
      <c r="C1129">
        <v>26</v>
      </c>
      <c r="D1129">
        <v>87439</v>
      </c>
      <c r="E1129">
        <v>40380</v>
      </c>
      <c r="F1129">
        <v>0.88977876106194687</v>
      </c>
      <c r="G1129">
        <v>0.88495575221238942</v>
      </c>
      <c r="H1129">
        <v>0.1133491479871971</v>
      </c>
      <c r="I1129">
        <v>-9.3050103414989066E-2</v>
      </c>
    </row>
    <row r="1130" spans="1:9" x14ac:dyDescent="0.25">
      <c r="A1130" t="s">
        <v>270</v>
      </c>
      <c r="B1130" s="12">
        <v>213</v>
      </c>
      <c r="C1130">
        <v>60</v>
      </c>
      <c r="D1130">
        <v>87309</v>
      </c>
      <c r="E1130">
        <v>30903</v>
      </c>
      <c r="F1130">
        <v>0.68128318584070802</v>
      </c>
      <c r="G1130">
        <v>0.73451327433628322</v>
      </c>
      <c r="H1130">
        <v>8.2195317333692466E-2</v>
      </c>
      <c r="I1130">
        <v>-6.4083915736112607E-2</v>
      </c>
    </row>
    <row r="1131" spans="1:9" x14ac:dyDescent="0.25">
      <c r="A1131" t="s">
        <v>198</v>
      </c>
      <c r="B1131" s="12">
        <v>214</v>
      </c>
      <c r="C1131">
        <v>33</v>
      </c>
      <c r="D1131">
        <v>87237</v>
      </c>
      <c r="E1131">
        <v>38679</v>
      </c>
      <c r="F1131">
        <v>0.85205752212389385</v>
      </c>
      <c r="G1131">
        <v>0.85398230088495575</v>
      </c>
      <c r="H1131">
        <v>0.108962889649798</v>
      </c>
      <c r="I1131">
        <v>-8.4617260590641591E-2</v>
      </c>
    </row>
    <row r="1132" spans="1:9" x14ac:dyDescent="0.25">
      <c r="A1132" t="s">
        <v>227</v>
      </c>
      <c r="B1132" s="12">
        <v>215</v>
      </c>
      <c r="C1132">
        <v>20</v>
      </c>
      <c r="D1132">
        <v>87190</v>
      </c>
      <c r="E1132">
        <v>40570</v>
      </c>
      <c r="F1132">
        <v>0.89373893805309734</v>
      </c>
      <c r="G1132">
        <v>0.91150442477876104</v>
      </c>
      <c r="H1132">
        <v>0.113617225715872</v>
      </c>
      <c r="I1132">
        <v>-9.5951132465055766E-2</v>
      </c>
    </row>
    <row r="1133" spans="1:9" x14ac:dyDescent="0.25">
      <c r="A1133" t="s">
        <v>244</v>
      </c>
      <c r="B1133" s="12">
        <v>216</v>
      </c>
      <c r="C1133">
        <v>50</v>
      </c>
      <c r="D1133">
        <v>87081</v>
      </c>
      <c r="E1133">
        <v>36869</v>
      </c>
      <c r="F1133">
        <v>0.81234513274336284</v>
      </c>
      <c r="G1133">
        <v>0.77876106194690264</v>
      </c>
      <c r="H1133">
        <v>9.9717513853726306E-2</v>
      </c>
      <c r="I1133">
        <v>-8.9565460061694885E-2</v>
      </c>
    </row>
    <row r="1134" spans="1:9" x14ac:dyDescent="0.25">
      <c r="A1134" t="s">
        <v>239</v>
      </c>
      <c r="B1134" s="12">
        <v>217</v>
      </c>
      <c r="C1134">
        <v>14</v>
      </c>
      <c r="D1134">
        <v>86966</v>
      </c>
      <c r="E1134">
        <v>40276</v>
      </c>
      <c r="F1134">
        <v>0.88730088495575221</v>
      </c>
      <c r="G1134">
        <v>0.93805309734513276</v>
      </c>
      <c r="H1134">
        <v>0.1131176436721569</v>
      </c>
      <c r="I1134">
        <v>-9.0231076524796644E-2</v>
      </c>
    </row>
    <row r="1135" spans="1:9" x14ac:dyDescent="0.25">
      <c r="A1135" t="s">
        <v>267</v>
      </c>
      <c r="B1135" s="12">
        <v>218</v>
      </c>
      <c r="C1135">
        <v>76</v>
      </c>
      <c r="D1135">
        <v>86947</v>
      </c>
      <c r="E1135">
        <v>25730</v>
      </c>
      <c r="F1135">
        <v>0.56705752212389382</v>
      </c>
      <c r="G1135">
        <v>0.66371681415929207</v>
      </c>
      <c r="H1135">
        <v>6.3689050720521112E-2</v>
      </c>
      <c r="I1135">
        <v>-6.5946255310896887E-2</v>
      </c>
    </row>
    <row r="1136" spans="1:9" x14ac:dyDescent="0.25">
      <c r="A1136" t="s">
        <v>193</v>
      </c>
      <c r="B1136" s="12">
        <v>219</v>
      </c>
      <c r="C1136">
        <v>18</v>
      </c>
      <c r="D1136">
        <v>86903</v>
      </c>
      <c r="E1136">
        <v>40846</v>
      </c>
      <c r="F1136">
        <v>0.89960176991150442</v>
      </c>
      <c r="G1136">
        <v>0.92035398230088494</v>
      </c>
      <c r="H1136">
        <v>0.11464487600573919</v>
      </c>
      <c r="I1136">
        <v>-9.5639337351503206E-2</v>
      </c>
    </row>
    <row r="1137" spans="1:9" x14ac:dyDescent="0.25">
      <c r="A1137" t="s">
        <v>210</v>
      </c>
      <c r="B1137" s="12">
        <v>220</v>
      </c>
      <c r="C1137">
        <v>15</v>
      </c>
      <c r="D1137">
        <v>86706</v>
      </c>
      <c r="E1137">
        <v>40601</v>
      </c>
      <c r="F1137">
        <v>0.89435840707964598</v>
      </c>
      <c r="G1137">
        <v>0.9336283185840708</v>
      </c>
      <c r="H1137">
        <v>0.11405322935487899</v>
      </c>
      <c r="I1137">
        <v>-9.3225503857737257E-2</v>
      </c>
    </row>
    <row r="1138" spans="1:9" x14ac:dyDescent="0.25">
      <c r="A1138" t="s">
        <v>246</v>
      </c>
      <c r="B1138" s="12">
        <v>221</v>
      </c>
      <c r="C1138">
        <v>41</v>
      </c>
      <c r="D1138">
        <v>86530</v>
      </c>
      <c r="E1138">
        <v>38104</v>
      </c>
      <c r="F1138">
        <v>0.83962389380530977</v>
      </c>
      <c r="G1138">
        <v>0.81858407079646023</v>
      </c>
      <c r="H1138">
        <v>0.1042828686513448</v>
      </c>
      <c r="I1138">
        <v>-9.2678952160465983E-2</v>
      </c>
    </row>
    <row r="1139" spans="1:9" x14ac:dyDescent="0.25">
      <c r="A1139" t="s">
        <v>273</v>
      </c>
      <c r="B1139" s="12">
        <v>222</v>
      </c>
      <c r="C1139">
        <v>59</v>
      </c>
      <c r="D1139">
        <v>86419</v>
      </c>
      <c r="E1139">
        <v>31811</v>
      </c>
      <c r="F1139">
        <v>0.70106194690265489</v>
      </c>
      <c r="G1139">
        <v>0.73893805309734517</v>
      </c>
      <c r="H1139">
        <v>8.1676044354145133E-2</v>
      </c>
      <c r="I1139">
        <v>-8.4256810601916171E-2</v>
      </c>
    </row>
    <row r="1140" spans="1:9" x14ac:dyDescent="0.25">
      <c r="A1140" t="s">
        <v>274</v>
      </c>
      <c r="B1140" s="12">
        <v>223</v>
      </c>
      <c r="C1140">
        <v>76</v>
      </c>
      <c r="D1140">
        <v>86334</v>
      </c>
      <c r="E1140">
        <v>25787</v>
      </c>
      <c r="F1140">
        <v>0.56834070796460179</v>
      </c>
      <c r="G1140">
        <v>0.66371681415929207</v>
      </c>
      <c r="H1140">
        <v>6.3862434199040627E-2</v>
      </c>
      <c r="I1140">
        <v>-6.6823228546097638E-2</v>
      </c>
    </row>
    <row r="1141" spans="1:9" x14ac:dyDescent="0.25">
      <c r="A1141" t="s">
        <v>249</v>
      </c>
      <c r="B1141" s="12">
        <v>224</v>
      </c>
      <c r="C1141">
        <v>43</v>
      </c>
      <c r="D1141">
        <v>86136</v>
      </c>
      <c r="E1141">
        <v>37321</v>
      </c>
      <c r="F1141">
        <v>0.82201327433628324</v>
      </c>
      <c r="G1141">
        <v>0.80973451327433632</v>
      </c>
      <c r="H1141">
        <v>0.1047897289142026</v>
      </c>
      <c r="I1141">
        <v>-7.6323505911910464E-2</v>
      </c>
    </row>
    <row r="1142" spans="1:9" x14ac:dyDescent="0.25">
      <c r="A1142" t="s">
        <v>257</v>
      </c>
      <c r="B1142" s="12">
        <v>225</v>
      </c>
      <c r="C1142">
        <v>56</v>
      </c>
      <c r="D1142">
        <v>85988</v>
      </c>
      <c r="E1142">
        <v>36060</v>
      </c>
      <c r="F1142">
        <v>0.79457964601769915</v>
      </c>
      <c r="G1142">
        <v>0.75221238938053092</v>
      </c>
      <c r="H1142">
        <v>9.6545371389839554E-2</v>
      </c>
      <c r="I1142">
        <v>-8.9439839448166678E-2</v>
      </c>
    </row>
    <row r="1143" spans="1:9" x14ac:dyDescent="0.25">
      <c r="A1143" t="s">
        <v>207</v>
      </c>
      <c r="B1143" s="12">
        <v>226</v>
      </c>
      <c r="C1143">
        <v>16</v>
      </c>
      <c r="D1143">
        <v>85092</v>
      </c>
      <c r="E1143">
        <v>40284</v>
      </c>
      <c r="F1143">
        <v>0.88721238938053093</v>
      </c>
      <c r="G1143">
        <v>0.92920353982300885</v>
      </c>
      <c r="H1143">
        <v>0.1128518114939933</v>
      </c>
      <c r="I1143">
        <v>-9.4395655766323666E-2</v>
      </c>
    </row>
    <row r="1144" spans="1:9" x14ac:dyDescent="0.25">
      <c r="A1144" t="s">
        <v>253</v>
      </c>
      <c r="B1144" s="12">
        <v>227</v>
      </c>
      <c r="C1144">
        <v>73</v>
      </c>
      <c r="D1144">
        <v>84170</v>
      </c>
      <c r="E1144">
        <v>27889</v>
      </c>
      <c r="F1144">
        <v>0.61314159292035397</v>
      </c>
      <c r="G1144">
        <v>0.67699115044247793</v>
      </c>
      <c r="H1144">
        <v>8.5042191004205889E-2</v>
      </c>
      <c r="I1144">
        <v>3.1812840252876867E-2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45" x14ac:dyDescent="0.25">
      <c r="B2" s="2" t="s">
        <v>276</v>
      </c>
      <c r="C2" s="1" t="s">
        <v>277</v>
      </c>
      <c r="D2" s="1" t="s">
        <v>278</v>
      </c>
      <c r="E2" s="1" t="s">
        <v>279</v>
      </c>
      <c r="F2" s="1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2:K229"/>
  <sheetViews>
    <sheetView workbookViewId="0">
      <selection activeCell="J3" sqref="J3"/>
    </sheetView>
  </sheetViews>
  <sheetFormatPr defaultRowHeight="15" x14ac:dyDescent="0.25"/>
  <cols>
    <col min="2" max="2" width="28.42578125" bestFit="1" customWidth="1"/>
    <col min="3" max="3" width="8.7109375" customWidth="1"/>
    <col min="4" max="4" width="9" bestFit="1" customWidth="1"/>
    <col min="5" max="5" width="10.28515625" bestFit="1" customWidth="1"/>
    <col min="6" max="6" width="6.5703125" bestFit="1" customWidth="1"/>
    <col min="7" max="7" width="14" bestFit="1" customWidth="1"/>
    <col min="8" max="8" width="12" bestFit="1" customWidth="1"/>
    <col min="9" max="9" width="12.85546875" bestFit="1" customWidth="1"/>
    <col min="10" max="10" width="11" bestFit="1" customWidth="1"/>
    <col min="11" max="11" width="12.140625" bestFit="1" customWidth="1"/>
  </cols>
  <sheetData>
    <row r="2" spans="2:11" ht="30" x14ac:dyDescent="0.25">
      <c r="B2" s="3"/>
      <c r="C2" s="8" t="s">
        <v>20</v>
      </c>
      <c r="D2" s="8" t="s">
        <v>64</v>
      </c>
      <c r="E2" s="8" t="s">
        <v>2</v>
      </c>
      <c r="F2" s="8" t="s">
        <v>1</v>
      </c>
      <c r="G2" s="8" t="s">
        <v>3</v>
      </c>
      <c r="H2" s="8" t="s">
        <v>62</v>
      </c>
      <c r="I2" s="8" t="s">
        <v>63</v>
      </c>
      <c r="J2" s="8" t="s">
        <v>285</v>
      </c>
      <c r="K2" s="8" t="s">
        <v>286</v>
      </c>
    </row>
    <row r="3" spans="2:11" x14ac:dyDescent="0.25">
      <c r="B3" t="s">
        <v>96</v>
      </c>
      <c r="C3" s="6">
        <f ca="1">Kompilirano!G36</f>
        <v>1.4</v>
      </c>
      <c r="D3" s="4">
        <f ca="1">E3/227</f>
        <v>470.21762114537444</v>
      </c>
      <c r="E3" s="7">
        <f ca="1">Kompilirano!AA36</f>
        <v>106739.4</v>
      </c>
      <c r="F3" s="6">
        <f ca="1">Kompilirano!Q36</f>
        <v>128</v>
      </c>
      <c r="G3" s="7">
        <f ca="1">Kompilirano!AI36</f>
        <v>20178</v>
      </c>
      <c r="H3" s="5">
        <f ca="1">Kompilirano!AT36</f>
        <v>0.44305752212389377</v>
      </c>
      <c r="I3" s="5">
        <f ca="1">Kompilirano!BD36</f>
        <v>0.4336283185840708</v>
      </c>
      <c r="J3" s="5">
        <f ca="1">Kompilirano!BN36</f>
        <v>6.5529907063521173E-2</v>
      </c>
      <c r="K3" s="5">
        <f ca="1">Kompilirano!BX36</f>
        <v>2.6170117893834006E-2</v>
      </c>
    </row>
    <row r="4" spans="2:11" x14ac:dyDescent="0.25">
      <c r="B4" t="s">
        <v>4</v>
      </c>
      <c r="C4" s="6">
        <f ca="1">Kompilirano!G4</f>
        <v>2.6</v>
      </c>
      <c r="D4" s="4">
        <f t="shared" ref="D4:D67" ca="1" si="0">E4/227</f>
        <v>463.83876651982376</v>
      </c>
      <c r="E4" s="7">
        <f ca="1">Kompilirano!AA4</f>
        <v>105291.4</v>
      </c>
      <c r="F4" s="6">
        <f ca="1">Kompilirano!Q4</f>
        <v>89.2</v>
      </c>
      <c r="G4" s="7">
        <f ca="1">Kompilirano!AI4</f>
        <v>21552.6</v>
      </c>
      <c r="H4" s="5">
        <f ca="1">Kompilirano!AT4</f>
        <v>0.47392477876106193</v>
      </c>
      <c r="I4" s="5">
        <f ca="1">Kompilirano!BD4</f>
        <v>0.6053097345132743</v>
      </c>
      <c r="J4" s="5">
        <f ca="1">Kompilirano!BN4</f>
        <v>5.9819341499448821E-2</v>
      </c>
      <c r="K4" s="5">
        <f ca="1">Kompilirano!BX4</f>
        <v>-4.4166408515500653E-2</v>
      </c>
    </row>
    <row r="5" spans="2:11" x14ac:dyDescent="0.25">
      <c r="B5" t="s">
        <v>91</v>
      </c>
      <c r="C5" s="6">
        <f ca="1">Kompilirano!G30</f>
        <v>3.2</v>
      </c>
      <c r="D5" s="4">
        <f t="shared" ca="1" si="0"/>
        <v>461.24669603524228</v>
      </c>
      <c r="E5" s="7">
        <f ca="1">Kompilirano!AA30</f>
        <v>104703</v>
      </c>
      <c r="F5" s="6">
        <f ca="1">Kompilirano!Q30</f>
        <v>127</v>
      </c>
      <c r="G5" s="7">
        <f ca="1">Kompilirano!AI30</f>
        <v>15486.8</v>
      </c>
      <c r="H5" s="5">
        <f ca="1">Kompilirano!AT30</f>
        <v>0.34174778761061947</v>
      </c>
      <c r="I5" s="5">
        <f ca="1">Kompilirano!BD30</f>
        <v>0.4380530973451327</v>
      </c>
      <c r="J5" s="5">
        <f ca="1">Kompilirano!BN30</f>
        <v>4.3736229359067055E-2</v>
      </c>
      <c r="K5" s="5">
        <f ca="1">Kompilirano!BX30</f>
        <v>-1.6411565024884943E-3</v>
      </c>
    </row>
    <row r="6" spans="2:11" x14ac:dyDescent="0.25">
      <c r="B6" t="s">
        <v>109</v>
      </c>
      <c r="C6" s="6">
        <f ca="1">Kompilirano!G49</f>
        <v>3.8</v>
      </c>
      <c r="D6" s="4">
        <f t="shared" ca="1" si="0"/>
        <v>459.06079295154188</v>
      </c>
      <c r="E6" s="7">
        <f ca="1">Kompilirano!AA49</f>
        <v>104206.8</v>
      </c>
      <c r="F6" s="6">
        <f ca="1">Kompilirano!Q49</f>
        <v>124</v>
      </c>
      <c r="G6" s="7">
        <f ca="1">Kompilirano!AI49</f>
        <v>15534.8</v>
      </c>
      <c r="H6" s="5">
        <f ca="1">Kompilirano!AT49</f>
        <v>0.34091150442477874</v>
      </c>
      <c r="I6" s="5">
        <f ca="1">Kompilirano!BD49</f>
        <v>0.45132743362831862</v>
      </c>
      <c r="J6" s="5">
        <f ca="1">Kompilirano!BN49</f>
        <v>4.6571560879757695E-2</v>
      </c>
      <c r="K6" s="5">
        <f ca="1">Kompilirano!BX49</f>
        <v>3.4961343103605956E-2</v>
      </c>
    </row>
    <row r="7" spans="2:11" x14ac:dyDescent="0.25">
      <c r="B7" t="s">
        <v>14</v>
      </c>
      <c r="C7" s="6">
        <f ca="1">Kompilirano!G143</f>
        <v>4</v>
      </c>
      <c r="D7" s="4">
        <f t="shared" ca="1" si="0"/>
        <v>457.18061674008811</v>
      </c>
      <c r="E7" s="7">
        <f ca="1">Kompilirano!AA143</f>
        <v>103780</v>
      </c>
      <c r="F7" s="6">
        <f ca="1">Kompilirano!Q143</f>
        <v>140.4</v>
      </c>
      <c r="G7" s="7">
        <f ca="1">Kompilirano!AI143</f>
        <v>13415.4</v>
      </c>
      <c r="H7" s="5">
        <f ca="1">Kompilirano!AT143</f>
        <v>0.29634955752212389</v>
      </c>
      <c r="I7" s="5">
        <f ca="1">Kompilirano!BD143</f>
        <v>0.37876106194690273</v>
      </c>
      <c r="J7" s="5">
        <f ca="1">Kompilirano!BN143</f>
        <v>3.8557346354414344E-2</v>
      </c>
      <c r="K7" s="5">
        <f ca="1">Kompilirano!BX143</f>
        <v>1.6902736277216359E-2</v>
      </c>
    </row>
    <row r="8" spans="2:11" x14ac:dyDescent="0.25">
      <c r="B8" t="s">
        <v>70</v>
      </c>
      <c r="C8" s="6">
        <f ca="1">Kompilirano!G9</f>
        <v>8.6</v>
      </c>
      <c r="D8" s="4">
        <f t="shared" ca="1" si="0"/>
        <v>449.52599118942726</v>
      </c>
      <c r="E8" s="7">
        <f ca="1">Kompilirano!AA9</f>
        <v>102042.4</v>
      </c>
      <c r="F8" s="6">
        <f ca="1">Kompilirano!Q9</f>
        <v>106.4</v>
      </c>
      <c r="G8" s="7">
        <f ca="1">Kompilirano!AI9</f>
        <v>17358.400000000001</v>
      </c>
      <c r="H8" s="5">
        <f ca="1">Kompilirano!AT9</f>
        <v>0.38150000000000001</v>
      </c>
      <c r="I8" s="5">
        <f ca="1">Kompilirano!BD9</f>
        <v>0.52920353982300894</v>
      </c>
      <c r="J8" s="5">
        <f ca="1">Kompilirano!BN9</f>
        <v>5.1476178240707784E-2</v>
      </c>
      <c r="K8" s="5">
        <f ca="1">Kompilirano!BX9</f>
        <v>2.4534803030818071E-2</v>
      </c>
    </row>
    <row r="9" spans="2:11" x14ac:dyDescent="0.25">
      <c r="B9" t="s">
        <v>71</v>
      </c>
      <c r="C9" s="6">
        <f ca="1">Kompilirano!G10</f>
        <v>8.4</v>
      </c>
      <c r="D9" s="4">
        <f t="shared" ca="1" si="0"/>
        <v>449.33215859030832</v>
      </c>
      <c r="E9" s="7">
        <f ca="1">Kompilirano!AA10</f>
        <v>101998.39999999999</v>
      </c>
      <c r="F9" s="6">
        <f ca="1">Kompilirano!Q10</f>
        <v>177</v>
      </c>
      <c r="G9" s="7">
        <f ca="1">Kompilirano!AI10</f>
        <v>12525.8</v>
      </c>
      <c r="H9" s="5">
        <f ca="1">Kompilirano!AT10</f>
        <v>0.27483185840707963</v>
      </c>
      <c r="I9" s="5">
        <f ca="1">Kompilirano!BD10</f>
        <v>0.2168141592920354</v>
      </c>
      <c r="J9" s="5">
        <f ca="1">Kompilirano!BN10</f>
        <v>4.014314019618126E-2</v>
      </c>
      <c r="K9" s="5">
        <f ca="1">Kompilirano!BX10</f>
        <v>6.6172381327256127E-2</v>
      </c>
    </row>
    <row r="10" spans="2:11" x14ac:dyDescent="0.25">
      <c r="B10" t="s">
        <v>111</v>
      </c>
      <c r="C10" s="6">
        <f ca="1">Kompilirano!G51</f>
        <v>9.6</v>
      </c>
      <c r="D10" s="4">
        <f t="shared" ca="1" si="0"/>
        <v>448.31101321585908</v>
      </c>
      <c r="E10" s="7">
        <f ca="1">Kompilirano!AA51</f>
        <v>101766.6</v>
      </c>
      <c r="F10" s="6">
        <f ca="1">Kompilirano!Q51</f>
        <v>104.6</v>
      </c>
      <c r="G10" s="7">
        <f ca="1">Kompilirano!AI51</f>
        <v>22753.200000000001</v>
      </c>
      <c r="H10" s="5">
        <f ca="1">Kompilirano!AT51</f>
        <v>0.49942920353982301</v>
      </c>
      <c r="I10" s="5">
        <f ca="1">Kompilirano!BD51</f>
        <v>0.53716814159292037</v>
      </c>
      <c r="J10" s="5">
        <f ca="1">Kompilirano!BN51</f>
        <v>7.6751257930229508E-2</v>
      </c>
      <c r="K10" s="5">
        <f ca="1">Kompilirano!BX51</f>
        <v>4.5526837763531537E-2</v>
      </c>
    </row>
    <row r="11" spans="2:11" x14ac:dyDescent="0.25">
      <c r="B11" t="s">
        <v>82</v>
      </c>
      <c r="C11" s="6">
        <f ca="1">Kompilirano!G21</f>
        <v>11</v>
      </c>
      <c r="D11" s="4">
        <f t="shared" ca="1" si="0"/>
        <v>447.19383259911893</v>
      </c>
      <c r="E11" s="7">
        <f ca="1">Kompilirano!AA21</f>
        <v>101513</v>
      </c>
      <c r="F11" s="6">
        <f ca="1">Kompilirano!Q21</f>
        <v>108.8</v>
      </c>
      <c r="G11" s="7">
        <f ca="1">Kompilirano!AI21</f>
        <v>22404</v>
      </c>
      <c r="H11" s="5">
        <f ca="1">Kompilirano!AT21</f>
        <v>0.49219026548672568</v>
      </c>
      <c r="I11" s="5">
        <f ca="1">Kompilirano!BD21</f>
        <v>0.51858407079646018</v>
      </c>
      <c r="J11" s="5">
        <f ca="1">Kompilirano!BN21</f>
        <v>7.1039196561430068E-2</v>
      </c>
      <c r="K11" s="5">
        <f ca="1">Kompilirano!BX21</f>
        <v>3.62565242073144E-2</v>
      </c>
    </row>
    <row r="12" spans="2:11" x14ac:dyDescent="0.25">
      <c r="B12" t="s">
        <v>83</v>
      </c>
      <c r="C12" s="6">
        <f ca="1">Kompilirano!G22</f>
        <v>10.199999999999999</v>
      </c>
      <c r="D12" s="4">
        <f t="shared" ca="1" si="0"/>
        <v>447.08810572687224</v>
      </c>
      <c r="E12" s="7">
        <f ca="1">Kompilirano!AA22</f>
        <v>101489</v>
      </c>
      <c r="F12" s="6">
        <f ca="1">Kompilirano!Q22</f>
        <v>114.2</v>
      </c>
      <c r="G12" s="7">
        <f ca="1">Kompilirano!AI22</f>
        <v>19685</v>
      </c>
      <c r="H12" s="5">
        <f ca="1">Kompilirano!AT22</f>
        <v>0.43214159292035398</v>
      </c>
      <c r="I12" s="5">
        <f ca="1">Kompilirano!BD22</f>
        <v>0.49469026548672562</v>
      </c>
      <c r="J12" s="5">
        <f ca="1">Kompilirano!BN22</f>
        <v>6.5942349471290448E-2</v>
      </c>
      <c r="K12" s="5">
        <f ca="1">Kompilirano!BX22</f>
        <v>5.1472207035704577E-2</v>
      </c>
    </row>
    <row r="13" spans="2:11" x14ac:dyDescent="0.25">
      <c r="B13" t="s">
        <v>76</v>
      </c>
      <c r="C13" s="6">
        <f ca="1">Kompilirano!G15</f>
        <v>11.8</v>
      </c>
      <c r="D13" s="4">
        <f t="shared" ca="1" si="0"/>
        <v>446.28722466960352</v>
      </c>
      <c r="E13" s="7">
        <f ca="1">Kompilirano!AA15</f>
        <v>101307.2</v>
      </c>
      <c r="F13" s="6">
        <f ca="1">Kompilirano!Q15</f>
        <v>189.4</v>
      </c>
      <c r="G13" s="7">
        <f ca="1">Kompilirano!AI15</f>
        <v>13451.8</v>
      </c>
      <c r="H13" s="5">
        <f ca="1">Kompilirano!AT15</f>
        <v>0.29678318584070795</v>
      </c>
      <c r="I13" s="5">
        <f ca="1">Kompilirano!BD15</f>
        <v>0.16194690265486722</v>
      </c>
      <c r="J13" s="5">
        <f ca="1">Kompilirano!BN15</f>
        <v>4.5517971127342446E-2</v>
      </c>
      <c r="K13" s="5">
        <f ca="1">Kompilirano!BX15</f>
        <v>9.0837214913534275E-2</v>
      </c>
    </row>
    <row r="14" spans="2:11" x14ac:dyDescent="0.25">
      <c r="B14" t="s">
        <v>81</v>
      </c>
      <c r="C14" s="6">
        <f ca="1">Kompilirano!G20</f>
        <v>13.4</v>
      </c>
      <c r="D14" s="4">
        <f t="shared" ca="1" si="0"/>
        <v>445.71277533039648</v>
      </c>
      <c r="E14" s="7">
        <f ca="1">Kompilirano!AA20</f>
        <v>101176.8</v>
      </c>
      <c r="F14" s="6">
        <f ca="1">Kompilirano!Q20</f>
        <v>161</v>
      </c>
      <c r="G14" s="7">
        <f ca="1">Kompilirano!AI20</f>
        <v>13150</v>
      </c>
      <c r="H14" s="5">
        <f ca="1">Kompilirano!AT20</f>
        <v>0.28991592920353981</v>
      </c>
      <c r="I14" s="5">
        <f ca="1">Kompilirano!BD20</f>
        <v>0.28761061946902655</v>
      </c>
      <c r="J14" s="5">
        <f ca="1">Kompilirano!BN20</f>
        <v>4.0547325152202607E-2</v>
      </c>
      <c r="K14" s="5">
        <f ca="1">Kompilirano!BX20</f>
        <v>6.0466331061025211E-2</v>
      </c>
    </row>
    <row r="15" spans="2:11" x14ac:dyDescent="0.25">
      <c r="B15" t="s">
        <v>135</v>
      </c>
      <c r="C15" s="6">
        <f ca="1">Kompilirano!G79</f>
        <v>14</v>
      </c>
      <c r="D15" s="4">
        <f t="shared" ca="1" si="0"/>
        <v>444.70748898678414</v>
      </c>
      <c r="E15" s="7">
        <f ca="1">Kompilirano!AA79</f>
        <v>100948.6</v>
      </c>
      <c r="F15" s="6">
        <f ca="1">Kompilirano!Q79</f>
        <v>29</v>
      </c>
      <c r="G15" s="7">
        <f ca="1">Kompilirano!AI79</f>
        <v>28602.400000000001</v>
      </c>
      <c r="H15" s="5">
        <f ca="1">Kompilirano!AT79</f>
        <v>0.62885398230088485</v>
      </c>
      <c r="I15" s="5">
        <f ca="1">Kompilirano!BD79</f>
        <v>0.87168141592920367</v>
      </c>
      <c r="J15" s="5">
        <f ca="1">Kompilirano!BN79</f>
        <v>9.0653045046277164E-2</v>
      </c>
      <c r="K15" s="5">
        <f ca="1">Kompilirano!BX79</f>
        <v>1.0335449108727603E-2</v>
      </c>
    </row>
    <row r="16" spans="2:11" x14ac:dyDescent="0.25">
      <c r="B16" t="s">
        <v>89</v>
      </c>
      <c r="C16" s="6">
        <f ca="1">Kompilirano!G28</f>
        <v>15.4</v>
      </c>
      <c r="D16" s="4">
        <f t="shared" ca="1" si="0"/>
        <v>443.66343612334805</v>
      </c>
      <c r="E16" s="7">
        <f ca="1">Kompilirano!AA28</f>
        <v>100711.6</v>
      </c>
      <c r="F16" s="6">
        <f ca="1">Kompilirano!Q28</f>
        <v>197.2</v>
      </c>
      <c r="G16" s="7">
        <f ca="1">Kompilirano!AI28</f>
        <v>8253.7999999999993</v>
      </c>
      <c r="H16" s="5">
        <f ca="1">Kompilirano!AT28</f>
        <v>0.18163716814159286</v>
      </c>
      <c r="I16" s="5">
        <f ca="1">Kompilirano!BD28</f>
        <v>0.1274336283185841</v>
      </c>
      <c r="J16" s="5">
        <f ca="1">Kompilirano!BN28</f>
        <v>2.6044604730722058E-2</v>
      </c>
      <c r="K16" s="5">
        <f ca="1">Kompilirano!BX28</f>
        <v>8.7838006934023383E-2</v>
      </c>
    </row>
    <row r="17" spans="2:11" x14ac:dyDescent="0.25">
      <c r="B17" t="s">
        <v>134</v>
      </c>
      <c r="C17" s="6">
        <f ca="1">Kompilirano!G78</f>
        <v>16.2</v>
      </c>
      <c r="D17" s="4">
        <f t="shared" ca="1" si="0"/>
        <v>443.65638766519822</v>
      </c>
      <c r="E17" s="7">
        <f ca="1">Kompilirano!AA78</f>
        <v>100710</v>
      </c>
      <c r="F17" s="6">
        <f ca="1">Kompilirano!Q78</f>
        <v>80.599999999999994</v>
      </c>
      <c r="G17" s="7">
        <f ca="1">Kompilirano!AI78</f>
        <v>25360.2</v>
      </c>
      <c r="H17" s="5">
        <f ca="1">Kompilirano!AT78</f>
        <v>0.5570796460176991</v>
      </c>
      <c r="I17" s="5">
        <f ca="1">Kompilirano!BD78</f>
        <v>0.64336283185840704</v>
      </c>
      <c r="J17" s="5">
        <f ca="1">Kompilirano!BN78</f>
        <v>8.4161423413209827E-2</v>
      </c>
      <c r="K17" s="5">
        <f ca="1">Kompilirano!BX78</f>
        <v>3.2014834464152632E-2</v>
      </c>
    </row>
    <row r="18" spans="2:11" x14ac:dyDescent="0.25">
      <c r="B18" t="s">
        <v>90</v>
      </c>
      <c r="C18" s="6">
        <f ca="1">Kompilirano!G29</f>
        <v>15.8</v>
      </c>
      <c r="D18" s="4">
        <f t="shared" ca="1" si="0"/>
        <v>443.06960352422908</v>
      </c>
      <c r="E18" s="7">
        <f ca="1">Kompilirano!AA29</f>
        <v>100576.8</v>
      </c>
      <c r="F18" s="6">
        <f ca="1">Kompilirano!Q29</f>
        <v>196.2</v>
      </c>
      <c r="G18" s="7">
        <f ca="1">Kompilirano!AI29</f>
        <v>11792.4</v>
      </c>
      <c r="H18" s="5">
        <f ca="1">Kompilirano!AT29</f>
        <v>0.26011061946902653</v>
      </c>
      <c r="I18" s="5">
        <f ca="1">Kompilirano!BD29</f>
        <v>0.13185840707964597</v>
      </c>
      <c r="J18" s="5">
        <f ca="1">Kompilirano!BN29</f>
        <v>4.0150201130576976E-2</v>
      </c>
      <c r="K18" s="5">
        <f ca="1">Kompilirano!BX29</f>
        <v>9.7944057952236693E-2</v>
      </c>
    </row>
    <row r="19" spans="2:11" x14ac:dyDescent="0.25">
      <c r="B19" t="s">
        <v>98</v>
      </c>
      <c r="C19" s="6">
        <f ca="1">Kompilirano!G38</f>
        <v>17</v>
      </c>
      <c r="D19" s="4">
        <f t="shared" ca="1" si="0"/>
        <v>442.71189427312777</v>
      </c>
      <c r="E19" s="7">
        <f ca="1">Kompilirano!AA38</f>
        <v>100495.6</v>
      </c>
      <c r="F19" s="6">
        <f ca="1">Kompilirano!Q38</f>
        <v>149.80000000000001</v>
      </c>
      <c r="G19" s="7">
        <f ca="1">Kompilirano!AI38</f>
        <v>20587.2</v>
      </c>
      <c r="H19" s="5">
        <f ca="1">Kompilirano!AT38</f>
        <v>0.45226548672566375</v>
      </c>
      <c r="I19" s="5">
        <f ca="1">Kompilirano!BD38</f>
        <v>0.33716814159292036</v>
      </c>
      <c r="J19" s="5">
        <f ca="1">Kompilirano!BN38</f>
        <v>6.8951976192656472E-2</v>
      </c>
      <c r="K19" s="5">
        <f ca="1">Kompilirano!BX38</f>
        <v>6.5119495634281488E-2</v>
      </c>
    </row>
    <row r="20" spans="2:11" x14ac:dyDescent="0.25">
      <c r="B20" t="s">
        <v>177</v>
      </c>
      <c r="C20" s="6">
        <f ca="1">Kompilirano!G123</f>
        <v>17.8</v>
      </c>
      <c r="D20" s="4">
        <f t="shared" ca="1" si="0"/>
        <v>441.45022026431718</v>
      </c>
      <c r="E20" s="7">
        <f ca="1">Kompilirano!AA123</f>
        <v>100209.2</v>
      </c>
      <c r="F20" s="6">
        <f ca="1">Kompilirano!Q123</f>
        <v>61</v>
      </c>
      <c r="G20" s="7">
        <f ca="1">Kompilirano!AI123</f>
        <v>25492.2</v>
      </c>
      <c r="H20" s="5">
        <f ca="1">Kompilirano!AT123</f>
        <v>0.56052654867256646</v>
      </c>
      <c r="I20" s="5">
        <f ca="1">Kompilirano!BD123</f>
        <v>0.73008849557522126</v>
      </c>
      <c r="J20" s="5">
        <f ca="1">Kompilirano!BN123</f>
        <v>8.1554975880875888E-2</v>
      </c>
      <c r="K20" s="5">
        <f ca="1">Kompilirano!BX123</f>
        <v>3.2091638136516262E-2</v>
      </c>
    </row>
    <row r="21" spans="2:11" x14ac:dyDescent="0.25">
      <c r="B21" t="s">
        <v>113</v>
      </c>
      <c r="C21" s="6">
        <f ca="1">Kompilirano!G53</f>
        <v>21.4</v>
      </c>
      <c r="D21" s="4">
        <f t="shared" ca="1" si="0"/>
        <v>439.65726872246694</v>
      </c>
      <c r="E21" s="7">
        <f ca="1">Kompilirano!AA53</f>
        <v>99802.2</v>
      </c>
      <c r="F21" s="6">
        <f ca="1">Kompilirano!Q53</f>
        <v>157</v>
      </c>
      <c r="G21" s="7">
        <f ca="1">Kompilirano!AI53</f>
        <v>15549</v>
      </c>
      <c r="H21" s="5">
        <f ca="1">Kompilirano!AT53</f>
        <v>0.34065044247787613</v>
      </c>
      <c r="I21" s="5">
        <f ca="1">Kompilirano!BD53</f>
        <v>0.30530973451327431</v>
      </c>
      <c r="J21" s="5">
        <f ca="1">Kompilirano!BN53</f>
        <v>5.305366064222343E-2</v>
      </c>
      <c r="K21" s="5">
        <f ca="1">Kompilirano!BX53</f>
        <v>7.8238730645797339E-2</v>
      </c>
    </row>
    <row r="22" spans="2:11" x14ac:dyDescent="0.25">
      <c r="B22" t="s">
        <v>163</v>
      </c>
      <c r="C22" s="6">
        <f ca="1">Kompilirano!G109</f>
        <v>21</v>
      </c>
      <c r="D22" s="4">
        <f t="shared" ca="1" si="0"/>
        <v>439.52158590308369</v>
      </c>
      <c r="E22" s="7">
        <f ca="1">Kompilirano!AA109</f>
        <v>99771.4</v>
      </c>
      <c r="F22" s="6">
        <f ca="1">Kompilirano!Q109</f>
        <v>41.2</v>
      </c>
      <c r="G22" s="7">
        <f ca="1">Kompilirano!AI109</f>
        <v>31223.4</v>
      </c>
      <c r="H22" s="5">
        <f ca="1">Kompilirano!AT109</f>
        <v>0.68688053097345136</v>
      </c>
      <c r="I22" s="5">
        <f ca="1">Kompilirano!BD109</f>
        <v>0.81769911504424775</v>
      </c>
      <c r="J22" s="5">
        <f ca="1">Kompilirano!BN109</f>
        <v>9.7904514265848536E-2</v>
      </c>
      <c r="K22" s="5">
        <f ca="1">Kompilirano!BX109</f>
        <v>-2.0251457197696318E-2</v>
      </c>
    </row>
    <row r="23" spans="2:11" x14ac:dyDescent="0.25">
      <c r="B23" t="s">
        <v>85</v>
      </c>
      <c r="C23" s="6">
        <f ca="1">Kompilirano!G24</f>
        <v>21.6</v>
      </c>
      <c r="D23" s="4">
        <f t="shared" ca="1" si="0"/>
        <v>439.30308370044054</v>
      </c>
      <c r="E23" s="7">
        <f ca="1">Kompilirano!AA24</f>
        <v>99721.8</v>
      </c>
      <c r="F23" s="6">
        <f ca="1">Kompilirano!Q24</f>
        <v>197.8</v>
      </c>
      <c r="G23" s="7">
        <f ca="1">Kompilirano!AI24</f>
        <v>7677.6</v>
      </c>
      <c r="H23" s="5">
        <f ca="1">Kompilirano!AT24</f>
        <v>0.16918141592920352</v>
      </c>
      <c r="I23" s="5">
        <f ca="1">Kompilirano!BD24</f>
        <v>0.12477876106194689</v>
      </c>
      <c r="J23" s="5">
        <f ca="1">Kompilirano!BN24</f>
        <v>2.3150175877113044E-2</v>
      </c>
      <c r="K23" s="5">
        <f ca="1">Kompilirano!BX24</f>
        <v>8.811347596928068E-2</v>
      </c>
    </row>
    <row r="24" spans="2:11" x14ac:dyDescent="0.25">
      <c r="B24" t="s">
        <v>99</v>
      </c>
      <c r="C24" s="6">
        <f ca="1">Kompilirano!G39</f>
        <v>21.2</v>
      </c>
      <c r="D24" s="4">
        <f t="shared" ca="1" si="0"/>
        <v>439.20881057268718</v>
      </c>
      <c r="E24" s="7">
        <f ca="1">Kompilirano!AA39</f>
        <v>99700.4</v>
      </c>
      <c r="F24" s="6">
        <f ca="1">Kompilirano!Q39</f>
        <v>107.4</v>
      </c>
      <c r="G24" s="7">
        <f ca="1">Kompilirano!AI39</f>
        <v>20892.8</v>
      </c>
      <c r="H24" s="5">
        <f ca="1">Kompilirano!AT39</f>
        <v>0.45942920353982303</v>
      </c>
      <c r="I24" s="5">
        <f ca="1">Kompilirano!BD39</f>
        <v>0.52477876106194699</v>
      </c>
      <c r="J24" s="5">
        <f ca="1">Kompilirano!BN39</f>
        <v>6.7254231048724494E-2</v>
      </c>
      <c r="K24" s="5">
        <f ca="1">Kompilirano!BX39</f>
        <v>5.1186378850280156E-2</v>
      </c>
    </row>
    <row r="25" spans="2:11" x14ac:dyDescent="0.25">
      <c r="B25" t="s">
        <v>65</v>
      </c>
      <c r="C25" s="6">
        <f ca="1">Kompilirano!G3</f>
        <v>24</v>
      </c>
      <c r="D25" s="4">
        <f t="shared" ca="1" si="0"/>
        <v>438.76916299559474</v>
      </c>
      <c r="E25" s="7">
        <f ca="1">Kompilirano!AA3</f>
        <v>99600.6</v>
      </c>
      <c r="F25" s="6">
        <f ca="1">Kompilirano!Q3</f>
        <v>97.8</v>
      </c>
      <c r="G25" s="7">
        <f ca="1">Kompilirano!AI3</f>
        <v>18820.599999999999</v>
      </c>
      <c r="H25" s="5">
        <f ca="1">Kompilirano!AT3</f>
        <v>0.41423451327433636</v>
      </c>
      <c r="I25" s="5">
        <f ca="1">Kompilirano!BD3</f>
        <v>0.56725663716814156</v>
      </c>
      <c r="J25" s="5">
        <f ca="1">Kompilirano!BN3</f>
        <v>5.4442977436565121E-2</v>
      </c>
      <c r="K25" s="5">
        <f ca="1">Kompilirano!BX3</f>
        <v>1.3396091533428342E-2</v>
      </c>
    </row>
    <row r="26" spans="2:11" x14ac:dyDescent="0.25">
      <c r="B26" t="s">
        <v>86</v>
      </c>
      <c r="C26" s="6">
        <f ca="1">Kompilirano!G25</f>
        <v>24.2</v>
      </c>
      <c r="D26" s="4">
        <f t="shared" ca="1" si="0"/>
        <v>438.1770925110132</v>
      </c>
      <c r="E26" s="7">
        <f ca="1">Kompilirano!AA25</f>
        <v>99466.2</v>
      </c>
      <c r="F26" s="6">
        <f ca="1">Kompilirano!Q25</f>
        <v>191.2</v>
      </c>
      <c r="G26" s="7">
        <f ca="1">Kompilirano!AI25</f>
        <v>7943.2</v>
      </c>
      <c r="H26" s="5">
        <f ca="1">Kompilirano!AT25</f>
        <v>0.17488938053097347</v>
      </c>
      <c r="I26" s="5">
        <f ca="1">Kompilirano!BD25</f>
        <v>0.15398230088495574</v>
      </c>
      <c r="J26" s="5">
        <f ca="1">Kompilirano!BN25</f>
        <v>2.3394565136286277E-2</v>
      </c>
      <c r="K26" s="5">
        <f ca="1">Kompilirano!BX25</f>
        <v>7.8771176759528896E-2</v>
      </c>
    </row>
    <row r="27" spans="2:11" x14ac:dyDescent="0.25">
      <c r="B27" t="s">
        <v>93</v>
      </c>
      <c r="C27" s="6">
        <f ca="1">Kompilirano!G33</f>
        <v>28.4</v>
      </c>
      <c r="D27" s="4">
        <f t="shared" ca="1" si="0"/>
        <v>436.45198237885467</v>
      </c>
      <c r="E27" s="7">
        <f ca="1">Kompilirano!AA33</f>
        <v>99074.6</v>
      </c>
      <c r="F27" s="6">
        <f ca="1">Kompilirano!Q33</f>
        <v>189.8</v>
      </c>
      <c r="G27" s="7">
        <f ca="1">Kompilirano!AI33</f>
        <v>8575.6</v>
      </c>
      <c r="H27" s="5">
        <f ca="1">Kompilirano!AT33</f>
        <v>0.18866814159292036</v>
      </c>
      <c r="I27" s="5">
        <f ca="1">Kompilirano!BD33</f>
        <v>0.16017699115044248</v>
      </c>
      <c r="J27" s="5">
        <f ca="1">Kompilirano!BN33</f>
        <v>2.5653839506369642E-2</v>
      </c>
      <c r="K27" s="5">
        <f ca="1">Kompilirano!BX33</f>
        <v>7.8091380430291776E-2</v>
      </c>
    </row>
    <row r="28" spans="2:11" x14ac:dyDescent="0.25">
      <c r="B28" t="s">
        <v>5</v>
      </c>
      <c r="C28" s="6">
        <f ca="1">Kompilirano!G56</f>
        <v>28.8</v>
      </c>
      <c r="D28" s="4">
        <f t="shared" ca="1" si="0"/>
        <v>436.19823788546256</v>
      </c>
      <c r="E28" s="7">
        <f ca="1">Kompilirano!AA56</f>
        <v>99017</v>
      </c>
      <c r="F28" s="6">
        <f ca="1">Kompilirano!Q56</f>
        <v>144.6</v>
      </c>
      <c r="G28" s="7">
        <f ca="1">Kompilirano!AI56</f>
        <v>18744.400000000001</v>
      </c>
      <c r="H28" s="5">
        <f ca="1">Kompilirano!AT56</f>
        <v>0.41290265486725664</v>
      </c>
      <c r="I28" s="5">
        <f ca="1">Kompilirano!BD56</f>
        <v>0.36017699115044255</v>
      </c>
      <c r="J28" s="5">
        <f ca="1">Kompilirano!BN56</f>
        <v>6.1497547001671239E-2</v>
      </c>
      <c r="K28" s="5">
        <f ca="1">Kompilirano!BX56</f>
        <v>7.1380274424959339E-2</v>
      </c>
    </row>
    <row r="29" spans="2:11" x14ac:dyDescent="0.25">
      <c r="B29" t="s">
        <v>122</v>
      </c>
      <c r="C29" s="6">
        <f ca="1">Kompilirano!G65</f>
        <v>33.4</v>
      </c>
      <c r="D29" s="4">
        <f t="shared" ca="1" si="0"/>
        <v>435.79383259911896</v>
      </c>
      <c r="E29" s="7">
        <f ca="1">Kompilirano!AA65</f>
        <v>98925.2</v>
      </c>
      <c r="F29" s="6">
        <f ca="1">Kompilirano!Q65</f>
        <v>134.80000000000001</v>
      </c>
      <c r="G29" s="7">
        <f ca="1">Kompilirano!AI65</f>
        <v>18551.2</v>
      </c>
      <c r="H29" s="5">
        <f ca="1">Kompilirano!AT65</f>
        <v>0.40786283185840705</v>
      </c>
      <c r="I29" s="5">
        <f ca="1">Kompilirano!BD65</f>
        <v>0.40353982300884966</v>
      </c>
      <c r="J29" s="5">
        <f ca="1">Kompilirano!BN65</f>
        <v>6.3797970986322144E-2</v>
      </c>
      <c r="K29" s="5">
        <f ca="1">Kompilirano!BX65</f>
        <v>8.041900540874454E-2</v>
      </c>
    </row>
    <row r="30" spans="2:11" x14ac:dyDescent="0.25">
      <c r="B30" t="s">
        <v>133</v>
      </c>
      <c r="C30" s="6">
        <f ca="1">Kompilirano!G77</f>
        <v>33.799999999999997</v>
      </c>
      <c r="D30" s="4">
        <f t="shared" ca="1" si="0"/>
        <v>435.71277533039648</v>
      </c>
      <c r="E30" s="7">
        <f ca="1">Kompilirano!AA77</f>
        <v>98906.8</v>
      </c>
      <c r="F30" s="6">
        <f ca="1">Kompilirano!Q77</f>
        <v>61.8</v>
      </c>
      <c r="G30" s="7">
        <f ca="1">Kompilirano!AI77</f>
        <v>25402</v>
      </c>
      <c r="H30" s="5">
        <f ca="1">Kompilirano!AT77</f>
        <v>0.55826106194690261</v>
      </c>
      <c r="I30" s="5">
        <f ca="1">Kompilirano!BD77</f>
        <v>0.72654867256637179</v>
      </c>
      <c r="J30" s="5">
        <f ca="1">Kompilirano!BN77</f>
        <v>8.008370171592602E-2</v>
      </c>
      <c r="K30" s="5">
        <f ca="1">Kompilirano!BX77</f>
        <v>1.5164156404101087E-2</v>
      </c>
    </row>
    <row r="31" spans="2:11" x14ac:dyDescent="0.25">
      <c r="B31" t="s">
        <v>80</v>
      </c>
      <c r="C31" s="6">
        <f ca="1">Kompilirano!G19</f>
        <v>32.200000000000003</v>
      </c>
      <c r="D31" s="4">
        <f t="shared" ca="1" si="0"/>
        <v>435.10044052863435</v>
      </c>
      <c r="E31" s="7">
        <f ca="1">Kompilirano!AA19</f>
        <v>98767.8</v>
      </c>
      <c r="F31" s="6">
        <f ca="1">Kompilirano!Q19</f>
        <v>166.2</v>
      </c>
      <c r="G31" s="7">
        <f ca="1">Kompilirano!AI19</f>
        <v>12336</v>
      </c>
      <c r="H31" s="5">
        <f ca="1">Kompilirano!AT19</f>
        <v>0.2717433628318584</v>
      </c>
      <c r="I31" s="5">
        <f ca="1">Kompilirano!BD19</f>
        <v>0.26460176991150441</v>
      </c>
      <c r="J31" s="5">
        <f ca="1">Kompilirano!BN19</f>
        <v>3.9170383029289518E-2</v>
      </c>
      <c r="K31" s="5">
        <f ca="1">Kompilirano!BX19</f>
        <v>8.2514447654806894E-2</v>
      </c>
    </row>
    <row r="32" spans="2:11" x14ac:dyDescent="0.25">
      <c r="B32" t="s">
        <v>137</v>
      </c>
      <c r="C32" s="6">
        <f ca="1">Kompilirano!G81</f>
        <v>36</v>
      </c>
      <c r="D32" s="4">
        <f t="shared" ca="1" si="0"/>
        <v>434.38502202643167</v>
      </c>
      <c r="E32" s="7">
        <f ca="1">Kompilirano!AA81</f>
        <v>98605.4</v>
      </c>
      <c r="F32" s="6">
        <f ca="1">Kompilirano!Q81</f>
        <v>66.8</v>
      </c>
      <c r="G32" s="7">
        <f ca="1">Kompilirano!AI81</f>
        <v>27482</v>
      </c>
      <c r="H32" s="5">
        <f ca="1">Kompilirano!AT81</f>
        <v>0.60400442477876104</v>
      </c>
      <c r="I32" s="5">
        <f ca="1">Kompilirano!BD81</f>
        <v>0.70442477876106191</v>
      </c>
      <c r="J32" s="5">
        <f ca="1">Kompilirano!BN81</f>
        <v>8.9768998493805041E-2</v>
      </c>
      <c r="K32" s="5">
        <f ca="1">Kompilirano!BX81</f>
        <v>2.1408196102829149E-2</v>
      </c>
    </row>
    <row r="33" spans="2:11" x14ac:dyDescent="0.25">
      <c r="B33" t="s">
        <v>151</v>
      </c>
      <c r="C33" s="6">
        <f ca="1">Kompilirano!G97</f>
        <v>35.200000000000003</v>
      </c>
      <c r="D33" s="4">
        <f t="shared" ca="1" si="0"/>
        <v>434.08458149779733</v>
      </c>
      <c r="E33" s="7">
        <f ca="1">Kompilirano!AA97</f>
        <v>98537.2</v>
      </c>
      <c r="F33" s="6">
        <f ca="1">Kompilirano!Q97</f>
        <v>69.599999999999994</v>
      </c>
      <c r="G33" s="7">
        <f ca="1">Kompilirano!AI97</f>
        <v>26430.799999999999</v>
      </c>
      <c r="H33" s="5">
        <f ca="1">Kompilirano!AT97</f>
        <v>0.58081415929203539</v>
      </c>
      <c r="I33" s="5">
        <f ca="1">Kompilirano!BD97</f>
        <v>0.69203539823008853</v>
      </c>
      <c r="J33" s="5">
        <f ca="1">Kompilirano!BN97</f>
        <v>8.6892969915485618E-2</v>
      </c>
      <c r="K33" s="5">
        <f ca="1">Kompilirano!BX97</f>
        <v>3.4735412816174441E-2</v>
      </c>
    </row>
    <row r="34" spans="2:11" x14ac:dyDescent="0.25">
      <c r="B34" t="s">
        <v>128</v>
      </c>
      <c r="C34" s="6">
        <f ca="1">Kompilirano!G72</f>
        <v>33.4</v>
      </c>
      <c r="D34" s="4">
        <f t="shared" ca="1" si="0"/>
        <v>433.99647577092509</v>
      </c>
      <c r="E34" s="7">
        <f ca="1">Kompilirano!AA72</f>
        <v>98517.2</v>
      </c>
      <c r="F34" s="6">
        <f ca="1">Kompilirano!Q72</f>
        <v>37</v>
      </c>
      <c r="G34" s="7">
        <f ca="1">Kompilirano!AI72</f>
        <v>27359.200000000001</v>
      </c>
      <c r="H34" s="5">
        <f ca="1">Kompilirano!AT72</f>
        <v>0.60130973451327441</v>
      </c>
      <c r="I34" s="5">
        <f ca="1">Kompilirano!BD72</f>
        <v>0.83628318584070804</v>
      </c>
      <c r="J34" s="5">
        <f ca="1">Kompilirano!BN72</f>
        <v>8.7694734458234141E-2</v>
      </c>
      <c r="K34" s="5">
        <f ca="1">Kompilirano!BX72</f>
        <v>2.8778927206372946E-2</v>
      </c>
    </row>
    <row r="35" spans="2:11" x14ac:dyDescent="0.25">
      <c r="B35" t="s">
        <v>192</v>
      </c>
      <c r="C35" s="6">
        <f ca="1">Kompilirano!G140</f>
        <v>33.799999999999997</v>
      </c>
      <c r="D35" s="4">
        <f t="shared" ca="1" si="0"/>
        <v>433.94889867841408</v>
      </c>
      <c r="E35" s="7">
        <f ca="1">Kompilirano!AA140</f>
        <v>98506.4</v>
      </c>
      <c r="F35" s="6">
        <f ca="1">Kompilirano!Q140</f>
        <v>114.8</v>
      </c>
      <c r="G35" s="7">
        <f ca="1">Kompilirano!AI140</f>
        <v>16436</v>
      </c>
      <c r="H35" s="5">
        <f ca="1">Kompilirano!AT140</f>
        <v>0.36165044247787614</v>
      </c>
      <c r="I35" s="5">
        <f ca="1">Kompilirano!BD140</f>
        <v>0.49203539823008846</v>
      </c>
      <c r="J35" s="5">
        <f ca="1">Kompilirano!BN140</f>
        <v>4.9283971567194773E-2</v>
      </c>
      <c r="K35" s="5">
        <f ca="1">Kompilirano!BX140</f>
        <v>4.848390526061281E-2</v>
      </c>
    </row>
    <row r="36" spans="2:11" x14ac:dyDescent="0.25">
      <c r="B36" t="s">
        <v>155</v>
      </c>
      <c r="C36" s="6">
        <f ca="1">Kompilirano!G101</f>
        <v>35.799999999999997</v>
      </c>
      <c r="D36" s="4">
        <f t="shared" ca="1" si="0"/>
        <v>433.30220264317182</v>
      </c>
      <c r="E36" s="7">
        <f ca="1">Kompilirano!AA101</f>
        <v>98359.6</v>
      </c>
      <c r="F36" s="6">
        <f ca="1">Kompilirano!Q101</f>
        <v>73.400000000000006</v>
      </c>
      <c r="G36" s="7">
        <f ca="1">Kompilirano!AI101</f>
        <v>26046</v>
      </c>
      <c r="H36" s="5">
        <f ca="1">Kompilirano!AT101</f>
        <v>0.5722654867256638</v>
      </c>
      <c r="I36" s="5">
        <f ca="1">Kompilirano!BD101</f>
        <v>0.67522123893805297</v>
      </c>
      <c r="J36" s="5">
        <f ca="1">Kompilirano!BN101</f>
        <v>8.5785979752690228E-2</v>
      </c>
      <c r="K36" s="5">
        <f ca="1">Kompilirano!BX101</f>
        <v>4.1099892820793162E-2</v>
      </c>
    </row>
    <row r="37" spans="2:11" x14ac:dyDescent="0.25">
      <c r="B37" t="s">
        <v>159</v>
      </c>
      <c r="C37" s="6">
        <f ca="1">Kompilirano!G105</f>
        <v>38.200000000000003</v>
      </c>
      <c r="D37" s="4">
        <f t="shared" ca="1" si="0"/>
        <v>432.72422907488982</v>
      </c>
      <c r="E37" s="7">
        <f ca="1">Kompilirano!AA105</f>
        <v>98228.4</v>
      </c>
      <c r="F37" s="6">
        <f ca="1">Kompilirano!Q105</f>
        <v>76.599999999999994</v>
      </c>
      <c r="G37" s="7">
        <f ca="1">Kompilirano!AI105</f>
        <v>27501.200000000001</v>
      </c>
      <c r="H37" s="5">
        <f ca="1">Kompilirano!AT105</f>
        <v>0.60530530973451324</v>
      </c>
      <c r="I37" s="5">
        <f ca="1">Kompilirano!BD105</f>
        <v>0.66106194690265485</v>
      </c>
      <c r="J37" s="5">
        <f ca="1">Kompilirano!BN105</f>
        <v>8.0718862259843177E-2</v>
      </c>
      <c r="K37" s="5">
        <f ca="1">Kompilirano!BX105</f>
        <v>-1.7202217727969302E-2</v>
      </c>
    </row>
    <row r="38" spans="2:11" x14ac:dyDescent="0.25">
      <c r="B38" t="s">
        <v>166</v>
      </c>
      <c r="C38" s="6">
        <f ca="1">Kompilirano!G112</f>
        <v>41.2</v>
      </c>
      <c r="D38" s="4">
        <f t="shared" ca="1" si="0"/>
        <v>432.60088105726868</v>
      </c>
      <c r="E38" s="7">
        <f ca="1">Kompilirano!AA112</f>
        <v>98200.4</v>
      </c>
      <c r="F38" s="6">
        <f ca="1">Kompilirano!Q112</f>
        <v>69.8</v>
      </c>
      <c r="G38" s="7">
        <f ca="1">Kompilirano!AI112</f>
        <v>27285.8</v>
      </c>
      <c r="H38" s="5">
        <f ca="1">Kompilirano!AT112</f>
        <v>0.59971238938053095</v>
      </c>
      <c r="I38" s="5">
        <f ca="1">Kompilirano!BD112</f>
        <v>0.69115044247787627</v>
      </c>
      <c r="J38" s="5">
        <f ca="1">Kompilirano!BN112</f>
        <v>8.8541828395436895E-2</v>
      </c>
      <c r="K38" s="5">
        <f ca="1">Kompilirano!BX112</f>
        <v>2.2805655538591957E-2</v>
      </c>
    </row>
    <row r="39" spans="2:11" x14ac:dyDescent="0.25">
      <c r="B39" t="s">
        <v>127</v>
      </c>
      <c r="C39" s="6">
        <f ca="1">Kompilirano!G71</f>
        <v>40.799999999999997</v>
      </c>
      <c r="D39" s="4">
        <f t="shared" ca="1" si="0"/>
        <v>431.79030837004404</v>
      </c>
      <c r="E39" s="7">
        <f ca="1">Kompilirano!AA71</f>
        <v>98016.4</v>
      </c>
      <c r="F39" s="6">
        <f ca="1">Kompilirano!Q71</f>
        <v>83.4</v>
      </c>
      <c r="G39" s="7">
        <f ca="1">Kompilirano!AI71</f>
        <v>23532.400000000001</v>
      </c>
      <c r="H39" s="5">
        <f ca="1">Kompilirano!AT71</f>
        <v>0.51728761061946904</v>
      </c>
      <c r="I39" s="5">
        <f ca="1">Kompilirano!BD71</f>
        <v>0.63097345132743354</v>
      </c>
      <c r="J39" s="5">
        <f ca="1">Kompilirano!BN71</f>
        <v>7.5658582936492844E-2</v>
      </c>
      <c r="K39" s="5">
        <f ca="1">Kompilirano!BX71</f>
        <v>5.404824154432173E-2</v>
      </c>
    </row>
    <row r="40" spans="2:11" x14ac:dyDescent="0.25">
      <c r="B40" t="s">
        <v>103</v>
      </c>
      <c r="C40" s="6">
        <f ca="1">Kompilirano!G43</f>
        <v>43.6</v>
      </c>
      <c r="D40" s="4">
        <f t="shared" ca="1" si="0"/>
        <v>431.2863436123348</v>
      </c>
      <c r="E40" s="7">
        <f ca="1">Kompilirano!AA43</f>
        <v>97902</v>
      </c>
      <c r="F40" s="6">
        <f ca="1">Kompilirano!Q43</f>
        <v>128.6</v>
      </c>
      <c r="G40" s="7">
        <f ca="1">Kompilirano!AI43</f>
        <v>13549.4</v>
      </c>
      <c r="H40" s="5">
        <f ca="1">Kompilirano!AT43</f>
        <v>0.29702212389380528</v>
      </c>
      <c r="I40" s="5">
        <f ca="1">Kompilirano!BD43</f>
        <v>0.43097345132743364</v>
      </c>
      <c r="J40" s="5">
        <f ca="1">Kompilirano!BN43</f>
        <v>3.9342073153556742E-2</v>
      </c>
      <c r="K40" s="5">
        <f ca="1">Kompilirano!BX43</f>
        <v>4.9627634866317091E-2</v>
      </c>
    </row>
    <row r="41" spans="2:11" x14ac:dyDescent="0.25">
      <c r="B41" t="s">
        <v>143</v>
      </c>
      <c r="C41" s="6">
        <f ca="1">Kompilirano!G89</f>
        <v>49</v>
      </c>
      <c r="D41" s="4">
        <f t="shared" ca="1" si="0"/>
        <v>430.14273127753302</v>
      </c>
      <c r="E41" s="7">
        <f ca="1">Kompilirano!AA89</f>
        <v>97642.4</v>
      </c>
      <c r="F41" s="6">
        <f ca="1">Kompilirano!Q89</f>
        <v>65</v>
      </c>
      <c r="G41" s="7">
        <f ca="1">Kompilirano!AI89</f>
        <v>25991.200000000001</v>
      </c>
      <c r="H41" s="5">
        <f ca="1">Kompilirano!AT89</f>
        <v>0.57104424778761054</v>
      </c>
      <c r="I41" s="5">
        <f ca="1">Kompilirano!BD89</f>
        <v>0.71238938053097356</v>
      </c>
      <c r="J41" s="5">
        <f ca="1">Kompilirano!BN89</f>
        <v>8.6041069895719524E-2</v>
      </c>
      <c r="K41" s="5">
        <f ca="1">Kompilirano!BX89</f>
        <v>4.3996440822446768E-2</v>
      </c>
    </row>
    <row r="42" spans="2:11" x14ac:dyDescent="0.25">
      <c r="B42" t="s">
        <v>77</v>
      </c>
      <c r="C42" s="6">
        <f ca="1">Kompilirano!G16</f>
        <v>50.8</v>
      </c>
      <c r="D42" s="4">
        <f t="shared" ca="1" si="0"/>
        <v>430.08193832599119</v>
      </c>
      <c r="E42" s="7">
        <f ca="1">Kompilirano!AA16</f>
        <v>97628.6</v>
      </c>
      <c r="F42" s="6">
        <f ca="1">Kompilirano!Q16</f>
        <v>94.2</v>
      </c>
      <c r="G42" s="7">
        <f ca="1">Kompilirano!AI16</f>
        <v>20115.400000000001</v>
      </c>
      <c r="H42" s="5">
        <f ca="1">Kompilirano!AT16</f>
        <v>0.44345132743362836</v>
      </c>
      <c r="I42" s="5">
        <f ca="1">Kompilirano!BD16</f>
        <v>0.58318584070796464</v>
      </c>
      <c r="J42" s="5">
        <f ca="1">Kompilirano!BN16</f>
        <v>6.1450469142460953E-2</v>
      </c>
      <c r="K42" s="5">
        <f ca="1">Kompilirano!BX16</f>
        <v>3.375446042126775E-2</v>
      </c>
    </row>
    <row r="43" spans="2:11" x14ac:dyDescent="0.25">
      <c r="B43" t="s">
        <v>92</v>
      </c>
      <c r="C43" s="6">
        <f ca="1">Kompilirano!G32</f>
        <v>50.4</v>
      </c>
      <c r="D43" s="4">
        <f t="shared" ca="1" si="0"/>
        <v>429.95066079295157</v>
      </c>
      <c r="E43" s="7">
        <f ca="1">Kompilirano!AA32</f>
        <v>97598.8</v>
      </c>
      <c r="F43" s="6">
        <f ca="1">Kompilirano!Q32</f>
        <v>197.2</v>
      </c>
      <c r="G43" s="7">
        <f ca="1">Kompilirano!AI32</f>
        <v>5878.4</v>
      </c>
      <c r="H43" s="5">
        <f ca="1">Kompilirano!AT32</f>
        <v>0.12946017699115048</v>
      </c>
      <c r="I43" s="5">
        <f ca="1">Kompilirano!BD32</f>
        <v>0.12743362831858407</v>
      </c>
      <c r="J43" s="5">
        <f ca="1">Kompilirano!BN32</f>
        <v>1.6717546013230507E-2</v>
      </c>
      <c r="K43" s="5">
        <f ca="1">Kompilirano!BX32</f>
        <v>8.9502658066788532E-2</v>
      </c>
    </row>
    <row r="44" spans="2:11" x14ac:dyDescent="0.25">
      <c r="B44" t="s">
        <v>169</v>
      </c>
      <c r="C44" s="6">
        <f ca="1">Kompilirano!G115</f>
        <v>50.4</v>
      </c>
      <c r="D44" s="4">
        <f t="shared" ca="1" si="0"/>
        <v>429.75066079295152</v>
      </c>
      <c r="E44" s="7">
        <f ca="1">Kompilirano!AA115</f>
        <v>97553.4</v>
      </c>
      <c r="F44" s="6">
        <f ca="1">Kompilirano!Q115</f>
        <v>20.2</v>
      </c>
      <c r="G44" s="7">
        <f ca="1">Kompilirano!AI115</f>
        <v>31245</v>
      </c>
      <c r="H44" s="5">
        <f ca="1">Kompilirano!AT115</f>
        <v>0.68738938053097354</v>
      </c>
      <c r="I44" s="5">
        <f ca="1">Kompilirano!BD115</f>
        <v>0.91061946902654878</v>
      </c>
      <c r="J44" s="5">
        <f ca="1">Kompilirano!BN115</f>
        <v>9.7273543962839798E-2</v>
      </c>
      <c r="K44" s="5">
        <f ca="1">Kompilirano!BX115</f>
        <v>-2.1704024234507312E-3</v>
      </c>
    </row>
    <row r="45" spans="2:11" x14ac:dyDescent="0.25">
      <c r="B45" t="s">
        <v>125</v>
      </c>
      <c r="C45" s="6">
        <f ca="1">Kompilirano!G69</f>
        <v>55</v>
      </c>
      <c r="D45" s="4">
        <f t="shared" ca="1" si="0"/>
        <v>429.69955947136566</v>
      </c>
      <c r="E45" s="7">
        <f ca="1">Kompilirano!AA69</f>
        <v>97541.8</v>
      </c>
      <c r="F45" s="6">
        <f ca="1">Kompilirano!Q69</f>
        <v>137</v>
      </c>
      <c r="G45" s="7">
        <f ca="1">Kompilirano!AI69</f>
        <v>20779.2</v>
      </c>
      <c r="H45" s="5">
        <f ca="1">Kompilirano!AT69</f>
        <v>0.45794690265486721</v>
      </c>
      <c r="I45" s="5">
        <f ca="1">Kompilirano!BD69</f>
        <v>0.39380530973451328</v>
      </c>
      <c r="J45" s="5">
        <f ca="1">Kompilirano!BN69</f>
        <v>6.8267697648564385E-2</v>
      </c>
      <c r="K45" s="5">
        <f ca="1">Kompilirano!BX69</f>
        <v>7.6045678799534569E-2</v>
      </c>
    </row>
    <row r="46" spans="2:11" x14ac:dyDescent="0.25">
      <c r="B46" t="s">
        <v>87</v>
      </c>
      <c r="C46" s="6">
        <f ca="1">Kompilirano!G26</f>
        <v>51</v>
      </c>
      <c r="D46" s="4">
        <f t="shared" ca="1" si="0"/>
        <v>429.63700440528635</v>
      </c>
      <c r="E46" s="7">
        <f ca="1">Kompilirano!AA26</f>
        <v>97527.6</v>
      </c>
      <c r="F46" s="6">
        <f ca="1">Kompilirano!Q26</f>
        <v>194.4</v>
      </c>
      <c r="G46" s="7">
        <f ca="1">Kompilirano!AI26</f>
        <v>6433.8</v>
      </c>
      <c r="H46" s="5">
        <f ca="1">Kompilirano!AT26</f>
        <v>0.1416548672566372</v>
      </c>
      <c r="I46" s="5">
        <f ca="1">Kompilirano!BD26</f>
        <v>0.13982300884955751</v>
      </c>
      <c r="J46" s="5">
        <f ca="1">Kompilirano!BN26</f>
        <v>1.8566973464818021E-2</v>
      </c>
      <c r="K46" s="5">
        <f ca="1">Kompilirano!BX26</f>
        <v>8.6387341530302059E-2</v>
      </c>
    </row>
    <row r="47" spans="2:11" x14ac:dyDescent="0.25">
      <c r="B47" t="s">
        <v>145</v>
      </c>
      <c r="C47" s="6">
        <f ca="1">Kompilirano!G91</f>
        <v>51.2</v>
      </c>
      <c r="D47" s="4">
        <f t="shared" ca="1" si="0"/>
        <v>429.52422907488989</v>
      </c>
      <c r="E47" s="7">
        <f ca="1">Kompilirano!AA91</f>
        <v>97502</v>
      </c>
      <c r="F47" s="6">
        <f ca="1">Kompilirano!Q91</f>
        <v>64.2</v>
      </c>
      <c r="G47" s="7">
        <f ca="1">Kompilirano!AI91</f>
        <v>24377</v>
      </c>
      <c r="H47" s="5">
        <f ca="1">Kompilirano!AT91</f>
        <v>0.53562831858407078</v>
      </c>
      <c r="I47" s="5">
        <f ca="1">Kompilirano!BD91</f>
        <v>0.71592920353982303</v>
      </c>
      <c r="J47" s="5">
        <f ca="1">Kompilirano!BN91</f>
        <v>8.1132013958139987E-2</v>
      </c>
      <c r="K47" s="5">
        <f ca="1">Kompilirano!BX91</f>
        <v>5.6915921517987945E-2</v>
      </c>
    </row>
    <row r="48" spans="2:11" x14ac:dyDescent="0.25">
      <c r="B48" t="s">
        <v>95</v>
      </c>
      <c r="C48" s="6">
        <f ca="1">Kompilirano!G35</f>
        <v>53.4</v>
      </c>
      <c r="D48" s="4">
        <f t="shared" ca="1" si="0"/>
        <v>429.52334801762117</v>
      </c>
      <c r="E48" s="7">
        <f ca="1">Kompilirano!AA35</f>
        <v>97501.8</v>
      </c>
      <c r="F48" s="6">
        <f ca="1">Kompilirano!Q35</f>
        <v>65.400000000000006</v>
      </c>
      <c r="G48" s="7">
        <f ca="1">Kompilirano!AI35</f>
        <v>27234.799999999999</v>
      </c>
      <c r="H48" s="5">
        <f ca="1">Kompilirano!AT35</f>
        <v>0.5993318584070797</v>
      </c>
      <c r="I48" s="5">
        <f ca="1">Kompilirano!BD35</f>
        <v>0.71061946902654871</v>
      </c>
      <c r="J48" s="5">
        <f ca="1">Kompilirano!BN35</f>
        <v>8.380717649822135E-2</v>
      </c>
      <c r="K48" s="5">
        <f ca="1">Kompilirano!BX35</f>
        <v>1.5678365021581781E-2</v>
      </c>
    </row>
    <row r="49" spans="2:11" x14ac:dyDescent="0.25">
      <c r="B49" t="s">
        <v>94</v>
      </c>
      <c r="C49" s="6">
        <f ca="1">Kompilirano!G34</f>
        <v>55.2</v>
      </c>
      <c r="D49" s="4">
        <f t="shared" ca="1" si="0"/>
        <v>429.5101321585903</v>
      </c>
      <c r="E49" s="7">
        <f ca="1">Kompilirano!AA34</f>
        <v>97498.8</v>
      </c>
      <c r="F49" s="6">
        <f ca="1">Kompilirano!Q34</f>
        <v>140.6</v>
      </c>
      <c r="G49" s="7">
        <f ca="1">Kompilirano!AI34</f>
        <v>11779.8</v>
      </c>
      <c r="H49" s="5">
        <f ca="1">Kompilirano!AT34</f>
        <v>0.25925221238938057</v>
      </c>
      <c r="I49" s="5">
        <f ca="1">Kompilirano!BD34</f>
        <v>0.37787610619469031</v>
      </c>
      <c r="J49" s="5">
        <f ca="1">Kompilirano!BN34</f>
        <v>3.2537078229221687E-2</v>
      </c>
      <c r="K49" s="5">
        <f ca="1">Kompilirano!BX34</f>
        <v>4.5248930042399368E-2</v>
      </c>
    </row>
    <row r="50" spans="2:11" x14ac:dyDescent="0.25">
      <c r="B50" t="s">
        <v>140</v>
      </c>
      <c r="C50" s="6">
        <f ca="1">Kompilirano!G84</f>
        <v>56.8</v>
      </c>
      <c r="D50" s="4">
        <f t="shared" ca="1" si="0"/>
        <v>429.45726872246695</v>
      </c>
      <c r="E50" s="7">
        <f ca="1">Kompilirano!AA84</f>
        <v>97486.8</v>
      </c>
      <c r="F50" s="6">
        <f ca="1">Kompilirano!Q84</f>
        <v>196.6</v>
      </c>
      <c r="G50" s="7">
        <f ca="1">Kompilirano!AI84</f>
        <v>7213.4</v>
      </c>
      <c r="H50" s="5">
        <f ca="1">Kompilirano!AT84</f>
        <v>0.15831858407079644</v>
      </c>
      <c r="I50" s="5">
        <f ca="1">Kompilirano!BD84</f>
        <v>0.13008849557522126</v>
      </c>
      <c r="J50" s="5">
        <f ca="1">Kompilirano!BN84</f>
        <v>2.2695080268334993E-2</v>
      </c>
      <c r="K50" s="5">
        <f ca="1">Kompilirano!BX84</f>
        <v>9.6806904560077595E-2</v>
      </c>
    </row>
    <row r="51" spans="2:11" x14ac:dyDescent="0.25">
      <c r="B51" t="s">
        <v>7</v>
      </c>
      <c r="C51" s="6">
        <f ca="1">Kompilirano!G64</f>
        <v>54.6</v>
      </c>
      <c r="D51" s="4">
        <f t="shared" ca="1" si="0"/>
        <v>429.43788546255502</v>
      </c>
      <c r="E51" s="7">
        <f ca="1">Kompilirano!AA64</f>
        <v>97482.4</v>
      </c>
      <c r="F51" s="6">
        <f ca="1">Kompilirano!Q64</f>
        <v>104.2</v>
      </c>
      <c r="G51" s="7">
        <f ca="1">Kompilirano!AI64</f>
        <v>22430</v>
      </c>
      <c r="H51" s="5">
        <f ca="1">Kompilirano!AT64</f>
        <v>0.49399557522123894</v>
      </c>
      <c r="I51" s="5">
        <f ca="1">Kompilirano!BD64</f>
        <v>0.5389380530973451</v>
      </c>
      <c r="J51" s="5">
        <f ca="1">Kompilirano!BN64</f>
        <v>7.2148426343744895E-2</v>
      </c>
      <c r="K51" s="5">
        <f ca="1">Kompilirano!BX64</f>
        <v>6.2107452611521466E-2</v>
      </c>
    </row>
    <row r="52" spans="2:11" x14ac:dyDescent="0.25">
      <c r="B52" t="s">
        <v>126</v>
      </c>
      <c r="C52" s="6">
        <f ca="1">Kompilirano!G70</f>
        <v>55.2</v>
      </c>
      <c r="D52" s="4">
        <f t="shared" ca="1" si="0"/>
        <v>429.25726872246696</v>
      </c>
      <c r="E52" s="7">
        <f ca="1">Kompilirano!AA70</f>
        <v>97441.4</v>
      </c>
      <c r="F52" s="6">
        <f ca="1">Kompilirano!Q70</f>
        <v>101</v>
      </c>
      <c r="G52" s="7">
        <f ca="1">Kompilirano!AI70</f>
        <v>22470.400000000001</v>
      </c>
      <c r="H52" s="5">
        <f ca="1">Kompilirano!AT70</f>
        <v>0.49492035398230083</v>
      </c>
      <c r="I52" s="5">
        <f ca="1">Kompilirano!BD70</f>
        <v>0.55309734513274333</v>
      </c>
      <c r="J52" s="5">
        <f ca="1">Kompilirano!BN70</f>
        <v>7.2101997084616953E-2</v>
      </c>
      <c r="K52" s="5">
        <f ca="1">Kompilirano!BX70</f>
        <v>6.150304399921741E-2</v>
      </c>
    </row>
    <row r="53" spans="2:11" x14ac:dyDescent="0.25">
      <c r="B53" t="s">
        <v>12</v>
      </c>
      <c r="C53" s="6">
        <f ca="1">Kompilirano!G66</f>
        <v>51</v>
      </c>
      <c r="D53" s="4">
        <f t="shared" ca="1" si="0"/>
        <v>429.22555066079292</v>
      </c>
      <c r="E53" s="7">
        <f ca="1">Kompilirano!AA66</f>
        <v>97434.2</v>
      </c>
      <c r="F53" s="6">
        <f ca="1">Kompilirano!Q66</f>
        <v>193.2</v>
      </c>
      <c r="G53" s="7">
        <f ca="1">Kompilirano!AI66</f>
        <v>6541.4</v>
      </c>
      <c r="H53" s="5">
        <f ca="1">Kompilirano!AT66</f>
        <v>0.14411946902654865</v>
      </c>
      <c r="I53" s="5">
        <f ca="1">Kompilirano!BD66</f>
        <v>0.14513274336283186</v>
      </c>
      <c r="J53" s="5">
        <f ca="1">Kompilirano!BN66</f>
        <v>1.8415398895012293E-2</v>
      </c>
      <c r="K53" s="5">
        <f ca="1">Kompilirano!BX66</f>
        <v>8.4865006017064773E-2</v>
      </c>
    </row>
    <row r="54" spans="2:11" x14ac:dyDescent="0.25">
      <c r="B54" t="s">
        <v>108</v>
      </c>
      <c r="C54" s="6">
        <f ca="1">Kompilirano!G48</f>
        <v>53.8</v>
      </c>
      <c r="D54" s="4">
        <f t="shared" ca="1" si="0"/>
        <v>429.22290748898683</v>
      </c>
      <c r="E54" s="7">
        <f ca="1">Kompilirano!AA48</f>
        <v>97433.600000000006</v>
      </c>
      <c r="F54" s="6">
        <f ca="1">Kompilirano!Q48</f>
        <v>73.8</v>
      </c>
      <c r="G54" s="7">
        <f ca="1">Kompilirano!AI48</f>
        <v>25116.2</v>
      </c>
      <c r="H54" s="5">
        <f ca="1">Kompilirano!AT48</f>
        <v>0.55282300884955748</v>
      </c>
      <c r="I54" s="5">
        <f ca="1">Kompilirano!BD48</f>
        <v>0.67345132743362834</v>
      </c>
      <c r="J54" s="5">
        <f ca="1">Kompilirano!BN48</f>
        <v>7.8776927003138708E-2</v>
      </c>
      <c r="K54" s="5">
        <f ca="1">Kompilirano!BX48</f>
        <v>3.5279218212207343E-2</v>
      </c>
    </row>
    <row r="55" spans="2:11" x14ac:dyDescent="0.25">
      <c r="B55" t="s">
        <v>110</v>
      </c>
      <c r="C55" s="6">
        <f ca="1">Kompilirano!G50</f>
        <v>52.4</v>
      </c>
      <c r="D55" s="4">
        <f t="shared" ca="1" si="0"/>
        <v>429.2</v>
      </c>
      <c r="E55" s="7">
        <f ca="1">Kompilirano!AA50</f>
        <v>97428.4</v>
      </c>
      <c r="F55" s="6">
        <f ca="1">Kompilirano!Q50</f>
        <v>196.4</v>
      </c>
      <c r="G55" s="7">
        <f ca="1">Kompilirano!AI50</f>
        <v>6047.6</v>
      </c>
      <c r="H55" s="5">
        <f ca="1">Kompilirano!AT50</f>
        <v>0.13308849557522123</v>
      </c>
      <c r="I55" s="5">
        <f ca="1">Kompilirano!BD50</f>
        <v>0.1309734513274336</v>
      </c>
      <c r="J55" s="5">
        <f ca="1">Kompilirano!BN50</f>
        <v>1.7197694685651677E-2</v>
      </c>
      <c r="K55" s="5">
        <f ca="1">Kompilirano!BX50</f>
        <v>8.8072949632161862E-2</v>
      </c>
    </row>
    <row r="56" spans="2:11" x14ac:dyDescent="0.25">
      <c r="B56" t="s">
        <v>119</v>
      </c>
      <c r="C56" s="6">
        <f ca="1">Kompilirano!G61</f>
        <v>54.4</v>
      </c>
      <c r="D56" s="4">
        <f t="shared" ca="1" si="0"/>
        <v>429.19471365638765</v>
      </c>
      <c r="E56" s="7">
        <f ca="1">Kompilirano!AA61</f>
        <v>97427.199999999997</v>
      </c>
      <c r="F56" s="6">
        <f ca="1">Kompilirano!Q61</f>
        <v>104</v>
      </c>
      <c r="G56" s="7">
        <f ca="1">Kompilirano!AI61</f>
        <v>22460.799999999999</v>
      </c>
      <c r="H56" s="5">
        <f ca="1">Kompilirano!AT61</f>
        <v>0.49451327433628317</v>
      </c>
      <c r="I56" s="5">
        <f ca="1">Kompilirano!BD61</f>
        <v>0.53982300884955747</v>
      </c>
      <c r="J56" s="5">
        <f ca="1">Kompilirano!BN61</f>
        <v>7.2233686090136043E-2</v>
      </c>
      <c r="K56" s="5">
        <f ca="1">Kompilirano!BX61</f>
        <v>6.0576717083646169E-2</v>
      </c>
    </row>
    <row r="57" spans="2:11" x14ac:dyDescent="0.25">
      <c r="B57" t="s">
        <v>11</v>
      </c>
      <c r="C57" s="6">
        <f ca="1">Kompilirano!G54</f>
        <v>57.6</v>
      </c>
      <c r="D57" s="4">
        <f t="shared" ca="1" si="0"/>
        <v>428.81938325991189</v>
      </c>
      <c r="E57" s="7">
        <f ca="1">Kompilirano!AA54</f>
        <v>97342</v>
      </c>
      <c r="F57" s="6">
        <f ca="1">Kompilirano!Q54</f>
        <v>197.4</v>
      </c>
      <c r="G57" s="7">
        <f ca="1">Kompilirano!AI54</f>
        <v>5492</v>
      </c>
      <c r="H57" s="5">
        <f ca="1">Kompilirano!AT54</f>
        <v>0.12095575221238937</v>
      </c>
      <c r="I57" s="5">
        <f ca="1">Kompilirano!BD54</f>
        <v>0.12654867256637167</v>
      </c>
      <c r="J57" s="5">
        <f ca="1">Kompilirano!BN54</f>
        <v>1.5462900841624471E-2</v>
      </c>
      <c r="K57" s="5">
        <f ca="1">Kompilirano!BX54</f>
        <v>9.0481446852804265E-2</v>
      </c>
    </row>
    <row r="58" spans="2:11" x14ac:dyDescent="0.25">
      <c r="B58" t="s">
        <v>118</v>
      </c>
      <c r="C58" s="6">
        <f ca="1">Kompilirano!G60</f>
        <v>54.2</v>
      </c>
      <c r="D58" s="4">
        <f t="shared" ca="1" si="0"/>
        <v>428.77621145374451</v>
      </c>
      <c r="E58" s="7">
        <f ca="1">Kompilirano!AA60</f>
        <v>97332.2</v>
      </c>
      <c r="F58" s="6">
        <f ca="1">Kompilirano!Q60</f>
        <v>114.2</v>
      </c>
      <c r="G58" s="7">
        <f ca="1">Kompilirano!AI60</f>
        <v>17169</v>
      </c>
      <c r="H58" s="5">
        <f ca="1">Kompilirano!AT60</f>
        <v>0.37765929203539822</v>
      </c>
      <c r="I58" s="5">
        <f ca="1">Kompilirano!BD60</f>
        <v>0.49469026548672568</v>
      </c>
      <c r="J58" s="5">
        <f ca="1">Kompilirano!BN60</f>
        <v>4.6290889962885259E-2</v>
      </c>
      <c r="K58" s="5">
        <f ca="1">Kompilirano!BX60</f>
        <v>-1.9244007664244E-3</v>
      </c>
    </row>
    <row r="59" spans="2:11" x14ac:dyDescent="0.25">
      <c r="B59" t="s">
        <v>121</v>
      </c>
      <c r="C59" s="6">
        <f ca="1">Kompilirano!G63</f>
        <v>53.6</v>
      </c>
      <c r="D59" s="4">
        <f t="shared" ca="1" si="0"/>
        <v>428.68898678414092</v>
      </c>
      <c r="E59" s="7">
        <f ca="1">Kompilirano!AA63</f>
        <v>97312.4</v>
      </c>
      <c r="F59" s="6">
        <f ca="1">Kompilirano!Q63</f>
        <v>98.6</v>
      </c>
      <c r="G59" s="7">
        <f ca="1">Kompilirano!AI63</f>
        <v>22872.799999999999</v>
      </c>
      <c r="H59" s="5">
        <f ca="1">Kompilirano!AT63</f>
        <v>0.50365929203539817</v>
      </c>
      <c r="I59" s="5">
        <f ca="1">Kompilirano!BD63</f>
        <v>0.56371681415929209</v>
      </c>
      <c r="J59" s="5">
        <f ca="1">Kompilirano!BN63</f>
        <v>7.35208759631861E-2</v>
      </c>
      <c r="K59" s="5">
        <f ca="1">Kompilirano!BX63</f>
        <v>6.1118517514043416E-2</v>
      </c>
    </row>
    <row r="60" spans="2:11" x14ac:dyDescent="0.25">
      <c r="B60" t="s">
        <v>106</v>
      </c>
      <c r="C60" s="6">
        <f ca="1">Kompilirano!G46</f>
        <v>59</v>
      </c>
      <c r="D60" s="4">
        <f t="shared" ca="1" si="0"/>
        <v>428.57797356828195</v>
      </c>
      <c r="E60" s="7">
        <f ca="1">Kompilirano!AA46</f>
        <v>97287.2</v>
      </c>
      <c r="F60" s="6">
        <f ca="1">Kompilirano!Q46</f>
        <v>189.6</v>
      </c>
      <c r="G60" s="7">
        <f ca="1">Kompilirano!AI46</f>
        <v>6706.4</v>
      </c>
      <c r="H60" s="5">
        <f ca="1">Kompilirano!AT46</f>
        <v>0.14772123893805314</v>
      </c>
      <c r="I60" s="5">
        <f ca="1">Kompilirano!BD46</f>
        <v>0.16106194690265488</v>
      </c>
      <c r="J60" s="5">
        <f ca="1">Kompilirano!BN46</f>
        <v>1.9241045849310766E-2</v>
      </c>
      <c r="K60" s="5">
        <f ca="1">Kompilirano!BX46</f>
        <v>8.6567772711259039E-2</v>
      </c>
    </row>
    <row r="61" spans="2:11" x14ac:dyDescent="0.25">
      <c r="B61" t="s">
        <v>97</v>
      </c>
      <c r="C61" s="6">
        <f ca="1">Kompilirano!G37</f>
        <v>57</v>
      </c>
      <c r="D61" s="4">
        <f t="shared" ca="1" si="0"/>
        <v>428.39030837004407</v>
      </c>
      <c r="E61" s="7">
        <f ca="1">Kompilirano!AA37</f>
        <v>97244.6</v>
      </c>
      <c r="F61" s="6">
        <f ca="1">Kompilirano!Q37</f>
        <v>197.2</v>
      </c>
      <c r="G61" s="7">
        <f ca="1">Kompilirano!AI37</f>
        <v>5591</v>
      </c>
      <c r="H61" s="5">
        <f ca="1">Kompilirano!AT37</f>
        <v>0.1230575221238938</v>
      </c>
      <c r="I61" s="5">
        <f ca="1">Kompilirano!BD37</f>
        <v>0.12743362831858407</v>
      </c>
      <c r="J61" s="5">
        <f ca="1">Kompilirano!BN37</f>
        <v>1.5731649923865318E-2</v>
      </c>
      <c r="K61" s="5">
        <f ca="1">Kompilirano!BX37</f>
        <v>8.9008774123122358E-2</v>
      </c>
    </row>
    <row r="62" spans="2:11" x14ac:dyDescent="0.25">
      <c r="B62" t="s">
        <v>78</v>
      </c>
      <c r="C62" s="6">
        <f ca="1">Kompilirano!G17</f>
        <v>59.4</v>
      </c>
      <c r="D62" s="4">
        <f t="shared" ca="1" si="0"/>
        <v>428.37356828193833</v>
      </c>
      <c r="E62" s="7">
        <f ca="1">Kompilirano!AA17</f>
        <v>97240.8</v>
      </c>
      <c r="F62" s="6">
        <f ca="1">Kompilirano!Q17</f>
        <v>124.6</v>
      </c>
      <c r="G62" s="7">
        <f ca="1">Kompilirano!AI17</f>
        <v>17516.8</v>
      </c>
      <c r="H62" s="5">
        <f ca="1">Kompilirano!AT17</f>
        <v>0.38552212389380525</v>
      </c>
      <c r="I62" s="5">
        <f ca="1">Kompilirano!BD17</f>
        <v>0.4486725663716814</v>
      </c>
      <c r="J62" s="5">
        <f ca="1">Kompilirano!BN17</f>
        <v>5.3411425550634627E-2</v>
      </c>
      <c r="K62" s="5">
        <f ca="1">Kompilirano!BX17</f>
        <v>4.9889387387878195E-2</v>
      </c>
    </row>
    <row r="63" spans="2:11" x14ac:dyDescent="0.25">
      <c r="B63" t="s">
        <v>114</v>
      </c>
      <c r="C63" s="6">
        <f ca="1">Kompilirano!G55</f>
        <v>59</v>
      </c>
      <c r="D63" s="4">
        <f t="shared" ca="1" si="0"/>
        <v>427.85022026431716</v>
      </c>
      <c r="E63" s="7">
        <f ca="1">Kompilirano!AA55</f>
        <v>97122</v>
      </c>
      <c r="F63" s="6">
        <f ca="1">Kompilirano!Q55</f>
        <v>180.6</v>
      </c>
      <c r="G63" s="7">
        <f ca="1">Kompilirano!AI55</f>
        <v>9344.2000000000007</v>
      </c>
      <c r="H63" s="5">
        <f ca="1">Kompilirano!AT55</f>
        <v>0.20599999999999996</v>
      </c>
      <c r="I63" s="5">
        <f ca="1">Kompilirano!BD55</f>
        <v>0.20088495575221241</v>
      </c>
      <c r="J63" s="5">
        <f ca="1">Kompilirano!BN55</f>
        <v>2.8726015112118076E-2</v>
      </c>
      <c r="K63" s="5">
        <f ca="1">Kompilirano!BX55</f>
        <v>9.0421990599514654E-2</v>
      </c>
    </row>
    <row r="64" spans="2:11" x14ac:dyDescent="0.25">
      <c r="B64" t="s">
        <v>15</v>
      </c>
      <c r="C64" s="6">
        <f ca="1">Kompilirano!G155</f>
        <v>61.2</v>
      </c>
      <c r="D64" s="4">
        <f t="shared" ca="1" si="0"/>
        <v>427.76916299559474</v>
      </c>
      <c r="E64" s="7">
        <f ca="1">Kompilirano!AA155</f>
        <v>97103.6</v>
      </c>
      <c r="F64" s="6">
        <f ca="1">Kompilirano!Q155</f>
        <v>149.80000000000001</v>
      </c>
      <c r="G64" s="7">
        <f ca="1">Kompilirano!AI155</f>
        <v>16771.400000000001</v>
      </c>
      <c r="H64" s="5">
        <f ca="1">Kompilirano!AT155</f>
        <v>0.36985398230088495</v>
      </c>
      <c r="I64" s="5">
        <f ca="1">Kompilirano!BD155</f>
        <v>0.33716814159292036</v>
      </c>
      <c r="J64" s="5">
        <f ca="1">Kompilirano!BN155</f>
        <v>5.3372759010213489E-2</v>
      </c>
      <c r="K64" s="5">
        <f ca="1">Kompilirano!BX155</f>
        <v>8.0390229713510258E-2</v>
      </c>
    </row>
    <row r="65" spans="2:11" x14ac:dyDescent="0.25">
      <c r="B65" t="s">
        <v>115</v>
      </c>
      <c r="C65" s="6">
        <f ca="1">Kompilirano!G57</f>
        <v>63</v>
      </c>
      <c r="D65" s="4">
        <f t="shared" ca="1" si="0"/>
        <v>427.48810572687228</v>
      </c>
      <c r="E65" s="7">
        <f ca="1">Kompilirano!AA57</f>
        <v>97039.8</v>
      </c>
      <c r="F65" s="6">
        <f ca="1">Kompilirano!Q57</f>
        <v>199.6</v>
      </c>
      <c r="G65" s="7">
        <f ca="1">Kompilirano!AI57</f>
        <v>5532.6</v>
      </c>
      <c r="H65" s="5">
        <f ca="1">Kompilirano!AT57</f>
        <v>0.12187168141592916</v>
      </c>
      <c r="I65" s="5">
        <f ca="1">Kompilirano!BD57</f>
        <v>0.1168141592920354</v>
      </c>
      <c r="J65" s="5">
        <f ca="1">Kompilirano!BN57</f>
        <v>1.5647436806494379E-2</v>
      </c>
      <c r="K65" s="5">
        <f ca="1">Kompilirano!BX57</f>
        <v>9.0200493303941823E-2</v>
      </c>
    </row>
    <row r="66" spans="2:11" x14ac:dyDescent="0.25">
      <c r="B66" t="s">
        <v>104</v>
      </c>
      <c r="C66" s="6">
        <f ca="1">Kompilirano!G44</f>
        <v>64.599999999999994</v>
      </c>
      <c r="D66" s="4">
        <f t="shared" ca="1" si="0"/>
        <v>427.2149779735683</v>
      </c>
      <c r="E66" s="7">
        <f ca="1">Kompilirano!AA44</f>
        <v>96977.8</v>
      </c>
      <c r="F66" s="6">
        <f ca="1">Kompilirano!Q44</f>
        <v>132.19999999999999</v>
      </c>
      <c r="G66" s="7">
        <f ca="1">Kompilirano!AI44</f>
        <v>19415.2</v>
      </c>
      <c r="H66" s="5">
        <f ca="1">Kompilirano!AT44</f>
        <v>0.427924778761062</v>
      </c>
      <c r="I66" s="5">
        <f ca="1">Kompilirano!BD44</f>
        <v>0.41504424778761057</v>
      </c>
      <c r="J66" s="5">
        <f ca="1">Kompilirano!BN44</f>
        <v>6.1083391265213782E-2</v>
      </c>
      <c r="K66" s="5">
        <f ca="1">Kompilirano!BX44</f>
        <v>5.2081254197879921E-2</v>
      </c>
    </row>
    <row r="67" spans="2:11" x14ac:dyDescent="0.25">
      <c r="B67" t="s">
        <v>204</v>
      </c>
      <c r="C67" s="6">
        <f ca="1">Kompilirano!G153</f>
        <v>66</v>
      </c>
      <c r="D67" s="4">
        <f t="shared" ca="1" si="0"/>
        <v>426.98590308370046</v>
      </c>
      <c r="E67" s="7">
        <f ca="1">Kompilirano!AA153</f>
        <v>96925.8</v>
      </c>
      <c r="F67" s="6">
        <f ca="1">Kompilirano!Q153</f>
        <v>137.80000000000001</v>
      </c>
      <c r="G67" s="7">
        <f ca="1">Kompilirano!AI153</f>
        <v>12251</v>
      </c>
      <c r="H67" s="5">
        <f ca="1">Kompilirano!AT153</f>
        <v>0.2705929203539823</v>
      </c>
      <c r="I67" s="5">
        <f ca="1">Kompilirano!BD153</f>
        <v>0.39026548672566369</v>
      </c>
      <c r="J67" s="5">
        <f ca="1">Kompilirano!BN153</f>
        <v>3.6223080412750422E-2</v>
      </c>
      <c r="K67" s="5">
        <f ca="1">Kompilirano!BX153</f>
        <v>6.3192165058282609E-2</v>
      </c>
    </row>
    <row r="68" spans="2:11" x14ac:dyDescent="0.25">
      <c r="B68" t="s">
        <v>101</v>
      </c>
      <c r="C68" s="6">
        <f ca="1">Kompilirano!G41</f>
        <v>66</v>
      </c>
      <c r="D68" s="4">
        <f t="shared" ref="D68:D131" ca="1" si="1">E68/227</f>
        <v>426.79207048458153</v>
      </c>
      <c r="E68" s="7">
        <f ca="1">Kompilirano!AA41</f>
        <v>96881.8</v>
      </c>
      <c r="F68" s="6">
        <f ca="1">Kompilirano!Q41</f>
        <v>82.2</v>
      </c>
      <c r="G68" s="7">
        <f ca="1">Kompilirano!AI41</f>
        <v>22771.599999999999</v>
      </c>
      <c r="H68" s="5">
        <f ca="1">Kompilirano!AT41</f>
        <v>0.50110176991150435</v>
      </c>
      <c r="I68" s="5">
        <f ca="1">Kompilirano!BD41</f>
        <v>0.63628318584070798</v>
      </c>
      <c r="J68" s="5">
        <f ca="1">Kompilirano!BN41</f>
        <v>7.173337552738239E-2</v>
      </c>
      <c r="K68" s="5">
        <f ca="1">Kompilirano!BX41</f>
        <v>5.001421506630923E-2</v>
      </c>
    </row>
    <row r="69" spans="2:11" x14ac:dyDescent="0.25">
      <c r="B69" t="s">
        <v>196</v>
      </c>
      <c r="C69" s="6">
        <f ca="1">Kompilirano!G145</f>
        <v>65</v>
      </c>
      <c r="D69" s="4">
        <f t="shared" ca="1" si="1"/>
        <v>426.43348017621145</v>
      </c>
      <c r="E69" s="7">
        <f ca="1">Kompilirano!AA145</f>
        <v>96800.4</v>
      </c>
      <c r="F69" s="6">
        <f ca="1">Kompilirano!Q145</f>
        <v>143.6</v>
      </c>
      <c r="G69" s="7">
        <f ca="1">Kompilirano!AI145</f>
        <v>15683.4</v>
      </c>
      <c r="H69" s="5">
        <f ca="1">Kompilirano!AT145</f>
        <v>0.34376106194690265</v>
      </c>
      <c r="I69" s="5">
        <f ca="1">Kompilirano!BD145</f>
        <v>0.36460176991150439</v>
      </c>
      <c r="J69" s="5">
        <f ca="1">Kompilirano!BN145</f>
        <v>4.2595924947443256E-2</v>
      </c>
      <c r="K69" s="5">
        <f ca="1">Kompilirano!BX145</f>
        <v>1.5383510607120444E-2</v>
      </c>
    </row>
    <row r="70" spans="2:11" x14ac:dyDescent="0.25">
      <c r="B70" t="s">
        <v>195</v>
      </c>
      <c r="C70" s="6">
        <f ca="1">Kompilirano!G144</f>
        <v>72.2</v>
      </c>
      <c r="D70" s="4">
        <f t="shared" ca="1" si="1"/>
        <v>426.20176211453747</v>
      </c>
      <c r="E70" s="7">
        <f ca="1">Kompilirano!AA144</f>
        <v>96747.8</v>
      </c>
      <c r="F70" s="6">
        <f ca="1">Kompilirano!Q144</f>
        <v>102.8</v>
      </c>
      <c r="G70" s="7">
        <f ca="1">Kompilirano!AI144</f>
        <v>22027.8</v>
      </c>
      <c r="H70" s="5">
        <f ca="1">Kompilirano!AT144</f>
        <v>0.48513716814159286</v>
      </c>
      <c r="I70" s="5">
        <f ca="1">Kompilirano!BD144</f>
        <v>0.5451327433628318</v>
      </c>
      <c r="J70" s="5">
        <f ca="1">Kompilirano!BN144</f>
        <v>6.9106571771543557E-2</v>
      </c>
      <c r="K70" s="5">
        <f ca="1">Kompilirano!BX144</f>
        <v>5.046847781923873E-2</v>
      </c>
    </row>
    <row r="71" spans="2:11" x14ac:dyDescent="0.25">
      <c r="B71" t="s">
        <v>67</v>
      </c>
      <c r="C71" s="6">
        <f ca="1">Kompilirano!G6</f>
        <v>71.599999999999994</v>
      </c>
      <c r="D71" s="4">
        <f t="shared" ca="1" si="1"/>
        <v>426.18678414096911</v>
      </c>
      <c r="E71" s="7">
        <f ca="1">Kompilirano!AA6</f>
        <v>96744.4</v>
      </c>
      <c r="F71" s="6">
        <f ca="1">Kompilirano!Q6</f>
        <v>103.6</v>
      </c>
      <c r="G71" s="7">
        <f ca="1">Kompilirano!AI6</f>
        <v>15627</v>
      </c>
      <c r="H71" s="5">
        <f ca="1">Kompilirano!AT6</f>
        <v>0.34381858407079646</v>
      </c>
      <c r="I71" s="5">
        <f ca="1">Kompilirano!BD6</f>
        <v>0.54159292035398232</v>
      </c>
      <c r="J71" s="5">
        <f ca="1">Kompilirano!BN6</f>
        <v>4.2351858439197212E-2</v>
      </c>
      <c r="K71" s="5">
        <f ca="1">Kompilirano!BX6</f>
        <v>1.1336801383815544E-2</v>
      </c>
    </row>
    <row r="72" spans="2:11" x14ac:dyDescent="0.25">
      <c r="B72" t="s">
        <v>124</v>
      </c>
      <c r="C72" s="6">
        <f ca="1">Kompilirano!G68</f>
        <v>72</v>
      </c>
      <c r="D72" s="4">
        <f t="shared" ca="1" si="1"/>
        <v>425.95242290748899</v>
      </c>
      <c r="E72" s="7">
        <f ca="1">Kompilirano!AA68</f>
        <v>96691.199999999997</v>
      </c>
      <c r="F72" s="6">
        <f ca="1">Kompilirano!Q68</f>
        <v>24.2</v>
      </c>
      <c r="G72" s="7">
        <f ca="1">Kompilirano!AI68</f>
        <v>32283</v>
      </c>
      <c r="H72" s="5">
        <f ca="1">Kompilirano!AT68</f>
        <v>0.71030530973451333</v>
      </c>
      <c r="I72" s="5">
        <f ca="1">Kompilirano!BD68</f>
        <v>0.89292035398230085</v>
      </c>
      <c r="J72" s="5">
        <f ca="1">Kompilirano!BN68</f>
        <v>9.8587816685976881E-2</v>
      </c>
      <c r="K72" s="5">
        <f ca="1">Kompilirano!BX68</f>
        <v>-1.8109664591749747E-2</v>
      </c>
    </row>
    <row r="73" spans="2:11" x14ac:dyDescent="0.25">
      <c r="B73" t="s">
        <v>176</v>
      </c>
      <c r="C73" s="6">
        <f ca="1">Kompilirano!G122</f>
        <v>70.599999999999994</v>
      </c>
      <c r="D73" s="4">
        <f t="shared" ca="1" si="1"/>
        <v>425.90132158590313</v>
      </c>
      <c r="E73" s="7">
        <f ca="1">Kompilirano!AA122</f>
        <v>96679.6</v>
      </c>
      <c r="F73" s="6">
        <f ca="1">Kompilirano!Q122</f>
        <v>191</v>
      </c>
      <c r="G73" s="7">
        <f ca="1">Kompilirano!AI122</f>
        <v>10159.6</v>
      </c>
      <c r="H73" s="5">
        <f ca="1">Kompilirano!AT122</f>
        <v>0.22327433628318585</v>
      </c>
      <c r="I73" s="5">
        <f ca="1">Kompilirano!BD122</f>
        <v>0.15486725663716813</v>
      </c>
      <c r="J73" s="5">
        <f ca="1">Kompilirano!BN122</f>
        <v>3.1386921516208283E-2</v>
      </c>
      <c r="K73" s="5">
        <f ca="1">Kompilirano!BX122</f>
        <v>8.7588334294927184E-2</v>
      </c>
    </row>
    <row r="74" spans="2:11" x14ac:dyDescent="0.25">
      <c r="B74" t="s">
        <v>214</v>
      </c>
      <c r="C74" s="6">
        <f ca="1">Kompilirano!G164</f>
        <v>71.599999999999994</v>
      </c>
      <c r="D74" s="4">
        <f t="shared" ca="1" si="1"/>
        <v>425.85286343612336</v>
      </c>
      <c r="E74" s="7">
        <f ca="1">Kompilirano!AA164</f>
        <v>96668.6</v>
      </c>
      <c r="F74" s="6">
        <f ca="1">Kompilirano!Q164</f>
        <v>147</v>
      </c>
      <c r="G74" s="7">
        <f ca="1">Kompilirano!AI164</f>
        <v>10640.4</v>
      </c>
      <c r="H74" s="5">
        <f ca="1">Kompilirano!AT164</f>
        <v>0.23301769911504425</v>
      </c>
      <c r="I74" s="5">
        <f ca="1">Kompilirano!BD164</f>
        <v>0.34955752212389379</v>
      </c>
      <c r="J74" s="5">
        <f ca="1">Kompilirano!BN164</f>
        <v>3.0629630163383582E-2</v>
      </c>
      <c r="K74" s="5">
        <f ca="1">Kompilirano!BX164</f>
        <v>6.3236734098099601E-2</v>
      </c>
    </row>
    <row r="75" spans="2:11" x14ac:dyDescent="0.25">
      <c r="B75" t="s">
        <v>241</v>
      </c>
      <c r="C75" s="6">
        <f ca="1">Kompilirano!G193</f>
        <v>74</v>
      </c>
      <c r="D75" s="4">
        <f t="shared" ca="1" si="1"/>
        <v>425.83083700440534</v>
      </c>
      <c r="E75" s="7">
        <f ca="1">Kompilirano!AA193</f>
        <v>96663.6</v>
      </c>
      <c r="F75" s="6">
        <f ca="1">Kompilirano!Q193</f>
        <v>197.2</v>
      </c>
      <c r="G75" s="7">
        <f ca="1">Kompilirano!AI193</f>
        <v>5145.2</v>
      </c>
      <c r="H75" s="5">
        <f ca="1">Kompilirano!AT193</f>
        <v>0.11330530973451328</v>
      </c>
      <c r="I75" s="5">
        <f ca="1">Kompilirano!BD193</f>
        <v>0.12743362831858404</v>
      </c>
      <c r="J75" s="5">
        <f ca="1">Kompilirano!BN193</f>
        <v>1.444955894689226E-2</v>
      </c>
      <c r="K75" s="5">
        <f ca="1">Kompilirano!BX193</f>
        <v>9.2284451113608071E-2</v>
      </c>
    </row>
    <row r="76" spans="2:11" x14ac:dyDescent="0.25">
      <c r="B76" t="s">
        <v>160</v>
      </c>
      <c r="C76" s="6">
        <f ca="1">Kompilirano!G106</f>
        <v>70.400000000000006</v>
      </c>
      <c r="D76" s="4">
        <f t="shared" ca="1" si="1"/>
        <v>425.67048458149776</v>
      </c>
      <c r="E76" s="7">
        <f ca="1">Kompilirano!AA106</f>
        <v>96627.199999999997</v>
      </c>
      <c r="F76" s="6">
        <f ca="1">Kompilirano!Q106</f>
        <v>128.6</v>
      </c>
      <c r="G76" s="7">
        <f ca="1">Kompilirano!AI106</f>
        <v>20515.8</v>
      </c>
      <c r="H76" s="5">
        <f ca="1">Kompilirano!AT106</f>
        <v>0.45251327433628319</v>
      </c>
      <c r="I76" s="5">
        <f ca="1">Kompilirano!BD106</f>
        <v>0.43097345132743359</v>
      </c>
      <c r="J76" s="5">
        <f ca="1">Kompilirano!BN106</f>
        <v>6.6515362592383498E-2</v>
      </c>
      <c r="K76" s="5">
        <f ca="1">Kompilirano!BX106</f>
        <v>7.3915392558049631E-2</v>
      </c>
    </row>
    <row r="77" spans="2:11" x14ac:dyDescent="0.25">
      <c r="B77" t="s">
        <v>154</v>
      </c>
      <c r="C77" s="6">
        <f ca="1">Kompilirano!G100</f>
        <v>73</v>
      </c>
      <c r="D77" s="4">
        <f t="shared" ca="1" si="1"/>
        <v>425.58237885462552</v>
      </c>
      <c r="E77" s="7">
        <f ca="1">Kompilirano!AA100</f>
        <v>96607.2</v>
      </c>
      <c r="F77" s="6">
        <f ca="1">Kompilirano!Q100</f>
        <v>28.4</v>
      </c>
      <c r="G77" s="7">
        <f ca="1">Kompilirano!AI100</f>
        <v>27113</v>
      </c>
      <c r="H77" s="5">
        <f ca="1">Kompilirano!AT100</f>
        <v>0.59627433628318594</v>
      </c>
      <c r="I77" s="5">
        <f ca="1">Kompilirano!BD100</f>
        <v>0.87433628318584078</v>
      </c>
      <c r="J77" s="5">
        <f ca="1">Kompilirano!BN100</f>
        <v>8.7267706577379173E-2</v>
      </c>
      <c r="K77" s="5">
        <f ca="1">Kompilirano!BX100</f>
        <v>3.1259146996064677E-2</v>
      </c>
    </row>
    <row r="78" spans="2:11" x14ac:dyDescent="0.25">
      <c r="B78" t="s">
        <v>141</v>
      </c>
      <c r="C78" s="6">
        <f ca="1">Kompilirano!G87</f>
        <v>76.400000000000006</v>
      </c>
      <c r="D78" s="4">
        <f t="shared" ca="1" si="1"/>
        <v>425.17268722466957</v>
      </c>
      <c r="E78" s="7">
        <f ca="1">Kompilirano!AA87</f>
        <v>96514.2</v>
      </c>
      <c r="F78" s="6">
        <f ca="1">Kompilirano!Q87</f>
        <v>24.4</v>
      </c>
      <c r="G78" s="7">
        <f ca="1">Kompilirano!AI87</f>
        <v>30748.2</v>
      </c>
      <c r="H78" s="5">
        <f ca="1">Kompilirano!AT87</f>
        <v>0.67635840707964601</v>
      </c>
      <c r="I78" s="5">
        <f ca="1">Kompilirano!BD87</f>
        <v>0.89203539823008848</v>
      </c>
      <c r="J78" s="5">
        <f ca="1">Kompilirano!BN87</f>
        <v>9.5458107803722186E-2</v>
      </c>
      <c r="K78" s="5">
        <f ca="1">Kompilirano!BX87</f>
        <v>-5.2227642334786422E-3</v>
      </c>
    </row>
    <row r="79" spans="2:11" x14ac:dyDescent="0.25">
      <c r="B79" t="s">
        <v>147</v>
      </c>
      <c r="C79" s="6">
        <f ca="1">Kompilirano!G93</f>
        <v>78.8</v>
      </c>
      <c r="D79" s="4">
        <f t="shared" ca="1" si="1"/>
        <v>424.66343612334805</v>
      </c>
      <c r="E79" s="7">
        <f ca="1">Kompilirano!AA93</f>
        <v>96398.6</v>
      </c>
      <c r="F79" s="6">
        <f ca="1">Kompilirano!Q93</f>
        <v>96.2</v>
      </c>
      <c r="G79" s="7">
        <f ca="1">Kompilirano!AI93</f>
        <v>22738.799999999999</v>
      </c>
      <c r="H79" s="5">
        <f ca="1">Kompilirano!AT93</f>
        <v>0.49956637168141593</v>
      </c>
      <c r="I79" s="5">
        <f ca="1">Kompilirano!BD93</f>
        <v>0.57433628318584073</v>
      </c>
      <c r="J79" s="5">
        <f ca="1">Kompilirano!BN93</f>
        <v>7.5987367361147723E-2</v>
      </c>
      <c r="K79" s="5">
        <f ca="1">Kompilirano!BX93</f>
        <v>7.1587353915901611E-2</v>
      </c>
    </row>
    <row r="80" spans="2:11" x14ac:dyDescent="0.25">
      <c r="B80" t="s">
        <v>117</v>
      </c>
      <c r="C80" s="6">
        <f ca="1">Kompilirano!G59</f>
        <v>82.2</v>
      </c>
      <c r="D80" s="4">
        <f t="shared" ca="1" si="1"/>
        <v>424.28546255506609</v>
      </c>
      <c r="E80" s="7">
        <f ca="1">Kompilirano!AA59</f>
        <v>96312.8</v>
      </c>
      <c r="F80" s="6">
        <f ca="1">Kompilirano!Q59</f>
        <v>51.4</v>
      </c>
      <c r="G80" s="7">
        <f ca="1">Kompilirano!AI59</f>
        <v>30077</v>
      </c>
      <c r="H80" s="5">
        <f ca="1">Kompilirano!AT59</f>
        <v>0.6619380530973451</v>
      </c>
      <c r="I80" s="5">
        <f ca="1">Kompilirano!BD59</f>
        <v>0.77256637168141595</v>
      </c>
      <c r="J80" s="5">
        <f ca="1">Kompilirano!BN59</f>
        <v>9.0712795440487548E-2</v>
      </c>
      <c r="K80" s="5">
        <f ca="1">Kompilirano!BX59</f>
        <v>-8.6269469653212222E-3</v>
      </c>
    </row>
    <row r="81" spans="2:11" x14ac:dyDescent="0.25">
      <c r="B81" t="s">
        <v>221</v>
      </c>
      <c r="C81" s="6">
        <f ca="1">Kompilirano!G172</f>
        <v>78.400000000000006</v>
      </c>
      <c r="D81" s="4">
        <f t="shared" ca="1" si="1"/>
        <v>424.06255506607926</v>
      </c>
      <c r="E81" s="7">
        <f ca="1">Kompilirano!AA172</f>
        <v>96262.2</v>
      </c>
      <c r="F81" s="6">
        <f ca="1">Kompilirano!Q172</f>
        <v>136.80000000000001</v>
      </c>
      <c r="G81" s="7">
        <f ca="1">Kompilirano!AI172</f>
        <v>10981.8</v>
      </c>
      <c r="H81" s="5">
        <f ca="1">Kompilirano!AT172</f>
        <v>0.24189380530973451</v>
      </c>
      <c r="I81" s="5">
        <f ca="1">Kompilirano!BD172</f>
        <v>0.39469026548672559</v>
      </c>
      <c r="J81" s="5">
        <f ca="1">Kompilirano!BN172</f>
        <v>2.9787381683285132E-2</v>
      </c>
      <c r="K81" s="5">
        <f ca="1">Kompilirano!BX172</f>
        <v>4.7197166822613629E-2</v>
      </c>
    </row>
    <row r="82" spans="2:11" x14ac:dyDescent="0.25">
      <c r="B82" t="s">
        <v>219</v>
      </c>
      <c r="C82" s="6">
        <f ca="1">Kompilirano!G170</f>
        <v>83.2</v>
      </c>
      <c r="D82" s="4">
        <f t="shared" ca="1" si="1"/>
        <v>423.99295154185018</v>
      </c>
      <c r="E82" s="7">
        <f ca="1">Kompilirano!AA170</f>
        <v>96246.399999999994</v>
      </c>
      <c r="F82" s="6">
        <f ca="1">Kompilirano!Q170</f>
        <v>105.4</v>
      </c>
      <c r="G82" s="7">
        <f ca="1">Kompilirano!AI170</f>
        <v>21092.6</v>
      </c>
      <c r="H82" s="5">
        <f ca="1">Kompilirano!AT170</f>
        <v>0.46476548672566376</v>
      </c>
      <c r="I82" s="5">
        <f ca="1">Kompilirano!BD170</f>
        <v>0.53362831858407089</v>
      </c>
      <c r="J82" s="5">
        <f ca="1">Kompilirano!BN170</f>
        <v>6.7452411404576584E-2</v>
      </c>
      <c r="K82" s="5">
        <f ca="1">Kompilirano!BX170</f>
        <v>6.6256211399664519E-2</v>
      </c>
    </row>
    <row r="83" spans="2:11" x14ac:dyDescent="0.25">
      <c r="B83" t="s">
        <v>224</v>
      </c>
      <c r="C83" s="6">
        <f ca="1">Kompilirano!G176</f>
        <v>83.4</v>
      </c>
      <c r="D83" s="4">
        <f t="shared" ca="1" si="1"/>
        <v>423.85903083700441</v>
      </c>
      <c r="E83" s="7">
        <f ca="1">Kompilirano!AA176</f>
        <v>96216</v>
      </c>
      <c r="F83" s="6">
        <f ca="1">Kompilirano!Q176</f>
        <v>131.19999999999999</v>
      </c>
      <c r="G83" s="7">
        <f ca="1">Kompilirano!AI176</f>
        <v>19505.8</v>
      </c>
      <c r="H83" s="5">
        <f ca="1">Kompilirano!AT176</f>
        <v>0.42974778761061944</v>
      </c>
      <c r="I83" s="5">
        <f ca="1">Kompilirano!BD176</f>
        <v>0.41946902654867257</v>
      </c>
      <c r="J83" s="5">
        <f ca="1">Kompilirano!BN176</f>
        <v>6.265464947174007E-2</v>
      </c>
      <c r="K83" s="5">
        <f ca="1">Kompilirano!BX176</f>
        <v>7.5198904881096346E-2</v>
      </c>
    </row>
    <row r="84" spans="2:11" x14ac:dyDescent="0.25">
      <c r="B84" t="s">
        <v>197</v>
      </c>
      <c r="C84" s="6">
        <f ca="1">Kompilirano!G146</f>
        <v>86.6</v>
      </c>
      <c r="D84" s="4">
        <f t="shared" ca="1" si="1"/>
        <v>423.68546255506612</v>
      </c>
      <c r="E84" s="7">
        <f ca="1">Kompilirano!AA146</f>
        <v>96176.6</v>
      </c>
      <c r="F84" s="6">
        <f ca="1">Kompilirano!Q146</f>
        <v>116.2</v>
      </c>
      <c r="G84" s="7">
        <f ca="1">Kompilirano!AI146</f>
        <v>20291.400000000001</v>
      </c>
      <c r="H84" s="5">
        <f ca="1">Kompilirano!AT146</f>
        <v>0.44694690265486725</v>
      </c>
      <c r="I84" s="5">
        <f ca="1">Kompilirano!BD146</f>
        <v>0.48584070796460177</v>
      </c>
      <c r="J84" s="5">
        <f ca="1">Kompilirano!BN146</f>
        <v>6.5004098740299429E-2</v>
      </c>
      <c r="K84" s="5">
        <f ca="1">Kompilirano!BX146</f>
        <v>6.9075557583158059E-2</v>
      </c>
    </row>
    <row r="85" spans="2:11" x14ac:dyDescent="0.25">
      <c r="B85" t="s">
        <v>202</v>
      </c>
      <c r="C85" s="6">
        <f ca="1">Kompilirano!G151</f>
        <v>81.400000000000006</v>
      </c>
      <c r="D85" s="4">
        <f t="shared" ca="1" si="1"/>
        <v>423.67929515418501</v>
      </c>
      <c r="E85" s="7">
        <f ca="1">Kompilirano!AA151</f>
        <v>96175.2</v>
      </c>
      <c r="F85" s="6">
        <f ca="1">Kompilirano!Q151</f>
        <v>116.6</v>
      </c>
      <c r="G85" s="7">
        <f ca="1">Kompilirano!AI151</f>
        <v>17579.2</v>
      </c>
      <c r="H85" s="5">
        <f ca="1">Kompilirano!AT151</f>
        <v>0.38698230088495578</v>
      </c>
      <c r="I85" s="5">
        <f ca="1">Kompilirano!BD151</f>
        <v>0.48407079646017703</v>
      </c>
      <c r="J85" s="5">
        <f ca="1">Kompilirano!BN151</f>
        <v>5.4094924065912542E-2</v>
      </c>
      <c r="K85" s="5">
        <f ca="1">Kompilirano!BX151</f>
        <v>6.2752691868508334E-2</v>
      </c>
    </row>
    <row r="86" spans="2:11" x14ac:dyDescent="0.25">
      <c r="B86" t="s">
        <v>100</v>
      </c>
      <c r="C86" s="6">
        <f ca="1">Kompilirano!G40</f>
        <v>84.4</v>
      </c>
      <c r="D86" s="4">
        <f t="shared" ca="1" si="1"/>
        <v>423.50748898678415</v>
      </c>
      <c r="E86" s="7">
        <f ca="1">Kompilirano!AA40</f>
        <v>96136.2</v>
      </c>
      <c r="F86" s="6">
        <f ca="1">Kompilirano!Q40</f>
        <v>197.6</v>
      </c>
      <c r="G86" s="7">
        <f ca="1">Kompilirano!AI40</f>
        <v>14441.6</v>
      </c>
      <c r="H86" s="5">
        <f ca="1">Kompilirano!AT40</f>
        <v>0.31872123893805304</v>
      </c>
      <c r="I86" s="5">
        <f ca="1">Kompilirano!BD40</f>
        <v>0.1256637168141593</v>
      </c>
      <c r="J86" s="5">
        <f ca="1">Kompilirano!BN40</f>
        <v>5.0049385034602177E-2</v>
      </c>
      <c r="K86" s="5">
        <f ca="1">Kompilirano!BX40</f>
        <v>0.1086296807270942</v>
      </c>
    </row>
    <row r="87" spans="2:11" x14ac:dyDescent="0.25">
      <c r="B87" t="s">
        <v>9</v>
      </c>
      <c r="C87" s="6">
        <f ca="1">Kompilirano!G86</f>
        <v>83.2</v>
      </c>
      <c r="D87" s="4">
        <f t="shared" ca="1" si="1"/>
        <v>423.4986784140969</v>
      </c>
      <c r="E87" s="7">
        <f ca="1">Kompilirano!AA86</f>
        <v>96134.2</v>
      </c>
      <c r="F87" s="6">
        <f ca="1">Kompilirano!Q86</f>
        <v>169.2</v>
      </c>
      <c r="G87" s="7">
        <f ca="1">Kompilirano!AI86</f>
        <v>14712.2</v>
      </c>
      <c r="H87" s="5">
        <f ca="1">Kompilirano!AT86</f>
        <v>0.32475221238938057</v>
      </c>
      <c r="I87" s="5">
        <f ca="1">Kompilirano!BD86</f>
        <v>0.25132743362831855</v>
      </c>
      <c r="J87" s="5">
        <f ca="1">Kompilirano!BN86</f>
        <v>4.8944196011040039E-2</v>
      </c>
      <c r="K87" s="5">
        <f ca="1">Kompilirano!BX86</f>
        <v>9.7352252299641312E-2</v>
      </c>
    </row>
    <row r="88" spans="2:11" x14ac:dyDescent="0.25">
      <c r="B88" t="s">
        <v>199</v>
      </c>
      <c r="C88" s="6">
        <f ca="1">Kompilirano!G148</f>
        <v>91.2</v>
      </c>
      <c r="D88" s="4">
        <f t="shared" ca="1" si="1"/>
        <v>422.74449339207047</v>
      </c>
      <c r="E88" s="7">
        <f ca="1">Kompilirano!AA148</f>
        <v>95963</v>
      </c>
      <c r="F88" s="6">
        <f ca="1">Kompilirano!Q148</f>
        <v>123.8</v>
      </c>
      <c r="G88" s="7">
        <f ca="1">Kompilirano!AI148</f>
        <v>15300.2</v>
      </c>
      <c r="H88" s="5">
        <f ca="1">Kompilirano!AT148</f>
        <v>0.33799557522123891</v>
      </c>
      <c r="I88" s="5">
        <f ca="1">Kompilirano!BD148</f>
        <v>0.45221238938053104</v>
      </c>
      <c r="J88" s="5">
        <f ca="1">Kompilirano!BN148</f>
        <v>4.6369599656468738E-2</v>
      </c>
      <c r="K88" s="5">
        <f ca="1">Kompilirano!BX148</f>
        <v>6.1949117345959856E-2</v>
      </c>
    </row>
    <row r="89" spans="2:11" x14ac:dyDescent="0.25">
      <c r="B89" t="s">
        <v>142</v>
      </c>
      <c r="C89" s="6">
        <f ca="1">Kompilirano!G88</f>
        <v>93.2</v>
      </c>
      <c r="D89" s="4">
        <f t="shared" ca="1" si="1"/>
        <v>422.57797356828195</v>
      </c>
      <c r="E89" s="7">
        <f ca="1">Kompilirano!AA88</f>
        <v>95925.2</v>
      </c>
      <c r="F89" s="6">
        <f ca="1">Kompilirano!Q88</f>
        <v>197.4</v>
      </c>
      <c r="G89" s="7">
        <f ca="1">Kompilirano!AI88</f>
        <v>6349.4</v>
      </c>
      <c r="H89" s="5">
        <f ca="1">Kompilirano!AT88</f>
        <v>0.13992920353982302</v>
      </c>
      <c r="I89" s="5">
        <f ca="1">Kompilirano!BD88</f>
        <v>0.12654867256637167</v>
      </c>
      <c r="J89" s="5">
        <f ca="1">Kompilirano!BN88</f>
        <v>1.932787487752885E-2</v>
      </c>
      <c r="K89" s="5">
        <f ca="1">Kompilirano!BX88</f>
        <v>9.9168476902468425E-2</v>
      </c>
    </row>
    <row r="90" spans="2:11" x14ac:dyDescent="0.25">
      <c r="B90" t="s">
        <v>223</v>
      </c>
      <c r="C90" s="6">
        <f ca="1">Kompilirano!G175</f>
        <v>94.4</v>
      </c>
      <c r="D90" s="4">
        <f t="shared" ca="1" si="1"/>
        <v>422.04405286343615</v>
      </c>
      <c r="E90" s="7">
        <f ca="1">Kompilirano!AA175</f>
        <v>95804</v>
      </c>
      <c r="F90" s="6">
        <f ca="1">Kompilirano!Q175</f>
        <v>129.19999999999999</v>
      </c>
      <c r="G90" s="7">
        <f ca="1">Kompilirano!AI175</f>
        <v>19337.2</v>
      </c>
      <c r="H90" s="5">
        <f ca="1">Kompilirano!AT175</f>
        <v>0.42622566371681414</v>
      </c>
      <c r="I90" s="5">
        <f ca="1">Kompilirano!BD175</f>
        <v>0.42831858407079648</v>
      </c>
      <c r="J90" s="5">
        <f ca="1">Kompilirano!BN175</f>
        <v>6.2012841554211585E-2</v>
      </c>
      <c r="K90" s="5">
        <f ca="1">Kompilirano!BX175</f>
        <v>7.5662256427504668E-2</v>
      </c>
    </row>
    <row r="91" spans="2:11" x14ac:dyDescent="0.25">
      <c r="B91" t="s">
        <v>10</v>
      </c>
      <c r="C91" s="6">
        <f ca="1">Kompilirano!G31</f>
        <v>95.8</v>
      </c>
      <c r="D91" s="4">
        <f t="shared" ca="1" si="1"/>
        <v>422.00088105726871</v>
      </c>
      <c r="E91" s="7">
        <f ca="1">Kompilirano!AA31</f>
        <v>95794.2</v>
      </c>
      <c r="F91" s="6">
        <f ca="1">Kompilirano!Q31</f>
        <v>151</v>
      </c>
      <c r="G91" s="7">
        <f ca="1">Kompilirano!AI31</f>
        <v>13474</v>
      </c>
      <c r="H91" s="5">
        <f ca="1">Kompilirano!AT31</f>
        <v>0.29712831858407079</v>
      </c>
      <c r="I91" s="5">
        <f ca="1">Kompilirano!BD31</f>
        <v>0.33185840707964603</v>
      </c>
      <c r="J91" s="5">
        <f ca="1">Kompilirano!BN31</f>
        <v>4.2344820713355304E-2</v>
      </c>
      <c r="K91" s="5">
        <f ca="1">Kompilirano!BX31</f>
        <v>8.4096962504514816E-2</v>
      </c>
    </row>
    <row r="92" spans="2:11" x14ac:dyDescent="0.25">
      <c r="B92" t="s">
        <v>161</v>
      </c>
      <c r="C92" s="6">
        <f ca="1">Kompilirano!G107</f>
        <v>94.4</v>
      </c>
      <c r="D92" s="4">
        <f t="shared" ca="1" si="1"/>
        <v>421.92863436123349</v>
      </c>
      <c r="E92" s="7">
        <f ca="1">Kompilirano!AA107</f>
        <v>95777.8</v>
      </c>
      <c r="F92" s="6">
        <f ca="1">Kompilirano!Q107</f>
        <v>95.6</v>
      </c>
      <c r="G92" s="7">
        <f ca="1">Kompilirano!AI107</f>
        <v>22180</v>
      </c>
      <c r="H92" s="5">
        <f ca="1">Kompilirano!AT107</f>
        <v>0.4882300884955752</v>
      </c>
      <c r="I92" s="5">
        <f ca="1">Kompilirano!BD107</f>
        <v>0.57699115044247795</v>
      </c>
      <c r="J92" s="5">
        <f ca="1">Kompilirano!BN107</f>
        <v>7.1651907103468443E-2</v>
      </c>
      <c r="K92" s="5">
        <f ca="1">Kompilirano!BX107</f>
        <v>6.0630071054822175E-2</v>
      </c>
    </row>
    <row r="93" spans="2:11" x14ac:dyDescent="0.25">
      <c r="B93" t="s">
        <v>157</v>
      </c>
      <c r="C93" s="6">
        <f ca="1">Kompilirano!G103</f>
        <v>97.4</v>
      </c>
      <c r="D93" s="4">
        <f t="shared" ca="1" si="1"/>
        <v>421.81497797356826</v>
      </c>
      <c r="E93" s="7">
        <f ca="1">Kompilirano!AA103</f>
        <v>95752</v>
      </c>
      <c r="F93" s="6">
        <f ca="1">Kompilirano!Q103</f>
        <v>96.8</v>
      </c>
      <c r="G93" s="7">
        <f ca="1">Kompilirano!AI103</f>
        <v>22355.8</v>
      </c>
      <c r="H93" s="5">
        <f ca="1">Kompilirano!AT103</f>
        <v>0.49250442477876105</v>
      </c>
      <c r="I93" s="5">
        <f ca="1">Kompilirano!BD103</f>
        <v>0.57168141592920352</v>
      </c>
      <c r="J93" s="5">
        <f ca="1">Kompilirano!BN103</f>
        <v>7.3522181675556547E-2</v>
      </c>
      <c r="K93" s="5">
        <f ca="1">Kompilirano!BX103</f>
        <v>6.8020062310758675E-2</v>
      </c>
    </row>
    <row r="94" spans="2:11" x14ac:dyDescent="0.25">
      <c r="B94" t="s">
        <v>259</v>
      </c>
      <c r="C94" s="6">
        <f ca="1">Kompilirano!G212</f>
        <v>95.2</v>
      </c>
      <c r="D94" s="4">
        <f t="shared" ca="1" si="1"/>
        <v>421.7850220264317</v>
      </c>
      <c r="E94" s="7">
        <f ca="1">Kompilirano!AA212</f>
        <v>95745.2</v>
      </c>
      <c r="F94" s="6">
        <f ca="1">Kompilirano!Q212</f>
        <v>197</v>
      </c>
      <c r="G94" s="7">
        <f ca="1">Kompilirano!AI212</f>
        <v>4775.6000000000004</v>
      </c>
      <c r="H94" s="5">
        <f ca="1">Kompilirano!AT212</f>
        <v>0.10520796460176988</v>
      </c>
      <c r="I94" s="5">
        <f ca="1">Kompilirano!BD212</f>
        <v>0.12831858407079644</v>
      </c>
      <c r="J94" s="5">
        <f ca="1">Kompilirano!BN212</f>
        <v>1.3545493635721162E-2</v>
      </c>
      <c r="K94" s="5">
        <f ca="1">Kompilirano!BX212</f>
        <v>9.5277170000906325E-2</v>
      </c>
    </row>
    <row r="95" spans="2:11" x14ac:dyDescent="0.25">
      <c r="B95" t="s">
        <v>88</v>
      </c>
      <c r="C95" s="6">
        <f ca="1">Kompilirano!G27</f>
        <v>95.6</v>
      </c>
      <c r="D95" s="4">
        <f t="shared" ca="1" si="1"/>
        <v>421.78237885462556</v>
      </c>
      <c r="E95" s="7">
        <f ca="1">Kompilirano!AA27</f>
        <v>95744.6</v>
      </c>
      <c r="F95" s="6">
        <f ca="1">Kompilirano!Q27</f>
        <v>139.19999999999999</v>
      </c>
      <c r="G95" s="7">
        <f ca="1">Kompilirano!AI27</f>
        <v>14524.6</v>
      </c>
      <c r="H95" s="5">
        <f ca="1">Kompilirano!AT27</f>
        <v>0.32000442477876107</v>
      </c>
      <c r="I95" s="5">
        <f ca="1">Kompilirano!BD27</f>
        <v>0.38407079646017694</v>
      </c>
      <c r="J95" s="5">
        <f ca="1">Kompilirano!BN27</f>
        <v>4.4955035368510962E-2</v>
      </c>
      <c r="K95" s="5">
        <f ca="1">Kompilirano!BX27</f>
        <v>6.7310001799486027E-2</v>
      </c>
    </row>
    <row r="96" spans="2:11" x14ac:dyDescent="0.25">
      <c r="B96" t="s">
        <v>162</v>
      </c>
      <c r="C96" s="6">
        <f ca="1">Kompilirano!G108</f>
        <v>95.6</v>
      </c>
      <c r="D96" s="4">
        <f t="shared" ca="1" si="1"/>
        <v>421.70748898678414</v>
      </c>
      <c r="E96" s="7">
        <f ca="1">Kompilirano!AA108</f>
        <v>95727.6</v>
      </c>
      <c r="F96" s="6">
        <f ca="1">Kompilirano!Q108</f>
        <v>78.599999999999994</v>
      </c>
      <c r="G96" s="7">
        <f ca="1">Kompilirano!AI108</f>
        <v>24119.8</v>
      </c>
      <c r="H96" s="5">
        <f ca="1">Kompilirano!AT108</f>
        <v>0.53042477876106209</v>
      </c>
      <c r="I96" s="5">
        <f ca="1">Kompilirano!BD108</f>
        <v>0.65221238938053094</v>
      </c>
      <c r="J96" s="5">
        <f ca="1">Kompilirano!BN108</f>
        <v>7.6375660508181634E-2</v>
      </c>
      <c r="K96" s="5">
        <f ca="1">Kompilirano!BX108</f>
        <v>3.5970212009073042E-2</v>
      </c>
    </row>
    <row r="97" spans="2:11" x14ac:dyDescent="0.25">
      <c r="B97" t="s">
        <v>180</v>
      </c>
      <c r="C97" s="6">
        <f ca="1">Kompilirano!G127</f>
        <v>96.2</v>
      </c>
      <c r="D97" s="4">
        <f t="shared" ca="1" si="1"/>
        <v>421.66079295154185</v>
      </c>
      <c r="E97" s="7">
        <f ca="1">Kompilirano!AA127</f>
        <v>95717</v>
      </c>
      <c r="F97" s="6">
        <f ca="1">Kompilirano!Q127</f>
        <v>96</v>
      </c>
      <c r="G97" s="7">
        <f ca="1">Kompilirano!AI127</f>
        <v>18627.599999999999</v>
      </c>
      <c r="H97" s="5">
        <f ca="1">Kompilirano!AT127</f>
        <v>0.41011504424778761</v>
      </c>
      <c r="I97" s="5">
        <f ca="1">Kompilirano!BD127</f>
        <v>0.5752212389380531</v>
      </c>
      <c r="J97" s="5">
        <f ca="1">Kompilirano!BN127</f>
        <v>5.781781886255144E-2</v>
      </c>
      <c r="K97" s="5">
        <f ca="1">Kompilirano!BX127</f>
        <v>5.4225561620437311E-2</v>
      </c>
    </row>
    <row r="98" spans="2:11" x14ac:dyDescent="0.25">
      <c r="B98" t="s">
        <v>168</v>
      </c>
      <c r="C98" s="6">
        <f ca="1">Kompilirano!G114</f>
        <v>95.8</v>
      </c>
      <c r="D98" s="4">
        <f t="shared" ca="1" si="1"/>
        <v>421.61850220264313</v>
      </c>
      <c r="E98" s="7">
        <f ca="1">Kompilirano!AA114</f>
        <v>95707.4</v>
      </c>
      <c r="F98" s="6">
        <f ca="1">Kompilirano!Q114</f>
        <v>91.2</v>
      </c>
      <c r="G98" s="7">
        <f ca="1">Kompilirano!AI114</f>
        <v>22883.4</v>
      </c>
      <c r="H98" s="5">
        <f ca="1">Kompilirano!AT114</f>
        <v>0.50426106194690268</v>
      </c>
      <c r="I98" s="5">
        <f ca="1">Kompilirano!BD114</f>
        <v>0.59646017699115039</v>
      </c>
      <c r="J98" s="5">
        <f ca="1">Kompilirano!BN114</f>
        <v>7.5904286562835876E-2</v>
      </c>
      <c r="K98" s="5">
        <f ca="1">Kompilirano!BX114</f>
        <v>6.905986654418407E-2</v>
      </c>
    </row>
    <row r="99" spans="2:11" x14ac:dyDescent="0.25">
      <c r="B99" t="s">
        <v>238</v>
      </c>
      <c r="C99" s="6">
        <f ca="1">Kompilirano!G190</f>
        <v>98.8</v>
      </c>
      <c r="D99" s="4">
        <f t="shared" ca="1" si="1"/>
        <v>421.49955947136561</v>
      </c>
      <c r="E99" s="7">
        <f ca="1">Kompilirano!AA190</f>
        <v>95680.4</v>
      </c>
      <c r="F99" s="6">
        <f ca="1">Kompilirano!Q190</f>
        <v>144.80000000000001</v>
      </c>
      <c r="G99" s="7">
        <f ca="1">Kompilirano!AI190</f>
        <v>9297.6</v>
      </c>
      <c r="H99" s="5">
        <f ca="1">Kompilirano!AT190</f>
        <v>0.20458849557522124</v>
      </c>
      <c r="I99" s="5">
        <f ca="1">Kompilirano!BD190</f>
        <v>0.35929203539823007</v>
      </c>
      <c r="J99" s="5">
        <f ca="1">Kompilirano!BN190</f>
        <v>2.6396598952493612E-2</v>
      </c>
      <c r="K99" s="5">
        <f ca="1">Kompilirano!BX190</f>
        <v>6.8859484111853206E-2</v>
      </c>
    </row>
    <row r="100" spans="2:11" x14ac:dyDescent="0.25">
      <c r="B100" t="s">
        <v>132</v>
      </c>
      <c r="C100" s="6">
        <f ca="1">Kompilirano!G76</f>
        <v>99</v>
      </c>
      <c r="D100" s="4">
        <f t="shared" ca="1" si="1"/>
        <v>421.33920704845815</v>
      </c>
      <c r="E100" s="7">
        <f ca="1">Kompilirano!AA76</f>
        <v>95644</v>
      </c>
      <c r="F100" s="6">
        <f ca="1">Kompilirano!Q76</f>
        <v>147.19999999999999</v>
      </c>
      <c r="G100" s="7">
        <f ca="1">Kompilirano!AI76</f>
        <v>18263.599999999999</v>
      </c>
      <c r="H100" s="5">
        <f ca="1">Kompilirano!AT76</f>
        <v>0.40322123893805306</v>
      </c>
      <c r="I100" s="5">
        <f ca="1">Kompilirano!BD76</f>
        <v>0.34867256637168137</v>
      </c>
      <c r="J100" s="5">
        <f ca="1">Kompilirano!BN76</f>
        <v>6.0782606565814648E-2</v>
      </c>
      <c r="K100" s="5">
        <f ca="1">Kompilirano!BX76</f>
        <v>8.0775918035705135E-2</v>
      </c>
    </row>
    <row r="101" spans="2:11" x14ac:dyDescent="0.25">
      <c r="B101" t="s">
        <v>16</v>
      </c>
      <c r="C101" s="6">
        <f ca="1">Kompilirano!G174</f>
        <v>99.4</v>
      </c>
      <c r="D101" s="4">
        <f t="shared" ca="1" si="1"/>
        <v>421.26872246696036</v>
      </c>
      <c r="E101" s="7">
        <f ca="1">Kompilirano!AA174</f>
        <v>95628</v>
      </c>
      <c r="F101" s="6">
        <f ca="1">Kompilirano!Q174</f>
        <v>130.19999999999999</v>
      </c>
      <c r="G101" s="7">
        <f ca="1">Kompilirano!AI174</f>
        <v>19321</v>
      </c>
      <c r="H101" s="5">
        <f ca="1">Kompilirano!AT174</f>
        <v>0.42574778761061943</v>
      </c>
      <c r="I101" s="5">
        <f ca="1">Kompilirano!BD174</f>
        <v>0.42389380530973442</v>
      </c>
      <c r="J101" s="5">
        <f ca="1">Kompilirano!BN174</f>
        <v>6.2283638764573365E-2</v>
      </c>
      <c r="K101" s="5">
        <f ca="1">Kompilirano!BX174</f>
        <v>7.6802992579214815E-2</v>
      </c>
    </row>
    <row r="102" spans="2:11" x14ac:dyDescent="0.25">
      <c r="B102" t="s">
        <v>209</v>
      </c>
      <c r="C102" s="6">
        <f ca="1">Kompilirano!G159</f>
        <v>98.2</v>
      </c>
      <c r="D102" s="4">
        <f t="shared" ca="1" si="1"/>
        <v>421.24317180616737</v>
      </c>
      <c r="E102" s="7">
        <f ca="1">Kompilirano!AA159</f>
        <v>95622.2</v>
      </c>
      <c r="F102" s="6">
        <f ca="1">Kompilirano!Q159</f>
        <v>126.6</v>
      </c>
      <c r="G102" s="7">
        <f ca="1">Kompilirano!AI159</f>
        <v>15049.8</v>
      </c>
      <c r="H102" s="5">
        <f ca="1">Kompilirano!AT159</f>
        <v>0.33154867256637172</v>
      </c>
      <c r="I102" s="5">
        <f ca="1">Kompilirano!BD159</f>
        <v>0.4398230088495575</v>
      </c>
      <c r="J102" s="5">
        <f ca="1">Kompilirano!BN159</f>
        <v>4.275945974650959E-2</v>
      </c>
      <c r="K102" s="5">
        <f ca="1">Kompilirano!BX159</f>
        <v>4.3303113220153969E-2</v>
      </c>
    </row>
    <row r="103" spans="2:11" x14ac:dyDescent="0.25">
      <c r="B103" t="s">
        <v>250</v>
      </c>
      <c r="C103" s="6">
        <f ca="1">Kompilirano!G202</f>
        <v>98.8</v>
      </c>
      <c r="D103" s="4">
        <f t="shared" ca="1" si="1"/>
        <v>421.13215859030839</v>
      </c>
      <c r="E103" s="7">
        <f ca="1">Kompilirano!AA202</f>
        <v>95597</v>
      </c>
      <c r="F103" s="6">
        <f ca="1">Kompilirano!Q202</f>
        <v>199</v>
      </c>
      <c r="G103" s="7">
        <f ca="1">Kompilirano!AI202</f>
        <v>4813.8</v>
      </c>
      <c r="H103" s="5">
        <f ca="1">Kompilirano!AT202</f>
        <v>0.10600442477876108</v>
      </c>
      <c r="I103" s="5">
        <f ca="1">Kompilirano!BD202</f>
        <v>0.11946902654867257</v>
      </c>
      <c r="J103" s="5">
        <f ca="1">Kompilirano!BN202</f>
        <v>1.3551924313097596E-2</v>
      </c>
      <c r="K103" s="5">
        <f ca="1">Kompilirano!BX202</f>
        <v>9.4351766274567345E-2</v>
      </c>
    </row>
    <row r="104" spans="2:11" x14ac:dyDescent="0.25">
      <c r="B104" t="s">
        <v>131</v>
      </c>
      <c r="C104" s="6">
        <f ca="1">Kompilirano!G75</f>
        <v>100.4</v>
      </c>
      <c r="D104" s="4">
        <f t="shared" ca="1" si="1"/>
        <v>421.01145374449339</v>
      </c>
      <c r="E104" s="7">
        <f ca="1">Kompilirano!AA75</f>
        <v>95569.600000000006</v>
      </c>
      <c r="F104" s="6">
        <f ca="1">Kompilirano!Q75</f>
        <v>19.2</v>
      </c>
      <c r="G104" s="7">
        <f ca="1">Kompilirano!AI75</f>
        <v>32701.599999999999</v>
      </c>
      <c r="H104" s="5">
        <f ca="1">Kompilirano!AT75</f>
        <v>0.71962831858407084</v>
      </c>
      <c r="I104" s="5">
        <f ca="1">Kompilirano!BD75</f>
        <v>0.91504424778761062</v>
      </c>
      <c r="J104" s="5">
        <f ca="1">Kompilirano!BN75</f>
        <v>0.10026410670794191</v>
      </c>
      <c r="K104" s="5">
        <f ca="1">Kompilirano!BX75</f>
        <v>-1.935408735757585E-2</v>
      </c>
    </row>
    <row r="105" spans="2:11" x14ac:dyDescent="0.25">
      <c r="B105" t="s">
        <v>200</v>
      </c>
      <c r="C105" s="6">
        <f ca="1">Kompilirano!G149</f>
        <v>99.6</v>
      </c>
      <c r="D105" s="4">
        <f t="shared" ca="1" si="1"/>
        <v>420.64933920704846</v>
      </c>
      <c r="E105" s="7">
        <f ca="1">Kompilirano!AA149</f>
        <v>95487.4</v>
      </c>
      <c r="F105" s="6">
        <f ca="1">Kompilirano!Q149</f>
        <v>102.2</v>
      </c>
      <c r="G105" s="7">
        <f ca="1">Kompilirano!AI149</f>
        <v>21437.200000000001</v>
      </c>
      <c r="H105" s="5">
        <f ca="1">Kompilirano!AT149</f>
        <v>0.47221681415929206</v>
      </c>
      <c r="I105" s="5">
        <f ca="1">Kompilirano!BD149</f>
        <v>0.54778761061946901</v>
      </c>
      <c r="J105" s="5">
        <f ca="1">Kompilirano!BN149</f>
        <v>6.9109486527604458E-2</v>
      </c>
      <c r="K105" s="5">
        <f ca="1">Kompilirano!BX149</f>
        <v>7.0133275557096461E-2</v>
      </c>
    </row>
    <row r="106" spans="2:11" x14ac:dyDescent="0.25">
      <c r="B106" t="s">
        <v>153</v>
      </c>
      <c r="C106" s="6">
        <f ca="1">Kompilirano!G99</f>
        <v>105.2</v>
      </c>
      <c r="D106" s="4">
        <f t="shared" ca="1" si="1"/>
        <v>420.47753303964754</v>
      </c>
      <c r="E106" s="7">
        <f ca="1">Kompilirano!AA99</f>
        <v>95448.4</v>
      </c>
      <c r="F106" s="6">
        <f ca="1">Kompilirano!Q99</f>
        <v>83.2</v>
      </c>
      <c r="G106" s="7">
        <f ca="1">Kompilirano!AI99</f>
        <v>23947.200000000001</v>
      </c>
      <c r="H106" s="5">
        <f ca="1">Kompilirano!AT99</f>
        <v>0.52706194690265484</v>
      </c>
      <c r="I106" s="5">
        <f ca="1">Kompilirano!BD99</f>
        <v>0.63185840707964602</v>
      </c>
      <c r="J106" s="5">
        <f ca="1">Kompilirano!BN99</f>
        <v>7.5457401406238189E-2</v>
      </c>
      <c r="K106" s="5">
        <f ca="1">Kompilirano!BX99</f>
        <v>3.6877630759882915E-2</v>
      </c>
    </row>
    <row r="107" spans="2:11" x14ac:dyDescent="0.25">
      <c r="B107" t="s">
        <v>189</v>
      </c>
      <c r="C107" s="6">
        <f ca="1">Kompilirano!G137</f>
        <v>104.6</v>
      </c>
      <c r="D107" s="4">
        <f t="shared" ca="1" si="1"/>
        <v>420.44933920704847</v>
      </c>
      <c r="E107" s="7">
        <f ca="1">Kompilirano!AA137</f>
        <v>95442</v>
      </c>
      <c r="F107" s="6">
        <f ca="1">Kompilirano!Q137</f>
        <v>100.4</v>
      </c>
      <c r="G107" s="7">
        <f ca="1">Kompilirano!AI137</f>
        <v>21381.4</v>
      </c>
      <c r="H107" s="5">
        <f ca="1">Kompilirano!AT137</f>
        <v>0.47091592920353981</v>
      </c>
      <c r="I107" s="5">
        <f ca="1">Kompilirano!BD137</f>
        <v>0.55575221238938055</v>
      </c>
      <c r="J107" s="5">
        <f ca="1">Kompilirano!BN137</f>
        <v>6.8953104829018855E-2</v>
      </c>
      <c r="K107" s="5">
        <f ca="1">Kompilirano!BX137</f>
        <v>6.7130330996094861E-2</v>
      </c>
    </row>
    <row r="108" spans="2:11" x14ac:dyDescent="0.25">
      <c r="B108" t="s">
        <v>220</v>
      </c>
      <c r="C108" s="6">
        <f ca="1">Kompilirano!G171</f>
        <v>102.4</v>
      </c>
      <c r="D108" s="4">
        <f t="shared" ca="1" si="1"/>
        <v>420.35066079295154</v>
      </c>
      <c r="E108" s="7">
        <f ca="1">Kompilirano!AA171</f>
        <v>95419.6</v>
      </c>
      <c r="F108" s="6">
        <f ca="1">Kompilirano!Q171</f>
        <v>125.2</v>
      </c>
      <c r="G108" s="7">
        <f ca="1">Kompilirano!AI171</f>
        <v>11530.6</v>
      </c>
      <c r="H108" s="5">
        <f ca="1">Kompilirano!AT171</f>
        <v>0.25314159292035399</v>
      </c>
      <c r="I108" s="5">
        <f ca="1">Kompilirano!BD171</f>
        <v>0.4460176991150443</v>
      </c>
      <c r="J108" s="5">
        <f ca="1">Kompilirano!BN171</f>
        <v>3.0682814912024133E-2</v>
      </c>
      <c r="K108" s="5">
        <f ca="1">Kompilirano!BX171</f>
        <v>3.7180974668576457E-2</v>
      </c>
    </row>
    <row r="109" spans="2:11" x14ac:dyDescent="0.25">
      <c r="B109" t="s">
        <v>179</v>
      </c>
      <c r="C109" s="6">
        <f ca="1">Kompilirano!G126</f>
        <v>106.2</v>
      </c>
      <c r="D109" s="4">
        <f t="shared" ca="1" si="1"/>
        <v>420.24140969163</v>
      </c>
      <c r="E109" s="7">
        <f ca="1">Kompilirano!AA126</f>
        <v>95394.8</v>
      </c>
      <c r="F109" s="6">
        <f ca="1">Kompilirano!Q126</f>
        <v>139.80000000000001</v>
      </c>
      <c r="G109" s="7">
        <f ca="1">Kompilirano!AI126</f>
        <v>9323.2000000000007</v>
      </c>
      <c r="H109" s="5">
        <f ca="1">Kompilirano!AT126</f>
        <v>0.20406637168141589</v>
      </c>
      <c r="I109" s="5">
        <f ca="1">Kompilirano!BD126</f>
        <v>0.38141592920353984</v>
      </c>
      <c r="J109" s="5">
        <f ca="1">Kompilirano!BN126</f>
        <v>2.403654055338485E-2</v>
      </c>
      <c r="K109" s="5">
        <f ca="1">Kompilirano!BX126</f>
        <v>5.0974636189815306E-2</v>
      </c>
    </row>
    <row r="110" spans="2:11" x14ac:dyDescent="0.25">
      <c r="B110" t="s">
        <v>190</v>
      </c>
      <c r="C110" s="6">
        <f ca="1">Kompilirano!G138</f>
        <v>105.4</v>
      </c>
      <c r="D110" s="4">
        <f t="shared" ca="1" si="1"/>
        <v>420</v>
      </c>
      <c r="E110" s="7">
        <f ca="1">Kompilirano!AA138</f>
        <v>95340</v>
      </c>
      <c r="F110" s="6">
        <f ca="1">Kompilirano!Q138</f>
        <v>74.8</v>
      </c>
      <c r="G110" s="7">
        <f ca="1">Kompilirano!AI138</f>
        <v>27431.8</v>
      </c>
      <c r="H110" s="5">
        <f ca="1">Kompilirano!AT138</f>
        <v>0.60379203539823012</v>
      </c>
      <c r="I110" s="5">
        <f ca="1">Kompilirano!BD138</f>
        <v>0.66902654867256639</v>
      </c>
      <c r="J110" s="5">
        <f ca="1">Kompilirano!BN138</f>
        <v>8.4176845536974132E-2</v>
      </c>
      <c r="K110" s="5">
        <f ca="1">Kompilirano!BX138</f>
        <v>1.4685208430370295E-2</v>
      </c>
    </row>
    <row r="111" spans="2:11" x14ac:dyDescent="0.25">
      <c r="B111" t="s">
        <v>275</v>
      </c>
      <c r="C111" s="6">
        <f ca="1">Kompilirano!G229</f>
        <v>105.8</v>
      </c>
      <c r="D111" s="4">
        <f t="shared" ca="1" si="1"/>
        <v>419.92334801762115</v>
      </c>
      <c r="E111" s="7">
        <f ca="1">Kompilirano!AA229</f>
        <v>95322.6</v>
      </c>
      <c r="F111" s="6">
        <f ca="1">Kompilirano!Q229</f>
        <v>204.2</v>
      </c>
      <c r="G111" s="7">
        <f ca="1">Kompilirano!AI229</f>
        <v>4483.8</v>
      </c>
      <c r="H111" s="5">
        <f ca="1">Kompilirano!AT229</f>
        <v>9.8769911504424768E-2</v>
      </c>
      <c r="I111" s="5">
        <f ca="1">Kompilirano!BD229</f>
        <v>9.6460176991150462E-2</v>
      </c>
      <c r="J111" s="5">
        <f ca="1">Kompilirano!BN229</f>
        <v>1.2579507055780439E-2</v>
      </c>
      <c r="K111" s="5">
        <f ca="1">Kompilirano!BX229</f>
        <v>9.5831276163342416E-2</v>
      </c>
    </row>
    <row r="112" spans="2:11" x14ac:dyDescent="0.25">
      <c r="B112" t="s">
        <v>187</v>
      </c>
      <c r="C112" s="6">
        <f ca="1">Kompilirano!G135</f>
        <v>106.2</v>
      </c>
      <c r="D112" s="4">
        <f t="shared" ca="1" si="1"/>
        <v>419.85903083700441</v>
      </c>
      <c r="E112" s="7">
        <f ca="1">Kompilirano!AA135</f>
        <v>95308</v>
      </c>
      <c r="F112" s="6">
        <f ca="1">Kompilirano!Q135</f>
        <v>98.6</v>
      </c>
      <c r="G112" s="7">
        <f ca="1">Kompilirano!AI135</f>
        <v>21474.799999999999</v>
      </c>
      <c r="H112" s="5">
        <f ca="1">Kompilirano!AT135</f>
        <v>0.47273893805309736</v>
      </c>
      <c r="I112" s="5">
        <f ca="1">Kompilirano!BD135</f>
        <v>0.56371681415929209</v>
      </c>
      <c r="J112" s="5">
        <f ca="1">Kompilirano!BN135</f>
        <v>6.9493610005241235E-2</v>
      </c>
      <c r="K112" s="5">
        <f ca="1">Kompilirano!BX135</f>
        <v>6.8158643018438284E-2</v>
      </c>
    </row>
    <row r="113" spans="2:11" x14ac:dyDescent="0.25">
      <c r="B113" t="s">
        <v>102</v>
      </c>
      <c r="C113" s="6">
        <f ca="1">Kompilirano!G42</f>
        <v>108.4</v>
      </c>
      <c r="D113" s="4">
        <f t="shared" ca="1" si="1"/>
        <v>419.82378854625551</v>
      </c>
      <c r="E113" s="7">
        <f ca="1">Kompilirano!AA42</f>
        <v>95300</v>
      </c>
      <c r="F113" s="6">
        <f ca="1">Kompilirano!Q42</f>
        <v>182.2</v>
      </c>
      <c r="G113" s="7">
        <f ca="1">Kompilirano!AI42</f>
        <v>9995.4</v>
      </c>
      <c r="H113" s="5">
        <f ca="1">Kompilirano!AT42</f>
        <v>0.22038938053097348</v>
      </c>
      <c r="I113" s="5">
        <f ca="1">Kompilirano!BD42</f>
        <v>0.19380530973451324</v>
      </c>
      <c r="J113" s="5">
        <f ca="1">Kompilirano!BN42</f>
        <v>3.0601319836087243E-2</v>
      </c>
      <c r="K113" s="5">
        <f ca="1">Kompilirano!BX42</f>
        <v>8.9888857599256855E-2</v>
      </c>
    </row>
    <row r="114" spans="2:11" x14ac:dyDescent="0.25">
      <c r="B114" t="s">
        <v>148</v>
      </c>
      <c r="C114" s="6">
        <f ca="1">Kompilirano!G94</f>
        <v>107.6</v>
      </c>
      <c r="D114" s="4">
        <f t="shared" ca="1" si="1"/>
        <v>419.62378854625553</v>
      </c>
      <c r="E114" s="7">
        <f ca="1">Kompilirano!AA94</f>
        <v>95254.6</v>
      </c>
      <c r="F114" s="6">
        <f ca="1">Kompilirano!Q94</f>
        <v>27.4</v>
      </c>
      <c r="G114" s="7">
        <f ca="1">Kompilirano!AI94</f>
        <v>28161.200000000001</v>
      </c>
      <c r="H114" s="5">
        <f ca="1">Kompilirano!AT94</f>
        <v>0.61929203539823008</v>
      </c>
      <c r="I114" s="5">
        <f ca="1">Kompilirano!BD94</f>
        <v>0.87876106194690262</v>
      </c>
      <c r="J114" s="5">
        <f ca="1">Kompilirano!BN94</f>
        <v>8.8568530683793584E-2</v>
      </c>
      <c r="K114" s="5">
        <f ca="1">Kompilirano!BX94</f>
        <v>1.4544642656049853E-2</v>
      </c>
    </row>
    <row r="115" spans="2:11" x14ac:dyDescent="0.25">
      <c r="B115" t="s">
        <v>18</v>
      </c>
      <c r="C115" s="6">
        <f ca="1">Kompilirano!G167</f>
        <v>110.2</v>
      </c>
      <c r="D115" s="4">
        <f t="shared" ca="1" si="1"/>
        <v>419.60969162995593</v>
      </c>
      <c r="E115" s="7">
        <f ca="1">Kompilirano!AA167</f>
        <v>95251.4</v>
      </c>
      <c r="F115" s="6">
        <f ca="1">Kompilirano!Q167</f>
        <v>143.19999999999999</v>
      </c>
      <c r="G115" s="7">
        <f ca="1">Kompilirano!AI167</f>
        <v>18396.8</v>
      </c>
      <c r="H115" s="5">
        <f ca="1">Kompilirano!AT167</f>
        <v>0.40589823008849557</v>
      </c>
      <c r="I115" s="5">
        <f ca="1">Kompilirano!BD167</f>
        <v>0.36637168141592918</v>
      </c>
      <c r="J115" s="5">
        <f ca="1">Kompilirano!BN167</f>
        <v>6.0277656414551795E-2</v>
      </c>
      <c r="K115" s="5">
        <f ca="1">Kompilirano!BX167</f>
        <v>8.0062037468452349E-2</v>
      </c>
    </row>
    <row r="116" spans="2:11" x14ac:dyDescent="0.25">
      <c r="B116" t="s">
        <v>129</v>
      </c>
      <c r="C116" s="6">
        <f ca="1">Kompilirano!G73</f>
        <v>113</v>
      </c>
      <c r="D116" s="4">
        <f t="shared" ca="1" si="1"/>
        <v>419.12599118942734</v>
      </c>
      <c r="E116" s="7">
        <f ca="1">Kompilirano!AA73</f>
        <v>95141.6</v>
      </c>
      <c r="F116" s="6">
        <f ca="1">Kompilirano!Q73</f>
        <v>164.2</v>
      </c>
      <c r="G116" s="7">
        <f ca="1">Kompilirano!AI73</f>
        <v>8791.6</v>
      </c>
      <c r="H116" s="5">
        <f ca="1">Kompilirano!AT73</f>
        <v>0.19377876106194689</v>
      </c>
      <c r="I116" s="5">
        <f ca="1">Kompilirano!BD73</f>
        <v>0.27345132743362832</v>
      </c>
      <c r="J116" s="5">
        <f ca="1">Kompilirano!BN73</f>
        <v>2.6750555862045423E-2</v>
      </c>
      <c r="K116" s="5">
        <f ca="1">Kompilirano!BX73</f>
        <v>9.1280735894829129E-2</v>
      </c>
    </row>
    <row r="117" spans="2:11" x14ac:dyDescent="0.25">
      <c r="B117" t="s">
        <v>73</v>
      </c>
      <c r="C117" s="6">
        <f ca="1">Kompilirano!G12</f>
        <v>112.8</v>
      </c>
      <c r="D117" s="4">
        <f t="shared" ca="1" si="1"/>
        <v>418.99383259911895</v>
      </c>
      <c r="E117" s="7">
        <f ca="1">Kompilirano!AA12</f>
        <v>95111.6</v>
      </c>
      <c r="F117" s="6">
        <f ca="1">Kompilirano!Q12</f>
        <v>78.2</v>
      </c>
      <c r="G117" s="7">
        <f ca="1">Kompilirano!AI12</f>
        <v>23013</v>
      </c>
      <c r="H117" s="5">
        <f ca="1">Kompilirano!AT12</f>
        <v>0.50676106194690262</v>
      </c>
      <c r="I117" s="5">
        <f ca="1">Kompilirano!BD12</f>
        <v>0.65398230088495579</v>
      </c>
      <c r="J117" s="5">
        <f ca="1">Kompilirano!BN12</f>
        <v>6.0390881240962833E-2</v>
      </c>
      <c r="K117" s="5">
        <f ca="1">Kompilirano!BX12</f>
        <v>-4.7143328662026335E-2</v>
      </c>
    </row>
    <row r="118" spans="2:11" x14ac:dyDescent="0.25">
      <c r="B118" t="s">
        <v>123</v>
      </c>
      <c r="C118" s="6">
        <f ca="1">Kompilirano!G67</f>
        <v>113.2</v>
      </c>
      <c r="D118" s="4">
        <f t="shared" ca="1" si="1"/>
        <v>418.76035242290749</v>
      </c>
      <c r="E118" s="7">
        <f ca="1">Kompilirano!AA67</f>
        <v>95058.6</v>
      </c>
      <c r="F118" s="6">
        <f ca="1">Kompilirano!Q67</f>
        <v>62.2</v>
      </c>
      <c r="G118" s="7">
        <f ca="1">Kompilirano!AI67</f>
        <v>28775.4</v>
      </c>
      <c r="H118" s="5">
        <f ca="1">Kompilirano!AT67</f>
        <v>0.63353982300884959</v>
      </c>
      <c r="I118" s="5">
        <f ca="1">Kompilirano!BD67</f>
        <v>0.72477876106194683</v>
      </c>
      <c r="J118" s="5">
        <f ca="1">Kompilirano!BN67</f>
        <v>8.6209750222829493E-2</v>
      </c>
      <c r="K118" s="5">
        <f ca="1">Kompilirano!BX67</f>
        <v>-2.8454714658237832E-3</v>
      </c>
    </row>
    <row r="119" spans="2:11" x14ac:dyDescent="0.25">
      <c r="B119" t="s">
        <v>72</v>
      </c>
      <c r="C119" s="6">
        <f ca="1">Kompilirano!G11</f>
        <v>111.8</v>
      </c>
      <c r="D119" s="4">
        <f t="shared" ca="1" si="1"/>
        <v>418.70660792951537</v>
      </c>
      <c r="E119" s="7">
        <f ca="1">Kompilirano!AA11</f>
        <v>95046.399999999994</v>
      </c>
      <c r="F119" s="6">
        <f ca="1">Kompilirano!Q11</f>
        <v>175.6</v>
      </c>
      <c r="G119" s="7">
        <f ca="1">Kompilirano!AI11</f>
        <v>13887.2</v>
      </c>
      <c r="H119" s="5">
        <f ca="1">Kompilirano!AT11</f>
        <v>0.30633628318584066</v>
      </c>
      <c r="I119" s="5">
        <f ca="1">Kompilirano!BD11</f>
        <v>0.22300884955752215</v>
      </c>
      <c r="J119" s="5">
        <f ca="1">Kompilirano!BN11</f>
        <v>4.4771590845727918E-2</v>
      </c>
      <c r="K119" s="5">
        <f ca="1">Kompilirano!BX11</f>
        <v>8.5922822404806531E-2</v>
      </c>
    </row>
    <row r="120" spans="2:11" x14ac:dyDescent="0.25">
      <c r="B120" t="s">
        <v>136</v>
      </c>
      <c r="C120" s="6">
        <f ca="1">Kompilirano!G80</f>
        <v>115.6</v>
      </c>
      <c r="D120" s="4">
        <f t="shared" ca="1" si="1"/>
        <v>418.48281938325994</v>
      </c>
      <c r="E120" s="7">
        <f ca="1">Kompilirano!AA80</f>
        <v>94995.6</v>
      </c>
      <c r="F120" s="6">
        <f ca="1">Kompilirano!Q80</f>
        <v>167.2</v>
      </c>
      <c r="G120" s="7">
        <f ca="1">Kompilirano!AI80</f>
        <v>7713</v>
      </c>
      <c r="H120" s="5">
        <f ca="1">Kompilirano!AT80</f>
        <v>0.16991592920353982</v>
      </c>
      <c r="I120" s="5">
        <f ca="1">Kompilirano!BD80</f>
        <v>0.26017699115044246</v>
      </c>
      <c r="J120" s="5">
        <f ca="1">Kompilirano!BN80</f>
        <v>2.3001264180646758E-2</v>
      </c>
      <c r="K120" s="5">
        <f ca="1">Kompilirano!BX80</f>
        <v>9.0461821966111702E-2</v>
      </c>
    </row>
    <row r="121" spans="2:11" x14ac:dyDescent="0.25">
      <c r="B121" t="s">
        <v>150</v>
      </c>
      <c r="C121" s="6">
        <f ca="1">Kompilirano!G96</f>
        <v>117</v>
      </c>
      <c r="D121" s="4">
        <f t="shared" ca="1" si="1"/>
        <v>418.13920704845816</v>
      </c>
      <c r="E121" s="7">
        <f ca="1">Kompilirano!AA96</f>
        <v>94917.6</v>
      </c>
      <c r="F121" s="6">
        <f ca="1">Kompilirano!Q96</f>
        <v>201</v>
      </c>
      <c r="G121" s="7">
        <f ca="1">Kompilirano!AI96</f>
        <v>6938.4</v>
      </c>
      <c r="H121" s="5">
        <f ca="1">Kompilirano!AT96</f>
        <v>0.15297345132743362</v>
      </c>
      <c r="I121" s="5">
        <f ca="1">Kompilirano!BD96</f>
        <v>0.11061946902654869</v>
      </c>
      <c r="J121" s="5">
        <f ca="1">Kompilirano!BN96</f>
        <v>2.2218387204906005E-2</v>
      </c>
      <c r="K121" s="5">
        <f ca="1">Kompilirano!BX96</f>
        <v>0.10696393242680872</v>
      </c>
    </row>
    <row r="122" spans="2:11" x14ac:dyDescent="0.25">
      <c r="B122" t="s">
        <v>186</v>
      </c>
      <c r="C122" s="6">
        <f ca="1">Kompilirano!G134</f>
        <v>117.2</v>
      </c>
      <c r="D122" s="4">
        <f t="shared" ca="1" si="1"/>
        <v>418.11101321585903</v>
      </c>
      <c r="E122" s="7">
        <f ca="1">Kompilirano!AA134</f>
        <v>94911.2</v>
      </c>
      <c r="F122" s="6">
        <f ca="1">Kompilirano!Q134</f>
        <v>98</v>
      </c>
      <c r="G122" s="7">
        <f ca="1">Kompilirano!AI134</f>
        <v>21397.599999999999</v>
      </c>
      <c r="H122" s="5">
        <f ca="1">Kompilirano!AT134</f>
        <v>0.47102212389380532</v>
      </c>
      <c r="I122" s="5">
        <f ca="1">Kompilirano!BD134</f>
        <v>0.5663716814159292</v>
      </c>
      <c r="J122" s="5">
        <f ca="1">Kompilirano!BN134</f>
        <v>6.8962980994689282E-2</v>
      </c>
      <c r="K122" s="5">
        <f ca="1">Kompilirano!BX134</f>
        <v>6.8095569733990863E-2</v>
      </c>
    </row>
    <row r="123" spans="2:11" x14ac:dyDescent="0.25">
      <c r="B123" t="s">
        <v>68</v>
      </c>
      <c r="C123" s="6">
        <f ca="1">Kompilirano!G7</f>
        <v>116.8</v>
      </c>
      <c r="D123" s="4">
        <f t="shared" ca="1" si="1"/>
        <v>418.08546255506604</v>
      </c>
      <c r="E123" s="7">
        <f ca="1">Kompilirano!AA7</f>
        <v>94905.4</v>
      </c>
      <c r="F123" s="6">
        <f ca="1">Kompilirano!Q7</f>
        <v>133</v>
      </c>
      <c r="G123" s="7">
        <f ca="1">Kompilirano!AI7</f>
        <v>13571.2</v>
      </c>
      <c r="H123" s="5">
        <f ca="1">Kompilirano!AT7</f>
        <v>0.29887610619469024</v>
      </c>
      <c r="I123" s="5">
        <f ca="1">Kompilirano!BD7</f>
        <v>0.41150442477876104</v>
      </c>
      <c r="J123" s="5">
        <f ca="1">Kompilirano!BN7</f>
        <v>3.3964722780977522E-2</v>
      </c>
      <c r="K123" s="5">
        <f ca="1">Kompilirano!BX7</f>
        <v>1.4133758993405226E-2</v>
      </c>
    </row>
    <row r="124" spans="2:11" x14ac:dyDescent="0.25">
      <c r="B124" t="s">
        <v>69</v>
      </c>
      <c r="C124" s="6">
        <f ca="1">Kompilirano!G8</f>
        <v>117</v>
      </c>
      <c r="D124" s="4">
        <f t="shared" ca="1" si="1"/>
        <v>417.79383259911896</v>
      </c>
      <c r="E124" s="7">
        <f ca="1">Kompilirano!AA8</f>
        <v>94839.2</v>
      </c>
      <c r="F124" s="6">
        <f ca="1">Kompilirano!Q8</f>
        <v>129.6</v>
      </c>
      <c r="G124" s="7">
        <f ca="1">Kompilirano!AI8</f>
        <v>14399.6</v>
      </c>
      <c r="H124" s="5">
        <f ca="1">Kompilirano!AT8</f>
        <v>0.31732300884955755</v>
      </c>
      <c r="I124" s="5">
        <f ca="1">Kompilirano!BD8</f>
        <v>0.42654867256637169</v>
      </c>
      <c r="J124" s="5">
        <f ca="1">Kompilirano!BN8</f>
        <v>4.2588337796823569E-2</v>
      </c>
      <c r="K124" s="5">
        <f ca="1">Kompilirano!BX8</f>
        <v>5.7113729827523954E-2</v>
      </c>
    </row>
    <row r="125" spans="2:11" x14ac:dyDescent="0.25">
      <c r="B125" t="s">
        <v>265</v>
      </c>
      <c r="C125" s="6">
        <f ca="1">Kompilirano!G219</f>
        <v>119.8</v>
      </c>
      <c r="D125" s="4">
        <f t="shared" ca="1" si="1"/>
        <v>417.77797356828194</v>
      </c>
      <c r="E125" s="7">
        <f ca="1">Kompilirano!AA219</f>
        <v>94835.6</v>
      </c>
      <c r="F125" s="6">
        <f ca="1">Kompilirano!Q219</f>
        <v>195</v>
      </c>
      <c r="G125" s="7">
        <f ca="1">Kompilirano!AI219</f>
        <v>6686</v>
      </c>
      <c r="H125" s="5">
        <f ca="1">Kompilirano!AT219</f>
        <v>0.14742035398230086</v>
      </c>
      <c r="I125" s="5">
        <f ca="1">Kompilirano!BD219</f>
        <v>0.13716814159292037</v>
      </c>
      <c r="J125" s="5">
        <f ca="1">Kompilirano!BN219</f>
        <v>1.9704873031700914E-2</v>
      </c>
      <c r="K125" s="5">
        <f ca="1">Kompilirano!BX219</f>
        <v>9.5079542231417208E-2</v>
      </c>
    </row>
    <row r="126" spans="2:11" x14ac:dyDescent="0.25">
      <c r="B126" t="s">
        <v>206</v>
      </c>
      <c r="C126" s="6">
        <f ca="1">Kompilirano!G156</f>
        <v>119.8</v>
      </c>
      <c r="D126" s="4">
        <f t="shared" ca="1" si="1"/>
        <v>417.77621145374451</v>
      </c>
      <c r="E126" s="7">
        <f ca="1">Kompilirano!AA156</f>
        <v>94835.199999999997</v>
      </c>
      <c r="F126" s="6">
        <f ca="1">Kompilirano!Q156</f>
        <v>104.4</v>
      </c>
      <c r="G126" s="7">
        <f ca="1">Kompilirano!AI156</f>
        <v>20664.400000000001</v>
      </c>
      <c r="H126" s="5">
        <f ca="1">Kompilirano!AT156</f>
        <v>0.455146017699115</v>
      </c>
      <c r="I126" s="5">
        <f ca="1">Kompilirano!BD156</f>
        <v>0.53805309734513274</v>
      </c>
      <c r="J126" s="5">
        <f ca="1">Kompilirano!BN156</f>
        <v>6.4677582823945604E-2</v>
      </c>
      <c r="K126" s="5">
        <f ca="1">Kompilirano!BX156</f>
        <v>5.7752899493392428E-2</v>
      </c>
    </row>
    <row r="127" spans="2:11" x14ac:dyDescent="0.25">
      <c r="B127" t="s">
        <v>105</v>
      </c>
      <c r="C127" s="6">
        <f ca="1">Kompilirano!G45</f>
        <v>120.6</v>
      </c>
      <c r="D127" s="4">
        <f t="shared" ca="1" si="1"/>
        <v>417.70660792951537</v>
      </c>
      <c r="E127" s="7">
        <f ca="1">Kompilirano!AA45</f>
        <v>94819.4</v>
      </c>
      <c r="F127" s="6">
        <f ca="1">Kompilirano!Q45</f>
        <v>192.8</v>
      </c>
      <c r="G127" s="7">
        <f ca="1">Kompilirano!AI45</f>
        <v>13880</v>
      </c>
      <c r="H127" s="5">
        <f ca="1">Kompilirano!AT45</f>
        <v>0.30626991150442479</v>
      </c>
      <c r="I127" s="5">
        <f ca="1">Kompilirano!BD45</f>
        <v>0.14690265486725665</v>
      </c>
      <c r="J127" s="5">
        <f ca="1">Kompilirano!BN45</f>
        <v>4.7956877014852926E-2</v>
      </c>
      <c r="K127" s="5">
        <f ca="1">Kompilirano!BX45</f>
        <v>0.10710739726392564</v>
      </c>
    </row>
    <row r="128" spans="2:11" x14ac:dyDescent="0.25">
      <c r="B128" t="s">
        <v>75</v>
      </c>
      <c r="C128" s="6">
        <f ca="1">Kompilirano!G14</f>
        <v>118.8</v>
      </c>
      <c r="D128" s="4">
        <f t="shared" ca="1" si="1"/>
        <v>417.58766519823786</v>
      </c>
      <c r="E128" s="7">
        <f ca="1">Kompilirano!AA14</f>
        <v>94792.4</v>
      </c>
      <c r="F128" s="6">
        <f ca="1">Kompilirano!Q14</f>
        <v>109.8</v>
      </c>
      <c r="G128" s="7">
        <f ca="1">Kompilirano!AI14</f>
        <v>17465.8</v>
      </c>
      <c r="H128" s="5">
        <f ca="1">Kompilirano!AT14</f>
        <v>0.38457964601769906</v>
      </c>
      <c r="I128" s="5">
        <f ca="1">Kompilirano!BD14</f>
        <v>0.51415929203539823</v>
      </c>
      <c r="J128" s="5">
        <f ca="1">Kompilirano!BN14</f>
        <v>5.0946100931178462E-2</v>
      </c>
      <c r="K128" s="5">
        <f ca="1">Kompilirano!BX14</f>
        <v>3.4464895339019821E-2</v>
      </c>
    </row>
    <row r="129" spans="2:11" x14ac:dyDescent="0.25">
      <c r="B129" t="s">
        <v>120</v>
      </c>
      <c r="C129" s="6">
        <f ca="1">Kompilirano!G62</f>
        <v>122.2</v>
      </c>
      <c r="D129" s="4">
        <f t="shared" ca="1" si="1"/>
        <v>417.37004405286342</v>
      </c>
      <c r="E129" s="7">
        <f ca="1">Kompilirano!AA62</f>
        <v>94743</v>
      </c>
      <c r="F129" s="6">
        <f ca="1">Kompilirano!Q62</f>
        <v>66.400000000000006</v>
      </c>
      <c r="G129" s="7">
        <f ca="1">Kompilirano!AI62</f>
        <v>26044.400000000001</v>
      </c>
      <c r="H129" s="5">
        <f ca="1">Kompilirano!AT62</f>
        <v>0.57330973451327427</v>
      </c>
      <c r="I129" s="5">
        <f ca="1">Kompilirano!BD62</f>
        <v>0.70619469026548676</v>
      </c>
      <c r="J129" s="5">
        <f ca="1">Kompilirano!BN62</f>
        <v>7.8868755145361041E-2</v>
      </c>
      <c r="K129" s="5">
        <f ca="1">Kompilirano!BX62</f>
        <v>1.3797173571004167E-2</v>
      </c>
    </row>
    <row r="130" spans="2:11" x14ac:dyDescent="0.25">
      <c r="B130" t="s">
        <v>79</v>
      </c>
      <c r="C130" s="6">
        <f ca="1">Kompilirano!G18</f>
        <v>126</v>
      </c>
      <c r="D130" s="4">
        <f t="shared" ca="1" si="1"/>
        <v>416.75242290748901</v>
      </c>
      <c r="E130" s="7">
        <f ca="1">Kompilirano!AA18</f>
        <v>94602.8</v>
      </c>
      <c r="F130" s="6">
        <f ca="1">Kompilirano!Q18</f>
        <v>123.6</v>
      </c>
      <c r="G130" s="7">
        <f ca="1">Kompilirano!AI18</f>
        <v>15253</v>
      </c>
      <c r="H130" s="5">
        <f ca="1">Kompilirano!AT18</f>
        <v>0.33549115044247785</v>
      </c>
      <c r="I130" s="5">
        <f ca="1">Kompilirano!BD18</f>
        <v>0.45309734513274336</v>
      </c>
      <c r="J130" s="5">
        <f ca="1">Kompilirano!BN18</f>
        <v>4.7115227328713281E-2</v>
      </c>
      <c r="K130" s="5">
        <f ca="1">Kompilirano!BX18</f>
        <v>7.1260383217297024E-2</v>
      </c>
    </row>
    <row r="131" spans="2:11" x14ac:dyDescent="0.25">
      <c r="B131" t="s">
        <v>139</v>
      </c>
      <c r="C131" s="6">
        <f ca="1">Kompilirano!G83</f>
        <v>127.4</v>
      </c>
      <c r="D131" s="4">
        <f t="shared" ca="1" si="1"/>
        <v>416.24405286343608</v>
      </c>
      <c r="E131" s="7">
        <f ca="1">Kompilirano!AA83</f>
        <v>94487.4</v>
      </c>
      <c r="F131" s="6">
        <f ca="1">Kompilirano!Q83</f>
        <v>176.4</v>
      </c>
      <c r="G131" s="7">
        <f ca="1">Kompilirano!AI83</f>
        <v>8533.6</v>
      </c>
      <c r="H131" s="5">
        <f ca="1">Kompilirano!AT83</f>
        <v>0.18814601769911501</v>
      </c>
      <c r="I131" s="5">
        <f ca="1">Kompilirano!BD83</f>
        <v>0.21946902654867256</v>
      </c>
      <c r="J131" s="5">
        <f ca="1">Kompilirano!BN83</f>
        <v>2.5991735922556176E-2</v>
      </c>
      <c r="K131" s="5">
        <f ca="1">Kompilirano!BX83</f>
        <v>9.3073785037290066E-2</v>
      </c>
    </row>
    <row r="132" spans="2:11" x14ac:dyDescent="0.25">
      <c r="B132" t="s">
        <v>158</v>
      </c>
      <c r="C132" s="6">
        <f ca="1">Kompilirano!G104</f>
        <v>127.2</v>
      </c>
      <c r="D132" s="4">
        <f t="shared" ref="D132:D195" ca="1" si="2">E132/227</f>
        <v>416.15242290748904</v>
      </c>
      <c r="E132" s="7">
        <f ca="1">Kompilirano!AA104</f>
        <v>94466.6</v>
      </c>
      <c r="F132" s="6">
        <f ca="1">Kompilirano!Q104</f>
        <v>81.400000000000006</v>
      </c>
      <c r="G132" s="7">
        <f ca="1">Kompilirano!AI104</f>
        <v>23668.799999999999</v>
      </c>
      <c r="H132" s="5">
        <f ca="1">Kompilirano!AT104</f>
        <v>0.52109734513274342</v>
      </c>
      <c r="I132" s="5">
        <f ca="1">Kompilirano!BD104</f>
        <v>0.63982300884955756</v>
      </c>
      <c r="J132" s="5">
        <f ca="1">Kompilirano!BN104</f>
        <v>7.454277921951262E-2</v>
      </c>
      <c r="K132" s="5">
        <f ca="1">Kompilirano!BX104</f>
        <v>3.9138421004314639E-2</v>
      </c>
    </row>
    <row r="133" spans="2:11" x14ac:dyDescent="0.25">
      <c r="B133" t="s">
        <v>261</v>
      </c>
      <c r="C133" s="6">
        <f ca="1">Kompilirano!G214</f>
        <v>128.6</v>
      </c>
      <c r="D133" s="4">
        <f t="shared" ca="1" si="2"/>
        <v>415.90484581497793</v>
      </c>
      <c r="E133" s="7">
        <f ca="1">Kompilirano!AA214</f>
        <v>94410.4</v>
      </c>
      <c r="F133" s="6">
        <f ca="1">Kompilirano!Q214</f>
        <v>146.80000000000001</v>
      </c>
      <c r="G133" s="7">
        <f ca="1">Kompilirano!AI214</f>
        <v>8877</v>
      </c>
      <c r="H133" s="5">
        <f ca="1">Kompilirano!AT214</f>
        <v>0.1953362831858407</v>
      </c>
      <c r="I133" s="5">
        <f ca="1">Kompilirano!BD214</f>
        <v>0.35044247787610622</v>
      </c>
      <c r="J133" s="5">
        <f ca="1">Kompilirano!BN214</f>
        <v>2.488190562741753E-2</v>
      </c>
      <c r="K133" s="5">
        <f ca="1">Kompilirano!BX214</f>
        <v>7.2607599139540555E-2</v>
      </c>
    </row>
    <row r="134" spans="2:11" x14ac:dyDescent="0.25">
      <c r="B134" t="s">
        <v>74</v>
      </c>
      <c r="C134" s="6">
        <f ca="1">Kompilirano!G13</f>
        <v>129.80000000000001</v>
      </c>
      <c r="D134" s="4">
        <f t="shared" ca="1" si="2"/>
        <v>415.54537444933919</v>
      </c>
      <c r="E134" s="7">
        <f ca="1">Kompilirano!AA13</f>
        <v>94328.8</v>
      </c>
      <c r="F134" s="6">
        <f ca="1">Kompilirano!Q13</f>
        <v>105.8</v>
      </c>
      <c r="G134" s="7">
        <f ca="1">Kompilirano!AI13</f>
        <v>15620.6</v>
      </c>
      <c r="H134" s="5">
        <f ca="1">Kompilirano!AT13</f>
        <v>0.34366814159292036</v>
      </c>
      <c r="I134" s="5">
        <f ca="1">Kompilirano!BD13</f>
        <v>0.53185840707964605</v>
      </c>
      <c r="J134" s="5">
        <f ca="1">Kompilirano!BN13</f>
        <v>4.2896180565151903E-2</v>
      </c>
      <c r="K134" s="5">
        <f ca="1">Kompilirano!BX13</f>
        <v>1.9480956183226702E-2</v>
      </c>
    </row>
    <row r="135" spans="2:11" x14ac:dyDescent="0.25">
      <c r="B135" t="s">
        <v>144</v>
      </c>
      <c r="C135" s="6">
        <f ca="1">Kompilirano!G90</f>
        <v>131.6</v>
      </c>
      <c r="D135" s="4">
        <f t="shared" ca="1" si="2"/>
        <v>415.53127753303966</v>
      </c>
      <c r="E135" s="7">
        <f ca="1">Kompilirano!AA90</f>
        <v>94325.6</v>
      </c>
      <c r="F135" s="6">
        <f ca="1">Kompilirano!Q90</f>
        <v>195.8</v>
      </c>
      <c r="G135" s="7">
        <f ca="1">Kompilirano!AI90</f>
        <v>7415</v>
      </c>
      <c r="H135" s="5">
        <f ca="1">Kompilirano!AT90</f>
        <v>0.16356194690265485</v>
      </c>
      <c r="I135" s="5">
        <f ca="1">Kompilirano!BD90</f>
        <v>0.13362831858407076</v>
      </c>
      <c r="J135" s="5">
        <f ca="1">Kompilirano!BN90</f>
        <v>2.4000364517105514E-2</v>
      </c>
      <c r="K135" s="5">
        <f ca="1">Kompilirano!BX90</f>
        <v>0.10880132798483884</v>
      </c>
    </row>
    <row r="136" spans="2:11" x14ac:dyDescent="0.25">
      <c r="B136" t="s">
        <v>178</v>
      </c>
      <c r="C136" s="6">
        <f ca="1">Kompilirano!G125</f>
        <v>138</v>
      </c>
      <c r="D136" s="4">
        <f t="shared" ca="1" si="2"/>
        <v>414.37444933920705</v>
      </c>
      <c r="E136" s="7">
        <f ca="1">Kompilirano!AA125</f>
        <v>94063</v>
      </c>
      <c r="F136" s="6">
        <f ca="1">Kompilirano!Q125</f>
        <v>51.4</v>
      </c>
      <c r="G136" s="7">
        <f ca="1">Kompilirano!AI125</f>
        <v>34376.199999999997</v>
      </c>
      <c r="H136" s="5">
        <f ca="1">Kompilirano!AT125</f>
        <v>0.75719469026548669</v>
      </c>
      <c r="I136" s="5">
        <f ca="1">Kompilirano!BD125</f>
        <v>0.77256637168141595</v>
      </c>
      <c r="J136" s="5">
        <f ca="1">Kompilirano!BN125</f>
        <v>9.6869447697261801E-2</v>
      </c>
      <c r="K136" s="5">
        <f ca="1">Kompilirano!BX125</f>
        <v>-7.8951178604621919E-2</v>
      </c>
    </row>
    <row r="137" spans="2:11" x14ac:dyDescent="0.25">
      <c r="B137" t="s">
        <v>236</v>
      </c>
      <c r="C137" s="6">
        <f ca="1">Kompilirano!G188</f>
        <v>138</v>
      </c>
      <c r="D137" s="4">
        <f t="shared" ca="1" si="2"/>
        <v>414.20616740088104</v>
      </c>
      <c r="E137" s="7">
        <f ca="1">Kompilirano!AA188</f>
        <v>94024.8</v>
      </c>
      <c r="F137" s="6">
        <f ca="1">Kompilirano!Q188</f>
        <v>140.80000000000001</v>
      </c>
      <c r="G137" s="7">
        <f ca="1">Kompilirano!AI188</f>
        <v>16425.2</v>
      </c>
      <c r="H137" s="5">
        <f ca="1">Kompilirano!AT188</f>
        <v>0.3620575221238938</v>
      </c>
      <c r="I137" s="5">
        <f ca="1">Kompilirano!BD188</f>
        <v>0.37699115044247788</v>
      </c>
      <c r="J137" s="5">
        <f ca="1">Kompilirano!BN188</f>
        <v>5.2703503058680101E-2</v>
      </c>
      <c r="K137" s="5">
        <f ca="1">Kompilirano!BX188</f>
        <v>8.646804811559114E-2</v>
      </c>
    </row>
    <row r="138" spans="2:11" x14ac:dyDescent="0.25">
      <c r="B138" t="s">
        <v>174</v>
      </c>
      <c r="C138" s="6">
        <f ca="1">Kompilirano!G120</f>
        <v>139</v>
      </c>
      <c r="D138" s="4">
        <f t="shared" ca="1" si="2"/>
        <v>414.04933920704843</v>
      </c>
      <c r="E138" s="7">
        <f ca="1">Kompilirano!AA120</f>
        <v>93989.2</v>
      </c>
      <c r="F138" s="6">
        <f ca="1">Kompilirano!Q120</f>
        <v>160.6</v>
      </c>
      <c r="G138" s="7">
        <f ca="1">Kompilirano!AI120</f>
        <v>14681.4</v>
      </c>
      <c r="H138" s="5">
        <f ca="1">Kompilirano!AT120</f>
        <v>0.32392477876106196</v>
      </c>
      <c r="I138" s="5">
        <f ca="1">Kompilirano!BD120</f>
        <v>0.28938053097345134</v>
      </c>
      <c r="J138" s="5">
        <f ca="1">Kompilirano!BN120</f>
        <v>4.7671743635548665E-2</v>
      </c>
      <c r="K138" s="5">
        <f ca="1">Kompilirano!BX120</f>
        <v>9.9251088810907648E-2</v>
      </c>
    </row>
    <row r="139" spans="2:11" x14ac:dyDescent="0.25">
      <c r="B139" t="s">
        <v>138</v>
      </c>
      <c r="C139" s="6">
        <f ca="1">Kompilirano!G82</f>
        <v>137.6</v>
      </c>
      <c r="D139" s="4">
        <f t="shared" ca="1" si="2"/>
        <v>413.87929515418506</v>
      </c>
      <c r="E139" s="7">
        <f ca="1">Kompilirano!AA82</f>
        <v>93950.6</v>
      </c>
      <c r="F139" s="6">
        <f ca="1">Kompilirano!Q82</f>
        <v>172.4</v>
      </c>
      <c r="G139" s="7">
        <f ca="1">Kompilirano!AI82</f>
        <v>17070.599999999999</v>
      </c>
      <c r="H139" s="5">
        <f ca="1">Kompilirano!AT82</f>
        <v>0.37626991150442485</v>
      </c>
      <c r="I139" s="5">
        <f ca="1">Kompilirano!BD82</f>
        <v>0.23716814159292032</v>
      </c>
      <c r="J139" s="5">
        <f ca="1">Kompilirano!BN82</f>
        <v>5.7421819647443549E-2</v>
      </c>
      <c r="K139" s="5">
        <f ca="1">Kompilirano!BX82</f>
        <v>0.10132516397230699</v>
      </c>
    </row>
    <row r="140" spans="2:11" x14ac:dyDescent="0.25">
      <c r="B140" t="s">
        <v>213</v>
      </c>
      <c r="C140" s="6">
        <f ca="1">Kompilirano!G163</f>
        <v>139.6</v>
      </c>
      <c r="D140" s="4">
        <f t="shared" ca="1" si="2"/>
        <v>413.79383259911896</v>
      </c>
      <c r="E140" s="7">
        <f ca="1">Kompilirano!AA163</f>
        <v>93931.199999999997</v>
      </c>
      <c r="F140" s="6">
        <f ca="1">Kompilirano!Q163</f>
        <v>117</v>
      </c>
      <c r="G140" s="7">
        <f ca="1">Kompilirano!AI163</f>
        <v>20767.2</v>
      </c>
      <c r="H140" s="5">
        <f ca="1">Kompilirano!AT163</f>
        <v>0.45905309734513278</v>
      </c>
      <c r="I140" s="5">
        <f ca="1">Kompilirano!BD163</f>
        <v>0.4823008849557523</v>
      </c>
      <c r="J140" s="5">
        <f ca="1">Kompilirano!BN163</f>
        <v>6.995232127509711E-2</v>
      </c>
      <c r="K140" s="5">
        <f ca="1">Kompilirano!BX163</f>
        <v>8.9897840244027041E-2</v>
      </c>
    </row>
    <row r="141" spans="2:11" x14ac:dyDescent="0.25">
      <c r="B141" t="s">
        <v>149</v>
      </c>
      <c r="C141" s="6">
        <f ca="1">Kompilirano!G95</f>
        <v>139.19999999999999</v>
      </c>
      <c r="D141" s="4">
        <f t="shared" ca="1" si="2"/>
        <v>413.6810572687225</v>
      </c>
      <c r="E141" s="7">
        <f ca="1">Kompilirano!AA95</f>
        <v>93905.600000000006</v>
      </c>
      <c r="F141" s="6">
        <f ca="1">Kompilirano!Q95</f>
        <v>194</v>
      </c>
      <c r="G141" s="7">
        <f ca="1">Kompilirano!AI95</f>
        <v>8612.4</v>
      </c>
      <c r="H141" s="5">
        <f ca="1">Kompilirano!AT95</f>
        <v>0.18981858407079649</v>
      </c>
      <c r="I141" s="5">
        <f ca="1">Kompilirano!BD95</f>
        <v>0.1415929203539823</v>
      </c>
      <c r="J141" s="5">
        <f ca="1">Kompilirano!BN95</f>
        <v>2.757661479297422E-2</v>
      </c>
      <c r="K141" s="5">
        <f ca="1">Kompilirano!BX95</f>
        <v>0.10561127386585119</v>
      </c>
    </row>
    <row r="142" spans="2:11" x14ac:dyDescent="0.25">
      <c r="B142" t="s">
        <v>255</v>
      </c>
      <c r="C142" s="6">
        <f ca="1">Kompilirano!G207</f>
        <v>143</v>
      </c>
      <c r="D142" s="4">
        <f t="shared" ca="1" si="2"/>
        <v>413.53744493392071</v>
      </c>
      <c r="E142" s="7">
        <f ca="1">Kompilirano!AA207</f>
        <v>93873</v>
      </c>
      <c r="F142" s="6">
        <f ca="1">Kompilirano!Q207</f>
        <v>184.2</v>
      </c>
      <c r="G142" s="7">
        <f ca="1">Kompilirano!AI207</f>
        <v>8278.2000000000007</v>
      </c>
      <c r="H142" s="5">
        <f ca="1">Kompilirano!AT207</f>
        <v>0.18254424778761061</v>
      </c>
      <c r="I142" s="5">
        <f ca="1">Kompilirano!BD207</f>
        <v>0.18495575221238938</v>
      </c>
      <c r="J142" s="5">
        <f ca="1">Kompilirano!BN207</f>
        <v>2.5154789999590831E-2</v>
      </c>
      <c r="K142" s="5">
        <f ca="1">Kompilirano!BX207</f>
        <v>9.4717418575434142E-2</v>
      </c>
    </row>
    <row r="143" spans="2:11" x14ac:dyDescent="0.25">
      <c r="B143" t="s">
        <v>13</v>
      </c>
      <c r="C143" s="6">
        <f ca="1">Kompilirano!G130</f>
        <v>141.80000000000001</v>
      </c>
      <c r="D143" s="4">
        <f t="shared" ca="1" si="2"/>
        <v>413.36563876651985</v>
      </c>
      <c r="E143" s="7">
        <f ca="1">Kompilirano!AA130</f>
        <v>93834</v>
      </c>
      <c r="F143" s="6">
        <f ca="1">Kompilirano!Q130</f>
        <v>130.80000000000001</v>
      </c>
      <c r="G143" s="7">
        <f ca="1">Kompilirano!AI130</f>
        <v>23468.6</v>
      </c>
      <c r="H143" s="5">
        <f ca="1">Kompilirano!AT130</f>
        <v>0.51711061946902659</v>
      </c>
      <c r="I143" s="5">
        <f ca="1">Kompilirano!BD130</f>
        <v>0.42123893805309737</v>
      </c>
      <c r="J143" s="5">
        <f ca="1">Kompilirano!BN130</f>
        <v>6.932705809524016E-2</v>
      </c>
      <c r="K143" s="5">
        <f ca="1">Kompilirano!BX130</f>
        <v>2.0491478479206279E-2</v>
      </c>
    </row>
    <row r="144" spans="2:11" x14ac:dyDescent="0.25">
      <c r="B144" t="s">
        <v>107</v>
      </c>
      <c r="C144" s="6">
        <f ca="1">Kompilirano!G47</f>
        <v>143.19999999999999</v>
      </c>
      <c r="D144" s="4">
        <f t="shared" ca="1" si="2"/>
        <v>413.14625550660793</v>
      </c>
      <c r="E144" s="7">
        <f ca="1">Kompilirano!AA47</f>
        <v>93784.2</v>
      </c>
      <c r="F144" s="6">
        <f ca="1">Kompilirano!Q47</f>
        <v>87.6</v>
      </c>
      <c r="G144" s="7">
        <f ca="1">Kompilirano!AI47</f>
        <v>22731.4</v>
      </c>
      <c r="H144" s="5">
        <f ca="1">Kompilirano!AT47</f>
        <v>0.50058849557522123</v>
      </c>
      <c r="I144" s="5">
        <f ca="1">Kompilirano!BD47</f>
        <v>0.61238938053097347</v>
      </c>
      <c r="J144" s="5">
        <f ca="1">Kompilirano!BN47</f>
        <v>6.7630438249033697E-2</v>
      </c>
      <c r="K144" s="5">
        <f ca="1">Kompilirano!BX47</f>
        <v>2.0174031795071767E-2</v>
      </c>
    </row>
    <row r="145" spans="2:11" x14ac:dyDescent="0.25">
      <c r="B145" t="s">
        <v>254</v>
      </c>
      <c r="C145" s="6">
        <f ca="1">Kompilirano!G206</f>
        <v>143.19999999999999</v>
      </c>
      <c r="D145" s="4">
        <f t="shared" ca="1" si="2"/>
        <v>413.03436123348018</v>
      </c>
      <c r="E145" s="7">
        <f ca="1">Kompilirano!AA206</f>
        <v>93758.8</v>
      </c>
      <c r="F145" s="6">
        <f ca="1">Kompilirano!Q206</f>
        <v>165.4</v>
      </c>
      <c r="G145" s="7">
        <f ca="1">Kompilirano!AI206</f>
        <v>11820.8</v>
      </c>
      <c r="H145" s="5">
        <f ca="1">Kompilirano!AT206</f>
        <v>0.26067699115044252</v>
      </c>
      <c r="I145" s="5">
        <f ca="1">Kompilirano!BD206</f>
        <v>0.268141592920354</v>
      </c>
      <c r="J145" s="5">
        <f ca="1">Kompilirano!BN206</f>
        <v>3.7363201453298793E-2</v>
      </c>
      <c r="K145" s="5">
        <f ca="1">Kompilirano!BX206</f>
        <v>9.7714480078562566E-2</v>
      </c>
    </row>
    <row r="146" spans="2:11" x14ac:dyDescent="0.25">
      <c r="B146" t="s">
        <v>247</v>
      </c>
      <c r="C146" s="6">
        <f ca="1">Kompilirano!G199</f>
        <v>145.6</v>
      </c>
      <c r="D146" s="4">
        <f t="shared" ca="1" si="2"/>
        <v>412.85286343612336</v>
      </c>
      <c r="E146" s="7">
        <f ca="1">Kompilirano!AA199</f>
        <v>93717.6</v>
      </c>
      <c r="F146" s="6">
        <f ca="1">Kompilirano!Q199</f>
        <v>147.80000000000001</v>
      </c>
      <c r="G146" s="7">
        <f ca="1">Kompilirano!AI199</f>
        <v>8207.6</v>
      </c>
      <c r="H146" s="5">
        <f ca="1">Kompilirano!AT199</f>
        <v>0.18079646017699116</v>
      </c>
      <c r="I146" s="5">
        <f ca="1">Kompilirano!BD199</f>
        <v>0.34601769911504426</v>
      </c>
      <c r="J146" s="5">
        <f ca="1">Kompilirano!BN199</f>
        <v>2.3086900198341993E-2</v>
      </c>
      <c r="K146" s="5">
        <f ca="1">Kompilirano!BX199</f>
        <v>7.6435676999454152E-2</v>
      </c>
    </row>
    <row r="147" spans="2:11" x14ac:dyDescent="0.25">
      <c r="B147" t="s">
        <v>171</v>
      </c>
      <c r="C147" s="6">
        <f ca="1">Kompilirano!G117</f>
        <v>145.6</v>
      </c>
      <c r="D147" s="4">
        <f t="shared" ca="1" si="2"/>
        <v>412.84229074889868</v>
      </c>
      <c r="E147" s="7">
        <f ca="1">Kompilirano!AA117</f>
        <v>93715.199999999997</v>
      </c>
      <c r="F147" s="6">
        <f ca="1">Kompilirano!Q117</f>
        <v>158</v>
      </c>
      <c r="G147" s="7">
        <f ca="1">Kompilirano!AI117</f>
        <v>15542.4</v>
      </c>
      <c r="H147" s="5">
        <f ca="1">Kompilirano!AT117</f>
        <v>0.34299557522123891</v>
      </c>
      <c r="I147" s="5">
        <f ca="1">Kompilirano!BD117</f>
        <v>0.30088495575221236</v>
      </c>
      <c r="J147" s="5">
        <f ca="1">Kompilirano!BN117</f>
        <v>5.0761757312996328E-2</v>
      </c>
      <c r="K147" s="5">
        <f ca="1">Kompilirano!BX117</f>
        <v>0.10118134665365894</v>
      </c>
    </row>
    <row r="148" spans="2:11" x14ac:dyDescent="0.25">
      <c r="B148" t="s">
        <v>164</v>
      </c>
      <c r="C148" s="6">
        <f ca="1">Kompilirano!G110</f>
        <v>147</v>
      </c>
      <c r="D148" s="4">
        <f t="shared" ca="1" si="2"/>
        <v>412.73656387665199</v>
      </c>
      <c r="E148" s="7">
        <f ca="1">Kompilirano!AA110</f>
        <v>93691.199999999997</v>
      </c>
      <c r="F148" s="6">
        <f ca="1">Kompilirano!Q110</f>
        <v>194.4</v>
      </c>
      <c r="G148" s="7">
        <f ca="1">Kompilirano!AI110</f>
        <v>10169.799999999999</v>
      </c>
      <c r="H148" s="5">
        <f ca="1">Kompilirano!AT110</f>
        <v>0.22438938053097343</v>
      </c>
      <c r="I148" s="5">
        <f ca="1">Kompilirano!BD110</f>
        <v>0.13982300884955751</v>
      </c>
      <c r="J148" s="5">
        <f ca="1">Kompilirano!BN110</f>
        <v>3.4353250033324546E-2</v>
      </c>
      <c r="K148" s="5">
        <f ca="1">Kompilirano!BX110</f>
        <v>0.11695055803186882</v>
      </c>
    </row>
    <row r="149" spans="2:11" x14ac:dyDescent="0.25">
      <c r="B149" t="s">
        <v>84</v>
      </c>
      <c r="C149" s="6">
        <f ca="1">Kompilirano!G23</f>
        <v>141.80000000000001</v>
      </c>
      <c r="D149" s="4">
        <f t="shared" ca="1" si="2"/>
        <v>412.65286343612331</v>
      </c>
      <c r="E149" s="7">
        <f ca="1">Kompilirano!AA23</f>
        <v>93672.2</v>
      </c>
      <c r="F149" s="6">
        <f ca="1">Kompilirano!Q23</f>
        <v>110.4</v>
      </c>
      <c r="G149" s="7">
        <f ca="1">Kompilirano!AI23</f>
        <v>15445.2</v>
      </c>
      <c r="H149" s="5">
        <f ca="1">Kompilirano!AT23</f>
        <v>0.33878761061946905</v>
      </c>
      <c r="I149" s="5">
        <f ca="1">Kompilirano!BD23</f>
        <v>0.51150442477876112</v>
      </c>
      <c r="J149" s="5">
        <f ca="1">Kompilirano!BN23</f>
        <v>4.1885779700154259E-2</v>
      </c>
      <c r="K149" s="5">
        <f ca="1">Kompilirano!BX23</f>
        <v>2.4389986394939816E-2</v>
      </c>
    </row>
    <row r="150" spans="2:11" x14ac:dyDescent="0.25">
      <c r="B150" t="s">
        <v>185</v>
      </c>
      <c r="C150" s="6">
        <f ca="1">Kompilirano!G133</f>
        <v>144.6</v>
      </c>
      <c r="D150" s="4">
        <f t="shared" ca="1" si="2"/>
        <v>412.3330396475771</v>
      </c>
      <c r="E150" s="7">
        <f ca="1">Kompilirano!AA133</f>
        <v>93599.6</v>
      </c>
      <c r="F150" s="6">
        <f ca="1">Kompilirano!Q133</f>
        <v>52</v>
      </c>
      <c r="G150" s="7">
        <f ca="1">Kompilirano!AI133</f>
        <v>31424.2</v>
      </c>
      <c r="H150" s="5">
        <f ca="1">Kompilirano!AT133</f>
        <v>0.69157964601769917</v>
      </c>
      <c r="I150" s="5">
        <f ca="1">Kompilirano!BD133</f>
        <v>0.76991150442477874</v>
      </c>
      <c r="J150" s="5">
        <f ca="1">Kompilirano!BN133</f>
        <v>9.2620965334480318E-2</v>
      </c>
      <c r="K150" s="5">
        <f ca="1">Kompilirano!BX133</f>
        <v>-3.3533505909320249E-2</v>
      </c>
    </row>
    <row r="151" spans="2:11" x14ac:dyDescent="0.25">
      <c r="B151" t="s">
        <v>211</v>
      </c>
      <c r="C151" s="6">
        <f ca="1">Kompilirano!G161</f>
        <v>148.4</v>
      </c>
      <c r="D151" s="4">
        <f t="shared" ca="1" si="2"/>
        <v>412.23083700440526</v>
      </c>
      <c r="E151" s="7">
        <f ca="1">Kompilirano!AA161</f>
        <v>93576.4</v>
      </c>
      <c r="F151" s="6">
        <f ca="1">Kompilirano!Q161</f>
        <v>87.4</v>
      </c>
      <c r="G151" s="7">
        <f ca="1">Kompilirano!AI161</f>
        <v>21905.4</v>
      </c>
      <c r="H151" s="5">
        <f ca="1">Kompilirano!AT161</f>
        <v>0.48238053097345129</v>
      </c>
      <c r="I151" s="5">
        <f ca="1">Kompilirano!BD161</f>
        <v>0.61327433628318573</v>
      </c>
      <c r="J151" s="5">
        <f ca="1">Kompilirano!BN161</f>
        <v>6.5912473852796277E-2</v>
      </c>
      <c r="K151" s="5">
        <f ca="1">Kompilirano!BX161</f>
        <v>3.4035300731376797E-2</v>
      </c>
    </row>
    <row r="152" spans="2:11" x14ac:dyDescent="0.25">
      <c r="B152" t="s">
        <v>215</v>
      </c>
      <c r="C152" s="6">
        <f ca="1">Kompilirano!G165</f>
        <v>146.4</v>
      </c>
      <c r="D152" s="4">
        <f t="shared" ca="1" si="2"/>
        <v>412.22026431718064</v>
      </c>
      <c r="E152" s="7">
        <f ca="1">Kompilirano!AA165</f>
        <v>93574</v>
      </c>
      <c r="F152" s="6">
        <f ca="1">Kompilirano!Q165</f>
        <v>90</v>
      </c>
      <c r="G152" s="7">
        <f ca="1">Kompilirano!AI165</f>
        <v>22638.6</v>
      </c>
      <c r="H152" s="5">
        <f ca="1">Kompilirano!AT165</f>
        <v>0.49861061946902652</v>
      </c>
      <c r="I152" s="5">
        <f ca="1">Kompilirano!BD165</f>
        <v>0.60176991150442483</v>
      </c>
      <c r="J152" s="5">
        <f ca="1">Kompilirano!BN165</f>
        <v>6.3517343282719504E-2</v>
      </c>
      <c r="K152" s="5">
        <f ca="1">Kompilirano!BX165</f>
        <v>6.2594673811429738E-4</v>
      </c>
    </row>
    <row r="153" spans="2:11" x14ac:dyDescent="0.25">
      <c r="B153" t="s">
        <v>116</v>
      </c>
      <c r="C153" s="6">
        <f ca="1">Kompilirano!G58</f>
        <v>145.19999999999999</v>
      </c>
      <c r="D153" s="4">
        <f t="shared" ca="1" si="2"/>
        <v>412.20264317180619</v>
      </c>
      <c r="E153" s="7">
        <f ca="1">Kompilirano!AA58</f>
        <v>93570</v>
      </c>
      <c r="F153" s="6">
        <f ca="1">Kompilirano!Q58</f>
        <v>63.8</v>
      </c>
      <c r="G153" s="7">
        <f ca="1">Kompilirano!AI58</f>
        <v>27284.6</v>
      </c>
      <c r="H153" s="5">
        <f ca="1">Kompilirano!AT58</f>
        <v>0.60073893805309742</v>
      </c>
      <c r="I153" s="5">
        <f ca="1">Kompilirano!BD58</f>
        <v>0.71769911504424777</v>
      </c>
      <c r="J153" s="5">
        <f ca="1">Kompilirano!BN58</f>
        <v>8.1858513876588185E-2</v>
      </c>
      <c r="K153" s="5">
        <f ca="1">Kompilirano!BX58</f>
        <v>2.1404130408268201E-3</v>
      </c>
    </row>
    <row r="154" spans="2:11" x14ac:dyDescent="0.25">
      <c r="B154" t="s">
        <v>152</v>
      </c>
      <c r="C154" s="6">
        <f ca="1">Kompilirano!G98</f>
        <v>149</v>
      </c>
      <c r="D154" s="4">
        <f t="shared" ca="1" si="2"/>
        <v>412.01497797356825</v>
      </c>
      <c r="E154" s="7">
        <f ca="1">Kompilirano!AA98</f>
        <v>93527.4</v>
      </c>
      <c r="F154" s="6">
        <f ca="1">Kompilirano!Q98</f>
        <v>167.8</v>
      </c>
      <c r="G154" s="7">
        <f ca="1">Kompilirano!AI98</f>
        <v>8670</v>
      </c>
      <c r="H154" s="5">
        <f ca="1">Kompilirano!AT98</f>
        <v>0.19120796460176989</v>
      </c>
      <c r="I154" s="5">
        <f ca="1">Kompilirano!BD98</f>
        <v>0.2575221238938053</v>
      </c>
      <c r="J154" s="5">
        <f ca="1">Kompilirano!BN98</f>
        <v>2.71483244096964E-2</v>
      </c>
      <c r="K154" s="5">
        <f ca="1">Kompilirano!BX98</f>
        <v>9.8694375214589569E-2</v>
      </c>
    </row>
    <row r="155" spans="2:11" x14ac:dyDescent="0.25">
      <c r="B155" t="s">
        <v>112</v>
      </c>
      <c r="C155" s="6">
        <f ca="1">Kompilirano!G52</f>
        <v>151.19999999999999</v>
      </c>
      <c r="D155" s="4">
        <f t="shared" ca="1" si="2"/>
        <v>411.67312775330396</v>
      </c>
      <c r="E155" s="7">
        <f ca="1">Kompilirano!AA52</f>
        <v>93449.8</v>
      </c>
      <c r="F155" s="6">
        <f ca="1">Kompilirano!Q52</f>
        <v>87.2</v>
      </c>
      <c r="G155" s="7">
        <f ca="1">Kompilirano!AI52</f>
        <v>22684.2</v>
      </c>
      <c r="H155" s="5">
        <f ca="1">Kompilirano!AT52</f>
        <v>0.49934070796460173</v>
      </c>
      <c r="I155" s="5">
        <f ca="1">Kompilirano!BD52</f>
        <v>0.61415929203539821</v>
      </c>
      <c r="J155" s="5">
        <f ca="1">Kompilirano!BN52</f>
        <v>6.7540655968504976E-2</v>
      </c>
      <c r="K155" s="5">
        <f ca="1">Kompilirano!BX52</f>
        <v>2.0351784987380269E-2</v>
      </c>
    </row>
    <row r="156" spans="2:11" x14ac:dyDescent="0.25">
      <c r="B156" t="s">
        <v>225</v>
      </c>
      <c r="C156" s="6">
        <f ca="1">Kompilirano!G177</f>
        <v>149.4</v>
      </c>
      <c r="D156" s="4">
        <f t="shared" ca="1" si="2"/>
        <v>411.62026431718061</v>
      </c>
      <c r="E156" s="7">
        <f ca="1">Kompilirano!AA177</f>
        <v>93437.8</v>
      </c>
      <c r="F156" s="6">
        <f ca="1">Kompilirano!Q177</f>
        <v>110</v>
      </c>
      <c r="G156" s="7">
        <f ca="1">Kompilirano!AI177</f>
        <v>15110.4</v>
      </c>
      <c r="H156" s="5">
        <f ca="1">Kompilirano!AT177</f>
        <v>0.3317920353982301</v>
      </c>
      <c r="I156" s="5">
        <f ca="1">Kompilirano!BD177</f>
        <v>0.51327433628318586</v>
      </c>
      <c r="J156" s="5">
        <f ca="1">Kompilirano!BN177</f>
        <v>4.069477110175216E-2</v>
      </c>
      <c r="K156" s="5">
        <f ca="1">Kompilirano!BX177</f>
        <v>2.0713772224097607E-2</v>
      </c>
    </row>
    <row r="157" spans="2:11" x14ac:dyDescent="0.25">
      <c r="B157" t="s">
        <v>226</v>
      </c>
      <c r="C157" s="6">
        <f ca="1">Kompilirano!G178</f>
        <v>150.4</v>
      </c>
      <c r="D157" s="4">
        <f t="shared" ca="1" si="2"/>
        <v>411.55154185022025</v>
      </c>
      <c r="E157" s="7">
        <f ca="1">Kompilirano!AA178</f>
        <v>93422.2</v>
      </c>
      <c r="F157" s="6">
        <f ca="1">Kompilirano!Q178</f>
        <v>126.2</v>
      </c>
      <c r="G157" s="7">
        <f ca="1">Kompilirano!AI178</f>
        <v>19466.599999999999</v>
      </c>
      <c r="H157" s="5">
        <f ca="1">Kompilirano!AT178</f>
        <v>0.4302522123893805</v>
      </c>
      <c r="I157" s="5">
        <f ca="1">Kompilirano!BD178</f>
        <v>0.44159292035398234</v>
      </c>
      <c r="J157" s="5">
        <f ca="1">Kompilirano!BN178</f>
        <v>6.7166045722355225E-2</v>
      </c>
      <c r="K157" s="5">
        <f ca="1">Kompilirano!BX178</f>
        <v>9.4489202047244231E-2</v>
      </c>
    </row>
    <row r="158" spans="2:11" x14ac:dyDescent="0.25">
      <c r="B158" t="s">
        <v>66</v>
      </c>
      <c r="C158" s="6">
        <f ca="1">Kompilirano!G5</f>
        <v>147.6</v>
      </c>
      <c r="D158" s="4">
        <f t="shared" ca="1" si="2"/>
        <v>411.43788546255502</v>
      </c>
      <c r="E158" s="7">
        <f ca="1">Kompilirano!AA5</f>
        <v>93396.4</v>
      </c>
      <c r="F158" s="6">
        <f ca="1">Kompilirano!Q5</f>
        <v>91</v>
      </c>
      <c r="G158" s="7">
        <f ca="1">Kompilirano!AI5</f>
        <v>22178</v>
      </c>
      <c r="H158" s="5">
        <f ca="1">Kompilirano!AT5</f>
        <v>0.48842477876106194</v>
      </c>
      <c r="I158" s="5">
        <f ca="1">Kompilirano!BD5</f>
        <v>0.59734513274336298</v>
      </c>
      <c r="J158" s="5">
        <f ca="1">Kompilirano!BN5</f>
        <v>6.0766731434099733E-2</v>
      </c>
      <c r="K158" s="5">
        <f ca="1">Kompilirano!BX5</f>
        <v>-2.2091949160507732E-2</v>
      </c>
    </row>
    <row r="159" spans="2:11" x14ac:dyDescent="0.25">
      <c r="B159" t="s">
        <v>184</v>
      </c>
      <c r="C159" s="6">
        <f ca="1">Kompilirano!G132</f>
        <v>148.6</v>
      </c>
      <c r="D159" s="4">
        <f t="shared" ca="1" si="2"/>
        <v>411.42907488986782</v>
      </c>
      <c r="E159" s="7">
        <f ca="1">Kompilirano!AA132</f>
        <v>93394.4</v>
      </c>
      <c r="F159" s="6">
        <f ca="1">Kompilirano!Q132</f>
        <v>79.8</v>
      </c>
      <c r="G159" s="7">
        <f ca="1">Kompilirano!AI132</f>
        <v>22699.8</v>
      </c>
      <c r="H159" s="5">
        <f ca="1">Kompilirano!AT132</f>
        <v>0.49981415929203543</v>
      </c>
      <c r="I159" s="5">
        <f ca="1">Kompilirano!BD132</f>
        <v>0.64690265486725662</v>
      </c>
      <c r="J159" s="5">
        <f ca="1">Kompilirano!BN132</f>
        <v>7.1925269921236018E-2</v>
      </c>
      <c r="K159" s="5">
        <f ca="1">Kompilirano!BX132</f>
        <v>4.6999292040220617E-2</v>
      </c>
    </row>
    <row r="160" spans="2:11" x14ac:dyDescent="0.25">
      <c r="B160" t="s">
        <v>217</v>
      </c>
      <c r="C160" s="6">
        <f ca="1">Kompilirano!G168</f>
        <v>148.80000000000001</v>
      </c>
      <c r="D160" s="4">
        <f t="shared" ca="1" si="2"/>
        <v>411.28105726872246</v>
      </c>
      <c r="E160" s="7">
        <f ca="1">Kompilirano!AA168</f>
        <v>93360.8</v>
      </c>
      <c r="F160" s="6">
        <f ca="1">Kompilirano!Q168</f>
        <v>117.6</v>
      </c>
      <c r="G160" s="7">
        <f ca="1">Kompilirano!AI168</f>
        <v>19815.8</v>
      </c>
      <c r="H160" s="5">
        <f ca="1">Kompilirano!AT168</f>
        <v>0.43794247787610613</v>
      </c>
      <c r="I160" s="5">
        <f ca="1">Kompilirano!BD168</f>
        <v>0.47964601769911502</v>
      </c>
      <c r="J160" s="5">
        <f ca="1">Kompilirano!BN168</f>
        <v>6.7774289341047581E-2</v>
      </c>
      <c r="K160" s="5">
        <f ca="1">Kompilirano!BX168</f>
        <v>9.2181781331971149E-2</v>
      </c>
    </row>
    <row r="161" spans="2:11" x14ac:dyDescent="0.25">
      <c r="B161" t="s">
        <v>173</v>
      </c>
      <c r="C161" s="6">
        <f ca="1">Kompilirano!G119</f>
        <v>154.80000000000001</v>
      </c>
      <c r="D161" s="4">
        <f t="shared" ca="1" si="2"/>
        <v>410.92334801762115</v>
      </c>
      <c r="E161" s="7">
        <f ca="1">Kompilirano!AA119</f>
        <v>93279.6</v>
      </c>
      <c r="F161" s="6">
        <f ca="1">Kompilirano!Q119</f>
        <v>190.4</v>
      </c>
      <c r="G161" s="7">
        <f ca="1">Kompilirano!AI119</f>
        <v>13055.2</v>
      </c>
      <c r="H161" s="5">
        <f ca="1">Kompilirano!AT119</f>
        <v>0.28834070796460176</v>
      </c>
      <c r="I161" s="5">
        <f ca="1">Kompilirano!BD119</f>
        <v>0.15752212389380529</v>
      </c>
      <c r="J161" s="5">
        <f ca="1">Kompilirano!BN119</f>
        <v>4.394379596811708E-2</v>
      </c>
      <c r="K161" s="5">
        <f ca="1">Kompilirano!BX119</f>
        <v>0.11549058418728694</v>
      </c>
    </row>
    <row r="162" spans="2:11" x14ac:dyDescent="0.25">
      <c r="B162" t="s">
        <v>252</v>
      </c>
      <c r="C162" s="6">
        <f ca="1">Kompilirano!G204</f>
        <v>152.80000000000001</v>
      </c>
      <c r="D162" s="4">
        <f t="shared" ca="1" si="2"/>
        <v>410.69691629955946</v>
      </c>
      <c r="E162" s="7">
        <f ca="1">Kompilirano!AA204</f>
        <v>93228.2</v>
      </c>
      <c r="F162" s="6">
        <f ca="1">Kompilirano!Q204</f>
        <v>129</v>
      </c>
      <c r="G162" s="7">
        <f ca="1">Kompilirano!AI204</f>
        <v>16733</v>
      </c>
      <c r="H162" s="5">
        <f ca="1">Kompilirano!AT204</f>
        <v>0.36862831858407086</v>
      </c>
      <c r="I162" s="5">
        <f ca="1">Kompilirano!BD204</f>
        <v>0.42920353982300885</v>
      </c>
      <c r="J162" s="5">
        <f ca="1">Kompilirano!BN204</f>
        <v>5.1921583729685097E-2</v>
      </c>
      <c r="K162" s="5">
        <f ca="1">Kompilirano!BX204</f>
        <v>6.9765444004358176E-2</v>
      </c>
    </row>
    <row r="163" spans="2:11" x14ac:dyDescent="0.25">
      <c r="B163" t="s">
        <v>156</v>
      </c>
      <c r="C163" s="6">
        <f ca="1">Kompilirano!G102</f>
        <v>156.19999999999999</v>
      </c>
      <c r="D163" s="4">
        <f t="shared" ca="1" si="2"/>
        <v>410.11453744493394</v>
      </c>
      <c r="E163" s="7">
        <f ca="1">Kompilirano!AA102</f>
        <v>93096</v>
      </c>
      <c r="F163" s="6">
        <f ca="1">Kompilirano!Q102</f>
        <v>163</v>
      </c>
      <c r="G163" s="7">
        <f ca="1">Kompilirano!AI102</f>
        <v>15964.6</v>
      </c>
      <c r="H163" s="5">
        <f ca="1">Kompilirano!AT102</f>
        <v>0.35212389380530973</v>
      </c>
      <c r="I163" s="5">
        <f ca="1">Kompilirano!BD102</f>
        <v>0.27876106194690264</v>
      </c>
      <c r="J163" s="5">
        <f ca="1">Kompilirano!BN102</f>
        <v>5.321214108474398E-2</v>
      </c>
      <c r="K163" s="5">
        <f ca="1">Kompilirano!BX102</f>
        <v>0.10167051274107619</v>
      </c>
    </row>
    <row r="164" spans="2:11" x14ac:dyDescent="0.25">
      <c r="B164" t="s">
        <v>229</v>
      </c>
      <c r="C164" s="6">
        <f ca="1">Kompilirano!G181</f>
        <v>155.6</v>
      </c>
      <c r="D164" s="4">
        <f t="shared" ca="1" si="2"/>
        <v>410.09955947136564</v>
      </c>
      <c r="E164" s="7">
        <f ca="1">Kompilirano!AA181</f>
        <v>93092.6</v>
      </c>
      <c r="F164" s="6">
        <f ca="1">Kompilirano!Q181</f>
        <v>139.4</v>
      </c>
      <c r="G164" s="7">
        <f ca="1">Kompilirano!AI181</f>
        <v>18191.599999999999</v>
      </c>
      <c r="H164" s="5">
        <f ca="1">Kompilirano!AT181</f>
        <v>0.40203097345132743</v>
      </c>
      <c r="I164" s="5">
        <f ca="1">Kompilirano!BD181</f>
        <v>0.38318584070796458</v>
      </c>
      <c r="J164" s="5">
        <f ca="1">Kompilirano!BN181</f>
        <v>6.3354787578774149E-2</v>
      </c>
      <c r="K164" s="5">
        <f ca="1">Kompilirano!BX181</f>
        <v>0.10587241031042131</v>
      </c>
    </row>
    <row r="165" spans="2:11" x14ac:dyDescent="0.25">
      <c r="B165" t="s">
        <v>212</v>
      </c>
      <c r="C165" s="6">
        <f ca="1">Kompilirano!G162</f>
        <v>153</v>
      </c>
      <c r="D165" s="4">
        <f t="shared" ca="1" si="2"/>
        <v>409.60264317180616</v>
      </c>
      <c r="E165" s="7">
        <f ca="1">Kompilirano!AA162</f>
        <v>92979.8</v>
      </c>
      <c r="F165" s="6">
        <f ca="1">Kompilirano!Q162</f>
        <v>114.6</v>
      </c>
      <c r="G165" s="7">
        <f ca="1">Kompilirano!AI162</f>
        <v>20457.599999999999</v>
      </c>
      <c r="H165" s="5">
        <f ca="1">Kompilirano!AT162</f>
        <v>0.45215044247787606</v>
      </c>
      <c r="I165" s="5">
        <f ca="1">Kompilirano!BD162</f>
        <v>0.49292035398230089</v>
      </c>
      <c r="J165" s="5">
        <f ca="1">Kompilirano!BN162</f>
        <v>6.9120565679408899E-2</v>
      </c>
      <c r="K165" s="5">
        <f ca="1">Kompilirano!BX162</f>
        <v>8.5185592922983944E-2</v>
      </c>
    </row>
    <row r="166" spans="2:11" x14ac:dyDescent="0.25">
      <c r="B166" t="s">
        <v>245</v>
      </c>
      <c r="C166" s="6">
        <f ca="1">Kompilirano!G197</f>
        <v>160.19999999999999</v>
      </c>
      <c r="D166" s="4">
        <f t="shared" ca="1" si="2"/>
        <v>409.32334801762113</v>
      </c>
      <c r="E166" s="7">
        <f ca="1">Kompilirano!AA197</f>
        <v>92916.4</v>
      </c>
      <c r="F166" s="6">
        <f ca="1">Kompilirano!Q197</f>
        <v>133.6</v>
      </c>
      <c r="G166" s="7">
        <f ca="1">Kompilirano!AI197</f>
        <v>16372.8</v>
      </c>
      <c r="H166" s="5">
        <f ca="1">Kompilirano!AT197</f>
        <v>0.36091150442477876</v>
      </c>
      <c r="I166" s="5">
        <f ca="1">Kompilirano!BD197</f>
        <v>0.40884955752212376</v>
      </c>
      <c r="J166" s="5">
        <f ca="1">Kompilirano!BN197</f>
        <v>5.1158219303998012E-2</v>
      </c>
      <c r="K166" s="5">
        <f ca="1">Kompilirano!BX197</f>
        <v>7.5828114143300956E-2</v>
      </c>
    </row>
    <row r="167" spans="2:11" x14ac:dyDescent="0.25">
      <c r="B167" t="s">
        <v>172</v>
      </c>
      <c r="C167" s="6">
        <f ca="1">Kompilirano!G118</f>
        <v>159</v>
      </c>
      <c r="D167" s="4">
        <f t="shared" ca="1" si="2"/>
        <v>409.14361233480179</v>
      </c>
      <c r="E167" s="7">
        <f ca="1">Kompilirano!AA118</f>
        <v>92875.6</v>
      </c>
      <c r="F167" s="6">
        <f ca="1">Kompilirano!Q118</f>
        <v>200.8</v>
      </c>
      <c r="G167" s="7">
        <f ca="1">Kompilirano!AI118</f>
        <v>10063.799999999999</v>
      </c>
      <c r="H167" s="5">
        <f ca="1">Kompilirano!AT118</f>
        <v>0.22212831858407078</v>
      </c>
      <c r="I167" s="5">
        <f ca="1">Kompilirano!BD118</f>
        <v>0.11150442477876106</v>
      </c>
      <c r="J167" s="5">
        <f ca="1">Kompilirano!BN118</f>
        <v>3.4164794882970299E-2</v>
      </c>
      <c r="K167" s="5">
        <f ca="1">Kompilirano!BX118</f>
        <v>0.11976957021495704</v>
      </c>
    </row>
    <row r="168" spans="2:11" x14ac:dyDescent="0.25">
      <c r="B168" t="s">
        <v>263</v>
      </c>
      <c r="C168" s="6">
        <f ca="1">Kompilirano!G216</f>
        <v>161.19999999999999</v>
      </c>
      <c r="D168" s="4">
        <f t="shared" ca="1" si="2"/>
        <v>408.84140969162996</v>
      </c>
      <c r="E168" s="7">
        <f ca="1">Kompilirano!AA216</f>
        <v>92807</v>
      </c>
      <c r="F168" s="6">
        <f ca="1">Kompilirano!Q216</f>
        <v>161.6</v>
      </c>
      <c r="G168" s="7">
        <f ca="1">Kompilirano!AI216</f>
        <v>10514.2</v>
      </c>
      <c r="H168" s="5">
        <f ca="1">Kompilirano!AT216</f>
        <v>0.23176991150442477</v>
      </c>
      <c r="I168" s="5">
        <f ca="1">Kompilirano!BD216</f>
        <v>0.28495575221238945</v>
      </c>
      <c r="J168" s="5">
        <f ca="1">Kompilirano!BN216</f>
        <v>3.2519811156403941E-2</v>
      </c>
      <c r="K168" s="5">
        <f ca="1">Kompilirano!BX216</f>
        <v>9.2553541012694446E-2</v>
      </c>
    </row>
    <row r="169" spans="2:11" x14ac:dyDescent="0.25">
      <c r="B169" t="s">
        <v>235</v>
      </c>
      <c r="C169" s="6">
        <f ca="1">Kompilirano!G187</f>
        <v>159.4</v>
      </c>
      <c r="D169" s="4">
        <f t="shared" ca="1" si="2"/>
        <v>408.19295154185022</v>
      </c>
      <c r="E169" s="7">
        <f ca="1">Kompilirano!AA187</f>
        <v>92659.8</v>
      </c>
      <c r="F169" s="6">
        <f ca="1">Kompilirano!Q187</f>
        <v>157.19999999999999</v>
      </c>
      <c r="G169" s="7">
        <f ca="1">Kompilirano!AI187</f>
        <v>11000</v>
      </c>
      <c r="H169" s="5">
        <f ca="1">Kompilirano!AT187</f>
        <v>0.24250000000000002</v>
      </c>
      <c r="I169" s="5">
        <f ca="1">Kompilirano!BD187</f>
        <v>0.30442477876106194</v>
      </c>
      <c r="J169" s="5">
        <f ca="1">Kompilirano!BN187</f>
        <v>3.3968174755397693E-2</v>
      </c>
      <c r="K169" s="5">
        <f ca="1">Kompilirano!BX187</f>
        <v>9.3572278294304839E-2</v>
      </c>
    </row>
    <row r="170" spans="2:11" x14ac:dyDescent="0.25">
      <c r="B170" t="s">
        <v>268</v>
      </c>
      <c r="C170" s="6">
        <f ca="1">Kompilirano!G222</f>
        <v>163.4</v>
      </c>
      <c r="D170" s="4">
        <f t="shared" ca="1" si="2"/>
        <v>407.32070484581499</v>
      </c>
      <c r="E170" s="7">
        <f ca="1">Kompilirano!AA222</f>
        <v>92461.8</v>
      </c>
      <c r="F170" s="6">
        <f ca="1">Kompilirano!Q222</f>
        <v>135.80000000000001</v>
      </c>
      <c r="G170" s="7">
        <f ca="1">Kompilirano!AI222</f>
        <v>14952.2</v>
      </c>
      <c r="H170" s="5">
        <f ca="1">Kompilirano!AT222</f>
        <v>0.32946460176991155</v>
      </c>
      <c r="I170" s="5">
        <f ca="1">Kompilirano!BD222</f>
        <v>0.3991150442477876</v>
      </c>
      <c r="J170" s="5">
        <f ca="1">Kompilirano!BN222</f>
        <v>4.6154939669162967E-2</v>
      </c>
      <c r="K170" s="5">
        <f ca="1">Kompilirano!BX222</f>
        <v>7.6271333775333114E-2</v>
      </c>
    </row>
    <row r="171" spans="2:11" x14ac:dyDescent="0.25">
      <c r="B171" t="s">
        <v>8</v>
      </c>
      <c r="C171" s="6">
        <f ca="1">Kompilirano!G124</f>
        <v>167.2</v>
      </c>
      <c r="D171" s="4">
        <f t="shared" ca="1" si="2"/>
        <v>406.70837004405286</v>
      </c>
      <c r="E171" s="7">
        <f ca="1">Kompilirano!AA124</f>
        <v>92322.8</v>
      </c>
      <c r="F171" s="6">
        <f ca="1">Kompilirano!Q124</f>
        <v>47</v>
      </c>
      <c r="G171" s="7">
        <f ca="1">Kompilirano!AI124</f>
        <v>36492.800000000003</v>
      </c>
      <c r="H171" s="5">
        <f ca="1">Kompilirano!AT124</f>
        <v>0.80393805309734512</v>
      </c>
      <c r="I171" s="5">
        <f ca="1">Kompilirano!BD124</f>
        <v>0.79203539823008851</v>
      </c>
      <c r="J171" s="5">
        <f ca="1">Kompilirano!BN124</f>
        <v>0.10130668268502459</v>
      </c>
      <c r="K171" s="5">
        <f ca="1">Kompilirano!BX124</f>
        <v>-8.1816757006781746E-2</v>
      </c>
    </row>
    <row r="172" spans="2:11" x14ac:dyDescent="0.25">
      <c r="B172" t="s">
        <v>272</v>
      </c>
      <c r="C172" s="6">
        <f ca="1">Kompilirano!G226</f>
        <v>166.8</v>
      </c>
      <c r="D172" s="4">
        <f t="shared" ca="1" si="2"/>
        <v>406.08986784140967</v>
      </c>
      <c r="E172" s="7">
        <f ca="1">Kompilirano!AA226</f>
        <v>92182.399999999994</v>
      </c>
      <c r="F172" s="6">
        <f ca="1">Kompilirano!Q226</f>
        <v>142.19999999999999</v>
      </c>
      <c r="G172" s="7">
        <f ca="1">Kompilirano!AI226</f>
        <v>12429.4</v>
      </c>
      <c r="H172" s="5">
        <f ca="1">Kompilirano!AT226</f>
        <v>0.2738672566371681</v>
      </c>
      <c r="I172" s="5">
        <f ca="1">Kompilirano!BD226</f>
        <v>0.37079646017699119</v>
      </c>
      <c r="J172" s="5">
        <f ca="1">Kompilirano!BN226</f>
        <v>3.6972389612193492E-2</v>
      </c>
      <c r="K172" s="5">
        <f ca="1">Kompilirano!BX226</f>
        <v>7.0948757758868566E-2</v>
      </c>
    </row>
    <row r="173" spans="2:11" x14ac:dyDescent="0.25">
      <c r="B173" t="s">
        <v>130</v>
      </c>
      <c r="C173" s="6">
        <f ca="1">Kompilirano!G74</f>
        <v>171.4</v>
      </c>
      <c r="D173" s="4">
        <f t="shared" ca="1" si="2"/>
        <v>404.89691629955951</v>
      </c>
      <c r="E173" s="7">
        <f ca="1">Kompilirano!AA74</f>
        <v>91911.6</v>
      </c>
      <c r="F173" s="6">
        <f ca="1">Kompilirano!Q74</f>
        <v>86</v>
      </c>
      <c r="G173" s="7">
        <f ca="1">Kompilirano!AI74</f>
        <v>23143.200000000001</v>
      </c>
      <c r="H173" s="5">
        <f ca="1">Kompilirano!AT74</f>
        <v>0.50973451327433628</v>
      </c>
      <c r="I173" s="5">
        <f ca="1">Kompilirano!BD74</f>
        <v>0.61946902654867264</v>
      </c>
      <c r="J173" s="5">
        <f ca="1">Kompilirano!BN74</f>
        <v>6.5008463564184299E-2</v>
      </c>
      <c r="K173" s="5">
        <f ca="1">Kompilirano!BX74</f>
        <v>-2.0128193677399239E-3</v>
      </c>
    </row>
    <row r="174" spans="2:11" x14ac:dyDescent="0.25">
      <c r="B174" t="s">
        <v>230</v>
      </c>
      <c r="C174" s="6">
        <f ca="1">Kompilirano!G182</f>
        <v>171</v>
      </c>
      <c r="D174" s="4">
        <f t="shared" ca="1" si="2"/>
        <v>404.87312775330395</v>
      </c>
      <c r="E174" s="7">
        <f ca="1">Kompilirano!AA182</f>
        <v>91906.2</v>
      </c>
      <c r="F174" s="6">
        <f ca="1">Kompilirano!Q182</f>
        <v>104.4</v>
      </c>
      <c r="G174" s="7">
        <f ca="1">Kompilirano!AI182</f>
        <v>19491</v>
      </c>
      <c r="H174" s="5">
        <f ca="1">Kompilirano!AT182</f>
        <v>0.429424778761062</v>
      </c>
      <c r="I174" s="5">
        <f ca="1">Kompilirano!BD182</f>
        <v>0.53805309734513274</v>
      </c>
      <c r="J174" s="5">
        <f ca="1">Kompilirano!BN182</f>
        <v>5.8075771204563476E-2</v>
      </c>
      <c r="K174" s="5">
        <f ca="1">Kompilirano!BX182</f>
        <v>4.2180397192072769E-2</v>
      </c>
    </row>
    <row r="175" spans="2:11" x14ac:dyDescent="0.25">
      <c r="B175" t="s">
        <v>191</v>
      </c>
      <c r="C175" s="6">
        <f ca="1">Kompilirano!G139</f>
        <v>170.8</v>
      </c>
      <c r="D175" s="4">
        <f t="shared" ca="1" si="2"/>
        <v>404.81585903083698</v>
      </c>
      <c r="E175" s="7">
        <f ca="1">Kompilirano!AA139</f>
        <v>91893.2</v>
      </c>
      <c r="F175" s="6">
        <f ca="1">Kompilirano!Q139</f>
        <v>62.6</v>
      </c>
      <c r="G175" s="7">
        <f ca="1">Kompilirano!AI139</f>
        <v>28811.4</v>
      </c>
      <c r="H175" s="5">
        <f ca="1">Kompilirano!AT139</f>
        <v>0.63449557522123889</v>
      </c>
      <c r="I175" s="5">
        <f ca="1">Kompilirano!BD139</f>
        <v>0.72300884955752198</v>
      </c>
      <c r="J175" s="5">
        <f ca="1">Kompilirano!BN139</f>
        <v>8.4514089310820356E-2</v>
      </c>
      <c r="K175" s="5">
        <f ca="1">Kompilirano!BX139</f>
        <v>-1.8356214177269379E-2</v>
      </c>
    </row>
    <row r="176" spans="2:11" x14ac:dyDescent="0.25">
      <c r="B176" t="s">
        <v>271</v>
      </c>
      <c r="C176" s="6">
        <f ca="1">Kompilirano!G225</f>
        <v>170.4</v>
      </c>
      <c r="D176" s="4">
        <f t="shared" ca="1" si="2"/>
        <v>403.52246696035246</v>
      </c>
      <c r="E176" s="7">
        <f ca="1">Kompilirano!AA225</f>
        <v>91599.6</v>
      </c>
      <c r="F176" s="6">
        <f ca="1">Kompilirano!Q225</f>
        <v>164.8</v>
      </c>
      <c r="G176" s="7">
        <f ca="1">Kompilirano!AI225</f>
        <v>11406.8</v>
      </c>
      <c r="H176" s="5">
        <f ca="1">Kompilirano!AT225</f>
        <v>0.24913274336283181</v>
      </c>
      <c r="I176" s="5">
        <f ca="1">Kompilirano!BD225</f>
        <v>0.27079646017699116</v>
      </c>
      <c r="J176" s="5">
        <f ca="1">Kompilirano!BN225</f>
        <v>3.1151897899313719E-2</v>
      </c>
      <c r="K176" s="5">
        <f ca="1">Kompilirano!BX225</f>
        <v>6.1656775151023323E-2</v>
      </c>
    </row>
    <row r="177" spans="2:11" x14ac:dyDescent="0.25">
      <c r="B177" t="s">
        <v>234</v>
      </c>
      <c r="C177" s="6">
        <f ca="1">Kompilirano!G186</f>
        <v>174.6</v>
      </c>
      <c r="D177" s="4">
        <f t="shared" ca="1" si="2"/>
        <v>403.34361233480178</v>
      </c>
      <c r="E177" s="7">
        <f ca="1">Kompilirano!AA186</f>
        <v>91559</v>
      </c>
      <c r="F177" s="6">
        <f ca="1">Kompilirano!Q186</f>
        <v>180</v>
      </c>
      <c r="G177" s="7">
        <f ca="1">Kompilirano!AI186</f>
        <v>13113.2</v>
      </c>
      <c r="H177" s="5">
        <f ca="1">Kompilirano!AT186</f>
        <v>0.28931415929203547</v>
      </c>
      <c r="I177" s="5">
        <f ca="1">Kompilirano!BD186</f>
        <v>0.20353982300884957</v>
      </c>
      <c r="J177" s="5">
        <f ca="1">Kompilirano!BN186</f>
        <v>4.3975136909731219E-2</v>
      </c>
      <c r="K177" s="5">
        <f ca="1">Kompilirano!BX186</f>
        <v>0.11634831527482373</v>
      </c>
    </row>
    <row r="178" spans="2:11" x14ac:dyDescent="0.25">
      <c r="B178" t="s">
        <v>208</v>
      </c>
      <c r="C178" s="6">
        <f ca="1">Kompilirano!G158</f>
        <v>174.4</v>
      </c>
      <c r="D178" s="4">
        <f t="shared" ca="1" si="2"/>
        <v>402.55506607929516</v>
      </c>
      <c r="E178" s="7">
        <f ca="1">Kompilirano!AA158</f>
        <v>91380</v>
      </c>
      <c r="F178" s="6">
        <f ca="1">Kompilirano!Q158</f>
        <v>89.2</v>
      </c>
      <c r="G178" s="7">
        <f ca="1">Kompilirano!AI158</f>
        <v>21778.2</v>
      </c>
      <c r="H178" s="5">
        <f ca="1">Kompilirano!AT158</f>
        <v>0.47959734513274332</v>
      </c>
      <c r="I178" s="5">
        <f ca="1">Kompilirano!BD158</f>
        <v>0.6053097345132743</v>
      </c>
      <c r="J178" s="5">
        <f ca="1">Kompilirano!BN158</f>
        <v>6.3850842528104898E-2</v>
      </c>
      <c r="K178" s="5">
        <f ca="1">Kompilirano!BX158</f>
        <v>2.252678974745187E-2</v>
      </c>
    </row>
    <row r="179" spans="2:11" x14ac:dyDescent="0.25">
      <c r="B179" t="s">
        <v>269</v>
      </c>
      <c r="C179" s="6">
        <f ca="1">Kompilirano!G223</f>
        <v>178</v>
      </c>
      <c r="D179" s="4">
        <f t="shared" ca="1" si="2"/>
        <v>401.24757709251099</v>
      </c>
      <c r="E179" s="7">
        <f ca="1">Kompilirano!AA223</f>
        <v>91083.199999999997</v>
      </c>
      <c r="F179" s="6">
        <f ca="1">Kompilirano!Q223</f>
        <v>109.8</v>
      </c>
      <c r="G179" s="7">
        <f ca="1">Kompilirano!AI223</f>
        <v>17208</v>
      </c>
      <c r="H179" s="5">
        <f ca="1">Kompilirano!AT223</f>
        <v>0.37911061946902652</v>
      </c>
      <c r="I179" s="5">
        <f ca="1">Kompilirano!BD223</f>
        <v>0.51415929203539823</v>
      </c>
      <c r="J179" s="5">
        <f ca="1">Kompilirano!BN223</f>
        <v>4.0666901338328745E-2</v>
      </c>
      <c r="K179" s="5">
        <f ca="1">Kompilirano!BX223</f>
        <v>-2.7078748926278141E-2</v>
      </c>
    </row>
    <row r="180" spans="2:11" x14ac:dyDescent="0.25">
      <c r="B180" t="s">
        <v>222</v>
      </c>
      <c r="C180" s="6">
        <f ca="1">Kompilirano!G173</f>
        <v>176.8</v>
      </c>
      <c r="D180" s="4">
        <f t="shared" ca="1" si="2"/>
        <v>401.20616740088104</v>
      </c>
      <c r="E180" s="7">
        <f ca="1">Kompilirano!AA173</f>
        <v>91073.8</v>
      </c>
      <c r="F180" s="6">
        <f ca="1">Kompilirano!Q173</f>
        <v>92</v>
      </c>
      <c r="G180" s="7">
        <f ca="1">Kompilirano!AI173</f>
        <v>22622.6</v>
      </c>
      <c r="H180" s="5">
        <f ca="1">Kompilirano!AT173</f>
        <v>0.49766814159292039</v>
      </c>
      <c r="I180" s="5">
        <f ca="1">Kompilirano!BD173</f>
        <v>0.59292035398230092</v>
      </c>
      <c r="J180" s="5">
        <f ca="1">Kompilirano!BN173</f>
        <v>6.3838070941043629E-2</v>
      </c>
      <c r="K180" s="5">
        <f ca="1">Kompilirano!BX173</f>
        <v>1.7343243489691066E-3</v>
      </c>
    </row>
    <row r="181" spans="2:11" x14ac:dyDescent="0.25">
      <c r="B181" t="s">
        <v>218</v>
      </c>
      <c r="C181" s="6">
        <f ca="1">Kompilirano!G169</f>
        <v>177.2</v>
      </c>
      <c r="D181" s="4">
        <f t="shared" ca="1" si="2"/>
        <v>400.80176211453744</v>
      </c>
      <c r="E181" s="7">
        <f ca="1">Kompilirano!AA169</f>
        <v>90982</v>
      </c>
      <c r="F181" s="6">
        <f ca="1">Kompilirano!Q169</f>
        <v>41.2</v>
      </c>
      <c r="G181" s="7">
        <f ca="1">Kompilirano!AI169</f>
        <v>31763.200000000001</v>
      </c>
      <c r="H181" s="5">
        <f ca="1">Kompilirano!AT169</f>
        <v>0.69900884955752218</v>
      </c>
      <c r="I181" s="5">
        <f ca="1">Kompilirano!BD169</f>
        <v>0.81769911504424786</v>
      </c>
      <c r="J181" s="5">
        <f ca="1">Kompilirano!BN169</f>
        <v>9.3981172433417554E-2</v>
      </c>
      <c r="K181" s="5">
        <f ca="1">Kompilirano!BX169</f>
        <v>-2.3692113911087297E-2</v>
      </c>
    </row>
    <row r="182" spans="2:11" x14ac:dyDescent="0.25">
      <c r="B182" t="s">
        <v>258</v>
      </c>
      <c r="C182" s="6">
        <f ca="1">Kompilirano!G211</f>
        <v>179.6</v>
      </c>
      <c r="D182" s="4">
        <f t="shared" ca="1" si="2"/>
        <v>399.95330396475771</v>
      </c>
      <c r="E182" s="7">
        <f ca="1">Kompilirano!AA211</f>
        <v>90789.4</v>
      </c>
      <c r="F182" s="6">
        <f ca="1">Kompilirano!Q211</f>
        <v>125.2</v>
      </c>
      <c r="G182" s="7">
        <f ca="1">Kompilirano!AI211</f>
        <v>14452.8</v>
      </c>
      <c r="H182" s="5">
        <f ca="1">Kompilirano!AT211</f>
        <v>0.31823451327433627</v>
      </c>
      <c r="I182" s="5">
        <f ca="1">Kompilirano!BD211</f>
        <v>0.44601769911504424</v>
      </c>
      <c r="J182" s="5">
        <f ca="1">Kompilirano!BN211</f>
        <v>4.3459602701913264E-2</v>
      </c>
      <c r="K182" s="5">
        <f ca="1">Kompilirano!BX211</f>
        <v>6.7771600609922461E-2</v>
      </c>
    </row>
    <row r="183" spans="2:11" x14ac:dyDescent="0.25">
      <c r="B183" t="s">
        <v>264</v>
      </c>
      <c r="C183" s="6">
        <f ca="1">Kompilirano!G217</f>
        <v>182.4</v>
      </c>
      <c r="D183" s="4">
        <f t="shared" ca="1" si="2"/>
        <v>399.38237885462559</v>
      </c>
      <c r="E183" s="7">
        <f ca="1">Kompilirano!AA217</f>
        <v>90659.8</v>
      </c>
      <c r="F183" s="6">
        <f ca="1">Kompilirano!Q217</f>
        <v>108</v>
      </c>
      <c r="G183" s="7">
        <f ca="1">Kompilirano!AI217</f>
        <v>16571.8</v>
      </c>
      <c r="H183" s="5">
        <f ca="1">Kompilirano!AT217</f>
        <v>0.36496017699115041</v>
      </c>
      <c r="I183" s="5">
        <f ca="1">Kompilirano!BD217</f>
        <v>0.52212389380530966</v>
      </c>
      <c r="J183" s="5">
        <f ca="1">Kompilirano!BN217</f>
        <v>4.6515169508393482E-2</v>
      </c>
      <c r="K183" s="5">
        <f ca="1">Kompilirano!BX217</f>
        <v>3.2510534092524336E-2</v>
      </c>
    </row>
    <row r="184" spans="2:11" x14ac:dyDescent="0.25">
      <c r="B184" t="s">
        <v>240</v>
      </c>
      <c r="C184" s="6">
        <f ca="1">Kompilirano!G192</f>
        <v>181.6</v>
      </c>
      <c r="D184" s="4">
        <f t="shared" ca="1" si="2"/>
        <v>399.34185022026435</v>
      </c>
      <c r="E184" s="7">
        <f ca="1">Kompilirano!AA192</f>
        <v>90650.6</v>
      </c>
      <c r="F184" s="6">
        <f ca="1">Kompilirano!Q192</f>
        <v>83</v>
      </c>
      <c r="G184" s="7">
        <f ca="1">Kompilirano!AI192</f>
        <v>21677</v>
      </c>
      <c r="H184" s="5">
        <f ca="1">Kompilirano!AT192</f>
        <v>0.47732743362831859</v>
      </c>
      <c r="I184" s="5">
        <f ca="1">Kompilirano!BD192</f>
        <v>0.63274336283185839</v>
      </c>
      <c r="J184" s="5">
        <f ca="1">Kompilirano!BN192</f>
        <v>6.4278592716814922E-2</v>
      </c>
      <c r="K184" s="5">
        <f ca="1">Kompilirano!BX192</f>
        <v>2.8708390503348259E-2</v>
      </c>
    </row>
    <row r="185" spans="2:11" x14ac:dyDescent="0.25">
      <c r="B185" t="s">
        <v>194</v>
      </c>
      <c r="C185" s="6">
        <f ca="1">Kompilirano!G142</f>
        <v>182.6</v>
      </c>
      <c r="D185" s="4">
        <f t="shared" ca="1" si="2"/>
        <v>398.57004405286341</v>
      </c>
      <c r="E185" s="7">
        <f ca="1">Kompilirano!AA142</f>
        <v>90475.4</v>
      </c>
      <c r="F185" s="6">
        <f ca="1">Kompilirano!Q142</f>
        <v>22.6</v>
      </c>
      <c r="G185" s="7">
        <f ca="1">Kompilirano!AI142</f>
        <v>36743.199999999997</v>
      </c>
      <c r="H185" s="5">
        <f ca="1">Kompilirano!AT142</f>
        <v>0.80911946902654852</v>
      </c>
      <c r="I185" s="5">
        <f ca="1">Kompilirano!BD142</f>
        <v>0.9</v>
      </c>
      <c r="J185" s="5">
        <f ca="1">Kompilirano!BN142</f>
        <v>0.10647110942572469</v>
      </c>
      <c r="K185" s="5">
        <f ca="1">Kompilirano!BX142</f>
        <v>-5.8216646242885417E-2</v>
      </c>
    </row>
    <row r="186" spans="2:11" x14ac:dyDescent="0.25">
      <c r="B186" t="s">
        <v>228</v>
      </c>
      <c r="C186" s="6">
        <f ca="1">Kompilirano!G180</f>
        <v>183.4</v>
      </c>
      <c r="D186" s="4">
        <f t="shared" ca="1" si="2"/>
        <v>398.3303964757709</v>
      </c>
      <c r="E186" s="7">
        <f ca="1">Kompilirano!AA180</f>
        <v>90421</v>
      </c>
      <c r="F186" s="6">
        <f ca="1">Kompilirano!Q180</f>
        <v>88.6</v>
      </c>
      <c r="G186" s="7">
        <f ca="1">Kompilirano!AI180</f>
        <v>22797.4</v>
      </c>
      <c r="H186" s="5">
        <f ca="1">Kompilirano!AT180</f>
        <v>0.50210619469026552</v>
      </c>
      <c r="I186" s="5">
        <f ca="1">Kompilirano!BD180</f>
        <v>0.60796460176991152</v>
      </c>
      <c r="J186" s="5">
        <f ca="1">Kompilirano!BN180</f>
        <v>6.3879589417239521E-2</v>
      </c>
      <c r="K186" s="5">
        <f ca="1">Kompilirano!BX180</f>
        <v>-9.5469150114668266E-4</v>
      </c>
    </row>
    <row r="187" spans="2:11" x14ac:dyDescent="0.25">
      <c r="B187" t="s">
        <v>6</v>
      </c>
      <c r="C187" s="6">
        <f ca="1">Kompilirano!G85</f>
        <v>185.2</v>
      </c>
      <c r="D187" s="4">
        <f t="shared" ca="1" si="2"/>
        <v>397.36387665198242</v>
      </c>
      <c r="E187" s="7">
        <f ca="1">Kompilirano!AA85</f>
        <v>90201.600000000006</v>
      </c>
      <c r="F187" s="6">
        <f ca="1">Kompilirano!Q85</f>
        <v>59.4</v>
      </c>
      <c r="G187" s="7">
        <f ca="1">Kompilirano!AI85</f>
        <v>29134.799999999999</v>
      </c>
      <c r="H187" s="5">
        <f ca="1">Kompilirano!AT85</f>
        <v>0.64123451327433634</v>
      </c>
      <c r="I187" s="5">
        <f ca="1">Kompilirano!BD85</f>
        <v>0.73716814159292032</v>
      </c>
      <c r="J187" s="5">
        <f ca="1">Kompilirano!BN85</f>
        <v>8.3542330817119856E-2</v>
      </c>
      <c r="K187" s="5">
        <f ca="1">Kompilirano!BX85</f>
        <v>-2.5736505068297465E-2</v>
      </c>
    </row>
    <row r="188" spans="2:11" x14ac:dyDescent="0.25">
      <c r="B188" t="s">
        <v>256</v>
      </c>
      <c r="C188" s="6">
        <f ca="1">Kompilirano!G209</f>
        <v>186.8</v>
      </c>
      <c r="D188" s="4">
        <f t="shared" ca="1" si="2"/>
        <v>396.79823788546253</v>
      </c>
      <c r="E188" s="7">
        <f ca="1">Kompilirano!AA209</f>
        <v>90073.2</v>
      </c>
      <c r="F188" s="6">
        <f ca="1">Kompilirano!Q209</f>
        <v>84.4</v>
      </c>
      <c r="G188" s="7">
        <f ca="1">Kompilirano!AI209</f>
        <v>23104.2</v>
      </c>
      <c r="H188" s="5">
        <f ca="1">Kompilirano!AT209</f>
        <v>0.5101194690265487</v>
      </c>
      <c r="I188" s="5">
        <f ca="1">Kompilirano!BD209</f>
        <v>0.6265486725663717</v>
      </c>
      <c r="J188" s="5">
        <f ca="1">Kompilirano!BN209</f>
        <v>6.4902206977902582E-2</v>
      </c>
      <c r="K188" s="5">
        <f ca="1">Kompilirano!BX209</f>
        <v>1.0623224136137577E-3</v>
      </c>
    </row>
    <row r="189" spans="2:11" x14ac:dyDescent="0.25">
      <c r="B189" t="s">
        <v>243</v>
      </c>
      <c r="C189" s="6">
        <f ca="1">Kompilirano!G195</f>
        <v>185.2</v>
      </c>
      <c r="D189" s="4">
        <f t="shared" ca="1" si="2"/>
        <v>396.78942731277533</v>
      </c>
      <c r="E189" s="7">
        <f ca="1">Kompilirano!AA195</f>
        <v>90071.2</v>
      </c>
      <c r="F189" s="6">
        <f ca="1">Kompilirano!Q195</f>
        <v>84.6</v>
      </c>
      <c r="G189" s="7">
        <f ca="1">Kompilirano!AI195</f>
        <v>22742.2</v>
      </c>
      <c r="H189" s="5">
        <f ca="1">Kompilirano!AT195</f>
        <v>0.50093362831858401</v>
      </c>
      <c r="I189" s="5">
        <f ca="1">Kompilirano!BD195</f>
        <v>0.62566371681415922</v>
      </c>
      <c r="J189" s="5">
        <f ca="1">Kompilirano!BN195</f>
        <v>6.3783253805828818E-2</v>
      </c>
      <c r="K189" s="5">
        <f ca="1">Kompilirano!BX195</f>
        <v>-2.356138113235786E-4</v>
      </c>
    </row>
    <row r="190" spans="2:11" x14ac:dyDescent="0.25">
      <c r="B190" t="s">
        <v>188</v>
      </c>
      <c r="C190" s="6">
        <f ca="1">Kompilirano!G136</f>
        <v>188.4</v>
      </c>
      <c r="D190" s="4">
        <f t="shared" ca="1" si="2"/>
        <v>396.77180616740088</v>
      </c>
      <c r="E190" s="7">
        <f ca="1">Kompilirano!AA136</f>
        <v>90067.199999999997</v>
      </c>
      <c r="F190" s="6">
        <f ca="1">Kompilirano!Q136</f>
        <v>51.2</v>
      </c>
      <c r="G190" s="7">
        <f ca="1">Kompilirano!AI136</f>
        <v>33937.599999999999</v>
      </c>
      <c r="H190" s="5">
        <f ca="1">Kompilirano!AT136</f>
        <v>0.74779646017699108</v>
      </c>
      <c r="I190" s="5">
        <f ca="1">Kompilirano!BD136</f>
        <v>0.77345132743362832</v>
      </c>
      <c r="J190" s="5">
        <f ca="1">Kompilirano!BN136</f>
        <v>9.4061927601171019E-2</v>
      </c>
      <c r="K190" s="5">
        <f ca="1">Kompilirano!BX136</f>
        <v>-6.7911207215072683E-2</v>
      </c>
    </row>
    <row r="191" spans="2:11" x14ac:dyDescent="0.25">
      <c r="B191" t="s">
        <v>170</v>
      </c>
      <c r="C191" s="6">
        <f ca="1">Kompilirano!G116</f>
        <v>190</v>
      </c>
      <c r="D191" s="4">
        <f t="shared" ca="1" si="2"/>
        <v>395.10484581497798</v>
      </c>
      <c r="E191" s="7">
        <f ca="1">Kompilirano!AA116</f>
        <v>89688.8</v>
      </c>
      <c r="F191" s="6">
        <f ca="1">Kompilirano!Q116</f>
        <v>72.599999999999994</v>
      </c>
      <c r="G191" s="7">
        <f ca="1">Kompilirano!AI116</f>
        <v>23907.8</v>
      </c>
      <c r="H191" s="5">
        <f ca="1">Kompilirano!AT116</f>
        <v>0.52655752212389384</v>
      </c>
      <c r="I191" s="5">
        <f ca="1">Kompilirano!BD116</f>
        <v>0.67876106194690267</v>
      </c>
      <c r="J191" s="5">
        <f ca="1">Kompilirano!BN116</f>
        <v>6.7349213703577382E-2</v>
      </c>
      <c r="K191" s="5">
        <f ca="1">Kompilirano!BX116</f>
        <v>-5.2387890319593611E-3</v>
      </c>
    </row>
    <row r="192" spans="2:11" x14ac:dyDescent="0.25">
      <c r="B192" t="s">
        <v>216</v>
      </c>
      <c r="C192" s="6">
        <f ca="1">Kompilirano!G166</f>
        <v>192.6</v>
      </c>
      <c r="D192" s="4">
        <f t="shared" ca="1" si="2"/>
        <v>393.81762114537446</v>
      </c>
      <c r="E192" s="7">
        <f ca="1">Kompilirano!AA166</f>
        <v>89396.6</v>
      </c>
      <c r="F192" s="6">
        <f ca="1">Kompilirano!Q166</f>
        <v>46.6</v>
      </c>
      <c r="G192" s="7">
        <f ca="1">Kompilirano!AI166</f>
        <v>37205.199999999997</v>
      </c>
      <c r="H192" s="5">
        <f ca="1">Kompilirano!AT166</f>
        <v>0.81948672566371672</v>
      </c>
      <c r="I192" s="5">
        <f ca="1">Kompilirano!BD166</f>
        <v>0.79380530973451324</v>
      </c>
      <c r="J192" s="5">
        <f ca="1">Kompilirano!BN166</f>
        <v>0.10436496616892255</v>
      </c>
      <c r="K192" s="5">
        <f ca="1">Kompilirano!BX166</f>
        <v>-7.6150446504079733E-2</v>
      </c>
    </row>
    <row r="193" spans="2:11" x14ac:dyDescent="0.25">
      <c r="B193" t="s">
        <v>233</v>
      </c>
      <c r="C193" s="6">
        <f ca="1">Kompilirano!G185</f>
        <v>195.2</v>
      </c>
      <c r="D193" s="4">
        <f t="shared" ca="1" si="2"/>
        <v>392.57268722466961</v>
      </c>
      <c r="E193" s="7">
        <f ca="1">Kompilirano!AA185</f>
        <v>89114</v>
      </c>
      <c r="F193" s="6">
        <f ca="1">Kompilirano!Q185</f>
        <v>61.2</v>
      </c>
      <c r="G193" s="7">
        <f ca="1">Kompilirano!AI185</f>
        <v>28939</v>
      </c>
      <c r="H193" s="5">
        <f ca="1">Kompilirano!AT185</f>
        <v>0.63740707964601762</v>
      </c>
      <c r="I193" s="5">
        <f ca="1">Kompilirano!BD185</f>
        <v>0.72920353982300878</v>
      </c>
      <c r="J193" s="5">
        <f ca="1">Kompilirano!BN185</f>
        <v>8.1164396601978023E-2</v>
      </c>
      <c r="K193" s="5">
        <f ca="1">Kompilirano!BX185</f>
        <v>-3.2944710484915138E-2</v>
      </c>
    </row>
    <row r="194" spans="2:11" x14ac:dyDescent="0.25">
      <c r="B194" t="s">
        <v>232</v>
      </c>
      <c r="C194" s="6">
        <f ca="1">Kompilirano!G184</f>
        <v>195.4</v>
      </c>
      <c r="D194" s="4">
        <f t="shared" ca="1" si="2"/>
        <v>392.49955947136561</v>
      </c>
      <c r="E194" s="7">
        <f ca="1">Kompilirano!AA184</f>
        <v>89097.4</v>
      </c>
      <c r="F194" s="6">
        <f ca="1">Kompilirano!Q184</f>
        <v>78.599999999999994</v>
      </c>
      <c r="G194" s="7">
        <f ca="1">Kompilirano!AI184</f>
        <v>23439.4</v>
      </c>
      <c r="H194" s="5">
        <f ca="1">Kompilirano!AT184</f>
        <v>0.51557079646017701</v>
      </c>
      <c r="I194" s="5">
        <f ca="1">Kompilirano!BD184</f>
        <v>0.65221238938053094</v>
      </c>
      <c r="J194" s="5">
        <f ca="1">Kompilirano!BN184</f>
        <v>6.5696957517028642E-2</v>
      </c>
      <c r="K194" s="5">
        <f ca="1">Kompilirano!BX184</f>
        <v>-4.1806568203740539E-3</v>
      </c>
    </row>
    <row r="195" spans="2:11" x14ac:dyDescent="0.25">
      <c r="B195" t="s">
        <v>248</v>
      </c>
      <c r="C195" s="6">
        <f ca="1">Kompilirano!G200</f>
        <v>196.8</v>
      </c>
      <c r="D195" s="4">
        <f t="shared" ca="1" si="2"/>
        <v>392.12334801762114</v>
      </c>
      <c r="E195" s="7">
        <f ca="1">Kompilirano!AA200</f>
        <v>89012</v>
      </c>
      <c r="F195" s="6">
        <f ca="1">Kompilirano!Q200</f>
        <v>80.2</v>
      </c>
      <c r="G195" s="7">
        <f ca="1">Kompilirano!AI200</f>
        <v>22695.8</v>
      </c>
      <c r="H195" s="5">
        <f ca="1">Kompilirano!AT200</f>
        <v>0.49992035398230089</v>
      </c>
      <c r="I195" s="5">
        <f ca="1">Kompilirano!BD200</f>
        <v>0.64513274336283188</v>
      </c>
      <c r="J195" s="5">
        <f ca="1">Kompilirano!BN200</f>
        <v>6.3660109180939603E-2</v>
      </c>
      <c r="K195" s="5">
        <f ca="1">Kompilirano!BX200</f>
        <v>9.3613881486489663E-5</v>
      </c>
    </row>
    <row r="196" spans="2:11" x14ac:dyDescent="0.25">
      <c r="B196" t="s">
        <v>165</v>
      </c>
      <c r="C196" s="6">
        <f ca="1">Kompilirano!G111</f>
        <v>196</v>
      </c>
      <c r="D196" s="4">
        <f t="shared" ref="D196:D229" ca="1" si="3">E196/227</f>
        <v>392.00881057268725</v>
      </c>
      <c r="E196" s="7">
        <f ca="1">Kompilirano!AA111</f>
        <v>88986</v>
      </c>
      <c r="F196" s="6">
        <f ca="1">Kompilirano!Q111</f>
        <v>75.400000000000006</v>
      </c>
      <c r="G196" s="7">
        <f ca="1">Kompilirano!AI111</f>
        <v>23575.8</v>
      </c>
      <c r="H196" s="5">
        <f ca="1">Kompilirano!AT111</f>
        <v>0.51821238938053105</v>
      </c>
      <c r="I196" s="5">
        <f ca="1">Kompilirano!BD111</f>
        <v>0.66637168141592917</v>
      </c>
      <c r="J196" s="5">
        <f ca="1">Kompilirano!BN111</f>
        <v>6.620246772046727E-2</v>
      </c>
      <c r="K196" s="5">
        <f ca="1">Kompilirano!BX111</f>
        <v>-2.9773400827724241E-3</v>
      </c>
    </row>
    <row r="197" spans="2:11" x14ac:dyDescent="0.25">
      <c r="B197" t="s">
        <v>266</v>
      </c>
      <c r="C197" s="6">
        <f ca="1">Kompilirano!G220</f>
        <v>196.6</v>
      </c>
      <c r="D197" s="4">
        <f t="shared" ca="1" si="3"/>
        <v>391.99647577092509</v>
      </c>
      <c r="E197" s="7">
        <f ca="1">Kompilirano!AA220</f>
        <v>88983.2</v>
      </c>
      <c r="F197" s="6">
        <f ca="1">Kompilirano!Q220</f>
        <v>102.2</v>
      </c>
      <c r="G197" s="7">
        <f ca="1">Kompilirano!AI220</f>
        <v>17495</v>
      </c>
      <c r="H197" s="5">
        <f ca="1">Kompilirano!AT220</f>
        <v>0.38503097345132742</v>
      </c>
      <c r="I197" s="5">
        <f ca="1">Kompilirano!BD220</f>
        <v>0.54778761061946901</v>
      </c>
      <c r="J197" s="5">
        <f ca="1">Kompilirano!BN220</f>
        <v>4.5508681446628098E-2</v>
      </c>
      <c r="K197" s="5">
        <f ca="1">Kompilirano!BX220</f>
        <v>1.2727738126937327E-3</v>
      </c>
    </row>
    <row r="198" spans="2:11" x14ac:dyDescent="0.25">
      <c r="B198" t="s">
        <v>231</v>
      </c>
      <c r="C198" s="6">
        <f ca="1">Kompilirano!G183</f>
        <v>197.6</v>
      </c>
      <c r="D198" s="4">
        <f t="shared" ca="1" si="3"/>
        <v>391.52951541850217</v>
      </c>
      <c r="E198" s="7">
        <f ca="1">Kompilirano!AA183</f>
        <v>88877.2</v>
      </c>
      <c r="F198" s="6">
        <f ca="1">Kompilirano!Q183</f>
        <v>54.6</v>
      </c>
      <c r="G198" s="7">
        <f ca="1">Kompilirano!AI183</f>
        <v>31811.4</v>
      </c>
      <c r="H198" s="5">
        <f ca="1">Kompilirano!AT183</f>
        <v>0.70064159292035399</v>
      </c>
      <c r="I198" s="5">
        <f ca="1">Kompilirano!BD183</f>
        <v>0.75840707964601761</v>
      </c>
      <c r="J198" s="5">
        <f ca="1">Kompilirano!BN183</f>
        <v>8.9234674893575339E-2</v>
      </c>
      <c r="K198" s="5">
        <f ca="1">Kompilirano!BX183</f>
        <v>-4.7786299347196234E-2</v>
      </c>
    </row>
    <row r="199" spans="2:11" x14ac:dyDescent="0.25">
      <c r="B199" t="s">
        <v>262</v>
      </c>
      <c r="C199" s="6">
        <f ca="1">Kompilirano!G215</f>
        <v>198.8</v>
      </c>
      <c r="D199" s="4">
        <f t="shared" ca="1" si="3"/>
        <v>390.90837004405284</v>
      </c>
      <c r="E199" s="7">
        <f ca="1">Kompilirano!AA215</f>
        <v>88736.2</v>
      </c>
      <c r="F199" s="6">
        <f ca="1">Kompilirano!Q215</f>
        <v>80.400000000000006</v>
      </c>
      <c r="G199" s="7">
        <f ca="1">Kompilirano!AI215</f>
        <v>22709</v>
      </c>
      <c r="H199" s="5">
        <f ca="1">Kompilirano!AT215</f>
        <v>0.50027433628318585</v>
      </c>
      <c r="I199" s="5">
        <f ca="1">Kompilirano!BD215</f>
        <v>0.6442477876106194</v>
      </c>
      <c r="J199" s="5">
        <f ca="1">Kompilirano!BN215</f>
        <v>6.3738863591664432E-2</v>
      </c>
      <c r="K199" s="5">
        <f ca="1">Kompilirano!BX215</f>
        <v>4.0358547132058069E-4</v>
      </c>
    </row>
    <row r="200" spans="2:11" x14ac:dyDescent="0.25">
      <c r="B200" t="s">
        <v>242</v>
      </c>
      <c r="C200" s="6">
        <f ca="1">Kompilirano!G194</f>
        <v>199.2</v>
      </c>
      <c r="D200" s="4">
        <f t="shared" ca="1" si="3"/>
        <v>390.74889867841409</v>
      </c>
      <c r="E200" s="7">
        <f ca="1">Kompilirano!AA194</f>
        <v>88700</v>
      </c>
      <c r="F200" s="6">
        <f ca="1">Kompilirano!Q194</f>
        <v>59.8</v>
      </c>
      <c r="G200" s="7">
        <f ca="1">Kompilirano!AI194</f>
        <v>28821</v>
      </c>
      <c r="H200" s="5">
        <f ca="1">Kompilirano!AT194</f>
        <v>0.63484513274336285</v>
      </c>
      <c r="I200" s="5">
        <f ca="1">Kompilirano!BD194</f>
        <v>0.73539823008849559</v>
      </c>
      <c r="J200" s="5">
        <f ca="1">Kompilirano!BN194</f>
        <v>8.0796937065643337E-2</v>
      </c>
      <c r="K200" s="5">
        <f ca="1">Kompilirano!BX194</f>
        <v>-3.2327722444367338E-2</v>
      </c>
    </row>
    <row r="201" spans="2:11" x14ac:dyDescent="0.25">
      <c r="B201" t="s">
        <v>167</v>
      </c>
      <c r="C201" s="6">
        <f ca="1">Kompilirano!G113</f>
        <v>199.4</v>
      </c>
      <c r="D201" s="4">
        <f t="shared" ca="1" si="3"/>
        <v>390.68458149779735</v>
      </c>
      <c r="E201" s="7">
        <f ca="1">Kompilirano!AA113</f>
        <v>88685.4</v>
      </c>
      <c r="F201" s="6">
        <f ca="1">Kompilirano!Q113</f>
        <v>76.400000000000006</v>
      </c>
      <c r="G201" s="7">
        <f ca="1">Kompilirano!AI113</f>
        <v>23585</v>
      </c>
      <c r="H201" s="5">
        <f ca="1">Kompilirano!AT113</f>
        <v>0.51842920353982302</v>
      </c>
      <c r="I201" s="5">
        <f ca="1">Kompilirano!BD113</f>
        <v>0.66194690265486733</v>
      </c>
      <c r="J201" s="5">
        <f ca="1">Kompilirano!BN113</f>
        <v>6.6373105763090287E-2</v>
      </c>
      <c r="K201" s="5">
        <f ca="1">Kompilirano!BX113</f>
        <v>-2.9972742926290515E-3</v>
      </c>
    </row>
    <row r="202" spans="2:11" x14ac:dyDescent="0.25">
      <c r="B202" t="s">
        <v>17</v>
      </c>
      <c r="C202" s="6">
        <f ca="1">Kompilirano!G208</f>
        <v>201.2</v>
      </c>
      <c r="D202" s="4">
        <f t="shared" ca="1" si="3"/>
        <v>390.37621145374447</v>
      </c>
      <c r="E202" s="7">
        <f ca="1">Kompilirano!AA208</f>
        <v>88615.4</v>
      </c>
      <c r="F202" s="6">
        <f ca="1">Kompilirano!Q208</f>
        <v>80.8</v>
      </c>
      <c r="G202" s="7">
        <f ca="1">Kompilirano!AI208</f>
        <v>22714.799999999999</v>
      </c>
      <c r="H202" s="5">
        <f ca="1">Kompilirano!AT208</f>
        <v>0.50052654867256641</v>
      </c>
      <c r="I202" s="5">
        <f ca="1">Kompilirano!BD208</f>
        <v>0.64247787610619467</v>
      </c>
      <c r="J202" s="5">
        <f ca="1">Kompilirano!BN208</f>
        <v>6.3673078532225411E-2</v>
      </c>
      <c r="K202" s="5">
        <f ca="1">Kompilirano!BX208</f>
        <v>1.5302715647795014E-4</v>
      </c>
    </row>
    <row r="203" spans="2:11" x14ac:dyDescent="0.25">
      <c r="B203" t="s">
        <v>198</v>
      </c>
      <c r="C203" s="6">
        <f ca="1">Kompilirano!G147</f>
        <v>201</v>
      </c>
      <c r="D203" s="4">
        <f t="shared" ca="1" si="3"/>
        <v>390.21321585903081</v>
      </c>
      <c r="E203" s="7">
        <f ca="1">Kompilirano!AA147</f>
        <v>88578.4</v>
      </c>
      <c r="F203" s="6">
        <f ca="1">Kompilirano!Q147</f>
        <v>35.6</v>
      </c>
      <c r="G203" s="7">
        <f ca="1">Kompilirano!AI147</f>
        <v>38579.199999999997</v>
      </c>
      <c r="H203" s="5">
        <f ca="1">Kompilirano!AT147</f>
        <v>0.84975221238938059</v>
      </c>
      <c r="I203" s="5">
        <f ca="1">Kompilirano!BD147</f>
        <v>0.84247787610619462</v>
      </c>
      <c r="J203" s="5">
        <f ca="1">Kompilirano!BN147</f>
        <v>0.1087720360373258</v>
      </c>
      <c r="K203" s="5">
        <f ca="1">Kompilirano!BX147</f>
        <v>-8.2354574251025187E-2</v>
      </c>
    </row>
    <row r="204" spans="2:11" x14ac:dyDescent="0.25">
      <c r="B204" t="s">
        <v>201</v>
      </c>
      <c r="C204" s="6">
        <f ca="1">Kompilirano!G150</f>
        <v>200.4</v>
      </c>
      <c r="D204" s="4">
        <f t="shared" ca="1" si="3"/>
        <v>389.9647577092511</v>
      </c>
      <c r="E204" s="7">
        <f ca="1">Kompilirano!AA150</f>
        <v>88522</v>
      </c>
      <c r="F204" s="6">
        <f ca="1">Kompilirano!Q150</f>
        <v>36</v>
      </c>
      <c r="G204" s="7">
        <f ca="1">Kompilirano!AI150</f>
        <v>38552</v>
      </c>
      <c r="H204" s="5">
        <f ca="1">Kompilirano!AT150</f>
        <v>0.84915929203539819</v>
      </c>
      <c r="I204" s="5">
        <f ca="1">Kompilirano!BD150</f>
        <v>0.84070796460176989</v>
      </c>
      <c r="J204" s="5">
        <f ca="1">Kompilirano!BN150</f>
        <v>0.10875195658986898</v>
      </c>
      <c r="K204" s="5">
        <f ca="1">Kompilirano!BX150</f>
        <v>-8.1112262648476957E-2</v>
      </c>
    </row>
    <row r="205" spans="2:11" x14ac:dyDescent="0.25">
      <c r="B205" t="s">
        <v>205</v>
      </c>
      <c r="C205" s="6">
        <f ca="1">Kompilirano!G154</f>
        <v>200.8</v>
      </c>
      <c r="D205" s="4">
        <f t="shared" ca="1" si="3"/>
        <v>389.76740088105726</v>
      </c>
      <c r="E205" s="7">
        <f ca="1">Kompilirano!AA154</f>
        <v>88477.2</v>
      </c>
      <c r="F205" s="6">
        <f ca="1">Kompilirano!Q154</f>
        <v>33.799999999999997</v>
      </c>
      <c r="G205" s="7">
        <f ca="1">Kompilirano!AI154</f>
        <v>38630</v>
      </c>
      <c r="H205" s="5">
        <f ca="1">Kompilirano!AT154</f>
        <v>0.85086283185840705</v>
      </c>
      <c r="I205" s="5">
        <f ca="1">Kompilirano!BD154</f>
        <v>0.85044247787610627</v>
      </c>
      <c r="J205" s="5">
        <f ca="1">Kompilirano!BN154</f>
        <v>0.10896672283652924</v>
      </c>
      <c r="K205" s="5">
        <f ca="1">Kompilirano!BX154</f>
        <v>-8.1760624332973014E-2</v>
      </c>
    </row>
    <row r="206" spans="2:11" x14ac:dyDescent="0.25">
      <c r="B206" t="s">
        <v>19</v>
      </c>
      <c r="C206" s="6">
        <f ca="1">Kompilirano!G218</f>
        <v>201.2</v>
      </c>
      <c r="D206" s="4">
        <f t="shared" ca="1" si="3"/>
        <v>389.30308370044054</v>
      </c>
      <c r="E206" s="7">
        <f ca="1">Kompilirano!AA218</f>
        <v>88371.8</v>
      </c>
      <c r="F206" s="6">
        <f ca="1">Kompilirano!Q218</f>
        <v>78.2</v>
      </c>
      <c r="G206" s="7">
        <f ca="1">Kompilirano!AI218</f>
        <v>22695.200000000001</v>
      </c>
      <c r="H206" s="5">
        <f ca="1">Kompilirano!AT218</f>
        <v>0.49994690265486719</v>
      </c>
      <c r="I206" s="5">
        <f ca="1">Kompilirano!BD218</f>
        <v>0.65398230088495579</v>
      </c>
      <c r="J206" s="5">
        <f ca="1">Kompilirano!BN218</f>
        <v>6.3601892557903272E-2</v>
      </c>
      <c r="K206" s="5">
        <f ca="1">Kompilirano!BX218</f>
        <v>2.8805569764566351E-5</v>
      </c>
    </row>
    <row r="207" spans="2:11" x14ac:dyDescent="0.25">
      <c r="B207" t="s">
        <v>203</v>
      </c>
      <c r="C207" s="6">
        <f ca="1">Kompilirano!G152</f>
        <v>203.4</v>
      </c>
      <c r="D207" s="4">
        <f t="shared" ca="1" si="3"/>
        <v>388.72951541850222</v>
      </c>
      <c r="E207" s="7">
        <f ca="1">Kompilirano!AA152</f>
        <v>88241.600000000006</v>
      </c>
      <c r="F207" s="6">
        <f ca="1">Kompilirano!Q152</f>
        <v>35.200000000000003</v>
      </c>
      <c r="G207" s="7">
        <f ca="1">Kompilirano!AI152</f>
        <v>38516.199999999997</v>
      </c>
      <c r="H207" s="5">
        <f ca="1">Kompilirano!AT152</f>
        <v>0.84832300884955747</v>
      </c>
      <c r="I207" s="5">
        <f ca="1">Kompilirano!BD152</f>
        <v>0.84424778761061936</v>
      </c>
      <c r="J207" s="5">
        <f ca="1">Kompilirano!BN152</f>
        <v>0.10875222189944031</v>
      </c>
      <c r="K207" s="5">
        <f ca="1">Kompilirano!BX152</f>
        <v>-8.058673326535222E-2</v>
      </c>
    </row>
    <row r="208" spans="2:11" x14ac:dyDescent="0.25">
      <c r="B208" t="s">
        <v>146</v>
      </c>
      <c r="C208" s="6">
        <f ca="1">Kompilirano!G92</f>
        <v>205</v>
      </c>
      <c r="D208" s="4">
        <f t="shared" ca="1" si="3"/>
        <v>388.25286343612333</v>
      </c>
      <c r="E208" s="7">
        <f ca="1">Kompilirano!AA92</f>
        <v>88133.4</v>
      </c>
      <c r="F208" s="6">
        <f ca="1">Kompilirano!Q92</f>
        <v>81.400000000000006</v>
      </c>
      <c r="G208" s="7">
        <f ca="1">Kompilirano!AI92</f>
        <v>22112</v>
      </c>
      <c r="H208" s="5">
        <f ca="1">Kompilirano!AT92</f>
        <v>0.48588495575221236</v>
      </c>
      <c r="I208" s="5">
        <f ca="1">Kompilirano!BD92</f>
        <v>0.63982300884955756</v>
      </c>
      <c r="J208" s="5">
        <f ca="1">Kompilirano!BN92</f>
        <v>6.0802727331824569E-2</v>
      </c>
      <c r="K208" s="5">
        <f ca="1">Kompilirano!BX92</f>
        <v>-4.335397846556237E-3</v>
      </c>
    </row>
    <row r="209" spans="2:11" x14ac:dyDescent="0.25">
      <c r="B209" t="s">
        <v>183</v>
      </c>
      <c r="C209" s="6">
        <f ca="1">Kompilirano!G131</f>
        <v>205.8</v>
      </c>
      <c r="D209" s="4">
        <f t="shared" ca="1" si="3"/>
        <v>387.82907488986785</v>
      </c>
      <c r="E209" s="7">
        <f ca="1">Kompilirano!AA131</f>
        <v>88037.2</v>
      </c>
      <c r="F209" s="6">
        <f ca="1">Kompilirano!Q131</f>
        <v>13</v>
      </c>
      <c r="G209" s="7">
        <f ca="1">Kompilirano!AI131</f>
        <v>40831.800000000003</v>
      </c>
      <c r="H209" s="5">
        <f ca="1">Kompilirano!AT131</f>
        <v>0.89939380530973434</v>
      </c>
      <c r="I209" s="5">
        <f ca="1">Kompilirano!BD131</f>
        <v>0.9424778761061946</v>
      </c>
      <c r="J209" s="5">
        <f ca="1">Kompilirano!BN131</f>
        <v>0.11451425772014454</v>
      </c>
      <c r="K209" s="5">
        <f ca="1">Kompilirano!BX131</f>
        <v>-9.5255727970918136E-2</v>
      </c>
    </row>
    <row r="210" spans="2:11" x14ac:dyDescent="0.25">
      <c r="B210" t="s">
        <v>237</v>
      </c>
      <c r="C210" s="6">
        <f ca="1">Kompilirano!G189</f>
        <v>206.6</v>
      </c>
      <c r="D210" s="4">
        <f t="shared" ca="1" si="3"/>
        <v>387.18061674008811</v>
      </c>
      <c r="E210" s="7">
        <f ca="1">Kompilirano!AA189</f>
        <v>87890</v>
      </c>
      <c r="F210" s="6">
        <f ca="1">Kompilirano!Q189</f>
        <v>51.2</v>
      </c>
      <c r="G210" s="7">
        <f ca="1">Kompilirano!AI189</f>
        <v>34866.6</v>
      </c>
      <c r="H210" s="5">
        <f ca="1">Kompilirano!AT189</f>
        <v>0.76801769911504425</v>
      </c>
      <c r="I210" s="5">
        <f ca="1">Kompilirano!BD189</f>
        <v>0.77345132743362821</v>
      </c>
      <c r="J210" s="5">
        <f ca="1">Kompilirano!BN189</f>
        <v>9.7798040000796838E-2</v>
      </c>
      <c r="K210" s="5">
        <f ca="1">Kompilirano!BX189</f>
        <v>-6.3747796350372227E-2</v>
      </c>
    </row>
    <row r="211" spans="2:11" x14ac:dyDescent="0.25">
      <c r="B211" t="s">
        <v>244</v>
      </c>
      <c r="C211" s="6">
        <f ca="1">Kompilirano!G196</f>
        <v>208.6</v>
      </c>
      <c r="D211" s="4">
        <f t="shared" ca="1" si="3"/>
        <v>387.00616740088105</v>
      </c>
      <c r="E211" s="7">
        <f ca="1">Kompilirano!AA196</f>
        <v>87850.4</v>
      </c>
      <c r="F211" s="6">
        <f ca="1">Kompilirano!Q196</f>
        <v>53.2</v>
      </c>
      <c r="G211" s="7">
        <f ca="1">Kompilirano!AI196</f>
        <v>36828.199999999997</v>
      </c>
      <c r="H211" s="5">
        <f ca="1">Kompilirano!AT196</f>
        <v>0.81144247787610602</v>
      </c>
      <c r="I211" s="5">
        <f ca="1">Kompilirano!BD196</f>
        <v>0.76460176991150441</v>
      </c>
      <c r="J211" s="5">
        <f ca="1">Kompilirano!BN196</f>
        <v>9.9557129927696469E-2</v>
      </c>
      <c r="K211" s="5">
        <f ca="1">Kompilirano!BX196</f>
        <v>-8.8191746183569397E-2</v>
      </c>
    </row>
    <row r="212" spans="2:11" x14ac:dyDescent="0.25">
      <c r="B212" t="s">
        <v>210</v>
      </c>
      <c r="C212" s="6">
        <f ca="1">Kompilirano!G160</f>
        <v>208.4</v>
      </c>
      <c r="D212" s="4">
        <f t="shared" ca="1" si="3"/>
        <v>386.74977973568281</v>
      </c>
      <c r="E212" s="7">
        <f ca="1">Kompilirano!AA160</f>
        <v>87792.2</v>
      </c>
      <c r="F212" s="6">
        <f ca="1">Kompilirano!Q160</f>
        <v>16.2</v>
      </c>
      <c r="G212" s="7">
        <f ca="1">Kompilirano!AI160</f>
        <v>40535.800000000003</v>
      </c>
      <c r="H212" s="5">
        <f ca="1">Kompilirano!AT160</f>
        <v>0.89302654867256626</v>
      </c>
      <c r="I212" s="5">
        <f ca="1">Kompilirano!BD160</f>
        <v>0.92831858407079648</v>
      </c>
      <c r="J212" s="5">
        <f ca="1">Kompilirano!BN160</f>
        <v>0.11376525798413717</v>
      </c>
      <c r="K212" s="5">
        <f ca="1">Kompilirano!BX160</f>
        <v>-9.297969228429287E-2</v>
      </c>
    </row>
    <row r="213" spans="2:11" x14ac:dyDescent="0.25">
      <c r="B213" t="s">
        <v>251</v>
      </c>
      <c r="C213" s="6">
        <f ca="1">Kompilirano!G203</f>
        <v>209.4</v>
      </c>
      <c r="D213" s="4">
        <f t="shared" ca="1" si="3"/>
        <v>386.52422907488989</v>
      </c>
      <c r="E213" s="7">
        <f ca="1">Kompilirano!AA203</f>
        <v>87741</v>
      </c>
      <c r="F213" s="6">
        <f ca="1">Kompilirano!Q203</f>
        <v>77</v>
      </c>
      <c r="G213" s="7">
        <f ca="1">Kompilirano!AI203</f>
        <v>22683</v>
      </c>
      <c r="H213" s="5">
        <f ca="1">Kompilirano!AT203</f>
        <v>0.49965044247787604</v>
      </c>
      <c r="I213" s="5">
        <f ca="1">Kompilirano!BD203</f>
        <v>0.65929203539823011</v>
      </c>
      <c r="J213" s="5">
        <f ca="1">Kompilirano!BN203</f>
        <v>6.3568323022340306E-2</v>
      </c>
      <c r="K213" s="5">
        <f ca="1">Kompilirano!BX203</f>
        <v>-2.7530954216567255E-4</v>
      </c>
    </row>
    <row r="214" spans="2:11" x14ac:dyDescent="0.25">
      <c r="B214" t="s">
        <v>175</v>
      </c>
      <c r="C214" s="6">
        <f ca="1">Kompilirano!G121</f>
        <v>209.8</v>
      </c>
      <c r="D214" s="4">
        <f t="shared" ca="1" si="3"/>
        <v>386.3189427312775</v>
      </c>
      <c r="E214" s="7">
        <f ca="1">Kompilirano!AA121</f>
        <v>87694.399999999994</v>
      </c>
      <c r="F214" s="6">
        <f ca="1">Kompilirano!Q121</f>
        <v>20.6</v>
      </c>
      <c r="G214" s="7">
        <f ca="1">Kompilirano!AI121</f>
        <v>40399.599999999999</v>
      </c>
      <c r="H214" s="5">
        <f ca="1">Kompilirano!AT121</f>
        <v>0.88999557522123884</v>
      </c>
      <c r="I214" s="5">
        <f ca="1">Kompilirano!BD121</f>
        <v>0.90884955752212382</v>
      </c>
      <c r="J214" s="5">
        <f ca="1">Kompilirano!BN121</f>
        <v>0.11323761569699264</v>
      </c>
      <c r="K214" s="5">
        <f ca="1">Kompilirano!BX121</f>
        <v>-9.3755394400828002E-2</v>
      </c>
    </row>
    <row r="215" spans="2:11" x14ac:dyDescent="0.25">
      <c r="B215" t="s">
        <v>182</v>
      </c>
      <c r="C215" s="6">
        <f ca="1">Kompilirano!G129</f>
        <v>214.2</v>
      </c>
      <c r="D215" s="4">
        <f t="shared" ca="1" si="3"/>
        <v>384.69779735682818</v>
      </c>
      <c r="E215" s="7">
        <f ca="1">Kompilirano!AA129</f>
        <v>87326.399999999994</v>
      </c>
      <c r="F215" s="6">
        <f ca="1">Kompilirano!Q129</f>
        <v>17</v>
      </c>
      <c r="G215" s="7">
        <f ca="1">Kompilirano!AI129</f>
        <v>40226</v>
      </c>
      <c r="H215" s="5">
        <f ca="1">Kompilirano!AT129</f>
        <v>0.88598672566371683</v>
      </c>
      <c r="I215" s="5">
        <f ca="1">Kompilirano!BD129</f>
        <v>0.9247787610619469</v>
      </c>
      <c r="J215" s="5">
        <f ca="1">Kompilirano!BN129</f>
        <v>0.11272711625944262</v>
      </c>
      <c r="K215" s="5">
        <f ca="1">Kompilirano!BX129</f>
        <v>-9.2146139305247954E-2</v>
      </c>
    </row>
    <row r="216" spans="2:11" x14ac:dyDescent="0.25">
      <c r="B216" t="s">
        <v>181</v>
      </c>
      <c r="C216" s="6">
        <f ca="1">Kompilirano!G128</f>
        <v>215.6</v>
      </c>
      <c r="D216" s="4">
        <f t="shared" ca="1" si="3"/>
        <v>384.07224669603522</v>
      </c>
      <c r="E216" s="7">
        <f ca="1">Kompilirano!AA128</f>
        <v>87184.4</v>
      </c>
      <c r="F216" s="6">
        <f ca="1">Kompilirano!Q128</f>
        <v>49.8</v>
      </c>
      <c r="G216" s="7">
        <f ca="1">Kompilirano!AI128</f>
        <v>36936.199999999997</v>
      </c>
      <c r="H216" s="5">
        <f ca="1">Kompilirano!AT128</f>
        <v>0.81387610619469031</v>
      </c>
      <c r="I216" s="5">
        <f ca="1">Kompilirano!BD128</f>
        <v>0.77964601769911501</v>
      </c>
      <c r="J216" s="5">
        <f ca="1">Kompilirano!BN128</f>
        <v>0.10280240419068225</v>
      </c>
      <c r="K216" s="5">
        <f ca="1">Kompilirano!BX128</f>
        <v>-7.8823612817759028E-2</v>
      </c>
    </row>
    <row r="217" spans="2:11" x14ac:dyDescent="0.25">
      <c r="B217" t="s">
        <v>257</v>
      </c>
      <c r="C217" s="6">
        <f ca="1">Kompilirano!G210</f>
        <v>214.4</v>
      </c>
      <c r="D217" s="4">
        <f t="shared" ca="1" si="3"/>
        <v>383.77004405286345</v>
      </c>
      <c r="E217" s="7">
        <f ca="1">Kompilirano!AA210</f>
        <v>87115.8</v>
      </c>
      <c r="F217" s="6">
        <f ca="1">Kompilirano!Q210</f>
        <v>54.6</v>
      </c>
      <c r="G217" s="7">
        <f ca="1">Kompilirano!AI210</f>
        <v>35980.400000000001</v>
      </c>
      <c r="H217" s="5">
        <f ca="1">Kompilirano!AT210</f>
        <v>0.79280088495575218</v>
      </c>
      <c r="I217" s="5">
        <f ca="1">Kompilirano!BD210</f>
        <v>0.75840707964601772</v>
      </c>
      <c r="J217" s="5">
        <f ca="1">Kompilirano!BN210</f>
        <v>9.6256273007418042E-2</v>
      </c>
      <c r="K217" s="5">
        <f ca="1">Kompilirano!BX210</f>
        <v>-8.8253441558678064E-2</v>
      </c>
    </row>
    <row r="218" spans="2:11" x14ac:dyDescent="0.25">
      <c r="B218" t="s">
        <v>260</v>
      </c>
      <c r="C218" s="6">
        <f ca="1">Kompilirano!G213</f>
        <v>215.2</v>
      </c>
      <c r="D218" s="4">
        <f t="shared" ca="1" si="3"/>
        <v>383.75947136563872</v>
      </c>
      <c r="E218" s="7">
        <f ca="1">Kompilirano!AA213</f>
        <v>87113.4</v>
      </c>
      <c r="F218" s="6">
        <f ca="1">Kompilirano!Q213</f>
        <v>78.400000000000006</v>
      </c>
      <c r="G218" s="7">
        <f ca="1">Kompilirano!AI213</f>
        <v>25569.4</v>
      </c>
      <c r="H218" s="5">
        <f ca="1">Kompilirano!AT213</f>
        <v>0.56349557522123894</v>
      </c>
      <c r="I218" s="5">
        <f ca="1">Kompilirano!BD213</f>
        <v>0.65309734513274331</v>
      </c>
      <c r="J218" s="5">
        <f ca="1">Kompilirano!BN213</f>
        <v>6.3225460271523953E-2</v>
      </c>
      <c r="K218" s="5">
        <f ca="1">Kompilirano!BX213</f>
        <v>-6.5724734284868747E-2</v>
      </c>
    </row>
    <row r="219" spans="2:11" x14ac:dyDescent="0.25">
      <c r="B219" t="s">
        <v>267</v>
      </c>
      <c r="C219" s="6">
        <f ca="1">Kompilirano!G221</f>
        <v>214.8</v>
      </c>
      <c r="D219" s="4">
        <f t="shared" ca="1" si="3"/>
        <v>383.70132158590309</v>
      </c>
      <c r="E219" s="7">
        <f ca="1">Kompilirano!AA221</f>
        <v>87100.2</v>
      </c>
      <c r="F219" s="6">
        <f ca="1">Kompilirano!Q221</f>
        <v>77.2</v>
      </c>
      <c r="G219" s="7">
        <f ca="1">Kompilirano!AI221</f>
        <v>25681</v>
      </c>
      <c r="H219" s="5">
        <f ca="1">Kompilirano!AT221</f>
        <v>0.56596460176991159</v>
      </c>
      <c r="I219" s="5">
        <f ca="1">Kompilirano!BD221</f>
        <v>0.65840707964601775</v>
      </c>
      <c r="J219" s="5">
        <f ca="1">Kompilirano!BN221</f>
        <v>6.3614544841474233E-2</v>
      </c>
      <c r="K219" s="5">
        <f ca="1">Kompilirano!BX221</f>
        <v>-6.5184810553758826E-2</v>
      </c>
    </row>
    <row r="220" spans="2:11" x14ac:dyDescent="0.25">
      <c r="B220" t="s">
        <v>193</v>
      </c>
      <c r="C220" s="6">
        <f ca="1">Kompilirano!G141</f>
        <v>216.8</v>
      </c>
      <c r="D220" s="4">
        <f t="shared" ca="1" si="3"/>
        <v>383.63964757709249</v>
      </c>
      <c r="E220" s="7">
        <f ca="1">Kompilirano!AA141</f>
        <v>87086.2</v>
      </c>
      <c r="F220" s="6">
        <f ca="1">Kompilirano!Q141</f>
        <v>16.8</v>
      </c>
      <c r="G220" s="7">
        <f ca="1">Kompilirano!AI141</f>
        <v>40851.599999999999</v>
      </c>
      <c r="H220" s="5">
        <f ca="1">Kompilirano!AT141</f>
        <v>0.89980973451327428</v>
      </c>
      <c r="I220" s="5">
        <f ca="1">Kompilirano!BD141</f>
        <v>0.92566371681415927</v>
      </c>
      <c r="J220" s="5">
        <f ca="1">Kompilirano!BN141</f>
        <v>0.11456429603679386</v>
      </c>
      <c r="K220" s="5">
        <f ca="1">Kompilirano!BX141</f>
        <v>-9.5429293989261671E-2</v>
      </c>
    </row>
    <row r="221" spans="2:11" x14ac:dyDescent="0.25">
      <c r="B221" t="s">
        <v>270</v>
      </c>
      <c r="C221" s="6">
        <f ca="1">Kompilirano!G224</f>
        <v>216.6</v>
      </c>
      <c r="D221" s="4">
        <f t="shared" ca="1" si="3"/>
        <v>383.63083700440529</v>
      </c>
      <c r="E221" s="7">
        <f ca="1">Kompilirano!AA224</f>
        <v>87084.2</v>
      </c>
      <c r="F221" s="6">
        <f ca="1">Kompilirano!Q224</f>
        <v>61.2</v>
      </c>
      <c r="G221" s="7">
        <f ca="1">Kompilirano!AI224</f>
        <v>30923.8</v>
      </c>
      <c r="H221" s="5">
        <f ca="1">Kompilirano!AT224</f>
        <v>0.68175221238938055</v>
      </c>
      <c r="I221" s="5">
        <f ca="1">Kompilirano!BD224</f>
        <v>0.72920353982300889</v>
      </c>
      <c r="J221" s="5">
        <f ca="1">Kompilirano!BN224</f>
        <v>8.2216069459919577E-2</v>
      </c>
      <c r="K221" s="5">
        <f ca="1">Kompilirano!BX224</f>
        <v>-6.3512482882312843E-2</v>
      </c>
    </row>
    <row r="222" spans="2:11" x14ac:dyDescent="0.25">
      <c r="B222" t="s">
        <v>274</v>
      </c>
      <c r="C222" s="6">
        <f ca="1">Kompilirano!G228</f>
        <v>218</v>
      </c>
      <c r="D222" s="4">
        <f t="shared" ca="1" si="3"/>
        <v>382.78942731277533</v>
      </c>
      <c r="E222" s="7">
        <f ca="1">Kompilirano!AA228</f>
        <v>86893.2</v>
      </c>
      <c r="F222" s="6">
        <f ca="1">Kompilirano!Q228</f>
        <v>76.400000000000006</v>
      </c>
      <c r="G222" s="7">
        <f ca="1">Kompilirano!AI228</f>
        <v>25664.799999999999</v>
      </c>
      <c r="H222" s="5">
        <f ca="1">Kompilirano!AT228</f>
        <v>0.56561061946902647</v>
      </c>
      <c r="I222" s="5">
        <f ca="1">Kompilirano!BD228</f>
        <v>0.66194690265486722</v>
      </c>
      <c r="J222" s="5">
        <f ca="1">Kompilirano!BN228</f>
        <v>6.3616214325252801E-2</v>
      </c>
      <c r="K222" s="5">
        <f ca="1">Kompilirano!BX228</f>
        <v>-6.4902829774855703E-2</v>
      </c>
    </row>
    <row r="223" spans="2:11" x14ac:dyDescent="0.25">
      <c r="B223" t="s">
        <v>239</v>
      </c>
      <c r="C223" s="6">
        <f ca="1">Kompilirano!G191</f>
        <v>218</v>
      </c>
      <c r="D223" s="4">
        <f t="shared" ca="1" si="3"/>
        <v>382.44757709251104</v>
      </c>
      <c r="E223" s="7">
        <f ca="1">Kompilirano!AA191</f>
        <v>86815.6</v>
      </c>
      <c r="F223" s="6">
        <f ca="1">Kompilirano!Q191</f>
        <v>16.600000000000001</v>
      </c>
      <c r="G223" s="7">
        <f ca="1">Kompilirano!AI191</f>
        <v>40339.4</v>
      </c>
      <c r="H223" s="5">
        <f ca="1">Kompilirano!AT191</f>
        <v>0.88858849557522124</v>
      </c>
      <c r="I223" s="5">
        <f ca="1">Kompilirano!BD191</f>
        <v>0.92654867256637163</v>
      </c>
      <c r="J223" s="5">
        <f ca="1">Kompilirano!BN191</f>
        <v>0.11318846756991081</v>
      </c>
      <c r="K223" s="5">
        <f ca="1">Kompilirano!BX191</f>
        <v>-9.1998511729069615E-2</v>
      </c>
    </row>
    <row r="224" spans="2:11" x14ac:dyDescent="0.25">
      <c r="B224" t="s">
        <v>246</v>
      </c>
      <c r="C224" s="6">
        <f ca="1">Kompilirano!G198</f>
        <v>220.8</v>
      </c>
      <c r="D224" s="4">
        <f t="shared" ca="1" si="3"/>
        <v>381.70660792951537</v>
      </c>
      <c r="E224" s="7">
        <f ca="1">Kompilirano!AA198</f>
        <v>86647.4</v>
      </c>
      <c r="F224" s="6">
        <f ca="1">Kompilirano!Q198</f>
        <v>44</v>
      </c>
      <c r="G224" s="7">
        <f ca="1">Kompilirano!AI198</f>
        <v>38093.4</v>
      </c>
      <c r="H224" s="5">
        <f ca="1">Kompilirano!AT198</f>
        <v>0.83949115044247802</v>
      </c>
      <c r="I224" s="5">
        <f ca="1">Kompilirano!BD198</f>
        <v>0.80530973451327426</v>
      </c>
      <c r="J224" s="5">
        <f ca="1">Kompilirano!BN198</f>
        <v>0.1040363602473022</v>
      </c>
      <c r="K224" s="5">
        <f ca="1">Kompilirano!BX198</f>
        <v>-9.4358346164283555E-2</v>
      </c>
    </row>
    <row r="225" spans="2:11" x14ac:dyDescent="0.25">
      <c r="B225" t="s">
        <v>249</v>
      </c>
      <c r="C225" s="6">
        <f ca="1">Kompilirano!G201</f>
        <v>220.2</v>
      </c>
      <c r="D225" s="4">
        <f t="shared" ca="1" si="3"/>
        <v>381.59030837004406</v>
      </c>
      <c r="E225" s="7">
        <f ca="1">Kompilirano!AA201</f>
        <v>86621</v>
      </c>
      <c r="F225" s="6">
        <f ca="1">Kompilirano!Q201</f>
        <v>42</v>
      </c>
      <c r="G225" s="7">
        <f ca="1">Kompilirano!AI201</f>
        <v>37310</v>
      </c>
      <c r="H225" s="5">
        <f ca="1">Kompilirano!AT201</f>
        <v>0.82181858407079655</v>
      </c>
      <c r="I225" s="5">
        <f ca="1">Kompilirano!BD201</f>
        <v>0.81415929203539827</v>
      </c>
      <c r="J225" s="5">
        <f ca="1">Kompilirano!BN201</f>
        <v>0.10461495697444198</v>
      </c>
      <c r="K225" s="5">
        <f ca="1">Kompilirano!BX201</f>
        <v>-7.6795847190910899E-2</v>
      </c>
    </row>
    <row r="226" spans="2:11" x14ac:dyDescent="0.25">
      <c r="B226" t="s">
        <v>227</v>
      </c>
      <c r="C226" s="6">
        <f ca="1">Kompilirano!G179</f>
        <v>218.6</v>
      </c>
      <c r="D226" s="4">
        <f t="shared" ca="1" si="3"/>
        <v>381.36475770925114</v>
      </c>
      <c r="E226" s="7">
        <f ca="1">Kompilirano!AA179</f>
        <v>86569.8</v>
      </c>
      <c r="F226" s="6">
        <f ca="1">Kompilirano!Q179</f>
        <v>19.8</v>
      </c>
      <c r="G226" s="7">
        <f ca="1">Kompilirano!AI179</f>
        <v>40621.599999999999</v>
      </c>
      <c r="H226" s="5">
        <f ca="1">Kompilirano!AT179</f>
        <v>0.89482743362831862</v>
      </c>
      <c r="I226" s="5">
        <f ca="1">Kompilirano!BD179</f>
        <v>0.9123893805309734</v>
      </c>
      <c r="J226" s="5">
        <f ca="1">Kompilirano!BN179</f>
        <v>0.11372308524111936</v>
      </c>
      <c r="K226" s="5">
        <f ca="1">Kompilirano!BX179</f>
        <v>-9.5444769099194443E-2</v>
      </c>
    </row>
    <row r="227" spans="2:11" x14ac:dyDescent="0.25">
      <c r="B227" t="s">
        <v>273</v>
      </c>
      <c r="C227" s="6">
        <f ca="1">Kompilirano!G227</f>
        <v>223.2</v>
      </c>
      <c r="D227" s="4">
        <f t="shared" ca="1" si="3"/>
        <v>380.03612334801761</v>
      </c>
      <c r="E227" s="7">
        <f ca="1">Kompilirano!AA227</f>
        <v>86268.2</v>
      </c>
      <c r="F227" s="6">
        <f ca="1">Kompilirano!Q227</f>
        <v>59</v>
      </c>
      <c r="G227" s="7">
        <f ca="1">Kompilirano!AI227</f>
        <v>31819.599999999999</v>
      </c>
      <c r="H227" s="5">
        <f ca="1">Kompilirano!AT227</f>
        <v>0.70125221238938062</v>
      </c>
      <c r="I227" s="5">
        <f ca="1">Kompilirano!BD227</f>
        <v>0.73893805309734517</v>
      </c>
      <c r="J227" s="5">
        <f ca="1">Kompilirano!BN227</f>
        <v>8.1557472012751792E-2</v>
      </c>
      <c r="K227" s="5">
        <f ca="1">Kompilirano!BX227</f>
        <v>-8.503372097403776E-2</v>
      </c>
    </row>
    <row r="228" spans="2:11" x14ac:dyDescent="0.25">
      <c r="B228" t="s">
        <v>253</v>
      </c>
      <c r="C228" s="6">
        <f ca="1">Kompilirano!G205</f>
        <v>221.4</v>
      </c>
      <c r="D228" s="4">
        <f t="shared" ca="1" si="3"/>
        <v>379.48193832599117</v>
      </c>
      <c r="E228" s="7">
        <f ca="1">Kompilirano!AA205</f>
        <v>86142.399999999994</v>
      </c>
      <c r="F228" s="6">
        <f ca="1">Kompilirano!Q205</f>
        <v>77.8</v>
      </c>
      <c r="G228" s="7">
        <f ca="1">Kompilirano!AI205</f>
        <v>26916.400000000001</v>
      </c>
      <c r="H228" s="5">
        <f ca="1">Kompilirano!AT205</f>
        <v>0.59160176991150437</v>
      </c>
      <c r="I228" s="5">
        <f ca="1">Kompilirano!BD205</f>
        <v>0.65575221238938064</v>
      </c>
      <c r="J228" s="5">
        <f ca="1">Kompilirano!BN205</f>
        <v>8.310263953038334E-2</v>
      </c>
      <c r="K228" s="5">
        <f ca="1">Kompilirano!BX205</f>
        <v>3.6339255747376051E-2</v>
      </c>
    </row>
    <row r="229" spans="2:11" x14ac:dyDescent="0.25">
      <c r="B229" t="s">
        <v>207</v>
      </c>
      <c r="C229" s="6">
        <f ca="1">Kompilirano!G157</f>
        <v>226.4</v>
      </c>
      <c r="D229" s="4">
        <f t="shared" ca="1" si="3"/>
        <v>377.11101321585903</v>
      </c>
      <c r="E229" s="7">
        <f ca="1">Kompilirano!AA157</f>
        <v>85604.2</v>
      </c>
      <c r="F229" s="6">
        <f ca="1">Kompilirano!Q157</f>
        <v>19.2</v>
      </c>
      <c r="G229" s="7">
        <f ca="1">Kompilirano!AI157</f>
        <v>40306.199999999997</v>
      </c>
      <c r="H229" s="5">
        <f ca="1">Kompilirano!AT157</f>
        <v>0.88779203539823004</v>
      </c>
      <c r="I229" s="5">
        <f ca="1">Kompilirano!BD157</f>
        <v>0.91504424778761062</v>
      </c>
      <c r="J229" s="5">
        <f ca="1">Kompilirano!BN157</f>
        <v>0.11290461331855399</v>
      </c>
      <c r="K229" s="5">
        <f ca="1">Kompilirano!BX157</f>
        <v>-9.4047405310498003E-2</v>
      </c>
    </row>
  </sheetData>
  <sortState xmlns:xlrd2="http://schemas.microsoft.com/office/spreadsheetml/2017/richdata2" ref="B3:K229">
    <sortCondition descending="1" ref="D3:D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2026-02-10T15:31:55Z</dcterms:modified>
</cp:coreProperties>
</file>