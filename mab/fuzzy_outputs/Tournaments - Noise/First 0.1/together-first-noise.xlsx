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Noise\First 0.1\"/>
    </mc:Choice>
  </mc:AlternateContent>
  <xr:revisionPtr revIDLastSave="0" documentId="13_ncr:1_{2164421E-1E59-4AAD-B060-E3C6B9FE07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FINAL" sheetId="5" r:id="rId1"/>
    <sheet name="Kompilirano" sheetId="2" r:id="rId2"/>
    <sheet name="Svi" sheetId="1" r:id="rId3"/>
    <sheet name="Adrese" sheetId="3" r:id="rId4"/>
    <sheet name="Fina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4" i="2" l="1"/>
  <c r="AN11" i="2"/>
  <c r="M7" i="2"/>
  <c r="E11" i="2"/>
  <c r="AH7" i="2"/>
  <c r="AE3" i="2"/>
  <c r="V16" i="2"/>
  <c r="B6" i="2"/>
  <c r="U7" i="2"/>
  <c r="BK9" i="2"/>
  <c r="C10" i="2"/>
  <c r="AF18" i="2"/>
  <c r="AX6" i="2"/>
  <c r="BJ10" i="2"/>
  <c r="AH10" i="2"/>
  <c r="BS16" i="2"/>
  <c r="BA13" i="2"/>
  <c r="Y3" i="2"/>
  <c r="F17" i="2"/>
  <c r="AO5" i="2"/>
  <c r="AX13" i="2"/>
  <c r="AN6" i="2"/>
  <c r="AE10" i="2"/>
  <c r="BS11" i="2"/>
  <c r="BT17" i="2"/>
  <c r="AO10" i="2"/>
  <c r="AF10" i="2"/>
  <c r="U18" i="2"/>
  <c r="Y18" i="2"/>
  <c r="AG12" i="2"/>
  <c r="V12" i="2"/>
  <c r="U3" i="2"/>
  <c r="U6" i="2"/>
  <c r="BI15" i="2"/>
  <c r="AP8" i="2"/>
  <c r="AZ3" i="2"/>
  <c r="AF12" i="2"/>
  <c r="W11" i="2"/>
  <c r="AX10" i="2"/>
  <c r="AN14" i="2"/>
  <c r="N10" i="2"/>
  <c r="BH3" i="2"/>
  <c r="AQ6" i="2"/>
  <c r="BA7" i="2"/>
  <c r="AO17" i="2"/>
  <c r="V11" i="2"/>
  <c r="M3" i="2"/>
  <c r="E15" i="2"/>
  <c r="BR11" i="2"/>
  <c r="B4" i="2"/>
  <c r="AZ17" i="2"/>
  <c r="BL9" i="2"/>
  <c r="E18" i="2"/>
  <c r="D4" i="2"/>
  <c r="BI3" i="2"/>
  <c r="BU13" i="2"/>
  <c r="BJ3" i="2"/>
  <c r="W8" i="2"/>
  <c r="BV6" i="2"/>
  <c r="AQ8" i="2"/>
  <c r="X16" i="2"/>
  <c r="AO14" i="2"/>
  <c r="AZ8" i="2"/>
  <c r="O4" i="2"/>
  <c r="BR16" i="2"/>
  <c r="BK6" i="2"/>
  <c r="BH5" i="2"/>
  <c r="D12" i="2"/>
  <c r="U4" i="2"/>
  <c r="AN13" i="2"/>
  <c r="O6" i="2"/>
  <c r="BJ4" i="2"/>
  <c r="BS15" i="2"/>
  <c r="AX8" i="2"/>
  <c r="BT7" i="2"/>
  <c r="BS14" i="2"/>
  <c r="BL6" i="2"/>
  <c r="AY3" i="2"/>
  <c r="W16" i="2"/>
  <c r="AF17" i="2"/>
  <c r="AR18" i="2"/>
  <c r="AF8" i="2"/>
  <c r="W6" i="2"/>
  <c r="D11" i="2"/>
  <c r="AH17" i="2"/>
  <c r="K10" i="2"/>
  <c r="BI17" i="2"/>
  <c r="W5" i="2"/>
  <c r="AQ15" i="2"/>
  <c r="D3" i="2"/>
  <c r="AX15" i="2"/>
  <c r="D14" i="2"/>
  <c r="L5" i="2"/>
  <c r="M18" i="2"/>
  <c r="BL11" i="2"/>
  <c r="BJ14" i="2"/>
  <c r="B10" i="2"/>
  <c r="L15" i="2"/>
  <c r="AR14" i="2"/>
  <c r="AF6" i="2"/>
  <c r="BR3" i="2"/>
  <c r="AY17" i="2"/>
  <c r="X7" i="2"/>
  <c r="U14" i="2"/>
  <c r="BU12" i="2"/>
  <c r="AX5" i="2"/>
  <c r="AR7" i="2"/>
  <c r="U9" i="2"/>
  <c r="BA16" i="2"/>
  <c r="AX16" i="2"/>
  <c r="AO3" i="2"/>
  <c r="V5" i="2"/>
  <c r="B5" i="2"/>
  <c r="C9" i="2"/>
  <c r="AY13" i="2"/>
  <c r="BH12" i="2"/>
  <c r="AG15" i="2"/>
  <c r="BU7" i="2"/>
  <c r="BT12" i="2"/>
  <c r="BK10" i="2"/>
  <c r="AX3" i="2"/>
  <c r="AH4" i="2"/>
  <c r="BB15" i="2"/>
  <c r="BR6" i="2"/>
  <c r="BV8" i="2"/>
  <c r="N13" i="2"/>
  <c r="BK13" i="2"/>
  <c r="V17" i="2"/>
  <c r="Y6" i="2"/>
  <c r="AH9" i="2"/>
  <c r="BK5" i="2"/>
  <c r="AY5" i="2"/>
  <c r="AG6" i="2"/>
  <c r="K8" i="2"/>
  <c r="V18" i="2"/>
  <c r="X12" i="2"/>
  <c r="U5" i="2"/>
  <c r="W18" i="2"/>
  <c r="O7" i="2"/>
  <c r="BR18" i="2"/>
  <c r="F8" i="2"/>
  <c r="AF15" i="2"/>
  <c r="E7" i="2"/>
  <c r="BT11" i="2"/>
  <c r="V10" i="2"/>
  <c r="BK8" i="2"/>
  <c r="BB6" i="2"/>
  <c r="AN17" i="2"/>
  <c r="AO6" i="2"/>
  <c r="L17" i="2"/>
  <c r="AI16" i="2"/>
  <c r="E17" i="2"/>
  <c r="AZ4" i="2"/>
  <c r="N3" i="2"/>
  <c r="BT8" i="2"/>
  <c r="BA4" i="2"/>
  <c r="AE7" i="2"/>
  <c r="M11" i="2"/>
  <c r="BH7" i="2"/>
  <c r="AQ12" i="2"/>
  <c r="BV16" i="2"/>
  <c r="BU17" i="2"/>
  <c r="B9" i="2"/>
  <c r="BV12" i="2"/>
  <c r="BU16" i="2"/>
  <c r="AN5" i="2"/>
  <c r="AH16" i="2"/>
  <c r="M4" i="2"/>
  <c r="BL7" i="2"/>
  <c r="AQ13" i="2"/>
  <c r="C17" i="2"/>
  <c r="F4" i="2"/>
  <c r="AI12" i="2"/>
  <c r="X6" i="2"/>
  <c r="BL8" i="2"/>
  <c r="AE14" i="2"/>
  <c r="F9" i="2"/>
  <c r="L16" i="2"/>
  <c r="AI7" i="2"/>
  <c r="K16" i="2"/>
  <c r="AZ9" i="2"/>
  <c r="W13" i="2"/>
  <c r="AP10" i="2"/>
  <c r="AZ11" i="2"/>
  <c r="K3" i="2"/>
  <c r="AP16" i="2"/>
  <c r="BU15" i="2"/>
  <c r="D5" i="2"/>
  <c r="C16" i="2"/>
  <c r="N16" i="2"/>
  <c r="AY18" i="2"/>
  <c r="BS6" i="2"/>
  <c r="AX11" i="2"/>
  <c r="AI11" i="2"/>
  <c r="BS10" i="2"/>
  <c r="AH14" i="2"/>
  <c r="BH17" i="2"/>
  <c r="K13" i="2"/>
  <c r="BT4" i="2"/>
  <c r="AI15" i="2"/>
  <c r="AE4" i="2"/>
  <c r="AR9" i="2"/>
  <c r="BH13" i="2"/>
  <c r="V3" i="2"/>
  <c r="BB12" i="2"/>
  <c r="AH18" i="2"/>
  <c r="U15" i="2"/>
  <c r="W7" i="2"/>
  <c r="L8" i="2"/>
  <c r="E5" i="2"/>
  <c r="L7" i="2"/>
  <c r="K17" i="2"/>
  <c r="BS3" i="2"/>
  <c r="BR12" i="2"/>
  <c r="BH4" i="2"/>
  <c r="BA11" i="2"/>
  <c r="BJ9" i="2"/>
  <c r="AF11" i="2"/>
  <c r="BB8" i="2"/>
  <c r="O18" i="2"/>
  <c r="N15" i="2"/>
  <c r="AF4" i="2"/>
  <c r="AX4" i="2"/>
  <c r="BS8" i="2"/>
  <c r="N18" i="2"/>
  <c r="BT14" i="2"/>
  <c r="BT16" i="2"/>
  <c r="Y14" i="2"/>
  <c r="AY7" i="2"/>
  <c r="N9" i="2"/>
  <c r="BS9" i="2"/>
  <c r="BK14" i="2"/>
  <c r="AP4" i="2"/>
  <c r="AZ15" i="2"/>
  <c r="BT15" i="2"/>
  <c r="F3" i="2"/>
  <c r="M16" i="2"/>
  <c r="BI9" i="2"/>
  <c r="BU10" i="2"/>
  <c r="AR3" i="2"/>
  <c r="AG14" i="2"/>
  <c r="M15" i="2"/>
  <c r="AY12" i="2"/>
  <c r="AN16" i="2"/>
  <c r="BV11" i="2"/>
  <c r="AG11" i="2"/>
  <c r="AG4" i="2"/>
  <c r="BK7" i="2"/>
  <c r="AQ4" i="2"/>
  <c r="V8" i="2"/>
  <c r="AP3" i="2"/>
  <c r="AH3" i="2"/>
  <c r="Y5" i="2"/>
  <c r="X5" i="2"/>
  <c r="K11" i="2"/>
  <c r="AI13" i="2"/>
  <c r="BU18" i="2"/>
  <c r="BI12" i="2"/>
  <c r="BH11" i="2"/>
  <c r="AP9" i="2"/>
  <c r="BI13" i="2"/>
  <c r="X11" i="2"/>
  <c r="AO9" i="2"/>
  <c r="AI9" i="2"/>
  <c r="BB9" i="2"/>
  <c r="F5" i="2"/>
  <c r="V6" i="2"/>
  <c r="Y11" i="2"/>
  <c r="AQ14" i="2"/>
  <c r="AP15" i="2"/>
  <c r="AR13" i="2"/>
  <c r="AY6" i="2"/>
  <c r="U8" i="2"/>
  <c r="BH16" i="2"/>
  <c r="D7" i="2"/>
  <c r="Y16" i="2"/>
  <c r="AO15" i="2"/>
  <c r="N8" i="2"/>
  <c r="BL13" i="2"/>
  <c r="U12" i="2"/>
  <c r="U16" i="2"/>
  <c r="BV17" i="2"/>
  <c r="BK3" i="2"/>
  <c r="AE11" i="2"/>
  <c r="BI16" i="2"/>
  <c r="D6" i="2"/>
  <c r="AE18" i="2"/>
  <c r="V14" i="2"/>
  <c r="C4" i="2"/>
  <c r="AZ14" i="2"/>
  <c r="BJ13" i="2"/>
  <c r="D17" i="2"/>
  <c r="AY4" i="2"/>
  <c r="D16" i="2"/>
  <c r="C5" i="2"/>
  <c r="C7" i="2"/>
  <c r="BT5" i="2"/>
  <c r="BL16" i="2"/>
  <c r="M10" i="2"/>
  <c r="BR8" i="2"/>
  <c r="AX9" i="2"/>
  <c r="BB5" i="2"/>
  <c r="AZ16" i="2"/>
  <c r="BH18" i="2"/>
  <c r="E8" i="2"/>
  <c r="F15" i="2"/>
  <c r="X15" i="2"/>
  <c r="AF5" i="2"/>
  <c r="X10" i="2"/>
  <c r="N6" i="2"/>
  <c r="AN18" i="2"/>
  <c r="Y4" i="2"/>
  <c r="BL15" i="2"/>
  <c r="BB10" i="2"/>
  <c r="L6" i="2"/>
  <c r="BB18" i="2"/>
  <c r="F18" i="2"/>
  <c r="B8" i="2"/>
  <c r="BL18" i="2"/>
  <c r="AQ5" i="2"/>
  <c r="AR11" i="2"/>
  <c r="AR8" i="2"/>
  <c r="AO16" i="2"/>
  <c r="AN12" i="2"/>
  <c r="BS18" i="2"/>
  <c r="BV7" i="2"/>
  <c r="BA3" i="2"/>
  <c r="O10" i="2"/>
  <c r="BH9" i="2"/>
  <c r="N14" i="2"/>
  <c r="AG13" i="2"/>
  <c r="X14" i="2"/>
  <c r="X9" i="2"/>
  <c r="AP17" i="2"/>
  <c r="AE13" i="2"/>
  <c r="AI3" i="2"/>
  <c r="BT18" i="2"/>
  <c r="Y7" i="2"/>
  <c r="BA9" i="2"/>
  <c r="L11" i="2"/>
  <c r="BA14" i="2"/>
  <c r="Y17" i="2"/>
  <c r="E4" i="2"/>
  <c r="BS4" i="2"/>
  <c r="BT13" i="2"/>
  <c r="B11" i="2"/>
  <c r="AZ6" i="2"/>
  <c r="BI11" i="2"/>
  <c r="AR16" i="2"/>
  <c r="K14" i="2"/>
  <c r="W3" i="2"/>
  <c r="O8" i="2"/>
  <c r="BI6" i="2"/>
  <c r="V15" i="2"/>
  <c r="AZ12" i="2"/>
  <c r="AH8" i="2"/>
  <c r="BR17" i="2"/>
  <c r="L13" i="2"/>
  <c r="F13" i="2"/>
  <c r="AI8" i="2"/>
  <c r="AO12" i="2"/>
  <c r="W14" i="2"/>
  <c r="AH6" i="2"/>
  <c r="BH10" i="2"/>
  <c r="AQ18" i="2"/>
  <c r="BA18" i="2"/>
  <c r="AG3" i="2"/>
  <c r="K12" i="2"/>
  <c r="AG16" i="2"/>
  <c r="N11" i="2"/>
  <c r="D10" i="2"/>
  <c r="AY10" i="2"/>
  <c r="C18" i="2"/>
  <c r="BV3" i="2"/>
  <c r="BS7" i="2"/>
  <c r="D15" i="2"/>
  <c r="W10" i="2"/>
  <c r="BV15" i="2"/>
  <c r="E13" i="2"/>
  <c r="AO8" i="2"/>
  <c r="O16" i="2"/>
  <c r="B3" i="2"/>
  <c r="E14" i="2"/>
  <c r="AY15" i="2"/>
  <c r="AP14" i="2"/>
  <c r="BI5" i="2"/>
  <c r="AR4" i="2"/>
  <c r="BU3" i="2"/>
  <c r="BJ7" i="2"/>
  <c r="M8" i="2"/>
  <c r="M6" i="2"/>
  <c r="V7" i="2"/>
  <c r="K4" i="2"/>
  <c r="BT3" i="2"/>
  <c r="L4" i="2"/>
  <c r="AN8" i="2"/>
  <c r="BI4" i="2"/>
  <c r="B17" i="2"/>
  <c r="X17" i="2"/>
  <c r="BJ6" i="2"/>
  <c r="BU14" i="2"/>
  <c r="L18" i="2"/>
  <c r="BH14" i="2"/>
  <c r="BU4" i="2"/>
  <c r="BI18" i="2"/>
  <c r="O12" i="2"/>
  <c r="L9" i="2"/>
  <c r="AF3" i="2"/>
  <c r="D13" i="2"/>
  <c r="AI5" i="2"/>
  <c r="C11" i="2"/>
  <c r="N7" i="2"/>
  <c r="AY16" i="2"/>
  <c r="AG7" i="2"/>
  <c r="O5" i="2"/>
  <c r="BL12" i="2"/>
  <c r="W4" i="2"/>
  <c r="AP18" i="2"/>
  <c r="BS12" i="2"/>
  <c r="BI14" i="2"/>
  <c r="AQ10" i="2"/>
  <c r="BV4" i="2"/>
  <c r="AF16" i="2"/>
  <c r="W15" i="2"/>
  <c r="L3" i="2"/>
  <c r="BJ8" i="2"/>
  <c r="BJ11" i="2"/>
  <c r="AP7" i="2"/>
  <c r="BU8" i="2"/>
  <c r="BT6" i="2"/>
  <c r="AO7" i="2"/>
  <c r="BU6" i="2"/>
  <c r="AR15" i="2"/>
  <c r="BL14" i="2"/>
  <c r="AN9" i="2"/>
  <c r="BB7" i="2"/>
  <c r="AR17" i="2"/>
  <c r="B12" i="2"/>
  <c r="BT9" i="2"/>
  <c r="BK17" i="2"/>
  <c r="E6" i="2"/>
  <c r="X18" i="2"/>
  <c r="AI10" i="2"/>
  <c r="AZ5" i="2"/>
  <c r="X3" i="2"/>
  <c r="C15" i="2"/>
  <c r="X13" i="2"/>
  <c r="BB16" i="2"/>
  <c r="AH15" i="2"/>
  <c r="AE12" i="2"/>
  <c r="BI8" i="2"/>
  <c r="O9" i="2"/>
  <c r="BH15" i="2"/>
  <c r="BH8" i="2"/>
  <c r="BK11" i="2"/>
  <c r="BL3" i="2"/>
  <c r="BJ12" i="2"/>
  <c r="W12" i="2"/>
  <c r="AZ7" i="2"/>
  <c r="D8" i="2"/>
  <c r="M17" i="2"/>
  <c r="AX7" i="2"/>
  <c r="BL10" i="2"/>
  <c r="AG5" i="2"/>
  <c r="N5" i="2"/>
  <c r="L10" i="2"/>
  <c r="AH12" i="2"/>
  <c r="W17" i="2"/>
  <c r="B16" i="2"/>
  <c r="C6" i="2"/>
  <c r="AI18" i="2"/>
  <c r="AO4" i="2"/>
  <c r="BR13" i="2"/>
  <c r="BV9" i="2"/>
  <c r="B15" i="2"/>
  <c r="AN4" i="2"/>
  <c r="AQ3" i="2"/>
  <c r="B7" i="2"/>
  <c r="BJ5" i="2"/>
  <c r="F11" i="2"/>
  <c r="D9" i="2"/>
  <c r="BA15" i="2"/>
  <c r="AF7" i="2"/>
  <c r="V9" i="2"/>
  <c r="AH11" i="2"/>
  <c r="BU9" i="2"/>
  <c r="E10" i="2"/>
  <c r="K7" i="2"/>
  <c r="V13" i="2"/>
  <c r="BB11" i="2"/>
  <c r="N4" i="2"/>
  <c r="AO18" i="2"/>
  <c r="F7" i="2"/>
  <c r="AG10" i="2"/>
  <c r="AP5" i="2"/>
  <c r="BL4" i="2"/>
  <c r="AN15" i="2"/>
  <c r="K6" i="2"/>
  <c r="AF13" i="2"/>
  <c r="M14" i="2"/>
  <c r="AZ13" i="2"/>
  <c r="W9" i="2"/>
  <c r="E3" i="2"/>
  <c r="K9" i="2"/>
  <c r="M13" i="2"/>
  <c r="B18" i="2"/>
  <c r="AG9" i="2"/>
  <c r="BV18" i="2"/>
  <c r="C8" i="2"/>
  <c r="F6" i="2"/>
  <c r="C3" i="2"/>
  <c r="BL17" i="2"/>
  <c r="F12" i="2"/>
  <c r="F16" i="2"/>
  <c r="BR9" i="2"/>
  <c r="AO13" i="2"/>
  <c r="BA8" i="2"/>
  <c r="L14" i="2"/>
  <c r="BL5" i="2"/>
  <c r="AI14" i="2"/>
  <c r="BR5" i="2"/>
  <c r="X4" i="2"/>
  <c r="AI4" i="2"/>
  <c r="BJ18" i="2"/>
  <c r="AI6" i="2"/>
  <c r="AE8" i="2"/>
  <c r="AN10" i="2"/>
  <c r="N12" i="2"/>
  <c r="O3" i="2"/>
  <c r="AX17" i="2"/>
  <c r="AI17" i="2"/>
  <c r="Y8" i="2"/>
  <c r="BB3" i="2"/>
  <c r="V4" i="2"/>
  <c r="AG8" i="2"/>
  <c r="AG17" i="2"/>
  <c r="BR10" i="2"/>
  <c r="AQ11" i="2"/>
  <c r="N17" i="2"/>
  <c r="BK16" i="2"/>
  <c r="AO11" i="2"/>
  <c r="BI10" i="2"/>
  <c r="AG18" i="2"/>
  <c r="D18" i="2"/>
  <c r="AN7" i="2"/>
  <c r="AP13" i="2"/>
  <c r="AY11" i="2"/>
  <c r="BA12" i="2"/>
  <c r="M12" i="2"/>
  <c r="AF14" i="2"/>
  <c r="BI7" i="2"/>
  <c r="K5" i="2"/>
  <c r="U13" i="2"/>
  <c r="L12" i="2"/>
  <c r="AY9" i="2"/>
  <c r="BB14" i="2"/>
  <c r="Y15" i="2"/>
  <c r="BJ16" i="2"/>
  <c r="M5" i="2"/>
  <c r="X8" i="2"/>
  <c r="AH5" i="2"/>
  <c r="BU5" i="2"/>
  <c r="AQ9" i="2"/>
  <c r="BB4" i="2"/>
  <c r="BR7" i="2"/>
  <c r="AR5" i="2"/>
  <c r="BK12" i="2"/>
  <c r="BB17" i="2"/>
  <c r="BA5" i="2"/>
  <c r="AR6" i="2"/>
  <c r="C12" i="2"/>
  <c r="AE5" i="2"/>
  <c r="B13" i="2"/>
  <c r="B14" i="2"/>
  <c r="Y10" i="2"/>
  <c r="Y12" i="2"/>
  <c r="AY8" i="2"/>
  <c r="BV13" i="2"/>
  <c r="E16" i="2"/>
  <c r="O13" i="2"/>
  <c r="AP12" i="2"/>
  <c r="AR12" i="2"/>
  <c r="BK15" i="2"/>
  <c r="AP11" i="2"/>
  <c r="BR14" i="2"/>
  <c r="BJ17" i="2"/>
  <c r="F14" i="2"/>
  <c r="BK18" i="2"/>
  <c r="BS5" i="2"/>
  <c r="BK4" i="2"/>
  <c r="BR15" i="2"/>
  <c r="BA17" i="2"/>
  <c r="M9" i="2"/>
  <c r="Y9" i="2"/>
  <c r="AQ16" i="2"/>
  <c r="E12" i="2"/>
  <c r="AE6" i="2"/>
  <c r="O17" i="2"/>
  <c r="Y13" i="2"/>
  <c r="BA10" i="2"/>
  <c r="K18" i="2"/>
  <c r="E9" i="2"/>
  <c r="AE16" i="2"/>
  <c r="AP6" i="2"/>
  <c r="AQ7" i="2"/>
  <c r="AX18" i="2"/>
  <c r="AF9" i="2"/>
  <c r="AQ17" i="2"/>
  <c r="U17" i="2"/>
  <c r="BJ15" i="2"/>
  <c r="AX12" i="2"/>
  <c r="BS13" i="2"/>
  <c r="AN3" i="2"/>
  <c r="AZ10" i="2"/>
  <c r="C13" i="2"/>
  <c r="BS17" i="2"/>
  <c r="O14" i="2"/>
  <c r="BA6" i="2"/>
  <c r="U10" i="2"/>
  <c r="AX14" i="2"/>
  <c r="BV14" i="2"/>
  <c r="K15" i="2"/>
  <c r="AE15" i="2"/>
  <c r="BV10" i="2"/>
  <c r="BU11" i="2"/>
  <c r="AR10" i="2"/>
  <c r="F10" i="2"/>
  <c r="BT10" i="2"/>
  <c r="AE17" i="2"/>
  <c r="BV5" i="2"/>
  <c r="AZ18" i="2"/>
  <c r="AY14" i="2"/>
  <c r="O15" i="2"/>
  <c r="AH13" i="2"/>
  <c r="BB13" i="2"/>
  <c r="U11" i="2"/>
  <c r="BH6" i="2"/>
  <c r="C14" i="2"/>
  <c r="AE9" i="2"/>
  <c r="O11" i="2"/>
  <c r="BY15" i="2" l="1"/>
  <c r="BY14" i="2"/>
  <c r="BY7" i="2"/>
  <c r="BY10" i="2"/>
  <c r="BY5" i="2"/>
  <c r="BY9" i="2"/>
  <c r="BY13" i="2"/>
  <c r="BY17" i="2"/>
  <c r="BY8" i="2"/>
  <c r="BY12" i="2"/>
  <c r="BY18" i="2"/>
  <c r="BY6" i="2"/>
  <c r="BY16" i="2"/>
  <c r="BY11" i="2"/>
  <c r="BY4" i="2"/>
  <c r="BY3" i="2"/>
  <c r="BO6" i="2"/>
  <c r="BO8" i="2"/>
  <c r="BO15" i="2"/>
  <c r="BO14" i="2"/>
  <c r="BO10" i="2"/>
  <c r="BO9" i="2"/>
  <c r="BO18" i="2"/>
  <c r="BO16" i="2"/>
  <c r="BO11" i="2"/>
  <c r="BO4" i="2"/>
  <c r="BO13" i="2"/>
  <c r="BO17" i="2"/>
  <c r="BO7" i="2"/>
  <c r="BO12" i="2"/>
  <c r="BO5" i="2"/>
  <c r="BO3" i="2"/>
  <c r="BE14" i="2"/>
  <c r="BE12" i="2"/>
  <c r="BE18" i="2"/>
  <c r="BE17" i="2"/>
  <c r="BE7" i="2"/>
  <c r="BE9" i="2"/>
  <c r="BE4" i="2"/>
  <c r="BE11" i="2"/>
  <c r="BE16" i="2"/>
  <c r="BE5" i="2"/>
  <c r="BE15" i="2"/>
  <c r="BE8" i="2"/>
  <c r="BE10" i="2"/>
  <c r="BE13" i="2"/>
  <c r="BE6" i="2"/>
  <c r="BE3" i="2"/>
  <c r="AU7" i="2"/>
  <c r="AU10" i="2"/>
  <c r="AU15" i="2"/>
  <c r="AU4" i="2"/>
  <c r="AU9" i="2"/>
  <c r="AU8" i="2"/>
  <c r="AU12" i="2"/>
  <c r="AU18" i="2"/>
  <c r="AU16" i="2"/>
  <c r="AU5" i="2"/>
  <c r="AU17" i="2"/>
  <c r="AU13" i="2"/>
  <c r="AU14" i="2"/>
  <c r="AU6" i="2"/>
  <c r="AU11" i="2"/>
  <c r="AU3" i="2"/>
  <c r="AK9" i="2"/>
  <c r="AK17" i="2"/>
  <c r="AK15" i="2"/>
  <c r="AK16" i="2"/>
  <c r="AK6" i="2"/>
  <c r="AK5" i="2"/>
  <c r="AK8" i="2"/>
  <c r="AK12" i="2"/>
  <c r="AK13" i="2"/>
  <c r="AK18" i="2"/>
  <c r="AK11" i="2"/>
  <c r="AK4" i="2"/>
  <c r="AK14" i="2"/>
  <c r="AK7" i="2"/>
  <c r="AK10" i="2"/>
  <c r="AK3" i="2"/>
  <c r="Z11" i="2"/>
  <c r="C11" i="5" s="1"/>
  <c r="Z10" i="2"/>
  <c r="C9" i="5" s="1"/>
  <c r="Z17" i="2"/>
  <c r="C15" i="5" s="1"/>
  <c r="Z13" i="2"/>
  <c r="C4" i="5" s="1"/>
  <c r="Z16" i="2"/>
  <c r="C19" i="5" s="1"/>
  <c r="Z12" i="2"/>
  <c r="C14" i="5" s="1"/>
  <c r="Z8" i="2"/>
  <c r="C6" i="5" s="1"/>
  <c r="Z15" i="2"/>
  <c r="C10" i="5" s="1"/>
  <c r="Z5" i="2"/>
  <c r="C16" i="5" s="1"/>
  <c r="Z9" i="2"/>
  <c r="C12" i="5" s="1"/>
  <c r="Z14" i="2"/>
  <c r="C8" i="5" s="1"/>
  <c r="Z4" i="2"/>
  <c r="C7" i="5" s="1"/>
  <c r="Z6" i="2"/>
  <c r="C13" i="5" s="1"/>
  <c r="Z18" i="2"/>
  <c r="C18" i="5" s="1"/>
  <c r="Z7" i="2"/>
  <c r="C17" i="5" s="1"/>
  <c r="Z3" i="2"/>
  <c r="C5" i="5" s="1"/>
  <c r="P15" i="2"/>
  <c r="D10" i="5" s="1"/>
  <c r="P18" i="2"/>
  <c r="D18" i="5" s="1"/>
  <c r="P5" i="2"/>
  <c r="D16" i="5" s="1"/>
  <c r="P9" i="2"/>
  <c r="D12" i="5" s="1"/>
  <c r="P6" i="2"/>
  <c r="D13" i="5" s="1"/>
  <c r="P7" i="2"/>
  <c r="D17" i="5" s="1"/>
  <c r="P4" i="2"/>
  <c r="D7" i="5" s="1"/>
  <c r="P12" i="2"/>
  <c r="D14" i="5" s="1"/>
  <c r="P14" i="2"/>
  <c r="D8" i="5" s="1"/>
  <c r="P11" i="2"/>
  <c r="D11" i="5" s="1"/>
  <c r="P17" i="2"/>
  <c r="D15" i="5" s="1"/>
  <c r="P13" i="2"/>
  <c r="D4" i="5" s="1"/>
  <c r="P16" i="2"/>
  <c r="D19" i="5" s="1"/>
  <c r="P8" i="2"/>
  <c r="D6" i="5" s="1"/>
  <c r="P10" i="2"/>
  <c r="D9" i="5" s="1"/>
  <c r="P3" i="2"/>
  <c r="D5" i="5" s="1"/>
  <c r="AJ9" i="2"/>
  <c r="G11" i="4" s="1"/>
  <c r="BN6" i="2"/>
  <c r="AA11" i="2"/>
  <c r="E10" i="4" s="1"/>
  <c r="D10" i="4" s="1"/>
  <c r="AJ17" i="2"/>
  <c r="G14" i="4" s="1"/>
  <c r="AJ15" i="2"/>
  <c r="G9" i="4" s="1"/>
  <c r="Q15" i="2"/>
  <c r="F9" i="4" s="1"/>
  <c r="BD14" i="2"/>
  <c r="AA10" i="2"/>
  <c r="E8" i="4" s="1"/>
  <c r="D8" i="4" s="1"/>
  <c r="AT3" i="2"/>
  <c r="BD12" i="2"/>
  <c r="AA17" i="2"/>
  <c r="E14" i="4" s="1"/>
  <c r="D14" i="4" s="1"/>
  <c r="BD18" i="2"/>
  <c r="AJ16" i="2"/>
  <c r="G18" i="4" s="1"/>
  <c r="Q18" i="2"/>
  <c r="F17" i="4" s="1"/>
  <c r="AJ6" i="2"/>
  <c r="G12" i="4" s="1"/>
  <c r="BX15" i="2"/>
  <c r="BX14" i="2"/>
  <c r="G14" i="2"/>
  <c r="C7" i="4" s="1"/>
  <c r="G13" i="2"/>
  <c r="C3" i="4" s="1"/>
  <c r="AJ5" i="2"/>
  <c r="G15" i="4" s="1"/>
  <c r="BX7" i="2"/>
  <c r="AA13" i="2"/>
  <c r="E3" i="4" s="1"/>
  <c r="D3" i="4" s="1"/>
  <c r="Q5" i="2"/>
  <c r="F15" i="4" s="1"/>
  <c r="AT7" i="2"/>
  <c r="BX10" i="2"/>
  <c r="BD17" i="2"/>
  <c r="AT10" i="2"/>
  <c r="AJ8" i="2"/>
  <c r="G5" i="4" s="1"/>
  <c r="BX5" i="2"/>
  <c r="BX9" i="2"/>
  <c r="G18" i="2"/>
  <c r="C17" i="4" s="1"/>
  <c r="Q9" i="2"/>
  <c r="F11" i="4" s="1"/>
  <c r="Q6" i="2"/>
  <c r="F12" i="4" s="1"/>
  <c r="AT15" i="2"/>
  <c r="Q7" i="2"/>
  <c r="F16" i="4" s="1"/>
  <c r="G7" i="2"/>
  <c r="C16" i="4" s="1"/>
  <c r="AT4" i="2"/>
  <c r="G15" i="2"/>
  <c r="C9" i="4" s="1"/>
  <c r="BX13" i="2"/>
  <c r="G16" i="2"/>
  <c r="C18" i="4" s="1"/>
  <c r="BD7" i="2"/>
  <c r="BN8" i="2"/>
  <c r="BN15" i="2"/>
  <c r="AJ12" i="2"/>
  <c r="G13" i="4" s="1"/>
  <c r="G12" i="2"/>
  <c r="C13" i="4" s="1"/>
  <c r="AT9" i="2"/>
  <c r="BN14" i="2"/>
  <c r="G17" i="2"/>
  <c r="C14" i="4" s="1"/>
  <c r="AT8" i="2"/>
  <c r="Q4" i="2"/>
  <c r="F6" i="4" s="1"/>
  <c r="G3" i="2"/>
  <c r="C4" i="4" s="1"/>
  <c r="Q12" i="2"/>
  <c r="F13" i="4" s="1"/>
  <c r="BN10" i="2"/>
  <c r="BX17" i="2"/>
  <c r="Q14" i="2"/>
  <c r="F7" i="4" s="1"/>
  <c r="G11" i="2"/>
  <c r="C10" i="4" s="1"/>
  <c r="AJ13" i="2"/>
  <c r="G3" i="4" s="1"/>
  <c r="BN9" i="2"/>
  <c r="AT12" i="2"/>
  <c r="G8" i="2"/>
  <c r="C5" i="4" s="1"/>
  <c r="AT18" i="2"/>
  <c r="BN18" i="2"/>
  <c r="BD9" i="2"/>
  <c r="BX8" i="2"/>
  <c r="AJ18" i="2"/>
  <c r="G17" i="4" s="1"/>
  <c r="AJ11" i="2"/>
  <c r="G10" i="4" s="1"/>
  <c r="AA16" i="2"/>
  <c r="E18" i="4" s="1"/>
  <c r="D18" i="4" s="1"/>
  <c r="AA12" i="2"/>
  <c r="E13" i="4" s="1"/>
  <c r="D13" i="4" s="1"/>
  <c r="BN16" i="2"/>
  <c r="AA8" i="2"/>
  <c r="E5" i="4" s="1"/>
  <c r="D5" i="4" s="1"/>
  <c r="BN11" i="2"/>
  <c r="Q11" i="2"/>
  <c r="F10" i="4" s="1"/>
  <c r="AT16" i="2"/>
  <c r="BD4" i="2"/>
  <c r="BN4" i="2"/>
  <c r="BX12" i="2"/>
  <c r="Q17" i="2"/>
  <c r="F14" i="4" s="1"/>
  <c r="AA15" i="2"/>
  <c r="E9" i="4" s="1"/>
  <c r="D9" i="4" s="1"/>
  <c r="BN13" i="2"/>
  <c r="AJ4" i="2"/>
  <c r="G6" i="4" s="1"/>
  <c r="Q13" i="2"/>
  <c r="F3" i="4" s="1"/>
  <c r="BN17" i="2"/>
  <c r="BD11" i="2"/>
  <c r="Q3" i="2"/>
  <c r="F4" i="4" s="1"/>
  <c r="Q16" i="2"/>
  <c r="F18" i="4" s="1"/>
  <c r="AJ14" i="2"/>
  <c r="G7" i="4" s="1"/>
  <c r="AT5" i="2"/>
  <c r="G9" i="2"/>
  <c r="C11" i="4" s="1"/>
  <c r="BN7" i="2"/>
  <c r="AJ7" i="2"/>
  <c r="G16" i="4" s="1"/>
  <c r="AT17" i="2"/>
  <c r="BX18" i="2"/>
  <c r="AA5" i="2"/>
  <c r="E15" i="4" s="1"/>
  <c r="D15" i="4" s="1"/>
  <c r="Q8" i="2"/>
  <c r="F5" i="4" s="1"/>
  <c r="BX6" i="2"/>
  <c r="BD3" i="2"/>
  <c r="BN12" i="2"/>
  <c r="G5" i="2"/>
  <c r="C15" i="4" s="1"/>
  <c r="BD16" i="2"/>
  <c r="AA9" i="2"/>
  <c r="E11" i="4" s="1"/>
  <c r="D11" i="4" s="1"/>
  <c r="BD5" i="2"/>
  <c r="AA14" i="2"/>
  <c r="E7" i="4" s="1"/>
  <c r="D7" i="4" s="1"/>
  <c r="BX3" i="2"/>
  <c r="G10" i="2"/>
  <c r="C8" i="4" s="1"/>
  <c r="BD15" i="2"/>
  <c r="Q10" i="2"/>
  <c r="F8" i="4" s="1"/>
  <c r="BD8" i="2"/>
  <c r="AT13" i="2"/>
  <c r="AA4" i="2"/>
  <c r="E6" i="4" s="1"/>
  <c r="D6" i="4" s="1"/>
  <c r="BN5" i="2"/>
  <c r="BX16" i="2"/>
  <c r="G4" i="2"/>
  <c r="C6" i="4" s="1"/>
  <c r="BX11" i="2"/>
  <c r="BN3" i="2"/>
  <c r="AT14" i="2"/>
  <c r="BD10" i="2"/>
  <c r="AA6" i="2"/>
  <c r="E12" i="4" s="1"/>
  <c r="D12" i="4" s="1"/>
  <c r="AA3" i="2"/>
  <c r="E4" i="4" s="1"/>
  <c r="D4" i="4" s="1"/>
  <c r="AA18" i="2"/>
  <c r="E17" i="4" s="1"/>
  <c r="D17" i="4" s="1"/>
  <c r="AJ10" i="2"/>
  <c r="G8" i="4" s="1"/>
  <c r="AT6" i="2"/>
  <c r="BD13" i="2"/>
  <c r="BD6" i="2"/>
  <c r="AA7" i="2"/>
  <c r="E16" i="4" s="1"/>
  <c r="D16" i="4" s="1"/>
  <c r="G6" i="2"/>
  <c r="C12" i="4" s="1"/>
  <c r="AJ3" i="2"/>
  <c r="G4" i="4" s="1"/>
  <c r="AT11" i="2"/>
  <c r="BX4" i="2"/>
  <c r="H12" i="4" l="1"/>
  <c r="AS6" i="2"/>
  <c r="E13" i="5" s="1"/>
  <c r="H18" i="4"/>
  <c r="AS16" i="2"/>
  <c r="E19" i="5" s="1"/>
  <c r="H5" i="4"/>
  <c r="AS8" i="2"/>
  <c r="E6" i="5" s="1"/>
  <c r="H16" i="4"/>
  <c r="AS7" i="2"/>
  <c r="E17" i="5" s="1"/>
  <c r="H7" i="4"/>
  <c r="AS14" i="2"/>
  <c r="E8" i="5" s="1"/>
  <c r="H11" i="4"/>
  <c r="AS9" i="2"/>
  <c r="E12" i="5" s="1"/>
  <c r="H10" i="4"/>
  <c r="AS11" i="2"/>
  <c r="E11" i="5" s="1"/>
  <c r="H15" i="4"/>
  <c r="AS5" i="2"/>
  <c r="E16" i="5" s="1"/>
  <c r="H17" i="4"/>
  <c r="AS18" i="2"/>
  <c r="E18" i="5" s="1"/>
  <c r="H6" i="4"/>
  <c r="AS4" i="2"/>
  <c r="E7" i="5" s="1"/>
  <c r="H3" i="4"/>
  <c r="AS13" i="2"/>
  <c r="E4" i="5" s="1"/>
  <c r="H14" i="4"/>
  <c r="AS17" i="2"/>
  <c r="E15" i="5" s="1"/>
  <c r="H13" i="4"/>
  <c r="AS12" i="2"/>
  <c r="E14" i="5" s="1"/>
  <c r="H8" i="4"/>
  <c r="AS10" i="2"/>
  <c r="E9" i="5" s="1"/>
  <c r="H9" i="4"/>
  <c r="AS15" i="2"/>
  <c r="E10" i="5" s="1"/>
  <c r="I8" i="4"/>
  <c r="BC10" i="2"/>
  <c r="F9" i="5" s="1"/>
  <c r="I9" i="4"/>
  <c r="BC15" i="2"/>
  <c r="F10" i="5" s="1"/>
  <c r="I16" i="4"/>
  <c r="BC7" i="2"/>
  <c r="F17" i="5" s="1"/>
  <c r="I11" i="4"/>
  <c r="BC9" i="2"/>
  <c r="F12" i="5" s="1"/>
  <c r="I7" i="4"/>
  <c r="BC14" i="2"/>
  <c r="F8" i="5" s="1"/>
  <c r="I12" i="4"/>
  <c r="BC6" i="2"/>
  <c r="F13" i="5" s="1"/>
  <c r="I18" i="4"/>
  <c r="BC16" i="2"/>
  <c r="F19" i="5" s="1"/>
  <c r="I15" i="4"/>
  <c r="BC5" i="2"/>
  <c r="F16" i="5" s="1"/>
  <c r="I17" i="4"/>
  <c r="BC18" i="2"/>
  <c r="F18" i="5" s="1"/>
  <c r="I10" i="4"/>
  <c r="BC11" i="2"/>
  <c r="F11" i="5" s="1"/>
  <c r="I14" i="4"/>
  <c r="BC17" i="2"/>
  <c r="F15" i="5" s="1"/>
  <c r="I13" i="4"/>
  <c r="BC12" i="2"/>
  <c r="F14" i="5" s="1"/>
  <c r="I5" i="4"/>
  <c r="BC8" i="2"/>
  <c r="F6" i="5" s="1"/>
  <c r="I3" i="4"/>
  <c r="BC13" i="2"/>
  <c r="F4" i="5" s="1"/>
  <c r="I6" i="4"/>
  <c r="BC4" i="2"/>
  <c r="F7" i="5" s="1"/>
  <c r="J14" i="4"/>
  <c r="BM17" i="2"/>
  <c r="G15" i="5" s="1"/>
  <c r="J11" i="4"/>
  <c r="BM9" i="2"/>
  <c r="G12" i="5" s="1"/>
  <c r="J5" i="4"/>
  <c r="BM8" i="2"/>
  <c r="G6" i="5" s="1"/>
  <c r="J12" i="4"/>
  <c r="BM6" i="2"/>
  <c r="G13" i="5" s="1"/>
  <c r="J13" i="4"/>
  <c r="BM12" i="2"/>
  <c r="G14" i="5" s="1"/>
  <c r="J16" i="4"/>
  <c r="BM7" i="2"/>
  <c r="G17" i="5" s="1"/>
  <c r="J7" i="4"/>
  <c r="BM14" i="2"/>
  <c r="G8" i="5" s="1"/>
  <c r="J3" i="4"/>
  <c r="BM13" i="2"/>
  <c r="G4" i="5" s="1"/>
  <c r="J10" i="4"/>
  <c r="BM11" i="2"/>
  <c r="G11" i="5" s="1"/>
  <c r="J15" i="4"/>
  <c r="BM5" i="2"/>
  <c r="G16" i="5" s="1"/>
  <c r="J17" i="4"/>
  <c r="BM18" i="2"/>
  <c r="G18" i="5" s="1"/>
  <c r="J18" i="4"/>
  <c r="BM16" i="2"/>
  <c r="G19" i="5" s="1"/>
  <c r="J8" i="4"/>
  <c r="BM10" i="2"/>
  <c r="G9" i="5" s="1"/>
  <c r="J6" i="4"/>
  <c r="BM4" i="2"/>
  <c r="G7" i="5" s="1"/>
  <c r="J9" i="4"/>
  <c r="BM15" i="2"/>
  <c r="G10" i="5" s="1"/>
  <c r="K8" i="4"/>
  <c r="BW10" i="2"/>
  <c r="H9" i="5" s="1"/>
  <c r="K7" i="4"/>
  <c r="BW14" i="2"/>
  <c r="H8" i="5" s="1"/>
  <c r="K6" i="4"/>
  <c r="BW4" i="2"/>
  <c r="H7" i="5" s="1"/>
  <c r="K5" i="4"/>
  <c r="BW8" i="2"/>
  <c r="H6" i="5" s="1"/>
  <c r="K9" i="4"/>
  <c r="BW15" i="2"/>
  <c r="H10" i="5" s="1"/>
  <c r="K17" i="4"/>
  <c r="BW18" i="2"/>
  <c r="H18" i="5" s="1"/>
  <c r="K13" i="4"/>
  <c r="BW12" i="2"/>
  <c r="H14" i="5" s="1"/>
  <c r="K18" i="4"/>
  <c r="BW16" i="2"/>
  <c r="H19" i="5" s="1"/>
  <c r="K12" i="4"/>
  <c r="BW6" i="2"/>
  <c r="H13" i="5" s="1"/>
  <c r="K3" i="4"/>
  <c r="BW13" i="2"/>
  <c r="H4" i="5" s="1"/>
  <c r="K14" i="4"/>
  <c r="BW17" i="2"/>
  <c r="H15" i="5" s="1"/>
  <c r="K11" i="4"/>
  <c r="BW9" i="2"/>
  <c r="H12" i="5" s="1"/>
  <c r="K15" i="4"/>
  <c r="BW5" i="2"/>
  <c r="H16" i="5" s="1"/>
  <c r="K16" i="4"/>
  <c r="BW7" i="2"/>
  <c r="H17" i="5" s="1"/>
  <c r="K10" i="4"/>
  <c r="BW11" i="2"/>
  <c r="H11" i="5" s="1"/>
  <c r="K4" i="4"/>
  <c r="BW3" i="2"/>
  <c r="H5" i="5" s="1"/>
  <c r="J4" i="4"/>
  <c r="BM3" i="2"/>
  <c r="G5" i="5" s="1"/>
  <c r="I4" i="4"/>
  <c r="BC3" i="2"/>
  <c r="F5" i="5" s="1"/>
  <c r="H4" i="4"/>
  <c r="AS3" i="2"/>
  <c r="E5" i="5" s="1"/>
</calcChain>
</file>

<file path=xl/sharedStrings.xml><?xml version="1.0" encoding="utf-8"?>
<sst xmlns="http://schemas.openxmlformats.org/spreadsheetml/2006/main" count="362" uniqueCount="97">
  <si>
    <t>Name</t>
  </si>
  <si>
    <t>#Wins</t>
  </si>
  <si>
    <t>TotalScore</t>
  </si>
  <si>
    <t>#Cooperations</t>
  </si>
  <si>
    <t>CooperationRating</t>
  </si>
  <si>
    <t>Fuzzy</t>
  </si>
  <si>
    <t>First by Stein and Rapoport</t>
  </si>
  <si>
    <t>First by Grofman</t>
  </si>
  <si>
    <t>Tit For Tat</t>
  </si>
  <si>
    <t>First by Nydegger</t>
  </si>
  <si>
    <t>First by Tideman and Chieruzzi</t>
  </si>
  <si>
    <t>First by Shubik</t>
  </si>
  <si>
    <t>Grudger</t>
  </si>
  <si>
    <t>First by Davis</t>
  </si>
  <si>
    <t>First by Graaskamp</t>
  </si>
  <si>
    <t>First by Downing</t>
  </si>
  <si>
    <t>First by Feld</t>
  </si>
  <si>
    <t>First by Joss</t>
  </si>
  <si>
    <t>First by Anonymous</t>
  </si>
  <si>
    <t>First by Tullock</t>
  </si>
  <si>
    <t>Random</t>
  </si>
  <si>
    <t>Rank</t>
  </si>
  <si>
    <t>Rank 1</t>
  </si>
  <si>
    <t>Rank 2</t>
  </si>
  <si>
    <t>Rank 3</t>
  </si>
  <si>
    <t>Rank 4</t>
  </si>
  <si>
    <t>Rank 5</t>
  </si>
  <si>
    <t>Wins 1</t>
  </si>
  <si>
    <t>Wins 2</t>
  </si>
  <si>
    <t>Wins 3</t>
  </si>
  <si>
    <t>Wins 4</t>
  </si>
  <si>
    <t>Wins 5</t>
  </si>
  <si>
    <t>Total Score 1</t>
  </si>
  <si>
    <t>Total Score 2</t>
  </si>
  <si>
    <t>Total Score 3</t>
  </si>
  <si>
    <t>Total Score 4</t>
  </si>
  <si>
    <t>Total Score 5</t>
  </si>
  <si>
    <t>Svi!$A$2:$I$17</t>
  </si>
  <si>
    <t>Svi!$A$20:$I$35</t>
  </si>
  <si>
    <t>Svi!$A$38:$I$53</t>
  </si>
  <si>
    <t>Svi!$A$56:$I$71</t>
  </si>
  <si>
    <t>Svi!$A$74:$I$89</t>
  </si>
  <si>
    <t>#Cooperations 1</t>
  </si>
  <si>
    <t>#Cooperations 2</t>
  </si>
  <si>
    <t>#Cooperations 3</t>
  </si>
  <si>
    <t>#Cooperations 4</t>
  </si>
  <si>
    <t>#Cooperations 5</t>
  </si>
  <si>
    <t>CoopRating 1</t>
  </si>
  <si>
    <t>CoopRating 2</t>
  </si>
  <si>
    <t>CoopRating 3</t>
  </si>
  <si>
    <t>CoopRating 4</t>
  </si>
  <si>
    <t>CoopRating 5</t>
  </si>
  <si>
    <t>GP Rating 1</t>
  </si>
  <si>
    <t>GP Rating 2</t>
  </si>
  <si>
    <t>GP Rating 3</t>
  </si>
  <si>
    <t>GP Rating 4</t>
  </si>
  <si>
    <t>GP Rating 5</t>
  </si>
  <si>
    <t>EJ Rating 1</t>
  </si>
  <si>
    <t>EJ Rating 2</t>
  </si>
  <si>
    <t>EJ Rating 3</t>
  </si>
  <si>
    <t>EJ Rating 4</t>
  </si>
  <si>
    <t>EJ Rating 5</t>
  </si>
  <si>
    <t>EM Rating 1</t>
  </si>
  <si>
    <t>EM Rating 2</t>
  </si>
  <si>
    <t>EM Rating 3</t>
  </si>
  <si>
    <t>EM Rating 4</t>
  </si>
  <si>
    <t>EM Rating 5</t>
  </si>
  <si>
    <t>Avg</t>
  </si>
  <si>
    <t>Cooperation Rating</t>
  </si>
  <si>
    <t>Good Partner Rating</t>
  </si>
  <si>
    <t>Avg. Score</t>
  </si>
  <si>
    <t>GoodPartnerRating</t>
  </si>
  <si>
    <t>EigenJesusRating</t>
  </si>
  <si>
    <t>EigenMosesRating</t>
  </si>
  <si>
    <t>Eigenjesus Rating</t>
  </si>
  <si>
    <t>Eigenmoses Rating</t>
  </si>
  <si>
    <t>SD</t>
  </si>
  <si>
    <t>sd</t>
  </si>
  <si>
    <t>Achievement</t>
  </si>
  <si>
    <t>Avg. Morality metrics</t>
  </si>
  <si>
    <t>Wins (%)</t>
  </si>
  <si>
    <t>Cooperation Rating (SD)</t>
  </si>
  <si>
    <t>Good Partner Rating (SD)</t>
  </si>
  <si>
    <t>Eigenjesus Rating (SD)</t>
  </si>
  <si>
    <t>Eigenmoses Rating (SD)</t>
  </si>
  <si>
    <t>Stein and Rapoport</t>
  </si>
  <si>
    <t>Grofman</t>
  </si>
  <si>
    <t>Shubik</t>
  </si>
  <si>
    <t>Tideman and Chieruzzi</t>
  </si>
  <si>
    <t>Nydegger</t>
  </si>
  <si>
    <t>Davis</t>
  </si>
  <si>
    <t>Graaskamp</t>
  </si>
  <si>
    <t>Downing</t>
  </si>
  <si>
    <t>Feld</t>
  </si>
  <si>
    <t>Joss</t>
  </si>
  <si>
    <t>Tullock</t>
  </si>
  <si>
    <t>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</si>
</sst>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R_S_D"/>
    <numFmt numFmtId="165" formatCode="#,##0.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/>
    <xf numFmtId="0" fontId="1" fillId="0" borderId="2" xfId="0" applyFont="1" applyBorder="1"/>
    <xf numFmtId="0" fontId="0" fillId="0" borderId="3" xfId="0" applyBorder="1" applyAlignment="1">
      <alignment wrapText="1"/>
    </xf>
    <xf numFmtId="2" fontId="0" fillId="0" borderId="0" xfId="0" applyNumberFormat="1"/>
    <xf numFmtId="2" fontId="0" fillId="0" borderId="2" xfId="0" applyNumberFormat="1" applyBorder="1"/>
    <xf numFmtId="164" fontId="0" fillId="0" borderId="0" xfId="0" applyNumberFormat="1"/>
    <xf numFmtId="164" fontId="0" fillId="0" borderId="2" xfId="0" applyNumberFormat="1" applyBorder="1"/>
    <xf numFmtId="165" fontId="0" fillId="0" borderId="0" xfId="0" applyNumberFormat="1"/>
    <xf numFmtId="165" fontId="0" fillId="0" borderId="2" xfId="0" applyNumberFormat="1" applyBorder="1"/>
    <xf numFmtId="166" fontId="0" fillId="0" borderId="0" xfId="0" applyNumberFormat="1"/>
    <xf numFmtId="166" fontId="0" fillId="0" borderId="2" xfId="0" applyNumberFormat="1" applyBorder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0" fillId="0" borderId="3" xfId="0" applyBorder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0" xfId="0" applyBorder="1"/>
    <xf numFmtId="2" fontId="0" fillId="0" borderId="0" xfId="0" applyNumberFormat="1" applyBorder="1"/>
    <xf numFmtId="0" fontId="1" fillId="0" borderId="0" xfId="0" applyFont="1" applyFill="1" applyBorder="1"/>
    <xf numFmtId="0" fontId="1" fillId="0" borderId="0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0" fontId="4" fillId="0" borderId="0" xfId="1" applyNumberFormat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2" fontId="4" fillId="0" borderId="2" xfId="0" applyNumberFormat="1" applyFont="1" applyBorder="1" applyAlignment="1">
      <alignment horizontal="center" vertical="center"/>
    </xf>
    <xf numFmtId="10" fontId="4" fillId="0" borderId="2" xfId="1" applyNumberFormat="1" applyFont="1" applyBorder="1" applyAlignment="1">
      <alignment horizontal="center" vertical="center"/>
    </xf>
    <xf numFmtId="2" fontId="4" fillId="0" borderId="7" xfId="1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0E65-7220-4FF6-AB4D-1033ADF00315}">
  <dimension ref="B2:H19"/>
  <sheetViews>
    <sheetView tabSelected="1" workbookViewId="0">
      <selection activeCell="D20" sqref="D20"/>
    </sheetView>
  </sheetViews>
  <sheetFormatPr defaultRowHeight="15" x14ac:dyDescent="0.25"/>
  <cols>
    <col min="2" max="2" width="21.42578125" bestFit="1" customWidth="1"/>
    <col min="5" max="5" width="17.5703125" customWidth="1"/>
    <col min="6" max="6" width="13.28515625" customWidth="1"/>
    <col min="7" max="7" width="13.140625" customWidth="1"/>
    <col min="8" max="8" width="14.42578125" customWidth="1"/>
  </cols>
  <sheetData>
    <row r="2" spans="2:8" x14ac:dyDescent="0.25">
      <c r="B2" s="16"/>
      <c r="C2" s="24" t="s">
        <v>78</v>
      </c>
      <c r="D2" s="25"/>
      <c r="E2" s="26" t="s">
        <v>79</v>
      </c>
      <c r="F2" s="24"/>
      <c r="G2" s="24"/>
      <c r="H2" s="24"/>
    </row>
    <row r="3" spans="2:8" ht="60" x14ac:dyDescent="0.25">
      <c r="B3" s="27" t="s">
        <v>0</v>
      </c>
      <c r="C3" s="14" t="s">
        <v>70</v>
      </c>
      <c r="D3" s="14" t="s">
        <v>80</v>
      </c>
      <c r="E3" s="28" t="s">
        <v>81</v>
      </c>
      <c r="F3" s="14" t="s">
        <v>82</v>
      </c>
      <c r="G3" s="14" t="s">
        <v>83</v>
      </c>
      <c r="H3" s="14" t="s">
        <v>84</v>
      </c>
    </row>
    <row r="4" spans="2:8" x14ac:dyDescent="0.25">
      <c r="B4" s="29" t="s">
        <v>92</v>
      </c>
      <c r="C4" s="30">
        <f ca="1">VLOOKUP(B4,Kompilirano!T:Z,7,FALSE)/15/5</f>
        <v>452.48</v>
      </c>
      <c r="D4" s="31">
        <f ca="1">VLOOKUP(B4,Kompilirano!J:P,7,FALSE)/15/5</f>
        <v>0.54666666666666663</v>
      </c>
      <c r="E4" s="32" t="str">
        <f ca="1">VLOOKUP(B4,Kompilirano!AM:AS,7,FALSE)</f>
        <v>0.37 (0.02)</v>
      </c>
      <c r="F4" s="33" t="str">
        <f ca="1">VLOOKUP(B4,Kompilirano!AW:BD,7,FALSE)</f>
        <v>0.45 (0.09)</v>
      </c>
      <c r="G4" s="33" t="str">
        <f ca="1">VLOOKUP(B4,Kompilirano!BG:BM,7,FALSE)</f>
        <v>0.19 (0.01)</v>
      </c>
      <c r="H4" s="33" t="str">
        <f ca="1">VLOOKUP(B4,Kompilirano!BQ:BW,7,FALSE)</f>
        <v>-0.10 (0.08)</v>
      </c>
    </row>
    <row r="5" spans="2:8" x14ac:dyDescent="0.25">
      <c r="B5" s="29" t="s">
        <v>5</v>
      </c>
      <c r="C5" s="30">
        <f ca="1">VLOOKUP(B5,Kompilirano!T:Z,7,FALSE)/15/5</f>
        <v>446.76000000000005</v>
      </c>
      <c r="D5" s="31">
        <f ca="1">VLOOKUP(B5,Kompilirano!J:P,7,FALSE)/15/5</f>
        <v>0.29333333333333333</v>
      </c>
      <c r="E5" s="32" t="str">
        <f ca="1">VLOOKUP(B5,Kompilirano!AM:AS,7,FALSE)</f>
        <v>0.51 (0.05)</v>
      </c>
      <c r="F5" s="33" t="str">
        <f ca="1">VLOOKUP(B5,Kompilirano!AW:BD,7,FALSE)</f>
        <v>0.71 (0.06)</v>
      </c>
      <c r="G5" s="33" t="str">
        <f ca="1">VLOOKUP(B5,Kompilirano!BG:BM,7,FALSE)</f>
        <v>0.28 (0.03)</v>
      </c>
      <c r="H5" s="33" t="str">
        <f ca="1">VLOOKUP(B5,Kompilirano!BQ:BW,7,FALSE)</f>
        <v>-0.25 (0.05)</v>
      </c>
    </row>
    <row r="6" spans="2:8" x14ac:dyDescent="0.25">
      <c r="B6" s="29" t="s">
        <v>88</v>
      </c>
      <c r="C6" s="30">
        <f ca="1">VLOOKUP(B6,Kompilirano!T:Z,7,FALSE)/15/5</f>
        <v>430.0533333333334</v>
      </c>
      <c r="D6" s="31">
        <f ca="1">VLOOKUP(B6,Kompilirano!J:P,7,FALSE)/15/5</f>
        <v>0.8</v>
      </c>
      <c r="E6" s="32" t="str">
        <f ca="1">VLOOKUP(B6,Kompilirano!AM:AS,7,FALSE)</f>
        <v>0.32 (0.02)</v>
      </c>
      <c r="F6" s="33" t="str">
        <f ca="1">VLOOKUP(B6,Kompilirano!AW:BD,7,FALSE)</f>
        <v>0.20 (0.07)</v>
      </c>
      <c r="G6" s="33" t="str">
        <f ca="1">VLOOKUP(B6,Kompilirano!BG:BM,7,FALSE)</f>
        <v>0.20 (0.01)</v>
      </c>
      <c r="H6" s="33" t="str">
        <f ca="1">VLOOKUP(B6,Kompilirano!BQ:BW,7,FALSE)</f>
        <v>0.36 (0.03)</v>
      </c>
    </row>
    <row r="7" spans="2:8" x14ac:dyDescent="0.25">
      <c r="B7" s="29" t="s">
        <v>85</v>
      </c>
      <c r="C7" s="30">
        <f ca="1">VLOOKUP(B7,Kompilirano!T:Z,7,FALSE)/15/5</f>
        <v>429.70666666666665</v>
      </c>
      <c r="D7" s="31">
        <f ca="1">VLOOKUP(B7,Kompilirano!J:P,7,FALSE)/15/5</f>
        <v>0.58666666666666667</v>
      </c>
      <c r="E7" s="32" t="str">
        <f ca="1">VLOOKUP(B7,Kompilirano!AM:AS,7,FALSE)</f>
        <v>0.33 (0.01)</v>
      </c>
      <c r="F7" s="33" t="str">
        <f ca="1">VLOOKUP(B7,Kompilirano!AW:BD,7,FALSE)</f>
        <v>0.41 (0.09)</v>
      </c>
      <c r="G7" s="33" t="str">
        <f ca="1">VLOOKUP(B7,Kompilirano!BG:BM,7,FALSE)</f>
        <v>0.20 (0.01)</v>
      </c>
      <c r="H7" s="33" t="str">
        <f ca="1">VLOOKUP(B7,Kompilirano!BQ:BW,7,FALSE)</f>
        <v>0.26 (0.01)</v>
      </c>
    </row>
    <row r="8" spans="2:8" x14ac:dyDescent="0.25">
      <c r="B8" s="29" t="s">
        <v>93</v>
      </c>
      <c r="C8" s="30">
        <f ca="1">VLOOKUP(B8,Kompilirano!T:Z,7,FALSE)/15/5</f>
        <v>429.6</v>
      </c>
      <c r="D8" s="31">
        <f ca="1">VLOOKUP(B8,Kompilirano!J:P,7,FALSE)/15/5</f>
        <v>0.6</v>
      </c>
      <c r="E8" s="32" t="str">
        <f ca="1">VLOOKUP(B8,Kompilirano!AM:AS,7,FALSE)</f>
        <v>0.37 (0.02)</v>
      </c>
      <c r="F8" s="33" t="str">
        <f ca="1">VLOOKUP(B8,Kompilirano!AW:BD,7,FALSE)</f>
        <v>0.40 (0.00)</v>
      </c>
      <c r="G8" s="33" t="str">
        <f ca="1">VLOOKUP(B8,Kompilirano!BG:BM,7,FALSE)</f>
        <v>0.22 (0.01)</v>
      </c>
      <c r="H8" s="33" t="str">
        <f ca="1">VLOOKUP(B8,Kompilirano!BQ:BW,7,FALSE)</f>
        <v>0.29 (0.03)</v>
      </c>
    </row>
    <row r="9" spans="2:8" x14ac:dyDescent="0.25">
      <c r="B9" s="29" t="s">
        <v>12</v>
      </c>
      <c r="C9" s="30">
        <f ca="1">VLOOKUP(B9,Kompilirano!T:Z,7,FALSE)/15/5</f>
        <v>422.76000000000005</v>
      </c>
      <c r="D9" s="31">
        <f ca="1">VLOOKUP(B9,Kompilirano!J:P,7,FALSE)/15/5</f>
        <v>0.91999999999999993</v>
      </c>
      <c r="E9" s="32" t="str">
        <f ca="1">VLOOKUP(B9,Kompilirano!AM:AS,7,FALSE)</f>
        <v>0.12 (0.00)</v>
      </c>
      <c r="F9" s="33" t="str">
        <f ca="1">VLOOKUP(B9,Kompilirano!AW:BD,7,FALSE)</f>
        <v>0.08 (0.06)</v>
      </c>
      <c r="G9" s="33" t="str">
        <f ca="1">VLOOKUP(B9,Kompilirano!BG:BM,7,FALSE)</f>
        <v>0.07 (0.00)</v>
      </c>
      <c r="H9" s="33" t="str">
        <f ca="1">VLOOKUP(B9,Kompilirano!BQ:BW,7,FALSE)</f>
        <v>0.32 (0.02)</v>
      </c>
    </row>
    <row r="10" spans="2:8" x14ac:dyDescent="0.25">
      <c r="B10" s="29" t="s">
        <v>94</v>
      </c>
      <c r="C10" s="30">
        <f ca="1">VLOOKUP(B10,Kompilirano!T:Z,7,FALSE)/15/5</f>
        <v>420.76000000000005</v>
      </c>
      <c r="D10" s="31">
        <f ca="1">VLOOKUP(B10,Kompilirano!J:P,7,FALSE)/15/5</f>
        <v>0.5066666666666666</v>
      </c>
      <c r="E10" s="32" t="str">
        <f ca="1">VLOOKUP(B10,Kompilirano!AM:AS,7,FALSE)</f>
        <v>0.42 (0.01)</v>
      </c>
      <c r="F10" s="33" t="str">
        <f ca="1">VLOOKUP(B10,Kompilirano!AW:BD,7,FALSE)</f>
        <v>0.49 (0.06)</v>
      </c>
      <c r="G10" s="33" t="str">
        <f ca="1">VLOOKUP(B10,Kompilirano!BG:BM,7,FALSE)</f>
        <v>0.25 (0.00)</v>
      </c>
      <c r="H10" s="33" t="str">
        <f ca="1">VLOOKUP(B10,Kompilirano!BQ:BW,7,FALSE)</f>
        <v>0.29 (0.02)</v>
      </c>
    </row>
    <row r="11" spans="2:8" x14ac:dyDescent="0.25">
      <c r="B11" s="29" t="s">
        <v>90</v>
      </c>
      <c r="C11" s="30">
        <f ca="1">VLOOKUP(B11,Kompilirano!T:Z,7,FALSE)/15/5</f>
        <v>419.38666666666666</v>
      </c>
      <c r="D11" s="31">
        <f ca="1">VLOOKUP(B11,Kompilirano!J:P,7,FALSE)/15/5</f>
        <v>0.90666666666666662</v>
      </c>
      <c r="E11" s="32" t="str">
        <f ca="1">VLOOKUP(B11,Kompilirano!AM:AS,7,FALSE)</f>
        <v>0.15 (0.01)</v>
      </c>
      <c r="F11" s="33" t="str">
        <f ca="1">VLOOKUP(B11,Kompilirano!AW:BD,7,FALSE)</f>
        <v>0.09 (0.06)</v>
      </c>
      <c r="G11" s="33" t="str">
        <f ca="1">VLOOKUP(B11,Kompilirano!BG:BM,7,FALSE)</f>
        <v>0.08 (0.01)</v>
      </c>
      <c r="H11" s="33" t="str">
        <f ca="1">VLOOKUP(B11,Kompilirano!BQ:BW,7,FALSE)</f>
        <v>0.31 (0.01)</v>
      </c>
    </row>
    <row r="12" spans="2:8" x14ac:dyDescent="0.25">
      <c r="B12" s="29" t="s">
        <v>87</v>
      </c>
      <c r="C12" s="30">
        <f ca="1">VLOOKUP(B12,Kompilirano!T:Z,7,FALSE)/15/5</f>
        <v>417.90666666666664</v>
      </c>
      <c r="D12" s="31">
        <f ca="1">VLOOKUP(B12,Kompilirano!J:P,7,FALSE)/15/5</f>
        <v>0.66666666666666674</v>
      </c>
      <c r="E12" s="32" t="str">
        <f ca="1">VLOOKUP(B12,Kompilirano!AM:AS,7,FALSE)</f>
        <v>0.29 (0.01)</v>
      </c>
      <c r="F12" s="33" t="str">
        <f ca="1">VLOOKUP(B12,Kompilirano!AW:BD,7,FALSE)</f>
        <v>0.33 (0.07)</v>
      </c>
      <c r="G12" s="33" t="str">
        <f ca="1">VLOOKUP(B12,Kompilirano!BG:BM,7,FALSE)</f>
        <v>0.17 (0.01)</v>
      </c>
      <c r="H12" s="33" t="str">
        <f ca="1">VLOOKUP(B12,Kompilirano!BQ:BW,7,FALSE)</f>
        <v>0.31 (0.02)</v>
      </c>
    </row>
    <row r="13" spans="2:8" x14ac:dyDescent="0.25">
      <c r="B13" s="29" t="s">
        <v>8</v>
      </c>
      <c r="C13" s="30">
        <f ca="1">VLOOKUP(B13,Kompilirano!T:Z,7,FALSE)/15/5</f>
        <v>415.8</v>
      </c>
      <c r="D13" s="31">
        <f ca="1">VLOOKUP(B13,Kompilirano!J:P,7,FALSE)/15/5</f>
        <v>0.34666666666666668</v>
      </c>
      <c r="E13" s="32" t="str">
        <f ca="1">VLOOKUP(B13,Kompilirano!AM:AS,7,FALSE)</f>
        <v>0.46 (0.02)</v>
      </c>
      <c r="F13" s="33" t="str">
        <f ca="1">VLOOKUP(B13,Kompilirano!AW:BD,7,FALSE)</f>
        <v>0.65 (0.06)</v>
      </c>
      <c r="G13" s="33" t="str">
        <f ca="1">VLOOKUP(B13,Kompilirano!BG:BM,7,FALSE)</f>
        <v>0.28 (0.01)</v>
      </c>
      <c r="H13" s="33" t="str">
        <f ca="1">VLOOKUP(B13,Kompilirano!BQ:BW,7,FALSE)</f>
        <v>0.27 (0.02)</v>
      </c>
    </row>
    <row r="14" spans="2:8" x14ac:dyDescent="0.25">
      <c r="B14" s="29" t="s">
        <v>91</v>
      </c>
      <c r="C14" s="30">
        <f ca="1">VLOOKUP(B14,Kompilirano!T:Z,7,FALSE)/15/5</f>
        <v>396.29333333333335</v>
      </c>
      <c r="D14" s="31">
        <f ca="1">VLOOKUP(B14,Kompilirano!J:P,7,FALSE)/15/5</f>
        <v>0.54666666666666663</v>
      </c>
      <c r="E14" s="32" t="str">
        <f ca="1">VLOOKUP(B14,Kompilirano!AM:AS,7,FALSE)</f>
        <v>0.45 (0.05)</v>
      </c>
      <c r="F14" s="33" t="str">
        <f ca="1">VLOOKUP(B14,Kompilirano!AW:BD,7,FALSE)</f>
        <v>0.45 (0.06)</v>
      </c>
      <c r="G14" s="33" t="str">
        <f ca="1">VLOOKUP(B14,Kompilirano!BG:BM,7,FALSE)</f>
        <v>0.24 (0.02)</v>
      </c>
      <c r="H14" s="33" t="str">
        <f ca="1">VLOOKUP(B14,Kompilirano!BQ:BW,7,FALSE)</f>
        <v>0.08 (0.04)</v>
      </c>
    </row>
    <row r="15" spans="2:8" x14ac:dyDescent="0.25">
      <c r="B15" s="29" t="s">
        <v>95</v>
      </c>
      <c r="C15" s="30">
        <f ca="1">VLOOKUP(B15,Kompilirano!T:Z,7,FALSE)/15/5</f>
        <v>395.2</v>
      </c>
      <c r="D15" s="31">
        <f ca="1">VLOOKUP(B15,Kompilirano!J:P,7,FALSE)/15/5</f>
        <v>0.54666666666666663</v>
      </c>
      <c r="E15" s="32" t="str">
        <f ca="1">VLOOKUP(B15,Kompilirano!AM:AS,7,FALSE)</f>
        <v>0.36 (0.03)</v>
      </c>
      <c r="F15" s="33" t="str">
        <f ca="1">VLOOKUP(B15,Kompilirano!AW:BD,7,FALSE)</f>
        <v>0.45 (0.06)</v>
      </c>
      <c r="G15" s="33" t="str">
        <f ca="1">VLOOKUP(B15,Kompilirano!BG:BM,7,FALSE)</f>
        <v>0.22 (0.01)</v>
      </c>
      <c r="H15" s="33" t="str">
        <f ca="1">VLOOKUP(B15,Kompilirano!BQ:BW,7,FALSE)</f>
        <v>0.30 (0.03)</v>
      </c>
    </row>
    <row r="16" spans="2:8" x14ac:dyDescent="0.25">
      <c r="B16" s="29" t="s">
        <v>86</v>
      </c>
      <c r="C16" s="30">
        <f ca="1">VLOOKUP(B16,Kompilirano!T:Z,7,FALSE)/15/5</f>
        <v>361.24</v>
      </c>
      <c r="D16" s="31">
        <f ca="1">VLOOKUP(B16,Kompilirano!J:P,7,FALSE)/15/5</f>
        <v>0.10666666666666666</v>
      </c>
      <c r="E16" s="32" t="str">
        <f ca="1">VLOOKUP(B16,Kompilirano!AM:AS,7,FALSE)</f>
        <v>0.63 (0.01)</v>
      </c>
      <c r="F16" s="33" t="str">
        <f ca="1">VLOOKUP(B16,Kompilirano!AW:BD,7,FALSE)</f>
        <v>0.89 (0.04)</v>
      </c>
      <c r="G16" s="33" t="str">
        <f ca="1">VLOOKUP(B16,Kompilirano!BG:BM,7,FALSE)</f>
        <v>0.35 (0.01)</v>
      </c>
      <c r="H16" s="33" t="str">
        <f ca="1">VLOOKUP(B16,Kompilirano!BQ:BW,7,FALSE)</f>
        <v>-0.11 (0.00)</v>
      </c>
    </row>
    <row r="17" spans="2:8" x14ac:dyDescent="0.25">
      <c r="B17" s="29" t="s">
        <v>89</v>
      </c>
      <c r="C17" s="30">
        <f ca="1">VLOOKUP(B17,Kompilirano!T:Z,7,FALSE)/15/5</f>
        <v>355.90666666666664</v>
      </c>
      <c r="D17" s="31">
        <f ca="1">VLOOKUP(B17,Kompilirano!J:P,7,FALSE)/15/5</f>
        <v>1.3333333333333332E-2</v>
      </c>
      <c r="E17" s="32" t="str">
        <f ca="1">VLOOKUP(B17,Kompilirano!AM:AS,7,FALSE)</f>
        <v>0.82 (0.01)</v>
      </c>
      <c r="F17" s="33" t="str">
        <f ca="1">VLOOKUP(B17,Kompilirano!AW:BD,7,FALSE)</f>
        <v>0.99 (0.03)</v>
      </c>
      <c r="G17" s="33" t="str">
        <f ca="1">VLOOKUP(B17,Kompilirano!BG:BM,7,FALSE)</f>
        <v>0.44 (0.01)</v>
      </c>
      <c r="H17" s="33" t="str">
        <f ca="1">VLOOKUP(B17,Kompilirano!BQ:BW,7,FALSE)</f>
        <v>-0.28 (0.01)</v>
      </c>
    </row>
    <row r="18" spans="2:8" x14ac:dyDescent="0.25">
      <c r="B18" s="39" t="s">
        <v>20</v>
      </c>
      <c r="C18" s="30">
        <f ca="1">VLOOKUP(B18,Kompilirano!T:Z,7,FALSE)/15/5</f>
        <v>340.5866666666667</v>
      </c>
      <c r="D18" s="31">
        <f ca="1">VLOOKUP(B18,Kompilirano!J:P,7,FALSE)/15/5</f>
        <v>0.22666666666666666</v>
      </c>
      <c r="E18" s="32" t="str">
        <f ca="1">VLOOKUP(B18,Kompilirano!AM:AS,7,FALSE)</f>
        <v>0.50 (0.01)</v>
      </c>
      <c r="F18" s="33" t="str">
        <f ca="1">VLOOKUP(B18,Kompilirano!AW:BD,7,FALSE)</f>
        <v>0.77 (0.06)</v>
      </c>
      <c r="G18" s="33" t="str">
        <f ca="1">VLOOKUP(B18,Kompilirano!BG:BM,7,FALSE)</f>
        <v>0.27 (0.01)</v>
      </c>
      <c r="H18" s="33" t="str">
        <f ca="1">VLOOKUP(B18,Kompilirano!BQ:BW,7,FALSE)</f>
        <v>0.00 (0.02)</v>
      </c>
    </row>
    <row r="19" spans="2:8" x14ac:dyDescent="0.25">
      <c r="B19" s="34" t="s">
        <v>96</v>
      </c>
      <c r="C19" s="35">
        <f ca="1">VLOOKUP(B19,Kompilirano!T:Z,7,FALSE)/15/5</f>
        <v>339.73333333333335</v>
      </c>
      <c r="D19" s="36">
        <f ca="1">VLOOKUP(B19,Kompilirano!J:P,7,FALSE)/15/5</f>
        <v>0.21333333333333332</v>
      </c>
      <c r="E19" s="37" t="str">
        <f ca="1">VLOOKUP(B19,Kompilirano!AM:AS,7,FALSE)</f>
        <v>0.50 (0.01)</v>
      </c>
      <c r="F19" s="38" t="str">
        <f ca="1">VLOOKUP(B19,Kompilirano!AW:BD,7,FALSE)</f>
        <v>0.79 (0.07)</v>
      </c>
      <c r="G19" s="38" t="str">
        <f ca="1">VLOOKUP(B19,Kompilirano!BG:BM,7,FALSE)</f>
        <v>0.27 (0.01)</v>
      </c>
      <c r="H19" s="38" t="str">
        <f ca="1">VLOOKUP(B19,Kompilirano!BQ:BW,7,FALSE)</f>
        <v>0.00 (0.01)</v>
      </c>
    </row>
  </sheetData>
  <sortState xmlns:xlrd2="http://schemas.microsoft.com/office/spreadsheetml/2017/richdata2" ref="B4:H19">
    <sortCondition descending="1" ref="C4:C19"/>
  </sortState>
  <mergeCells count="2">
    <mergeCell ref="C2:D2"/>
    <mergeCell ref="E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4167-E0BC-4DC8-8A96-EAC9AB9F3F3B}">
  <dimension ref="A2:BY18"/>
  <sheetViews>
    <sheetView zoomScale="85" zoomScaleNormal="85" workbookViewId="0">
      <selection activeCell="F35" sqref="F35"/>
    </sheetView>
  </sheetViews>
  <sheetFormatPr defaultRowHeight="15" x14ac:dyDescent="0.25"/>
  <cols>
    <col min="1" max="1" width="28.42578125" bestFit="1" customWidth="1"/>
    <col min="2" max="2" width="10.5703125" bestFit="1" customWidth="1"/>
    <col min="10" max="10" width="28.42578125" bestFit="1" customWidth="1"/>
    <col min="11" max="11" width="11.5703125" bestFit="1" customWidth="1"/>
    <col min="20" max="20" width="28.42578125" bestFit="1" customWidth="1"/>
    <col min="21" max="25" width="12.140625" bestFit="1" customWidth="1"/>
    <col min="26" max="26" width="12.140625" customWidth="1"/>
  </cols>
  <sheetData>
    <row r="2" spans="1:77" x14ac:dyDescent="0.25">
      <c r="A2" s="15" t="s">
        <v>0</v>
      </c>
      <c r="B2" s="15" t="s">
        <v>22</v>
      </c>
      <c r="C2" s="15" t="s">
        <v>23</v>
      </c>
      <c r="D2" s="15" t="s">
        <v>24</v>
      </c>
      <c r="E2" s="15" t="s">
        <v>25</v>
      </c>
      <c r="F2" s="15" t="s">
        <v>26</v>
      </c>
      <c r="G2" s="15" t="s">
        <v>67</v>
      </c>
      <c r="J2" s="15" t="s">
        <v>0</v>
      </c>
      <c r="K2" s="15" t="s">
        <v>27</v>
      </c>
      <c r="L2" s="15" t="s">
        <v>28</v>
      </c>
      <c r="M2" s="15" t="s">
        <v>29</v>
      </c>
      <c r="N2" s="15" t="s">
        <v>30</v>
      </c>
      <c r="O2" s="15" t="s">
        <v>31</v>
      </c>
      <c r="P2" s="15"/>
      <c r="Q2" s="16" t="s">
        <v>67</v>
      </c>
      <c r="R2" s="20"/>
      <c r="T2" s="15" t="s">
        <v>0</v>
      </c>
      <c r="U2" s="15" t="s">
        <v>32</v>
      </c>
      <c r="V2" s="15" t="s">
        <v>33</v>
      </c>
      <c r="W2" s="15" t="s">
        <v>34</v>
      </c>
      <c r="X2" s="15" t="s">
        <v>35</v>
      </c>
      <c r="Y2" s="15" t="s">
        <v>36</v>
      </c>
      <c r="Z2" s="15"/>
      <c r="AA2" s="15" t="s">
        <v>67</v>
      </c>
      <c r="AB2" s="22" t="s">
        <v>76</v>
      </c>
      <c r="AD2" s="15" t="s">
        <v>0</v>
      </c>
      <c r="AE2" s="15" t="s">
        <v>42</v>
      </c>
      <c r="AF2" s="15" t="s">
        <v>43</v>
      </c>
      <c r="AG2" s="15" t="s">
        <v>44</v>
      </c>
      <c r="AH2" s="15" t="s">
        <v>45</v>
      </c>
      <c r="AI2" s="15" t="s">
        <v>46</v>
      </c>
      <c r="AJ2" s="15" t="s">
        <v>67</v>
      </c>
      <c r="AK2" s="23" t="s">
        <v>76</v>
      </c>
      <c r="AM2" s="15" t="s">
        <v>0</v>
      </c>
      <c r="AN2" s="15" t="s">
        <v>47</v>
      </c>
      <c r="AO2" s="15" t="s">
        <v>48</v>
      </c>
      <c r="AP2" s="15" t="s">
        <v>49</v>
      </c>
      <c r="AQ2" s="15" t="s">
        <v>50</v>
      </c>
      <c r="AR2" s="15" t="s">
        <v>51</v>
      </c>
      <c r="AS2" s="15"/>
      <c r="AT2" s="15" t="s">
        <v>67</v>
      </c>
      <c r="AU2" s="23" t="s">
        <v>77</v>
      </c>
      <c r="AW2" s="15" t="s">
        <v>0</v>
      </c>
      <c r="AX2" s="15" t="s">
        <v>52</v>
      </c>
      <c r="AY2" s="15" t="s">
        <v>53</v>
      </c>
      <c r="AZ2" s="15" t="s">
        <v>54</v>
      </c>
      <c r="BA2" s="15" t="s">
        <v>55</v>
      </c>
      <c r="BB2" s="15" t="s">
        <v>56</v>
      </c>
      <c r="BC2" s="15"/>
      <c r="BD2" s="15" t="s">
        <v>67</v>
      </c>
      <c r="BE2" s="23"/>
      <c r="BG2" s="15" t="s">
        <v>0</v>
      </c>
      <c r="BH2" s="15" t="s">
        <v>57</v>
      </c>
      <c r="BI2" s="15" t="s">
        <v>58</v>
      </c>
      <c r="BJ2" s="15" t="s">
        <v>59</v>
      </c>
      <c r="BK2" s="15" t="s">
        <v>60</v>
      </c>
      <c r="BL2" s="15" t="s">
        <v>61</v>
      </c>
      <c r="BM2" s="15"/>
      <c r="BN2" s="15" t="s">
        <v>67</v>
      </c>
      <c r="BO2" s="23"/>
      <c r="BQ2" s="15" t="s">
        <v>0</v>
      </c>
      <c r="BR2" s="15" t="s">
        <v>62</v>
      </c>
      <c r="BS2" s="15" t="s">
        <v>63</v>
      </c>
      <c r="BT2" s="15" t="s">
        <v>64</v>
      </c>
      <c r="BU2" s="15" t="s">
        <v>65</v>
      </c>
      <c r="BV2" s="15" t="s">
        <v>66</v>
      </c>
      <c r="BW2" s="15"/>
      <c r="BX2" s="15" t="s">
        <v>67</v>
      </c>
    </row>
    <row r="3" spans="1:77" x14ac:dyDescent="0.25">
      <c r="A3" s="17" t="s">
        <v>5</v>
      </c>
      <c r="B3" s="18">
        <f ca="1">+VLOOKUP($A3,INDIRECT(Adrese!B$2),2,FALSE)</f>
        <v>3</v>
      </c>
      <c r="C3" s="18">
        <f ca="1">+VLOOKUP($A3,INDIRECT(Adrese!C$2),2,FALSE)</f>
        <v>2</v>
      </c>
      <c r="D3" s="18">
        <f ca="1">+VLOOKUP($A3,INDIRECT(Adrese!D$2),2,FALSE)</f>
        <v>1</v>
      </c>
      <c r="E3" s="18">
        <f ca="1">+VLOOKUP($A3,INDIRECT(Adrese!E$2),2,FALSE)</f>
        <v>1</v>
      </c>
      <c r="F3" s="18">
        <f ca="1">+VLOOKUP($A3,INDIRECT(Adrese!F$2),2,FALSE)</f>
        <v>3</v>
      </c>
      <c r="G3" s="6">
        <f ca="1">AVERAGE(B3:F3)</f>
        <v>2</v>
      </c>
      <c r="J3" s="3" t="s">
        <v>5</v>
      </c>
      <c r="K3">
        <f ca="1">+VLOOKUP($A3,INDIRECT(Adrese!B$2),3,FALSE)</f>
        <v>3</v>
      </c>
      <c r="L3">
        <f ca="1">+VLOOKUP($A3,INDIRECT(Adrese!C$2),3,FALSE)</f>
        <v>5</v>
      </c>
      <c r="M3">
        <f ca="1">+VLOOKUP($A3,INDIRECT(Adrese!D$2),3,FALSE)</f>
        <v>4</v>
      </c>
      <c r="N3">
        <f ca="1">+VLOOKUP($A3,INDIRECT(Adrese!E$2),3,FALSE)</f>
        <v>5</v>
      </c>
      <c r="O3">
        <f ca="1">+VLOOKUP($A3,INDIRECT(Adrese!F$2),3,FALSE)</f>
        <v>5</v>
      </c>
      <c r="P3">
        <f ca="1">SUM(K3:O3)</f>
        <v>22</v>
      </c>
      <c r="Q3" s="6">
        <f ca="1">AVERAGE(K3:O3)</f>
        <v>4.4000000000000004</v>
      </c>
      <c r="R3" s="6"/>
      <c r="T3" s="3" t="s">
        <v>5</v>
      </c>
      <c r="U3">
        <f ca="1">+VLOOKUP($T3,INDIRECT(Adrese!B$2),4,FALSE)</f>
        <v>6604</v>
      </c>
      <c r="V3">
        <f ca="1">+VLOOKUP($T3,INDIRECT(Adrese!C$2),4,FALSE)</f>
        <v>6671</v>
      </c>
      <c r="W3">
        <f ca="1">+VLOOKUP($T3,INDIRECT(Adrese!D$2),4,FALSE)</f>
        <v>6924</v>
      </c>
      <c r="X3">
        <f ca="1">+VLOOKUP($T3,INDIRECT(Adrese!E$2),4,FALSE)</f>
        <v>6757</v>
      </c>
      <c r="Y3">
        <f ca="1">+VLOOKUP($T3,INDIRECT(Adrese!F$2),4,FALSE)</f>
        <v>6551</v>
      </c>
      <c r="Z3">
        <f ca="1">SUM(U3:Y3)</f>
        <v>33507</v>
      </c>
      <c r="AA3" s="6">
        <f ca="1">AVERAGE(U3:Y3)</f>
        <v>6701.4</v>
      </c>
      <c r="AD3" s="3" t="s">
        <v>5</v>
      </c>
      <c r="AE3">
        <f ca="1">+VLOOKUP($A3,INDIRECT(Adrese!B$2),5,FALSE)</f>
        <v>1883</v>
      </c>
      <c r="AF3">
        <f ca="1">+VLOOKUP($A3,INDIRECT(Adrese!C$2),5,FALSE)</f>
        <v>1397</v>
      </c>
      <c r="AG3">
        <f ca="1">+VLOOKUP($A3,INDIRECT(Adrese!D$2),5,FALSE)</f>
        <v>1771</v>
      </c>
      <c r="AH3">
        <f ca="1">+VLOOKUP($A3,INDIRECT(Adrese!E$2),5,FALSE)</f>
        <v>1674</v>
      </c>
      <c r="AI3">
        <f ca="1">+VLOOKUP($A3,INDIRECT(Adrese!F$2),5,FALSE)</f>
        <v>1528</v>
      </c>
      <c r="AJ3" s="6">
        <f ca="1">AVERAGE(AE3:AI3)</f>
        <v>1650.6</v>
      </c>
      <c r="AK3" s="6">
        <f ca="1">_xlfn.STDEV.S(AE3:AI3)</f>
        <v>192.61178572454961</v>
      </c>
      <c r="AM3" s="3" t="s">
        <v>5</v>
      </c>
      <c r="AN3" s="6">
        <f ca="1">+VLOOKUP($A3,INDIRECT(Adrese!B$2),6,FALSE)</f>
        <v>0.57699999999999996</v>
      </c>
      <c r="AO3" s="6">
        <f ca="1">+VLOOKUP($A3,INDIRECT(Adrese!C$2),6,FALSE)</f>
        <v>0.46133333300000001</v>
      </c>
      <c r="AP3" s="6">
        <f ca="1">+VLOOKUP($A3,INDIRECT(Adrese!D$2),6,FALSE)</f>
        <v>0.54833333299999998</v>
      </c>
      <c r="AQ3" s="6">
        <f ca="1">+VLOOKUP($A3,INDIRECT(Adrese!E$2),6,FALSE)</f>
        <v>0.50800000000000001</v>
      </c>
      <c r="AR3" s="6">
        <f ca="1">+VLOOKUP($A3,INDIRECT(Adrese!F$2),6,FALSE)</f>
        <v>0.45666666700000003</v>
      </c>
      <c r="AS3" s="6" t="str">
        <f ca="1">TEXT(AT3,"0.00")&amp;" ("&amp;TEXT(AU3,"0.00")&amp;")"</f>
        <v>0.51 (0.05)</v>
      </c>
      <c r="AT3" s="6">
        <f ca="1">AVERAGE(AN3:AR3)</f>
        <v>0.51026666659999997</v>
      </c>
      <c r="AU3" s="6">
        <f ca="1">_xlfn.STDEV.S(AN3:AR3)</f>
        <v>5.2855883658512598E-2</v>
      </c>
      <c r="AW3" s="3" t="s">
        <v>5</v>
      </c>
      <c r="AX3" s="6">
        <f ca="1">+VLOOKUP($A3,INDIRECT(Adrese!B$2),7,FALSE)</f>
        <v>0.8</v>
      </c>
      <c r="AY3" s="6">
        <f ca="1">+VLOOKUP($A3,INDIRECT(Adrese!C$2),7,FALSE)</f>
        <v>0.66666666699999999</v>
      </c>
      <c r="AZ3" s="6">
        <f ca="1">+VLOOKUP($A3,INDIRECT(Adrese!D$2),7,FALSE)</f>
        <v>0.73333333300000003</v>
      </c>
      <c r="BA3" s="6">
        <f ca="1">+VLOOKUP($A3,INDIRECT(Adrese!E$2),7,FALSE)</f>
        <v>0.66666666699999999</v>
      </c>
      <c r="BB3" s="6">
        <f ca="1">+VLOOKUP($A3,INDIRECT(Adrese!F$2),7,FALSE)</f>
        <v>0.66666666699999999</v>
      </c>
      <c r="BC3" s="6" t="str">
        <f ca="1">TEXT(BD3,"0.00")&amp;" ("&amp;TEXT(BE3,"0.00")&amp;")"</f>
        <v>0.71 (0.06)</v>
      </c>
      <c r="BD3">
        <f ca="1">AVERAGE(AX3:BB3)</f>
        <v>0.70666666680000001</v>
      </c>
      <c r="BE3" s="6">
        <f ca="1">_xlfn.STDEV.S(AX3:BB3)</f>
        <v>5.9628479195021525E-2</v>
      </c>
      <c r="BG3" s="3" t="s">
        <v>5</v>
      </c>
      <c r="BH3" s="6">
        <f ca="1">+VLOOKUP($BG3,INDIRECT(Adrese!B$2),8,FALSE)</f>
        <v>0.30938307799999998</v>
      </c>
      <c r="BI3" s="6">
        <f ca="1">+VLOOKUP($BG3,INDIRECT(Adrese!C$2),8,FALSE)</f>
        <v>0.235575492</v>
      </c>
      <c r="BJ3" s="6">
        <f ca="1">+VLOOKUP($BG3,INDIRECT(Adrese!D$2),8,FALSE)</f>
        <v>0.29334799099999997</v>
      </c>
      <c r="BK3" s="6">
        <f ca="1">+VLOOKUP($BG3,INDIRECT(Adrese!E$2),8,FALSE)</f>
        <v>0.28067025899999998</v>
      </c>
      <c r="BL3" s="6">
        <f ca="1">+VLOOKUP($BG3,INDIRECT(Adrese!F$2),8,FALSE)</f>
        <v>0.265440605</v>
      </c>
      <c r="BM3" s="6" t="str">
        <f ca="1">TEXT(BN3,"0.00")&amp;" ("&amp;TEXT(BO3,"0.00")&amp;")"</f>
        <v>0.28 (0.03)</v>
      </c>
      <c r="BN3" s="6">
        <f ca="1">AVERAGE(BH3:BL3)</f>
        <v>0.27688348499999998</v>
      </c>
      <c r="BO3" s="6">
        <f ca="1">_xlfn.STDEV.S(BH3:BL3)</f>
        <v>2.8191013411631764E-2</v>
      </c>
      <c r="BQ3" s="3" t="s">
        <v>5</v>
      </c>
      <c r="BR3" s="6">
        <f ca="1">+VLOOKUP($BG3,INDIRECT(Adrese!B$2),9,FALSE)</f>
        <v>-0.26661263499999999</v>
      </c>
      <c r="BS3" s="6">
        <f ca="1">+VLOOKUP($BG3,INDIRECT(Adrese!C$2),9,FALSE)</f>
        <v>-0.24621669299999999</v>
      </c>
      <c r="BT3" s="6">
        <f ca="1">+VLOOKUP($BG3,INDIRECT(Adrese!D$2),9,FALSE)</f>
        <v>-0.29514665600000001</v>
      </c>
      <c r="BU3" s="6">
        <f ca="1">+VLOOKUP($BG3,INDIRECT(Adrese!E$2),9,FALSE)</f>
        <v>-0.25965959999999999</v>
      </c>
      <c r="BV3" s="6">
        <f ca="1">+VLOOKUP($BG3,INDIRECT(Adrese!F$2),9,FALSE)</f>
        <v>-0.167339232</v>
      </c>
      <c r="BW3" s="6" t="str">
        <f ca="1">TEXT(BX3,"0.00")&amp;" ("&amp;TEXT(BY3,"0.00")&amp;")"</f>
        <v>-0.25 (0.05)</v>
      </c>
      <c r="BX3" s="6">
        <f ca="1">AVERAGE(BR3:BV3)</f>
        <v>-0.2469949632</v>
      </c>
      <c r="BY3" s="6">
        <f ca="1">_xlfn.STDEV.S(BR3:BV3)</f>
        <v>4.7982999096411232E-2</v>
      </c>
    </row>
    <row r="4" spans="1:77" x14ac:dyDescent="0.25">
      <c r="A4" s="3" t="s">
        <v>85</v>
      </c>
      <c r="B4">
        <f ca="1">+VLOOKUP($A4,INDIRECT(Adrese!B$2),2,FALSE)</f>
        <v>4</v>
      </c>
      <c r="C4">
        <f ca="1">+VLOOKUP($A4,INDIRECT(Adrese!C$2),2,FALSE)</f>
        <v>3</v>
      </c>
      <c r="D4">
        <f ca="1">+VLOOKUP($A4,INDIRECT(Adrese!D$2),2,FALSE)</f>
        <v>6</v>
      </c>
      <c r="E4">
        <f ca="1">+VLOOKUP($A4,INDIRECT(Adrese!E$2),2,FALSE)</f>
        <v>4</v>
      </c>
      <c r="F4">
        <f ca="1">+VLOOKUP($A4,INDIRECT(Adrese!F$2),2,FALSE)</f>
        <v>6</v>
      </c>
      <c r="G4" s="6">
        <f t="shared" ref="G4:G18" ca="1" si="0">AVERAGE(B4:F4)</f>
        <v>4.5999999999999996</v>
      </c>
      <c r="J4" s="3" t="s">
        <v>85</v>
      </c>
      <c r="K4">
        <f ca="1">+VLOOKUP($A4,INDIRECT(Adrese!B$2),3,FALSE)</f>
        <v>8</v>
      </c>
      <c r="L4">
        <f ca="1">+VLOOKUP($A4,INDIRECT(Adrese!C$2),3,FALSE)</f>
        <v>10</v>
      </c>
      <c r="M4">
        <f ca="1">+VLOOKUP($A4,INDIRECT(Adrese!D$2),3,FALSE)</f>
        <v>7</v>
      </c>
      <c r="N4">
        <f ca="1">+VLOOKUP($A4,INDIRECT(Adrese!E$2),3,FALSE)</f>
        <v>10</v>
      </c>
      <c r="O4">
        <f ca="1">+VLOOKUP($A4,INDIRECT(Adrese!F$2),3,FALSE)</f>
        <v>9</v>
      </c>
      <c r="P4">
        <f t="shared" ref="P4:P18" ca="1" si="1">SUM(K4:O4)</f>
        <v>44</v>
      </c>
      <c r="Q4" s="6">
        <f t="shared" ref="Q4:Q18" ca="1" si="2">AVERAGE(K4:O4)</f>
        <v>8.8000000000000007</v>
      </c>
      <c r="R4" s="6"/>
      <c r="T4" s="3" t="s">
        <v>85</v>
      </c>
      <c r="U4">
        <f ca="1">+VLOOKUP($T4,INDIRECT(Adrese!B$2),4,FALSE)</f>
        <v>6575</v>
      </c>
      <c r="V4">
        <f ca="1">+VLOOKUP($T4,INDIRECT(Adrese!C$2),4,FALSE)</f>
        <v>6553</v>
      </c>
      <c r="W4">
        <f ca="1">+VLOOKUP($T4,INDIRECT(Adrese!D$2),4,FALSE)</f>
        <v>6361</v>
      </c>
      <c r="X4">
        <f ca="1">+VLOOKUP($T4,INDIRECT(Adrese!E$2),4,FALSE)</f>
        <v>6398</v>
      </c>
      <c r="Y4">
        <f ca="1">+VLOOKUP($T4,INDIRECT(Adrese!F$2),4,FALSE)</f>
        <v>6341</v>
      </c>
      <c r="Z4">
        <f t="shared" ref="Z4:Z18" ca="1" si="3">SUM(U4:Y4)</f>
        <v>32228</v>
      </c>
      <c r="AA4" s="6">
        <f t="shared" ref="AA4:AA18" ca="1" si="4">AVERAGE(U4:Y4)</f>
        <v>6445.6</v>
      </c>
      <c r="AD4" s="3" t="s">
        <v>85</v>
      </c>
      <c r="AE4">
        <f ca="1">+VLOOKUP($A4,INDIRECT(Adrese!B$2),5,FALSE)</f>
        <v>1069</v>
      </c>
      <c r="AF4">
        <f ca="1">+VLOOKUP($A4,INDIRECT(Adrese!C$2),5,FALSE)</f>
        <v>1084</v>
      </c>
      <c r="AG4">
        <f ca="1">+VLOOKUP($A4,INDIRECT(Adrese!D$2),5,FALSE)</f>
        <v>1063</v>
      </c>
      <c r="AH4">
        <f ca="1">+VLOOKUP($A4,INDIRECT(Adrese!E$2),5,FALSE)</f>
        <v>1072</v>
      </c>
      <c r="AI4">
        <f ca="1">+VLOOKUP($A4,INDIRECT(Adrese!F$2),5,FALSE)</f>
        <v>1030</v>
      </c>
      <c r="AJ4" s="6">
        <f ca="1">AVERAGE(AE4:AI4)</f>
        <v>1063.5999999999999</v>
      </c>
      <c r="AK4" s="6">
        <f t="shared" ref="AK4:AK18" ca="1" si="5">_xlfn.STDEV.S(AE4:AI4)</f>
        <v>20.280532537386684</v>
      </c>
      <c r="AM4" s="3" t="s">
        <v>85</v>
      </c>
      <c r="AN4" s="6">
        <f ca="1">+VLOOKUP($A4,INDIRECT(Adrese!B$2),6,FALSE)</f>
        <v>0.33033333300000001</v>
      </c>
      <c r="AO4" s="6">
        <f ca="1">+VLOOKUP($A4,INDIRECT(Adrese!C$2),6,FALSE)</f>
        <v>0.33400000000000002</v>
      </c>
      <c r="AP4" s="6">
        <f ca="1">+VLOOKUP($A4,INDIRECT(Adrese!D$2),6,FALSE)</f>
        <v>0.33333333300000001</v>
      </c>
      <c r="AQ4" s="6">
        <f ca="1">+VLOOKUP($A4,INDIRECT(Adrese!E$2),6,FALSE)</f>
        <v>0.33266666700000003</v>
      </c>
      <c r="AR4" s="6">
        <f ca="1">+VLOOKUP($A4,INDIRECT(Adrese!F$2),6,FALSE)</f>
        <v>0.31666666700000001</v>
      </c>
      <c r="AS4" s="6" t="str">
        <f t="shared" ref="AS4:AS18" ca="1" si="6">TEXT(AT4,"0.00")&amp;" ("&amp;TEXT(AU4,"0.00")&amp;")"</f>
        <v>0.33 (0.01)</v>
      </c>
      <c r="AT4" s="6">
        <f t="shared" ref="AT4:AT18" ca="1" si="7">AVERAGE(AN4:AR4)</f>
        <v>0.32940000000000003</v>
      </c>
      <c r="AU4" s="6">
        <f t="shared" ref="AU4:AU18" ca="1" si="8">_xlfn.STDEV.S(AN4:AR4)</f>
        <v>7.2510533985683098E-3</v>
      </c>
      <c r="AW4" s="3" t="s">
        <v>85</v>
      </c>
      <c r="AX4" s="6">
        <f ca="1">+VLOOKUP($A4,INDIRECT(Adrese!B$2),7,FALSE)</f>
        <v>0.46666666699999998</v>
      </c>
      <c r="AY4" s="6">
        <f ca="1">+VLOOKUP($A4,INDIRECT(Adrese!C$2),7,FALSE)</f>
        <v>0.33333333300000001</v>
      </c>
      <c r="AZ4" s="6">
        <f ca="1">+VLOOKUP($A4,INDIRECT(Adrese!D$2),7,FALSE)</f>
        <v>0.53333333299999997</v>
      </c>
      <c r="BA4" s="6">
        <f ca="1">+VLOOKUP($A4,INDIRECT(Adrese!E$2),7,FALSE)</f>
        <v>0.33333333300000001</v>
      </c>
      <c r="BB4" s="6">
        <f ca="1">+VLOOKUP($A4,INDIRECT(Adrese!F$2),7,FALSE)</f>
        <v>0.4</v>
      </c>
      <c r="BC4" s="6" t="str">
        <f t="shared" ref="BC4:BC18" ca="1" si="9">TEXT(BD4,"0.00")&amp;" ("&amp;TEXT(BE4,"0.00")&amp;")"</f>
        <v>0.41 (0.09)</v>
      </c>
      <c r="BD4">
        <f t="shared" ref="BD4:BD18" ca="1" si="10">AVERAGE(AX4:BB4)</f>
        <v>0.41333333320000004</v>
      </c>
      <c r="BE4" s="6">
        <f t="shared" ref="BE4:BE18" ca="1" si="11">_xlfn.STDEV.S(AX4:BB4)</f>
        <v>8.6922698825514469E-2</v>
      </c>
      <c r="BG4" s="3" t="s">
        <v>85</v>
      </c>
      <c r="BH4" s="6">
        <f ca="1">+VLOOKUP($BG4,INDIRECT(Adrese!B$2),8,FALSE)</f>
        <v>0.19878996299999999</v>
      </c>
      <c r="BI4" s="6">
        <f ca="1">+VLOOKUP($BG4,INDIRECT(Adrese!C$2),8,FALSE)</f>
        <v>0.19941140900000001</v>
      </c>
      <c r="BJ4" s="6">
        <f ca="1">+VLOOKUP($BG4,INDIRECT(Adrese!D$2),8,FALSE)</f>
        <v>0.203722825</v>
      </c>
      <c r="BK4" s="6">
        <f ca="1">+VLOOKUP($BG4,INDIRECT(Adrese!E$2),8,FALSE)</f>
        <v>0.20884471600000001</v>
      </c>
      <c r="BL4" s="6">
        <f ca="1">+VLOOKUP($BG4,INDIRECT(Adrese!F$2),8,FALSE)</f>
        <v>0.19252761299999999</v>
      </c>
      <c r="BM4" s="6" t="str">
        <f t="shared" ref="BM4:BM18" ca="1" si="12">TEXT(BN4,"0.00")&amp;" ("&amp;TEXT(BO4,"0.00")&amp;")"</f>
        <v>0.20 (0.01)</v>
      </c>
      <c r="BN4" s="6">
        <f t="shared" ref="BN4:BN18" ca="1" si="13">AVERAGE(BH4:BL4)</f>
        <v>0.2006593052</v>
      </c>
      <c r="BO4" s="6">
        <f t="shared" ref="BO4:BO18" ca="1" si="14">_xlfn.STDEV.S(BH4:BL4)</f>
        <v>6.073759271488401E-3</v>
      </c>
      <c r="BQ4" s="3" t="s">
        <v>85</v>
      </c>
      <c r="BR4" s="6">
        <f ca="1">+VLOOKUP($BG4,INDIRECT(Adrese!B$2),9,FALSE)</f>
        <v>0.25069571099999999</v>
      </c>
      <c r="BS4" s="6">
        <f ca="1">+VLOOKUP($BG4,INDIRECT(Adrese!C$2),9,FALSE)</f>
        <v>0.26211808399999997</v>
      </c>
      <c r="BT4" s="6">
        <f ca="1">+VLOOKUP($BG4,INDIRECT(Adrese!D$2),9,FALSE)</f>
        <v>0.27156113199999998</v>
      </c>
      <c r="BU4" s="6">
        <f ca="1">+VLOOKUP($BG4,INDIRECT(Adrese!E$2),9,FALSE)</f>
        <v>0.25457064299999999</v>
      </c>
      <c r="BV4" s="6">
        <f ca="1">+VLOOKUP($BG4,INDIRECT(Adrese!F$2),9,FALSE)</f>
        <v>0.23996110500000001</v>
      </c>
      <c r="BW4" s="6" t="str">
        <f t="shared" ref="BW4:BW18" ca="1" si="15">TEXT(BX4,"0.00")&amp;" ("&amp;TEXT(BY4,"0.00")&amp;")"</f>
        <v>0.26 (0.01)</v>
      </c>
      <c r="BX4" s="6">
        <f t="shared" ref="BX4:BX18" ca="1" si="16">AVERAGE(BR4:BV4)</f>
        <v>0.255781335</v>
      </c>
      <c r="BY4" s="6">
        <f t="shared" ref="BY4:BY18" ca="1" si="17">_xlfn.STDEV.S(BR4:BV4)</f>
        <v>1.1903417629942976E-2</v>
      </c>
    </row>
    <row r="5" spans="1:77" x14ac:dyDescent="0.25">
      <c r="A5" s="3" t="s">
        <v>86</v>
      </c>
      <c r="B5">
        <f ca="1">+VLOOKUP($A5,INDIRECT(Adrese!B$2),2,FALSE)</f>
        <v>13</v>
      </c>
      <c r="C5">
        <f ca="1">+VLOOKUP($A5,INDIRECT(Adrese!C$2),2,FALSE)</f>
        <v>13</v>
      </c>
      <c r="D5">
        <f ca="1">+VLOOKUP($A5,INDIRECT(Adrese!D$2),2,FALSE)</f>
        <v>15</v>
      </c>
      <c r="E5">
        <f ca="1">+VLOOKUP($A5,INDIRECT(Adrese!E$2),2,FALSE)</f>
        <v>12</v>
      </c>
      <c r="F5">
        <f ca="1">+VLOOKUP($A5,INDIRECT(Adrese!F$2),2,FALSE)</f>
        <v>15</v>
      </c>
      <c r="G5" s="6">
        <f t="shared" ca="1" si="0"/>
        <v>13.6</v>
      </c>
      <c r="J5" s="3" t="s">
        <v>86</v>
      </c>
      <c r="K5">
        <f ca="1">+VLOOKUP($A5,INDIRECT(Adrese!B$2),3,FALSE)</f>
        <v>2</v>
      </c>
      <c r="L5">
        <f ca="1">+VLOOKUP($A5,INDIRECT(Adrese!C$2),3,FALSE)</f>
        <v>2</v>
      </c>
      <c r="M5">
        <f ca="1">+VLOOKUP($A5,INDIRECT(Adrese!D$2),3,FALSE)</f>
        <v>1</v>
      </c>
      <c r="N5">
        <f ca="1">+VLOOKUP($A5,INDIRECT(Adrese!E$2),3,FALSE)</f>
        <v>2</v>
      </c>
      <c r="O5">
        <f ca="1">+VLOOKUP($A5,INDIRECT(Adrese!F$2),3,FALSE)</f>
        <v>1</v>
      </c>
      <c r="P5">
        <f t="shared" ca="1" si="1"/>
        <v>8</v>
      </c>
      <c r="Q5" s="6">
        <f t="shared" ca="1" si="2"/>
        <v>1.6</v>
      </c>
      <c r="R5" s="6"/>
      <c r="T5" s="3" t="s">
        <v>86</v>
      </c>
      <c r="U5">
        <f ca="1">+VLOOKUP($T5,INDIRECT(Adrese!B$2),4,FALSE)</f>
        <v>5486</v>
      </c>
      <c r="V5">
        <f ca="1">+VLOOKUP($T5,INDIRECT(Adrese!C$2),4,FALSE)</f>
        <v>5518</v>
      </c>
      <c r="W5">
        <f ca="1">+VLOOKUP($T5,INDIRECT(Adrese!D$2),4,FALSE)</f>
        <v>5174</v>
      </c>
      <c r="X5">
        <f ca="1">+VLOOKUP($T5,INDIRECT(Adrese!E$2),4,FALSE)</f>
        <v>5810</v>
      </c>
      <c r="Y5">
        <f ca="1">+VLOOKUP($T5,INDIRECT(Adrese!F$2),4,FALSE)</f>
        <v>5105</v>
      </c>
      <c r="Z5">
        <f t="shared" ca="1" si="3"/>
        <v>27093</v>
      </c>
      <c r="AA5" s="6">
        <f t="shared" ca="1" si="4"/>
        <v>5418.6</v>
      </c>
      <c r="AD5" s="3" t="s">
        <v>86</v>
      </c>
      <c r="AE5">
        <f ca="1">+VLOOKUP($A5,INDIRECT(Adrese!B$2),5,FALSE)</f>
        <v>2058</v>
      </c>
      <c r="AF5">
        <f ca="1">+VLOOKUP($A5,INDIRECT(Adrese!C$2),5,FALSE)</f>
        <v>2011</v>
      </c>
      <c r="AG5">
        <f ca="1">+VLOOKUP($A5,INDIRECT(Adrese!D$2),5,FALSE)</f>
        <v>2006</v>
      </c>
      <c r="AH5">
        <f ca="1">+VLOOKUP($A5,INDIRECT(Adrese!E$2),5,FALSE)</f>
        <v>2044</v>
      </c>
      <c r="AI5">
        <f ca="1">+VLOOKUP($A5,INDIRECT(Adrese!F$2),5,FALSE)</f>
        <v>2048</v>
      </c>
      <c r="AJ5" s="6">
        <f ca="1">AVERAGE(AE5:AI5)</f>
        <v>2033.4</v>
      </c>
      <c r="AK5" s="6">
        <f t="shared" ca="1" si="5"/>
        <v>23.36236289419373</v>
      </c>
      <c r="AM5" s="3" t="s">
        <v>86</v>
      </c>
      <c r="AN5" s="6">
        <f ca="1">+VLOOKUP($A5,INDIRECT(Adrese!B$2),6,FALSE)</f>
        <v>0.63366666699999996</v>
      </c>
      <c r="AO5" s="6">
        <f ca="1">+VLOOKUP($A5,INDIRECT(Adrese!C$2),6,FALSE)</f>
        <v>0.624</v>
      </c>
      <c r="AP5" s="6">
        <f ca="1">+VLOOKUP($A5,INDIRECT(Adrese!D$2),6,FALSE)</f>
        <v>0.61933333300000004</v>
      </c>
      <c r="AQ5" s="6">
        <f ca="1">+VLOOKUP($A5,INDIRECT(Adrese!E$2),6,FALSE)</f>
        <v>0.63133333300000005</v>
      </c>
      <c r="AR5" s="6">
        <f ca="1">+VLOOKUP($A5,INDIRECT(Adrese!F$2),6,FALSE)</f>
        <v>0.63166666699999996</v>
      </c>
      <c r="AS5" s="6" t="str">
        <f t="shared" ca="1" si="6"/>
        <v>0.63 (0.01)</v>
      </c>
      <c r="AT5" s="6">
        <f t="shared" ca="1" si="7"/>
        <v>0.62800000000000011</v>
      </c>
      <c r="AU5" s="6">
        <f t="shared" ca="1" si="8"/>
        <v>6.0781943773532549E-3</v>
      </c>
      <c r="AW5" s="3" t="s">
        <v>86</v>
      </c>
      <c r="AX5" s="6">
        <f ca="1">+VLOOKUP($A5,INDIRECT(Adrese!B$2),7,FALSE)</f>
        <v>0.86666666699999995</v>
      </c>
      <c r="AY5" s="6">
        <f ca="1">+VLOOKUP($A5,INDIRECT(Adrese!C$2),7,FALSE)</f>
        <v>0.86666666699999995</v>
      </c>
      <c r="AZ5" s="6">
        <f ca="1">+VLOOKUP($A5,INDIRECT(Adrese!D$2),7,FALSE)</f>
        <v>0.93333333299999999</v>
      </c>
      <c r="BA5" s="6">
        <f ca="1">+VLOOKUP($A5,INDIRECT(Adrese!E$2),7,FALSE)</f>
        <v>0.86666666699999995</v>
      </c>
      <c r="BB5" s="6">
        <f ca="1">+VLOOKUP($A5,INDIRECT(Adrese!F$2),7,FALSE)</f>
        <v>0.93333333299999999</v>
      </c>
      <c r="BC5" s="6" t="str">
        <f t="shared" ca="1" si="9"/>
        <v>0.89 (0.04)</v>
      </c>
      <c r="BD5">
        <f t="shared" ca="1" si="10"/>
        <v>0.89333333339999998</v>
      </c>
      <c r="BE5" s="6">
        <f t="shared" ca="1" si="11"/>
        <v>3.6514836801862724E-2</v>
      </c>
      <c r="BG5" s="3" t="s">
        <v>86</v>
      </c>
      <c r="BH5" s="6">
        <f ca="1">+VLOOKUP($BG5,INDIRECT(Adrese!B$2),8,FALSE)</f>
        <v>0.35223434100000001</v>
      </c>
      <c r="BI5" s="6">
        <f ca="1">+VLOOKUP($BG5,INDIRECT(Adrese!C$2),8,FALSE)</f>
        <v>0.35101546</v>
      </c>
      <c r="BJ5" s="6">
        <f ca="1">+VLOOKUP($BG5,INDIRECT(Adrese!D$2),8,FALSE)</f>
        <v>0.34533926500000001</v>
      </c>
      <c r="BK5" s="6">
        <f ca="1">+VLOOKUP($BG5,INDIRECT(Adrese!E$2),8,FALSE)</f>
        <v>0.35547720599999999</v>
      </c>
      <c r="BL5" s="6">
        <f ca="1">+VLOOKUP($BG5,INDIRECT(Adrese!F$2),8,FALSE)</f>
        <v>0.36007642499999998</v>
      </c>
      <c r="BM5" s="6" t="str">
        <f t="shared" ca="1" si="12"/>
        <v>0.35 (0.01)</v>
      </c>
      <c r="BN5" s="6">
        <f t="shared" ca="1" si="13"/>
        <v>0.35282853939999997</v>
      </c>
      <c r="BO5" s="6">
        <f t="shared" ca="1" si="14"/>
        <v>5.4606968446436564E-3</v>
      </c>
      <c r="BQ5" s="3" t="s">
        <v>86</v>
      </c>
      <c r="BR5" s="6">
        <f ca="1">+VLOOKUP($BG5,INDIRECT(Adrese!B$2),9,FALSE)</f>
        <v>-0.106893771</v>
      </c>
      <c r="BS5" s="6">
        <f ca="1">+VLOOKUP($BG5,INDIRECT(Adrese!C$2),9,FALSE)</f>
        <v>-0.102881879</v>
      </c>
      <c r="BT5" s="6">
        <f ca="1">+VLOOKUP($BG5,INDIRECT(Adrese!D$2),9,FALSE)</f>
        <v>-0.10536733700000001</v>
      </c>
      <c r="BU5" s="6">
        <f ca="1">+VLOOKUP($BG5,INDIRECT(Adrese!E$2),9,FALSE)</f>
        <v>-0.10972572</v>
      </c>
      <c r="BV5" s="6">
        <f ca="1">+VLOOKUP($BG5,INDIRECT(Adrese!F$2),9,FALSE)</f>
        <v>-0.112035249</v>
      </c>
      <c r="BW5" s="6" t="str">
        <f t="shared" ca="1" si="15"/>
        <v>-0.11 (0.00)</v>
      </c>
      <c r="BX5" s="6">
        <f t="shared" ca="1" si="16"/>
        <v>-0.10738079119999999</v>
      </c>
      <c r="BY5" s="6">
        <f t="shared" ca="1" si="17"/>
        <v>3.5949292747933458E-3</v>
      </c>
    </row>
    <row r="6" spans="1:77" x14ac:dyDescent="0.25">
      <c r="A6" s="3" t="s">
        <v>8</v>
      </c>
      <c r="B6">
        <f ca="1">+VLOOKUP($A6,INDIRECT(Adrese!B$2),2,FALSE)</f>
        <v>8</v>
      </c>
      <c r="C6">
        <f ca="1">+VLOOKUP($A6,INDIRECT(Adrese!C$2),2,FALSE)</f>
        <v>11</v>
      </c>
      <c r="D6">
        <f ca="1">+VLOOKUP($A6,INDIRECT(Adrese!D$2),2,FALSE)</f>
        <v>7</v>
      </c>
      <c r="E6">
        <f ca="1">+VLOOKUP($A6,INDIRECT(Adrese!E$2),2,FALSE)</f>
        <v>9</v>
      </c>
      <c r="F6">
        <f ca="1">+VLOOKUP($A6,INDIRECT(Adrese!F$2),2,FALSE)</f>
        <v>10</v>
      </c>
      <c r="G6" s="6">
        <f t="shared" ca="1" si="0"/>
        <v>9</v>
      </c>
      <c r="J6" s="3" t="s">
        <v>8</v>
      </c>
      <c r="K6">
        <f ca="1">+VLOOKUP($A6,INDIRECT(Adrese!B$2),3,FALSE)</f>
        <v>5</v>
      </c>
      <c r="L6">
        <f ca="1">+VLOOKUP($A6,INDIRECT(Adrese!C$2),3,FALSE)</f>
        <v>5</v>
      </c>
      <c r="M6">
        <f ca="1">+VLOOKUP($A6,INDIRECT(Adrese!D$2),3,FALSE)</f>
        <v>6</v>
      </c>
      <c r="N6">
        <f ca="1">+VLOOKUP($A6,INDIRECT(Adrese!E$2),3,FALSE)</f>
        <v>4</v>
      </c>
      <c r="O6">
        <f ca="1">+VLOOKUP($A6,INDIRECT(Adrese!F$2),3,FALSE)</f>
        <v>6</v>
      </c>
      <c r="P6">
        <f t="shared" ca="1" si="1"/>
        <v>26</v>
      </c>
      <c r="Q6" s="6">
        <f t="shared" ca="1" si="2"/>
        <v>5.2</v>
      </c>
      <c r="R6" s="6"/>
      <c r="T6" s="3" t="s">
        <v>8</v>
      </c>
      <c r="U6">
        <f ca="1">+VLOOKUP($T6,INDIRECT(Adrese!B$2),4,FALSE)</f>
        <v>6336</v>
      </c>
      <c r="V6">
        <f ca="1">+VLOOKUP($T6,INDIRECT(Adrese!C$2),4,FALSE)</f>
        <v>6145</v>
      </c>
      <c r="W6">
        <f ca="1">+VLOOKUP($T6,INDIRECT(Adrese!D$2),4,FALSE)</f>
        <v>6353</v>
      </c>
      <c r="X6">
        <f ca="1">+VLOOKUP($T6,INDIRECT(Adrese!E$2),4,FALSE)</f>
        <v>6291</v>
      </c>
      <c r="Y6">
        <f ca="1">+VLOOKUP($T6,INDIRECT(Adrese!F$2),4,FALSE)</f>
        <v>6060</v>
      </c>
      <c r="Z6">
        <f t="shared" ca="1" si="3"/>
        <v>31185</v>
      </c>
      <c r="AA6" s="6">
        <f t="shared" ca="1" si="4"/>
        <v>6237</v>
      </c>
      <c r="AD6" s="3" t="s">
        <v>8</v>
      </c>
      <c r="AE6">
        <f ca="1">+VLOOKUP($A6,INDIRECT(Adrese!B$2),5,FALSE)</f>
        <v>1539</v>
      </c>
      <c r="AF6">
        <f ca="1">+VLOOKUP($A6,INDIRECT(Adrese!C$2),5,FALSE)</f>
        <v>1468</v>
      </c>
      <c r="AG6">
        <f ca="1">+VLOOKUP($A6,INDIRECT(Adrese!D$2),5,FALSE)</f>
        <v>1528</v>
      </c>
      <c r="AH6">
        <f ca="1">+VLOOKUP($A6,INDIRECT(Adrese!E$2),5,FALSE)</f>
        <v>1474</v>
      </c>
      <c r="AI6">
        <f ca="1">+VLOOKUP($A6,INDIRECT(Adrese!F$2),5,FALSE)</f>
        <v>1405</v>
      </c>
      <c r="AJ6" s="6">
        <f ca="1">AVERAGE(AE6:AI6)</f>
        <v>1482.8</v>
      </c>
      <c r="AK6" s="6">
        <f t="shared" ca="1" si="5"/>
        <v>53.737324086709044</v>
      </c>
      <c r="AM6" s="3" t="s">
        <v>8</v>
      </c>
      <c r="AN6" s="6">
        <f ca="1">+VLOOKUP($A6,INDIRECT(Adrese!B$2),6,FALSE)</f>
        <v>0.47833333300000003</v>
      </c>
      <c r="AO6" s="6">
        <f ca="1">+VLOOKUP($A6,INDIRECT(Adrese!C$2),6,FALSE)</f>
        <v>0.45400000000000001</v>
      </c>
      <c r="AP6" s="6">
        <f ca="1">+VLOOKUP($A6,INDIRECT(Adrese!D$2),6,FALSE)</f>
        <v>0.47766666699999999</v>
      </c>
      <c r="AQ6" s="6">
        <f ca="1">+VLOOKUP($A6,INDIRECT(Adrese!E$2),6,FALSE)</f>
        <v>0.46266666699999998</v>
      </c>
      <c r="AR6" s="6">
        <f ca="1">+VLOOKUP($A6,INDIRECT(Adrese!F$2),6,FALSE)</f>
        <v>0.43633333299999999</v>
      </c>
      <c r="AS6" s="6" t="str">
        <f t="shared" ca="1" si="6"/>
        <v>0.46 (0.02)</v>
      </c>
      <c r="AT6" s="6">
        <f t="shared" ca="1" si="7"/>
        <v>0.46180000000000004</v>
      </c>
      <c r="AU6" s="6">
        <f t="shared" ca="1" si="8"/>
        <v>1.7573022374904358E-2</v>
      </c>
      <c r="AW6" s="3" t="s">
        <v>8</v>
      </c>
      <c r="AX6" s="6">
        <f ca="1">+VLOOKUP($A6,INDIRECT(Adrese!B$2),7,FALSE)</f>
        <v>0.66666666699999999</v>
      </c>
      <c r="AY6" s="6">
        <f ca="1">+VLOOKUP($A6,INDIRECT(Adrese!C$2),7,FALSE)</f>
        <v>0.66666666699999999</v>
      </c>
      <c r="AZ6" s="6">
        <f ca="1">+VLOOKUP($A6,INDIRECT(Adrese!D$2),7,FALSE)</f>
        <v>0.6</v>
      </c>
      <c r="BA6" s="6">
        <f ca="1">+VLOOKUP($A6,INDIRECT(Adrese!E$2),7,FALSE)</f>
        <v>0.73333333300000003</v>
      </c>
      <c r="BB6" s="6">
        <f ca="1">+VLOOKUP($A6,INDIRECT(Adrese!F$2),7,FALSE)</f>
        <v>0.6</v>
      </c>
      <c r="BC6" s="6" t="str">
        <f t="shared" ca="1" si="9"/>
        <v>0.65 (0.06)</v>
      </c>
      <c r="BD6">
        <f t="shared" ca="1" si="10"/>
        <v>0.65333333339999999</v>
      </c>
      <c r="BE6" s="6">
        <f t="shared" ca="1" si="11"/>
        <v>5.5777335022589816E-2</v>
      </c>
      <c r="BG6" s="3" t="s">
        <v>8</v>
      </c>
      <c r="BH6" s="6">
        <f ca="1">+VLOOKUP($BG6,INDIRECT(Adrese!B$2),8,FALSE)</f>
        <v>0.28840448099999999</v>
      </c>
      <c r="BI6" s="6">
        <f ca="1">+VLOOKUP($BG6,INDIRECT(Adrese!C$2),8,FALSE)</f>
        <v>0.27491113700000003</v>
      </c>
      <c r="BJ6" s="6">
        <f ca="1">+VLOOKUP($BG6,INDIRECT(Adrese!D$2),8,FALSE)</f>
        <v>0.28822654599999997</v>
      </c>
      <c r="BK6" s="6">
        <f ca="1">+VLOOKUP($BG6,INDIRECT(Adrese!E$2),8,FALSE)</f>
        <v>0.28273780700000001</v>
      </c>
      <c r="BL6" s="6">
        <f ca="1">+VLOOKUP($BG6,INDIRECT(Adrese!F$2),8,FALSE)</f>
        <v>0.26809090000000002</v>
      </c>
      <c r="BM6" s="6" t="str">
        <f t="shared" ca="1" si="12"/>
        <v>0.28 (0.01)</v>
      </c>
      <c r="BN6" s="6">
        <f t="shared" ca="1" si="13"/>
        <v>0.28047417419999998</v>
      </c>
      <c r="BO6" s="6">
        <f t="shared" ca="1" si="14"/>
        <v>8.8375043242106179E-3</v>
      </c>
      <c r="BQ6" s="3" t="s">
        <v>8</v>
      </c>
      <c r="BR6" s="6">
        <f ca="1">+VLOOKUP($BG6,INDIRECT(Adrese!B$2),9,FALSE)</f>
        <v>0.24351082600000001</v>
      </c>
      <c r="BS6" s="6">
        <f ca="1">+VLOOKUP($BG6,INDIRECT(Adrese!C$2),9,FALSE)</f>
        <v>0.25200800699999998</v>
      </c>
      <c r="BT6" s="6">
        <f ca="1">+VLOOKUP($BG6,INDIRECT(Adrese!D$2),9,FALSE)</f>
        <v>0.27186505700000002</v>
      </c>
      <c r="BU6" s="6">
        <f ca="1">+VLOOKUP($BG6,INDIRECT(Adrese!E$2),9,FALSE)</f>
        <v>0.26270822100000002</v>
      </c>
      <c r="BV6" s="6">
        <f ca="1">+VLOOKUP($BG6,INDIRECT(Adrese!F$2),9,FALSE)</f>
        <v>0.29627687600000002</v>
      </c>
      <c r="BW6" s="6" t="str">
        <f t="shared" ca="1" si="15"/>
        <v>0.27 (0.02)</v>
      </c>
      <c r="BX6" s="6">
        <f t="shared" ca="1" si="16"/>
        <v>0.26527379740000001</v>
      </c>
      <c r="BY6" s="6">
        <f t="shared" ca="1" si="17"/>
        <v>2.0376615808019732E-2</v>
      </c>
    </row>
    <row r="7" spans="1:77" x14ac:dyDescent="0.25">
      <c r="A7" s="3" t="s">
        <v>89</v>
      </c>
      <c r="B7">
        <f ca="1">+VLOOKUP($A7,INDIRECT(Adrese!B$2),2,FALSE)</f>
        <v>14</v>
      </c>
      <c r="C7">
        <f ca="1">+VLOOKUP($A7,INDIRECT(Adrese!C$2),2,FALSE)</f>
        <v>14</v>
      </c>
      <c r="D7">
        <f ca="1">+VLOOKUP($A7,INDIRECT(Adrese!D$2),2,FALSE)</f>
        <v>13</v>
      </c>
      <c r="E7">
        <f ca="1">+VLOOKUP($A7,INDIRECT(Adrese!E$2),2,FALSE)</f>
        <v>16</v>
      </c>
      <c r="F7">
        <f ca="1">+VLOOKUP($A7,INDIRECT(Adrese!F$2),2,FALSE)</f>
        <v>13</v>
      </c>
      <c r="G7" s="6">
        <f t="shared" ca="1" si="0"/>
        <v>14</v>
      </c>
      <c r="J7" s="3" t="s">
        <v>89</v>
      </c>
      <c r="K7">
        <f ca="1">+VLOOKUP($A7,INDIRECT(Adrese!B$2),3,FALSE)</f>
        <v>0</v>
      </c>
      <c r="L7">
        <f ca="1">+VLOOKUP($A7,INDIRECT(Adrese!C$2),3,FALSE)</f>
        <v>1</v>
      </c>
      <c r="M7">
        <f ca="1">+VLOOKUP($A7,INDIRECT(Adrese!D$2),3,FALSE)</f>
        <v>0</v>
      </c>
      <c r="N7">
        <f ca="1">+VLOOKUP($A7,INDIRECT(Adrese!E$2),3,FALSE)</f>
        <v>0</v>
      </c>
      <c r="O7">
        <f ca="1">+VLOOKUP($A7,INDIRECT(Adrese!F$2),3,FALSE)</f>
        <v>0</v>
      </c>
      <c r="P7">
        <f t="shared" ca="1" si="1"/>
        <v>1</v>
      </c>
      <c r="Q7" s="6">
        <f t="shared" ca="1" si="2"/>
        <v>0.2</v>
      </c>
      <c r="R7" s="6"/>
      <c r="T7" s="3" t="s">
        <v>89</v>
      </c>
      <c r="U7">
        <f ca="1">+VLOOKUP($T7,INDIRECT(Adrese!B$2),4,FALSE)</f>
        <v>5456</v>
      </c>
      <c r="V7">
        <f ca="1">+VLOOKUP($T7,INDIRECT(Adrese!C$2),4,FALSE)</f>
        <v>5448</v>
      </c>
      <c r="W7">
        <f ca="1">+VLOOKUP($T7,INDIRECT(Adrese!D$2),4,FALSE)</f>
        <v>5437</v>
      </c>
      <c r="X7">
        <f ca="1">+VLOOKUP($T7,INDIRECT(Adrese!E$2),4,FALSE)</f>
        <v>4915</v>
      </c>
      <c r="Y7">
        <f ca="1">+VLOOKUP($T7,INDIRECT(Adrese!F$2),4,FALSE)</f>
        <v>5437</v>
      </c>
      <c r="Z7">
        <f t="shared" ca="1" si="3"/>
        <v>26693</v>
      </c>
      <c r="AA7" s="6">
        <f t="shared" ca="1" si="4"/>
        <v>5338.6</v>
      </c>
      <c r="AD7" s="3" t="s">
        <v>89</v>
      </c>
      <c r="AE7">
        <f ca="1">+VLOOKUP($A7,INDIRECT(Adrese!B$2),5,FALSE)</f>
        <v>2584</v>
      </c>
      <c r="AF7">
        <f ca="1">+VLOOKUP($A7,INDIRECT(Adrese!C$2),5,FALSE)</f>
        <v>2637</v>
      </c>
      <c r="AG7">
        <f ca="1">+VLOOKUP($A7,INDIRECT(Adrese!D$2),5,FALSE)</f>
        <v>2605</v>
      </c>
      <c r="AH7">
        <f ca="1">+VLOOKUP($A7,INDIRECT(Adrese!E$2),5,FALSE)</f>
        <v>2646</v>
      </c>
      <c r="AI7">
        <f ca="1">+VLOOKUP($A7,INDIRECT(Adrese!F$2),5,FALSE)</f>
        <v>2614</v>
      </c>
      <c r="AJ7" s="6">
        <f ca="1">AVERAGE(AE7:AI7)</f>
        <v>2617.1999999999998</v>
      </c>
      <c r="AK7" s="6">
        <f t="shared" ca="1" si="5"/>
        <v>24.913851568956577</v>
      </c>
      <c r="AM7" s="3" t="s">
        <v>89</v>
      </c>
      <c r="AN7" s="6">
        <f ca="1">+VLOOKUP($A7,INDIRECT(Adrese!B$2),6,FALSE)</f>
        <v>0.80633333299999999</v>
      </c>
      <c r="AO7" s="6">
        <f ca="1">+VLOOKUP($A7,INDIRECT(Adrese!C$2),6,FALSE)</f>
        <v>0.82933333300000001</v>
      </c>
      <c r="AP7" s="6">
        <f ca="1">+VLOOKUP($A7,INDIRECT(Adrese!D$2),6,FALSE)</f>
        <v>0.81566666700000001</v>
      </c>
      <c r="AQ7" s="6">
        <f ca="1">+VLOOKUP($A7,INDIRECT(Adrese!E$2),6,FALSE)</f>
        <v>0.82966666700000002</v>
      </c>
      <c r="AR7" s="6">
        <f ca="1">+VLOOKUP($A7,INDIRECT(Adrese!F$2),6,FALSE)</f>
        <v>0.81966666700000002</v>
      </c>
      <c r="AS7" s="6" t="str">
        <f t="shared" ca="1" si="6"/>
        <v>0.82 (0.01)</v>
      </c>
      <c r="AT7" s="6">
        <f t="shared" ca="1" si="7"/>
        <v>0.82013333340000005</v>
      </c>
      <c r="AU7" s="6">
        <f t="shared" ca="1" si="8"/>
        <v>9.8251379057327747E-3</v>
      </c>
      <c r="AW7" s="3" t="s">
        <v>89</v>
      </c>
      <c r="AX7" s="6">
        <f ca="1">+VLOOKUP($A7,INDIRECT(Adrese!B$2),7,FALSE)</f>
        <v>1</v>
      </c>
      <c r="AY7" s="6">
        <f ca="1">+VLOOKUP($A7,INDIRECT(Adrese!C$2),7,FALSE)</f>
        <v>0.93333333299999999</v>
      </c>
      <c r="AZ7" s="6">
        <f ca="1">+VLOOKUP($A7,INDIRECT(Adrese!D$2),7,FALSE)</f>
        <v>1</v>
      </c>
      <c r="BA7" s="6">
        <f ca="1">+VLOOKUP($A7,INDIRECT(Adrese!E$2),7,FALSE)</f>
        <v>1</v>
      </c>
      <c r="BB7" s="6">
        <f ca="1">+VLOOKUP($A7,INDIRECT(Adrese!F$2),7,FALSE)</f>
        <v>1</v>
      </c>
      <c r="BC7" s="6" t="str">
        <f t="shared" ca="1" si="9"/>
        <v>0.99 (0.03)</v>
      </c>
      <c r="BD7">
        <f t="shared" ca="1" si="10"/>
        <v>0.98666666660000002</v>
      </c>
      <c r="BE7" s="6">
        <f t="shared" ca="1" si="11"/>
        <v>2.9814239849068402E-2</v>
      </c>
      <c r="BG7" s="3" t="s">
        <v>89</v>
      </c>
      <c r="BH7" s="6">
        <f ca="1">+VLOOKUP($BG7,INDIRECT(Adrese!B$2),8,FALSE)</f>
        <v>0.43288071500000003</v>
      </c>
      <c r="BI7" s="6">
        <f ca="1">+VLOOKUP($BG7,INDIRECT(Adrese!C$2),8,FALSE)</f>
        <v>0.449618668</v>
      </c>
      <c r="BJ7" s="6">
        <f ca="1">+VLOOKUP($BG7,INDIRECT(Adrese!D$2),8,FALSE)</f>
        <v>0.44040953500000002</v>
      </c>
      <c r="BK7" s="6">
        <f ca="1">+VLOOKUP($BG7,INDIRECT(Adrese!E$2),8,FALSE)</f>
        <v>0.44991930400000002</v>
      </c>
      <c r="BL7" s="6">
        <f ca="1">+VLOOKUP($BG7,INDIRECT(Adrese!F$2),8,FALSE)</f>
        <v>0.44879820599999998</v>
      </c>
      <c r="BM7" s="6" t="str">
        <f t="shared" ca="1" si="12"/>
        <v>0.44 (0.01)</v>
      </c>
      <c r="BN7" s="6">
        <f t="shared" ca="1" si="13"/>
        <v>0.44432528560000001</v>
      </c>
      <c r="BO7" s="6">
        <f t="shared" ca="1" si="14"/>
        <v>7.5105135472996864E-3</v>
      </c>
      <c r="BQ7" s="3" t="s">
        <v>89</v>
      </c>
      <c r="BR7" s="6">
        <f ca="1">+VLOOKUP($BG7,INDIRECT(Adrese!B$2),9,FALSE)</f>
        <v>-0.27238594500000002</v>
      </c>
      <c r="BS7" s="6">
        <f ca="1">+VLOOKUP($BG7,INDIRECT(Adrese!C$2),9,FALSE)</f>
        <v>-0.29589709400000003</v>
      </c>
      <c r="BT7" s="6">
        <f ca="1">+VLOOKUP($BG7,INDIRECT(Adrese!D$2),9,FALSE)</f>
        <v>-0.292610804</v>
      </c>
      <c r="BU7" s="6">
        <f ca="1">+VLOOKUP($BG7,INDIRECT(Adrese!E$2),9,FALSE)</f>
        <v>-0.27674781700000001</v>
      </c>
      <c r="BV7" s="6">
        <f ca="1">+VLOOKUP($BG7,INDIRECT(Adrese!F$2),9,FALSE)</f>
        <v>-0.28573889800000002</v>
      </c>
      <c r="BW7" s="6" t="str">
        <f t="shared" ca="1" si="15"/>
        <v>-0.28 (0.01)</v>
      </c>
      <c r="BX7" s="6">
        <f t="shared" ca="1" si="16"/>
        <v>-0.28467611159999995</v>
      </c>
      <c r="BY7" s="6">
        <f t="shared" ca="1" si="17"/>
        <v>1.0048698357945387E-2</v>
      </c>
    </row>
    <row r="8" spans="1:77" x14ac:dyDescent="0.25">
      <c r="A8" s="3" t="s">
        <v>88</v>
      </c>
      <c r="B8">
        <f ca="1">+VLOOKUP($A8,INDIRECT(Adrese!B$2),2,FALSE)</f>
        <v>2</v>
      </c>
      <c r="C8">
        <f ca="1">+VLOOKUP($A8,INDIRECT(Adrese!C$2),2,FALSE)</f>
        <v>7</v>
      </c>
      <c r="D8">
        <f ca="1">+VLOOKUP($A8,INDIRECT(Adrese!D$2),2,FALSE)</f>
        <v>8</v>
      </c>
      <c r="E8">
        <f ca="1">+VLOOKUP($A8,INDIRECT(Adrese!E$2),2,FALSE)</f>
        <v>5</v>
      </c>
      <c r="F8">
        <f ca="1">+VLOOKUP($A8,INDIRECT(Adrese!F$2),2,FALSE)</f>
        <v>2</v>
      </c>
      <c r="G8" s="6">
        <f t="shared" ca="1" si="0"/>
        <v>4.8</v>
      </c>
      <c r="J8" s="3" t="s">
        <v>88</v>
      </c>
      <c r="K8">
        <f ca="1">+VLOOKUP($A8,INDIRECT(Adrese!B$2),3,FALSE)</f>
        <v>13</v>
      </c>
      <c r="L8">
        <f ca="1">+VLOOKUP($A8,INDIRECT(Adrese!C$2),3,FALSE)</f>
        <v>11</v>
      </c>
      <c r="M8">
        <f ca="1">+VLOOKUP($A8,INDIRECT(Adrese!D$2),3,FALSE)</f>
        <v>13</v>
      </c>
      <c r="N8">
        <f ca="1">+VLOOKUP($A8,INDIRECT(Adrese!E$2),3,FALSE)</f>
        <v>11</v>
      </c>
      <c r="O8">
        <f ca="1">+VLOOKUP($A8,INDIRECT(Adrese!F$2),3,FALSE)</f>
        <v>12</v>
      </c>
      <c r="P8">
        <f t="shared" ca="1" si="1"/>
        <v>60</v>
      </c>
      <c r="Q8" s="6">
        <f t="shared" ca="1" si="2"/>
        <v>12</v>
      </c>
      <c r="R8" s="6"/>
      <c r="T8" s="3" t="s">
        <v>88</v>
      </c>
      <c r="U8">
        <f ca="1">+VLOOKUP($T8,INDIRECT(Adrese!B$2),4,FALSE)</f>
        <v>6616</v>
      </c>
      <c r="V8">
        <f ca="1">+VLOOKUP($T8,INDIRECT(Adrese!C$2),4,FALSE)</f>
        <v>6321</v>
      </c>
      <c r="W8">
        <f ca="1">+VLOOKUP($T8,INDIRECT(Adrese!D$2),4,FALSE)</f>
        <v>6281</v>
      </c>
      <c r="X8">
        <f ca="1">+VLOOKUP($T8,INDIRECT(Adrese!E$2),4,FALSE)</f>
        <v>6367</v>
      </c>
      <c r="Y8">
        <f ca="1">+VLOOKUP($T8,INDIRECT(Adrese!F$2),4,FALSE)</f>
        <v>6669</v>
      </c>
      <c r="Z8">
        <f t="shared" ca="1" si="3"/>
        <v>32254</v>
      </c>
      <c r="AA8" s="6">
        <f t="shared" ca="1" si="4"/>
        <v>6450.8</v>
      </c>
      <c r="AD8" s="3" t="s">
        <v>88</v>
      </c>
      <c r="AE8">
        <f ca="1">+VLOOKUP($A8,INDIRECT(Adrese!B$2),5,FALSE)</f>
        <v>1009</v>
      </c>
      <c r="AF8">
        <f ca="1">+VLOOKUP($A8,INDIRECT(Adrese!C$2),5,FALSE)</f>
        <v>964</v>
      </c>
      <c r="AG8">
        <f ca="1">+VLOOKUP($A8,INDIRECT(Adrese!D$2),5,FALSE)</f>
        <v>964</v>
      </c>
      <c r="AH8">
        <f ca="1">+VLOOKUP($A8,INDIRECT(Adrese!E$2),5,FALSE)</f>
        <v>1029</v>
      </c>
      <c r="AI8">
        <f ca="1">+VLOOKUP($A8,INDIRECT(Adrese!F$2),5,FALSE)</f>
        <v>1058</v>
      </c>
      <c r="AJ8" s="6">
        <f ca="1">AVERAGE(AE8:AI8)</f>
        <v>1004.8</v>
      </c>
      <c r="AK8" s="6">
        <f t="shared" ca="1" si="5"/>
        <v>41.118122525232103</v>
      </c>
      <c r="AM8" s="3" t="s">
        <v>88</v>
      </c>
      <c r="AN8" s="6">
        <f ca="1">+VLOOKUP($A8,INDIRECT(Adrese!B$2),6,FALSE)</f>
        <v>0.32500000000000001</v>
      </c>
      <c r="AO8" s="6">
        <f ca="1">+VLOOKUP($A8,INDIRECT(Adrese!C$2),6,FALSE)</f>
        <v>0.308</v>
      </c>
      <c r="AP8" s="6">
        <f ca="1">+VLOOKUP($A8,INDIRECT(Adrese!D$2),6,FALSE)</f>
        <v>0.30599999999999999</v>
      </c>
      <c r="AQ8" s="6">
        <f ca="1">+VLOOKUP($A8,INDIRECT(Adrese!E$2),6,FALSE)</f>
        <v>0.33600000000000002</v>
      </c>
      <c r="AR8" s="6">
        <f ca="1">+VLOOKUP($A8,INDIRECT(Adrese!F$2),6,FALSE)</f>
        <v>0.34066666699999998</v>
      </c>
      <c r="AS8" s="6" t="str">
        <f t="shared" ca="1" si="6"/>
        <v>0.32 (0.02)</v>
      </c>
      <c r="AT8" s="6">
        <f t="shared" ca="1" si="7"/>
        <v>0.32313333340000006</v>
      </c>
      <c r="AU8" s="6">
        <f t="shared" ca="1" si="8"/>
        <v>1.5803656490754849E-2</v>
      </c>
      <c r="AW8" s="3" t="s">
        <v>88</v>
      </c>
      <c r="AX8" s="6">
        <f ca="1">+VLOOKUP($A8,INDIRECT(Adrese!B$2),7,FALSE)</f>
        <v>0.133333333</v>
      </c>
      <c r="AY8" s="6">
        <f ca="1">+VLOOKUP($A8,INDIRECT(Adrese!C$2),7,FALSE)</f>
        <v>0.26666666700000002</v>
      </c>
      <c r="AZ8" s="6">
        <f ca="1">+VLOOKUP($A8,INDIRECT(Adrese!D$2),7,FALSE)</f>
        <v>0.133333333</v>
      </c>
      <c r="BA8" s="6">
        <f ca="1">+VLOOKUP($A8,INDIRECT(Adrese!E$2),7,FALSE)</f>
        <v>0.26666666700000002</v>
      </c>
      <c r="BB8" s="6">
        <f ca="1">+VLOOKUP($A8,INDIRECT(Adrese!F$2),7,FALSE)</f>
        <v>0.2</v>
      </c>
      <c r="BC8" s="6" t="str">
        <f t="shared" ca="1" si="9"/>
        <v>0.20 (0.07)</v>
      </c>
      <c r="BD8">
        <f t="shared" ca="1" si="10"/>
        <v>0.2</v>
      </c>
      <c r="BE8" s="6">
        <f t="shared" ca="1" si="11"/>
        <v>6.6666667000000027E-2</v>
      </c>
      <c r="BG8" s="3" t="s">
        <v>88</v>
      </c>
      <c r="BH8" s="6">
        <f ca="1">+VLOOKUP($BG8,INDIRECT(Adrese!B$2),8,FALSE)</f>
        <v>0.19581111000000001</v>
      </c>
      <c r="BI8" s="6">
        <f ca="1">+VLOOKUP($BG8,INDIRECT(Adrese!C$2),8,FALSE)</f>
        <v>0.18200419100000001</v>
      </c>
      <c r="BJ8" s="6">
        <f ca="1">+VLOOKUP($BG8,INDIRECT(Adrese!D$2),8,FALSE)</f>
        <v>0.19426647399999999</v>
      </c>
      <c r="BK8" s="6">
        <f ca="1">+VLOOKUP($BG8,INDIRECT(Adrese!E$2),8,FALSE)</f>
        <v>0.19969905700000001</v>
      </c>
      <c r="BL8" s="6">
        <f ca="1">+VLOOKUP($BG8,INDIRECT(Adrese!F$2),8,FALSE)</f>
        <v>0.20461261</v>
      </c>
      <c r="BM8" s="6" t="str">
        <f t="shared" ca="1" si="12"/>
        <v>0.20 (0.01)</v>
      </c>
      <c r="BN8" s="6">
        <f t="shared" ca="1" si="13"/>
        <v>0.19527868840000001</v>
      </c>
      <c r="BO8" s="6">
        <f t="shared" ca="1" si="14"/>
        <v>8.4288504994621469E-3</v>
      </c>
      <c r="BQ8" s="3" t="s">
        <v>88</v>
      </c>
      <c r="BR8" s="6">
        <f ca="1">+VLOOKUP($BG8,INDIRECT(Adrese!B$2),9,FALSE)</f>
        <v>0.35100026299999998</v>
      </c>
      <c r="BS8" s="6">
        <f ca="1">+VLOOKUP($BG8,INDIRECT(Adrese!C$2),9,FALSE)</f>
        <v>0.31533491600000002</v>
      </c>
      <c r="BT8" s="6">
        <f ca="1">+VLOOKUP($BG8,INDIRECT(Adrese!D$2),9,FALSE)</f>
        <v>0.35963893600000002</v>
      </c>
      <c r="BU8" s="6">
        <f ca="1">+VLOOKUP($BG8,INDIRECT(Adrese!E$2),9,FALSE)</f>
        <v>0.37276035299999999</v>
      </c>
      <c r="BV8" s="6">
        <f ca="1">+VLOOKUP($BG8,INDIRECT(Adrese!F$2),9,FALSE)</f>
        <v>0.39992574199999997</v>
      </c>
      <c r="BW8" s="6" t="str">
        <f t="shared" ca="1" si="15"/>
        <v>0.36 (0.03)</v>
      </c>
      <c r="BX8" s="6">
        <f t="shared" ca="1" si="16"/>
        <v>0.35973204200000003</v>
      </c>
      <c r="BY8" s="6">
        <f t="shared" ca="1" si="17"/>
        <v>3.0954110540825874E-2</v>
      </c>
    </row>
    <row r="9" spans="1:77" x14ac:dyDescent="0.25">
      <c r="A9" s="3" t="s">
        <v>87</v>
      </c>
      <c r="B9">
        <f ca="1">+VLOOKUP($A9,INDIRECT(Adrese!B$2),2,FALSE)</f>
        <v>10</v>
      </c>
      <c r="C9">
        <f ca="1">+VLOOKUP($A9,INDIRECT(Adrese!C$2),2,FALSE)</f>
        <v>5</v>
      </c>
      <c r="D9">
        <f ca="1">+VLOOKUP($A9,INDIRECT(Adrese!D$2),2,FALSE)</f>
        <v>12</v>
      </c>
      <c r="E9">
        <f ca="1">+VLOOKUP($A9,INDIRECT(Adrese!E$2),2,FALSE)</f>
        <v>3</v>
      </c>
      <c r="F9">
        <f ca="1">+VLOOKUP($A9,INDIRECT(Adrese!F$2),2,FALSE)</f>
        <v>4</v>
      </c>
      <c r="G9" s="6">
        <f t="shared" ca="1" si="0"/>
        <v>6.8</v>
      </c>
      <c r="J9" s="3" t="s">
        <v>87</v>
      </c>
      <c r="K9">
        <f ca="1">+VLOOKUP($A9,INDIRECT(Adrese!B$2),3,FALSE)</f>
        <v>10</v>
      </c>
      <c r="L9">
        <f ca="1">+VLOOKUP($A9,INDIRECT(Adrese!C$2),3,FALSE)</f>
        <v>9</v>
      </c>
      <c r="M9">
        <f ca="1">+VLOOKUP($A9,INDIRECT(Adrese!D$2),3,FALSE)</f>
        <v>9</v>
      </c>
      <c r="N9">
        <f ca="1">+VLOOKUP($A9,INDIRECT(Adrese!E$2),3,FALSE)</f>
        <v>11</v>
      </c>
      <c r="O9">
        <f ca="1">+VLOOKUP($A9,INDIRECT(Adrese!F$2),3,FALSE)</f>
        <v>11</v>
      </c>
      <c r="P9">
        <f t="shared" ca="1" si="1"/>
        <v>50</v>
      </c>
      <c r="Q9" s="6">
        <f t="shared" ca="1" si="2"/>
        <v>10</v>
      </c>
      <c r="R9" s="6"/>
      <c r="T9" s="3" t="s">
        <v>87</v>
      </c>
      <c r="U9">
        <f ca="1">+VLOOKUP($T9,INDIRECT(Adrese!B$2),4,FALSE)</f>
        <v>6030</v>
      </c>
      <c r="V9">
        <f ca="1">+VLOOKUP($T9,INDIRECT(Adrese!C$2),4,FALSE)</f>
        <v>6409</v>
      </c>
      <c r="W9">
        <f ca="1">+VLOOKUP($T9,INDIRECT(Adrese!D$2),4,FALSE)</f>
        <v>5952</v>
      </c>
      <c r="X9">
        <f ca="1">+VLOOKUP($T9,INDIRECT(Adrese!E$2),4,FALSE)</f>
        <v>6405</v>
      </c>
      <c r="Y9">
        <f ca="1">+VLOOKUP($T9,INDIRECT(Adrese!F$2),4,FALSE)</f>
        <v>6547</v>
      </c>
      <c r="Z9">
        <f t="shared" ca="1" si="3"/>
        <v>31343</v>
      </c>
      <c r="AA9" s="6">
        <f t="shared" ca="1" si="4"/>
        <v>6268.6</v>
      </c>
      <c r="AD9" s="3" t="s">
        <v>87</v>
      </c>
      <c r="AE9">
        <f ca="1">+VLOOKUP($A9,INDIRECT(Adrese!B$2),5,FALSE)</f>
        <v>855</v>
      </c>
      <c r="AF9">
        <f ca="1">+VLOOKUP($A9,INDIRECT(Adrese!C$2),5,FALSE)</f>
        <v>946</v>
      </c>
      <c r="AG9">
        <f ca="1">+VLOOKUP($A9,INDIRECT(Adrese!D$2),5,FALSE)</f>
        <v>900</v>
      </c>
      <c r="AH9">
        <f ca="1">+VLOOKUP($A9,INDIRECT(Adrese!E$2),5,FALSE)</f>
        <v>938</v>
      </c>
      <c r="AI9">
        <f ca="1">+VLOOKUP($A9,INDIRECT(Adrese!F$2),5,FALSE)</f>
        <v>960</v>
      </c>
      <c r="AJ9" s="6">
        <f ca="1">AVERAGE(AE9:AI9)</f>
        <v>919.8</v>
      </c>
      <c r="AK9" s="6">
        <f t="shared" ca="1" si="5"/>
        <v>42.499411760634992</v>
      </c>
      <c r="AM9" s="3" t="s">
        <v>87</v>
      </c>
      <c r="AN9" s="6">
        <f ca="1">+VLOOKUP($A9,INDIRECT(Adrese!B$2),6,FALSE)</f>
        <v>0.27300000000000002</v>
      </c>
      <c r="AO9" s="6">
        <f ca="1">+VLOOKUP($A9,INDIRECT(Adrese!C$2),6,FALSE)</f>
        <v>0.28933333300000003</v>
      </c>
      <c r="AP9" s="6">
        <f ca="1">+VLOOKUP($A9,INDIRECT(Adrese!D$2),6,FALSE)</f>
        <v>0.28333333300000002</v>
      </c>
      <c r="AQ9" s="6">
        <f ca="1">+VLOOKUP($A9,INDIRECT(Adrese!E$2),6,FALSE)</f>
        <v>0.29399999999999998</v>
      </c>
      <c r="AR9" s="6">
        <f ca="1">+VLOOKUP($A9,INDIRECT(Adrese!F$2),6,FALSE)</f>
        <v>0.30433333299999998</v>
      </c>
      <c r="AS9" s="6" t="str">
        <f t="shared" ca="1" si="6"/>
        <v>0.29 (0.01)</v>
      </c>
      <c r="AT9" s="6">
        <f t="shared" ca="1" si="7"/>
        <v>0.28879999980000004</v>
      </c>
      <c r="AU9" s="6">
        <f t="shared" ca="1" si="8"/>
        <v>1.1706123678086881E-2</v>
      </c>
      <c r="AW9" s="3" t="s">
        <v>87</v>
      </c>
      <c r="AX9" s="6">
        <f ca="1">+VLOOKUP($A9,INDIRECT(Adrese!B$2),7,FALSE)</f>
        <v>0.33333333300000001</v>
      </c>
      <c r="AY9" s="6">
        <f ca="1">+VLOOKUP($A9,INDIRECT(Adrese!C$2),7,FALSE)</f>
        <v>0.4</v>
      </c>
      <c r="AZ9" s="6">
        <f ca="1">+VLOOKUP($A9,INDIRECT(Adrese!D$2),7,FALSE)</f>
        <v>0.4</v>
      </c>
      <c r="BA9" s="6">
        <f ca="1">+VLOOKUP($A9,INDIRECT(Adrese!E$2),7,FALSE)</f>
        <v>0.26666666700000002</v>
      </c>
      <c r="BB9" s="6">
        <f ca="1">+VLOOKUP($A9,INDIRECT(Adrese!F$2),7,FALSE)</f>
        <v>0.26666666700000002</v>
      </c>
      <c r="BC9" s="6" t="str">
        <f t="shared" ca="1" si="9"/>
        <v>0.33 (0.07)</v>
      </c>
      <c r="BD9">
        <f t="shared" ca="1" si="10"/>
        <v>0.33333333339999999</v>
      </c>
      <c r="BE9" s="6">
        <f t="shared" ca="1" si="11"/>
        <v>6.6666666500000415E-2</v>
      </c>
      <c r="BG9" s="3" t="s">
        <v>87</v>
      </c>
      <c r="BH9" s="6">
        <f ca="1">+VLOOKUP($BG9,INDIRECT(Adrese!B$2),8,FALSE)</f>
        <v>0.16001716899999999</v>
      </c>
      <c r="BI9" s="6">
        <f ca="1">+VLOOKUP($BG9,INDIRECT(Adrese!C$2),8,FALSE)</f>
        <v>0.17865452900000001</v>
      </c>
      <c r="BJ9" s="6">
        <f ca="1">+VLOOKUP($BG9,INDIRECT(Adrese!D$2),8,FALSE)</f>
        <v>0.16715174999999999</v>
      </c>
      <c r="BK9" s="6">
        <f ca="1">+VLOOKUP($BG9,INDIRECT(Adrese!E$2),8,FALSE)</f>
        <v>0.179346547</v>
      </c>
      <c r="BL9" s="6">
        <f ca="1">+VLOOKUP($BG9,INDIRECT(Adrese!F$2),8,FALSE)</f>
        <v>0.18691680399999999</v>
      </c>
      <c r="BM9" s="6" t="str">
        <f t="shared" ca="1" si="12"/>
        <v>0.17 (0.01)</v>
      </c>
      <c r="BN9" s="6">
        <f t="shared" ca="1" si="13"/>
        <v>0.17441735979999998</v>
      </c>
      <c r="BO9" s="6">
        <f t="shared" ca="1" si="14"/>
        <v>1.0707954700049482E-2</v>
      </c>
      <c r="BQ9" s="3" t="s">
        <v>87</v>
      </c>
      <c r="BR9" s="6">
        <f ca="1">+VLOOKUP($BG9,INDIRECT(Adrese!B$2),9,FALSE)</f>
        <v>0.32404840000000001</v>
      </c>
      <c r="BS9" s="6">
        <f ca="1">+VLOOKUP($BG9,INDIRECT(Adrese!C$2),9,FALSE)</f>
        <v>0.32713726700000001</v>
      </c>
      <c r="BT9" s="6">
        <f ca="1">+VLOOKUP($BG9,INDIRECT(Adrese!D$2),9,FALSE)</f>
        <v>0.291450775</v>
      </c>
      <c r="BU9" s="6">
        <f ca="1">+VLOOKUP($BG9,INDIRECT(Adrese!E$2),9,FALSE)</f>
        <v>0.304687869</v>
      </c>
      <c r="BV9" s="6">
        <f ca="1">+VLOOKUP($BG9,INDIRECT(Adrese!F$2),9,FALSE)</f>
        <v>0.32528087</v>
      </c>
      <c r="BW9" s="6" t="str">
        <f t="shared" ca="1" si="15"/>
        <v>0.31 (0.02)</v>
      </c>
      <c r="BX9" s="6">
        <f t="shared" ca="1" si="16"/>
        <v>0.31452103619999999</v>
      </c>
      <c r="BY9" s="6">
        <f t="shared" ca="1" si="17"/>
        <v>1.5768973436779452E-2</v>
      </c>
    </row>
    <row r="10" spans="1:77" x14ac:dyDescent="0.25">
      <c r="A10" s="3" t="s">
        <v>12</v>
      </c>
      <c r="B10">
        <f ca="1">+VLOOKUP($A10,INDIRECT(Adrese!B$2),2,FALSE)</f>
        <v>7</v>
      </c>
      <c r="C10">
        <f ca="1">+VLOOKUP($A10,INDIRECT(Adrese!C$2),2,FALSE)</f>
        <v>6</v>
      </c>
      <c r="D10">
        <f ca="1">+VLOOKUP($A10,INDIRECT(Adrese!D$2),2,FALSE)</f>
        <v>3</v>
      </c>
      <c r="E10">
        <f ca="1">+VLOOKUP($A10,INDIRECT(Adrese!E$2),2,FALSE)</f>
        <v>8</v>
      </c>
      <c r="F10">
        <f ca="1">+VLOOKUP($A10,INDIRECT(Adrese!F$2),2,FALSE)</f>
        <v>9</v>
      </c>
      <c r="G10" s="6">
        <f t="shared" ca="1" si="0"/>
        <v>6.6</v>
      </c>
      <c r="J10" s="3" t="s">
        <v>12</v>
      </c>
      <c r="K10">
        <f ca="1">+VLOOKUP($A10,INDIRECT(Adrese!B$2),3,FALSE)</f>
        <v>13</v>
      </c>
      <c r="L10">
        <f ca="1">+VLOOKUP($A10,INDIRECT(Adrese!C$2),3,FALSE)</f>
        <v>14</v>
      </c>
      <c r="M10">
        <f ca="1">+VLOOKUP($A10,INDIRECT(Adrese!D$2),3,FALSE)</f>
        <v>15</v>
      </c>
      <c r="N10">
        <f ca="1">+VLOOKUP($A10,INDIRECT(Adrese!E$2),3,FALSE)</f>
        <v>14</v>
      </c>
      <c r="O10">
        <f ca="1">+VLOOKUP($A10,INDIRECT(Adrese!F$2),3,FALSE)</f>
        <v>13</v>
      </c>
      <c r="P10">
        <f t="shared" ca="1" si="1"/>
        <v>69</v>
      </c>
      <c r="Q10" s="6">
        <f t="shared" ca="1" si="2"/>
        <v>13.8</v>
      </c>
      <c r="R10" s="6"/>
      <c r="T10" s="3" t="s">
        <v>12</v>
      </c>
      <c r="U10">
        <f ca="1">+VLOOKUP($T10,INDIRECT(Adrese!B$2),4,FALSE)</f>
        <v>6347</v>
      </c>
      <c r="V10">
        <f ca="1">+VLOOKUP($T10,INDIRECT(Adrese!C$2),4,FALSE)</f>
        <v>6330</v>
      </c>
      <c r="W10">
        <f ca="1">+VLOOKUP($T10,INDIRECT(Adrese!D$2),4,FALSE)</f>
        <v>6494</v>
      </c>
      <c r="X10">
        <f ca="1">+VLOOKUP($T10,INDIRECT(Adrese!E$2),4,FALSE)</f>
        <v>6302</v>
      </c>
      <c r="Y10">
        <f ca="1">+VLOOKUP($T10,INDIRECT(Adrese!F$2),4,FALSE)</f>
        <v>6234</v>
      </c>
      <c r="Z10">
        <f t="shared" ca="1" si="3"/>
        <v>31707</v>
      </c>
      <c r="AA10" s="6">
        <f t="shared" ca="1" si="4"/>
        <v>6341.4</v>
      </c>
      <c r="AD10" s="3" t="s">
        <v>12</v>
      </c>
      <c r="AE10">
        <f ca="1">+VLOOKUP($A10,INDIRECT(Adrese!B$2),5,FALSE)</f>
        <v>398</v>
      </c>
      <c r="AF10">
        <f ca="1">+VLOOKUP($A10,INDIRECT(Adrese!C$2),5,FALSE)</f>
        <v>396</v>
      </c>
      <c r="AG10">
        <f ca="1">+VLOOKUP($A10,INDIRECT(Adrese!D$2),5,FALSE)</f>
        <v>384</v>
      </c>
      <c r="AH10">
        <f ca="1">+VLOOKUP($A10,INDIRECT(Adrese!E$2),5,FALSE)</f>
        <v>386</v>
      </c>
      <c r="AI10">
        <f ca="1">+VLOOKUP($A10,INDIRECT(Adrese!F$2),5,FALSE)</f>
        <v>384</v>
      </c>
      <c r="AJ10" s="6">
        <f ca="1">AVERAGE(AE10:AI10)</f>
        <v>389.6</v>
      </c>
      <c r="AK10" s="6">
        <f t="shared" ca="1" si="5"/>
        <v>6.8410525505948279</v>
      </c>
      <c r="AM10" s="3" t="s">
        <v>12</v>
      </c>
      <c r="AN10" s="6">
        <f ca="1">+VLOOKUP($A10,INDIRECT(Adrese!B$2),6,FALSE)</f>
        <v>0.126</v>
      </c>
      <c r="AO10" s="6">
        <f ca="1">+VLOOKUP($A10,INDIRECT(Adrese!C$2),6,FALSE)</f>
        <v>0.124333333</v>
      </c>
      <c r="AP10" s="6">
        <f ca="1">+VLOOKUP($A10,INDIRECT(Adrese!D$2),6,FALSE)</f>
        <v>0.12</v>
      </c>
      <c r="AQ10" s="6">
        <f ca="1">+VLOOKUP($A10,INDIRECT(Adrese!E$2),6,FALSE)</f>
        <v>0.12166666700000001</v>
      </c>
      <c r="AR10" s="6">
        <f ca="1">+VLOOKUP($A10,INDIRECT(Adrese!F$2),6,FALSE)</f>
        <v>0.121333333</v>
      </c>
      <c r="AS10" s="6" t="str">
        <f t="shared" ca="1" si="6"/>
        <v>0.12 (0.00)</v>
      </c>
      <c r="AT10" s="6">
        <f t="shared" ca="1" si="7"/>
        <v>0.1226666666</v>
      </c>
      <c r="AU10" s="6">
        <f t="shared" ca="1" si="8"/>
        <v>2.4381230941489208E-3</v>
      </c>
      <c r="AW10" s="3" t="s">
        <v>12</v>
      </c>
      <c r="AX10" s="6">
        <f ca="1">+VLOOKUP($A10,INDIRECT(Adrese!B$2),7,FALSE)</f>
        <v>0.133333333</v>
      </c>
      <c r="AY10" s="6">
        <f ca="1">+VLOOKUP($A10,INDIRECT(Adrese!C$2),7,FALSE)</f>
        <v>6.6666666999999999E-2</v>
      </c>
      <c r="AZ10" s="6">
        <f ca="1">+VLOOKUP($A10,INDIRECT(Adrese!D$2),7,FALSE)</f>
        <v>0</v>
      </c>
      <c r="BA10" s="6">
        <f ca="1">+VLOOKUP($A10,INDIRECT(Adrese!E$2),7,FALSE)</f>
        <v>6.6666666999999999E-2</v>
      </c>
      <c r="BB10" s="6">
        <f ca="1">+VLOOKUP($A10,INDIRECT(Adrese!F$2),7,FALSE)</f>
        <v>0.133333333</v>
      </c>
      <c r="BC10" s="6" t="str">
        <f t="shared" ca="1" si="9"/>
        <v>0.08 (0.06)</v>
      </c>
      <c r="BD10">
        <f t="shared" ca="1" si="10"/>
        <v>0.08</v>
      </c>
      <c r="BE10" s="6">
        <f t="shared" ca="1" si="11"/>
        <v>5.5777334903066918E-2</v>
      </c>
      <c r="BG10" s="3" t="s">
        <v>12</v>
      </c>
      <c r="BH10" s="6">
        <f ca="1">+VLOOKUP($BG10,INDIRECT(Adrese!B$2),8,FALSE)</f>
        <v>6.6918455000000002E-2</v>
      </c>
      <c r="BI10" s="6">
        <f ca="1">+VLOOKUP($BG10,INDIRECT(Adrese!C$2),8,FALSE)</f>
        <v>6.8210668000000002E-2</v>
      </c>
      <c r="BJ10" s="6">
        <f ca="1">+VLOOKUP($BG10,INDIRECT(Adrese!D$2),8,FALSE)</f>
        <v>6.5401634E-2</v>
      </c>
      <c r="BK10" s="6">
        <f ca="1">+VLOOKUP($BG10,INDIRECT(Adrese!E$2),8,FALSE)</f>
        <v>6.8610604000000006E-2</v>
      </c>
      <c r="BL10" s="6">
        <f ca="1">+VLOOKUP($BG10,INDIRECT(Adrese!F$2),8,FALSE)</f>
        <v>6.4574264000000006E-2</v>
      </c>
      <c r="BM10" s="6" t="str">
        <f t="shared" ca="1" si="12"/>
        <v>0.07 (0.00)</v>
      </c>
      <c r="BN10" s="6">
        <f t="shared" ca="1" si="13"/>
        <v>6.6743125E-2</v>
      </c>
      <c r="BO10" s="6">
        <f t="shared" ca="1" si="14"/>
        <v>1.7446673767219927E-3</v>
      </c>
      <c r="BQ10" s="3" t="s">
        <v>12</v>
      </c>
      <c r="BR10" s="6">
        <f ca="1">+VLOOKUP($BG10,INDIRECT(Adrese!B$2),9,FALSE)</f>
        <v>0.33032940100000002</v>
      </c>
      <c r="BS10" s="6">
        <f ca="1">+VLOOKUP($BG10,INDIRECT(Adrese!C$2),9,FALSE)</f>
        <v>0.33929256200000002</v>
      </c>
      <c r="BT10" s="6">
        <f ca="1">+VLOOKUP($BG10,INDIRECT(Adrese!D$2),9,FALSE)</f>
        <v>0.30634312000000002</v>
      </c>
      <c r="BU10" s="6">
        <f ca="1">+VLOOKUP($BG10,INDIRECT(Adrese!E$2),9,FALSE)</f>
        <v>0.29083639900000002</v>
      </c>
      <c r="BV10" s="6">
        <f ca="1">+VLOOKUP($BG10,INDIRECT(Adrese!F$2),9,FALSE)</f>
        <v>0.31382642900000002</v>
      </c>
      <c r="BW10" s="6" t="str">
        <f t="shared" ca="1" si="15"/>
        <v>0.32 (0.02)</v>
      </c>
      <c r="BX10" s="6">
        <f t="shared" ca="1" si="16"/>
        <v>0.31612558220000003</v>
      </c>
      <c r="BY10" s="6">
        <f t="shared" ca="1" si="17"/>
        <v>1.9228773235775487E-2</v>
      </c>
    </row>
    <row r="11" spans="1:77" x14ac:dyDescent="0.25">
      <c r="A11" s="3" t="s">
        <v>90</v>
      </c>
      <c r="B11">
        <f ca="1">+VLOOKUP($A11,INDIRECT(Adrese!B$2),2,FALSE)</f>
        <v>6</v>
      </c>
      <c r="C11">
        <f ca="1">+VLOOKUP($A11,INDIRECT(Adrese!C$2),2,FALSE)</f>
        <v>9</v>
      </c>
      <c r="D11">
        <f ca="1">+VLOOKUP($A11,INDIRECT(Adrese!D$2),2,FALSE)</f>
        <v>10</v>
      </c>
      <c r="E11">
        <f ca="1">+VLOOKUP($A11,INDIRECT(Adrese!E$2),2,FALSE)</f>
        <v>7</v>
      </c>
      <c r="F11">
        <f ca="1">+VLOOKUP($A11,INDIRECT(Adrese!F$2),2,FALSE)</f>
        <v>8</v>
      </c>
      <c r="G11" s="6">
        <f t="shared" ca="1" si="0"/>
        <v>8</v>
      </c>
      <c r="J11" s="3" t="s">
        <v>90</v>
      </c>
      <c r="K11">
        <f ca="1">+VLOOKUP($A11,INDIRECT(Adrese!B$2),3,FALSE)</f>
        <v>14</v>
      </c>
      <c r="L11">
        <f ca="1">+VLOOKUP($A11,INDIRECT(Adrese!C$2),3,FALSE)</f>
        <v>14</v>
      </c>
      <c r="M11">
        <f ca="1">+VLOOKUP($A11,INDIRECT(Adrese!D$2),3,FALSE)</f>
        <v>12</v>
      </c>
      <c r="N11">
        <f ca="1">+VLOOKUP($A11,INDIRECT(Adrese!E$2),3,FALSE)</f>
        <v>14</v>
      </c>
      <c r="O11">
        <f ca="1">+VLOOKUP($A11,INDIRECT(Adrese!F$2),3,FALSE)</f>
        <v>14</v>
      </c>
      <c r="P11">
        <f t="shared" ca="1" si="1"/>
        <v>68</v>
      </c>
      <c r="Q11" s="6">
        <f t="shared" ca="1" si="2"/>
        <v>13.6</v>
      </c>
      <c r="R11" s="6"/>
      <c r="T11" s="3" t="s">
        <v>90</v>
      </c>
      <c r="U11">
        <f ca="1">+VLOOKUP($T11,INDIRECT(Adrese!B$2),4,FALSE)</f>
        <v>6362</v>
      </c>
      <c r="V11">
        <f ca="1">+VLOOKUP($T11,INDIRECT(Adrese!C$2),4,FALSE)</f>
        <v>6288</v>
      </c>
      <c r="W11">
        <f ca="1">+VLOOKUP($T11,INDIRECT(Adrese!D$2),4,FALSE)</f>
        <v>6191</v>
      </c>
      <c r="X11">
        <f ca="1">+VLOOKUP($T11,INDIRECT(Adrese!E$2),4,FALSE)</f>
        <v>6336</v>
      </c>
      <c r="Y11">
        <f ca="1">+VLOOKUP($T11,INDIRECT(Adrese!F$2),4,FALSE)</f>
        <v>6277</v>
      </c>
      <c r="Z11">
        <f t="shared" ca="1" si="3"/>
        <v>31454</v>
      </c>
      <c r="AA11" s="6">
        <f t="shared" ca="1" si="4"/>
        <v>6290.8</v>
      </c>
      <c r="AD11" s="3" t="s">
        <v>90</v>
      </c>
      <c r="AE11">
        <f ca="1">+VLOOKUP($A11,INDIRECT(Adrese!B$2),5,FALSE)</f>
        <v>431</v>
      </c>
      <c r="AF11">
        <f ca="1">+VLOOKUP($A11,INDIRECT(Adrese!C$2),5,FALSE)</f>
        <v>461</v>
      </c>
      <c r="AG11">
        <f ca="1">+VLOOKUP($A11,INDIRECT(Adrese!D$2),5,FALSE)</f>
        <v>481</v>
      </c>
      <c r="AH11">
        <f ca="1">+VLOOKUP($A11,INDIRECT(Adrese!E$2),5,FALSE)</f>
        <v>446</v>
      </c>
      <c r="AI11">
        <f ca="1">+VLOOKUP($A11,INDIRECT(Adrese!F$2),5,FALSE)</f>
        <v>515</v>
      </c>
      <c r="AJ11" s="6">
        <f ca="1">AVERAGE(AE11:AI11)</f>
        <v>466.8</v>
      </c>
      <c r="AK11" s="6">
        <f t="shared" ca="1" si="5"/>
        <v>32.683329083800508</v>
      </c>
      <c r="AM11" s="3" t="s">
        <v>90</v>
      </c>
      <c r="AN11" s="6">
        <f ca="1">+VLOOKUP($A11,INDIRECT(Adrese!B$2),6,FALSE)</f>
        <v>0.13500000000000001</v>
      </c>
      <c r="AO11" s="6">
        <f ca="1">+VLOOKUP($A11,INDIRECT(Adrese!C$2),6,FALSE)</f>
        <v>0.144666667</v>
      </c>
      <c r="AP11" s="6">
        <f ca="1">+VLOOKUP($A11,INDIRECT(Adrese!D$2),6,FALSE)</f>
        <v>0.15033333300000001</v>
      </c>
      <c r="AQ11" s="6">
        <f ca="1">+VLOOKUP($A11,INDIRECT(Adrese!E$2),6,FALSE)</f>
        <v>0.13966666699999999</v>
      </c>
      <c r="AR11" s="6">
        <f ca="1">+VLOOKUP($A11,INDIRECT(Adrese!F$2),6,FALSE)</f>
        <v>0.16200000000000001</v>
      </c>
      <c r="AS11" s="6" t="str">
        <f t="shared" ca="1" si="6"/>
        <v>0.15 (0.01)</v>
      </c>
      <c r="AT11" s="6">
        <f t="shared" ca="1" si="7"/>
        <v>0.14633333340000002</v>
      </c>
      <c r="AU11" s="6">
        <f t="shared" ca="1" si="8"/>
        <v>1.0453601088726427E-2</v>
      </c>
      <c r="AW11" s="3" t="s">
        <v>90</v>
      </c>
      <c r="AX11" s="6">
        <f ca="1">+VLOOKUP($A11,INDIRECT(Adrese!B$2),7,FALSE)</f>
        <v>6.6666666999999999E-2</v>
      </c>
      <c r="AY11" s="6">
        <f ca="1">+VLOOKUP($A11,INDIRECT(Adrese!C$2),7,FALSE)</f>
        <v>6.6666666999999999E-2</v>
      </c>
      <c r="AZ11" s="6">
        <f ca="1">+VLOOKUP($A11,INDIRECT(Adrese!D$2),7,FALSE)</f>
        <v>0.2</v>
      </c>
      <c r="BA11" s="6">
        <f ca="1">+VLOOKUP($A11,INDIRECT(Adrese!E$2),7,FALSE)</f>
        <v>6.6666666999999999E-2</v>
      </c>
      <c r="BB11" s="6">
        <f ca="1">+VLOOKUP($A11,INDIRECT(Adrese!F$2),7,FALSE)</f>
        <v>6.6666666999999999E-2</v>
      </c>
      <c r="BC11" s="6" t="str">
        <f t="shared" ca="1" si="9"/>
        <v>0.09 (0.06)</v>
      </c>
      <c r="BD11">
        <f t="shared" ca="1" si="10"/>
        <v>9.3333333599999999E-2</v>
      </c>
      <c r="BE11" s="6">
        <f t="shared" ca="1" si="11"/>
        <v>5.9628479250923204E-2</v>
      </c>
      <c r="BG11" s="3" t="s">
        <v>90</v>
      </c>
      <c r="BH11" s="6">
        <f ca="1">+VLOOKUP($BG11,INDIRECT(Adrese!B$2),8,FALSE)</f>
        <v>7.1760178999999993E-2</v>
      </c>
      <c r="BI11" s="6">
        <f ca="1">+VLOOKUP($BG11,INDIRECT(Adrese!C$2),8,FALSE)</f>
        <v>7.9228662000000005E-2</v>
      </c>
      <c r="BJ11" s="6">
        <f ca="1">+VLOOKUP($BG11,INDIRECT(Adrese!D$2),8,FALSE)</f>
        <v>8.1852613000000005E-2</v>
      </c>
      <c r="BK11" s="6">
        <f ca="1">+VLOOKUP($BG11,INDIRECT(Adrese!E$2),8,FALSE)</f>
        <v>7.8523501999999995E-2</v>
      </c>
      <c r="BL11" s="6">
        <f ca="1">+VLOOKUP($BG11,INDIRECT(Adrese!F$2),8,FALSE)</f>
        <v>9.3730839999999996E-2</v>
      </c>
      <c r="BM11" s="6" t="str">
        <f t="shared" ca="1" si="12"/>
        <v>0.08 (0.01)</v>
      </c>
      <c r="BN11" s="6">
        <f t="shared" ca="1" si="13"/>
        <v>8.1019159199999996E-2</v>
      </c>
      <c r="BO11" s="6">
        <f t="shared" ca="1" si="14"/>
        <v>8.0225365911433342E-3</v>
      </c>
      <c r="BQ11" s="3" t="s">
        <v>90</v>
      </c>
      <c r="BR11" s="6">
        <f ca="1">+VLOOKUP($BG11,INDIRECT(Adrese!B$2),9,FALSE)</f>
        <v>0.30955440200000001</v>
      </c>
      <c r="BS11" s="6">
        <f ca="1">+VLOOKUP($BG11,INDIRECT(Adrese!C$2),9,FALSE)</f>
        <v>0.31539207400000002</v>
      </c>
      <c r="BT11" s="6">
        <f ca="1">+VLOOKUP($BG11,INDIRECT(Adrese!D$2),9,FALSE)</f>
        <v>0.30252062499999999</v>
      </c>
      <c r="BU11" s="6">
        <f ca="1">+VLOOKUP($BG11,INDIRECT(Adrese!E$2),9,FALSE)</f>
        <v>0.28188242099999999</v>
      </c>
      <c r="BV11" s="6">
        <f ca="1">+VLOOKUP($BG11,INDIRECT(Adrese!F$2),9,FALSE)</f>
        <v>0.31975629799999999</v>
      </c>
      <c r="BW11" s="6" t="str">
        <f t="shared" ca="1" si="15"/>
        <v>0.31 (0.01)</v>
      </c>
      <c r="BX11" s="6">
        <f t="shared" ca="1" si="16"/>
        <v>0.30582116400000003</v>
      </c>
      <c r="BY11" s="6">
        <f t="shared" ca="1" si="17"/>
        <v>1.4863414125809644E-2</v>
      </c>
    </row>
    <row r="12" spans="1:77" x14ac:dyDescent="0.25">
      <c r="A12" s="3" t="s">
        <v>91</v>
      </c>
      <c r="B12">
        <f ca="1">+VLOOKUP($A12,INDIRECT(Adrese!B$2),2,FALSE)</f>
        <v>11</v>
      </c>
      <c r="C12">
        <f ca="1">+VLOOKUP($A12,INDIRECT(Adrese!C$2),2,FALSE)</f>
        <v>12</v>
      </c>
      <c r="D12">
        <f ca="1">+VLOOKUP($A12,INDIRECT(Adrese!D$2),2,FALSE)</f>
        <v>11</v>
      </c>
      <c r="E12">
        <f ca="1">+VLOOKUP($A12,INDIRECT(Adrese!E$2),2,FALSE)</f>
        <v>11</v>
      </c>
      <c r="F12">
        <f ca="1">+VLOOKUP($A12,INDIRECT(Adrese!F$2),2,FALSE)</f>
        <v>11</v>
      </c>
      <c r="G12" s="6">
        <f t="shared" ca="1" si="0"/>
        <v>11.2</v>
      </c>
      <c r="J12" s="3" t="s">
        <v>91</v>
      </c>
      <c r="K12">
        <f ca="1">+VLOOKUP($A12,INDIRECT(Adrese!B$2),3,FALSE)</f>
        <v>9</v>
      </c>
      <c r="L12">
        <f ca="1">+VLOOKUP($A12,INDIRECT(Adrese!C$2),3,FALSE)</f>
        <v>7</v>
      </c>
      <c r="M12">
        <f ca="1">+VLOOKUP($A12,INDIRECT(Adrese!D$2),3,FALSE)</f>
        <v>9</v>
      </c>
      <c r="N12">
        <f ca="1">+VLOOKUP($A12,INDIRECT(Adrese!E$2),3,FALSE)</f>
        <v>8</v>
      </c>
      <c r="O12">
        <f ca="1">+VLOOKUP($A12,INDIRECT(Adrese!F$2),3,FALSE)</f>
        <v>8</v>
      </c>
      <c r="P12">
        <f t="shared" ca="1" si="1"/>
        <v>41</v>
      </c>
      <c r="Q12" s="6">
        <f t="shared" ca="1" si="2"/>
        <v>8.1999999999999993</v>
      </c>
      <c r="R12" s="6"/>
      <c r="T12" s="3" t="s">
        <v>91</v>
      </c>
      <c r="U12">
        <f ca="1">+VLOOKUP($T12,INDIRECT(Adrese!B$2),4,FALSE)</f>
        <v>5927</v>
      </c>
      <c r="V12">
        <f ca="1">+VLOOKUP($T12,INDIRECT(Adrese!C$2),4,FALSE)</f>
        <v>5801</v>
      </c>
      <c r="W12">
        <f ca="1">+VLOOKUP($T12,INDIRECT(Adrese!D$2),4,FALSE)</f>
        <v>6101</v>
      </c>
      <c r="X12">
        <f ca="1">+VLOOKUP($T12,INDIRECT(Adrese!E$2),4,FALSE)</f>
        <v>5976</v>
      </c>
      <c r="Y12">
        <f ca="1">+VLOOKUP($T12,INDIRECT(Adrese!F$2),4,FALSE)</f>
        <v>5917</v>
      </c>
      <c r="Z12">
        <f t="shared" ca="1" si="3"/>
        <v>29722</v>
      </c>
      <c r="AA12" s="6">
        <f t="shared" ca="1" si="4"/>
        <v>5944.4</v>
      </c>
      <c r="AD12" s="3" t="s">
        <v>91</v>
      </c>
      <c r="AE12">
        <f ca="1">+VLOOKUP($A12,INDIRECT(Adrese!B$2),5,FALSE)</f>
        <v>1469</v>
      </c>
      <c r="AF12">
        <f ca="1">+VLOOKUP($A12,INDIRECT(Adrese!C$2),5,FALSE)</f>
        <v>1499</v>
      </c>
      <c r="AG12">
        <f ca="1">+VLOOKUP($A12,INDIRECT(Adrese!D$2),5,FALSE)</f>
        <v>1390</v>
      </c>
      <c r="AH12">
        <f ca="1">+VLOOKUP($A12,INDIRECT(Adrese!E$2),5,FALSE)</f>
        <v>1275</v>
      </c>
      <c r="AI12">
        <f ca="1">+VLOOKUP($A12,INDIRECT(Adrese!F$2),5,FALSE)</f>
        <v>1465</v>
      </c>
      <c r="AJ12" s="6">
        <f ca="1">AVERAGE(AE12:AI12)</f>
        <v>1419.6</v>
      </c>
      <c r="AK12" s="6">
        <f t="shared" ca="1" si="5"/>
        <v>90.265164930885717</v>
      </c>
      <c r="AM12" s="3" t="s">
        <v>91</v>
      </c>
      <c r="AN12" s="6">
        <f ca="1">+VLOOKUP($A12,INDIRECT(Adrese!B$2),6,FALSE)</f>
        <v>0.46066666699999997</v>
      </c>
      <c r="AO12" s="6">
        <f ca="1">+VLOOKUP($A12,INDIRECT(Adrese!C$2),6,FALSE)</f>
        <v>0.48599999999999999</v>
      </c>
      <c r="AP12" s="6">
        <f ca="1">+VLOOKUP($A12,INDIRECT(Adrese!D$2),6,FALSE)</f>
        <v>0.447333333</v>
      </c>
      <c r="AQ12" s="6">
        <f ca="1">+VLOOKUP($A12,INDIRECT(Adrese!E$2),6,FALSE)</f>
        <v>0.372</v>
      </c>
      <c r="AR12" s="6">
        <f ca="1">+VLOOKUP($A12,INDIRECT(Adrese!F$2),6,FALSE)</f>
        <v>0.47666666699999999</v>
      </c>
      <c r="AS12" s="6" t="str">
        <f t="shared" ca="1" si="6"/>
        <v>0.45 (0.05)</v>
      </c>
      <c r="AT12" s="6">
        <f t="shared" ca="1" si="7"/>
        <v>0.44853333340000001</v>
      </c>
      <c r="AU12" s="6">
        <f t="shared" ca="1" si="8"/>
        <v>4.5280361284139745E-2</v>
      </c>
      <c r="AW12" s="3" t="s">
        <v>91</v>
      </c>
      <c r="AX12" s="6">
        <f ca="1">+VLOOKUP($A12,INDIRECT(Adrese!B$2),7,FALSE)</f>
        <v>0.4</v>
      </c>
      <c r="AY12" s="6">
        <f ca="1">+VLOOKUP($A12,INDIRECT(Adrese!C$2),7,FALSE)</f>
        <v>0.53333333299999997</v>
      </c>
      <c r="AZ12" s="6">
        <f ca="1">+VLOOKUP($A12,INDIRECT(Adrese!D$2),7,FALSE)</f>
        <v>0.4</v>
      </c>
      <c r="BA12" s="6">
        <f ca="1">+VLOOKUP($A12,INDIRECT(Adrese!E$2),7,FALSE)</f>
        <v>0.46666666699999998</v>
      </c>
      <c r="BB12" s="6">
        <f ca="1">+VLOOKUP($A12,INDIRECT(Adrese!F$2),7,FALSE)</f>
        <v>0.46666666699999998</v>
      </c>
      <c r="BC12" s="6" t="str">
        <f t="shared" ca="1" si="9"/>
        <v>0.45 (0.06)</v>
      </c>
      <c r="BD12">
        <f t="shared" ca="1" si="10"/>
        <v>0.45333333339999998</v>
      </c>
      <c r="BE12" s="6">
        <f t="shared" ca="1" si="11"/>
        <v>5.5777335022590364E-2</v>
      </c>
      <c r="BG12" s="3" t="s">
        <v>91</v>
      </c>
      <c r="BH12" s="6">
        <f ca="1">+VLOOKUP($BG12,INDIRECT(Adrese!B$2),8,FALSE)</f>
        <v>0.24600736200000001</v>
      </c>
      <c r="BI12" s="6">
        <f ca="1">+VLOOKUP($BG12,INDIRECT(Adrese!C$2),8,FALSE)</f>
        <v>0.25417690599999998</v>
      </c>
      <c r="BJ12" s="6">
        <f ca="1">+VLOOKUP($BG12,INDIRECT(Adrese!D$2),8,FALSE)</f>
        <v>0.23748643999999999</v>
      </c>
      <c r="BK12" s="6">
        <f ca="1">+VLOOKUP($BG12,INDIRECT(Adrese!E$2),8,FALSE)</f>
        <v>0.203291588</v>
      </c>
      <c r="BL12" s="6">
        <f ca="1">+VLOOKUP($BG12,INDIRECT(Adrese!F$2),8,FALSE)</f>
        <v>0.23829393200000001</v>
      </c>
      <c r="BM12" s="6" t="str">
        <f t="shared" ca="1" si="12"/>
        <v>0.24 (0.02)</v>
      </c>
      <c r="BN12" s="6">
        <f t="shared" ca="1" si="13"/>
        <v>0.23585124559999998</v>
      </c>
      <c r="BO12" s="6">
        <f t="shared" ca="1" si="14"/>
        <v>1.9414868078551622E-2</v>
      </c>
      <c r="BQ12" s="3" t="s">
        <v>91</v>
      </c>
      <c r="BR12" s="6">
        <f ca="1">+VLOOKUP($BG12,INDIRECT(Adrese!B$2),9,FALSE)</f>
        <v>0.120710426</v>
      </c>
      <c r="BS12" s="6">
        <f ca="1">+VLOOKUP($BG12,INDIRECT(Adrese!C$2),9,FALSE)</f>
        <v>3.9577624999999998E-2</v>
      </c>
      <c r="BT12" s="6">
        <f ca="1">+VLOOKUP($BG12,INDIRECT(Adrese!D$2),9,FALSE)</f>
        <v>6.7056684000000005E-2</v>
      </c>
      <c r="BU12" s="6">
        <f ca="1">+VLOOKUP($BG12,INDIRECT(Adrese!E$2),9,FALSE)</f>
        <v>0.122342995</v>
      </c>
      <c r="BV12" s="6">
        <f ca="1">+VLOOKUP($BG12,INDIRECT(Adrese!F$2),9,FALSE)</f>
        <v>3.0673760000000001E-2</v>
      </c>
      <c r="BW12" s="6" t="str">
        <f t="shared" ca="1" si="15"/>
        <v>0.08 (0.04)</v>
      </c>
      <c r="BX12" s="6">
        <f t="shared" ca="1" si="16"/>
        <v>7.6072297999999997E-2</v>
      </c>
      <c r="BY12" s="6">
        <f t="shared" ca="1" si="17"/>
        <v>4.3611092562333156E-2</v>
      </c>
    </row>
    <row r="13" spans="1:77" x14ac:dyDescent="0.25">
      <c r="A13" s="3" t="s">
        <v>92</v>
      </c>
      <c r="B13">
        <f ca="1">+VLOOKUP($A13,INDIRECT(Adrese!B$2),2,FALSE)</f>
        <v>1</v>
      </c>
      <c r="C13">
        <f ca="1">+VLOOKUP($A13,INDIRECT(Adrese!C$2),2,FALSE)</f>
        <v>1</v>
      </c>
      <c r="D13">
        <f ca="1">+VLOOKUP($A13,INDIRECT(Adrese!D$2),2,FALSE)</f>
        <v>2</v>
      </c>
      <c r="E13">
        <f ca="1">+VLOOKUP($A13,INDIRECT(Adrese!E$2),2,FALSE)</f>
        <v>2</v>
      </c>
      <c r="F13">
        <f ca="1">+VLOOKUP($A13,INDIRECT(Adrese!F$2),2,FALSE)</f>
        <v>1</v>
      </c>
      <c r="G13" s="6">
        <f t="shared" ca="1" si="0"/>
        <v>1.4</v>
      </c>
      <c r="J13" s="3" t="s">
        <v>92</v>
      </c>
      <c r="K13">
        <f ca="1">+VLOOKUP($A13,INDIRECT(Adrese!B$2),3,FALSE)</f>
        <v>10</v>
      </c>
      <c r="L13">
        <f ca="1">+VLOOKUP($A13,INDIRECT(Adrese!C$2),3,FALSE)</f>
        <v>7</v>
      </c>
      <c r="M13">
        <f ca="1">+VLOOKUP($A13,INDIRECT(Adrese!D$2),3,FALSE)</f>
        <v>9</v>
      </c>
      <c r="N13">
        <f ca="1">+VLOOKUP($A13,INDIRECT(Adrese!E$2),3,FALSE)</f>
        <v>7</v>
      </c>
      <c r="O13">
        <f ca="1">+VLOOKUP($A13,INDIRECT(Adrese!F$2),3,FALSE)</f>
        <v>8</v>
      </c>
      <c r="P13">
        <f t="shared" ca="1" si="1"/>
        <v>41</v>
      </c>
      <c r="Q13" s="6">
        <f t="shared" ca="1" si="2"/>
        <v>8.1999999999999993</v>
      </c>
      <c r="R13" s="6"/>
      <c r="T13" s="3" t="s">
        <v>92</v>
      </c>
      <c r="U13">
        <f ca="1">+VLOOKUP($T13,INDIRECT(Adrese!B$2),4,FALSE)</f>
        <v>6999</v>
      </c>
      <c r="V13">
        <f ca="1">+VLOOKUP($T13,INDIRECT(Adrese!C$2),4,FALSE)</f>
        <v>6836</v>
      </c>
      <c r="W13">
        <f ca="1">+VLOOKUP($T13,INDIRECT(Adrese!D$2),4,FALSE)</f>
        <v>6533</v>
      </c>
      <c r="X13">
        <f ca="1">+VLOOKUP($T13,INDIRECT(Adrese!E$2),4,FALSE)</f>
        <v>6707</v>
      </c>
      <c r="Y13">
        <f ca="1">+VLOOKUP($T13,INDIRECT(Adrese!F$2),4,FALSE)</f>
        <v>6861</v>
      </c>
      <c r="Z13">
        <f t="shared" ca="1" si="3"/>
        <v>33936</v>
      </c>
      <c r="AA13" s="6">
        <f t="shared" ca="1" si="4"/>
        <v>6787.2</v>
      </c>
      <c r="AD13" s="3" t="s">
        <v>92</v>
      </c>
      <c r="AE13">
        <f ca="1">+VLOOKUP($A13,INDIRECT(Adrese!B$2),5,FALSE)</f>
        <v>1150</v>
      </c>
      <c r="AF13">
        <f ca="1">+VLOOKUP($A13,INDIRECT(Adrese!C$2),5,FALSE)</f>
        <v>1168</v>
      </c>
      <c r="AG13">
        <f ca="1">+VLOOKUP($A13,INDIRECT(Adrese!D$2),5,FALSE)</f>
        <v>1010</v>
      </c>
      <c r="AH13">
        <f ca="1">+VLOOKUP($A13,INDIRECT(Adrese!E$2),5,FALSE)</f>
        <v>1210</v>
      </c>
      <c r="AI13">
        <f ca="1">+VLOOKUP($A13,INDIRECT(Adrese!F$2),5,FALSE)</f>
        <v>1143</v>
      </c>
      <c r="AJ13" s="6">
        <f ca="1">AVERAGE(AE13:AI13)</f>
        <v>1136.2</v>
      </c>
      <c r="AK13" s="6">
        <f t="shared" ca="1" si="5"/>
        <v>75.201063822262512</v>
      </c>
      <c r="AM13" s="3" t="s">
        <v>92</v>
      </c>
      <c r="AN13" s="6">
        <f ca="1">+VLOOKUP($A13,INDIRECT(Adrese!B$2),6,FALSE)</f>
        <v>0.37633333299999999</v>
      </c>
      <c r="AO13" s="6">
        <f ca="1">+VLOOKUP($A13,INDIRECT(Adrese!C$2),6,FALSE)</f>
        <v>0.382333333</v>
      </c>
      <c r="AP13" s="6">
        <f ca="1">+VLOOKUP($A13,INDIRECT(Adrese!D$2),6,FALSE)</f>
        <v>0.33066666700000003</v>
      </c>
      <c r="AQ13" s="6">
        <f ca="1">+VLOOKUP($A13,INDIRECT(Adrese!E$2),6,FALSE)</f>
        <v>0.39700000000000002</v>
      </c>
      <c r="AR13" s="6">
        <f ca="1">+VLOOKUP($A13,INDIRECT(Adrese!F$2),6,FALSE)</f>
        <v>0.37333333299999999</v>
      </c>
      <c r="AS13" s="6" t="str">
        <f t="shared" ca="1" si="6"/>
        <v>0.37 (0.02)</v>
      </c>
      <c r="AT13" s="6">
        <f t="shared" ca="1" si="7"/>
        <v>0.37193333319999999</v>
      </c>
      <c r="AU13" s="6">
        <f t="shared" ca="1" si="8"/>
        <v>2.480300141739122E-2</v>
      </c>
      <c r="AW13" s="3" t="s">
        <v>92</v>
      </c>
      <c r="AX13" s="6">
        <f ca="1">+VLOOKUP($A13,INDIRECT(Adrese!B$2),7,FALSE)</f>
        <v>0.33333333300000001</v>
      </c>
      <c r="AY13" s="6">
        <f ca="1">+VLOOKUP($A13,INDIRECT(Adrese!C$2),7,FALSE)</f>
        <v>0.53333333299999997</v>
      </c>
      <c r="AZ13" s="6">
        <f ca="1">+VLOOKUP($A13,INDIRECT(Adrese!D$2),7,FALSE)</f>
        <v>0.4</v>
      </c>
      <c r="BA13" s="6">
        <f ca="1">+VLOOKUP($A13,INDIRECT(Adrese!E$2),7,FALSE)</f>
        <v>0.53333333299999997</v>
      </c>
      <c r="BB13" s="6">
        <f ca="1">+VLOOKUP($A13,INDIRECT(Adrese!F$2),7,FALSE)</f>
        <v>0.46666666699999998</v>
      </c>
      <c r="BC13" s="6" t="str">
        <f t="shared" ca="1" si="9"/>
        <v>0.45 (0.09)</v>
      </c>
      <c r="BD13">
        <f t="shared" ca="1" si="10"/>
        <v>0.45333333319999997</v>
      </c>
      <c r="BE13" s="6">
        <f t="shared" ca="1" si="11"/>
        <v>8.6922698710470356E-2</v>
      </c>
      <c r="BG13" s="3" t="s">
        <v>92</v>
      </c>
      <c r="BH13" s="6">
        <f ca="1">+VLOOKUP($BG13,INDIRECT(Adrese!B$2),8,FALSE)</f>
        <v>0.20187438899999999</v>
      </c>
      <c r="BI13" s="6">
        <f ca="1">+VLOOKUP($BG13,INDIRECT(Adrese!C$2),8,FALSE)</f>
        <v>0.20066647100000001</v>
      </c>
      <c r="BJ13" s="6">
        <f ca="1">+VLOOKUP($BG13,INDIRECT(Adrese!D$2),8,FALSE)</f>
        <v>0.17886080400000001</v>
      </c>
      <c r="BK13" s="6">
        <f ca="1">+VLOOKUP($BG13,INDIRECT(Adrese!E$2),8,FALSE)</f>
        <v>0.199426299</v>
      </c>
      <c r="BL13" s="6">
        <f ca="1">+VLOOKUP($BG13,INDIRECT(Adrese!F$2),8,FALSE)</f>
        <v>0.19247476999999999</v>
      </c>
      <c r="BM13" s="6" t="str">
        <f t="shared" ca="1" si="12"/>
        <v>0.19 (0.01)</v>
      </c>
      <c r="BN13" s="6">
        <f t="shared" ca="1" si="13"/>
        <v>0.19466054660000001</v>
      </c>
      <c r="BO13" s="6">
        <f t="shared" ca="1" si="14"/>
        <v>9.5555289175955731E-3</v>
      </c>
      <c r="BQ13" s="3" t="s">
        <v>92</v>
      </c>
      <c r="BR13" s="6">
        <f ca="1">+VLOOKUP($BG13,INDIRECT(Adrese!B$2),9,FALSE)</f>
        <v>-2.5397345000000002E-2</v>
      </c>
      <c r="BS13" s="6">
        <f ca="1">+VLOOKUP($BG13,INDIRECT(Adrese!C$2),9,FALSE)</f>
        <v>-8.5535748999999994E-2</v>
      </c>
      <c r="BT13" s="6">
        <f ca="1">+VLOOKUP($BG13,INDIRECT(Adrese!D$2),9,FALSE)</f>
        <v>-1.4203884E-2</v>
      </c>
      <c r="BU13" s="6">
        <f ca="1">+VLOOKUP($BG13,INDIRECT(Adrese!E$2),9,FALSE)</f>
        <v>-0.20513937600000001</v>
      </c>
      <c r="BV13" s="6">
        <f ca="1">+VLOOKUP($BG13,INDIRECT(Adrese!F$2),9,FALSE)</f>
        <v>-0.15145338799999999</v>
      </c>
      <c r="BW13" s="6" t="str">
        <f t="shared" ca="1" si="15"/>
        <v>-0.10 (0.08)</v>
      </c>
      <c r="BX13" s="6">
        <f t="shared" ca="1" si="16"/>
        <v>-9.6345948399999992E-2</v>
      </c>
      <c r="BY13" s="6">
        <f t="shared" ca="1" si="17"/>
        <v>8.180880647521406E-2</v>
      </c>
    </row>
    <row r="14" spans="1:77" x14ac:dyDescent="0.25">
      <c r="A14" s="3" t="s">
        <v>93</v>
      </c>
      <c r="B14">
        <f ca="1">+VLOOKUP($A14,INDIRECT(Adrese!B$2),2,FALSE)</f>
        <v>5</v>
      </c>
      <c r="C14">
        <f ca="1">+VLOOKUP($A14,INDIRECT(Adrese!C$2),2,FALSE)</f>
        <v>4</v>
      </c>
      <c r="D14">
        <f ca="1">+VLOOKUP($A14,INDIRECT(Adrese!D$2),2,FALSE)</f>
        <v>4</v>
      </c>
      <c r="E14">
        <f ca="1">+VLOOKUP($A14,INDIRECT(Adrese!E$2),2,FALSE)</f>
        <v>6</v>
      </c>
      <c r="F14">
        <f ca="1">+VLOOKUP($A14,INDIRECT(Adrese!F$2),2,FALSE)</f>
        <v>5</v>
      </c>
      <c r="G14" s="6">
        <f t="shared" ca="1" si="0"/>
        <v>4.8</v>
      </c>
      <c r="J14" s="3" t="s">
        <v>93</v>
      </c>
      <c r="K14">
        <f ca="1">+VLOOKUP($A14,INDIRECT(Adrese!B$2),3,FALSE)</f>
        <v>9</v>
      </c>
      <c r="L14">
        <f ca="1">+VLOOKUP($A14,INDIRECT(Adrese!C$2),3,FALSE)</f>
        <v>9</v>
      </c>
      <c r="M14">
        <f ca="1">+VLOOKUP($A14,INDIRECT(Adrese!D$2),3,FALSE)</f>
        <v>9</v>
      </c>
      <c r="N14">
        <f ca="1">+VLOOKUP($A14,INDIRECT(Adrese!E$2),3,FALSE)</f>
        <v>9</v>
      </c>
      <c r="O14">
        <f ca="1">+VLOOKUP($A14,INDIRECT(Adrese!F$2),3,FALSE)</f>
        <v>9</v>
      </c>
      <c r="P14">
        <f t="shared" ca="1" si="1"/>
        <v>45</v>
      </c>
      <c r="Q14" s="6">
        <f t="shared" ca="1" si="2"/>
        <v>9</v>
      </c>
      <c r="R14" s="6"/>
      <c r="T14" s="3" t="s">
        <v>93</v>
      </c>
      <c r="U14">
        <f ca="1">+VLOOKUP($T14,INDIRECT(Adrese!B$2),4,FALSE)</f>
        <v>6446</v>
      </c>
      <c r="V14">
        <f ca="1">+VLOOKUP($T14,INDIRECT(Adrese!C$2),4,FALSE)</f>
        <v>6479</v>
      </c>
      <c r="W14">
        <f ca="1">+VLOOKUP($T14,INDIRECT(Adrese!D$2),4,FALSE)</f>
        <v>6469</v>
      </c>
      <c r="X14">
        <f ca="1">+VLOOKUP($T14,INDIRECT(Adrese!E$2),4,FALSE)</f>
        <v>6341</v>
      </c>
      <c r="Y14">
        <f ca="1">+VLOOKUP($T14,INDIRECT(Adrese!F$2),4,FALSE)</f>
        <v>6485</v>
      </c>
      <c r="Z14">
        <f t="shared" ca="1" si="3"/>
        <v>32220</v>
      </c>
      <c r="AA14" s="6">
        <f t="shared" ca="1" si="4"/>
        <v>6444</v>
      </c>
      <c r="AD14" s="3" t="s">
        <v>93</v>
      </c>
      <c r="AE14">
        <f ca="1">+VLOOKUP($A14,INDIRECT(Adrese!B$2),5,FALSE)</f>
        <v>1168</v>
      </c>
      <c r="AF14">
        <f ca="1">+VLOOKUP($A14,INDIRECT(Adrese!C$2),5,FALSE)</f>
        <v>1224</v>
      </c>
      <c r="AG14">
        <f ca="1">+VLOOKUP($A14,INDIRECT(Adrese!D$2),5,FALSE)</f>
        <v>1166</v>
      </c>
      <c r="AH14">
        <f ca="1">+VLOOKUP($A14,INDIRECT(Adrese!E$2),5,FALSE)</f>
        <v>1078</v>
      </c>
      <c r="AI14">
        <f ca="1">+VLOOKUP($A14,INDIRECT(Adrese!F$2),5,FALSE)</f>
        <v>1129</v>
      </c>
      <c r="AJ14" s="6">
        <f ca="1">AVERAGE(AE14:AI14)</f>
        <v>1153</v>
      </c>
      <c r="AK14" s="6">
        <f t="shared" ca="1" si="5"/>
        <v>53.9351462406472</v>
      </c>
      <c r="AM14" s="3" t="s">
        <v>93</v>
      </c>
      <c r="AN14" s="6">
        <f ca="1">+VLOOKUP($A14,INDIRECT(Adrese!B$2),6,FALSE)</f>
        <v>0.369666667</v>
      </c>
      <c r="AO14" s="6">
        <f ca="1">+VLOOKUP($A14,INDIRECT(Adrese!C$2),6,FALSE)</f>
        <v>0.387333333</v>
      </c>
      <c r="AP14" s="6">
        <f ca="1">+VLOOKUP($A14,INDIRECT(Adrese!D$2),6,FALSE)</f>
        <v>0.364666667</v>
      </c>
      <c r="AQ14" s="6">
        <f ca="1">+VLOOKUP($A14,INDIRECT(Adrese!E$2),6,FALSE)</f>
        <v>0.34166666699999998</v>
      </c>
      <c r="AR14" s="6">
        <f ca="1">+VLOOKUP($A14,INDIRECT(Adrese!F$2),6,FALSE)</f>
        <v>0.36233333299999998</v>
      </c>
      <c r="AS14" s="6" t="str">
        <f t="shared" ca="1" si="6"/>
        <v>0.37 (0.02)</v>
      </c>
      <c r="AT14" s="6">
        <f t="shared" ca="1" si="7"/>
        <v>0.36513333339999998</v>
      </c>
      <c r="AU14" s="6">
        <f t="shared" ca="1" si="8"/>
        <v>1.6371723393298187E-2</v>
      </c>
      <c r="AW14" s="3" t="s">
        <v>93</v>
      </c>
      <c r="AX14" s="6">
        <f ca="1">+VLOOKUP($A14,INDIRECT(Adrese!B$2),7,FALSE)</f>
        <v>0.4</v>
      </c>
      <c r="AY14" s="6">
        <f ca="1">+VLOOKUP($A14,INDIRECT(Adrese!C$2),7,FALSE)</f>
        <v>0.4</v>
      </c>
      <c r="AZ14" s="6">
        <f ca="1">+VLOOKUP($A14,INDIRECT(Adrese!D$2),7,FALSE)</f>
        <v>0.4</v>
      </c>
      <c r="BA14" s="6">
        <f ca="1">+VLOOKUP($A14,INDIRECT(Adrese!E$2),7,FALSE)</f>
        <v>0.4</v>
      </c>
      <c r="BB14" s="6">
        <f ca="1">+VLOOKUP($A14,INDIRECT(Adrese!F$2),7,FALSE)</f>
        <v>0.4</v>
      </c>
      <c r="BC14" s="6" t="str">
        <f t="shared" ca="1" si="9"/>
        <v>0.40 (0.00)</v>
      </c>
      <c r="BD14">
        <f t="shared" ca="1" si="10"/>
        <v>0.4</v>
      </c>
      <c r="BE14" s="6">
        <f t="shared" ca="1" si="11"/>
        <v>0</v>
      </c>
      <c r="BG14" s="3" t="s">
        <v>93</v>
      </c>
      <c r="BH14" s="6">
        <f ca="1">+VLOOKUP($BG14,INDIRECT(Adrese!B$2),8,FALSE)</f>
        <v>0.215281113</v>
      </c>
      <c r="BI14" s="6">
        <f ca="1">+VLOOKUP($BG14,INDIRECT(Adrese!C$2),8,FALSE)</f>
        <v>0.22846782600000001</v>
      </c>
      <c r="BJ14" s="6">
        <f ca="1">+VLOOKUP($BG14,INDIRECT(Adrese!D$2),8,FALSE)</f>
        <v>0.215463038</v>
      </c>
      <c r="BK14" s="6">
        <f ca="1">+VLOOKUP($BG14,INDIRECT(Adrese!E$2),8,FALSE)</f>
        <v>0.20611633600000001</v>
      </c>
      <c r="BL14" s="6">
        <f ca="1">+VLOOKUP($BG14,INDIRECT(Adrese!F$2),8,FALSE)</f>
        <v>0.21430770499999999</v>
      </c>
      <c r="BM14" s="6" t="str">
        <f t="shared" ca="1" si="12"/>
        <v>0.22 (0.01)</v>
      </c>
      <c r="BN14" s="6">
        <f t="shared" ca="1" si="13"/>
        <v>0.21592720360000001</v>
      </c>
      <c r="BO14" s="6">
        <f t="shared" ca="1" si="14"/>
        <v>8.0121156963555099E-3</v>
      </c>
      <c r="BQ14" s="3" t="s">
        <v>93</v>
      </c>
      <c r="BR14" s="6">
        <f ca="1">+VLOOKUP($BG14,INDIRECT(Adrese!B$2),9,FALSE)</f>
        <v>0.27083659300000001</v>
      </c>
      <c r="BS14" s="6">
        <f ca="1">+VLOOKUP($BG14,INDIRECT(Adrese!C$2),9,FALSE)</f>
        <v>0.289014932</v>
      </c>
      <c r="BT14" s="6">
        <f ca="1">+VLOOKUP($BG14,INDIRECT(Adrese!D$2),9,FALSE)</f>
        <v>0.27962774800000001</v>
      </c>
      <c r="BU14" s="6">
        <f ca="1">+VLOOKUP($BG14,INDIRECT(Adrese!E$2),9,FALSE)</f>
        <v>0.298618157</v>
      </c>
      <c r="BV14" s="6">
        <f ca="1">+VLOOKUP($BG14,INDIRECT(Adrese!F$2),9,FALSE)</f>
        <v>0.335622645</v>
      </c>
      <c r="BW14" s="6" t="str">
        <f t="shared" ca="1" si="15"/>
        <v>0.29 (0.03)</v>
      </c>
      <c r="BX14" s="6">
        <f t="shared" ca="1" si="16"/>
        <v>0.29474401499999997</v>
      </c>
      <c r="BY14" s="6">
        <f t="shared" ca="1" si="17"/>
        <v>2.5094621503597762E-2</v>
      </c>
    </row>
    <row r="15" spans="1:77" x14ac:dyDescent="0.25">
      <c r="A15" s="3" t="s">
        <v>94</v>
      </c>
      <c r="B15">
        <f ca="1">+VLOOKUP($A15,INDIRECT(Adrese!B$2),2,FALSE)</f>
        <v>9</v>
      </c>
      <c r="C15">
        <f ca="1">+VLOOKUP($A15,INDIRECT(Adrese!C$2),2,FALSE)</f>
        <v>8</v>
      </c>
      <c r="D15">
        <f ca="1">+VLOOKUP($A15,INDIRECT(Adrese!D$2),2,FALSE)</f>
        <v>5</v>
      </c>
      <c r="E15">
        <f ca="1">+VLOOKUP($A15,INDIRECT(Adrese!E$2),2,FALSE)</f>
        <v>10</v>
      </c>
      <c r="F15">
        <f ca="1">+VLOOKUP($A15,INDIRECT(Adrese!F$2),2,FALSE)</f>
        <v>7</v>
      </c>
      <c r="G15" s="6">
        <f t="shared" ca="1" si="0"/>
        <v>7.8</v>
      </c>
      <c r="J15" s="3" t="s">
        <v>94</v>
      </c>
      <c r="K15">
        <f ca="1">+VLOOKUP($A15,INDIRECT(Adrese!B$2),3,FALSE)</f>
        <v>9</v>
      </c>
      <c r="L15">
        <f ca="1">+VLOOKUP($A15,INDIRECT(Adrese!C$2),3,FALSE)</f>
        <v>7</v>
      </c>
      <c r="M15">
        <f ca="1">+VLOOKUP($A15,INDIRECT(Adrese!D$2),3,FALSE)</f>
        <v>8</v>
      </c>
      <c r="N15">
        <f ca="1">+VLOOKUP($A15,INDIRECT(Adrese!E$2),3,FALSE)</f>
        <v>7</v>
      </c>
      <c r="O15">
        <f ca="1">+VLOOKUP($A15,INDIRECT(Adrese!F$2),3,FALSE)</f>
        <v>7</v>
      </c>
      <c r="P15">
        <f t="shared" ca="1" si="1"/>
        <v>38</v>
      </c>
      <c r="Q15" s="6">
        <f t="shared" ca="1" si="2"/>
        <v>7.6</v>
      </c>
      <c r="R15" s="6"/>
      <c r="T15" s="3" t="s">
        <v>94</v>
      </c>
      <c r="U15">
        <f ca="1">+VLOOKUP($T15,INDIRECT(Adrese!B$2),4,FALSE)</f>
        <v>6307</v>
      </c>
      <c r="V15">
        <f ca="1">+VLOOKUP($T15,INDIRECT(Adrese!C$2),4,FALSE)</f>
        <v>6307</v>
      </c>
      <c r="W15">
        <f ca="1">+VLOOKUP($T15,INDIRECT(Adrese!D$2),4,FALSE)</f>
        <v>6377</v>
      </c>
      <c r="X15">
        <f ca="1">+VLOOKUP($T15,INDIRECT(Adrese!E$2),4,FALSE)</f>
        <v>6265</v>
      </c>
      <c r="Y15">
        <f ca="1">+VLOOKUP($T15,INDIRECT(Adrese!F$2),4,FALSE)</f>
        <v>6301</v>
      </c>
      <c r="Z15">
        <f t="shared" ca="1" si="3"/>
        <v>31557</v>
      </c>
      <c r="AA15" s="6">
        <f t="shared" ca="1" si="4"/>
        <v>6311.4</v>
      </c>
      <c r="AD15" s="3" t="s">
        <v>94</v>
      </c>
      <c r="AE15">
        <f ca="1">+VLOOKUP($A15,INDIRECT(Adrese!B$2),5,FALSE)</f>
        <v>1290</v>
      </c>
      <c r="AF15">
        <f ca="1">+VLOOKUP($A15,INDIRECT(Adrese!C$2),5,FALSE)</f>
        <v>1330</v>
      </c>
      <c r="AG15">
        <f ca="1">+VLOOKUP($A15,INDIRECT(Adrese!D$2),5,FALSE)</f>
        <v>1342</v>
      </c>
      <c r="AH15">
        <f ca="1">+VLOOKUP($A15,INDIRECT(Adrese!E$2),5,FALSE)</f>
        <v>1321</v>
      </c>
      <c r="AI15">
        <f ca="1">+VLOOKUP($A15,INDIRECT(Adrese!F$2),5,FALSE)</f>
        <v>1349</v>
      </c>
      <c r="AJ15" s="6">
        <f ca="1">AVERAGE(AE15:AI15)</f>
        <v>1326.4</v>
      </c>
      <c r="AK15" s="6">
        <f t="shared" ca="1" si="5"/>
        <v>23.028243528328424</v>
      </c>
      <c r="AM15" s="3" t="s">
        <v>94</v>
      </c>
      <c r="AN15" s="6">
        <f ca="1">+VLOOKUP($A15,INDIRECT(Adrese!B$2),6,FALSE)</f>
        <v>0.40833333300000002</v>
      </c>
      <c r="AO15" s="6">
        <f ca="1">+VLOOKUP($A15,INDIRECT(Adrese!C$2),6,FALSE)</f>
        <v>0.41899999999999998</v>
      </c>
      <c r="AP15" s="6">
        <f ca="1">+VLOOKUP($A15,INDIRECT(Adrese!D$2),6,FALSE)</f>
        <v>0.422666667</v>
      </c>
      <c r="AQ15" s="6">
        <f ca="1">+VLOOKUP($A15,INDIRECT(Adrese!E$2),6,FALSE)</f>
        <v>0.42233333299999998</v>
      </c>
      <c r="AR15" s="6">
        <f ca="1">+VLOOKUP($A15,INDIRECT(Adrese!F$2),6,FALSE)</f>
        <v>0.41699999999999998</v>
      </c>
      <c r="AS15" s="6" t="str">
        <f t="shared" ca="1" si="6"/>
        <v>0.42 (0.01)</v>
      </c>
      <c r="AT15" s="6">
        <f t="shared" ca="1" si="7"/>
        <v>0.41786666659999999</v>
      </c>
      <c r="AU15" s="6">
        <f t="shared" ca="1" si="8"/>
        <v>5.8290461846019145E-3</v>
      </c>
      <c r="AW15" s="3" t="s">
        <v>94</v>
      </c>
      <c r="AX15" s="6">
        <f ca="1">+VLOOKUP($A15,INDIRECT(Adrese!B$2),7,FALSE)</f>
        <v>0.4</v>
      </c>
      <c r="AY15" s="6">
        <f ca="1">+VLOOKUP($A15,INDIRECT(Adrese!C$2),7,FALSE)</f>
        <v>0.53333333299999997</v>
      </c>
      <c r="AZ15" s="6">
        <f ca="1">+VLOOKUP($A15,INDIRECT(Adrese!D$2),7,FALSE)</f>
        <v>0.46666666699999998</v>
      </c>
      <c r="BA15" s="6">
        <f ca="1">+VLOOKUP($A15,INDIRECT(Adrese!E$2),7,FALSE)</f>
        <v>0.53333333299999997</v>
      </c>
      <c r="BB15" s="6">
        <f ca="1">+VLOOKUP($A15,INDIRECT(Adrese!F$2),7,FALSE)</f>
        <v>0.53333333299999997</v>
      </c>
      <c r="BC15" s="6" t="str">
        <f t="shared" ca="1" si="9"/>
        <v>0.49 (0.06)</v>
      </c>
      <c r="BD15">
        <f t="shared" ca="1" si="10"/>
        <v>0.49333333319999995</v>
      </c>
      <c r="BE15" s="6">
        <f t="shared" ca="1" si="11"/>
        <v>5.9628479195022691E-2</v>
      </c>
      <c r="BG15" s="3" t="s">
        <v>94</v>
      </c>
      <c r="BH15" s="6">
        <f ca="1">+VLOOKUP($BG15,INDIRECT(Adrese!B$2),8,FALSE)</f>
        <v>0.24376541700000001</v>
      </c>
      <c r="BI15" s="6">
        <f ca="1">+VLOOKUP($BG15,INDIRECT(Adrese!C$2),8,FALSE)</f>
        <v>0.251985238</v>
      </c>
      <c r="BJ15" s="6">
        <f ca="1">+VLOOKUP($BG15,INDIRECT(Adrese!D$2),8,FALSE)</f>
        <v>0.25255804700000001</v>
      </c>
      <c r="BK15" s="6">
        <f ca="1">+VLOOKUP($BG15,INDIRECT(Adrese!E$2),8,FALSE)</f>
        <v>0.25343823500000001</v>
      </c>
      <c r="BL15" s="6">
        <f ca="1">+VLOOKUP($BG15,INDIRECT(Adrese!F$2),8,FALSE)</f>
        <v>0.25496834099999999</v>
      </c>
      <c r="BM15" s="6" t="str">
        <f t="shared" ca="1" si="12"/>
        <v>0.25 (0.00)</v>
      </c>
      <c r="BN15" s="6">
        <f t="shared" ca="1" si="13"/>
        <v>0.25134305560000003</v>
      </c>
      <c r="BO15" s="6">
        <f t="shared" ca="1" si="14"/>
        <v>4.3829693142546358E-3</v>
      </c>
      <c r="BQ15" s="3" t="s">
        <v>94</v>
      </c>
      <c r="BR15" s="6">
        <f ca="1">+VLOOKUP($BG15,INDIRECT(Adrese!B$2),9,FALSE)</f>
        <v>0.30270966999999999</v>
      </c>
      <c r="BS15" s="6">
        <f ca="1">+VLOOKUP($BG15,INDIRECT(Adrese!C$2),9,FALSE)</f>
        <v>0.302844375</v>
      </c>
      <c r="BT15" s="6">
        <f ca="1">+VLOOKUP($BG15,INDIRECT(Adrese!D$2),9,FALSE)</f>
        <v>0.30392065000000001</v>
      </c>
      <c r="BU15" s="6">
        <f ca="1">+VLOOKUP($BG15,INDIRECT(Adrese!E$2),9,FALSE)</f>
        <v>0.29633422999999998</v>
      </c>
      <c r="BV15" s="6">
        <f ca="1">+VLOOKUP($BG15,INDIRECT(Adrese!F$2),9,FALSE)</f>
        <v>0.25377928500000002</v>
      </c>
      <c r="BW15" s="6" t="str">
        <f t="shared" ca="1" si="15"/>
        <v>0.29 (0.02)</v>
      </c>
      <c r="BX15" s="6">
        <f t="shared" ca="1" si="16"/>
        <v>0.29191764199999998</v>
      </c>
      <c r="BY15" s="6">
        <f t="shared" ca="1" si="17"/>
        <v>2.1528899691317997E-2</v>
      </c>
    </row>
    <row r="16" spans="1:77" x14ac:dyDescent="0.25">
      <c r="A16" s="3" t="s">
        <v>96</v>
      </c>
      <c r="B16">
        <f ca="1">+VLOOKUP($A16,INDIRECT(Adrese!B$2),2,FALSE)</f>
        <v>16</v>
      </c>
      <c r="C16">
        <f ca="1">+VLOOKUP($A16,INDIRECT(Adrese!C$2),2,FALSE)</f>
        <v>16</v>
      </c>
      <c r="D16">
        <f ca="1">+VLOOKUP($A16,INDIRECT(Adrese!D$2),2,FALSE)</f>
        <v>14</v>
      </c>
      <c r="E16">
        <f ca="1">+VLOOKUP($A16,INDIRECT(Adrese!E$2),2,FALSE)</f>
        <v>15</v>
      </c>
      <c r="F16">
        <f ca="1">+VLOOKUP($A16,INDIRECT(Adrese!F$2),2,FALSE)</f>
        <v>14</v>
      </c>
      <c r="G16" s="6">
        <f t="shared" ca="1" si="0"/>
        <v>15</v>
      </c>
      <c r="J16" s="3" t="s">
        <v>96</v>
      </c>
      <c r="K16">
        <f ca="1">+VLOOKUP($A16,INDIRECT(Adrese!B$2),3,FALSE)</f>
        <v>2</v>
      </c>
      <c r="L16">
        <f ca="1">+VLOOKUP($A16,INDIRECT(Adrese!C$2),3,FALSE)</f>
        <v>4</v>
      </c>
      <c r="M16">
        <f ca="1">+VLOOKUP($A16,INDIRECT(Adrese!D$2),3,FALSE)</f>
        <v>2</v>
      </c>
      <c r="N16">
        <f ca="1">+VLOOKUP($A16,INDIRECT(Adrese!E$2),3,FALSE)</f>
        <v>4</v>
      </c>
      <c r="O16">
        <f ca="1">+VLOOKUP($A16,INDIRECT(Adrese!F$2),3,FALSE)</f>
        <v>4</v>
      </c>
      <c r="P16">
        <f t="shared" ca="1" si="1"/>
        <v>16</v>
      </c>
      <c r="Q16" s="6">
        <f t="shared" ca="1" si="2"/>
        <v>3.2</v>
      </c>
      <c r="R16" s="6"/>
      <c r="T16" s="3" t="s">
        <v>96</v>
      </c>
      <c r="U16">
        <f ca="1">+VLOOKUP($T16,INDIRECT(Adrese!B$2),4,FALSE)</f>
        <v>4808</v>
      </c>
      <c r="V16">
        <f ca="1">+VLOOKUP($T16,INDIRECT(Adrese!C$2),4,FALSE)</f>
        <v>5036</v>
      </c>
      <c r="W16">
        <f ca="1">+VLOOKUP($T16,INDIRECT(Adrese!D$2),4,FALSE)</f>
        <v>5216</v>
      </c>
      <c r="X16">
        <f ca="1">+VLOOKUP($T16,INDIRECT(Adrese!E$2),4,FALSE)</f>
        <v>5006</v>
      </c>
      <c r="Y16">
        <f ca="1">+VLOOKUP($T16,INDIRECT(Adrese!F$2),4,FALSE)</f>
        <v>5414</v>
      </c>
      <c r="Z16">
        <f t="shared" ca="1" si="3"/>
        <v>25480</v>
      </c>
      <c r="AA16" s="6">
        <f t="shared" ca="1" si="4"/>
        <v>5096</v>
      </c>
      <c r="AD16" s="3" t="s">
        <v>96</v>
      </c>
      <c r="AE16">
        <f ca="1">+VLOOKUP($A16,INDIRECT(Adrese!B$2),5,FALSE)</f>
        <v>1617</v>
      </c>
      <c r="AF16">
        <f ca="1">+VLOOKUP($A16,INDIRECT(Adrese!C$2),5,FALSE)</f>
        <v>1621</v>
      </c>
      <c r="AG16">
        <f ca="1">+VLOOKUP($A16,INDIRECT(Adrese!D$2),5,FALSE)</f>
        <v>1575</v>
      </c>
      <c r="AH16">
        <f ca="1">+VLOOKUP($A16,INDIRECT(Adrese!E$2),5,FALSE)</f>
        <v>1580</v>
      </c>
      <c r="AI16">
        <f ca="1">+VLOOKUP($A16,INDIRECT(Adrese!F$2),5,FALSE)</f>
        <v>1594</v>
      </c>
      <c r="AJ16" s="6">
        <f ca="1">AVERAGE(AE16:AI16)</f>
        <v>1597.4</v>
      </c>
      <c r="AK16" s="6">
        <f t="shared" ca="1" si="5"/>
        <v>20.959484726490775</v>
      </c>
      <c r="AM16" s="3" t="s">
        <v>96</v>
      </c>
      <c r="AN16" s="6">
        <f ca="1">+VLOOKUP($A16,INDIRECT(Adrese!B$2),6,FALSE)</f>
        <v>0.50466666699999996</v>
      </c>
      <c r="AO16" s="6">
        <f ca="1">+VLOOKUP($A16,INDIRECT(Adrese!C$2),6,FALSE)</f>
        <v>0.50766666699999996</v>
      </c>
      <c r="AP16" s="6">
        <f ca="1">+VLOOKUP($A16,INDIRECT(Adrese!D$2),6,FALSE)</f>
        <v>0.49099999999999999</v>
      </c>
      <c r="AQ16" s="6">
        <f ca="1">+VLOOKUP($A16,INDIRECT(Adrese!E$2),6,FALSE)</f>
        <v>0.49299999999999999</v>
      </c>
      <c r="AR16" s="6">
        <f ca="1">+VLOOKUP($A16,INDIRECT(Adrese!F$2),6,FALSE)</f>
        <v>0.49566666700000001</v>
      </c>
      <c r="AS16" s="6" t="str">
        <f t="shared" ca="1" si="6"/>
        <v>0.50 (0.01)</v>
      </c>
      <c r="AT16" s="6">
        <f t="shared" ca="1" si="7"/>
        <v>0.49840000020000003</v>
      </c>
      <c r="AU16" s="6">
        <f t="shared" ca="1" si="8"/>
        <v>7.3575359643474674E-3</v>
      </c>
      <c r="AW16" s="3" t="s">
        <v>96</v>
      </c>
      <c r="AX16" s="6">
        <f ca="1">+VLOOKUP($A16,INDIRECT(Adrese!B$2),7,FALSE)</f>
        <v>0.86666666699999995</v>
      </c>
      <c r="AY16" s="6">
        <f ca="1">+VLOOKUP($A16,INDIRECT(Adrese!C$2),7,FALSE)</f>
        <v>0.73333333300000003</v>
      </c>
      <c r="AZ16" s="6">
        <f ca="1">+VLOOKUP($A16,INDIRECT(Adrese!D$2),7,FALSE)</f>
        <v>0.86666666699999995</v>
      </c>
      <c r="BA16" s="6">
        <f ca="1">+VLOOKUP($A16,INDIRECT(Adrese!E$2),7,FALSE)</f>
        <v>0.73333333300000003</v>
      </c>
      <c r="BB16" s="6">
        <f ca="1">+VLOOKUP($A16,INDIRECT(Adrese!F$2),7,FALSE)</f>
        <v>0.73333333300000003</v>
      </c>
      <c r="BC16" s="6" t="str">
        <f t="shared" ca="1" si="9"/>
        <v>0.79 (0.07)</v>
      </c>
      <c r="BD16">
        <f t="shared" ca="1" si="10"/>
        <v>0.78666666660000006</v>
      </c>
      <c r="BE16" s="6">
        <f t="shared" ca="1" si="11"/>
        <v>7.3029674699170474E-2</v>
      </c>
      <c r="BG16" s="3" t="s">
        <v>96</v>
      </c>
      <c r="BH16" s="6">
        <f ca="1">+VLOOKUP($BG16,INDIRECT(Adrese!B$2),8,FALSE)</f>
        <v>0.27003128399999998</v>
      </c>
      <c r="BI16" s="6">
        <f ca="1">+VLOOKUP($BG16,INDIRECT(Adrese!C$2),8,FALSE)</f>
        <v>0.27993615900000002</v>
      </c>
      <c r="BJ16" s="6">
        <f ca="1">+VLOOKUP($BG16,INDIRECT(Adrese!D$2),8,FALSE)</f>
        <v>0.26341572699999999</v>
      </c>
      <c r="BK16" s="6">
        <f ca="1">+VLOOKUP($BG16,INDIRECT(Adrese!E$2),8,FALSE)</f>
        <v>0.27128781499999999</v>
      </c>
      <c r="BL16" s="6">
        <f ca="1">+VLOOKUP($BG16,INDIRECT(Adrese!F$2),8,FALSE)</f>
        <v>0.27554136499999998</v>
      </c>
      <c r="BM16" s="6" t="str">
        <f t="shared" ca="1" si="12"/>
        <v>0.27 (0.01)</v>
      </c>
      <c r="BN16" s="6">
        <f t="shared" ca="1" si="13"/>
        <v>0.27204247000000004</v>
      </c>
      <c r="BO16" s="6">
        <f t="shared" ca="1" si="14"/>
        <v>6.1965244357909304E-3</v>
      </c>
      <c r="BQ16" s="3" t="s">
        <v>96</v>
      </c>
      <c r="BR16" s="6">
        <f ca="1">+VLOOKUP($BG16,INDIRECT(Adrese!B$2),9,FALSE)</f>
        <v>-1.56665E-2</v>
      </c>
      <c r="BS16" s="6">
        <f ca="1">+VLOOKUP($BG16,INDIRECT(Adrese!C$2),9,FALSE)</f>
        <v>3.6202740000000001E-3</v>
      </c>
      <c r="BT16" s="6">
        <f ca="1">+VLOOKUP($BG16,INDIRECT(Adrese!D$2),9,FALSE)</f>
        <v>-2.8006229999999999E-3</v>
      </c>
      <c r="BU16" s="6">
        <f ca="1">+VLOOKUP($BG16,INDIRECT(Adrese!E$2),9,FALSE)</f>
        <v>6.5791529999999999E-3</v>
      </c>
      <c r="BV16" s="6">
        <f ca="1">+VLOOKUP($BG16,INDIRECT(Adrese!F$2),9,FALSE)</f>
        <v>9.5440790000000005E-3</v>
      </c>
      <c r="BW16" s="6" t="str">
        <f t="shared" ca="1" si="15"/>
        <v>0.00 (0.01)</v>
      </c>
      <c r="BX16" s="6">
        <f t="shared" ca="1" si="16"/>
        <v>2.552765999999998E-4</v>
      </c>
      <c r="BY16" s="6">
        <f t="shared" ca="1" si="17"/>
        <v>1.0005473036247678E-2</v>
      </c>
    </row>
    <row r="17" spans="1:77" x14ac:dyDescent="0.25">
      <c r="A17" s="3" t="s">
        <v>95</v>
      </c>
      <c r="B17">
        <f ca="1">+VLOOKUP($A17,INDIRECT(Adrese!B$2),2,FALSE)</f>
        <v>12</v>
      </c>
      <c r="C17">
        <f ca="1">+VLOOKUP($A17,INDIRECT(Adrese!C$2),2,FALSE)</f>
        <v>10</v>
      </c>
      <c r="D17">
        <f ca="1">+VLOOKUP($A17,INDIRECT(Adrese!D$2),2,FALSE)</f>
        <v>9</v>
      </c>
      <c r="E17">
        <f ca="1">+VLOOKUP($A17,INDIRECT(Adrese!E$2),2,FALSE)</f>
        <v>13</v>
      </c>
      <c r="F17">
        <f ca="1">+VLOOKUP($A17,INDIRECT(Adrese!F$2),2,FALSE)</f>
        <v>12</v>
      </c>
      <c r="G17" s="6">
        <f t="shared" ca="1" si="0"/>
        <v>11.2</v>
      </c>
      <c r="J17" s="3" t="s">
        <v>95</v>
      </c>
      <c r="K17">
        <f ca="1">+VLOOKUP($A17,INDIRECT(Adrese!B$2),3,FALSE)</f>
        <v>7</v>
      </c>
      <c r="L17">
        <f ca="1">+VLOOKUP($A17,INDIRECT(Adrese!C$2),3,FALSE)</f>
        <v>9</v>
      </c>
      <c r="M17">
        <f ca="1">+VLOOKUP($A17,INDIRECT(Adrese!D$2),3,FALSE)</f>
        <v>9</v>
      </c>
      <c r="N17">
        <f ca="1">+VLOOKUP($A17,INDIRECT(Adrese!E$2),3,FALSE)</f>
        <v>8</v>
      </c>
      <c r="O17">
        <f ca="1">+VLOOKUP($A17,INDIRECT(Adrese!F$2),3,FALSE)</f>
        <v>8</v>
      </c>
      <c r="P17">
        <f t="shared" ca="1" si="1"/>
        <v>41</v>
      </c>
      <c r="Q17" s="6">
        <f t="shared" ca="1" si="2"/>
        <v>8.1999999999999993</v>
      </c>
      <c r="R17" s="6"/>
      <c r="T17" s="3" t="s">
        <v>95</v>
      </c>
      <c r="U17">
        <f ca="1">+VLOOKUP($T17,INDIRECT(Adrese!B$2),4,FALSE)</f>
        <v>5862</v>
      </c>
      <c r="V17">
        <f ca="1">+VLOOKUP($T17,INDIRECT(Adrese!C$2),4,FALSE)</f>
        <v>6160</v>
      </c>
      <c r="W17">
        <f ca="1">+VLOOKUP($T17,INDIRECT(Adrese!D$2),4,FALSE)</f>
        <v>6192</v>
      </c>
      <c r="X17">
        <f ca="1">+VLOOKUP($T17,INDIRECT(Adrese!E$2),4,FALSE)</f>
        <v>5757</v>
      </c>
      <c r="Y17">
        <f ca="1">+VLOOKUP($T17,INDIRECT(Adrese!F$2),4,FALSE)</f>
        <v>5669</v>
      </c>
      <c r="Z17">
        <f t="shared" ca="1" si="3"/>
        <v>29640</v>
      </c>
      <c r="AA17" s="6">
        <f t="shared" ca="1" si="4"/>
        <v>5928</v>
      </c>
      <c r="AD17" s="3" t="s">
        <v>95</v>
      </c>
      <c r="AE17">
        <f ca="1">+VLOOKUP($A17,INDIRECT(Adrese!B$2),5,FALSE)</f>
        <v>1088</v>
      </c>
      <c r="AF17">
        <f ca="1">+VLOOKUP($A17,INDIRECT(Adrese!C$2),5,FALSE)</f>
        <v>1222</v>
      </c>
      <c r="AG17">
        <f ca="1">+VLOOKUP($A17,INDIRECT(Adrese!D$2),5,FALSE)</f>
        <v>1229</v>
      </c>
      <c r="AH17">
        <f ca="1">+VLOOKUP($A17,INDIRECT(Adrese!E$2),5,FALSE)</f>
        <v>1101</v>
      </c>
      <c r="AI17">
        <f ca="1">+VLOOKUP($A17,INDIRECT(Adrese!F$2),5,FALSE)</f>
        <v>1030</v>
      </c>
      <c r="AJ17" s="6">
        <f ca="1">AVERAGE(AE17:AI17)</f>
        <v>1134</v>
      </c>
      <c r="AK17" s="6">
        <f t="shared" ca="1" si="5"/>
        <v>87.735397645420178</v>
      </c>
      <c r="AM17" s="3" t="s">
        <v>95</v>
      </c>
      <c r="AN17" s="6">
        <f ca="1">+VLOOKUP($A17,INDIRECT(Adrese!B$2),6,FALSE)</f>
        <v>0.34566666699999998</v>
      </c>
      <c r="AO17" s="6">
        <f ca="1">+VLOOKUP($A17,INDIRECT(Adrese!C$2),6,FALSE)</f>
        <v>0.39500000000000002</v>
      </c>
      <c r="AP17" s="6">
        <f ca="1">+VLOOKUP($A17,INDIRECT(Adrese!D$2),6,FALSE)</f>
        <v>0.389333333</v>
      </c>
      <c r="AQ17" s="6">
        <f ca="1">+VLOOKUP($A17,INDIRECT(Adrese!E$2),6,FALSE)</f>
        <v>0.35166666699999999</v>
      </c>
      <c r="AR17" s="6">
        <f ca="1">+VLOOKUP($A17,INDIRECT(Adrese!F$2),6,FALSE)</f>
        <v>0.325333333</v>
      </c>
      <c r="AS17" s="6" t="str">
        <f t="shared" ca="1" si="6"/>
        <v>0.36 (0.03)</v>
      </c>
      <c r="AT17" s="6">
        <f t="shared" ca="1" si="7"/>
        <v>0.3614</v>
      </c>
      <c r="AU17" s="6">
        <f t="shared" ca="1" si="8"/>
        <v>2.9800633800120584E-2</v>
      </c>
      <c r="AW17" s="3" t="s">
        <v>95</v>
      </c>
      <c r="AX17" s="6">
        <f ca="1">+VLOOKUP($A17,INDIRECT(Adrese!B$2),7,FALSE)</f>
        <v>0.53333333299999997</v>
      </c>
      <c r="AY17" s="6">
        <f ca="1">+VLOOKUP($A17,INDIRECT(Adrese!C$2),7,FALSE)</f>
        <v>0.4</v>
      </c>
      <c r="AZ17" s="6">
        <f ca="1">+VLOOKUP($A17,INDIRECT(Adrese!D$2),7,FALSE)</f>
        <v>0.4</v>
      </c>
      <c r="BA17" s="6">
        <f ca="1">+VLOOKUP($A17,INDIRECT(Adrese!E$2),7,FALSE)</f>
        <v>0.46666666699999998</v>
      </c>
      <c r="BB17" s="6">
        <f ca="1">+VLOOKUP($A17,INDIRECT(Adrese!F$2),7,FALSE)</f>
        <v>0.46666666699999998</v>
      </c>
      <c r="BC17" s="6" t="str">
        <f t="shared" ca="1" si="9"/>
        <v>0.45 (0.06)</v>
      </c>
      <c r="BD17">
        <f t="shared" ca="1" si="10"/>
        <v>0.45333333339999998</v>
      </c>
      <c r="BE17" s="6">
        <f t="shared" ca="1" si="11"/>
        <v>5.5777335022590364E-2</v>
      </c>
      <c r="BG17" s="3" t="s">
        <v>95</v>
      </c>
      <c r="BH17" s="6">
        <f ca="1">+VLOOKUP($BG17,INDIRECT(Adrese!B$2),8,FALSE)</f>
        <v>0.21250180399999999</v>
      </c>
      <c r="BI17" s="6">
        <f ca="1">+VLOOKUP($BG17,INDIRECT(Adrese!C$2),8,FALSE)</f>
        <v>0.23649094800000001</v>
      </c>
      <c r="BJ17" s="6">
        <f ca="1">+VLOOKUP($BG17,INDIRECT(Adrese!D$2),8,FALSE)</f>
        <v>0.23558586000000001</v>
      </c>
      <c r="BK17" s="6">
        <f ca="1">+VLOOKUP($BG17,INDIRECT(Adrese!E$2),8,FALSE)</f>
        <v>0.21794090699999999</v>
      </c>
      <c r="BL17" s="6">
        <f ca="1">+VLOOKUP($BG17,INDIRECT(Adrese!F$2),8,FALSE)</f>
        <v>0.20308094199999999</v>
      </c>
      <c r="BM17" s="6" t="str">
        <f t="shared" ca="1" si="12"/>
        <v>0.22 (0.01)</v>
      </c>
      <c r="BN17" s="6">
        <f t="shared" ca="1" si="13"/>
        <v>0.22112009220000001</v>
      </c>
      <c r="BO17" s="6">
        <f t="shared" ca="1" si="14"/>
        <v>1.4622881864053252E-2</v>
      </c>
      <c r="BQ17" s="3" t="s">
        <v>95</v>
      </c>
      <c r="BR17" s="6">
        <f ca="1">+VLOOKUP($BG17,INDIRECT(Adrese!B$2),9,FALSE)</f>
        <v>0.327298221</v>
      </c>
      <c r="BS17" s="6">
        <f ca="1">+VLOOKUP($BG17,INDIRECT(Adrese!C$2),9,FALSE)</f>
        <v>0.321371821</v>
      </c>
      <c r="BT17" s="6">
        <f ca="1">+VLOOKUP($BG17,INDIRECT(Adrese!D$2),9,FALSE)</f>
        <v>0.30582660699999997</v>
      </c>
      <c r="BU17" s="6">
        <f ca="1">+VLOOKUP($BG17,INDIRECT(Adrese!E$2),9,FALSE)</f>
        <v>0.28312232700000001</v>
      </c>
      <c r="BV17" s="6">
        <f ca="1">+VLOOKUP($BG17,INDIRECT(Adrese!F$2),9,FALSE)</f>
        <v>0.25431482599999999</v>
      </c>
      <c r="BW17" s="6" t="str">
        <f t="shared" ca="1" si="15"/>
        <v>0.30 (0.03)</v>
      </c>
      <c r="BX17" s="6">
        <f t="shared" ca="1" si="16"/>
        <v>0.29838676040000001</v>
      </c>
      <c r="BY17" s="6">
        <f t="shared" ca="1" si="17"/>
        <v>2.997863910780264E-2</v>
      </c>
    </row>
    <row r="18" spans="1:77" x14ac:dyDescent="0.25">
      <c r="A18" s="4" t="s">
        <v>20</v>
      </c>
      <c r="B18" s="19">
        <f ca="1">+VLOOKUP($A18,INDIRECT(Adrese!B$2),2,FALSE)</f>
        <v>15</v>
      </c>
      <c r="C18" s="19">
        <f ca="1">+VLOOKUP($A18,INDIRECT(Adrese!C$2),2,FALSE)</f>
        <v>15</v>
      </c>
      <c r="D18" s="19">
        <f ca="1">+VLOOKUP($A18,INDIRECT(Adrese!D$2),2,FALSE)</f>
        <v>16</v>
      </c>
      <c r="E18" s="19">
        <f ca="1">+VLOOKUP($A18,INDIRECT(Adrese!E$2),2,FALSE)</f>
        <v>14</v>
      </c>
      <c r="F18" s="19">
        <f ca="1">+VLOOKUP($A18,INDIRECT(Adrese!F$2),2,FALSE)</f>
        <v>16</v>
      </c>
      <c r="G18" s="7">
        <f t="shared" ca="1" si="0"/>
        <v>15.2</v>
      </c>
      <c r="J18" s="4" t="s">
        <v>20</v>
      </c>
      <c r="K18" s="19">
        <f ca="1">+VLOOKUP($A18,INDIRECT(Adrese!B$2),3,FALSE)</f>
        <v>4</v>
      </c>
      <c r="L18" s="19">
        <f ca="1">+VLOOKUP($A18,INDIRECT(Adrese!C$2),3,FALSE)</f>
        <v>4</v>
      </c>
      <c r="M18" s="19">
        <f ca="1">+VLOOKUP($A18,INDIRECT(Adrese!D$2),3,FALSE)</f>
        <v>4</v>
      </c>
      <c r="N18" s="19">
        <f ca="1">+VLOOKUP($A18,INDIRECT(Adrese!E$2),3,FALSE)</f>
        <v>2</v>
      </c>
      <c r="O18" s="19">
        <f ca="1">+VLOOKUP($A18,INDIRECT(Adrese!F$2),3,FALSE)</f>
        <v>3</v>
      </c>
      <c r="P18">
        <f t="shared" ca="1" si="1"/>
        <v>17</v>
      </c>
      <c r="Q18" s="7">
        <f t="shared" ca="1" si="2"/>
        <v>3.4</v>
      </c>
      <c r="R18" s="21"/>
      <c r="T18" s="4" t="s">
        <v>20</v>
      </c>
      <c r="U18" s="19">
        <f ca="1">+VLOOKUP($T18,INDIRECT(Adrese!B$2),4,FALSE)</f>
        <v>5358</v>
      </c>
      <c r="V18" s="19">
        <f ca="1">+VLOOKUP($T18,INDIRECT(Adrese!C$2),4,FALSE)</f>
        <v>5047</v>
      </c>
      <c r="W18" s="19">
        <f ca="1">+VLOOKUP($T18,INDIRECT(Adrese!D$2),4,FALSE)</f>
        <v>5088</v>
      </c>
      <c r="X18" s="19">
        <f ca="1">+VLOOKUP($T18,INDIRECT(Adrese!E$2),4,FALSE)</f>
        <v>5095</v>
      </c>
      <c r="Y18" s="19">
        <f ca="1">+VLOOKUP($T18,INDIRECT(Adrese!F$2),4,FALSE)</f>
        <v>4956</v>
      </c>
      <c r="Z18">
        <f t="shared" ca="1" si="3"/>
        <v>25544</v>
      </c>
      <c r="AA18" s="6">
        <f t="shared" ca="1" si="4"/>
        <v>5108.8</v>
      </c>
      <c r="AD18" s="4" t="s">
        <v>20</v>
      </c>
      <c r="AE18" s="19">
        <f ca="1">+VLOOKUP($A18,INDIRECT(Adrese!B$2),5,FALSE)</f>
        <v>1615</v>
      </c>
      <c r="AF18" s="19">
        <f ca="1">+VLOOKUP($A18,INDIRECT(Adrese!C$2),5,FALSE)</f>
        <v>1566</v>
      </c>
      <c r="AG18" s="19">
        <f ca="1">+VLOOKUP($A18,INDIRECT(Adrese!D$2),5,FALSE)</f>
        <v>1606</v>
      </c>
      <c r="AH18" s="19">
        <f ca="1">+VLOOKUP($A18,INDIRECT(Adrese!E$2),5,FALSE)</f>
        <v>1610</v>
      </c>
      <c r="AI18" s="19">
        <f ca="1">+VLOOKUP($A18,INDIRECT(Adrese!F$2),5,FALSE)</f>
        <v>1627</v>
      </c>
      <c r="AJ18" s="7">
        <f ca="1">AVERAGE(AE18:AI18)</f>
        <v>1604.8</v>
      </c>
      <c r="AK18" s="6">
        <f t="shared" ca="1" si="5"/>
        <v>23.080294625502507</v>
      </c>
      <c r="AM18" s="4" t="s">
        <v>20</v>
      </c>
      <c r="AN18" s="7">
        <f ca="1">+VLOOKUP($A18,INDIRECT(Adrese!B$2),6,FALSE)</f>
        <v>0.503</v>
      </c>
      <c r="AO18" s="7">
        <f ca="1">+VLOOKUP($A18,INDIRECT(Adrese!C$2),6,FALSE)</f>
        <v>0.488666667</v>
      </c>
      <c r="AP18" s="7">
        <f ca="1">+VLOOKUP($A18,INDIRECT(Adrese!D$2),6,FALSE)</f>
        <v>0.502</v>
      </c>
      <c r="AQ18" s="7">
        <f ca="1">+VLOOKUP($A18,INDIRECT(Adrese!E$2),6,FALSE)</f>
        <v>0.504</v>
      </c>
      <c r="AR18" s="7">
        <f ca="1">+VLOOKUP($A18,INDIRECT(Adrese!F$2),6,FALSE)</f>
        <v>0.51033333299999994</v>
      </c>
      <c r="AS18" s="6" t="str">
        <f t="shared" ca="1" si="6"/>
        <v>0.50 (0.01)</v>
      </c>
      <c r="AT18" s="7">
        <f t="shared" ca="1" si="7"/>
        <v>0.50160000000000005</v>
      </c>
      <c r="AU18" s="6">
        <f t="shared" ca="1" si="8"/>
        <v>7.9281493391865597E-3</v>
      </c>
      <c r="AW18" s="4" t="s">
        <v>20</v>
      </c>
      <c r="AX18" s="7">
        <f ca="1">+VLOOKUP($A18,INDIRECT(Adrese!B$2),7,FALSE)</f>
        <v>0.73333333300000003</v>
      </c>
      <c r="AY18" s="7">
        <f ca="1">+VLOOKUP($A18,INDIRECT(Adrese!C$2),7,FALSE)</f>
        <v>0.73333333300000003</v>
      </c>
      <c r="AZ18" s="7">
        <f ca="1">+VLOOKUP($A18,INDIRECT(Adrese!D$2),7,FALSE)</f>
        <v>0.73333333300000003</v>
      </c>
      <c r="BA18" s="7">
        <f ca="1">+VLOOKUP($A18,INDIRECT(Adrese!E$2),7,FALSE)</f>
        <v>0.86666666699999995</v>
      </c>
      <c r="BB18" s="7">
        <f ca="1">+VLOOKUP($A18,INDIRECT(Adrese!F$2),7,FALSE)</f>
        <v>0.8</v>
      </c>
      <c r="BC18" s="6" t="str">
        <f t="shared" ca="1" si="9"/>
        <v>0.77 (0.06)</v>
      </c>
      <c r="BD18" s="19">
        <f t="shared" ca="1" si="10"/>
        <v>0.77333333320000008</v>
      </c>
      <c r="BE18" s="6">
        <f t="shared" ca="1" si="11"/>
        <v>5.9628479698136755E-2</v>
      </c>
      <c r="BG18" s="4" t="s">
        <v>20</v>
      </c>
      <c r="BH18" s="7">
        <f ca="1">+VLOOKUP($BG18,INDIRECT(Adrese!B$2),8,FALSE)</f>
        <v>0.26728888099999998</v>
      </c>
      <c r="BI18" s="7">
        <f ca="1">+VLOOKUP($BG18,INDIRECT(Adrese!C$2),8,FALSE)</f>
        <v>0.27011523700000001</v>
      </c>
      <c r="BJ18" s="7">
        <f ca="1">+VLOOKUP($BG18,INDIRECT(Adrese!D$2),8,FALSE)</f>
        <v>0.275687935</v>
      </c>
      <c r="BK18" s="7">
        <f ca="1">+VLOOKUP($BG18,INDIRECT(Adrese!E$2),8,FALSE)</f>
        <v>0.27757742600000002</v>
      </c>
      <c r="BL18" s="7">
        <f ca="1">+VLOOKUP($BG18,INDIRECT(Adrese!F$2),8,FALSE)</f>
        <v>0.278989604</v>
      </c>
      <c r="BM18" s="6" t="str">
        <f t="shared" ca="1" si="12"/>
        <v>0.27 (0.01)</v>
      </c>
      <c r="BN18" s="7">
        <f t="shared" ca="1" si="13"/>
        <v>0.27393181659999999</v>
      </c>
      <c r="BO18" s="6">
        <f t="shared" ca="1" si="14"/>
        <v>5.0162362968830913E-3</v>
      </c>
      <c r="BQ18" s="4" t="s">
        <v>20</v>
      </c>
      <c r="BR18" s="7">
        <f ca="1">+VLOOKUP($BG18,INDIRECT(Adrese!B$2),9,FALSE)</f>
        <v>-2.0742887000000002E-2</v>
      </c>
      <c r="BS18" s="7">
        <f ca="1">+VLOOKUP($BG18,INDIRECT(Adrese!C$2),9,FALSE)</f>
        <v>2.3602670999999999E-2</v>
      </c>
      <c r="BT18" s="7">
        <f ca="1">+VLOOKUP($BG18,INDIRECT(Adrese!D$2),9,FALSE)</f>
        <v>-8.058328E-3</v>
      </c>
      <c r="BU18" s="7">
        <f ca="1">+VLOOKUP($BG18,INDIRECT(Adrese!E$2),9,FALSE)</f>
        <v>7.6944559999999997E-3</v>
      </c>
      <c r="BV18" s="7">
        <f ca="1">+VLOOKUP($BG18,INDIRECT(Adrese!F$2),9,FALSE)</f>
        <v>-1.629945E-2</v>
      </c>
      <c r="BW18" s="6" t="str">
        <f t="shared" ca="1" si="15"/>
        <v>0.00 (0.02)</v>
      </c>
      <c r="BX18" s="7">
        <f t="shared" ca="1" si="16"/>
        <v>-2.7607076000000009E-3</v>
      </c>
      <c r="BY18" s="6">
        <f t="shared" ca="1" si="17"/>
        <v>1.8296579466935487E-2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opLeftCell="A42" zoomScale="55" zoomScaleNormal="55" workbookViewId="0">
      <selection activeCell="N90" sqref="N90"/>
    </sheetView>
  </sheetViews>
  <sheetFormatPr defaultRowHeight="15" x14ac:dyDescent="0.25"/>
  <sheetData>
    <row r="1" spans="1:9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71</v>
      </c>
      <c r="H1" t="s">
        <v>72</v>
      </c>
      <c r="I1" t="s">
        <v>73</v>
      </c>
    </row>
    <row r="2" spans="1:9" x14ac:dyDescent="0.25">
      <c r="A2" t="s">
        <v>92</v>
      </c>
      <c r="B2">
        <v>1</v>
      </c>
      <c r="C2">
        <v>10</v>
      </c>
      <c r="D2">
        <v>6999</v>
      </c>
      <c r="E2">
        <v>1150</v>
      </c>
      <c r="F2">
        <v>0.37633333299999999</v>
      </c>
      <c r="G2">
        <v>0.33333333300000001</v>
      </c>
      <c r="H2">
        <v>0.20187438899999999</v>
      </c>
      <c r="I2">
        <v>-2.5397345000000002E-2</v>
      </c>
    </row>
    <row r="3" spans="1:9" x14ac:dyDescent="0.25">
      <c r="A3" t="s">
        <v>88</v>
      </c>
      <c r="B3">
        <v>2</v>
      </c>
      <c r="C3">
        <v>13</v>
      </c>
      <c r="D3">
        <v>6616</v>
      </c>
      <c r="E3">
        <v>1009</v>
      </c>
      <c r="F3">
        <v>0.32500000000000001</v>
      </c>
      <c r="G3">
        <v>0.133333333</v>
      </c>
      <c r="H3">
        <v>0.19581111000000001</v>
      </c>
      <c r="I3">
        <v>0.35100026299999998</v>
      </c>
    </row>
    <row r="4" spans="1:9" x14ac:dyDescent="0.25">
      <c r="A4" t="s">
        <v>5</v>
      </c>
      <c r="B4">
        <v>3</v>
      </c>
      <c r="C4">
        <v>3</v>
      </c>
      <c r="D4">
        <v>6604</v>
      </c>
      <c r="E4">
        <v>1883</v>
      </c>
      <c r="F4">
        <v>0.57699999999999996</v>
      </c>
      <c r="G4">
        <v>0.8</v>
      </c>
      <c r="H4">
        <v>0.30938307799999998</v>
      </c>
      <c r="I4">
        <v>-0.26661263499999999</v>
      </c>
    </row>
    <row r="5" spans="1:9" x14ac:dyDescent="0.25">
      <c r="A5" t="s">
        <v>85</v>
      </c>
      <c r="B5">
        <v>4</v>
      </c>
      <c r="C5">
        <v>8</v>
      </c>
      <c r="D5">
        <v>6575</v>
      </c>
      <c r="E5">
        <v>1069</v>
      </c>
      <c r="F5">
        <v>0.33033333300000001</v>
      </c>
      <c r="G5">
        <v>0.46666666699999998</v>
      </c>
      <c r="H5">
        <v>0.19878996299999999</v>
      </c>
      <c r="I5">
        <v>0.25069571099999999</v>
      </c>
    </row>
    <row r="6" spans="1:9" x14ac:dyDescent="0.25">
      <c r="A6" t="s">
        <v>93</v>
      </c>
      <c r="B6">
        <v>5</v>
      </c>
      <c r="C6">
        <v>9</v>
      </c>
      <c r="D6">
        <v>6446</v>
      </c>
      <c r="E6">
        <v>1168</v>
      </c>
      <c r="F6">
        <v>0.369666667</v>
      </c>
      <c r="G6">
        <v>0.4</v>
      </c>
      <c r="H6">
        <v>0.215281113</v>
      </c>
      <c r="I6">
        <v>0.27083659300000001</v>
      </c>
    </row>
    <row r="7" spans="1:9" x14ac:dyDescent="0.25">
      <c r="A7" t="s">
        <v>90</v>
      </c>
      <c r="B7">
        <v>6</v>
      </c>
      <c r="C7">
        <v>14</v>
      </c>
      <c r="D7">
        <v>6362</v>
      </c>
      <c r="E7">
        <v>431</v>
      </c>
      <c r="F7">
        <v>0.13500000000000001</v>
      </c>
      <c r="G7">
        <v>6.6666666999999999E-2</v>
      </c>
      <c r="H7">
        <v>7.1760178999999993E-2</v>
      </c>
      <c r="I7">
        <v>0.30955440200000001</v>
      </c>
    </row>
    <row r="8" spans="1:9" x14ac:dyDescent="0.25">
      <c r="A8" t="s">
        <v>12</v>
      </c>
      <c r="B8">
        <v>7</v>
      </c>
      <c r="C8">
        <v>13</v>
      </c>
      <c r="D8">
        <v>6347</v>
      </c>
      <c r="E8">
        <v>398</v>
      </c>
      <c r="F8">
        <v>0.126</v>
      </c>
      <c r="G8">
        <v>0.133333333</v>
      </c>
      <c r="H8">
        <v>6.6918455000000002E-2</v>
      </c>
      <c r="I8">
        <v>0.33032940100000002</v>
      </c>
    </row>
    <row r="9" spans="1:9" x14ac:dyDescent="0.25">
      <c r="A9" t="s">
        <v>8</v>
      </c>
      <c r="B9">
        <v>8</v>
      </c>
      <c r="C9">
        <v>5</v>
      </c>
      <c r="D9">
        <v>6336</v>
      </c>
      <c r="E9">
        <v>1539</v>
      </c>
      <c r="F9">
        <v>0.47833333300000003</v>
      </c>
      <c r="G9">
        <v>0.66666666699999999</v>
      </c>
      <c r="H9">
        <v>0.28840448099999999</v>
      </c>
      <c r="I9">
        <v>0.24351082600000001</v>
      </c>
    </row>
    <row r="10" spans="1:9" x14ac:dyDescent="0.25">
      <c r="A10" t="s">
        <v>94</v>
      </c>
      <c r="B10">
        <v>9</v>
      </c>
      <c r="C10">
        <v>9</v>
      </c>
      <c r="D10">
        <v>6307</v>
      </c>
      <c r="E10">
        <v>1290</v>
      </c>
      <c r="F10">
        <v>0.40833333300000002</v>
      </c>
      <c r="G10">
        <v>0.4</v>
      </c>
      <c r="H10">
        <v>0.24376541700000001</v>
      </c>
      <c r="I10">
        <v>0.30270966999999999</v>
      </c>
    </row>
    <row r="11" spans="1:9" x14ac:dyDescent="0.25">
      <c r="A11" t="s">
        <v>87</v>
      </c>
      <c r="B11">
        <v>10</v>
      </c>
      <c r="C11">
        <v>10</v>
      </c>
      <c r="D11">
        <v>6030</v>
      </c>
      <c r="E11">
        <v>855</v>
      </c>
      <c r="F11">
        <v>0.27300000000000002</v>
      </c>
      <c r="G11">
        <v>0.33333333300000001</v>
      </c>
      <c r="H11">
        <v>0.16001716899999999</v>
      </c>
      <c r="I11">
        <v>0.32404840000000001</v>
      </c>
    </row>
    <row r="12" spans="1:9" x14ac:dyDescent="0.25">
      <c r="A12" t="s">
        <v>91</v>
      </c>
      <c r="B12">
        <v>11</v>
      </c>
      <c r="C12">
        <v>9</v>
      </c>
      <c r="D12">
        <v>5927</v>
      </c>
      <c r="E12">
        <v>1469</v>
      </c>
      <c r="F12">
        <v>0.46066666699999997</v>
      </c>
      <c r="G12">
        <v>0.4</v>
      </c>
      <c r="H12">
        <v>0.24600736200000001</v>
      </c>
      <c r="I12">
        <v>0.120710426</v>
      </c>
    </row>
    <row r="13" spans="1:9" x14ac:dyDescent="0.25">
      <c r="A13" t="s">
        <v>95</v>
      </c>
      <c r="B13">
        <v>12</v>
      </c>
      <c r="C13">
        <v>7</v>
      </c>
      <c r="D13">
        <v>5862</v>
      </c>
      <c r="E13">
        <v>1088</v>
      </c>
      <c r="F13">
        <v>0.34566666699999998</v>
      </c>
      <c r="G13">
        <v>0.53333333299999997</v>
      </c>
      <c r="H13">
        <v>0.21250180399999999</v>
      </c>
      <c r="I13">
        <v>0.327298221</v>
      </c>
    </row>
    <row r="14" spans="1:9" x14ac:dyDescent="0.25">
      <c r="A14" t="s">
        <v>86</v>
      </c>
      <c r="B14">
        <v>13</v>
      </c>
      <c r="C14">
        <v>2</v>
      </c>
      <c r="D14">
        <v>5486</v>
      </c>
      <c r="E14">
        <v>2058</v>
      </c>
      <c r="F14">
        <v>0.63366666699999996</v>
      </c>
      <c r="G14">
        <v>0.86666666699999995</v>
      </c>
      <c r="H14">
        <v>0.35223434100000001</v>
      </c>
      <c r="I14">
        <v>-0.106893771</v>
      </c>
    </row>
    <row r="15" spans="1:9" x14ac:dyDescent="0.25">
      <c r="A15" t="s">
        <v>89</v>
      </c>
      <c r="B15">
        <v>14</v>
      </c>
      <c r="C15">
        <v>0</v>
      </c>
      <c r="D15">
        <v>5456</v>
      </c>
      <c r="E15">
        <v>2584</v>
      </c>
      <c r="F15">
        <v>0.80633333299999999</v>
      </c>
      <c r="G15">
        <v>1</v>
      </c>
      <c r="H15">
        <v>0.43288071500000003</v>
      </c>
      <c r="I15">
        <v>-0.27238594500000002</v>
      </c>
    </row>
    <row r="16" spans="1:9" x14ac:dyDescent="0.25">
      <c r="A16" t="s">
        <v>20</v>
      </c>
      <c r="B16">
        <v>15</v>
      </c>
      <c r="C16">
        <v>4</v>
      </c>
      <c r="D16">
        <v>5358</v>
      </c>
      <c r="E16">
        <v>1615</v>
      </c>
      <c r="F16">
        <v>0.503</v>
      </c>
      <c r="G16">
        <v>0.73333333300000003</v>
      </c>
      <c r="H16">
        <v>0.26728888099999998</v>
      </c>
      <c r="I16">
        <v>-2.0742887000000002E-2</v>
      </c>
    </row>
    <row r="17" spans="1:9" x14ac:dyDescent="0.25">
      <c r="A17" t="s">
        <v>96</v>
      </c>
      <c r="B17">
        <v>16</v>
      </c>
      <c r="C17">
        <v>2</v>
      </c>
      <c r="D17">
        <v>4808</v>
      </c>
      <c r="E17">
        <v>1617</v>
      </c>
      <c r="F17">
        <v>0.50466666699999996</v>
      </c>
      <c r="G17">
        <v>0.86666666699999995</v>
      </c>
      <c r="H17">
        <v>0.27003128399999998</v>
      </c>
      <c r="I17">
        <v>-1.56665E-2</v>
      </c>
    </row>
    <row r="19" spans="1:9" x14ac:dyDescent="0.25">
      <c r="A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71</v>
      </c>
      <c r="H19" t="s">
        <v>72</v>
      </c>
      <c r="I19" t="s">
        <v>73</v>
      </c>
    </row>
    <row r="20" spans="1:9" x14ac:dyDescent="0.25">
      <c r="A20" t="s">
        <v>92</v>
      </c>
      <c r="B20">
        <v>1</v>
      </c>
      <c r="C20">
        <v>7</v>
      </c>
      <c r="D20">
        <v>6836</v>
      </c>
      <c r="E20">
        <v>1168</v>
      </c>
      <c r="F20">
        <v>0.382333333</v>
      </c>
      <c r="G20">
        <v>0.53333333299999997</v>
      </c>
      <c r="H20">
        <v>0.20066647100000001</v>
      </c>
      <c r="I20">
        <v>-8.5535748999999994E-2</v>
      </c>
    </row>
    <row r="21" spans="1:9" x14ac:dyDescent="0.25">
      <c r="A21" t="s">
        <v>5</v>
      </c>
      <c r="B21">
        <v>2</v>
      </c>
      <c r="C21">
        <v>5</v>
      </c>
      <c r="D21">
        <v>6671</v>
      </c>
      <c r="E21">
        <v>1397</v>
      </c>
      <c r="F21">
        <v>0.46133333300000001</v>
      </c>
      <c r="G21">
        <v>0.66666666699999999</v>
      </c>
      <c r="H21">
        <v>0.235575492</v>
      </c>
      <c r="I21">
        <v>-0.24621669299999999</v>
      </c>
    </row>
    <row r="22" spans="1:9" x14ac:dyDescent="0.25">
      <c r="A22" t="s">
        <v>85</v>
      </c>
      <c r="B22">
        <v>3</v>
      </c>
      <c r="C22">
        <v>10</v>
      </c>
      <c r="D22">
        <v>6553</v>
      </c>
      <c r="E22">
        <v>1084</v>
      </c>
      <c r="F22">
        <v>0.33400000000000002</v>
      </c>
      <c r="G22">
        <v>0.33333333300000001</v>
      </c>
      <c r="H22">
        <v>0.19941140900000001</v>
      </c>
      <c r="I22">
        <v>0.26211808399999997</v>
      </c>
    </row>
    <row r="23" spans="1:9" x14ac:dyDescent="0.25">
      <c r="A23" t="s">
        <v>93</v>
      </c>
      <c r="B23">
        <v>4</v>
      </c>
      <c r="C23">
        <v>9</v>
      </c>
      <c r="D23">
        <v>6479</v>
      </c>
      <c r="E23">
        <v>1224</v>
      </c>
      <c r="F23">
        <v>0.387333333</v>
      </c>
      <c r="G23">
        <v>0.4</v>
      </c>
      <c r="H23">
        <v>0.22846782600000001</v>
      </c>
      <c r="I23">
        <v>0.289014932</v>
      </c>
    </row>
    <row r="24" spans="1:9" x14ac:dyDescent="0.25">
      <c r="A24" t="s">
        <v>87</v>
      </c>
      <c r="B24">
        <v>5</v>
      </c>
      <c r="C24">
        <v>9</v>
      </c>
      <c r="D24">
        <v>6409</v>
      </c>
      <c r="E24">
        <v>946</v>
      </c>
      <c r="F24">
        <v>0.28933333300000003</v>
      </c>
      <c r="G24">
        <v>0.4</v>
      </c>
      <c r="H24">
        <v>0.17865452900000001</v>
      </c>
      <c r="I24">
        <v>0.32713726700000001</v>
      </c>
    </row>
    <row r="25" spans="1:9" x14ac:dyDescent="0.25">
      <c r="A25" t="s">
        <v>12</v>
      </c>
      <c r="B25">
        <v>6</v>
      </c>
      <c r="C25">
        <v>14</v>
      </c>
      <c r="D25">
        <v>6330</v>
      </c>
      <c r="E25">
        <v>396</v>
      </c>
      <c r="F25">
        <v>0.124333333</v>
      </c>
      <c r="G25">
        <v>6.6666666999999999E-2</v>
      </c>
      <c r="H25">
        <v>6.8210668000000002E-2</v>
      </c>
      <c r="I25">
        <v>0.33929256200000002</v>
      </c>
    </row>
    <row r="26" spans="1:9" x14ac:dyDescent="0.25">
      <c r="A26" t="s">
        <v>88</v>
      </c>
      <c r="B26">
        <v>7</v>
      </c>
      <c r="C26">
        <v>11</v>
      </c>
      <c r="D26">
        <v>6321</v>
      </c>
      <c r="E26">
        <v>964</v>
      </c>
      <c r="F26">
        <v>0.308</v>
      </c>
      <c r="G26">
        <v>0.26666666700000002</v>
      </c>
      <c r="H26">
        <v>0.18200419100000001</v>
      </c>
      <c r="I26">
        <v>0.31533491600000002</v>
      </c>
    </row>
    <row r="27" spans="1:9" x14ac:dyDescent="0.25">
      <c r="A27" t="s">
        <v>94</v>
      </c>
      <c r="B27">
        <v>8</v>
      </c>
      <c r="C27">
        <v>7</v>
      </c>
      <c r="D27">
        <v>6307</v>
      </c>
      <c r="E27">
        <v>1330</v>
      </c>
      <c r="F27">
        <v>0.41899999999999998</v>
      </c>
      <c r="G27">
        <v>0.53333333299999997</v>
      </c>
      <c r="H27">
        <v>0.251985238</v>
      </c>
      <c r="I27">
        <v>0.302844375</v>
      </c>
    </row>
    <row r="28" spans="1:9" x14ac:dyDescent="0.25">
      <c r="A28" t="s">
        <v>90</v>
      </c>
      <c r="B28">
        <v>9</v>
      </c>
      <c r="C28">
        <v>14</v>
      </c>
      <c r="D28">
        <v>6288</v>
      </c>
      <c r="E28">
        <v>461</v>
      </c>
      <c r="F28">
        <v>0.144666667</v>
      </c>
      <c r="G28">
        <v>6.6666666999999999E-2</v>
      </c>
      <c r="H28">
        <v>7.9228662000000005E-2</v>
      </c>
      <c r="I28">
        <v>0.31539207400000002</v>
      </c>
    </row>
    <row r="29" spans="1:9" x14ac:dyDescent="0.25">
      <c r="A29" t="s">
        <v>95</v>
      </c>
      <c r="B29">
        <v>10</v>
      </c>
      <c r="C29">
        <v>9</v>
      </c>
      <c r="D29">
        <v>6160</v>
      </c>
      <c r="E29">
        <v>1222</v>
      </c>
      <c r="F29">
        <v>0.39500000000000002</v>
      </c>
      <c r="G29">
        <v>0.4</v>
      </c>
      <c r="H29">
        <v>0.23649094800000001</v>
      </c>
      <c r="I29">
        <v>0.321371821</v>
      </c>
    </row>
    <row r="30" spans="1:9" x14ac:dyDescent="0.25">
      <c r="A30" t="s">
        <v>8</v>
      </c>
      <c r="B30">
        <v>11</v>
      </c>
      <c r="C30">
        <v>5</v>
      </c>
      <c r="D30">
        <v>6145</v>
      </c>
      <c r="E30">
        <v>1468</v>
      </c>
      <c r="F30">
        <v>0.45400000000000001</v>
      </c>
      <c r="G30">
        <v>0.66666666699999999</v>
      </c>
      <c r="H30">
        <v>0.27491113700000003</v>
      </c>
      <c r="I30">
        <v>0.25200800699999998</v>
      </c>
    </row>
    <row r="31" spans="1:9" x14ac:dyDescent="0.25">
      <c r="A31" t="s">
        <v>91</v>
      </c>
      <c r="B31">
        <v>12</v>
      </c>
      <c r="C31">
        <v>7</v>
      </c>
      <c r="D31">
        <v>5801</v>
      </c>
      <c r="E31">
        <v>1499</v>
      </c>
      <c r="F31">
        <v>0.48599999999999999</v>
      </c>
      <c r="G31">
        <v>0.53333333299999997</v>
      </c>
      <c r="H31">
        <v>0.25417690599999998</v>
      </c>
      <c r="I31">
        <v>3.9577624999999998E-2</v>
      </c>
    </row>
    <row r="32" spans="1:9" x14ac:dyDescent="0.25">
      <c r="A32" t="s">
        <v>86</v>
      </c>
      <c r="B32">
        <v>13</v>
      </c>
      <c r="C32">
        <v>2</v>
      </c>
      <c r="D32">
        <v>5518</v>
      </c>
      <c r="E32">
        <v>2011</v>
      </c>
      <c r="F32">
        <v>0.624</v>
      </c>
      <c r="G32">
        <v>0.86666666699999995</v>
      </c>
      <c r="H32">
        <v>0.35101546</v>
      </c>
      <c r="I32">
        <v>-0.102881879</v>
      </c>
    </row>
    <row r="33" spans="1:9" x14ac:dyDescent="0.25">
      <c r="A33" t="s">
        <v>89</v>
      </c>
      <c r="B33">
        <v>14</v>
      </c>
      <c r="C33">
        <v>1</v>
      </c>
      <c r="D33">
        <v>5448</v>
      </c>
      <c r="E33">
        <v>2637</v>
      </c>
      <c r="F33">
        <v>0.82933333300000001</v>
      </c>
      <c r="G33">
        <v>0.93333333299999999</v>
      </c>
      <c r="H33">
        <v>0.449618668</v>
      </c>
      <c r="I33">
        <v>-0.29589709400000003</v>
      </c>
    </row>
    <row r="34" spans="1:9" x14ac:dyDescent="0.25">
      <c r="A34" t="s">
        <v>20</v>
      </c>
      <c r="B34">
        <v>15</v>
      </c>
      <c r="C34">
        <v>4</v>
      </c>
      <c r="D34">
        <v>5047</v>
      </c>
      <c r="E34">
        <v>1566</v>
      </c>
      <c r="F34">
        <v>0.488666667</v>
      </c>
      <c r="G34">
        <v>0.73333333300000003</v>
      </c>
      <c r="H34">
        <v>0.27011523700000001</v>
      </c>
      <c r="I34">
        <v>2.3602670999999999E-2</v>
      </c>
    </row>
    <row r="35" spans="1:9" x14ac:dyDescent="0.25">
      <c r="A35" t="s">
        <v>96</v>
      </c>
      <c r="B35">
        <v>16</v>
      </c>
      <c r="C35">
        <v>4</v>
      </c>
      <c r="D35">
        <v>5036</v>
      </c>
      <c r="E35">
        <v>1621</v>
      </c>
      <c r="F35">
        <v>0.50766666699999996</v>
      </c>
      <c r="G35">
        <v>0.73333333300000003</v>
      </c>
      <c r="H35">
        <v>0.27993615900000002</v>
      </c>
      <c r="I35">
        <v>3.6202740000000001E-3</v>
      </c>
    </row>
    <row r="37" spans="1:9" x14ac:dyDescent="0.25">
      <c r="A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71</v>
      </c>
      <c r="H37" t="s">
        <v>72</v>
      </c>
      <c r="I37" t="s">
        <v>73</v>
      </c>
    </row>
    <row r="38" spans="1:9" x14ac:dyDescent="0.25">
      <c r="A38" t="s">
        <v>5</v>
      </c>
      <c r="B38">
        <v>1</v>
      </c>
      <c r="C38">
        <v>4</v>
      </c>
      <c r="D38">
        <v>6924</v>
      </c>
      <c r="E38">
        <v>1771</v>
      </c>
      <c r="F38">
        <v>0.54833333299999998</v>
      </c>
      <c r="G38">
        <v>0.73333333300000003</v>
      </c>
      <c r="H38">
        <v>0.29334799099999997</v>
      </c>
      <c r="I38">
        <v>-0.29514665600000001</v>
      </c>
    </row>
    <row r="39" spans="1:9" x14ac:dyDescent="0.25">
      <c r="A39" t="s">
        <v>92</v>
      </c>
      <c r="B39">
        <v>2</v>
      </c>
      <c r="C39">
        <v>9</v>
      </c>
      <c r="D39">
        <v>6533</v>
      </c>
      <c r="E39">
        <v>1010</v>
      </c>
      <c r="F39">
        <v>0.33066666700000003</v>
      </c>
      <c r="G39">
        <v>0.4</v>
      </c>
      <c r="H39">
        <v>0.17886080400000001</v>
      </c>
      <c r="I39">
        <v>-1.4203884E-2</v>
      </c>
    </row>
    <row r="40" spans="1:9" x14ac:dyDescent="0.25">
      <c r="A40" t="s">
        <v>12</v>
      </c>
      <c r="B40">
        <v>3</v>
      </c>
      <c r="C40">
        <v>15</v>
      </c>
      <c r="D40">
        <v>6494</v>
      </c>
      <c r="E40">
        <v>384</v>
      </c>
      <c r="F40">
        <v>0.12</v>
      </c>
      <c r="G40">
        <v>0</v>
      </c>
      <c r="H40">
        <v>6.5401634E-2</v>
      </c>
      <c r="I40">
        <v>0.30634312000000002</v>
      </c>
    </row>
    <row r="41" spans="1:9" x14ac:dyDescent="0.25">
      <c r="A41" t="s">
        <v>93</v>
      </c>
      <c r="B41">
        <v>4</v>
      </c>
      <c r="C41">
        <v>9</v>
      </c>
      <c r="D41">
        <v>6469</v>
      </c>
      <c r="E41">
        <v>1166</v>
      </c>
      <c r="F41">
        <v>0.364666667</v>
      </c>
      <c r="G41">
        <v>0.4</v>
      </c>
      <c r="H41">
        <v>0.215463038</v>
      </c>
      <c r="I41">
        <v>0.27962774800000001</v>
      </c>
    </row>
    <row r="42" spans="1:9" x14ac:dyDescent="0.25">
      <c r="A42" t="s">
        <v>94</v>
      </c>
      <c r="B42">
        <v>5</v>
      </c>
      <c r="C42">
        <v>8</v>
      </c>
      <c r="D42">
        <v>6377</v>
      </c>
      <c r="E42">
        <v>1342</v>
      </c>
      <c r="F42">
        <v>0.422666667</v>
      </c>
      <c r="G42">
        <v>0.46666666699999998</v>
      </c>
      <c r="H42">
        <v>0.25255804700000001</v>
      </c>
      <c r="I42">
        <v>0.30392065000000001</v>
      </c>
    </row>
    <row r="43" spans="1:9" x14ac:dyDescent="0.25">
      <c r="A43" t="s">
        <v>85</v>
      </c>
      <c r="B43">
        <v>6</v>
      </c>
      <c r="C43">
        <v>7</v>
      </c>
      <c r="D43">
        <v>6361</v>
      </c>
      <c r="E43">
        <v>1063</v>
      </c>
      <c r="F43">
        <v>0.33333333300000001</v>
      </c>
      <c r="G43">
        <v>0.53333333299999997</v>
      </c>
      <c r="H43">
        <v>0.203722825</v>
      </c>
      <c r="I43">
        <v>0.27156113199999998</v>
      </c>
    </row>
    <row r="44" spans="1:9" x14ac:dyDescent="0.25">
      <c r="A44" t="s">
        <v>8</v>
      </c>
      <c r="B44">
        <v>7</v>
      </c>
      <c r="C44">
        <v>6</v>
      </c>
      <c r="D44">
        <v>6353</v>
      </c>
      <c r="E44">
        <v>1528</v>
      </c>
      <c r="F44">
        <v>0.47766666699999999</v>
      </c>
      <c r="G44">
        <v>0.6</v>
      </c>
      <c r="H44">
        <v>0.28822654599999997</v>
      </c>
      <c r="I44">
        <v>0.27186505700000002</v>
      </c>
    </row>
    <row r="45" spans="1:9" x14ac:dyDescent="0.25">
      <c r="A45" t="s">
        <v>88</v>
      </c>
      <c r="B45">
        <v>8</v>
      </c>
      <c r="C45">
        <v>13</v>
      </c>
      <c r="D45">
        <v>6281</v>
      </c>
      <c r="E45">
        <v>964</v>
      </c>
      <c r="F45">
        <v>0.30599999999999999</v>
      </c>
      <c r="G45">
        <v>0.133333333</v>
      </c>
      <c r="H45">
        <v>0.19426647399999999</v>
      </c>
      <c r="I45">
        <v>0.35963893600000002</v>
      </c>
    </row>
    <row r="46" spans="1:9" x14ac:dyDescent="0.25">
      <c r="A46" t="s">
        <v>95</v>
      </c>
      <c r="B46">
        <v>9</v>
      </c>
      <c r="C46">
        <v>9</v>
      </c>
      <c r="D46">
        <v>6192</v>
      </c>
      <c r="E46">
        <v>1229</v>
      </c>
      <c r="F46">
        <v>0.389333333</v>
      </c>
      <c r="G46">
        <v>0.4</v>
      </c>
      <c r="H46">
        <v>0.23558586000000001</v>
      </c>
      <c r="I46">
        <v>0.30582660699999997</v>
      </c>
    </row>
    <row r="47" spans="1:9" x14ac:dyDescent="0.25">
      <c r="A47" t="s">
        <v>90</v>
      </c>
      <c r="B47">
        <v>10</v>
      </c>
      <c r="C47">
        <v>12</v>
      </c>
      <c r="D47">
        <v>6191</v>
      </c>
      <c r="E47">
        <v>481</v>
      </c>
      <c r="F47">
        <v>0.15033333300000001</v>
      </c>
      <c r="G47">
        <v>0.2</v>
      </c>
      <c r="H47">
        <v>8.1852613000000005E-2</v>
      </c>
      <c r="I47">
        <v>0.30252062499999999</v>
      </c>
    </row>
    <row r="48" spans="1:9" x14ac:dyDescent="0.25">
      <c r="A48" t="s">
        <v>91</v>
      </c>
      <c r="B48">
        <v>11</v>
      </c>
      <c r="C48">
        <v>9</v>
      </c>
      <c r="D48">
        <v>6101</v>
      </c>
      <c r="E48">
        <v>1390</v>
      </c>
      <c r="F48">
        <v>0.447333333</v>
      </c>
      <c r="G48">
        <v>0.4</v>
      </c>
      <c r="H48">
        <v>0.23748643999999999</v>
      </c>
      <c r="I48">
        <v>6.7056684000000005E-2</v>
      </c>
    </row>
    <row r="49" spans="1:9" x14ac:dyDescent="0.25">
      <c r="A49" t="s">
        <v>87</v>
      </c>
      <c r="B49">
        <v>12</v>
      </c>
      <c r="C49">
        <v>9</v>
      </c>
      <c r="D49">
        <v>5952</v>
      </c>
      <c r="E49">
        <v>900</v>
      </c>
      <c r="F49">
        <v>0.28333333300000002</v>
      </c>
      <c r="G49">
        <v>0.4</v>
      </c>
      <c r="H49">
        <v>0.16715174999999999</v>
      </c>
      <c r="I49">
        <v>0.291450775</v>
      </c>
    </row>
    <row r="50" spans="1:9" x14ac:dyDescent="0.25">
      <c r="A50" t="s">
        <v>89</v>
      </c>
      <c r="B50">
        <v>13</v>
      </c>
      <c r="C50">
        <v>0</v>
      </c>
      <c r="D50">
        <v>5437</v>
      </c>
      <c r="E50">
        <v>2605</v>
      </c>
      <c r="F50">
        <v>0.81566666700000001</v>
      </c>
      <c r="G50">
        <v>1</v>
      </c>
      <c r="H50">
        <v>0.44040953500000002</v>
      </c>
      <c r="I50">
        <v>-0.292610804</v>
      </c>
    </row>
    <row r="51" spans="1:9" x14ac:dyDescent="0.25">
      <c r="A51" t="s">
        <v>96</v>
      </c>
      <c r="B51">
        <v>14</v>
      </c>
      <c r="C51">
        <v>2</v>
      </c>
      <c r="D51">
        <v>5216</v>
      </c>
      <c r="E51">
        <v>1575</v>
      </c>
      <c r="F51">
        <v>0.49099999999999999</v>
      </c>
      <c r="G51">
        <v>0.86666666699999995</v>
      </c>
      <c r="H51">
        <v>0.26341572699999999</v>
      </c>
      <c r="I51">
        <v>-2.8006229999999999E-3</v>
      </c>
    </row>
    <row r="52" spans="1:9" x14ac:dyDescent="0.25">
      <c r="A52" t="s">
        <v>86</v>
      </c>
      <c r="B52">
        <v>15</v>
      </c>
      <c r="C52">
        <v>1</v>
      </c>
      <c r="D52">
        <v>5174</v>
      </c>
      <c r="E52">
        <v>2006</v>
      </c>
      <c r="F52">
        <v>0.61933333300000004</v>
      </c>
      <c r="G52">
        <v>0.93333333299999999</v>
      </c>
      <c r="H52">
        <v>0.34533926500000001</v>
      </c>
      <c r="I52">
        <v>-0.10536733700000001</v>
      </c>
    </row>
    <row r="53" spans="1:9" x14ac:dyDescent="0.25">
      <c r="A53" t="s">
        <v>20</v>
      </c>
      <c r="B53">
        <v>16</v>
      </c>
      <c r="C53">
        <v>4</v>
      </c>
      <c r="D53">
        <v>5088</v>
      </c>
      <c r="E53">
        <v>1606</v>
      </c>
      <c r="F53">
        <v>0.502</v>
      </c>
      <c r="G53">
        <v>0.73333333300000003</v>
      </c>
      <c r="H53">
        <v>0.275687935</v>
      </c>
      <c r="I53">
        <v>-8.058328E-3</v>
      </c>
    </row>
    <row r="55" spans="1:9" x14ac:dyDescent="0.25">
      <c r="A55" t="s">
        <v>0</v>
      </c>
      <c r="C55" t="s">
        <v>1</v>
      </c>
      <c r="D55" t="s">
        <v>2</v>
      </c>
      <c r="E55" t="s">
        <v>3</v>
      </c>
      <c r="F55" t="s">
        <v>4</v>
      </c>
      <c r="G55" t="s">
        <v>71</v>
      </c>
      <c r="H55" t="s">
        <v>72</v>
      </c>
      <c r="I55" t="s">
        <v>73</v>
      </c>
    </row>
    <row r="56" spans="1:9" x14ac:dyDescent="0.25">
      <c r="A56" t="s">
        <v>5</v>
      </c>
      <c r="B56">
        <v>1</v>
      </c>
      <c r="C56">
        <v>5</v>
      </c>
      <c r="D56">
        <v>6757</v>
      </c>
      <c r="E56">
        <v>1674</v>
      </c>
      <c r="F56">
        <v>0.50800000000000001</v>
      </c>
      <c r="G56">
        <v>0.66666666699999999</v>
      </c>
      <c r="H56">
        <v>0.28067025899999998</v>
      </c>
      <c r="I56">
        <v>-0.25965959999999999</v>
      </c>
    </row>
    <row r="57" spans="1:9" x14ac:dyDescent="0.25">
      <c r="A57" t="s">
        <v>92</v>
      </c>
      <c r="B57">
        <v>2</v>
      </c>
      <c r="C57">
        <v>7</v>
      </c>
      <c r="D57">
        <v>6707</v>
      </c>
      <c r="E57">
        <v>1210</v>
      </c>
      <c r="F57">
        <v>0.39700000000000002</v>
      </c>
      <c r="G57">
        <v>0.53333333299999997</v>
      </c>
      <c r="H57">
        <v>0.199426299</v>
      </c>
      <c r="I57">
        <v>-0.20513937600000001</v>
      </c>
    </row>
    <row r="58" spans="1:9" x14ac:dyDescent="0.25">
      <c r="A58" t="s">
        <v>87</v>
      </c>
      <c r="B58">
        <v>3</v>
      </c>
      <c r="C58">
        <v>11</v>
      </c>
      <c r="D58">
        <v>6405</v>
      </c>
      <c r="E58">
        <v>938</v>
      </c>
      <c r="F58">
        <v>0.29399999999999998</v>
      </c>
      <c r="G58">
        <v>0.26666666700000002</v>
      </c>
      <c r="H58">
        <v>0.179346547</v>
      </c>
      <c r="I58">
        <v>0.304687869</v>
      </c>
    </row>
    <row r="59" spans="1:9" x14ac:dyDescent="0.25">
      <c r="A59" t="s">
        <v>85</v>
      </c>
      <c r="B59">
        <v>4</v>
      </c>
      <c r="C59">
        <v>10</v>
      </c>
      <c r="D59">
        <v>6398</v>
      </c>
      <c r="E59">
        <v>1072</v>
      </c>
      <c r="F59">
        <v>0.33266666700000003</v>
      </c>
      <c r="G59">
        <v>0.33333333300000001</v>
      </c>
      <c r="H59">
        <v>0.20884471600000001</v>
      </c>
      <c r="I59">
        <v>0.25457064299999999</v>
      </c>
    </row>
    <row r="60" spans="1:9" x14ac:dyDescent="0.25">
      <c r="A60" t="s">
        <v>88</v>
      </c>
      <c r="B60">
        <v>5</v>
      </c>
      <c r="C60">
        <v>11</v>
      </c>
      <c r="D60">
        <v>6367</v>
      </c>
      <c r="E60">
        <v>1029</v>
      </c>
      <c r="F60">
        <v>0.33600000000000002</v>
      </c>
      <c r="G60">
        <v>0.26666666700000002</v>
      </c>
      <c r="H60">
        <v>0.19969905700000001</v>
      </c>
      <c r="I60">
        <v>0.37276035299999999</v>
      </c>
    </row>
    <row r="61" spans="1:9" x14ac:dyDescent="0.25">
      <c r="A61" t="s">
        <v>93</v>
      </c>
      <c r="B61">
        <v>6</v>
      </c>
      <c r="C61">
        <v>9</v>
      </c>
      <c r="D61">
        <v>6341</v>
      </c>
      <c r="E61">
        <v>1078</v>
      </c>
      <c r="F61">
        <v>0.34166666699999998</v>
      </c>
      <c r="G61">
        <v>0.4</v>
      </c>
      <c r="H61">
        <v>0.20611633600000001</v>
      </c>
      <c r="I61">
        <v>0.298618157</v>
      </c>
    </row>
    <row r="62" spans="1:9" x14ac:dyDescent="0.25">
      <c r="A62" t="s">
        <v>90</v>
      </c>
      <c r="B62">
        <v>7</v>
      </c>
      <c r="C62">
        <v>14</v>
      </c>
      <c r="D62">
        <v>6336</v>
      </c>
      <c r="E62">
        <v>446</v>
      </c>
      <c r="F62">
        <v>0.13966666699999999</v>
      </c>
      <c r="G62">
        <v>6.6666666999999999E-2</v>
      </c>
      <c r="H62">
        <v>7.8523501999999995E-2</v>
      </c>
      <c r="I62">
        <v>0.28188242099999999</v>
      </c>
    </row>
    <row r="63" spans="1:9" x14ac:dyDescent="0.25">
      <c r="A63" t="s">
        <v>12</v>
      </c>
      <c r="B63">
        <v>8</v>
      </c>
      <c r="C63">
        <v>14</v>
      </c>
      <c r="D63">
        <v>6302</v>
      </c>
      <c r="E63">
        <v>386</v>
      </c>
      <c r="F63">
        <v>0.12166666700000001</v>
      </c>
      <c r="G63">
        <v>6.6666666999999999E-2</v>
      </c>
      <c r="H63">
        <v>6.8610604000000006E-2</v>
      </c>
      <c r="I63">
        <v>0.29083639900000002</v>
      </c>
    </row>
    <row r="64" spans="1:9" x14ac:dyDescent="0.25">
      <c r="A64" t="s">
        <v>8</v>
      </c>
      <c r="B64">
        <v>9</v>
      </c>
      <c r="C64">
        <v>4</v>
      </c>
      <c r="D64">
        <v>6291</v>
      </c>
      <c r="E64">
        <v>1474</v>
      </c>
      <c r="F64">
        <v>0.46266666699999998</v>
      </c>
      <c r="G64">
        <v>0.73333333300000003</v>
      </c>
      <c r="H64">
        <v>0.28273780700000001</v>
      </c>
      <c r="I64">
        <v>0.26270822100000002</v>
      </c>
    </row>
    <row r="65" spans="1:9" x14ac:dyDescent="0.25">
      <c r="A65" t="s">
        <v>94</v>
      </c>
      <c r="B65">
        <v>10</v>
      </c>
      <c r="C65">
        <v>7</v>
      </c>
      <c r="D65">
        <v>6265</v>
      </c>
      <c r="E65">
        <v>1321</v>
      </c>
      <c r="F65">
        <v>0.42233333299999998</v>
      </c>
      <c r="G65">
        <v>0.53333333299999997</v>
      </c>
      <c r="H65">
        <v>0.25343823500000001</v>
      </c>
      <c r="I65">
        <v>0.29633422999999998</v>
      </c>
    </row>
    <row r="66" spans="1:9" x14ac:dyDescent="0.25">
      <c r="A66" t="s">
        <v>91</v>
      </c>
      <c r="B66">
        <v>11</v>
      </c>
      <c r="C66">
        <v>8</v>
      </c>
      <c r="D66">
        <v>5976</v>
      </c>
      <c r="E66">
        <v>1275</v>
      </c>
      <c r="F66">
        <v>0.372</v>
      </c>
      <c r="G66">
        <v>0.46666666699999998</v>
      </c>
      <c r="H66">
        <v>0.203291588</v>
      </c>
      <c r="I66">
        <v>0.122342995</v>
      </c>
    </row>
    <row r="67" spans="1:9" x14ac:dyDescent="0.25">
      <c r="A67" t="s">
        <v>86</v>
      </c>
      <c r="B67">
        <v>12</v>
      </c>
      <c r="C67">
        <v>2</v>
      </c>
      <c r="D67">
        <v>5810</v>
      </c>
      <c r="E67">
        <v>2044</v>
      </c>
      <c r="F67">
        <v>0.63133333300000005</v>
      </c>
      <c r="G67">
        <v>0.86666666699999995</v>
      </c>
      <c r="H67">
        <v>0.35547720599999999</v>
      </c>
      <c r="I67">
        <v>-0.10972572</v>
      </c>
    </row>
    <row r="68" spans="1:9" x14ac:dyDescent="0.25">
      <c r="A68" t="s">
        <v>95</v>
      </c>
      <c r="B68">
        <v>13</v>
      </c>
      <c r="C68">
        <v>8</v>
      </c>
      <c r="D68">
        <v>5757</v>
      </c>
      <c r="E68">
        <v>1101</v>
      </c>
      <c r="F68">
        <v>0.35166666699999999</v>
      </c>
      <c r="G68">
        <v>0.46666666699999998</v>
      </c>
      <c r="H68">
        <v>0.21794090699999999</v>
      </c>
      <c r="I68">
        <v>0.28312232700000001</v>
      </c>
    </row>
    <row r="69" spans="1:9" x14ac:dyDescent="0.25">
      <c r="A69" t="s">
        <v>20</v>
      </c>
      <c r="B69">
        <v>14</v>
      </c>
      <c r="C69">
        <v>2</v>
      </c>
      <c r="D69">
        <v>5095</v>
      </c>
      <c r="E69">
        <v>1610</v>
      </c>
      <c r="F69">
        <v>0.504</v>
      </c>
      <c r="G69">
        <v>0.86666666699999995</v>
      </c>
      <c r="H69">
        <v>0.27757742600000002</v>
      </c>
      <c r="I69">
        <v>7.6944559999999997E-3</v>
      </c>
    </row>
    <row r="70" spans="1:9" x14ac:dyDescent="0.25">
      <c r="A70" t="s">
        <v>96</v>
      </c>
      <c r="B70">
        <v>15</v>
      </c>
      <c r="C70">
        <v>4</v>
      </c>
      <c r="D70">
        <v>5006</v>
      </c>
      <c r="E70">
        <v>1580</v>
      </c>
      <c r="F70">
        <v>0.49299999999999999</v>
      </c>
      <c r="G70">
        <v>0.73333333300000003</v>
      </c>
      <c r="H70">
        <v>0.27128781499999999</v>
      </c>
      <c r="I70">
        <v>6.5791529999999999E-3</v>
      </c>
    </row>
    <row r="71" spans="1:9" x14ac:dyDescent="0.25">
      <c r="A71" t="s">
        <v>89</v>
      </c>
      <c r="B71">
        <v>16</v>
      </c>
      <c r="C71">
        <v>0</v>
      </c>
      <c r="D71">
        <v>4915</v>
      </c>
      <c r="E71">
        <v>2646</v>
      </c>
      <c r="F71">
        <v>0.82966666700000002</v>
      </c>
      <c r="G71">
        <v>1</v>
      </c>
      <c r="H71">
        <v>0.44991930400000002</v>
      </c>
      <c r="I71">
        <v>-0.27674781700000001</v>
      </c>
    </row>
    <row r="73" spans="1:9" x14ac:dyDescent="0.25">
      <c r="A73" t="s">
        <v>0</v>
      </c>
      <c r="C73" t="s">
        <v>1</v>
      </c>
      <c r="D73" t="s">
        <v>2</v>
      </c>
      <c r="E73" t="s">
        <v>3</v>
      </c>
      <c r="F73" t="s">
        <v>4</v>
      </c>
      <c r="G73" t="s">
        <v>71</v>
      </c>
      <c r="H73" t="s">
        <v>72</v>
      </c>
      <c r="I73" t="s">
        <v>73</v>
      </c>
    </row>
    <row r="74" spans="1:9" x14ac:dyDescent="0.25">
      <c r="A74" t="s">
        <v>92</v>
      </c>
      <c r="B74">
        <v>1</v>
      </c>
      <c r="C74">
        <v>8</v>
      </c>
      <c r="D74">
        <v>6861</v>
      </c>
      <c r="E74">
        <v>1143</v>
      </c>
      <c r="F74">
        <v>0.37333333299999999</v>
      </c>
      <c r="G74">
        <v>0.46666666699999998</v>
      </c>
      <c r="H74">
        <v>0.19247476999999999</v>
      </c>
      <c r="I74">
        <v>-0.15145338799999999</v>
      </c>
    </row>
    <row r="75" spans="1:9" x14ac:dyDescent="0.25">
      <c r="A75" t="s">
        <v>88</v>
      </c>
      <c r="B75">
        <v>2</v>
      </c>
      <c r="C75">
        <v>12</v>
      </c>
      <c r="D75">
        <v>6669</v>
      </c>
      <c r="E75">
        <v>1058</v>
      </c>
      <c r="F75">
        <v>0.34066666699999998</v>
      </c>
      <c r="G75">
        <v>0.2</v>
      </c>
      <c r="H75">
        <v>0.20461261</v>
      </c>
      <c r="I75">
        <v>0.39992574199999997</v>
      </c>
    </row>
    <row r="76" spans="1:9" x14ac:dyDescent="0.25">
      <c r="A76" t="s">
        <v>5</v>
      </c>
      <c r="B76">
        <v>3</v>
      </c>
      <c r="C76">
        <v>5</v>
      </c>
      <c r="D76">
        <v>6551</v>
      </c>
      <c r="E76">
        <v>1528</v>
      </c>
      <c r="F76">
        <v>0.45666666700000003</v>
      </c>
      <c r="G76">
        <v>0.66666666699999999</v>
      </c>
      <c r="H76">
        <v>0.265440605</v>
      </c>
      <c r="I76">
        <v>-0.167339232</v>
      </c>
    </row>
    <row r="77" spans="1:9" x14ac:dyDescent="0.25">
      <c r="A77" t="s">
        <v>87</v>
      </c>
      <c r="B77">
        <v>4</v>
      </c>
      <c r="C77">
        <v>11</v>
      </c>
      <c r="D77">
        <v>6547</v>
      </c>
      <c r="E77">
        <v>960</v>
      </c>
      <c r="F77">
        <v>0.30433333299999998</v>
      </c>
      <c r="G77">
        <v>0.26666666700000002</v>
      </c>
      <c r="H77">
        <v>0.18691680399999999</v>
      </c>
      <c r="I77">
        <v>0.32528087</v>
      </c>
    </row>
    <row r="78" spans="1:9" x14ac:dyDescent="0.25">
      <c r="A78" t="s">
        <v>93</v>
      </c>
      <c r="B78">
        <v>5</v>
      </c>
      <c r="C78">
        <v>9</v>
      </c>
      <c r="D78">
        <v>6485</v>
      </c>
      <c r="E78">
        <v>1129</v>
      </c>
      <c r="F78">
        <v>0.36233333299999998</v>
      </c>
      <c r="G78">
        <v>0.4</v>
      </c>
      <c r="H78">
        <v>0.21430770499999999</v>
      </c>
      <c r="I78">
        <v>0.335622645</v>
      </c>
    </row>
    <row r="79" spans="1:9" x14ac:dyDescent="0.25">
      <c r="A79" t="s">
        <v>85</v>
      </c>
      <c r="B79">
        <v>6</v>
      </c>
      <c r="C79">
        <v>9</v>
      </c>
      <c r="D79">
        <v>6341</v>
      </c>
      <c r="E79">
        <v>1030</v>
      </c>
      <c r="F79">
        <v>0.31666666700000001</v>
      </c>
      <c r="G79">
        <v>0.4</v>
      </c>
      <c r="H79">
        <v>0.19252761299999999</v>
      </c>
      <c r="I79">
        <v>0.23996110500000001</v>
      </c>
    </row>
    <row r="80" spans="1:9" x14ac:dyDescent="0.25">
      <c r="A80" t="s">
        <v>94</v>
      </c>
      <c r="B80">
        <v>7</v>
      </c>
      <c r="C80">
        <v>7</v>
      </c>
      <c r="D80">
        <v>6301</v>
      </c>
      <c r="E80">
        <v>1349</v>
      </c>
      <c r="F80">
        <v>0.41699999999999998</v>
      </c>
      <c r="G80">
        <v>0.53333333299999997</v>
      </c>
      <c r="H80">
        <v>0.25496834099999999</v>
      </c>
      <c r="I80">
        <v>0.25377928500000002</v>
      </c>
    </row>
    <row r="81" spans="1:9" x14ac:dyDescent="0.25">
      <c r="A81" t="s">
        <v>90</v>
      </c>
      <c r="B81">
        <v>8</v>
      </c>
      <c r="C81">
        <v>14</v>
      </c>
      <c r="D81">
        <v>6277</v>
      </c>
      <c r="E81">
        <v>515</v>
      </c>
      <c r="F81">
        <v>0.16200000000000001</v>
      </c>
      <c r="G81">
        <v>6.6666666999999999E-2</v>
      </c>
      <c r="H81">
        <v>9.3730839999999996E-2</v>
      </c>
      <c r="I81">
        <v>0.31975629799999999</v>
      </c>
    </row>
    <row r="82" spans="1:9" x14ac:dyDescent="0.25">
      <c r="A82" t="s">
        <v>12</v>
      </c>
      <c r="B82">
        <v>9</v>
      </c>
      <c r="C82">
        <v>13</v>
      </c>
      <c r="D82">
        <v>6234</v>
      </c>
      <c r="E82">
        <v>384</v>
      </c>
      <c r="F82">
        <v>0.121333333</v>
      </c>
      <c r="G82">
        <v>0.133333333</v>
      </c>
      <c r="H82">
        <v>6.4574264000000006E-2</v>
      </c>
      <c r="I82">
        <v>0.31382642900000002</v>
      </c>
    </row>
    <row r="83" spans="1:9" x14ac:dyDescent="0.25">
      <c r="A83" t="s">
        <v>8</v>
      </c>
      <c r="B83">
        <v>10</v>
      </c>
      <c r="C83">
        <v>6</v>
      </c>
      <c r="D83">
        <v>6060</v>
      </c>
      <c r="E83">
        <v>1405</v>
      </c>
      <c r="F83">
        <v>0.43633333299999999</v>
      </c>
      <c r="G83">
        <v>0.6</v>
      </c>
      <c r="H83">
        <v>0.26809090000000002</v>
      </c>
      <c r="I83">
        <v>0.29627687600000002</v>
      </c>
    </row>
    <row r="84" spans="1:9" x14ac:dyDescent="0.25">
      <c r="A84" t="s">
        <v>91</v>
      </c>
      <c r="B84">
        <v>11</v>
      </c>
      <c r="C84">
        <v>8</v>
      </c>
      <c r="D84">
        <v>5917</v>
      </c>
      <c r="E84">
        <v>1465</v>
      </c>
      <c r="F84">
        <v>0.47666666699999999</v>
      </c>
      <c r="G84">
        <v>0.46666666699999998</v>
      </c>
      <c r="H84">
        <v>0.23829393200000001</v>
      </c>
      <c r="I84">
        <v>3.0673760000000001E-2</v>
      </c>
    </row>
    <row r="85" spans="1:9" x14ac:dyDescent="0.25">
      <c r="A85" t="s">
        <v>95</v>
      </c>
      <c r="B85">
        <v>12</v>
      </c>
      <c r="C85">
        <v>8</v>
      </c>
      <c r="D85">
        <v>5669</v>
      </c>
      <c r="E85">
        <v>1030</v>
      </c>
      <c r="F85">
        <v>0.325333333</v>
      </c>
      <c r="G85">
        <v>0.46666666699999998</v>
      </c>
      <c r="H85">
        <v>0.20308094199999999</v>
      </c>
      <c r="I85">
        <v>0.25431482599999999</v>
      </c>
    </row>
    <row r="86" spans="1:9" x14ac:dyDescent="0.25">
      <c r="A86" t="s">
        <v>89</v>
      </c>
      <c r="B86">
        <v>13</v>
      </c>
      <c r="C86">
        <v>0</v>
      </c>
      <c r="D86">
        <v>5437</v>
      </c>
      <c r="E86">
        <v>2614</v>
      </c>
      <c r="F86">
        <v>0.81966666700000002</v>
      </c>
      <c r="G86">
        <v>1</v>
      </c>
      <c r="H86">
        <v>0.44879820599999998</v>
      </c>
      <c r="I86">
        <v>-0.28573889800000002</v>
      </c>
    </row>
    <row r="87" spans="1:9" x14ac:dyDescent="0.25">
      <c r="A87" t="s">
        <v>96</v>
      </c>
      <c r="B87">
        <v>14</v>
      </c>
      <c r="C87">
        <v>4</v>
      </c>
      <c r="D87">
        <v>5414</v>
      </c>
      <c r="E87">
        <v>1594</v>
      </c>
      <c r="F87">
        <v>0.49566666700000001</v>
      </c>
      <c r="G87">
        <v>0.73333333300000003</v>
      </c>
      <c r="H87">
        <v>0.27554136499999998</v>
      </c>
      <c r="I87">
        <v>9.5440790000000005E-3</v>
      </c>
    </row>
    <row r="88" spans="1:9" x14ac:dyDescent="0.25">
      <c r="A88" t="s">
        <v>86</v>
      </c>
      <c r="B88">
        <v>15</v>
      </c>
      <c r="C88">
        <v>1</v>
      </c>
      <c r="D88">
        <v>5105</v>
      </c>
      <c r="E88">
        <v>2048</v>
      </c>
      <c r="F88">
        <v>0.63166666699999996</v>
      </c>
      <c r="G88">
        <v>0.93333333299999999</v>
      </c>
      <c r="H88">
        <v>0.36007642499999998</v>
      </c>
      <c r="I88">
        <v>-0.112035249</v>
      </c>
    </row>
    <row r="89" spans="1:9" x14ac:dyDescent="0.25">
      <c r="A89" t="s">
        <v>20</v>
      </c>
      <c r="B89">
        <v>16</v>
      </c>
      <c r="C89">
        <v>3</v>
      </c>
      <c r="D89">
        <v>4956</v>
      </c>
      <c r="E89">
        <v>1627</v>
      </c>
      <c r="F89">
        <v>0.51033333299999994</v>
      </c>
      <c r="G89">
        <v>0.8</v>
      </c>
      <c r="H89">
        <v>0.278989604</v>
      </c>
      <c r="I89">
        <v>-1.629945E-2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95E3-7F81-4AB3-A609-89EEC32BB666}">
  <dimension ref="B1:F2"/>
  <sheetViews>
    <sheetView workbookViewId="0">
      <selection activeCell="F3" sqref="F3"/>
    </sheetView>
  </sheetViews>
  <sheetFormatPr defaultRowHeight="15" x14ac:dyDescent="0.25"/>
  <cols>
    <col min="2" max="2" width="17.7109375" customWidth="1"/>
  </cols>
  <sheetData>
    <row r="1" spans="2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2:6" ht="30" x14ac:dyDescent="0.25">
      <c r="B2" s="2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2D05-194C-496E-9C36-3B2D022BE306}">
  <dimension ref="B2:K18"/>
  <sheetViews>
    <sheetView workbookViewId="0">
      <selection activeCell="J3" sqref="J3"/>
    </sheetView>
  </sheetViews>
  <sheetFormatPr defaultRowHeight="15" x14ac:dyDescent="0.25"/>
  <cols>
    <col min="2" max="2" width="28.42578125" bestFit="1" customWidth="1"/>
    <col min="3" max="3" width="8.7109375" customWidth="1"/>
    <col min="4" max="4" width="9" bestFit="1" customWidth="1"/>
    <col min="5" max="5" width="10.28515625" bestFit="1" customWidth="1"/>
    <col min="6" max="6" width="6.5703125" bestFit="1" customWidth="1"/>
    <col min="7" max="7" width="14" bestFit="1" customWidth="1"/>
    <col min="8" max="8" width="12" bestFit="1" customWidth="1"/>
    <col min="9" max="9" width="12.85546875" bestFit="1" customWidth="1"/>
    <col min="10" max="10" width="11" bestFit="1" customWidth="1"/>
    <col min="11" max="11" width="12.140625" bestFit="1" customWidth="1"/>
  </cols>
  <sheetData>
    <row r="2" spans="2:11" ht="30" x14ac:dyDescent="0.25">
      <c r="B2" s="5"/>
      <c r="C2" s="14" t="s">
        <v>21</v>
      </c>
      <c r="D2" s="14" t="s">
        <v>70</v>
      </c>
      <c r="E2" s="14" t="s">
        <v>2</v>
      </c>
      <c r="F2" s="14" t="s">
        <v>1</v>
      </c>
      <c r="G2" s="14" t="s">
        <v>3</v>
      </c>
      <c r="H2" s="14" t="s">
        <v>68</v>
      </c>
      <c r="I2" s="14" t="s">
        <v>69</v>
      </c>
      <c r="J2" s="14" t="s">
        <v>74</v>
      </c>
      <c r="K2" s="14" t="s">
        <v>75</v>
      </c>
    </row>
    <row r="3" spans="2:11" x14ac:dyDescent="0.25">
      <c r="B3" s="3" t="s">
        <v>15</v>
      </c>
      <c r="C3" s="10">
        <f ca="1">Kompilirano!G13</f>
        <v>1.4</v>
      </c>
      <c r="D3" s="6">
        <f t="shared" ref="D3:D18" ca="1" si="0">E3/16</f>
        <v>424.2</v>
      </c>
      <c r="E3" s="12">
        <f ca="1">Kompilirano!AA13</f>
        <v>6787.2</v>
      </c>
      <c r="F3" s="10">
        <f ca="1">Kompilirano!Q13</f>
        <v>8.1999999999999993</v>
      </c>
      <c r="G3" s="12">
        <f ca="1">Kompilirano!AJ13</f>
        <v>1136.2</v>
      </c>
      <c r="H3" s="8">
        <f ca="1">Kompilirano!AT13</f>
        <v>0.37193333319999999</v>
      </c>
      <c r="I3" s="8">
        <f ca="1">Kompilirano!BD13</f>
        <v>0.45333333319999997</v>
      </c>
      <c r="J3" s="8">
        <f ca="1">Kompilirano!BN13</f>
        <v>0.19466054660000001</v>
      </c>
      <c r="K3" s="8">
        <f ca="1">Kompilirano!BX13</f>
        <v>-9.6345948399999992E-2</v>
      </c>
    </row>
    <row r="4" spans="2:11" x14ac:dyDescent="0.25">
      <c r="B4" s="3" t="s">
        <v>5</v>
      </c>
      <c r="C4" s="10">
        <f ca="1">Kompilirano!G3</f>
        <v>2</v>
      </c>
      <c r="D4" s="6">
        <f t="shared" ca="1" si="0"/>
        <v>418.83749999999998</v>
      </c>
      <c r="E4" s="12">
        <f ca="1">Kompilirano!AA3</f>
        <v>6701.4</v>
      </c>
      <c r="F4" s="10">
        <f ca="1">Kompilirano!Q3</f>
        <v>4.4000000000000004</v>
      </c>
      <c r="G4" s="12">
        <f ca="1">Kompilirano!AJ3</f>
        <v>1650.6</v>
      </c>
      <c r="H4" s="8">
        <f ca="1">Kompilirano!AT3</f>
        <v>0.51026666659999997</v>
      </c>
      <c r="I4" s="8">
        <f ca="1">Kompilirano!BD3</f>
        <v>0.70666666680000001</v>
      </c>
      <c r="J4" s="8">
        <f ca="1">Kompilirano!BN3</f>
        <v>0.27688348499999998</v>
      </c>
      <c r="K4" s="8">
        <f ca="1">Kompilirano!BX3</f>
        <v>-0.2469949632</v>
      </c>
    </row>
    <row r="5" spans="2:11" x14ac:dyDescent="0.25">
      <c r="B5" s="3" t="s">
        <v>10</v>
      </c>
      <c r="C5" s="10">
        <f ca="1">Kompilirano!G8</f>
        <v>4.8</v>
      </c>
      <c r="D5" s="6">
        <f t="shared" ca="1" si="0"/>
        <v>403.17500000000001</v>
      </c>
      <c r="E5" s="12">
        <f ca="1">Kompilirano!AA8</f>
        <v>6450.8</v>
      </c>
      <c r="F5" s="10">
        <f ca="1">Kompilirano!Q8</f>
        <v>12</v>
      </c>
      <c r="G5" s="12">
        <f ca="1">Kompilirano!AJ8</f>
        <v>1004.8</v>
      </c>
      <c r="H5" s="8">
        <f ca="1">Kompilirano!AT8</f>
        <v>0.32313333340000006</v>
      </c>
      <c r="I5" s="8">
        <f ca="1">Kompilirano!BD8</f>
        <v>0.2</v>
      </c>
      <c r="J5" s="8">
        <f ca="1">Kompilirano!BN8</f>
        <v>0.19527868840000001</v>
      </c>
      <c r="K5" s="8">
        <f ca="1">Kompilirano!BX8</f>
        <v>0.35973204200000003</v>
      </c>
    </row>
    <row r="6" spans="2:11" x14ac:dyDescent="0.25">
      <c r="B6" s="3" t="s">
        <v>6</v>
      </c>
      <c r="C6" s="10">
        <f ca="1">Kompilirano!G4</f>
        <v>4.5999999999999996</v>
      </c>
      <c r="D6" s="6">
        <f t="shared" ca="1" si="0"/>
        <v>402.85</v>
      </c>
      <c r="E6" s="12">
        <f ca="1">Kompilirano!AA4</f>
        <v>6445.6</v>
      </c>
      <c r="F6" s="10">
        <f ca="1">Kompilirano!Q4</f>
        <v>8.8000000000000007</v>
      </c>
      <c r="G6" s="12">
        <f ca="1">Kompilirano!AJ4</f>
        <v>1063.5999999999999</v>
      </c>
      <c r="H6" s="8">
        <f ca="1">Kompilirano!AT4</f>
        <v>0.32940000000000003</v>
      </c>
      <c r="I6" s="8">
        <f ca="1">Kompilirano!BD4</f>
        <v>0.41333333320000004</v>
      </c>
      <c r="J6" s="8">
        <f ca="1">Kompilirano!BN4</f>
        <v>0.2006593052</v>
      </c>
      <c r="K6" s="8">
        <f ca="1">Kompilirano!BX4</f>
        <v>0.255781335</v>
      </c>
    </row>
    <row r="7" spans="2:11" x14ac:dyDescent="0.25">
      <c r="B7" s="3" t="s">
        <v>16</v>
      </c>
      <c r="C7" s="10">
        <f ca="1">Kompilirano!G14</f>
        <v>4.8</v>
      </c>
      <c r="D7" s="6">
        <f t="shared" ca="1" si="0"/>
        <v>402.75</v>
      </c>
      <c r="E7" s="12">
        <f ca="1">Kompilirano!AA14</f>
        <v>6444</v>
      </c>
      <c r="F7" s="10">
        <f ca="1">Kompilirano!Q14</f>
        <v>9</v>
      </c>
      <c r="G7" s="12">
        <f ca="1">Kompilirano!AJ14</f>
        <v>1153</v>
      </c>
      <c r="H7" s="8">
        <f ca="1">Kompilirano!AT14</f>
        <v>0.36513333339999998</v>
      </c>
      <c r="I7" s="8">
        <f ca="1">Kompilirano!BD14</f>
        <v>0.4</v>
      </c>
      <c r="J7" s="8">
        <f ca="1">Kompilirano!BN14</f>
        <v>0.21592720360000001</v>
      </c>
      <c r="K7" s="8">
        <f ca="1">Kompilirano!BX14</f>
        <v>0.29474401499999997</v>
      </c>
    </row>
    <row r="8" spans="2:11" x14ac:dyDescent="0.25">
      <c r="B8" s="3" t="s">
        <v>12</v>
      </c>
      <c r="C8" s="10">
        <f ca="1">Kompilirano!G10</f>
        <v>6.6</v>
      </c>
      <c r="D8" s="6">
        <f t="shared" ca="1" si="0"/>
        <v>396.33749999999998</v>
      </c>
      <c r="E8" s="12">
        <f ca="1">Kompilirano!AA10</f>
        <v>6341.4</v>
      </c>
      <c r="F8" s="10">
        <f ca="1">Kompilirano!Q10</f>
        <v>13.8</v>
      </c>
      <c r="G8" s="12">
        <f ca="1">Kompilirano!AJ10</f>
        <v>389.6</v>
      </c>
      <c r="H8" s="8">
        <f ca="1">Kompilirano!AT10</f>
        <v>0.1226666666</v>
      </c>
      <c r="I8" s="8">
        <f ca="1">Kompilirano!BD10</f>
        <v>0.08</v>
      </c>
      <c r="J8" s="8">
        <f ca="1">Kompilirano!BN10</f>
        <v>6.6743125E-2</v>
      </c>
      <c r="K8" s="8">
        <f ca="1">Kompilirano!BX10</f>
        <v>0.31612558220000003</v>
      </c>
    </row>
    <row r="9" spans="2:11" x14ac:dyDescent="0.25">
      <c r="B9" s="3" t="s">
        <v>17</v>
      </c>
      <c r="C9" s="10">
        <f ca="1">Kompilirano!G15</f>
        <v>7.8</v>
      </c>
      <c r="D9" s="6">
        <f t="shared" ca="1" si="0"/>
        <v>394.46249999999998</v>
      </c>
      <c r="E9" s="12">
        <f ca="1">Kompilirano!AA15</f>
        <v>6311.4</v>
      </c>
      <c r="F9" s="10">
        <f ca="1">Kompilirano!Q15</f>
        <v>7.6</v>
      </c>
      <c r="G9" s="12">
        <f ca="1">Kompilirano!AJ15</f>
        <v>1326.4</v>
      </c>
      <c r="H9" s="8">
        <f ca="1">Kompilirano!AT15</f>
        <v>0.41786666659999999</v>
      </c>
      <c r="I9" s="8">
        <f ca="1">Kompilirano!BD15</f>
        <v>0.49333333319999995</v>
      </c>
      <c r="J9" s="8">
        <f ca="1">Kompilirano!BN15</f>
        <v>0.25134305560000003</v>
      </c>
      <c r="K9" s="8">
        <f ca="1">Kompilirano!BX15</f>
        <v>0.29191764199999998</v>
      </c>
    </row>
    <row r="10" spans="2:11" x14ac:dyDescent="0.25">
      <c r="B10" s="3" t="s">
        <v>13</v>
      </c>
      <c r="C10" s="10">
        <f ca="1">Kompilirano!G11</f>
        <v>8</v>
      </c>
      <c r="D10" s="6">
        <f t="shared" ca="1" si="0"/>
        <v>393.17500000000001</v>
      </c>
      <c r="E10" s="12">
        <f ca="1">Kompilirano!AA11</f>
        <v>6290.8</v>
      </c>
      <c r="F10" s="10">
        <f ca="1">Kompilirano!Q11</f>
        <v>13.6</v>
      </c>
      <c r="G10" s="12">
        <f ca="1">Kompilirano!AJ11</f>
        <v>466.8</v>
      </c>
      <c r="H10" s="8">
        <f ca="1">Kompilirano!AT11</f>
        <v>0.14633333340000002</v>
      </c>
      <c r="I10" s="8">
        <f ca="1">Kompilirano!BD11</f>
        <v>9.3333333599999999E-2</v>
      </c>
      <c r="J10" s="8">
        <f ca="1">Kompilirano!BN11</f>
        <v>8.1019159199999996E-2</v>
      </c>
      <c r="K10" s="8">
        <f ca="1">Kompilirano!BX11</f>
        <v>0.30582116400000003</v>
      </c>
    </row>
    <row r="11" spans="2:11" x14ac:dyDescent="0.25">
      <c r="B11" s="3" t="s">
        <v>11</v>
      </c>
      <c r="C11" s="10">
        <f ca="1">Kompilirano!G9</f>
        <v>6.8</v>
      </c>
      <c r="D11" s="6">
        <f t="shared" ca="1" si="0"/>
        <v>391.78750000000002</v>
      </c>
      <c r="E11" s="12">
        <f ca="1">Kompilirano!AA9</f>
        <v>6268.6</v>
      </c>
      <c r="F11" s="10">
        <f ca="1">Kompilirano!Q9</f>
        <v>10</v>
      </c>
      <c r="G11" s="12">
        <f ca="1">Kompilirano!AJ9</f>
        <v>919.8</v>
      </c>
      <c r="H11" s="8">
        <f ca="1">Kompilirano!AT9</f>
        <v>0.28879999980000004</v>
      </c>
      <c r="I11" s="8">
        <f ca="1">Kompilirano!BD9</f>
        <v>0.33333333339999999</v>
      </c>
      <c r="J11" s="8">
        <f ca="1">Kompilirano!BN9</f>
        <v>0.17441735979999998</v>
      </c>
      <c r="K11" s="8">
        <f ca="1">Kompilirano!BX9</f>
        <v>0.31452103619999999</v>
      </c>
    </row>
    <row r="12" spans="2:11" x14ac:dyDescent="0.25">
      <c r="B12" s="3" t="s">
        <v>8</v>
      </c>
      <c r="C12" s="10">
        <f ca="1">Kompilirano!G6</f>
        <v>9</v>
      </c>
      <c r="D12" s="6">
        <f t="shared" ca="1" si="0"/>
        <v>389.8125</v>
      </c>
      <c r="E12" s="12">
        <f ca="1">Kompilirano!AA6</f>
        <v>6237</v>
      </c>
      <c r="F12" s="10">
        <f ca="1">Kompilirano!Q6</f>
        <v>5.2</v>
      </c>
      <c r="G12" s="12">
        <f ca="1">Kompilirano!AJ6</f>
        <v>1482.8</v>
      </c>
      <c r="H12" s="8">
        <f ca="1">Kompilirano!AT6</f>
        <v>0.46180000000000004</v>
      </c>
      <c r="I12" s="8">
        <f ca="1">Kompilirano!BD6</f>
        <v>0.65333333339999999</v>
      </c>
      <c r="J12" s="8">
        <f ca="1">Kompilirano!BN6</f>
        <v>0.28047417419999998</v>
      </c>
      <c r="K12" s="8">
        <f ca="1">Kompilirano!BX6</f>
        <v>0.26527379740000001</v>
      </c>
    </row>
    <row r="13" spans="2:11" x14ac:dyDescent="0.25">
      <c r="B13" s="3" t="s">
        <v>14</v>
      </c>
      <c r="C13" s="10">
        <f ca="1">Kompilirano!G12</f>
        <v>11.2</v>
      </c>
      <c r="D13" s="6">
        <f t="shared" ca="1" si="0"/>
        <v>371.52499999999998</v>
      </c>
      <c r="E13" s="12">
        <f ca="1">Kompilirano!AA12</f>
        <v>5944.4</v>
      </c>
      <c r="F13" s="10">
        <f ca="1">Kompilirano!Q12</f>
        <v>8.1999999999999993</v>
      </c>
      <c r="G13" s="12">
        <f ca="1">Kompilirano!AJ12</f>
        <v>1419.6</v>
      </c>
      <c r="H13" s="8">
        <f ca="1">Kompilirano!AT12</f>
        <v>0.44853333340000001</v>
      </c>
      <c r="I13" s="8">
        <f ca="1">Kompilirano!BD12</f>
        <v>0.45333333339999998</v>
      </c>
      <c r="J13" s="8">
        <f ca="1">Kompilirano!BN12</f>
        <v>0.23585124559999998</v>
      </c>
      <c r="K13" s="8">
        <f ca="1">Kompilirano!BX12</f>
        <v>7.6072297999999997E-2</v>
      </c>
    </row>
    <row r="14" spans="2:11" x14ac:dyDescent="0.25">
      <c r="B14" s="3" t="s">
        <v>19</v>
      </c>
      <c r="C14" s="10">
        <f ca="1">Kompilirano!G17</f>
        <v>11.2</v>
      </c>
      <c r="D14" s="6">
        <f t="shared" ca="1" si="0"/>
        <v>370.5</v>
      </c>
      <c r="E14" s="12">
        <f ca="1">Kompilirano!AA17</f>
        <v>5928</v>
      </c>
      <c r="F14" s="10">
        <f ca="1">Kompilirano!Q17</f>
        <v>8.1999999999999993</v>
      </c>
      <c r="G14" s="12">
        <f ca="1">Kompilirano!AJ17</f>
        <v>1134</v>
      </c>
      <c r="H14" s="8">
        <f ca="1">Kompilirano!AT17</f>
        <v>0.3614</v>
      </c>
      <c r="I14" s="8">
        <f ca="1">Kompilirano!BD17</f>
        <v>0.45333333339999998</v>
      </c>
      <c r="J14" s="8">
        <f ca="1">Kompilirano!BN17</f>
        <v>0.22112009220000001</v>
      </c>
      <c r="K14" s="8">
        <f ca="1">Kompilirano!BX17</f>
        <v>0.29838676040000001</v>
      </c>
    </row>
    <row r="15" spans="2:11" x14ac:dyDescent="0.25">
      <c r="B15" s="3" t="s">
        <v>7</v>
      </c>
      <c r="C15" s="10">
        <f ca="1">Kompilirano!G5</f>
        <v>13.6</v>
      </c>
      <c r="D15" s="6">
        <f t="shared" ca="1" si="0"/>
        <v>338.66250000000002</v>
      </c>
      <c r="E15" s="12">
        <f ca="1">Kompilirano!AA5</f>
        <v>5418.6</v>
      </c>
      <c r="F15" s="10">
        <f ca="1">Kompilirano!Q5</f>
        <v>1.6</v>
      </c>
      <c r="G15" s="12">
        <f ca="1">Kompilirano!AJ5</f>
        <v>2033.4</v>
      </c>
      <c r="H15" s="8">
        <f ca="1">Kompilirano!AT5</f>
        <v>0.62800000000000011</v>
      </c>
      <c r="I15" s="8">
        <f ca="1">Kompilirano!BD5</f>
        <v>0.89333333339999998</v>
      </c>
      <c r="J15" s="8">
        <f ca="1">Kompilirano!BN5</f>
        <v>0.35282853939999997</v>
      </c>
      <c r="K15" s="8">
        <f ca="1">Kompilirano!BX5</f>
        <v>-0.10738079119999999</v>
      </c>
    </row>
    <row r="16" spans="2:11" x14ac:dyDescent="0.25">
      <c r="B16" s="3" t="s">
        <v>9</v>
      </c>
      <c r="C16" s="10">
        <f ca="1">Kompilirano!G7</f>
        <v>14</v>
      </c>
      <c r="D16" s="6">
        <f t="shared" ca="1" si="0"/>
        <v>333.66250000000002</v>
      </c>
      <c r="E16" s="12">
        <f ca="1">Kompilirano!AA7</f>
        <v>5338.6</v>
      </c>
      <c r="F16" s="10">
        <f ca="1">Kompilirano!Q7</f>
        <v>0.2</v>
      </c>
      <c r="G16" s="12">
        <f ca="1">Kompilirano!AJ7</f>
        <v>2617.1999999999998</v>
      </c>
      <c r="H16" s="8">
        <f ca="1">Kompilirano!AT7</f>
        <v>0.82013333340000005</v>
      </c>
      <c r="I16" s="8">
        <f ca="1">Kompilirano!BD7</f>
        <v>0.98666666660000002</v>
      </c>
      <c r="J16" s="8">
        <f ca="1">Kompilirano!BN7</f>
        <v>0.44432528560000001</v>
      </c>
      <c r="K16" s="8">
        <f ca="1">Kompilirano!BX7</f>
        <v>-0.28467611159999995</v>
      </c>
    </row>
    <row r="17" spans="2:11" x14ac:dyDescent="0.25">
      <c r="B17" s="3" t="s">
        <v>20</v>
      </c>
      <c r="C17" s="10">
        <f ca="1">Kompilirano!G18</f>
        <v>15.2</v>
      </c>
      <c r="D17" s="6">
        <f t="shared" ca="1" si="0"/>
        <v>319.3</v>
      </c>
      <c r="E17" s="12">
        <f ca="1">Kompilirano!AA18</f>
        <v>5108.8</v>
      </c>
      <c r="F17" s="10">
        <f ca="1">Kompilirano!Q18</f>
        <v>3.4</v>
      </c>
      <c r="G17" s="12">
        <f ca="1">Kompilirano!AJ18</f>
        <v>1604.8</v>
      </c>
      <c r="H17" s="8">
        <f ca="1">Kompilirano!AT18</f>
        <v>0.50160000000000005</v>
      </c>
      <c r="I17" s="8">
        <f ca="1">Kompilirano!BD18</f>
        <v>0.77333333320000008</v>
      </c>
      <c r="J17" s="8">
        <f ca="1">Kompilirano!BN18</f>
        <v>0.27393181659999999</v>
      </c>
      <c r="K17" s="8">
        <f ca="1">Kompilirano!BX18</f>
        <v>-2.7607076000000009E-3</v>
      </c>
    </row>
    <row r="18" spans="2:11" x14ac:dyDescent="0.25">
      <c r="B18" s="4" t="s">
        <v>18</v>
      </c>
      <c r="C18" s="11">
        <f ca="1">Kompilirano!G16</f>
        <v>15</v>
      </c>
      <c r="D18" s="7">
        <f t="shared" ca="1" si="0"/>
        <v>318.5</v>
      </c>
      <c r="E18" s="13">
        <f ca="1">Kompilirano!AA16</f>
        <v>5096</v>
      </c>
      <c r="F18" s="11">
        <f ca="1">Kompilirano!Q16</f>
        <v>3.2</v>
      </c>
      <c r="G18" s="13">
        <f ca="1">Kompilirano!AJ16</f>
        <v>1597.4</v>
      </c>
      <c r="H18" s="9">
        <f ca="1">Kompilirano!AT16</f>
        <v>0.49840000020000003</v>
      </c>
      <c r="I18" s="9">
        <f ca="1">Kompilirano!BD16</f>
        <v>0.78666666660000006</v>
      </c>
      <c r="J18" s="9">
        <f ca="1">Kompilirano!BN16</f>
        <v>0.27204247000000004</v>
      </c>
      <c r="K18" s="9">
        <f ca="1">Kompilirano!BX16</f>
        <v>2.552765999999998E-4</v>
      </c>
    </row>
  </sheetData>
  <sortState xmlns:xlrd2="http://schemas.microsoft.com/office/spreadsheetml/2017/richdata2" ref="B3:K18">
    <sortCondition descending="1" ref="D3: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FINAL</vt:lpstr>
      <vt:lpstr>Kompilirano</vt:lpstr>
      <vt:lpstr>Svi</vt:lpstr>
      <vt:lpstr>Adrese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Nikolić</dc:creator>
  <cp:lastModifiedBy>Ognjen S. Nikolić</cp:lastModifiedBy>
  <dcterms:created xsi:type="dcterms:W3CDTF">2015-06-05T18:17:20Z</dcterms:created>
  <dcterms:modified xsi:type="dcterms:W3CDTF">2026-02-10T15:37:50Z</dcterms:modified>
</cp:coreProperties>
</file>