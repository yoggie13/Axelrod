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ESS\moran\"/>
    </mc:Choice>
  </mc:AlternateContent>
  <xr:revisionPtr revIDLastSave="0" documentId="13_ncr:1_{DDA39140-6843-47FC-98C5-9667386F6E8C}" xr6:coauthVersionLast="47" xr6:coauthVersionMax="47" xr10:uidLastSave="{00000000-0000-0000-0000-000000000000}"/>
  <bookViews>
    <workbookView xWindow="-12" yWindow="12852" windowWidth="23256" windowHeight="12456" xr2:uid="{00000000-000D-0000-FFFF-FFFF00000000}"/>
  </bookViews>
  <sheets>
    <sheet name="Winner rates" sheetId="1" r:id="rId1"/>
    <sheet name="Survival 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2" l="1"/>
  <c r="N24" i="2"/>
  <c r="O24" i="2"/>
  <c r="P24" i="2"/>
  <c r="Q24" i="2"/>
  <c r="L24" i="2"/>
  <c r="M23" i="2"/>
  <c r="N23" i="2"/>
  <c r="O23" i="2"/>
  <c r="P23" i="2"/>
  <c r="Q23" i="2"/>
  <c r="L23" i="2"/>
  <c r="M22" i="2"/>
  <c r="N22" i="2"/>
  <c r="O22" i="2"/>
  <c r="P22" i="2"/>
  <c r="Q22" i="2"/>
  <c r="L22" i="2"/>
  <c r="M21" i="2"/>
  <c r="N21" i="2"/>
  <c r="O21" i="2"/>
  <c r="P21" i="2"/>
  <c r="Q21" i="2"/>
  <c r="L21" i="2"/>
  <c r="N20" i="2"/>
  <c r="M20" i="2"/>
  <c r="L11" i="2"/>
  <c r="L12" i="2" s="1"/>
  <c r="O20" i="2"/>
  <c r="P20" i="2"/>
  <c r="Q20" i="2"/>
  <c r="L20" i="2"/>
  <c r="K11" i="2"/>
  <c r="K12" i="2" s="1"/>
  <c r="J11" i="2"/>
  <c r="J12" i="2" s="1"/>
  <c r="S11" i="2"/>
  <c r="S12" i="2" s="1"/>
  <c r="T11" i="2"/>
  <c r="T12" i="2" s="1"/>
  <c r="U11" i="2"/>
  <c r="U12" i="2" s="1"/>
  <c r="R11" i="2"/>
  <c r="R12" i="2" s="1"/>
  <c r="Q11" i="2"/>
  <c r="Q12" i="2" s="1"/>
  <c r="AA11" i="2"/>
  <c r="AA12" i="2" s="1"/>
  <c r="Z11" i="2"/>
  <c r="Z12" i="2" s="1"/>
  <c r="Y11" i="2"/>
  <c r="Y12" i="2" s="1"/>
  <c r="X11" i="2"/>
  <c r="X12" i="2" s="1"/>
  <c r="W11" i="2"/>
  <c r="W12" i="2" s="1"/>
  <c r="N11" i="2"/>
  <c r="N12" i="2" s="1"/>
  <c r="M11" i="2"/>
  <c r="M12" i="2" s="1"/>
  <c r="Q25" i="2" l="1"/>
  <c r="P25" i="2"/>
  <c r="O25" i="2"/>
  <c r="L25" i="2"/>
  <c r="N25" i="2"/>
  <c r="M25" i="2"/>
  <c r="C60" i="2" l="1"/>
  <c r="D60" i="2"/>
  <c r="E60" i="2"/>
  <c r="F60" i="2"/>
  <c r="G60" i="2"/>
  <c r="B60" i="2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<sst xmlns="http://schemas.openxmlformats.org/spreadsheetml/2006/main" count="154" uniqueCount="66">
  <si>
    <t>Name</t>
  </si>
  <si>
    <t>%</t>
  </si>
  <si>
    <t>Fuzzy</t>
  </si>
  <si>
    <t>Tit For Tat</t>
  </si>
  <si>
    <t>Evolved FSM 6</t>
  </si>
  <si>
    <t>Evolved HMM 5</t>
  </si>
  <si>
    <t>Random: 0.5</t>
  </si>
  <si>
    <t>EvolvedLookerUp2_2_2</t>
  </si>
  <si>
    <t>Moran 1</t>
  </si>
  <si>
    <t>Moran 2</t>
  </si>
  <si>
    <t>Moran 3</t>
  </si>
  <si>
    <t>Moran 4</t>
  </si>
  <si>
    <t>Moran 5</t>
  </si>
  <si>
    <t>Moran 6</t>
  </si>
  <si>
    <t>Moran 7</t>
  </si>
  <si>
    <t>Moran 8</t>
  </si>
  <si>
    <t>Moran 9</t>
  </si>
  <si>
    <t>Moran 10</t>
  </si>
  <si>
    <t>Moran 11</t>
  </si>
  <si>
    <t>Moran 12</t>
  </si>
  <si>
    <t>Moran 13</t>
  </si>
  <si>
    <t>Moran 14</t>
  </si>
  <si>
    <t>Moran 15</t>
  </si>
  <si>
    <t>Moran 16</t>
  </si>
  <si>
    <t>Moran 17</t>
  </si>
  <si>
    <t>Moran 18</t>
  </si>
  <si>
    <t>Moran 19</t>
  </si>
  <si>
    <t>Moran 20</t>
  </si>
  <si>
    <t>Moran 21</t>
  </si>
  <si>
    <t>Moran 22</t>
  </si>
  <si>
    <t>Moran 23</t>
  </si>
  <si>
    <t>Moran 24</t>
  </si>
  <si>
    <t>Moran 25</t>
  </si>
  <si>
    <t>Moran 26</t>
  </si>
  <si>
    <t>Moran 27</t>
  </si>
  <si>
    <t>Moran 28</t>
  </si>
  <si>
    <t>Moran 29</t>
  </si>
  <si>
    <t>Moran 30</t>
  </si>
  <si>
    <t>Moran 31</t>
  </si>
  <si>
    <t>Moran 32</t>
  </si>
  <si>
    <t>Moran 33</t>
  </si>
  <si>
    <t>Moran 34</t>
  </si>
  <si>
    <t>Moran 35</t>
  </si>
  <si>
    <t>Moran 36</t>
  </si>
  <si>
    <t>Moran 37</t>
  </si>
  <si>
    <t>Moran 38</t>
  </si>
  <si>
    <t>Moran 39</t>
  </si>
  <si>
    <t>Moran 40</t>
  </si>
  <si>
    <t>Moran 41</t>
  </si>
  <si>
    <t>Moran 42</t>
  </si>
  <si>
    <t>Moran 43</t>
  </si>
  <si>
    <t>Moran 44</t>
  </si>
  <si>
    <t>Moran 45</t>
  </si>
  <si>
    <t>Moran 46</t>
  </si>
  <si>
    <t>Moran 47</t>
  </si>
  <si>
    <t>Moran 48</t>
  </si>
  <si>
    <t>Moran 49</t>
  </si>
  <si>
    <t>Moran 50</t>
  </si>
  <si>
    <t>Random</t>
  </si>
  <si>
    <t>&gt; Neutral drift</t>
  </si>
  <si>
    <t>&gt;=83.33%</t>
  </si>
  <si>
    <t>(0, 20%]</t>
  </si>
  <si>
    <t>(20%, 40%]</t>
  </si>
  <si>
    <t>(40%, 60%]</t>
  </si>
  <si>
    <t>(60%, 80%]</t>
  </si>
  <si>
    <t>(80%, 100%]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</si>
</sst>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2" fontId="0" fillId="0" borderId="0" xfId="1" applyNumberFormat="1" applyFont="1"/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'Survival rates'!$K$20</c:f>
              <c:strCache>
                <c:ptCount val="1"/>
                <c:pt idx="0">
                  <c:v>(0, 20%]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rates'!$L$19:$Q$19</c:f>
              <c:strCache>
                <c:ptCount val="6"/>
                <c:pt idx="0">
                  <c:v>Fuzzy</c:v>
                </c:pt>
                <c:pt idx="1">
                  <c:v>Evolved FSM 6</c:v>
                </c:pt>
                <c:pt idx="2">
                  <c:v>EvolvedLookerUp2_2_2</c:v>
                </c:pt>
                <c:pt idx="3">
                  <c:v>Evolved HMM 5</c:v>
                </c:pt>
                <c:pt idx="4">
                  <c:v>Tit For Tat</c:v>
                </c:pt>
                <c:pt idx="5">
                  <c:v>Random</c:v>
                </c:pt>
              </c:strCache>
            </c:strRef>
          </c:cat>
          <c:val>
            <c:numRef>
              <c:f>'Survival rates'!$L$20:$Q$20</c:f>
              <c:numCache>
                <c:formatCode>0%</c:formatCode>
                <c:ptCount val="6"/>
                <c:pt idx="0">
                  <c:v>0.34</c:v>
                </c:pt>
                <c:pt idx="1">
                  <c:v>0.3</c:v>
                </c:pt>
                <c:pt idx="2">
                  <c:v>0.5</c:v>
                </c:pt>
                <c:pt idx="3">
                  <c:v>0.38</c:v>
                </c:pt>
                <c:pt idx="4">
                  <c:v>0.44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7-4F58-B3EA-1AC70B4279A3}"/>
            </c:ext>
          </c:extLst>
        </c:ser>
        <c:ser>
          <c:idx val="1"/>
          <c:order val="1"/>
          <c:tx>
            <c:strRef>
              <c:f>'Survival rates'!$K$21</c:f>
              <c:strCache>
                <c:ptCount val="1"/>
                <c:pt idx="0">
                  <c:v>(20%, 40%]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rates'!$L$19:$Q$19</c:f>
              <c:strCache>
                <c:ptCount val="6"/>
                <c:pt idx="0">
                  <c:v>Fuzzy</c:v>
                </c:pt>
                <c:pt idx="1">
                  <c:v>Evolved FSM 6</c:v>
                </c:pt>
                <c:pt idx="2">
                  <c:v>EvolvedLookerUp2_2_2</c:v>
                </c:pt>
                <c:pt idx="3">
                  <c:v>Evolved HMM 5</c:v>
                </c:pt>
                <c:pt idx="4">
                  <c:v>Tit For Tat</c:v>
                </c:pt>
                <c:pt idx="5">
                  <c:v>Random</c:v>
                </c:pt>
              </c:strCache>
            </c:strRef>
          </c:cat>
          <c:val>
            <c:numRef>
              <c:f>'Survival rates'!$L$21:$Q$21</c:f>
              <c:numCache>
                <c:formatCode>0%</c:formatCode>
                <c:ptCount val="6"/>
                <c:pt idx="0">
                  <c:v>0.16</c:v>
                </c:pt>
                <c:pt idx="1">
                  <c:v>0.16</c:v>
                </c:pt>
                <c:pt idx="2">
                  <c:v>0.1</c:v>
                </c:pt>
                <c:pt idx="3">
                  <c:v>0.08</c:v>
                </c:pt>
                <c:pt idx="4">
                  <c:v>0.26</c:v>
                </c:pt>
                <c:pt idx="5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7-4F58-B3EA-1AC70B4279A3}"/>
            </c:ext>
          </c:extLst>
        </c:ser>
        <c:ser>
          <c:idx val="2"/>
          <c:order val="2"/>
          <c:tx>
            <c:strRef>
              <c:f>'Survival rates'!$K$22</c:f>
              <c:strCache>
                <c:ptCount val="1"/>
                <c:pt idx="0">
                  <c:v>(40%, 60%]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rates'!$L$19:$Q$19</c:f>
              <c:strCache>
                <c:ptCount val="6"/>
                <c:pt idx="0">
                  <c:v>Fuzzy</c:v>
                </c:pt>
                <c:pt idx="1">
                  <c:v>Evolved FSM 6</c:v>
                </c:pt>
                <c:pt idx="2">
                  <c:v>EvolvedLookerUp2_2_2</c:v>
                </c:pt>
                <c:pt idx="3">
                  <c:v>Evolved HMM 5</c:v>
                </c:pt>
                <c:pt idx="4">
                  <c:v>Tit For Tat</c:v>
                </c:pt>
                <c:pt idx="5">
                  <c:v>Random</c:v>
                </c:pt>
              </c:strCache>
            </c:strRef>
          </c:cat>
          <c:val>
            <c:numRef>
              <c:f>'Survival rates'!$L$22:$Q$22</c:f>
              <c:numCache>
                <c:formatCode>0%</c:formatCode>
                <c:ptCount val="6"/>
                <c:pt idx="0">
                  <c:v>0.06</c:v>
                </c:pt>
                <c:pt idx="1">
                  <c:v>0.1</c:v>
                </c:pt>
                <c:pt idx="2">
                  <c:v>0.08</c:v>
                </c:pt>
                <c:pt idx="3">
                  <c:v>0.04</c:v>
                </c:pt>
                <c:pt idx="4">
                  <c:v>0.04</c:v>
                </c:pt>
                <c:pt idx="5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7-4F58-B3EA-1AC70B4279A3}"/>
            </c:ext>
          </c:extLst>
        </c:ser>
        <c:ser>
          <c:idx val="3"/>
          <c:order val="3"/>
          <c:tx>
            <c:strRef>
              <c:f>'Survival rates'!$K$23</c:f>
              <c:strCache>
                <c:ptCount val="1"/>
                <c:pt idx="0">
                  <c:v>(60%, 80%]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rates'!$L$19:$Q$19</c:f>
              <c:strCache>
                <c:ptCount val="6"/>
                <c:pt idx="0">
                  <c:v>Fuzzy</c:v>
                </c:pt>
                <c:pt idx="1">
                  <c:v>Evolved FSM 6</c:v>
                </c:pt>
                <c:pt idx="2">
                  <c:v>EvolvedLookerUp2_2_2</c:v>
                </c:pt>
                <c:pt idx="3">
                  <c:v>Evolved HMM 5</c:v>
                </c:pt>
                <c:pt idx="4">
                  <c:v>Tit For Tat</c:v>
                </c:pt>
                <c:pt idx="5">
                  <c:v>Random</c:v>
                </c:pt>
              </c:strCache>
            </c:strRef>
          </c:cat>
          <c:val>
            <c:numRef>
              <c:f>'Survival rates'!$L$23:$Q$23</c:f>
              <c:numCache>
                <c:formatCode>0%</c:formatCode>
                <c:ptCount val="6"/>
                <c:pt idx="0">
                  <c:v>0.04</c:v>
                </c:pt>
                <c:pt idx="1">
                  <c:v>0.02</c:v>
                </c:pt>
                <c:pt idx="2">
                  <c:v>0.06</c:v>
                </c:pt>
                <c:pt idx="3">
                  <c:v>0</c:v>
                </c:pt>
                <c:pt idx="4">
                  <c:v>0.06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E7-4F58-B3EA-1AC70B4279A3}"/>
            </c:ext>
          </c:extLst>
        </c:ser>
        <c:ser>
          <c:idx val="4"/>
          <c:order val="4"/>
          <c:tx>
            <c:strRef>
              <c:f>'Survival rates'!$K$24</c:f>
              <c:strCache>
                <c:ptCount val="1"/>
                <c:pt idx="0">
                  <c:v>(80%, 100%]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rates'!$L$19:$Q$19</c:f>
              <c:strCache>
                <c:ptCount val="6"/>
                <c:pt idx="0">
                  <c:v>Fuzzy</c:v>
                </c:pt>
                <c:pt idx="1">
                  <c:v>Evolved FSM 6</c:v>
                </c:pt>
                <c:pt idx="2">
                  <c:v>EvolvedLookerUp2_2_2</c:v>
                </c:pt>
                <c:pt idx="3">
                  <c:v>Evolved HMM 5</c:v>
                </c:pt>
                <c:pt idx="4">
                  <c:v>Tit For Tat</c:v>
                </c:pt>
                <c:pt idx="5">
                  <c:v>Random</c:v>
                </c:pt>
              </c:strCache>
            </c:strRef>
          </c:cat>
          <c:val>
            <c:numRef>
              <c:f>'Survival rates'!$L$24:$Q$24</c:f>
              <c:numCache>
                <c:formatCode>0%</c:formatCode>
                <c:ptCount val="6"/>
                <c:pt idx="0">
                  <c:v>0.4</c:v>
                </c:pt>
                <c:pt idx="1">
                  <c:v>0.42</c:v>
                </c:pt>
                <c:pt idx="2">
                  <c:v>0.26</c:v>
                </c:pt>
                <c:pt idx="3">
                  <c:v>0.5</c:v>
                </c:pt>
                <c:pt idx="4">
                  <c:v>0.2</c:v>
                </c:pt>
                <c:pt idx="5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E7-4F58-B3EA-1AC70B4279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02463392"/>
        <c:axId val="2002463872"/>
      </c:barChart>
      <c:catAx>
        <c:axId val="200246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463872"/>
        <c:crosses val="autoZero"/>
        <c:auto val="1"/>
        <c:lblAlgn val="ctr"/>
        <c:lblOffset val="100"/>
        <c:noMultiLvlLbl val="0"/>
      </c:catAx>
      <c:valAx>
        <c:axId val="2002463872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46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859155</xdr:colOff>
      <xdr:row>11</xdr:row>
      <xdr:rowOff>115570</xdr:rowOff>
    </xdr:from>
    <xdr:to>
      <xdr:col>21</xdr:col>
      <xdr:colOff>605155</xdr:colOff>
      <xdr:row>46</xdr:row>
      <xdr:rowOff>1905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F47CC3-033E-55F6-8454-D86A92EB1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206" workbookViewId="0">
      <selection activeCell="C7" sqref="C2:C7"/>
    </sheetView>
  </sheetViews>
  <sheetFormatPr defaultRowHeight="15" x14ac:dyDescent="0.25"/>
  <cols>
    <col min="1" max="1" width="17.140625" customWidth="1"/>
    <col min="2" max="2" width="20.5703125" bestFit="1" customWidth="1"/>
    <col min="3" max="3" width="11" customWidth="1"/>
    <col min="4" max="4" width="13.5703125" bestFit="1" customWidth="1"/>
  </cols>
  <sheetData>
    <row r="1" spans="1:4" x14ac:dyDescent="0.25">
      <c r="B1" s="1" t="s">
        <v>0</v>
      </c>
      <c r="C1" s="1" t="s">
        <v>1</v>
      </c>
      <c r="D1" t="s">
        <v>59</v>
      </c>
    </row>
    <row r="2" spans="1:4" x14ac:dyDescent="0.25">
      <c r="A2" s="1" t="s">
        <v>2</v>
      </c>
      <c r="B2" t="s">
        <v>2</v>
      </c>
      <c r="C2" s="2">
        <v>0.22</v>
      </c>
      <c r="D2" t="b">
        <f>C2&gt;1/6</f>
        <v>1</v>
      </c>
    </row>
    <row r="3" spans="1:4" x14ac:dyDescent="0.25">
      <c r="A3" s="1" t="s">
        <v>3</v>
      </c>
      <c r="B3" t="s">
        <v>3</v>
      </c>
      <c r="C3" s="2">
        <v>0.14000000000000001</v>
      </c>
      <c r="D3" t="b">
        <f t="shared" ref="D3:D7" si="0">C3&gt;1/6</f>
        <v>0</v>
      </c>
    </row>
    <row r="4" spans="1:4" x14ac:dyDescent="0.25">
      <c r="A4" s="1" t="s">
        <v>4</v>
      </c>
      <c r="B4" t="s">
        <v>4</v>
      </c>
      <c r="C4" s="2">
        <v>0.2</v>
      </c>
      <c r="D4" t="b">
        <f t="shared" si="0"/>
        <v>1</v>
      </c>
    </row>
    <row r="5" spans="1:4" x14ac:dyDescent="0.25">
      <c r="A5" s="1" t="s">
        <v>5</v>
      </c>
      <c r="B5" t="s">
        <v>5</v>
      </c>
      <c r="C5" s="2">
        <v>0.22</v>
      </c>
      <c r="D5" t="b">
        <f t="shared" si="0"/>
        <v>1</v>
      </c>
    </row>
    <row r="6" spans="1:4" x14ac:dyDescent="0.25">
      <c r="A6" s="1" t="s">
        <v>6</v>
      </c>
      <c r="B6" t="s">
        <v>6</v>
      </c>
      <c r="C6" s="2">
        <v>0.06</v>
      </c>
      <c r="D6" t="b">
        <f t="shared" si="0"/>
        <v>0</v>
      </c>
    </row>
    <row r="7" spans="1:4" x14ac:dyDescent="0.25">
      <c r="A7" s="1" t="s">
        <v>7</v>
      </c>
      <c r="B7" t="s">
        <v>7</v>
      </c>
      <c r="C7" s="2">
        <v>0.16</v>
      </c>
      <c r="D7" t="b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60"/>
  <sheetViews>
    <sheetView topLeftCell="A16" zoomScale="75" workbookViewId="0">
      <selection activeCell="J9" sqref="J9:N9"/>
    </sheetView>
  </sheetViews>
  <sheetFormatPr defaultRowHeight="15" x14ac:dyDescent="0.25"/>
  <cols>
    <col min="1" max="1" width="21.140625" bestFit="1" customWidth="1"/>
    <col min="2" max="2" width="12.140625" bestFit="1" customWidth="1"/>
    <col min="3" max="3" width="13.28515625" bestFit="1" customWidth="1"/>
    <col min="4" max="4" width="21.140625" bestFit="1" customWidth="1"/>
    <col min="5" max="5" width="14.42578125" bestFit="1" customWidth="1"/>
    <col min="6" max="7" width="9.7109375" bestFit="1" customWidth="1"/>
  </cols>
  <sheetData>
    <row r="1" spans="1:51" x14ac:dyDescent="0.25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</row>
    <row r="2" spans="1:51" x14ac:dyDescent="0.25">
      <c r="A2" s="1" t="s">
        <v>2</v>
      </c>
      <c r="B2" s="2">
        <v>5.8823529411764712E-2</v>
      </c>
      <c r="C2" s="2">
        <v>5.2631578947368418E-2</v>
      </c>
      <c r="D2" s="2">
        <v>1</v>
      </c>
      <c r="E2" s="2">
        <v>0.95238095238095233</v>
      </c>
      <c r="F2" s="2">
        <v>5.5555555555555552E-2</v>
      </c>
      <c r="G2" s="2">
        <v>0.48275862068965519</v>
      </c>
      <c r="H2" s="2">
        <v>0.96</v>
      </c>
      <c r="I2" s="2">
        <v>0.3</v>
      </c>
      <c r="J2" s="2">
        <v>0.95652173913043481</v>
      </c>
      <c r="K2" s="2">
        <v>0.65217391304347827</v>
      </c>
      <c r="L2" s="2">
        <v>2.222222222222222E-2</v>
      </c>
      <c r="M2" s="2">
        <v>1</v>
      </c>
      <c r="N2" s="2">
        <v>0.16666666666666671</v>
      </c>
      <c r="O2" s="2">
        <v>0.14285714285714279</v>
      </c>
      <c r="P2" s="2">
        <v>0.36</v>
      </c>
      <c r="Q2" s="2">
        <v>0.9821428571428571</v>
      </c>
      <c r="R2" s="2">
        <v>0.5</v>
      </c>
      <c r="S2" s="2">
        <v>1</v>
      </c>
      <c r="T2" s="2">
        <v>0.3888888888888889</v>
      </c>
      <c r="U2" s="2">
        <v>1</v>
      </c>
      <c r="V2" s="2">
        <v>0.17241379310344829</v>
      </c>
      <c r="W2" s="2">
        <v>0.1111111111111111</v>
      </c>
      <c r="X2" s="2">
        <v>3.5714285714285712E-2</v>
      </c>
      <c r="Y2" s="2">
        <v>1</v>
      </c>
      <c r="Z2" s="2">
        <v>0.4</v>
      </c>
      <c r="AA2" s="2">
        <v>1</v>
      </c>
      <c r="AB2" s="2">
        <v>3.5714285714285712E-2</v>
      </c>
      <c r="AC2" s="2">
        <v>2.0833333333333329E-2</v>
      </c>
      <c r="AD2" s="2">
        <v>8.1632653061224483E-2</v>
      </c>
      <c r="AE2" s="2">
        <v>0.15789473684210531</v>
      </c>
      <c r="AF2" s="2">
        <v>0.97222222222222221</v>
      </c>
      <c r="AG2" s="2">
        <v>0.59090909090909094</v>
      </c>
      <c r="AH2" s="2">
        <v>1</v>
      </c>
      <c r="AI2" s="2">
        <v>1</v>
      </c>
      <c r="AJ2" s="2">
        <v>1</v>
      </c>
      <c r="AK2" s="2">
        <v>0.1111111111111111</v>
      </c>
      <c r="AL2" s="2">
        <v>0.96296296296296291</v>
      </c>
      <c r="AM2" s="2">
        <v>0.97368421052631582</v>
      </c>
      <c r="AN2" s="2">
        <v>0.96153846153846156</v>
      </c>
      <c r="AO2" s="2">
        <v>0.28000000000000003</v>
      </c>
      <c r="AP2" s="2">
        <v>0.95</v>
      </c>
      <c r="AQ2" s="2">
        <v>0.31578947368421051</v>
      </c>
      <c r="AR2" s="2">
        <v>1</v>
      </c>
      <c r="AS2" s="2">
        <v>0.22222222222222221</v>
      </c>
      <c r="AT2" s="2">
        <v>4.6511627906976737E-2</v>
      </c>
      <c r="AU2" s="2">
        <v>0.375</v>
      </c>
      <c r="AV2" s="2">
        <v>0.61538461538461542</v>
      </c>
      <c r="AW2" s="2">
        <v>5.5555555555555552E-2</v>
      </c>
      <c r="AX2" s="2">
        <v>0.08</v>
      </c>
      <c r="AY2" s="2">
        <v>1</v>
      </c>
    </row>
    <row r="3" spans="1:51" x14ac:dyDescent="0.25">
      <c r="A3" s="1" t="s">
        <v>4</v>
      </c>
      <c r="B3" s="2">
        <v>0.47058823529411759</v>
      </c>
      <c r="C3" s="2">
        <v>0.57894736842105265</v>
      </c>
      <c r="D3" s="2">
        <v>0.96551724137931039</v>
      </c>
      <c r="E3" s="2">
        <v>0.38095238095238088</v>
      </c>
      <c r="F3" s="2">
        <v>0.25</v>
      </c>
      <c r="G3" s="2">
        <v>0.44827586206896552</v>
      </c>
      <c r="H3" s="2">
        <v>0.12</v>
      </c>
      <c r="I3" s="2">
        <v>1</v>
      </c>
      <c r="J3" s="2">
        <v>4.3478260869565223E-2</v>
      </c>
      <c r="K3" s="2">
        <v>1</v>
      </c>
      <c r="L3" s="2">
        <v>0.2</v>
      </c>
      <c r="M3" s="2">
        <v>0.95454545454545459</v>
      </c>
      <c r="N3" s="2">
        <v>0.94444444444444442</v>
      </c>
      <c r="O3" s="2">
        <v>0.8571428571428571</v>
      </c>
      <c r="P3" s="2">
        <v>0.04</v>
      </c>
      <c r="Q3" s="2">
        <v>0.1785714285714286</v>
      </c>
      <c r="R3" s="2">
        <v>1</v>
      </c>
      <c r="S3" s="2">
        <v>4.3478260869565223E-2</v>
      </c>
      <c r="T3" s="2">
        <v>1</v>
      </c>
      <c r="U3" s="2">
        <v>0.26666666666666672</v>
      </c>
      <c r="V3" s="2">
        <v>0.96551724137931039</v>
      </c>
      <c r="W3" s="2">
        <v>0.33333333333333331</v>
      </c>
      <c r="X3" s="2">
        <v>1</v>
      </c>
      <c r="Y3" s="2">
        <v>2.777777777777778E-2</v>
      </c>
      <c r="Z3" s="2">
        <v>1</v>
      </c>
      <c r="AA3" s="2">
        <v>0.22222222222222221</v>
      </c>
      <c r="AB3" s="2">
        <v>0.9642857142857143</v>
      </c>
      <c r="AC3" s="2">
        <v>6.25E-2</v>
      </c>
      <c r="AD3" s="2">
        <v>0.38775510204081631</v>
      </c>
      <c r="AE3" s="2">
        <v>0.2105263157894737</v>
      </c>
      <c r="AF3" s="2">
        <v>8.3333333333333329E-2</v>
      </c>
      <c r="AG3" s="2">
        <v>1</v>
      </c>
      <c r="AH3" s="2">
        <v>0.96</v>
      </c>
      <c r="AI3" s="2">
        <v>0.125</v>
      </c>
      <c r="AJ3" s="2">
        <v>0.68</v>
      </c>
      <c r="AK3" s="2">
        <v>5.5555555555555552E-2</v>
      </c>
      <c r="AL3" s="2">
        <v>0.1851851851851852</v>
      </c>
      <c r="AM3" s="2">
        <v>1</v>
      </c>
      <c r="AN3" s="2">
        <v>0.1153846153846154</v>
      </c>
      <c r="AO3" s="2">
        <v>0.96</v>
      </c>
      <c r="AP3" s="2">
        <v>0.35</v>
      </c>
      <c r="AQ3" s="2">
        <v>0.94736842105263153</v>
      </c>
      <c r="AR3" s="2">
        <v>0.4375</v>
      </c>
      <c r="AS3" s="2">
        <v>2.777777777777778E-2</v>
      </c>
      <c r="AT3" s="2">
        <v>1</v>
      </c>
      <c r="AU3" s="2">
        <v>0.97916666666666663</v>
      </c>
      <c r="AV3" s="2">
        <v>0.92307692307692313</v>
      </c>
      <c r="AW3" s="2">
        <v>0.44444444444444442</v>
      </c>
      <c r="AX3" s="2">
        <v>1</v>
      </c>
      <c r="AY3" s="2">
        <v>0.15384615384615391</v>
      </c>
    </row>
    <row r="4" spans="1:51" x14ac:dyDescent="0.25">
      <c r="A4" s="1" t="s">
        <v>7</v>
      </c>
      <c r="B4" s="2">
        <v>0.35294117647058831</v>
      </c>
      <c r="C4" s="2">
        <v>1</v>
      </c>
      <c r="D4" s="2">
        <v>6.8965517241379309E-2</v>
      </c>
      <c r="E4" s="2">
        <v>0.66666666666666663</v>
      </c>
      <c r="F4" s="2">
        <v>8.3333333333333329E-2</v>
      </c>
      <c r="G4" s="2">
        <v>1</v>
      </c>
      <c r="H4" s="2">
        <v>0.08</v>
      </c>
      <c r="I4" s="2">
        <v>0.4</v>
      </c>
      <c r="J4" s="2">
        <v>0.34782608695652167</v>
      </c>
      <c r="K4" s="2">
        <v>0.95652173913043481</v>
      </c>
      <c r="L4" s="2">
        <v>1</v>
      </c>
      <c r="M4" s="2">
        <v>0.54545454545454541</v>
      </c>
      <c r="N4" s="2">
        <v>1</v>
      </c>
      <c r="O4" s="2">
        <v>0.42857142857142849</v>
      </c>
      <c r="P4" s="2">
        <v>0.16</v>
      </c>
      <c r="Q4" s="2">
        <v>1</v>
      </c>
      <c r="R4" s="2">
        <v>0.41666666666666669</v>
      </c>
      <c r="S4" s="2">
        <v>0.21739130434782611</v>
      </c>
      <c r="T4" s="2">
        <v>5.5555555555555552E-2</v>
      </c>
      <c r="U4" s="2">
        <v>0.1</v>
      </c>
      <c r="V4" s="2">
        <v>0.10344827586206901</v>
      </c>
      <c r="W4" s="2">
        <v>0.16666666666666671</v>
      </c>
      <c r="X4" s="2">
        <v>0.9642857142857143</v>
      </c>
      <c r="Y4" s="2">
        <v>8.3333333333333329E-2</v>
      </c>
      <c r="Z4" s="2">
        <v>0.1142857142857143</v>
      </c>
      <c r="AA4" s="2">
        <v>0.61111111111111116</v>
      </c>
      <c r="AB4" s="2">
        <v>0.35714285714285721</v>
      </c>
      <c r="AC4" s="2">
        <v>1</v>
      </c>
      <c r="AD4" s="2">
        <v>0.1224489795918367</v>
      </c>
      <c r="AE4" s="2">
        <v>0.42105263157894729</v>
      </c>
      <c r="AF4" s="2">
        <v>5.5555555555555552E-2</v>
      </c>
      <c r="AG4" s="2">
        <v>2.2727272727272731E-2</v>
      </c>
      <c r="AH4" s="2">
        <v>0.16</v>
      </c>
      <c r="AI4" s="2">
        <v>6.25E-2</v>
      </c>
      <c r="AJ4" s="2">
        <v>0.96</v>
      </c>
      <c r="AK4" s="2">
        <v>1</v>
      </c>
      <c r="AL4" s="2">
        <v>7.407407407407407E-2</v>
      </c>
      <c r="AM4" s="2">
        <v>5.2631578947368418E-2</v>
      </c>
      <c r="AN4" s="2">
        <v>7.6923076923076927E-2</v>
      </c>
      <c r="AO4" s="2">
        <v>1</v>
      </c>
      <c r="AP4" s="2">
        <v>0.1</v>
      </c>
      <c r="AQ4" s="2">
        <v>5.2631578947368418E-2</v>
      </c>
      <c r="AR4" s="2">
        <v>6.25E-2</v>
      </c>
      <c r="AS4" s="2">
        <v>0.97222222222222221</v>
      </c>
      <c r="AT4" s="2">
        <v>0.1395348837209302</v>
      </c>
      <c r="AU4" s="2">
        <v>0.14583333333333329</v>
      </c>
      <c r="AV4" s="2">
        <v>0.15384615384615391</v>
      </c>
      <c r="AW4" s="2">
        <v>0.94444444444444442</v>
      </c>
      <c r="AX4" s="2">
        <v>0.16</v>
      </c>
      <c r="AY4" s="2">
        <v>0.69230769230769229</v>
      </c>
    </row>
    <row r="5" spans="1:51" x14ac:dyDescent="0.25">
      <c r="A5" s="1" t="s">
        <v>5</v>
      </c>
      <c r="B5" s="2">
        <v>0.29411764705882348</v>
      </c>
      <c r="C5" s="2">
        <v>0.10526315789473679</v>
      </c>
      <c r="D5" s="2">
        <v>0.17241379310344829</v>
      </c>
      <c r="E5" s="2">
        <v>4.7619047619047623E-2</v>
      </c>
      <c r="F5" s="2">
        <v>0.97222222222222221</v>
      </c>
      <c r="G5" s="2">
        <v>0.96551724137931039</v>
      </c>
      <c r="H5" s="2">
        <v>1</v>
      </c>
      <c r="I5" s="2">
        <v>0.1</v>
      </c>
      <c r="J5" s="2">
        <v>1</v>
      </c>
      <c r="K5" s="2">
        <v>8.6956521739130405E-2</v>
      </c>
      <c r="L5" s="2">
        <v>0.97777777777777775</v>
      </c>
      <c r="M5" s="2">
        <v>4.5454545454545463E-2</v>
      </c>
      <c r="N5" s="2">
        <v>0.1111111111111111</v>
      </c>
      <c r="O5" s="2">
        <v>1</v>
      </c>
      <c r="P5" s="2">
        <v>1</v>
      </c>
      <c r="Q5" s="2">
        <v>5.3571428571428568E-2</v>
      </c>
      <c r="R5" s="2">
        <v>0.91666666666666663</v>
      </c>
      <c r="S5" s="2">
        <v>0.95652173913043481</v>
      </c>
      <c r="T5" s="2">
        <v>0.97222222222222221</v>
      </c>
      <c r="U5" s="2">
        <v>0.6</v>
      </c>
      <c r="V5" s="2">
        <v>0.48275862068965519</v>
      </c>
      <c r="W5" s="2">
        <v>1</v>
      </c>
      <c r="X5" s="2">
        <v>7.1428571428571425E-2</v>
      </c>
      <c r="Y5" s="2">
        <v>0.97222222222222221</v>
      </c>
      <c r="Z5" s="2">
        <v>0.14285714285714279</v>
      </c>
      <c r="AA5" s="2">
        <v>0.94444444444444442</v>
      </c>
      <c r="AB5" s="2">
        <v>7.1428571428571425E-2</v>
      </c>
      <c r="AC5" s="2">
        <v>0.97916666666666663</v>
      </c>
      <c r="AD5" s="2">
        <v>1</v>
      </c>
      <c r="AE5" s="2">
        <v>0.94736842105263153</v>
      </c>
      <c r="AF5" s="2">
        <v>1</v>
      </c>
      <c r="AG5" s="2">
        <v>0.13636363636363641</v>
      </c>
      <c r="AH5" s="2">
        <v>0.08</v>
      </c>
      <c r="AI5" s="2">
        <v>0.9375</v>
      </c>
      <c r="AJ5" s="2">
        <v>0.12</v>
      </c>
      <c r="AK5" s="2">
        <v>0.16666666666666671</v>
      </c>
      <c r="AL5" s="2">
        <v>1</v>
      </c>
      <c r="AM5" s="2">
        <v>2.6315789473684209E-2</v>
      </c>
      <c r="AN5" s="2">
        <v>3.8461538461538457E-2</v>
      </c>
      <c r="AO5" s="2">
        <v>0.08</v>
      </c>
      <c r="AP5" s="2">
        <v>1</v>
      </c>
      <c r="AQ5" s="2">
        <v>1</v>
      </c>
      <c r="AR5" s="2">
        <v>0.3125</v>
      </c>
      <c r="AS5" s="2">
        <v>8.3333333333333329E-2</v>
      </c>
      <c r="AT5" s="2">
        <v>0.97674418604651159</v>
      </c>
      <c r="AU5" s="2">
        <v>1</v>
      </c>
      <c r="AV5" s="2">
        <v>0.30769230769230771</v>
      </c>
      <c r="AW5" s="2">
        <v>0.33333333333333331</v>
      </c>
      <c r="AX5" s="2">
        <v>0.96</v>
      </c>
      <c r="AY5" s="2">
        <v>0.96153846153846156</v>
      </c>
    </row>
    <row r="6" spans="1:51" x14ac:dyDescent="0.25">
      <c r="A6" s="1" t="s">
        <v>3</v>
      </c>
      <c r="B6" s="2">
        <v>1</v>
      </c>
      <c r="C6" s="2">
        <v>0.2105263157894737</v>
      </c>
      <c r="D6" s="2">
        <v>0.2068965517241379</v>
      </c>
      <c r="E6" s="2">
        <v>1</v>
      </c>
      <c r="F6" s="2">
        <v>1</v>
      </c>
      <c r="G6" s="2">
        <v>0.10344827586206901</v>
      </c>
      <c r="H6" s="2">
        <v>0.04</v>
      </c>
      <c r="I6" s="2">
        <v>0.2</v>
      </c>
      <c r="J6" s="2">
        <v>0.78260869565217395</v>
      </c>
      <c r="K6" s="2">
        <v>0.30434782608695649</v>
      </c>
      <c r="L6" s="2">
        <v>4.4444444444444453E-2</v>
      </c>
      <c r="M6" s="2">
        <v>0.1818181818181818</v>
      </c>
      <c r="N6" s="2">
        <v>0.3888888888888889</v>
      </c>
      <c r="O6" s="2">
        <v>0.5714285714285714</v>
      </c>
      <c r="P6" s="2">
        <v>0.08</v>
      </c>
      <c r="Q6" s="2">
        <v>7.1428571428571425E-2</v>
      </c>
      <c r="R6" s="2">
        <v>0.16666666666666671</v>
      </c>
      <c r="S6" s="2">
        <v>8.6956521739130432E-2</v>
      </c>
      <c r="T6" s="2">
        <v>0.19444444444444439</v>
      </c>
      <c r="U6" s="2">
        <v>6.6666666666666666E-2</v>
      </c>
      <c r="V6" s="2">
        <v>6.8965517241379309E-2</v>
      </c>
      <c r="W6" s="2">
        <v>0.94444444444444442</v>
      </c>
      <c r="X6" s="2">
        <v>0.25</v>
      </c>
      <c r="Y6" s="2">
        <v>0.19444444444444439</v>
      </c>
      <c r="Z6" s="2">
        <v>5.7142857142857141E-2</v>
      </c>
      <c r="AA6" s="2">
        <v>0.1111111111111111</v>
      </c>
      <c r="AB6" s="2">
        <v>1</v>
      </c>
      <c r="AC6" s="2">
        <v>0.25</v>
      </c>
      <c r="AD6" s="2">
        <v>2.0408163265306121E-2</v>
      </c>
      <c r="AE6" s="2">
        <v>1</v>
      </c>
      <c r="AF6" s="2">
        <v>0.22222222222222221</v>
      </c>
      <c r="AG6" s="2">
        <v>4.5454545454545463E-2</v>
      </c>
      <c r="AH6" s="2">
        <v>0.04</v>
      </c>
      <c r="AI6" s="2">
        <v>0.25</v>
      </c>
      <c r="AJ6" s="2">
        <v>0.08</v>
      </c>
      <c r="AK6" s="2">
        <v>0.94444444444444442</v>
      </c>
      <c r="AL6" s="2">
        <v>0.33333333333333331</v>
      </c>
      <c r="AM6" s="2">
        <v>0.2105263157894737</v>
      </c>
      <c r="AN6" s="2">
        <v>0.76923076923076927</v>
      </c>
      <c r="AO6" s="2">
        <v>0.72</v>
      </c>
      <c r="AP6" s="2">
        <v>0.4</v>
      </c>
      <c r="AQ6" s="2">
        <v>0.2105263157894737</v>
      </c>
      <c r="AR6" s="2">
        <v>0.9375</v>
      </c>
      <c r="AS6" s="2">
        <v>1</v>
      </c>
      <c r="AT6" s="2">
        <v>0.39534883720930231</v>
      </c>
      <c r="AU6" s="2">
        <v>2.0833333333333329E-2</v>
      </c>
      <c r="AV6" s="2">
        <v>7.6923076923076927E-2</v>
      </c>
      <c r="AW6" s="2">
        <v>1</v>
      </c>
      <c r="AX6" s="2">
        <v>0.04</v>
      </c>
      <c r="AY6" s="2">
        <v>0.42307692307692307</v>
      </c>
    </row>
    <row r="7" spans="1:51" x14ac:dyDescent="0.25">
      <c r="A7" s="1" t="s">
        <v>58</v>
      </c>
      <c r="B7" s="2">
        <v>0.94117647058823528</v>
      </c>
      <c r="C7" s="2">
        <v>0.94736842105263153</v>
      </c>
      <c r="D7" s="2">
        <v>0.37931034482758619</v>
      </c>
      <c r="E7" s="2">
        <v>0.52380952380952384</v>
      </c>
      <c r="F7" s="2">
        <v>0.55555555555555558</v>
      </c>
      <c r="G7" s="2">
        <v>3.4482758620689648E-2</v>
      </c>
      <c r="H7" s="2">
        <v>0.4</v>
      </c>
      <c r="I7" s="2">
        <v>0.9</v>
      </c>
      <c r="J7" s="2">
        <v>0.2608695652173913</v>
      </c>
      <c r="K7" s="2">
        <v>4.3478260869565223E-2</v>
      </c>
      <c r="L7" s="2">
        <v>0.28888888888888892</v>
      </c>
      <c r="M7" s="2">
        <v>9.0909090909090912E-2</v>
      </c>
      <c r="N7" s="2">
        <v>5.5555555555555552E-2</v>
      </c>
      <c r="O7" s="2">
        <v>0.7142857142857143</v>
      </c>
      <c r="P7" s="2">
        <v>0.96</v>
      </c>
      <c r="Q7" s="2">
        <v>1.785714285714286E-2</v>
      </c>
      <c r="R7" s="2">
        <v>8.3333333333333329E-2</v>
      </c>
      <c r="S7" s="2">
        <v>0.39130434782608697</v>
      </c>
      <c r="T7" s="2">
        <v>2.777777777777778E-2</v>
      </c>
      <c r="U7" s="2">
        <v>0.96666666666666667</v>
      </c>
      <c r="V7" s="2">
        <v>1</v>
      </c>
      <c r="W7" s="2">
        <v>0.61111111111111116</v>
      </c>
      <c r="X7" s="2">
        <v>0.32142857142857151</v>
      </c>
      <c r="Y7" s="2">
        <v>5.5555555555555552E-2</v>
      </c>
      <c r="Z7" s="2">
        <v>0.97142857142857142</v>
      </c>
      <c r="AA7" s="2">
        <v>5.5555555555555552E-2</v>
      </c>
      <c r="AB7" s="2">
        <v>0.14285714285714279</v>
      </c>
      <c r="AC7" s="2">
        <v>0.16666666666666671</v>
      </c>
      <c r="AD7" s="2">
        <v>0.97959183673469385</v>
      </c>
      <c r="AE7" s="2">
        <v>5.2631578947368418E-2</v>
      </c>
      <c r="AF7" s="2">
        <v>0.16666666666666671</v>
      </c>
      <c r="AG7" s="2">
        <v>0.97727272727272729</v>
      </c>
      <c r="AH7" s="2">
        <v>0.64</v>
      </c>
      <c r="AI7" s="2">
        <v>0.1875</v>
      </c>
      <c r="AJ7" s="2">
        <v>0.24</v>
      </c>
      <c r="AK7" s="2">
        <v>0.61111111111111116</v>
      </c>
      <c r="AL7" s="2">
        <v>0.81481481481481477</v>
      </c>
      <c r="AM7" s="2">
        <v>0.89473684210526316</v>
      </c>
      <c r="AN7" s="2">
        <v>1</v>
      </c>
      <c r="AO7" s="2">
        <v>0.16</v>
      </c>
      <c r="AP7" s="2">
        <v>0.05</v>
      </c>
      <c r="AQ7" s="2">
        <v>0.15789473684210531</v>
      </c>
      <c r="AR7" s="2">
        <v>0.5</v>
      </c>
      <c r="AS7" s="2">
        <v>0.41666666666666669</v>
      </c>
      <c r="AT7" s="2">
        <v>2.3255813953488368E-2</v>
      </c>
      <c r="AU7" s="2">
        <v>4.1666666666666657E-2</v>
      </c>
      <c r="AV7" s="2">
        <v>1</v>
      </c>
      <c r="AW7" s="2">
        <v>0.22222222222222221</v>
      </c>
      <c r="AX7" s="2">
        <v>0.76</v>
      </c>
      <c r="AY7" s="2">
        <v>3.8461538461538457E-2</v>
      </c>
    </row>
    <row r="9" spans="1:51" x14ac:dyDescent="0.25">
      <c r="B9" s="1" t="s">
        <v>2</v>
      </c>
      <c r="C9" s="1" t="s">
        <v>4</v>
      </c>
      <c r="D9" s="1" t="s">
        <v>7</v>
      </c>
      <c r="E9" s="1" t="s">
        <v>5</v>
      </c>
      <c r="F9" s="1" t="s">
        <v>3</v>
      </c>
      <c r="G9" s="1" t="s">
        <v>58</v>
      </c>
      <c r="J9">
        <v>0.2</v>
      </c>
      <c r="K9">
        <v>0.4</v>
      </c>
      <c r="L9">
        <v>0.6</v>
      </c>
      <c r="M9">
        <v>0.8</v>
      </c>
      <c r="N9">
        <v>1</v>
      </c>
      <c r="Q9">
        <v>0.2</v>
      </c>
      <c r="R9">
        <v>0.4</v>
      </c>
      <c r="S9">
        <v>0.6</v>
      </c>
      <c r="T9">
        <v>0.8</v>
      </c>
      <c r="U9">
        <v>1</v>
      </c>
      <c r="W9">
        <v>0.2</v>
      </c>
      <c r="X9">
        <v>0.4</v>
      </c>
      <c r="Y9">
        <v>0.6</v>
      </c>
      <c r="Z9">
        <v>0.8</v>
      </c>
      <c r="AA9">
        <v>1</v>
      </c>
    </row>
    <row r="10" spans="1:51" x14ac:dyDescent="0.25">
      <c r="A10" s="1" t="s">
        <v>8</v>
      </c>
      <c r="B10" s="3">
        <v>5.8823529411764712E-2</v>
      </c>
      <c r="C10" s="3">
        <v>0.47058823529411759</v>
      </c>
      <c r="D10" s="3">
        <v>0.35294117647058831</v>
      </c>
      <c r="E10" s="3">
        <v>0.29411764705882348</v>
      </c>
      <c r="F10" s="3">
        <v>1</v>
      </c>
      <c r="G10" s="3">
        <v>0.94117647058823528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Q10" t="s">
        <v>61</v>
      </c>
      <c r="R10" t="s">
        <v>62</v>
      </c>
      <c r="S10" t="s">
        <v>63</v>
      </c>
      <c r="T10" t="s">
        <v>64</v>
      </c>
      <c r="U10" t="s">
        <v>65</v>
      </c>
      <c r="W10" t="s">
        <v>61</v>
      </c>
      <c r="X10" t="s">
        <v>62</v>
      </c>
      <c r="Y10" t="s">
        <v>63</v>
      </c>
      <c r="Z10" t="s">
        <v>64</v>
      </c>
      <c r="AA10" t="s">
        <v>65</v>
      </c>
    </row>
    <row r="11" spans="1:51" x14ac:dyDescent="0.25">
      <c r="A11" s="1" t="s">
        <v>9</v>
      </c>
      <c r="B11" s="3">
        <v>5.2631578947368418E-2</v>
      </c>
      <c r="C11" s="3">
        <v>0.57894736842105265</v>
      </c>
      <c r="D11" s="3">
        <v>1</v>
      </c>
      <c r="E11" s="3">
        <v>0.10526315789473679</v>
      </c>
      <c r="F11" s="3">
        <v>0.2105263157894737</v>
      </c>
      <c r="G11" s="3">
        <v>0.94736842105263153</v>
      </c>
      <c r="J11">
        <f>COUNTIFS($B$10:$B$59,_xlfn.CONCAT("&lt;=",$J$9))</f>
        <v>17</v>
      </c>
      <c r="K11" s="5">
        <f>COUNTIFS($B$10:$B$59,_xlfn.CONCAT("&gt;",J$9),$B$10:$B$59,_xlfn.CONCAT("&lt;=",K$9))</f>
        <v>8</v>
      </c>
      <c r="L11" s="5">
        <f>COUNTIFS($B$10:$B$59,_xlfn.CONCAT("&gt;",K$9),$B$10:$B$59,_xlfn.CONCAT("&lt;=",L$9))</f>
        <v>3</v>
      </c>
      <c r="M11" s="5">
        <f t="shared" ref="M11" si="0">COUNTIFS($B$10:$B$59,_xlfn.CONCAT("&gt;",L$9),$B$10:$B$59,_xlfn.CONCAT("&lt;=",M$9))</f>
        <v>2</v>
      </c>
      <c r="N11" s="5">
        <f>COUNTIFS($B$10:$B$59,_xlfn.CONCAT("&gt;",M$9),$B$10:$B$59,_xlfn.CONCAT("&lt;=",N$9))</f>
        <v>20</v>
      </c>
      <c r="O11" s="5"/>
      <c r="Q11">
        <f>COUNTIFS($E$10:$E$59,_xlfn.CONCAT("&lt;=",$J$9))</f>
        <v>19</v>
      </c>
      <c r="R11" s="5">
        <f>COUNTIFS($E$10:$E$59,_xlfn.CONCAT("&gt;",Q$9),$E$10:$E$59,_xlfn.CONCAT("&lt;=",R$9))</f>
        <v>4</v>
      </c>
      <c r="S11" s="5">
        <f t="shared" ref="S11:U11" si="1">COUNTIFS($E$10:$E$59,_xlfn.CONCAT("&gt;",R$9),$E$10:$E$59,_xlfn.CONCAT("&lt;=",S$9))</f>
        <v>2</v>
      </c>
      <c r="T11" s="5">
        <f t="shared" si="1"/>
        <v>0</v>
      </c>
      <c r="U11" s="5">
        <f t="shared" si="1"/>
        <v>25</v>
      </c>
      <c r="W11">
        <f>COUNTIFS($B$10:$B$59,_xlfn.CONCAT("&lt;=",$J$9))</f>
        <v>17</v>
      </c>
      <c r="X11" s="5">
        <f>COUNTIFS($B$10:$B$59,_xlfn.CONCAT("&gt;",W$9),$B$10:$B$59,_xlfn.CONCAT("&lt;=",X$9))</f>
        <v>8</v>
      </c>
      <c r="Y11" s="5">
        <f t="shared" ref="Y11:Z11" si="2">COUNTIFS($B$10:$B$59,_xlfn.CONCAT("&gt;",X$9),$B$10:$B$59,_xlfn.CONCAT("&lt;=",Y$9))</f>
        <v>3</v>
      </c>
      <c r="Z11" s="5">
        <f t="shared" si="2"/>
        <v>2</v>
      </c>
      <c r="AA11" s="5">
        <f>COUNTIFS($B$10:$B$59,_xlfn.CONCAT("&gt;",Z$9),$B$10:$B$59,_xlfn.CONCAT("&lt;=",AA$9))</f>
        <v>20</v>
      </c>
    </row>
    <row r="12" spans="1:51" x14ac:dyDescent="0.25">
      <c r="A12" s="1" t="s">
        <v>10</v>
      </c>
      <c r="B12" s="3">
        <v>1</v>
      </c>
      <c r="C12" s="3">
        <v>0.96551724137931039</v>
      </c>
      <c r="D12" s="3">
        <v>6.8965517241379309E-2</v>
      </c>
      <c r="E12" s="3">
        <v>0.17241379310344829</v>
      </c>
      <c r="F12" s="3">
        <v>0.2068965517241379</v>
      </c>
      <c r="G12" s="3">
        <v>0.37931034482758619</v>
      </c>
      <c r="J12" s="2">
        <f>J11/50</f>
        <v>0.34</v>
      </c>
      <c r="K12" s="2">
        <f t="shared" ref="K12:N12" si="3">K11/50</f>
        <v>0.16</v>
      </c>
      <c r="L12" s="2">
        <f t="shared" si="3"/>
        <v>0.06</v>
      </c>
      <c r="M12" s="2">
        <f t="shared" si="3"/>
        <v>0.04</v>
      </c>
      <c r="N12" s="2">
        <f t="shared" si="3"/>
        <v>0.4</v>
      </c>
      <c r="O12" s="2"/>
      <c r="Q12" s="2">
        <f>Q11/50</f>
        <v>0.38</v>
      </c>
      <c r="R12" s="2">
        <f t="shared" ref="R12" si="4">R11/50</f>
        <v>0.08</v>
      </c>
      <c r="S12" s="2">
        <f t="shared" ref="S12" si="5">S11/50</f>
        <v>0.04</v>
      </c>
      <c r="T12" s="2">
        <f t="shared" ref="T12" si="6">T11/50</f>
        <v>0</v>
      </c>
      <c r="U12" s="2">
        <f t="shared" ref="U12" si="7">U11/50</f>
        <v>0.5</v>
      </c>
      <c r="W12" s="2">
        <f>W11/50</f>
        <v>0.34</v>
      </c>
      <c r="X12" s="2">
        <f t="shared" ref="X12" si="8">X11/50</f>
        <v>0.16</v>
      </c>
      <c r="Y12" s="2">
        <f t="shared" ref="Y12" si="9">Y11/50</f>
        <v>0.06</v>
      </c>
      <c r="Z12" s="2">
        <f t="shared" ref="Z12" si="10">Z11/50</f>
        <v>0.04</v>
      </c>
      <c r="AA12" s="2">
        <f t="shared" ref="AA12" si="11">AA11/50</f>
        <v>0.4</v>
      </c>
    </row>
    <row r="13" spans="1:51" x14ac:dyDescent="0.25">
      <c r="A13" s="1" t="s">
        <v>11</v>
      </c>
      <c r="B13" s="3">
        <v>0.95238095238095233</v>
      </c>
      <c r="C13" s="3">
        <v>0.38095238095238088</v>
      </c>
      <c r="D13" s="3">
        <v>0.66666666666666663</v>
      </c>
      <c r="E13" s="3">
        <v>4.7619047619047623E-2</v>
      </c>
      <c r="F13" s="3">
        <v>1</v>
      </c>
      <c r="G13" s="3">
        <v>0.52380952380952384</v>
      </c>
    </row>
    <row r="14" spans="1:51" x14ac:dyDescent="0.25">
      <c r="A14" s="1" t="s">
        <v>12</v>
      </c>
      <c r="B14" s="3">
        <v>5.5555555555555552E-2</v>
      </c>
      <c r="C14" s="3">
        <v>0.25</v>
      </c>
      <c r="D14" s="3">
        <v>8.3333333333333329E-2</v>
      </c>
      <c r="E14" s="3">
        <v>0.97222222222222221</v>
      </c>
      <c r="F14" s="3">
        <v>1</v>
      </c>
      <c r="G14" s="3">
        <v>0.55555555555555558</v>
      </c>
    </row>
    <row r="15" spans="1:51" x14ac:dyDescent="0.25">
      <c r="A15" s="1" t="s">
        <v>13</v>
      </c>
      <c r="B15" s="3">
        <v>0.48275862068965519</v>
      </c>
      <c r="C15" s="3">
        <v>0.44827586206896552</v>
      </c>
      <c r="D15" s="3">
        <v>1</v>
      </c>
      <c r="E15" s="3">
        <v>0.96551724137931039</v>
      </c>
      <c r="F15" s="3">
        <v>0.10344827586206901</v>
      </c>
      <c r="G15" s="3">
        <v>3.4482758620689648E-2</v>
      </c>
    </row>
    <row r="16" spans="1:51" x14ac:dyDescent="0.25">
      <c r="A16" s="1" t="s">
        <v>14</v>
      </c>
      <c r="B16" s="3">
        <v>0.96</v>
      </c>
      <c r="C16" s="3">
        <v>0.12</v>
      </c>
      <c r="D16" s="3">
        <v>0.08</v>
      </c>
      <c r="E16" s="3">
        <v>1</v>
      </c>
      <c r="F16" s="3">
        <v>0.04</v>
      </c>
      <c r="G16" s="3">
        <v>0.4</v>
      </c>
    </row>
    <row r="17" spans="1:18" x14ac:dyDescent="0.25">
      <c r="A17" s="1" t="s">
        <v>15</v>
      </c>
      <c r="B17" s="3">
        <v>0.3</v>
      </c>
      <c r="C17" s="3">
        <v>1</v>
      </c>
      <c r="D17" s="3">
        <v>0.4</v>
      </c>
      <c r="E17" s="3">
        <v>0.1</v>
      </c>
      <c r="F17" s="3">
        <v>0.2</v>
      </c>
      <c r="G17" s="3">
        <v>0.9</v>
      </c>
    </row>
    <row r="18" spans="1:18" x14ac:dyDescent="0.25">
      <c r="A18" s="1" t="s">
        <v>16</v>
      </c>
      <c r="B18" s="3">
        <v>0.95652173913043481</v>
      </c>
      <c r="C18" s="3">
        <v>4.3478260869565223E-2</v>
      </c>
      <c r="D18" s="3">
        <v>0.34782608695652167</v>
      </c>
      <c r="E18" s="3">
        <v>1</v>
      </c>
      <c r="F18" s="3">
        <v>0.78260869565217395</v>
      </c>
      <c r="G18" s="3">
        <v>0.2608695652173913</v>
      </c>
    </row>
    <row r="19" spans="1:18" x14ac:dyDescent="0.25">
      <c r="A19" s="1" t="s">
        <v>17</v>
      </c>
      <c r="B19" s="3">
        <v>0.65217391304347827</v>
      </c>
      <c r="C19" s="3">
        <v>1</v>
      </c>
      <c r="D19" s="3">
        <v>0.95652173913043481</v>
      </c>
      <c r="E19" s="3">
        <v>8.6956521739130432E-2</v>
      </c>
      <c r="F19" s="3">
        <v>0.30434782608695649</v>
      </c>
      <c r="G19" s="3">
        <v>4.3478260869565223E-2</v>
      </c>
      <c r="L19" t="s">
        <v>2</v>
      </c>
      <c r="M19" t="s">
        <v>4</v>
      </c>
      <c r="N19" t="s">
        <v>7</v>
      </c>
      <c r="O19" t="s">
        <v>5</v>
      </c>
      <c r="P19" t="s">
        <v>3</v>
      </c>
      <c r="Q19" t="s">
        <v>58</v>
      </c>
    </row>
    <row r="20" spans="1:18" x14ac:dyDescent="0.25">
      <c r="A20" s="1" t="s">
        <v>18</v>
      </c>
      <c r="B20" s="3">
        <v>2.222222222222222E-2</v>
      </c>
      <c r="C20" s="3">
        <v>0.2</v>
      </c>
      <c r="D20" s="3">
        <v>1</v>
      </c>
      <c r="E20" s="3">
        <v>0.97777777777777775</v>
      </c>
      <c r="F20" s="3">
        <v>4.4444444444444453E-2</v>
      </c>
      <c r="G20" s="3">
        <v>0.28888888888888892</v>
      </c>
      <c r="J20">
        <v>0.2</v>
      </c>
      <c r="K20" t="s">
        <v>61</v>
      </c>
      <c r="L20" s="2">
        <f>COUNTIFS(B$10:B$59,_xlfn.CONCAT("&lt;=",$J$9))/50</f>
        <v>0.34</v>
      </c>
      <c r="M20" s="2">
        <f>COUNTIFS(C$10:C$59,_xlfn.CONCAT("&lt;=",$J$9))/50</f>
        <v>0.3</v>
      </c>
      <c r="N20" s="2">
        <f>COUNTIFS(D$10:D$59,_xlfn.CONCAT("&lt;=",$J$9))/50</f>
        <v>0.5</v>
      </c>
      <c r="O20" s="2">
        <f t="shared" ref="O20:Q20" si="12">COUNTIFS(E$10:E$59,_xlfn.CONCAT("&lt;=",$J$9))/50</f>
        <v>0.38</v>
      </c>
      <c r="P20" s="2">
        <f t="shared" si="12"/>
        <v>0.44</v>
      </c>
      <c r="Q20" s="2">
        <f t="shared" si="12"/>
        <v>0.4</v>
      </c>
      <c r="R20" s="6"/>
    </row>
    <row r="21" spans="1:18" x14ac:dyDescent="0.25">
      <c r="A21" s="1" t="s">
        <v>19</v>
      </c>
      <c r="B21" s="3">
        <v>1</v>
      </c>
      <c r="C21" s="3">
        <v>0.95454545454545459</v>
      </c>
      <c r="D21" s="3">
        <v>0.54545454545454541</v>
      </c>
      <c r="E21" s="3">
        <v>4.5454545454545463E-2</v>
      </c>
      <c r="F21" s="3">
        <v>0.1818181818181818</v>
      </c>
      <c r="G21" s="3">
        <v>9.0909090909090912E-2</v>
      </c>
      <c r="J21">
        <v>0.4</v>
      </c>
      <c r="K21" t="s">
        <v>62</v>
      </c>
      <c r="L21" s="2">
        <f>COUNTIFS(B$10:B$59,_xlfn.CONCAT("&gt;",$J$9),B$10:B$59,_xlfn.CONCAT("&lt;=",$K$9))/50</f>
        <v>0.16</v>
      </c>
      <c r="M21" s="2">
        <f t="shared" ref="M21:Q21" si="13">COUNTIFS(C$10:C$59,_xlfn.CONCAT("&gt;",$J$9),C$10:C$59,_xlfn.CONCAT("&lt;=",$K$9))/50</f>
        <v>0.16</v>
      </c>
      <c r="N21" s="2">
        <f t="shared" si="13"/>
        <v>0.1</v>
      </c>
      <c r="O21" s="2">
        <f t="shared" si="13"/>
        <v>0.08</v>
      </c>
      <c r="P21" s="2">
        <f t="shared" si="13"/>
        <v>0.26</v>
      </c>
      <c r="Q21" s="2">
        <f t="shared" si="13"/>
        <v>0.16</v>
      </c>
      <c r="R21" s="6"/>
    </row>
    <row r="22" spans="1:18" x14ac:dyDescent="0.25">
      <c r="A22" s="1" t="s">
        <v>20</v>
      </c>
      <c r="B22" s="3">
        <v>0.16666666666666671</v>
      </c>
      <c r="C22" s="3">
        <v>0.94444444444444442</v>
      </c>
      <c r="D22" s="3">
        <v>1</v>
      </c>
      <c r="E22" s="3">
        <v>0.1111111111111111</v>
      </c>
      <c r="F22" s="3">
        <v>0.3888888888888889</v>
      </c>
      <c r="G22" s="3">
        <v>5.5555555555555552E-2</v>
      </c>
      <c r="J22">
        <v>0.6</v>
      </c>
      <c r="K22" t="s">
        <v>63</v>
      </c>
      <c r="L22" s="2">
        <f>COUNTIFS(B$10:B$59,_xlfn.CONCAT("&gt;",$K$9),B$10:B$59,_xlfn.CONCAT("&lt;=",$L$9))/50</f>
        <v>0.06</v>
      </c>
      <c r="M22" s="2">
        <f t="shared" ref="M22:Q22" si="14">COUNTIFS(C$10:C$59,_xlfn.CONCAT("&gt;",$K$9),C$10:C$59,_xlfn.CONCAT("&lt;=",$L$9))/50</f>
        <v>0.1</v>
      </c>
      <c r="N22" s="2">
        <f t="shared" si="14"/>
        <v>0.08</v>
      </c>
      <c r="O22" s="2">
        <f t="shared" si="14"/>
        <v>0.04</v>
      </c>
      <c r="P22" s="2">
        <f t="shared" si="14"/>
        <v>0.04</v>
      </c>
      <c r="Q22" s="2">
        <f t="shared" si="14"/>
        <v>0.08</v>
      </c>
      <c r="R22" s="6"/>
    </row>
    <row r="23" spans="1:18" x14ac:dyDescent="0.25">
      <c r="A23" s="1" t="s">
        <v>21</v>
      </c>
      <c r="B23" s="3">
        <v>0.14285714285714279</v>
      </c>
      <c r="C23" s="3">
        <v>0.8571428571428571</v>
      </c>
      <c r="D23" s="3">
        <v>0.42857142857142849</v>
      </c>
      <c r="E23" s="3">
        <v>1</v>
      </c>
      <c r="F23" s="3">
        <v>0.5714285714285714</v>
      </c>
      <c r="G23" s="3">
        <v>0.7142857142857143</v>
      </c>
      <c r="J23">
        <v>0.8</v>
      </c>
      <c r="K23" t="s">
        <v>64</v>
      </c>
      <c r="L23" s="2">
        <f>COUNTIFS(B$10:B$59,_xlfn.CONCAT("&gt;",$L$9),B$10:B$59,_xlfn.CONCAT("&lt;=",$M$9))/50</f>
        <v>0.04</v>
      </c>
      <c r="M23" s="2">
        <f t="shared" ref="M23:Q23" si="15">COUNTIFS(C$10:C$59,_xlfn.CONCAT("&gt;",$L$9),C$10:C$59,_xlfn.CONCAT("&lt;=",$M$9))/50</f>
        <v>0.02</v>
      </c>
      <c r="N23" s="2">
        <f t="shared" si="15"/>
        <v>0.06</v>
      </c>
      <c r="O23" s="2">
        <f t="shared" si="15"/>
        <v>0</v>
      </c>
      <c r="P23" s="2">
        <f t="shared" si="15"/>
        <v>0.06</v>
      </c>
      <c r="Q23" s="2">
        <f t="shared" si="15"/>
        <v>0.1</v>
      </c>
      <c r="R23" s="6"/>
    </row>
    <row r="24" spans="1:18" x14ac:dyDescent="0.25">
      <c r="A24" s="1" t="s">
        <v>22</v>
      </c>
      <c r="B24" s="3">
        <v>0.36</v>
      </c>
      <c r="C24" s="3">
        <v>0.04</v>
      </c>
      <c r="D24" s="3">
        <v>0.16</v>
      </c>
      <c r="E24" s="3">
        <v>1</v>
      </c>
      <c r="F24" s="3">
        <v>0.08</v>
      </c>
      <c r="G24" s="3">
        <v>0.96</v>
      </c>
      <c r="J24">
        <v>1</v>
      </c>
      <c r="K24" t="s">
        <v>65</v>
      </c>
      <c r="L24" s="2">
        <f>COUNTIFS(B$10:B$59,_xlfn.CONCAT("&gt;",$M$9),B$10:B$59,_xlfn.CONCAT("&lt;=",$N$9))/50</f>
        <v>0.4</v>
      </c>
      <c r="M24" s="2">
        <f t="shared" ref="M24:Q24" si="16">COUNTIFS(C$10:C$59,_xlfn.CONCAT("&gt;",$M$9),C$10:C$59,_xlfn.CONCAT("&lt;=",$N$9))/50</f>
        <v>0.42</v>
      </c>
      <c r="N24" s="2">
        <f t="shared" si="16"/>
        <v>0.26</v>
      </c>
      <c r="O24" s="2">
        <f t="shared" si="16"/>
        <v>0.5</v>
      </c>
      <c r="P24" s="2">
        <f t="shared" si="16"/>
        <v>0.2</v>
      </c>
      <c r="Q24" s="2">
        <f t="shared" si="16"/>
        <v>0.26</v>
      </c>
      <c r="R24" s="6"/>
    </row>
    <row r="25" spans="1:18" x14ac:dyDescent="0.25">
      <c r="A25" s="1" t="s">
        <v>23</v>
      </c>
      <c r="B25" s="3">
        <v>0.9821428571428571</v>
      </c>
      <c r="C25" s="3">
        <v>0.1785714285714286</v>
      </c>
      <c r="D25" s="3">
        <v>1</v>
      </c>
      <c r="E25" s="3">
        <v>5.3571428571428568E-2</v>
      </c>
      <c r="F25" s="3">
        <v>7.1428571428571425E-2</v>
      </c>
      <c r="G25" s="3">
        <v>1.785714285714286E-2</v>
      </c>
      <c r="L25" s="6">
        <f>SUM(L20:L24)</f>
        <v>1</v>
      </c>
      <c r="M25" s="6">
        <f t="shared" ref="M25:Q25" si="17">SUM(M20:M24)</f>
        <v>1</v>
      </c>
      <c r="N25" s="6">
        <f t="shared" si="17"/>
        <v>1</v>
      </c>
      <c r="O25" s="6">
        <f t="shared" si="17"/>
        <v>1</v>
      </c>
      <c r="P25" s="6">
        <f t="shared" si="17"/>
        <v>1</v>
      </c>
      <c r="Q25" s="6">
        <f t="shared" si="17"/>
        <v>1</v>
      </c>
      <c r="R25" s="6"/>
    </row>
    <row r="26" spans="1:18" x14ac:dyDescent="0.25">
      <c r="A26" s="1" t="s">
        <v>24</v>
      </c>
      <c r="B26" s="3">
        <v>0.5</v>
      </c>
      <c r="C26" s="3">
        <v>1</v>
      </c>
      <c r="D26" s="3">
        <v>0.41666666666666669</v>
      </c>
      <c r="E26" s="3">
        <v>0.91666666666666663</v>
      </c>
      <c r="F26" s="3">
        <v>0.16666666666666671</v>
      </c>
      <c r="G26" s="3">
        <v>8.3333333333333329E-2</v>
      </c>
    </row>
    <row r="27" spans="1:18" x14ac:dyDescent="0.25">
      <c r="A27" s="1" t="s">
        <v>25</v>
      </c>
      <c r="B27" s="3">
        <v>1</v>
      </c>
      <c r="C27" s="3">
        <v>4.3478260869565223E-2</v>
      </c>
      <c r="D27" s="3">
        <v>0.21739130434782611</v>
      </c>
      <c r="E27" s="3">
        <v>0.95652173913043481</v>
      </c>
      <c r="F27" s="3">
        <v>8.6956521739130432E-2</v>
      </c>
      <c r="G27" s="3">
        <v>0.39130434782608697</v>
      </c>
    </row>
    <row r="28" spans="1:18" x14ac:dyDescent="0.25">
      <c r="A28" s="1" t="s">
        <v>26</v>
      </c>
      <c r="B28" s="3">
        <v>0.3888888888888889</v>
      </c>
      <c r="C28" s="3">
        <v>1</v>
      </c>
      <c r="D28" s="3">
        <v>5.5555555555555552E-2</v>
      </c>
      <c r="E28" s="3">
        <v>0.97222222222222221</v>
      </c>
      <c r="F28" s="3">
        <v>0.19444444444444439</v>
      </c>
      <c r="G28" s="3">
        <v>2.777777777777778E-2</v>
      </c>
    </row>
    <row r="29" spans="1:18" x14ac:dyDescent="0.25">
      <c r="A29" s="1" t="s">
        <v>27</v>
      </c>
      <c r="B29" s="3">
        <v>1</v>
      </c>
      <c r="C29" s="3">
        <v>0.26666666666666672</v>
      </c>
      <c r="D29" s="3">
        <v>0.1</v>
      </c>
      <c r="E29" s="3">
        <v>0.6</v>
      </c>
      <c r="F29" s="3">
        <v>6.6666666666666666E-2</v>
      </c>
      <c r="G29" s="3">
        <v>0.96666666666666667</v>
      </c>
    </row>
    <row r="30" spans="1:18" x14ac:dyDescent="0.25">
      <c r="A30" s="1" t="s">
        <v>28</v>
      </c>
      <c r="B30" s="3">
        <v>0.17241379310344829</v>
      </c>
      <c r="C30" s="3">
        <v>0.96551724137931039</v>
      </c>
      <c r="D30" s="3">
        <v>0.10344827586206901</v>
      </c>
      <c r="E30" s="3">
        <v>0.48275862068965519</v>
      </c>
      <c r="F30" s="3">
        <v>6.8965517241379309E-2</v>
      </c>
      <c r="G30" s="3">
        <v>1</v>
      </c>
    </row>
    <row r="31" spans="1:18" x14ac:dyDescent="0.25">
      <c r="A31" s="1" t="s">
        <v>29</v>
      </c>
      <c r="B31" s="3">
        <v>0.1111111111111111</v>
      </c>
      <c r="C31" s="3">
        <v>0.33333333333333331</v>
      </c>
      <c r="D31" s="3">
        <v>0.16666666666666671</v>
      </c>
      <c r="E31" s="3">
        <v>1</v>
      </c>
      <c r="F31" s="3">
        <v>0.94444444444444442</v>
      </c>
      <c r="G31" s="3">
        <v>0.61111111111111116</v>
      </c>
    </row>
    <row r="32" spans="1:18" x14ac:dyDescent="0.25">
      <c r="A32" s="1" t="s">
        <v>30</v>
      </c>
      <c r="B32" s="3">
        <v>3.5714285714285712E-2</v>
      </c>
      <c r="C32" s="3">
        <v>1</v>
      </c>
      <c r="D32" s="3">
        <v>0.9642857142857143</v>
      </c>
      <c r="E32" s="3">
        <v>7.1428571428571425E-2</v>
      </c>
      <c r="F32" s="3">
        <v>0.25</v>
      </c>
      <c r="G32" s="3">
        <v>0.32142857142857151</v>
      </c>
    </row>
    <row r="33" spans="1:7" x14ac:dyDescent="0.25">
      <c r="A33" s="1" t="s">
        <v>31</v>
      </c>
      <c r="B33" s="3">
        <v>1</v>
      </c>
      <c r="C33" s="3">
        <v>2.777777777777778E-2</v>
      </c>
      <c r="D33" s="3">
        <v>8.3333333333333329E-2</v>
      </c>
      <c r="E33" s="3">
        <v>0.97222222222222221</v>
      </c>
      <c r="F33" s="3">
        <v>0.19444444444444439</v>
      </c>
      <c r="G33" s="3">
        <v>5.5555555555555552E-2</v>
      </c>
    </row>
    <row r="34" spans="1:7" x14ac:dyDescent="0.25">
      <c r="A34" s="1" t="s">
        <v>32</v>
      </c>
      <c r="B34" s="3">
        <v>0.4</v>
      </c>
      <c r="C34" s="3">
        <v>1</v>
      </c>
      <c r="D34" s="3">
        <v>0.1142857142857143</v>
      </c>
      <c r="E34" s="3">
        <v>0.14285714285714279</v>
      </c>
      <c r="F34" s="3">
        <v>5.7142857142857141E-2</v>
      </c>
      <c r="G34" s="3">
        <v>0.97142857142857142</v>
      </c>
    </row>
    <row r="35" spans="1:7" x14ac:dyDescent="0.25">
      <c r="A35" s="1" t="s">
        <v>33</v>
      </c>
      <c r="B35" s="3">
        <v>1</v>
      </c>
      <c r="C35" s="3">
        <v>0.22222222222222221</v>
      </c>
      <c r="D35" s="3">
        <v>0.61111111111111116</v>
      </c>
      <c r="E35" s="3">
        <v>0.94444444444444442</v>
      </c>
      <c r="F35" s="3">
        <v>0.1111111111111111</v>
      </c>
      <c r="G35" s="3">
        <v>5.5555555555555552E-2</v>
      </c>
    </row>
    <row r="36" spans="1:7" x14ac:dyDescent="0.25">
      <c r="A36" s="1" t="s">
        <v>34</v>
      </c>
      <c r="B36" s="3">
        <v>3.5714285714285712E-2</v>
      </c>
      <c r="C36" s="3">
        <v>0.9642857142857143</v>
      </c>
      <c r="D36" s="3">
        <v>0.35714285714285721</v>
      </c>
      <c r="E36" s="3">
        <v>7.1428571428571425E-2</v>
      </c>
      <c r="F36" s="3">
        <v>1</v>
      </c>
      <c r="G36" s="3">
        <v>0.14285714285714279</v>
      </c>
    </row>
    <row r="37" spans="1:7" x14ac:dyDescent="0.25">
      <c r="A37" s="1" t="s">
        <v>35</v>
      </c>
      <c r="B37" s="3">
        <v>2.0833333333333329E-2</v>
      </c>
      <c r="C37" s="3">
        <v>6.25E-2</v>
      </c>
      <c r="D37" s="3">
        <v>1</v>
      </c>
      <c r="E37" s="3">
        <v>0.97916666666666663</v>
      </c>
      <c r="F37" s="3">
        <v>0.25</v>
      </c>
      <c r="G37" s="3">
        <v>0.16666666666666671</v>
      </c>
    </row>
    <row r="38" spans="1:7" x14ac:dyDescent="0.25">
      <c r="A38" s="1" t="s">
        <v>36</v>
      </c>
      <c r="B38" s="3">
        <v>8.1632653061224483E-2</v>
      </c>
      <c r="C38" s="3">
        <v>0.38775510204081631</v>
      </c>
      <c r="D38" s="3">
        <v>0.1224489795918367</v>
      </c>
      <c r="E38" s="3">
        <v>1</v>
      </c>
      <c r="F38" s="3">
        <v>2.0408163265306121E-2</v>
      </c>
      <c r="G38" s="3">
        <v>0.97959183673469385</v>
      </c>
    </row>
    <row r="39" spans="1:7" x14ac:dyDescent="0.25">
      <c r="A39" s="1" t="s">
        <v>37</v>
      </c>
      <c r="B39" s="3">
        <v>0.15789473684210531</v>
      </c>
      <c r="C39" s="3">
        <v>0.2105263157894737</v>
      </c>
      <c r="D39" s="3">
        <v>0.42105263157894729</v>
      </c>
      <c r="E39" s="3">
        <v>0.94736842105263153</v>
      </c>
      <c r="F39" s="3">
        <v>1</v>
      </c>
      <c r="G39" s="3">
        <v>5.2631578947368418E-2</v>
      </c>
    </row>
    <row r="40" spans="1:7" x14ac:dyDescent="0.25">
      <c r="A40" s="1" t="s">
        <v>38</v>
      </c>
      <c r="B40" s="3">
        <v>0.97222222222222221</v>
      </c>
      <c r="C40" s="3">
        <v>8.3333333333333329E-2</v>
      </c>
      <c r="D40" s="3">
        <v>5.5555555555555552E-2</v>
      </c>
      <c r="E40" s="3">
        <v>1</v>
      </c>
      <c r="F40" s="3">
        <v>0.22222222222222221</v>
      </c>
      <c r="G40" s="3">
        <v>0.16666666666666671</v>
      </c>
    </row>
    <row r="41" spans="1:7" x14ac:dyDescent="0.25">
      <c r="A41" s="1" t="s">
        <v>39</v>
      </c>
      <c r="B41" s="3">
        <v>0.59090909090909094</v>
      </c>
      <c r="C41" s="3">
        <v>1</v>
      </c>
      <c r="D41" s="3">
        <v>2.2727272727272731E-2</v>
      </c>
      <c r="E41" s="3">
        <v>0.13636363636363641</v>
      </c>
      <c r="F41" s="3">
        <v>4.5454545454545463E-2</v>
      </c>
      <c r="G41" s="3">
        <v>0.97727272727272729</v>
      </c>
    </row>
    <row r="42" spans="1:7" x14ac:dyDescent="0.25">
      <c r="A42" s="1" t="s">
        <v>40</v>
      </c>
      <c r="B42" s="3">
        <v>1</v>
      </c>
      <c r="C42" s="3">
        <v>0.96</v>
      </c>
      <c r="D42" s="3">
        <v>0.16</v>
      </c>
      <c r="E42" s="3">
        <v>0.08</v>
      </c>
      <c r="F42" s="3">
        <v>0.04</v>
      </c>
      <c r="G42" s="3">
        <v>0.64</v>
      </c>
    </row>
    <row r="43" spans="1:7" x14ac:dyDescent="0.25">
      <c r="A43" s="1" t="s">
        <v>41</v>
      </c>
      <c r="B43" s="3">
        <v>1</v>
      </c>
      <c r="C43" s="3">
        <v>0.125</v>
      </c>
      <c r="D43" s="3">
        <v>6.25E-2</v>
      </c>
      <c r="E43" s="3">
        <v>0.9375</v>
      </c>
      <c r="F43" s="3">
        <v>0.25</v>
      </c>
      <c r="G43" s="3">
        <v>0.1875</v>
      </c>
    </row>
    <row r="44" spans="1:7" x14ac:dyDescent="0.25">
      <c r="A44" s="1" t="s">
        <v>42</v>
      </c>
      <c r="B44" s="3">
        <v>1</v>
      </c>
      <c r="C44" s="3">
        <v>0.68</v>
      </c>
      <c r="D44" s="3">
        <v>0.96</v>
      </c>
      <c r="E44" s="3">
        <v>0.12</v>
      </c>
      <c r="F44" s="3">
        <v>0.08</v>
      </c>
      <c r="G44" s="3">
        <v>0.24</v>
      </c>
    </row>
    <row r="45" spans="1:7" x14ac:dyDescent="0.25">
      <c r="A45" s="1" t="s">
        <v>43</v>
      </c>
      <c r="B45" s="3">
        <v>0.1111111111111111</v>
      </c>
      <c r="C45" s="3">
        <v>5.5555555555555552E-2</v>
      </c>
      <c r="D45" s="3">
        <v>1</v>
      </c>
      <c r="E45" s="3">
        <v>0.16666666666666671</v>
      </c>
      <c r="F45" s="3">
        <v>0.94444444444444442</v>
      </c>
      <c r="G45" s="3">
        <v>0.61111111111111116</v>
      </c>
    </row>
    <row r="46" spans="1:7" x14ac:dyDescent="0.25">
      <c r="A46" s="1" t="s">
        <v>44</v>
      </c>
      <c r="B46" s="3">
        <v>0.96296296296296291</v>
      </c>
      <c r="C46" s="3">
        <v>0.1851851851851852</v>
      </c>
      <c r="D46" s="3">
        <v>7.407407407407407E-2</v>
      </c>
      <c r="E46" s="3">
        <v>1</v>
      </c>
      <c r="F46" s="3">
        <v>0.33333333333333331</v>
      </c>
      <c r="G46" s="3">
        <v>0.81481481481481477</v>
      </c>
    </row>
    <row r="47" spans="1:7" x14ac:dyDescent="0.25">
      <c r="A47" s="1" t="s">
        <v>45</v>
      </c>
      <c r="B47" s="3">
        <v>0.97368421052631582</v>
      </c>
      <c r="C47" s="3">
        <v>1</v>
      </c>
      <c r="D47" s="3">
        <v>5.2631578947368418E-2</v>
      </c>
      <c r="E47" s="3">
        <v>2.6315789473684209E-2</v>
      </c>
      <c r="F47" s="3">
        <v>0.2105263157894737</v>
      </c>
      <c r="G47" s="3">
        <v>0.89473684210526316</v>
      </c>
    </row>
    <row r="48" spans="1:7" x14ac:dyDescent="0.25">
      <c r="A48" s="1" t="s">
        <v>46</v>
      </c>
      <c r="B48" s="3">
        <v>0.96153846153846156</v>
      </c>
      <c r="C48" s="3">
        <v>0.1153846153846154</v>
      </c>
      <c r="D48" s="3">
        <v>7.6923076923076927E-2</v>
      </c>
      <c r="E48" s="3">
        <v>3.8461538461538457E-2</v>
      </c>
      <c r="F48" s="3">
        <v>0.76923076923076927</v>
      </c>
      <c r="G48" s="3">
        <v>1</v>
      </c>
    </row>
    <row r="49" spans="1:7" x14ac:dyDescent="0.25">
      <c r="A49" s="1" t="s">
        <v>47</v>
      </c>
      <c r="B49" s="3">
        <v>0.28000000000000003</v>
      </c>
      <c r="C49" s="3">
        <v>0.96</v>
      </c>
      <c r="D49" s="3">
        <v>1</v>
      </c>
      <c r="E49" s="3">
        <v>0.08</v>
      </c>
      <c r="F49" s="3">
        <v>0.72</v>
      </c>
      <c r="G49" s="3">
        <v>0.16</v>
      </c>
    </row>
    <row r="50" spans="1:7" x14ac:dyDescent="0.25">
      <c r="A50" s="1" t="s">
        <v>48</v>
      </c>
      <c r="B50" s="3">
        <v>0.95</v>
      </c>
      <c r="C50" s="3">
        <v>0.35</v>
      </c>
      <c r="D50" s="3">
        <v>0.1</v>
      </c>
      <c r="E50" s="3">
        <v>1</v>
      </c>
      <c r="F50" s="3">
        <v>0.4</v>
      </c>
      <c r="G50" s="3">
        <v>0.05</v>
      </c>
    </row>
    <row r="51" spans="1:7" x14ac:dyDescent="0.25">
      <c r="A51" s="1" t="s">
        <v>49</v>
      </c>
      <c r="B51" s="3">
        <v>0.31578947368421051</v>
      </c>
      <c r="C51" s="3">
        <v>0.94736842105263153</v>
      </c>
      <c r="D51" s="3">
        <v>5.2631578947368418E-2</v>
      </c>
      <c r="E51" s="3">
        <v>1</v>
      </c>
      <c r="F51" s="3">
        <v>0.2105263157894737</v>
      </c>
      <c r="G51" s="3">
        <v>0.15789473684210531</v>
      </c>
    </row>
    <row r="52" spans="1:7" x14ac:dyDescent="0.25">
      <c r="A52" s="1" t="s">
        <v>50</v>
      </c>
      <c r="B52" s="3">
        <v>1</v>
      </c>
      <c r="C52" s="3">
        <v>0.4375</v>
      </c>
      <c r="D52" s="3">
        <v>6.25E-2</v>
      </c>
      <c r="E52" s="3">
        <v>0.3125</v>
      </c>
      <c r="F52" s="3">
        <v>0.9375</v>
      </c>
      <c r="G52" s="3">
        <v>0.5</v>
      </c>
    </row>
    <row r="53" spans="1:7" x14ac:dyDescent="0.25">
      <c r="A53" s="1" t="s">
        <v>51</v>
      </c>
      <c r="B53" s="3">
        <v>0.22222222222222221</v>
      </c>
      <c r="C53" s="3">
        <v>2.777777777777778E-2</v>
      </c>
      <c r="D53" s="3">
        <v>0.97222222222222221</v>
      </c>
      <c r="E53" s="3">
        <v>8.3333333333333329E-2</v>
      </c>
      <c r="F53" s="3">
        <v>1</v>
      </c>
      <c r="G53" s="3">
        <v>0.41666666666666669</v>
      </c>
    </row>
    <row r="54" spans="1:7" x14ac:dyDescent="0.25">
      <c r="A54" s="1" t="s">
        <v>52</v>
      </c>
      <c r="B54" s="3">
        <v>4.6511627906976737E-2</v>
      </c>
      <c r="C54" s="3">
        <v>1</v>
      </c>
      <c r="D54" s="3">
        <v>0.1395348837209302</v>
      </c>
      <c r="E54" s="3">
        <v>0.97674418604651159</v>
      </c>
      <c r="F54" s="3">
        <v>0.39534883720930231</v>
      </c>
      <c r="G54" s="3">
        <v>2.3255813953488368E-2</v>
      </c>
    </row>
    <row r="55" spans="1:7" x14ac:dyDescent="0.25">
      <c r="A55" s="1" t="s">
        <v>53</v>
      </c>
      <c r="B55" s="3">
        <v>0.375</v>
      </c>
      <c r="C55" s="3">
        <v>0.97916666666666663</v>
      </c>
      <c r="D55" s="3">
        <v>0.14583333333333329</v>
      </c>
      <c r="E55" s="3">
        <v>1</v>
      </c>
      <c r="F55" s="3">
        <v>2.0833333333333329E-2</v>
      </c>
      <c r="G55" s="3">
        <v>4.1666666666666657E-2</v>
      </c>
    </row>
    <row r="56" spans="1:7" x14ac:dyDescent="0.25">
      <c r="A56" s="1" t="s">
        <v>54</v>
      </c>
      <c r="B56" s="3">
        <v>0.61538461538461542</v>
      </c>
      <c r="C56" s="3">
        <v>0.92307692307692313</v>
      </c>
      <c r="D56" s="3">
        <v>0.15384615384615391</v>
      </c>
      <c r="E56" s="3">
        <v>0.30769230769230771</v>
      </c>
      <c r="F56" s="3">
        <v>7.6923076923076927E-2</v>
      </c>
      <c r="G56" s="3">
        <v>1</v>
      </c>
    </row>
    <row r="57" spans="1:7" x14ac:dyDescent="0.25">
      <c r="A57" s="1" t="s">
        <v>55</v>
      </c>
      <c r="B57" s="3">
        <v>5.5555555555555552E-2</v>
      </c>
      <c r="C57" s="3">
        <v>0.44444444444444442</v>
      </c>
      <c r="D57" s="3">
        <v>0.94444444444444442</v>
      </c>
      <c r="E57" s="3">
        <v>0.33333333333333331</v>
      </c>
      <c r="F57" s="3">
        <v>1</v>
      </c>
      <c r="G57" s="3">
        <v>0.22222222222222221</v>
      </c>
    </row>
    <row r="58" spans="1:7" x14ac:dyDescent="0.25">
      <c r="A58" s="1" t="s">
        <v>56</v>
      </c>
      <c r="B58" s="3">
        <v>0.08</v>
      </c>
      <c r="C58" s="3">
        <v>1</v>
      </c>
      <c r="D58" s="3">
        <v>0.16</v>
      </c>
      <c r="E58" s="3">
        <v>0.96</v>
      </c>
      <c r="F58" s="3">
        <v>0.04</v>
      </c>
      <c r="G58" s="3">
        <v>0.76</v>
      </c>
    </row>
    <row r="59" spans="1:7" x14ac:dyDescent="0.25">
      <c r="A59" s="1" t="s">
        <v>57</v>
      </c>
      <c r="B59" s="3">
        <v>1</v>
      </c>
      <c r="C59" s="3">
        <v>0.15384615384615391</v>
      </c>
      <c r="D59" s="3">
        <v>0.69230769230769229</v>
      </c>
      <c r="E59" s="3">
        <v>0.96153846153846156</v>
      </c>
      <c r="F59" s="3">
        <v>0.42307692307692307</v>
      </c>
      <c r="G59" s="3">
        <v>3.8461538461538457E-2</v>
      </c>
    </row>
    <row r="60" spans="1:7" x14ac:dyDescent="0.25">
      <c r="A60" s="4" t="s">
        <v>60</v>
      </c>
      <c r="B60" s="2">
        <f>COUNTIF(B10:B59,"&gt;=0.833")/50</f>
        <v>0.4</v>
      </c>
      <c r="C60" s="2">
        <f t="shared" ref="C60:G60" si="18">COUNTIF(C10:C59,"&gt;=0.833")/50</f>
        <v>0.42</v>
      </c>
      <c r="D60" s="2">
        <f t="shared" si="18"/>
        <v>0.26</v>
      </c>
      <c r="E60" s="2">
        <f t="shared" si="18"/>
        <v>0.5</v>
      </c>
      <c r="F60" s="2">
        <f t="shared" si="18"/>
        <v>0.2</v>
      </c>
      <c r="G60" s="2">
        <f t="shared" si="18"/>
        <v>0.24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Winner rates</vt:lpstr>
      <vt:lpstr>Survival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2026-02-12T15:55:37Z</dcterms:created>
  <dcterms:modified xsi:type="dcterms:W3CDTF">2026-02-16T17:48:37Z</dcterms:modified>
</cp:coreProperties>
</file>