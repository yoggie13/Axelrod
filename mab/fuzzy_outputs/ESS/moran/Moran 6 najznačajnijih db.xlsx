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ESS\moran\"/>
    </mc:Choice>
  </mc:AlternateContent>
  <xr:revisionPtr revIDLastSave="0" documentId="13_ncr:1_{E9A0109C-663A-46FD-BBA6-528A19C38F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nner rates" sheetId="1" r:id="rId1"/>
    <sheet name="Survival 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L20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O25" i="2" s="1"/>
  <c r="N20" i="2"/>
  <c r="M20" i="2"/>
  <c r="N25" i="2" l="1"/>
  <c r="Q25" i="2"/>
  <c r="M25" i="2"/>
  <c r="P25" i="2"/>
  <c r="L25" i="2"/>
</calcChain>
</file>

<file path=xl/sharedStrings.xml><?xml version="1.0" encoding="utf-8"?>
<sst xmlns="http://schemas.openxmlformats.org/spreadsheetml/2006/main" count="137" uniqueCount="64">
  <si>
    <t>Name</t>
  </si>
  <si>
    <t>%</t>
  </si>
  <si>
    <t>Evolved HMM 5</t>
  </si>
  <si>
    <t>Tit For Tat</t>
  </si>
  <si>
    <t>EvolvedLookerUp2_2_2</t>
  </si>
  <si>
    <t>Random: 0.5</t>
  </si>
  <si>
    <t>Evolved FSM 6</t>
  </si>
  <si>
    <t>Fuzzy</t>
  </si>
  <si>
    <t>Moran 1</t>
  </si>
  <si>
    <t>Moran 2</t>
  </si>
  <si>
    <t>Moran 3</t>
  </si>
  <si>
    <t>Moran 4</t>
  </si>
  <si>
    <t>Moran 5</t>
  </si>
  <si>
    <t>Moran 6</t>
  </si>
  <si>
    <t>Moran 7</t>
  </si>
  <si>
    <t>Moran 8</t>
  </si>
  <si>
    <t>Moran 9</t>
  </si>
  <si>
    <t>Moran 10</t>
  </si>
  <si>
    <t>Moran 11</t>
  </si>
  <si>
    <t>Moran 12</t>
  </si>
  <si>
    <t>Moran 13</t>
  </si>
  <si>
    <t>Moran 14</t>
  </si>
  <si>
    <t>Moran 15</t>
  </si>
  <si>
    <t>Moran 16</t>
  </si>
  <si>
    <t>Moran 17</t>
  </si>
  <si>
    <t>Moran 18</t>
  </si>
  <si>
    <t>Moran 19</t>
  </si>
  <si>
    <t>Moran 20</t>
  </si>
  <si>
    <t>Moran 21</t>
  </si>
  <si>
    <t>Moran 22</t>
  </si>
  <si>
    <t>Moran 23</t>
  </si>
  <si>
    <t>Moran 24</t>
  </si>
  <si>
    <t>Moran 25</t>
  </si>
  <si>
    <t>Moran 26</t>
  </si>
  <si>
    <t>Moran 27</t>
  </si>
  <si>
    <t>Moran 28</t>
  </si>
  <si>
    <t>Moran 29</t>
  </si>
  <si>
    <t>Moran 30</t>
  </si>
  <si>
    <t>Moran 31</t>
  </si>
  <si>
    <t>Moran 32</t>
  </si>
  <si>
    <t>Moran 33</t>
  </si>
  <si>
    <t>Moran 34</t>
  </si>
  <si>
    <t>Moran 35</t>
  </si>
  <si>
    <t>Moran 36</t>
  </si>
  <si>
    <t>Moran 37</t>
  </si>
  <si>
    <t>Moran 38</t>
  </si>
  <si>
    <t>Moran 39</t>
  </si>
  <si>
    <t>Moran 40</t>
  </si>
  <si>
    <t>Moran 41</t>
  </si>
  <si>
    <t>Moran 42</t>
  </si>
  <si>
    <t>Moran 43</t>
  </si>
  <si>
    <t>Moran 44</t>
  </si>
  <si>
    <t>Moran 45</t>
  </si>
  <si>
    <t>Moran 46</t>
  </si>
  <si>
    <t>Moran 47</t>
  </si>
  <si>
    <t>Moran 48</t>
  </si>
  <si>
    <t>Moran 49</t>
  </si>
  <si>
    <t>Moran 50</t>
  </si>
  <si>
    <t>Random</t>
  </si>
  <si>
    <t>(0, 20%]</t>
  </si>
  <si>
    <t>(20%, 40%]</t>
  </si>
  <si>
    <t>(40%, 60%]</t>
  </si>
  <si>
    <t>(60%, 80%]</t>
  </si>
  <si>
    <t>(80%, 100%]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</si>
</sst>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rates - DB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'Survival rates'!$K$20</c:f>
              <c:strCache>
                <c:ptCount val="1"/>
                <c:pt idx="0">
                  <c:v>(0, 20%]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rates'!$L$20:$Q$20</c:f>
              <c:numCache>
                <c:formatCode>0%</c:formatCode>
                <c:ptCount val="6"/>
                <c:pt idx="0">
                  <c:v>0.48</c:v>
                </c:pt>
                <c:pt idx="1">
                  <c:v>0.4</c:v>
                </c:pt>
                <c:pt idx="2">
                  <c:v>0.48</c:v>
                </c:pt>
                <c:pt idx="3">
                  <c:v>0.12</c:v>
                </c:pt>
                <c:pt idx="4">
                  <c:v>0.38</c:v>
                </c:pt>
                <c:pt idx="5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D-497F-95F5-E0F546FEB32A}"/>
            </c:ext>
          </c:extLst>
        </c:ser>
        <c:ser>
          <c:idx val="1"/>
          <c:order val="1"/>
          <c:tx>
            <c:strRef>
              <c:f>'Survival rates'!$K$21</c:f>
              <c:strCache>
                <c:ptCount val="1"/>
                <c:pt idx="0">
                  <c:v>(20%, 40%]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rates'!$L$21:$Q$21</c:f>
              <c:numCache>
                <c:formatCode>0%</c:formatCode>
                <c:ptCount val="6"/>
                <c:pt idx="0">
                  <c:v>0.08</c:v>
                </c:pt>
                <c:pt idx="1">
                  <c:v>0.22</c:v>
                </c:pt>
                <c:pt idx="2">
                  <c:v>0.14000000000000001</c:v>
                </c:pt>
                <c:pt idx="3">
                  <c:v>0.08</c:v>
                </c:pt>
                <c:pt idx="4">
                  <c:v>0.18</c:v>
                </c:pt>
                <c:pt idx="5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D-497F-95F5-E0F546FEB32A}"/>
            </c:ext>
          </c:extLst>
        </c:ser>
        <c:ser>
          <c:idx val="2"/>
          <c:order val="2"/>
          <c:tx>
            <c:strRef>
              <c:f>'Survival rates'!$K$22</c:f>
              <c:strCache>
                <c:ptCount val="1"/>
                <c:pt idx="0">
                  <c:v>(40%, 60%]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rates'!$L$22:$Q$22</c:f>
              <c:numCache>
                <c:formatCode>0%</c:formatCode>
                <c:ptCount val="6"/>
                <c:pt idx="0">
                  <c:v>0.1</c:v>
                </c:pt>
                <c:pt idx="1">
                  <c:v>0.08</c:v>
                </c:pt>
                <c:pt idx="2">
                  <c:v>0.04</c:v>
                </c:pt>
                <c:pt idx="3">
                  <c:v>0.14000000000000001</c:v>
                </c:pt>
                <c:pt idx="4">
                  <c:v>0.04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D-497F-95F5-E0F546FEB32A}"/>
            </c:ext>
          </c:extLst>
        </c:ser>
        <c:ser>
          <c:idx val="3"/>
          <c:order val="3"/>
          <c:tx>
            <c:strRef>
              <c:f>'Survival rates'!$K$23</c:f>
              <c:strCache>
                <c:ptCount val="1"/>
                <c:pt idx="0">
                  <c:v>(60%, 80%]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rates'!$L$23:$Q$23</c:f>
              <c:numCache>
                <c:formatCode>0%</c:formatCode>
                <c:ptCount val="6"/>
                <c:pt idx="0">
                  <c:v>0.02</c:v>
                </c:pt>
                <c:pt idx="1">
                  <c:v>0.08</c:v>
                </c:pt>
                <c:pt idx="2">
                  <c:v>0.04</c:v>
                </c:pt>
                <c:pt idx="3">
                  <c:v>0.08</c:v>
                </c:pt>
                <c:pt idx="4">
                  <c:v>0.06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9D-497F-95F5-E0F546FEB32A}"/>
            </c:ext>
          </c:extLst>
        </c:ser>
        <c:ser>
          <c:idx val="4"/>
          <c:order val="4"/>
          <c:tx>
            <c:strRef>
              <c:f>'Survival rates'!$K$24</c:f>
              <c:strCache>
                <c:ptCount val="1"/>
                <c:pt idx="0">
                  <c:v>(80%, 100%]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rates'!$L$24:$Q$24</c:f>
              <c:numCache>
                <c:formatCode>0%</c:formatCode>
                <c:ptCount val="6"/>
                <c:pt idx="0">
                  <c:v>0.32</c:v>
                </c:pt>
                <c:pt idx="1">
                  <c:v>0.22</c:v>
                </c:pt>
                <c:pt idx="2">
                  <c:v>0.3</c:v>
                </c:pt>
                <c:pt idx="3">
                  <c:v>0.57999999999999996</c:v>
                </c:pt>
                <c:pt idx="4">
                  <c:v>0.34</c:v>
                </c:pt>
                <c:pt idx="5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9D-497F-95F5-E0F546FEB3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38924031"/>
        <c:axId val="1538924511"/>
      </c:barChart>
      <c:catAx>
        <c:axId val="153892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24511"/>
        <c:crosses val="autoZero"/>
        <c:auto val="1"/>
        <c:lblAlgn val="ctr"/>
        <c:lblOffset val="100"/>
        <c:noMultiLvlLbl val="0"/>
      </c:catAx>
      <c:valAx>
        <c:axId val="153892451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9</xdr:row>
      <xdr:rowOff>57150</xdr:rowOff>
    </xdr:from>
    <xdr:to>
      <xdr:col>22</xdr:col>
      <xdr:colOff>561975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98BEB-104F-18E4-410B-F4BD834EB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" sqref="D2:D7"/>
    </sheetView>
  </sheetViews>
  <sheetFormatPr defaultRowHeight="15" x14ac:dyDescent="0.25"/>
  <cols>
    <col min="1" max="1" width="22" bestFit="1" customWidth="1"/>
    <col min="2" max="2" width="21.85546875" bestFit="1" customWidth="1"/>
    <col min="3" max="3" width="12.140625" customWidth="1"/>
  </cols>
  <sheetData>
    <row r="1" spans="1:4" x14ac:dyDescent="0.25">
      <c r="B1" s="1" t="s">
        <v>0</v>
      </c>
      <c r="C1" s="1" t="s">
        <v>1</v>
      </c>
    </row>
    <row r="2" spans="1:4" x14ac:dyDescent="0.25">
      <c r="A2" s="1" t="s">
        <v>2</v>
      </c>
      <c r="B2" t="s">
        <v>2</v>
      </c>
      <c r="C2" s="2">
        <v>0.32</v>
      </c>
      <c r="D2" t="b">
        <f>C2&gt;1/6</f>
        <v>1</v>
      </c>
    </row>
    <row r="3" spans="1:4" x14ac:dyDescent="0.25">
      <c r="A3" s="1" t="s">
        <v>3</v>
      </c>
      <c r="B3" t="s">
        <v>3</v>
      </c>
      <c r="C3" s="2">
        <v>0.2</v>
      </c>
      <c r="D3" t="b">
        <f t="shared" ref="D3:D7" si="0">C3&gt;1/6</f>
        <v>1</v>
      </c>
    </row>
    <row r="4" spans="1:4" x14ac:dyDescent="0.25">
      <c r="A4" s="1" t="s">
        <v>4</v>
      </c>
      <c r="B4" t="s">
        <v>4</v>
      </c>
      <c r="C4" s="2">
        <v>0.1</v>
      </c>
      <c r="D4" t="b">
        <f t="shared" si="0"/>
        <v>0</v>
      </c>
    </row>
    <row r="5" spans="1:4" x14ac:dyDescent="0.25">
      <c r="A5" s="1" t="s">
        <v>5</v>
      </c>
      <c r="B5" t="s">
        <v>5</v>
      </c>
      <c r="C5" s="2">
        <v>0.06</v>
      </c>
      <c r="D5" t="b">
        <f t="shared" si="0"/>
        <v>0</v>
      </c>
    </row>
    <row r="6" spans="1:4" x14ac:dyDescent="0.25">
      <c r="A6" s="1" t="s">
        <v>6</v>
      </c>
      <c r="B6" t="s">
        <v>6</v>
      </c>
      <c r="C6" s="2">
        <v>0.1</v>
      </c>
      <c r="D6" t="b">
        <f t="shared" si="0"/>
        <v>0</v>
      </c>
    </row>
    <row r="7" spans="1:4" x14ac:dyDescent="0.25">
      <c r="A7" s="1" t="s">
        <v>7</v>
      </c>
      <c r="B7" t="s">
        <v>7</v>
      </c>
      <c r="C7" s="2">
        <v>0.22</v>
      </c>
      <c r="D7" t="b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9"/>
  <sheetViews>
    <sheetView topLeftCell="A4" workbookViewId="0">
      <selection activeCell="X34" sqref="X34"/>
    </sheetView>
  </sheetViews>
  <sheetFormatPr defaultRowHeight="15" x14ac:dyDescent="0.25"/>
  <sheetData>
    <row r="1" spans="1:51" x14ac:dyDescent="0.25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</row>
    <row r="2" spans="1:51" x14ac:dyDescent="0.25">
      <c r="A2" s="1" t="s">
        <v>7</v>
      </c>
      <c r="B2">
        <v>0.47619047619047622</v>
      </c>
      <c r="C2">
        <v>5.8823529411764712E-2</v>
      </c>
      <c r="D2">
        <v>1</v>
      </c>
      <c r="E2">
        <v>0.04</v>
      </c>
      <c r="F2">
        <v>0.92307692307692313</v>
      </c>
      <c r="G2">
        <v>3.5714285714285712E-2</v>
      </c>
      <c r="H2">
        <v>0.2</v>
      </c>
      <c r="I2">
        <v>0.22222222222222221</v>
      </c>
      <c r="J2">
        <v>2.777777777777778E-2</v>
      </c>
      <c r="K2">
        <v>0.1111111111111111</v>
      </c>
      <c r="L2">
        <v>1</v>
      </c>
      <c r="M2">
        <v>3.4482758620689648E-2</v>
      </c>
      <c r="N2">
        <v>0.10526315789473679</v>
      </c>
      <c r="O2">
        <v>1</v>
      </c>
      <c r="P2">
        <v>1</v>
      </c>
      <c r="Q2">
        <v>6.8965517241379309E-2</v>
      </c>
      <c r="R2">
        <v>1</v>
      </c>
      <c r="S2">
        <v>0.95238095238095233</v>
      </c>
      <c r="T2">
        <v>4.5454545454545463E-2</v>
      </c>
      <c r="U2">
        <v>1</v>
      </c>
      <c r="V2">
        <v>0.93333333333333335</v>
      </c>
      <c r="W2">
        <v>9.5238095238095233E-2</v>
      </c>
      <c r="X2">
        <v>0.95</v>
      </c>
      <c r="Y2">
        <v>0.9642857142857143</v>
      </c>
      <c r="Z2">
        <v>0.54545454545454541</v>
      </c>
      <c r="AA2">
        <v>0.2857142857142857</v>
      </c>
      <c r="AB2">
        <v>0.5</v>
      </c>
      <c r="AC2">
        <v>0.3888888888888889</v>
      </c>
      <c r="AD2">
        <v>0.1111111111111111</v>
      </c>
      <c r="AE2">
        <v>5.6603773584905662E-2</v>
      </c>
      <c r="AF2">
        <v>9.2592592592592587E-2</v>
      </c>
      <c r="AG2">
        <v>3.5714285714285712E-2</v>
      </c>
      <c r="AH2">
        <v>3.7037037037037028E-2</v>
      </c>
      <c r="AI2">
        <v>0.625</v>
      </c>
      <c r="AJ2">
        <v>7.3170731707317069E-2</v>
      </c>
      <c r="AK2">
        <v>1</v>
      </c>
      <c r="AL2">
        <v>3.2258064516129031E-2</v>
      </c>
      <c r="AM2">
        <v>2.9411764705882349E-2</v>
      </c>
      <c r="AN2">
        <v>7.8431372549019607E-2</v>
      </c>
      <c r="AO2">
        <v>2.222222222222222E-2</v>
      </c>
      <c r="AP2">
        <v>1</v>
      </c>
      <c r="AQ2">
        <v>0.1818181818181818</v>
      </c>
      <c r="AR2">
        <v>0.1851851851851852</v>
      </c>
      <c r="AS2">
        <v>0.53846153846153844</v>
      </c>
      <c r="AT2">
        <v>1</v>
      </c>
      <c r="AU2">
        <v>0.45454545454545447</v>
      </c>
      <c r="AV2">
        <v>5.8823529411764712E-2</v>
      </c>
      <c r="AW2">
        <v>0.38095238095238088</v>
      </c>
      <c r="AX2">
        <v>1</v>
      </c>
      <c r="AY2">
        <v>1</v>
      </c>
    </row>
    <row r="3" spans="1:51" x14ac:dyDescent="0.25">
      <c r="A3" s="1" t="s">
        <v>6</v>
      </c>
      <c r="B3">
        <v>0.76190476190476186</v>
      </c>
      <c r="C3">
        <v>8.8235294117647065E-2</v>
      </c>
      <c r="D3">
        <v>0.04</v>
      </c>
      <c r="E3">
        <v>0.28000000000000003</v>
      </c>
      <c r="F3">
        <v>0.30769230769230771</v>
      </c>
      <c r="G3">
        <v>0.25</v>
      </c>
      <c r="H3">
        <v>0.8</v>
      </c>
      <c r="I3">
        <v>5.5555555555555552E-2</v>
      </c>
      <c r="J3">
        <v>0.97222222222222221</v>
      </c>
      <c r="K3">
        <v>1</v>
      </c>
      <c r="L3">
        <v>0.1</v>
      </c>
      <c r="M3">
        <v>6.8965517241379309E-2</v>
      </c>
      <c r="N3">
        <v>0.2105263157894737</v>
      </c>
      <c r="O3">
        <v>0.93333333333333335</v>
      </c>
      <c r="P3">
        <v>0.23076923076923081</v>
      </c>
      <c r="Q3">
        <v>0.17241379310344829</v>
      </c>
      <c r="R3">
        <v>0.1111111111111111</v>
      </c>
      <c r="S3">
        <v>4.7619047619047623E-2</v>
      </c>
      <c r="T3">
        <v>9.0909090909090912E-2</v>
      </c>
      <c r="U3">
        <v>0.29629629629629628</v>
      </c>
      <c r="V3">
        <v>0.53333333333333333</v>
      </c>
      <c r="W3">
        <v>0.95238095238095233</v>
      </c>
      <c r="X3">
        <v>0.2</v>
      </c>
      <c r="Y3">
        <v>0.4642857142857143</v>
      </c>
      <c r="Z3">
        <v>9.0909090909090912E-2</v>
      </c>
      <c r="AA3">
        <v>0.7142857142857143</v>
      </c>
      <c r="AB3">
        <v>0.96875</v>
      </c>
      <c r="AC3">
        <v>0.27777777777777779</v>
      </c>
      <c r="AD3">
        <v>5.5555555555555552E-2</v>
      </c>
      <c r="AE3">
        <v>1</v>
      </c>
      <c r="AF3">
        <v>0.1111111111111111</v>
      </c>
      <c r="AG3">
        <v>1</v>
      </c>
      <c r="AH3">
        <v>7.407407407407407E-2</v>
      </c>
      <c r="AI3">
        <v>0.75</v>
      </c>
      <c r="AJ3">
        <v>2.4390243902439029E-2</v>
      </c>
      <c r="AK3">
        <v>0.1818181818181818</v>
      </c>
      <c r="AL3">
        <v>0.38709677419354838</v>
      </c>
      <c r="AM3">
        <v>0.3235294117647059</v>
      </c>
      <c r="AN3">
        <v>0.98039215686274506</v>
      </c>
      <c r="AO3">
        <v>0.1333333333333333</v>
      </c>
      <c r="AP3">
        <v>0.4</v>
      </c>
      <c r="AQ3">
        <v>0.54545454545454541</v>
      </c>
      <c r="AR3">
        <v>0.96296296296296291</v>
      </c>
      <c r="AS3">
        <v>1</v>
      </c>
      <c r="AT3">
        <v>0.5</v>
      </c>
      <c r="AU3">
        <v>9.0909090909090912E-2</v>
      </c>
      <c r="AV3">
        <v>1.470588235294118E-2</v>
      </c>
      <c r="AW3">
        <v>1</v>
      </c>
      <c r="AX3">
        <v>0.20588235294117649</v>
      </c>
      <c r="AY3">
        <v>0.1333333333333333</v>
      </c>
    </row>
    <row r="4" spans="1:51" x14ac:dyDescent="0.25">
      <c r="A4" s="1" t="s">
        <v>4</v>
      </c>
      <c r="B4">
        <v>1</v>
      </c>
      <c r="C4">
        <v>0.1764705882352941</v>
      </c>
      <c r="D4">
        <v>0.76</v>
      </c>
      <c r="E4">
        <v>0.12</v>
      </c>
      <c r="F4">
        <v>0.53846153846153844</v>
      </c>
      <c r="G4">
        <v>7.1428571428571425E-2</v>
      </c>
      <c r="H4">
        <v>1</v>
      </c>
      <c r="I4">
        <v>0.94444444444444442</v>
      </c>
      <c r="J4">
        <v>5.5555555555555552E-2</v>
      </c>
      <c r="K4">
        <v>5.5555555555555552E-2</v>
      </c>
      <c r="L4">
        <v>0.2</v>
      </c>
      <c r="M4">
        <v>0.96551724137931039</v>
      </c>
      <c r="N4">
        <v>5.2631578947368418E-2</v>
      </c>
      <c r="O4">
        <v>0.33333333333333331</v>
      </c>
      <c r="P4">
        <v>0.15384615384615391</v>
      </c>
      <c r="Q4">
        <v>0.96551724137931039</v>
      </c>
      <c r="R4">
        <v>0.88888888888888884</v>
      </c>
      <c r="S4">
        <v>0.14285714285714279</v>
      </c>
      <c r="T4">
        <v>0.95454545454545459</v>
      </c>
      <c r="U4">
        <v>3.7037037037037028E-2</v>
      </c>
      <c r="V4">
        <v>0.46666666666666667</v>
      </c>
      <c r="W4">
        <v>0.2857142857142857</v>
      </c>
      <c r="X4">
        <v>0.25</v>
      </c>
      <c r="Y4">
        <v>0.2142857142857143</v>
      </c>
      <c r="Z4">
        <v>0.36363636363636359</v>
      </c>
      <c r="AA4">
        <v>1</v>
      </c>
      <c r="AB4">
        <v>1</v>
      </c>
      <c r="AC4">
        <v>5.5555555555555552E-2</v>
      </c>
      <c r="AD4">
        <v>0.94444444444444442</v>
      </c>
      <c r="AE4">
        <v>9.4339622641509441E-2</v>
      </c>
      <c r="AF4">
        <v>3.7037037037037028E-2</v>
      </c>
      <c r="AG4">
        <v>0.9642857142857143</v>
      </c>
      <c r="AH4">
        <v>0.22222222222222221</v>
      </c>
      <c r="AI4">
        <v>0.875</v>
      </c>
      <c r="AJ4">
        <v>4.878048780487805E-2</v>
      </c>
      <c r="AK4">
        <v>9.0909090909090912E-2</v>
      </c>
      <c r="AL4">
        <v>0.1290322580645161</v>
      </c>
      <c r="AM4">
        <v>0.97058823529411764</v>
      </c>
      <c r="AN4">
        <v>0.25490196078431371</v>
      </c>
      <c r="AO4">
        <v>4.4444444444444453E-2</v>
      </c>
      <c r="AP4">
        <v>0.7</v>
      </c>
      <c r="AQ4">
        <v>0.90909090909090906</v>
      </c>
      <c r="AR4">
        <v>1</v>
      </c>
      <c r="AS4">
        <v>7.6923076923076927E-2</v>
      </c>
      <c r="AT4">
        <v>0.16666666666666671</v>
      </c>
      <c r="AU4">
        <v>0.1818181818181818</v>
      </c>
      <c r="AV4">
        <v>0.19117647058823531</v>
      </c>
      <c r="AW4">
        <v>0.19047619047619049</v>
      </c>
      <c r="AX4">
        <v>2.9411764705882349E-2</v>
      </c>
      <c r="AY4">
        <v>6.6666666666666666E-2</v>
      </c>
    </row>
    <row r="5" spans="1:51" x14ac:dyDescent="0.25">
      <c r="A5" s="1" t="s">
        <v>2</v>
      </c>
      <c r="B5">
        <v>4.7619047619047623E-2</v>
      </c>
      <c r="C5">
        <v>0.97058823529411764</v>
      </c>
      <c r="D5">
        <v>0.96</v>
      </c>
      <c r="E5">
        <v>1</v>
      </c>
      <c r="F5">
        <v>0.38461538461538458</v>
      </c>
      <c r="G5">
        <v>0.9642857142857143</v>
      </c>
      <c r="H5">
        <v>0.4</v>
      </c>
      <c r="I5">
        <v>1</v>
      </c>
      <c r="J5">
        <v>1</v>
      </c>
      <c r="K5">
        <v>0.88888888888888884</v>
      </c>
      <c r="L5">
        <v>0.6</v>
      </c>
      <c r="M5">
        <v>0.55172413793103448</v>
      </c>
      <c r="N5">
        <v>0.57894736842105265</v>
      </c>
      <c r="O5">
        <v>6.6666666666666666E-2</v>
      </c>
      <c r="P5">
        <v>0.53846153846153844</v>
      </c>
      <c r="Q5">
        <v>1</v>
      </c>
      <c r="R5">
        <v>0.44444444444444442</v>
      </c>
      <c r="S5">
        <v>1</v>
      </c>
      <c r="T5">
        <v>1</v>
      </c>
      <c r="U5">
        <v>0.96296296296296291</v>
      </c>
      <c r="V5">
        <v>1</v>
      </c>
      <c r="W5">
        <v>1</v>
      </c>
      <c r="X5">
        <v>1</v>
      </c>
      <c r="Y5">
        <v>1</v>
      </c>
      <c r="Z5">
        <v>0.27272727272727271</v>
      </c>
      <c r="AA5">
        <v>0.5714285714285714</v>
      </c>
      <c r="AB5">
        <v>6.25E-2</v>
      </c>
      <c r="AC5">
        <v>0.94444444444444442</v>
      </c>
      <c r="AD5">
        <v>0.61111111111111116</v>
      </c>
      <c r="AE5">
        <v>0.99056603773584906</v>
      </c>
      <c r="AF5">
        <v>0.98148148148148151</v>
      </c>
      <c r="AG5">
        <v>7.1428571428571425E-2</v>
      </c>
      <c r="AH5">
        <v>1</v>
      </c>
      <c r="AI5">
        <v>1</v>
      </c>
      <c r="AJ5">
        <v>0.97560975609756095</v>
      </c>
      <c r="AK5">
        <v>0.90909090909090906</v>
      </c>
      <c r="AL5">
        <v>1</v>
      </c>
      <c r="AM5">
        <v>1</v>
      </c>
      <c r="AN5">
        <v>1</v>
      </c>
      <c r="AO5">
        <v>6.6666666666666666E-2</v>
      </c>
      <c r="AP5">
        <v>0.1</v>
      </c>
      <c r="AQ5">
        <v>1</v>
      </c>
      <c r="AR5">
        <v>0.66666666666666663</v>
      </c>
      <c r="AS5">
        <v>0.46153846153846162</v>
      </c>
      <c r="AT5">
        <v>0.33333333333333331</v>
      </c>
      <c r="AU5">
        <v>0.63636363636363635</v>
      </c>
      <c r="AV5">
        <v>0.98529411764705888</v>
      </c>
      <c r="AW5">
        <v>0.95238095238095233</v>
      </c>
      <c r="AX5">
        <v>0.97058823529411764</v>
      </c>
      <c r="AY5">
        <v>0.66666666666666663</v>
      </c>
    </row>
    <row r="6" spans="1:51" x14ac:dyDescent="0.25">
      <c r="A6" s="1" t="s">
        <v>3</v>
      </c>
      <c r="B6">
        <v>0.95238095238095233</v>
      </c>
      <c r="C6">
        <v>1</v>
      </c>
      <c r="D6">
        <v>0.16</v>
      </c>
      <c r="E6">
        <v>0.4</v>
      </c>
      <c r="F6">
        <v>1</v>
      </c>
      <c r="G6">
        <v>1</v>
      </c>
      <c r="H6">
        <v>0.9</v>
      </c>
      <c r="I6">
        <v>0.5</v>
      </c>
      <c r="J6">
        <v>0.1111111111111111</v>
      </c>
      <c r="K6">
        <v>0.3888888888888889</v>
      </c>
      <c r="L6">
        <v>0.7</v>
      </c>
      <c r="M6">
        <v>1</v>
      </c>
      <c r="N6">
        <v>0.94736842105263153</v>
      </c>
      <c r="O6">
        <v>0.46666666666666667</v>
      </c>
      <c r="P6">
        <v>0.92307692307692313</v>
      </c>
      <c r="Q6">
        <v>3.4482758620689648E-2</v>
      </c>
      <c r="R6">
        <v>0.33333333333333331</v>
      </c>
      <c r="S6">
        <v>0.2857142857142857</v>
      </c>
      <c r="T6">
        <v>0.72727272727272729</v>
      </c>
      <c r="U6">
        <v>7.407407407407407E-2</v>
      </c>
      <c r="V6">
        <v>0.26666666666666672</v>
      </c>
      <c r="W6">
        <v>4.7619047619047623E-2</v>
      </c>
      <c r="X6">
        <v>0.05</v>
      </c>
      <c r="Y6">
        <v>3.5714285714285712E-2</v>
      </c>
      <c r="Z6">
        <v>1</v>
      </c>
      <c r="AA6">
        <v>0.14285714285714279</v>
      </c>
      <c r="AB6">
        <v>3.125E-2</v>
      </c>
      <c r="AC6">
        <v>1</v>
      </c>
      <c r="AD6">
        <v>0.27777777777777779</v>
      </c>
      <c r="AE6">
        <v>9.433962264150943E-3</v>
      </c>
      <c r="AF6">
        <v>1</v>
      </c>
      <c r="AG6">
        <v>0.2857142857142857</v>
      </c>
      <c r="AH6">
        <v>0.96296296296296291</v>
      </c>
      <c r="AI6">
        <v>0.125</v>
      </c>
      <c r="AJ6">
        <v>1</v>
      </c>
      <c r="AK6">
        <v>0.27272727272727271</v>
      </c>
      <c r="AL6">
        <v>6.4516129032258063E-2</v>
      </c>
      <c r="AM6">
        <v>5.8823529411764712E-2</v>
      </c>
      <c r="AN6">
        <v>9.8039215686274508E-2</v>
      </c>
      <c r="AO6">
        <v>1</v>
      </c>
      <c r="AP6">
        <v>0.2</v>
      </c>
      <c r="AQ6">
        <v>9.0909090909090912E-2</v>
      </c>
      <c r="AR6">
        <v>3.7037037037037028E-2</v>
      </c>
      <c r="AS6">
        <v>0.23076923076923081</v>
      </c>
      <c r="AT6">
        <v>0.66666666666666663</v>
      </c>
      <c r="AU6">
        <v>0.90909090909090906</v>
      </c>
      <c r="AV6">
        <v>1</v>
      </c>
      <c r="AW6">
        <v>0.14285714285714279</v>
      </c>
      <c r="AX6">
        <v>5.8823529411764712E-2</v>
      </c>
      <c r="AY6">
        <v>0.93333333333333335</v>
      </c>
    </row>
    <row r="7" spans="1:51" x14ac:dyDescent="0.25">
      <c r="A7" s="1" t="s">
        <v>58</v>
      </c>
      <c r="B7">
        <v>9.5238095238095233E-2</v>
      </c>
      <c r="C7">
        <v>2.9411764705882349E-2</v>
      </c>
      <c r="D7">
        <v>0.08</v>
      </c>
      <c r="E7">
        <v>0.96</v>
      </c>
      <c r="F7">
        <v>7.6923076923076927E-2</v>
      </c>
      <c r="G7">
        <v>0.2857142857142857</v>
      </c>
      <c r="H7">
        <v>0.1</v>
      </c>
      <c r="I7">
        <v>0.1111111111111111</v>
      </c>
      <c r="J7">
        <v>0.1388888888888889</v>
      </c>
      <c r="K7">
        <v>0.94444444444444442</v>
      </c>
      <c r="L7">
        <v>0.9</v>
      </c>
      <c r="M7">
        <v>0.13793103448275859</v>
      </c>
      <c r="N7">
        <v>1</v>
      </c>
      <c r="O7">
        <v>0.1333333333333333</v>
      </c>
      <c r="P7">
        <v>7.6923076923076927E-2</v>
      </c>
      <c r="Q7">
        <v>0.10344827586206901</v>
      </c>
      <c r="R7">
        <v>0.55555555555555558</v>
      </c>
      <c r="S7">
        <v>9.5238095238095233E-2</v>
      </c>
      <c r="T7">
        <v>0.22727272727272729</v>
      </c>
      <c r="U7">
        <v>0.1851851851851852</v>
      </c>
      <c r="V7">
        <v>6.6666666666666666E-2</v>
      </c>
      <c r="W7">
        <v>0.19047619047619049</v>
      </c>
      <c r="X7">
        <v>0.15</v>
      </c>
      <c r="Y7">
        <v>0.1785714285714286</v>
      </c>
      <c r="Z7">
        <v>0.90909090909090906</v>
      </c>
      <c r="AA7">
        <v>0.8571428571428571</v>
      </c>
      <c r="AB7">
        <v>0.25</v>
      </c>
      <c r="AC7">
        <v>0.22222222222222221</v>
      </c>
      <c r="AD7">
        <v>1</v>
      </c>
      <c r="AE7">
        <v>1.886792452830189E-2</v>
      </c>
      <c r="AF7">
        <v>1.8518518518518521E-2</v>
      </c>
      <c r="AG7">
        <v>0.14285714285714279</v>
      </c>
      <c r="AH7">
        <v>0.25925925925925919</v>
      </c>
      <c r="AI7">
        <v>0.25</v>
      </c>
      <c r="AJ7">
        <v>0.17073170731707321</v>
      </c>
      <c r="AK7">
        <v>0.45454545454545447</v>
      </c>
      <c r="AL7">
        <v>0.967741935483871</v>
      </c>
      <c r="AM7">
        <v>8.8235294117647065E-2</v>
      </c>
      <c r="AN7">
        <v>1.9607843137254902E-2</v>
      </c>
      <c r="AO7">
        <v>0.97777777777777775</v>
      </c>
      <c r="AP7">
        <v>0.9</v>
      </c>
      <c r="AQ7">
        <v>0.27272727272727271</v>
      </c>
      <c r="AR7">
        <v>0.25925925925925919</v>
      </c>
      <c r="AS7">
        <v>0.92307692307692313</v>
      </c>
      <c r="AT7">
        <v>0.83333333333333337</v>
      </c>
      <c r="AU7">
        <v>1</v>
      </c>
      <c r="AV7">
        <v>2.9411764705882349E-2</v>
      </c>
      <c r="AW7">
        <v>4.7619047619047623E-2</v>
      </c>
      <c r="AX7">
        <v>8.8235294117647065E-2</v>
      </c>
      <c r="AY7">
        <v>0.33333333333333331</v>
      </c>
    </row>
    <row r="9" spans="1:51" x14ac:dyDescent="0.25">
      <c r="B9" s="1" t="s">
        <v>7</v>
      </c>
      <c r="C9" s="1" t="s">
        <v>6</v>
      </c>
      <c r="D9" s="1" t="s">
        <v>4</v>
      </c>
      <c r="E9" s="1" t="s">
        <v>2</v>
      </c>
      <c r="F9" s="1" t="s">
        <v>3</v>
      </c>
      <c r="G9" s="1" t="s">
        <v>58</v>
      </c>
      <c r="J9">
        <v>0.2</v>
      </c>
      <c r="K9">
        <v>0.4</v>
      </c>
      <c r="L9">
        <v>0.6</v>
      </c>
      <c r="M9">
        <v>0.8</v>
      </c>
      <c r="N9">
        <v>1</v>
      </c>
    </row>
    <row r="10" spans="1:51" x14ac:dyDescent="0.25">
      <c r="A10" s="1" t="s">
        <v>8</v>
      </c>
      <c r="B10">
        <v>0.47619047619047622</v>
      </c>
      <c r="C10">
        <v>0.76190476190476186</v>
      </c>
      <c r="D10">
        <v>1</v>
      </c>
      <c r="E10">
        <v>4.7619047619047623E-2</v>
      </c>
      <c r="F10">
        <v>0.95238095238095233</v>
      </c>
      <c r="G10">
        <v>9.5238095238095233E-2</v>
      </c>
    </row>
    <row r="11" spans="1:51" x14ac:dyDescent="0.25">
      <c r="A11" s="1" t="s">
        <v>9</v>
      </c>
      <c r="B11">
        <v>5.8823529411764712E-2</v>
      </c>
      <c r="C11">
        <v>8.8235294117647065E-2</v>
      </c>
      <c r="D11">
        <v>0.1764705882352941</v>
      </c>
      <c r="E11">
        <v>0.97058823529411764</v>
      </c>
      <c r="F11">
        <v>1</v>
      </c>
      <c r="G11">
        <v>2.9411764705882349E-2</v>
      </c>
    </row>
    <row r="12" spans="1:51" x14ac:dyDescent="0.25">
      <c r="A12" s="1" t="s">
        <v>10</v>
      </c>
      <c r="B12">
        <v>1</v>
      </c>
      <c r="C12">
        <v>0.04</v>
      </c>
      <c r="D12">
        <v>0.76</v>
      </c>
      <c r="E12">
        <v>0.96</v>
      </c>
      <c r="F12">
        <v>0.16</v>
      </c>
      <c r="G12">
        <v>0.08</v>
      </c>
    </row>
    <row r="13" spans="1:51" x14ac:dyDescent="0.25">
      <c r="A13" s="1" t="s">
        <v>11</v>
      </c>
      <c r="B13">
        <v>0.04</v>
      </c>
      <c r="C13">
        <v>0.28000000000000003</v>
      </c>
      <c r="D13">
        <v>0.12</v>
      </c>
      <c r="E13">
        <v>1</v>
      </c>
      <c r="F13">
        <v>0.4</v>
      </c>
      <c r="G13">
        <v>0.96</v>
      </c>
    </row>
    <row r="14" spans="1:51" x14ac:dyDescent="0.25">
      <c r="A14" s="1" t="s">
        <v>12</v>
      </c>
      <c r="B14">
        <v>0.92307692307692313</v>
      </c>
      <c r="C14">
        <v>0.30769230769230771</v>
      </c>
      <c r="D14">
        <v>0.53846153846153844</v>
      </c>
      <c r="E14">
        <v>0.38461538461538458</v>
      </c>
      <c r="F14">
        <v>1</v>
      </c>
      <c r="G14">
        <v>7.6923076923076927E-2</v>
      </c>
    </row>
    <row r="15" spans="1:51" x14ac:dyDescent="0.25">
      <c r="A15" s="1" t="s">
        <v>13</v>
      </c>
      <c r="B15">
        <v>3.5714285714285712E-2</v>
      </c>
      <c r="C15">
        <v>0.25</v>
      </c>
      <c r="D15">
        <v>7.1428571428571425E-2</v>
      </c>
      <c r="E15">
        <v>0.9642857142857143</v>
      </c>
      <c r="F15">
        <v>1</v>
      </c>
      <c r="G15">
        <v>0.2857142857142857</v>
      </c>
    </row>
    <row r="16" spans="1:51" x14ac:dyDescent="0.25">
      <c r="A16" s="1" t="s">
        <v>14</v>
      </c>
      <c r="B16">
        <v>0.2</v>
      </c>
      <c r="C16">
        <v>0.8</v>
      </c>
      <c r="D16">
        <v>1</v>
      </c>
      <c r="E16">
        <v>0.4</v>
      </c>
      <c r="F16">
        <v>0.9</v>
      </c>
      <c r="G16">
        <v>0.1</v>
      </c>
    </row>
    <row r="17" spans="1:17" x14ac:dyDescent="0.25">
      <c r="A17" s="1" t="s">
        <v>15</v>
      </c>
      <c r="B17">
        <v>0.22222222222222221</v>
      </c>
      <c r="C17">
        <v>5.5555555555555552E-2</v>
      </c>
      <c r="D17">
        <v>0.94444444444444442</v>
      </c>
      <c r="E17">
        <v>1</v>
      </c>
      <c r="F17">
        <v>0.5</v>
      </c>
      <c r="G17">
        <v>0.1111111111111111</v>
      </c>
    </row>
    <row r="18" spans="1:17" x14ac:dyDescent="0.25">
      <c r="A18" s="1" t="s">
        <v>16</v>
      </c>
      <c r="B18">
        <v>2.777777777777778E-2</v>
      </c>
      <c r="C18">
        <v>0.97222222222222221</v>
      </c>
      <c r="D18">
        <v>5.5555555555555552E-2</v>
      </c>
      <c r="E18">
        <v>1</v>
      </c>
      <c r="F18">
        <v>0.1111111111111111</v>
      </c>
      <c r="G18">
        <v>0.1388888888888889</v>
      </c>
    </row>
    <row r="19" spans="1:17" x14ac:dyDescent="0.25">
      <c r="A19" s="1" t="s">
        <v>17</v>
      </c>
      <c r="B19">
        <v>0.1111111111111111</v>
      </c>
      <c r="C19">
        <v>1</v>
      </c>
      <c r="D19">
        <v>5.5555555555555552E-2</v>
      </c>
      <c r="E19">
        <v>0.88888888888888884</v>
      </c>
      <c r="F19">
        <v>0.3888888888888889</v>
      </c>
      <c r="G19">
        <v>0.94444444444444442</v>
      </c>
      <c r="L19" t="s">
        <v>7</v>
      </c>
      <c r="M19" t="s">
        <v>6</v>
      </c>
      <c r="N19" t="s">
        <v>4</v>
      </c>
      <c r="O19" t="s">
        <v>2</v>
      </c>
      <c r="P19" t="s">
        <v>3</v>
      </c>
      <c r="Q19" t="s">
        <v>58</v>
      </c>
    </row>
    <row r="20" spans="1:17" x14ac:dyDescent="0.25">
      <c r="A20" s="1" t="s">
        <v>18</v>
      </c>
      <c r="B20">
        <v>1</v>
      </c>
      <c r="C20">
        <v>0.1</v>
      </c>
      <c r="D20">
        <v>0.2</v>
      </c>
      <c r="E20">
        <v>0.6</v>
      </c>
      <c r="F20">
        <v>0.7</v>
      </c>
      <c r="G20">
        <v>0.9</v>
      </c>
      <c r="J20">
        <v>0.2</v>
      </c>
      <c r="K20" t="s">
        <v>59</v>
      </c>
      <c r="L20" s="2">
        <f>COUNTIFS(B$10:B$59,_xlfn.CONCAT("&lt;=",$J$9))/50</f>
        <v>0.48</v>
      </c>
      <c r="M20" s="2">
        <f>COUNTIFS(C$10:C$59,_xlfn.CONCAT("&lt;=",$J$9))/50</f>
        <v>0.4</v>
      </c>
      <c r="N20" s="2">
        <f>COUNTIFS(D$10:D$59,_xlfn.CONCAT("&lt;=",$J$9))/50</f>
        <v>0.48</v>
      </c>
      <c r="O20" s="2">
        <f t="shared" ref="O20:Q20" si="0">COUNTIFS(E$10:E$59,_xlfn.CONCAT("&lt;=",$J$9))/50</f>
        <v>0.12</v>
      </c>
      <c r="P20" s="2">
        <f t="shared" si="0"/>
        <v>0.38</v>
      </c>
      <c r="Q20" s="2">
        <f t="shared" si="0"/>
        <v>0.52</v>
      </c>
    </row>
    <row r="21" spans="1:17" x14ac:dyDescent="0.25">
      <c r="A21" s="1" t="s">
        <v>19</v>
      </c>
      <c r="B21">
        <v>3.4482758620689648E-2</v>
      </c>
      <c r="C21">
        <v>6.8965517241379309E-2</v>
      </c>
      <c r="D21">
        <v>0.96551724137931039</v>
      </c>
      <c r="E21">
        <v>0.55172413793103448</v>
      </c>
      <c r="F21">
        <v>1</v>
      </c>
      <c r="G21">
        <v>0.13793103448275859</v>
      </c>
      <c r="J21">
        <v>0.4</v>
      </c>
      <c r="K21" t="s">
        <v>60</v>
      </c>
      <c r="L21" s="2">
        <f>COUNTIFS(B$10:B$59,_xlfn.CONCAT("&gt;",$J$9),B$10:B$59,_xlfn.CONCAT("&lt;=",$K$9))/50</f>
        <v>0.08</v>
      </c>
      <c r="M21" s="2">
        <f t="shared" ref="M21:Q21" si="1">COUNTIFS(C$10:C$59,_xlfn.CONCAT("&gt;",$J$9),C$10:C$59,_xlfn.CONCAT("&lt;=",$K$9))/50</f>
        <v>0.22</v>
      </c>
      <c r="N21" s="2">
        <f t="shared" si="1"/>
        <v>0.14000000000000001</v>
      </c>
      <c r="O21" s="2">
        <f t="shared" si="1"/>
        <v>0.08</v>
      </c>
      <c r="P21" s="2">
        <f t="shared" si="1"/>
        <v>0.18</v>
      </c>
      <c r="Q21" s="2">
        <f t="shared" si="1"/>
        <v>0.18</v>
      </c>
    </row>
    <row r="22" spans="1:17" x14ac:dyDescent="0.25">
      <c r="A22" s="1" t="s">
        <v>20</v>
      </c>
      <c r="B22">
        <v>0.10526315789473679</v>
      </c>
      <c r="C22">
        <v>0.2105263157894737</v>
      </c>
      <c r="D22">
        <v>5.2631578947368418E-2</v>
      </c>
      <c r="E22">
        <v>0.57894736842105265</v>
      </c>
      <c r="F22">
        <v>0.94736842105263153</v>
      </c>
      <c r="G22">
        <v>1</v>
      </c>
      <c r="J22">
        <v>0.6</v>
      </c>
      <c r="K22" t="s">
        <v>61</v>
      </c>
      <c r="L22" s="2">
        <f>COUNTIFS(B$10:B$59,_xlfn.CONCAT("&gt;",$K$9),B$10:B$59,_xlfn.CONCAT("&lt;=",$L$9))/50</f>
        <v>0.1</v>
      </c>
      <c r="M22" s="2">
        <f t="shared" ref="M22:Q22" si="2">COUNTIFS(C$10:C$59,_xlfn.CONCAT("&gt;",$K$9),C$10:C$59,_xlfn.CONCAT("&lt;=",$L$9))/50</f>
        <v>0.08</v>
      </c>
      <c r="N22" s="2">
        <f t="shared" si="2"/>
        <v>0.04</v>
      </c>
      <c r="O22" s="2">
        <f t="shared" si="2"/>
        <v>0.14000000000000001</v>
      </c>
      <c r="P22" s="2">
        <f t="shared" si="2"/>
        <v>0.04</v>
      </c>
      <c r="Q22" s="2">
        <f t="shared" si="2"/>
        <v>0.04</v>
      </c>
    </row>
    <row r="23" spans="1:17" x14ac:dyDescent="0.25">
      <c r="A23" s="1" t="s">
        <v>21</v>
      </c>
      <c r="B23">
        <v>1</v>
      </c>
      <c r="C23">
        <v>0.93333333333333335</v>
      </c>
      <c r="D23">
        <v>0.33333333333333331</v>
      </c>
      <c r="E23">
        <v>6.6666666666666666E-2</v>
      </c>
      <c r="F23">
        <v>0.46666666666666667</v>
      </c>
      <c r="G23">
        <v>0.1333333333333333</v>
      </c>
      <c r="J23">
        <v>0.8</v>
      </c>
      <c r="K23" t="s">
        <v>62</v>
      </c>
      <c r="L23" s="2">
        <f>COUNTIFS(B$10:B$59,_xlfn.CONCAT("&gt;",$L$9),B$10:B$59,_xlfn.CONCAT("&lt;=",$M$9))/50</f>
        <v>0.02</v>
      </c>
      <c r="M23" s="2">
        <f t="shared" ref="M23:Q23" si="3">COUNTIFS(C$10:C$59,_xlfn.CONCAT("&gt;",$L$9),C$10:C$59,_xlfn.CONCAT("&lt;=",$M$9))/50</f>
        <v>0.08</v>
      </c>
      <c r="N23" s="2">
        <f t="shared" si="3"/>
        <v>0.04</v>
      </c>
      <c r="O23" s="2">
        <f t="shared" si="3"/>
        <v>0.08</v>
      </c>
      <c r="P23" s="2">
        <f t="shared" si="3"/>
        <v>0.06</v>
      </c>
      <c r="Q23" s="2">
        <f t="shared" si="3"/>
        <v>0</v>
      </c>
    </row>
    <row r="24" spans="1:17" x14ac:dyDescent="0.25">
      <c r="A24" s="1" t="s">
        <v>22</v>
      </c>
      <c r="B24">
        <v>1</v>
      </c>
      <c r="C24">
        <v>0.23076923076923081</v>
      </c>
      <c r="D24">
        <v>0.15384615384615391</v>
      </c>
      <c r="E24">
        <v>0.53846153846153844</v>
      </c>
      <c r="F24">
        <v>0.92307692307692313</v>
      </c>
      <c r="G24">
        <v>7.6923076923076927E-2</v>
      </c>
      <c r="J24">
        <v>1</v>
      </c>
      <c r="K24" t="s">
        <v>63</v>
      </c>
      <c r="L24" s="2">
        <f>COUNTIFS(B$10:B$59,_xlfn.CONCAT("&gt;",$M$9),B$10:B$59,_xlfn.CONCAT("&lt;=",$N$9))/50</f>
        <v>0.32</v>
      </c>
      <c r="M24" s="2">
        <f t="shared" ref="M24:Q24" si="4">COUNTIFS(C$10:C$59,_xlfn.CONCAT("&gt;",$M$9),C$10:C$59,_xlfn.CONCAT("&lt;=",$N$9))/50</f>
        <v>0.22</v>
      </c>
      <c r="N24" s="2">
        <f t="shared" si="4"/>
        <v>0.3</v>
      </c>
      <c r="O24" s="2">
        <f t="shared" si="4"/>
        <v>0.57999999999999996</v>
      </c>
      <c r="P24" s="2">
        <f t="shared" si="4"/>
        <v>0.34</v>
      </c>
      <c r="Q24" s="2">
        <f t="shared" si="4"/>
        <v>0.26</v>
      </c>
    </row>
    <row r="25" spans="1:17" x14ac:dyDescent="0.25">
      <c r="A25" s="1" t="s">
        <v>23</v>
      </c>
      <c r="B25">
        <v>6.8965517241379309E-2</v>
      </c>
      <c r="C25">
        <v>0.17241379310344829</v>
      </c>
      <c r="D25">
        <v>0.96551724137931039</v>
      </c>
      <c r="E25">
        <v>1</v>
      </c>
      <c r="F25">
        <v>3.4482758620689648E-2</v>
      </c>
      <c r="G25">
        <v>0.10344827586206901</v>
      </c>
      <c r="L25" s="3">
        <f>SUM(L20:L24)</f>
        <v>1</v>
      </c>
      <c r="M25" s="3">
        <f t="shared" ref="M25:Q25" si="5">SUM(M20:M24)</f>
        <v>0.99999999999999989</v>
      </c>
      <c r="N25" s="3">
        <f t="shared" si="5"/>
        <v>1</v>
      </c>
      <c r="O25" s="3">
        <f t="shared" si="5"/>
        <v>1</v>
      </c>
      <c r="P25" s="3">
        <f t="shared" si="5"/>
        <v>1.0000000000000002</v>
      </c>
      <c r="Q25" s="3">
        <f t="shared" si="5"/>
        <v>1</v>
      </c>
    </row>
    <row r="26" spans="1:17" x14ac:dyDescent="0.25">
      <c r="A26" s="1" t="s">
        <v>24</v>
      </c>
      <c r="B26">
        <v>1</v>
      </c>
      <c r="C26">
        <v>0.1111111111111111</v>
      </c>
      <c r="D26">
        <v>0.88888888888888884</v>
      </c>
      <c r="E26">
        <v>0.44444444444444442</v>
      </c>
      <c r="F26">
        <v>0.33333333333333331</v>
      </c>
      <c r="G26">
        <v>0.55555555555555558</v>
      </c>
    </row>
    <row r="27" spans="1:17" x14ac:dyDescent="0.25">
      <c r="A27" s="1" t="s">
        <v>25</v>
      </c>
      <c r="B27">
        <v>0.95238095238095233</v>
      </c>
      <c r="C27">
        <v>4.7619047619047623E-2</v>
      </c>
      <c r="D27">
        <v>0.14285714285714279</v>
      </c>
      <c r="E27">
        <v>1</v>
      </c>
      <c r="F27">
        <v>0.2857142857142857</v>
      </c>
      <c r="G27">
        <v>9.5238095238095233E-2</v>
      </c>
    </row>
    <row r="28" spans="1:17" x14ac:dyDescent="0.25">
      <c r="A28" s="1" t="s">
        <v>26</v>
      </c>
      <c r="B28">
        <v>4.5454545454545463E-2</v>
      </c>
      <c r="C28">
        <v>9.0909090909090912E-2</v>
      </c>
      <c r="D28">
        <v>0.95454545454545459</v>
      </c>
      <c r="E28">
        <v>1</v>
      </c>
      <c r="F28">
        <v>0.72727272727272729</v>
      </c>
      <c r="G28">
        <v>0.22727272727272729</v>
      </c>
    </row>
    <row r="29" spans="1:17" x14ac:dyDescent="0.25">
      <c r="A29" s="1" t="s">
        <v>27</v>
      </c>
      <c r="B29">
        <v>1</v>
      </c>
      <c r="C29">
        <v>0.29629629629629628</v>
      </c>
      <c r="D29">
        <v>3.7037037037037028E-2</v>
      </c>
      <c r="E29">
        <v>0.96296296296296291</v>
      </c>
      <c r="F29">
        <v>7.407407407407407E-2</v>
      </c>
      <c r="G29">
        <v>0.1851851851851852</v>
      </c>
    </row>
    <row r="30" spans="1:17" x14ac:dyDescent="0.25">
      <c r="A30" s="1" t="s">
        <v>28</v>
      </c>
      <c r="B30">
        <v>0.93333333333333335</v>
      </c>
      <c r="C30">
        <v>0.53333333333333333</v>
      </c>
      <c r="D30">
        <v>0.46666666666666667</v>
      </c>
      <c r="E30">
        <v>1</v>
      </c>
      <c r="F30">
        <v>0.26666666666666672</v>
      </c>
      <c r="G30">
        <v>6.6666666666666666E-2</v>
      </c>
    </row>
    <row r="31" spans="1:17" x14ac:dyDescent="0.25">
      <c r="A31" s="1" t="s">
        <v>29</v>
      </c>
      <c r="B31">
        <v>9.5238095238095233E-2</v>
      </c>
      <c r="C31">
        <v>0.95238095238095233</v>
      </c>
      <c r="D31">
        <v>0.2857142857142857</v>
      </c>
      <c r="E31">
        <v>1</v>
      </c>
      <c r="F31">
        <v>4.7619047619047623E-2</v>
      </c>
      <c r="G31">
        <v>0.19047619047619049</v>
      </c>
    </row>
    <row r="32" spans="1:17" x14ac:dyDescent="0.25">
      <c r="A32" s="1" t="s">
        <v>30</v>
      </c>
      <c r="B32">
        <v>0.95</v>
      </c>
      <c r="C32">
        <v>0.2</v>
      </c>
      <c r="D32">
        <v>0.25</v>
      </c>
      <c r="E32">
        <v>1</v>
      </c>
      <c r="F32">
        <v>0.05</v>
      </c>
      <c r="G32">
        <v>0.15</v>
      </c>
    </row>
    <row r="33" spans="1:7" x14ac:dyDescent="0.25">
      <c r="A33" s="1" t="s">
        <v>31</v>
      </c>
      <c r="B33">
        <v>0.9642857142857143</v>
      </c>
      <c r="C33">
        <v>0.4642857142857143</v>
      </c>
      <c r="D33">
        <v>0.2142857142857143</v>
      </c>
      <c r="E33">
        <v>1</v>
      </c>
      <c r="F33">
        <v>3.5714285714285712E-2</v>
      </c>
      <c r="G33">
        <v>0.1785714285714286</v>
      </c>
    </row>
    <row r="34" spans="1:7" x14ac:dyDescent="0.25">
      <c r="A34" s="1" t="s">
        <v>32</v>
      </c>
      <c r="B34">
        <v>0.54545454545454541</v>
      </c>
      <c r="C34">
        <v>9.0909090909090912E-2</v>
      </c>
      <c r="D34">
        <v>0.36363636363636359</v>
      </c>
      <c r="E34">
        <v>0.27272727272727271</v>
      </c>
      <c r="F34">
        <v>1</v>
      </c>
      <c r="G34">
        <v>0.90909090909090906</v>
      </c>
    </row>
    <row r="35" spans="1:7" x14ac:dyDescent="0.25">
      <c r="A35" s="1" t="s">
        <v>33</v>
      </c>
      <c r="B35">
        <v>0.2857142857142857</v>
      </c>
      <c r="C35">
        <v>0.7142857142857143</v>
      </c>
      <c r="D35">
        <v>1</v>
      </c>
      <c r="E35">
        <v>0.5714285714285714</v>
      </c>
      <c r="F35">
        <v>0.14285714285714279</v>
      </c>
      <c r="G35">
        <v>0.8571428571428571</v>
      </c>
    </row>
    <row r="36" spans="1:7" x14ac:dyDescent="0.25">
      <c r="A36" s="1" t="s">
        <v>34</v>
      </c>
      <c r="B36">
        <v>0.5</v>
      </c>
      <c r="C36">
        <v>0.96875</v>
      </c>
      <c r="D36">
        <v>1</v>
      </c>
      <c r="E36">
        <v>6.25E-2</v>
      </c>
      <c r="F36">
        <v>3.125E-2</v>
      </c>
      <c r="G36">
        <v>0.25</v>
      </c>
    </row>
    <row r="37" spans="1:7" x14ac:dyDescent="0.25">
      <c r="A37" s="1" t="s">
        <v>35</v>
      </c>
      <c r="B37">
        <v>0.3888888888888889</v>
      </c>
      <c r="C37">
        <v>0.27777777777777779</v>
      </c>
      <c r="D37">
        <v>5.5555555555555552E-2</v>
      </c>
      <c r="E37">
        <v>0.94444444444444442</v>
      </c>
      <c r="F37">
        <v>1</v>
      </c>
      <c r="G37">
        <v>0.22222222222222221</v>
      </c>
    </row>
    <row r="38" spans="1:7" x14ac:dyDescent="0.25">
      <c r="A38" s="1" t="s">
        <v>36</v>
      </c>
      <c r="B38">
        <v>0.1111111111111111</v>
      </c>
      <c r="C38">
        <v>5.5555555555555552E-2</v>
      </c>
      <c r="D38">
        <v>0.94444444444444442</v>
      </c>
      <c r="E38">
        <v>0.61111111111111116</v>
      </c>
      <c r="F38">
        <v>0.27777777777777779</v>
      </c>
      <c r="G38">
        <v>1</v>
      </c>
    </row>
    <row r="39" spans="1:7" x14ac:dyDescent="0.25">
      <c r="A39" s="1" t="s">
        <v>37</v>
      </c>
      <c r="B39">
        <v>5.6603773584905662E-2</v>
      </c>
      <c r="C39">
        <v>1</v>
      </c>
      <c r="D39">
        <v>9.4339622641509441E-2</v>
      </c>
      <c r="E39">
        <v>0.99056603773584906</v>
      </c>
      <c r="F39">
        <v>9.433962264150943E-3</v>
      </c>
      <c r="G39">
        <v>1.886792452830189E-2</v>
      </c>
    </row>
    <row r="40" spans="1:7" x14ac:dyDescent="0.25">
      <c r="A40" s="1" t="s">
        <v>38</v>
      </c>
      <c r="B40">
        <v>9.2592592592592587E-2</v>
      </c>
      <c r="C40">
        <v>0.1111111111111111</v>
      </c>
      <c r="D40">
        <v>3.7037037037037028E-2</v>
      </c>
      <c r="E40">
        <v>0.98148148148148151</v>
      </c>
      <c r="F40">
        <v>1</v>
      </c>
      <c r="G40">
        <v>1.8518518518518521E-2</v>
      </c>
    </row>
    <row r="41" spans="1:7" x14ac:dyDescent="0.25">
      <c r="A41" s="1" t="s">
        <v>39</v>
      </c>
      <c r="B41">
        <v>3.5714285714285712E-2</v>
      </c>
      <c r="C41">
        <v>1</v>
      </c>
      <c r="D41">
        <v>0.9642857142857143</v>
      </c>
      <c r="E41">
        <v>7.1428571428571425E-2</v>
      </c>
      <c r="F41">
        <v>0.2857142857142857</v>
      </c>
      <c r="G41">
        <v>0.14285714285714279</v>
      </c>
    </row>
    <row r="42" spans="1:7" x14ac:dyDescent="0.25">
      <c r="A42" s="1" t="s">
        <v>40</v>
      </c>
      <c r="B42">
        <v>3.7037037037037028E-2</v>
      </c>
      <c r="C42">
        <v>7.407407407407407E-2</v>
      </c>
      <c r="D42">
        <v>0.22222222222222221</v>
      </c>
      <c r="E42">
        <v>1</v>
      </c>
      <c r="F42">
        <v>0.96296296296296291</v>
      </c>
      <c r="G42">
        <v>0.25925925925925919</v>
      </c>
    </row>
    <row r="43" spans="1:7" x14ac:dyDescent="0.25">
      <c r="A43" s="1" t="s">
        <v>41</v>
      </c>
      <c r="B43">
        <v>0.625</v>
      </c>
      <c r="C43">
        <v>0.75</v>
      </c>
      <c r="D43">
        <v>0.875</v>
      </c>
      <c r="E43">
        <v>1</v>
      </c>
      <c r="F43">
        <v>0.125</v>
      </c>
      <c r="G43">
        <v>0.25</v>
      </c>
    </row>
    <row r="44" spans="1:7" x14ac:dyDescent="0.25">
      <c r="A44" s="1" t="s">
        <v>42</v>
      </c>
      <c r="B44">
        <v>7.3170731707317069E-2</v>
      </c>
      <c r="C44">
        <v>2.4390243902439029E-2</v>
      </c>
      <c r="D44">
        <v>4.878048780487805E-2</v>
      </c>
      <c r="E44">
        <v>0.97560975609756095</v>
      </c>
      <c r="F44">
        <v>1</v>
      </c>
      <c r="G44">
        <v>0.17073170731707321</v>
      </c>
    </row>
    <row r="45" spans="1:7" x14ac:dyDescent="0.25">
      <c r="A45" s="1" t="s">
        <v>43</v>
      </c>
      <c r="B45">
        <v>1</v>
      </c>
      <c r="C45">
        <v>0.1818181818181818</v>
      </c>
      <c r="D45">
        <v>9.0909090909090912E-2</v>
      </c>
      <c r="E45">
        <v>0.90909090909090906</v>
      </c>
      <c r="F45">
        <v>0.27272727272727271</v>
      </c>
      <c r="G45">
        <v>0.45454545454545447</v>
      </c>
    </row>
    <row r="46" spans="1:7" x14ac:dyDescent="0.25">
      <c r="A46" s="1" t="s">
        <v>44</v>
      </c>
      <c r="B46">
        <v>3.2258064516129031E-2</v>
      </c>
      <c r="C46">
        <v>0.38709677419354838</v>
      </c>
      <c r="D46">
        <v>0.1290322580645161</v>
      </c>
      <c r="E46">
        <v>1</v>
      </c>
      <c r="F46">
        <v>6.4516129032258063E-2</v>
      </c>
      <c r="G46">
        <v>0.967741935483871</v>
      </c>
    </row>
    <row r="47" spans="1:7" x14ac:dyDescent="0.25">
      <c r="A47" s="1" t="s">
        <v>45</v>
      </c>
      <c r="B47">
        <v>2.9411764705882349E-2</v>
      </c>
      <c r="C47">
        <v>0.3235294117647059</v>
      </c>
      <c r="D47">
        <v>0.97058823529411764</v>
      </c>
      <c r="E47">
        <v>1</v>
      </c>
      <c r="F47">
        <v>5.8823529411764712E-2</v>
      </c>
      <c r="G47">
        <v>8.8235294117647065E-2</v>
      </c>
    </row>
    <row r="48" spans="1:7" x14ac:dyDescent="0.25">
      <c r="A48" s="1" t="s">
        <v>46</v>
      </c>
      <c r="B48">
        <v>7.8431372549019607E-2</v>
      </c>
      <c r="C48">
        <v>0.98039215686274506</v>
      </c>
      <c r="D48">
        <v>0.25490196078431371</v>
      </c>
      <c r="E48">
        <v>1</v>
      </c>
      <c r="F48">
        <v>9.8039215686274508E-2</v>
      </c>
      <c r="G48">
        <v>1.9607843137254902E-2</v>
      </c>
    </row>
    <row r="49" spans="1:7" x14ac:dyDescent="0.25">
      <c r="A49" s="1" t="s">
        <v>47</v>
      </c>
      <c r="B49">
        <v>2.222222222222222E-2</v>
      </c>
      <c r="C49">
        <v>0.1333333333333333</v>
      </c>
      <c r="D49">
        <v>4.4444444444444453E-2</v>
      </c>
      <c r="E49">
        <v>6.6666666666666666E-2</v>
      </c>
      <c r="F49">
        <v>1</v>
      </c>
      <c r="G49">
        <v>0.97777777777777775</v>
      </c>
    </row>
    <row r="50" spans="1:7" x14ac:dyDescent="0.25">
      <c r="A50" s="1" t="s">
        <v>48</v>
      </c>
      <c r="B50">
        <v>1</v>
      </c>
      <c r="C50">
        <v>0.4</v>
      </c>
      <c r="D50">
        <v>0.7</v>
      </c>
      <c r="E50">
        <v>0.1</v>
      </c>
      <c r="F50">
        <v>0.2</v>
      </c>
      <c r="G50">
        <v>0.9</v>
      </c>
    </row>
    <row r="51" spans="1:7" x14ac:dyDescent="0.25">
      <c r="A51" s="1" t="s">
        <v>49</v>
      </c>
      <c r="B51">
        <v>0.1818181818181818</v>
      </c>
      <c r="C51">
        <v>0.54545454545454541</v>
      </c>
      <c r="D51">
        <v>0.90909090909090906</v>
      </c>
      <c r="E51">
        <v>1</v>
      </c>
      <c r="F51">
        <v>9.0909090909090912E-2</v>
      </c>
      <c r="G51">
        <v>0.27272727272727271</v>
      </c>
    </row>
    <row r="52" spans="1:7" x14ac:dyDescent="0.25">
      <c r="A52" s="1" t="s">
        <v>50</v>
      </c>
      <c r="B52">
        <v>0.1851851851851852</v>
      </c>
      <c r="C52">
        <v>0.96296296296296291</v>
      </c>
      <c r="D52">
        <v>1</v>
      </c>
      <c r="E52">
        <v>0.66666666666666663</v>
      </c>
      <c r="F52">
        <v>3.7037037037037028E-2</v>
      </c>
      <c r="G52">
        <v>0.25925925925925919</v>
      </c>
    </row>
    <row r="53" spans="1:7" x14ac:dyDescent="0.25">
      <c r="A53" s="1" t="s">
        <v>51</v>
      </c>
      <c r="B53">
        <v>0.53846153846153844</v>
      </c>
      <c r="C53">
        <v>1</v>
      </c>
      <c r="D53">
        <v>7.6923076923076927E-2</v>
      </c>
      <c r="E53">
        <v>0.46153846153846162</v>
      </c>
      <c r="F53">
        <v>0.23076923076923081</v>
      </c>
      <c r="G53">
        <v>0.92307692307692313</v>
      </c>
    </row>
    <row r="54" spans="1:7" x14ac:dyDescent="0.25">
      <c r="A54" s="1" t="s">
        <v>52</v>
      </c>
      <c r="B54">
        <v>1</v>
      </c>
      <c r="C54">
        <v>0.5</v>
      </c>
      <c r="D54">
        <v>0.16666666666666671</v>
      </c>
      <c r="E54">
        <v>0.33333333333333331</v>
      </c>
      <c r="F54">
        <v>0.66666666666666663</v>
      </c>
      <c r="G54">
        <v>0.83333333333333337</v>
      </c>
    </row>
    <row r="55" spans="1:7" x14ac:dyDescent="0.25">
      <c r="A55" s="1" t="s">
        <v>53</v>
      </c>
      <c r="B55">
        <v>0.45454545454545447</v>
      </c>
      <c r="C55">
        <v>9.0909090909090912E-2</v>
      </c>
      <c r="D55">
        <v>0.1818181818181818</v>
      </c>
      <c r="E55">
        <v>0.63636363636363635</v>
      </c>
      <c r="F55">
        <v>0.90909090909090906</v>
      </c>
      <c r="G55">
        <v>1</v>
      </c>
    </row>
    <row r="56" spans="1:7" x14ac:dyDescent="0.25">
      <c r="A56" s="1" t="s">
        <v>54</v>
      </c>
      <c r="B56">
        <v>5.8823529411764712E-2</v>
      </c>
      <c r="C56">
        <v>1.470588235294118E-2</v>
      </c>
      <c r="D56">
        <v>0.19117647058823531</v>
      </c>
      <c r="E56">
        <v>0.98529411764705888</v>
      </c>
      <c r="F56">
        <v>1</v>
      </c>
      <c r="G56">
        <v>2.9411764705882349E-2</v>
      </c>
    </row>
    <row r="57" spans="1:7" x14ac:dyDescent="0.25">
      <c r="A57" s="1" t="s">
        <v>55</v>
      </c>
      <c r="B57">
        <v>0.38095238095238088</v>
      </c>
      <c r="C57">
        <v>1</v>
      </c>
      <c r="D57">
        <v>0.19047619047619049</v>
      </c>
      <c r="E57">
        <v>0.95238095238095233</v>
      </c>
      <c r="F57">
        <v>0.14285714285714279</v>
      </c>
      <c r="G57">
        <v>4.7619047619047623E-2</v>
      </c>
    </row>
    <row r="58" spans="1:7" x14ac:dyDescent="0.25">
      <c r="A58" s="1" t="s">
        <v>56</v>
      </c>
      <c r="B58">
        <v>1</v>
      </c>
      <c r="C58">
        <v>0.20588235294117649</v>
      </c>
      <c r="D58">
        <v>2.9411764705882349E-2</v>
      </c>
      <c r="E58">
        <v>0.97058823529411764</v>
      </c>
      <c r="F58">
        <v>5.8823529411764712E-2</v>
      </c>
      <c r="G58">
        <v>8.8235294117647065E-2</v>
      </c>
    </row>
    <row r="59" spans="1:7" x14ac:dyDescent="0.25">
      <c r="A59" s="1" t="s">
        <v>57</v>
      </c>
      <c r="B59">
        <v>1</v>
      </c>
      <c r="C59">
        <v>0.1333333333333333</v>
      </c>
      <c r="D59">
        <v>6.6666666666666666E-2</v>
      </c>
      <c r="E59">
        <v>0.66666666666666663</v>
      </c>
      <c r="F59">
        <v>0.93333333333333335</v>
      </c>
      <c r="G59">
        <v>0.33333333333333331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Winner rates</vt:lpstr>
      <vt:lpstr>Survival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2026-02-16T17:36:25Z</dcterms:created>
  <dcterms:modified xsi:type="dcterms:W3CDTF">2026-02-16T17:48:32Z</dcterms:modified>
</cp:coreProperties>
</file>